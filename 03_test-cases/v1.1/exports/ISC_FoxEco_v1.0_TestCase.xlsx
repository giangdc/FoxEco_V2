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18.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Override PartName="/xl/charts/colors9.xml" ContentType="application/vnd.ms-office.chartcolorstyle+xml"/>
  <Override PartName="/xl/charts/style4.xml" ContentType="application/vnd.ms-office.chartstyle+xml"/>
  <Override PartName="/xl/charts/colors8.xml" ContentType="application/vnd.ms-office.chartcolorstyle+xml"/>
  <Override PartName="/xl/charts/style3.xml" ContentType="application/vnd.ms-office.chartstyle+xml"/>
  <Override PartName="/xl/charts/style2.xml" ContentType="application/vnd.ms-office.chartstyle+xml"/>
  <Override PartName="/xl/charts/style7.xml" ContentType="application/vnd.ms-office.chartstyle+xml"/>
  <Override PartName="/xl/charts/colors6.xml" ContentType="application/vnd.ms-office.chartcolorstyle+xml"/>
  <Override PartName="/xl/charts/style6.xml" ContentType="application/vnd.ms-office.chartstyle+xml"/>
  <Override PartName="/xl/charts/chart10.xml" ContentType="application/vnd.openxmlformats-officedocument.drawingml.chart+xml"/>
  <Override PartName="/xl/charts/style5.xml" ContentType="application/vnd.ms-office.chartstyle+xml"/>
  <Override PartName="/xl/charts/colors1.xml" ContentType="application/vnd.ms-office.chartcolorstyle+xml"/>
  <Override PartName="/xl/charts/chart6.xml" ContentType="application/vnd.openxmlformats-officedocument.drawingml.chart+xml"/>
  <Override PartName="/xl/charts/colors2.xml" ContentType="application/vnd.ms-office.chartcolorstyle+xml"/>
  <Override PartName="/xl/charts/chart3.xml" ContentType="application/vnd.openxmlformats-officedocument.drawingml.chart+xml"/>
  <Override PartName="/xl/charts/style1.xml" ContentType="application/vnd.ms-office.chartstyle+xml"/>
  <Override PartName="/xl/charts/style9.xml" ContentType="application/vnd.ms-office.chartstyle+xml"/>
  <Override PartName="/xl/charts/colors5.xml" ContentType="application/vnd.ms-office.chartcolorstyle+xml"/>
  <Override PartName="/xl/charts/style8.xml" ContentType="application/vnd.ms-office.chartstyle+xml"/>
  <Override PartName="/xl/charts/chart14.xml" ContentType="application/vnd.openxmlformats-officedocument.drawingml.chart+xml"/>
  <Override PartName="/xl/charts/chart9.xml" ContentType="application/vnd.openxmlformats-officedocument.drawingml.chart+xml"/>
  <Override PartName="/xl/charts/colors13.xml" ContentType="application/vnd.ms-office.chartcolorstyle+xml"/>
  <Override PartName="/xl/charts/style18.xml" ContentType="application/vnd.ms-office.chartstyle+xml"/>
  <Override PartName="/xl/charts/colors16.xml" ContentType="application/vnd.ms-office.chartcolorstyle+xml"/>
  <Override PartName="/xl/charts/chart5.xml" ContentType="application/vnd.openxmlformats-officedocument.drawingml.chart+xml"/>
  <Override PartName="/xl/charts/style17.xml" ContentType="application/vnd.ms-office.chartstyle+xml"/>
  <Override PartName="/xl/charts/chart17.xml" ContentType="application/vnd.openxmlformats-officedocument.drawingml.chart+xml"/>
  <Override PartName="/xl/charts/chart1.xml" ContentType="application/vnd.openxmlformats-officedocument.drawingml.chart+xml"/>
  <Override PartName="/xl/charts/colors15.xml" ContentType="application/vnd.ms-office.chartcolorstyle+xml"/>
  <Override PartName="/xl/charts/colors17.xml" ContentType="application/vnd.ms-office.chartcolorstyle+xml"/>
  <Override PartName="/xl/charts/chart13.xml" ContentType="application/vnd.openxmlformats-officedocument.drawingml.chart+xml"/>
  <Override PartName="/xl/charts/colors7.xml" ContentType="application/vnd.ms-office.chartcolorstyle+xml"/>
  <Override PartName="/xl/charts/chart11.xml" ContentType="application/vnd.openxmlformats-officedocument.drawingml.chart+xml"/>
  <Override PartName="/xl/charts/chart18.xml" ContentType="application/vnd.openxmlformats-officedocument.drawingml.chart+xml"/>
  <Override PartName="/xl/charts/colors18.xml" ContentType="application/vnd.ms-office.chartcolorstyle+xml"/>
  <Override PartName="/xl/charts/style13.xml" ContentType="application/vnd.ms-office.chartstyle+xml"/>
  <Override PartName="/xl/charts/colors14.xml" ContentType="application/vnd.ms-office.chartcolorstyle+xml"/>
  <Override PartName="/xl/charts/style10.xml" ContentType="application/vnd.ms-office.chartstyle+xml"/>
  <Override PartName="/xl/charts/style16.xml" ContentType="application/vnd.ms-office.chartstyle+xml"/>
  <Override PartName="/xl/charts/chart2.xml" ContentType="application/vnd.openxmlformats-officedocument.drawingml.chart+xml"/>
  <Override PartName="/xl/charts/style15.xml" ContentType="application/vnd.ms-office.chartstyle+xml"/>
  <Override PartName="/xl/charts/chart16.xml" ContentType="application/vnd.openxmlformats-officedocument.drawingml.chart+xml"/>
  <Override PartName="/xl/charts/style11.xml" ContentType="application/vnd.ms-office.chartstyle+xml"/>
  <Override PartName="/xl/charts/colors4.xml" ContentType="application/vnd.ms-office.chartcolorstyle+xml"/>
  <Override PartName="/xl/charts/style12.xml" ContentType="application/vnd.ms-office.chartstyle+xml"/>
  <Override PartName="/xl/charts/chart8.xml" ContentType="application/vnd.openxmlformats-officedocument.drawingml.chart+xml"/>
  <Override PartName="/xl/charts/chart12.xml" ContentType="application/vnd.openxmlformats-officedocument.drawingml.chart+xml"/>
  <Override PartName="/xl/charts/colors11.xml" ContentType="application/vnd.ms-office.chartcolorstyle+xml"/>
  <Override PartName="/xl/charts/colors3.xml" ContentType="application/vnd.ms-office.chartcolorstyle+xml"/>
  <Override PartName="/xl/charts/style14.xml" ContentType="application/vnd.ms-office.chartstyle+xml"/>
  <Override PartName="/xl/charts/colors12.xml" ContentType="application/vnd.ms-office.chartcolorstyle+xml"/>
  <Override PartName="/xl/charts/colors10.xml" ContentType="application/vnd.ms-office.chartcolorstyle+xml"/>
  <Override PartName="/xl/charts/chart15.xml" ContentType="application/vnd.openxmlformats-officedocument.drawingml.chart+xml"/>
  <Override PartName="/xl/charts/chart4.xml" ContentType="application/vnd.openxmlformats-officedocument.drawingml.chart+xml"/>
  <Override PartName="/xl/charts/chart7.xml" ContentType="application/vnd.openxmlformats-officedocument.drawingml.chart+xml"/>
  <Override PartName="/xl/drawings/drawing12.xml" ContentType="application/vnd.openxmlformats-officedocument.drawing+xml"/>
  <Override PartName="/xl/drawings/drawing8.xml" ContentType="application/vnd.openxmlformats-officedocument.drawing+xml"/>
  <Override PartName="/xl/drawings/drawing13.xml" ContentType="application/vnd.openxmlformats-officedocument.drawing+xml"/>
  <Override PartName="/xl/drawings/drawing6.xml" ContentType="application/vnd.openxmlformats-officedocument.drawing+xml"/>
  <Override PartName="/xl/drawings/drawing16.xml" ContentType="application/vnd.openxmlformats-officedocument.drawing+xml"/>
  <Override PartName="/xl/drawings/drawing4.xml" ContentType="application/vnd.openxmlformats-officedocument.drawing+xml"/>
  <Override PartName="/xl/drawings/drawing14.xml" ContentType="application/vnd.openxmlformats-officedocument.drawing+xml"/>
  <Override PartName="/xl/drawings/drawing9.xml" ContentType="application/vnd.openxmlformats-officedocument.drawing+xml"/>
  <Override PartName="/xl/drawings/drawing5.xml" ContentType="application/vnd.openxmlformats-officedocument.drawing+xml"/>
  <Override PartName="/xl/drawings/drawing11.xml" ContentType="application/vnd.openxmlformats-officedocument.drawing+xml"/>
  <Override PartName="/xl/drawings/drawing10.xml" ContentType="application/vnd.openxmlformats-officedocument.drawing+xml"/>
  <Override PartName="/xl/drawings/drawing15.xml" ContentType="application/vnd.openxmlformats-officedocument.drawing+xml"/>
  <Override PartName="/xl/drawings/drawing1.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vmlDrawing1.vml" ContentType="application/vnd.openxmlformats-officedocument.vmlDrawing"/>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6"/>
  </bookViews>
  <sheets>
    <sheet name="Cover" sheetId="1" state="visible" r:id="rId3"/>
    <sheet name="Guideline" sheetId="2" state="visible" r:id="rId4"/>
    <sheet name="Revision History" sheetId="3" state="visible" r:id="rId5"/>
    <sheet name="Summary" sheetId="4" state="visible" r:id="rId6"/>
    <sheet name="Dashboard" sheetId="5" state="visible" r:id="rId7"/>
    <sheet name="Report Test" sheetId="6" state="visible" r:id="rId8"/>
    <sheet name="Bug Data" sheetId="7" state="visible" r:id="rId9"/>
    <sheet name="RTM" sheetId="8" state="visible" r:id="rId10"/>
    <sheet name="Hoạt động (Đơn của tôi)" sheetId="9" state="visible" r:id="rId11"/>
    <sheet name="Ghép nối" sheetId="10" state="visible" r:id="rId12"/>
    <sheet name="Huỷ đơn - Huỷ nhận đơn" sheetId="11" state="visible" r:id="rId13"/>
    <sheet name="Giao nhận &amp; Theo dõi đơn" sheetId="12" state="visible" r:id="rId14"/>
    <sheet name="Bảng tin &amp; Chi tiết tin" sheetId="13" state="visible" r:id="rId15"/>
    <sheet name="Quà cảm ơn" sheetId="14" state="visible" r:id="rId16"/>
    <sheet name="Trang chủ" sheetId="15" state="visible" r:id="rId17"/>
    <sheet name="Thông báo" sheetId="16" state="visible" r:id="rId18"/>
    <sheet name="Đăng tin &amp; Quản lý tin" sheetId="17" state="visible" r:id="rId19"/>
    <sheet name="Trust &amp; Safety" sheetId="18" state="visible" r:id="rId20"/>
    <sheet name="Tài khoản &amp; Hồ sơ" sheetId="19" state="visible" r:id="rId21"/>
  </sheets>
  <definedNames>
    <definedName function="false" hidden="true" localSheetId="12" name="_xlnm._FilterDatabase" vbProcedure="false">'Bảng tin &amp; Chi tiết tin'!$A$6:$AU$6</definedName>
    <definedName function="false" hidden="true" localSheetId="16" name="_xlnm._FilterDatabase" vbProcedure="false">'Đăng tin &amp; Quản lý tin'!$A$6:$AU$6</definedName>
    <definedName function="false" hidden="true" localSheetId="9" name="_xlnm._FilterDatabase" vbProcedure="false">'Ghép nối'!$A$6:$AU$6</definedName>
    <definedName function="false" hidden="true" localSheetId="11" name="_xlnm._FilterDatabase" vbProcedure="false">'Giao nhận &amp; Theo dõi đơn'!$A$6:$AU$6</definedName>
    <definedName function="false" hidden="true" localSheetId="8" name="_xlnm._FilterDatabase" vbProcedure="false">'Hoạt động (Đơn của tôi)'!$A$6:$AU$6</definedName>
    <definedName function="false" hidden="true" localSheetId="10" name="_xlnm._FilterDatabase" vbProcedure="false">'Huỷ đơn - Huỷ nhận đơn'!$A$6:$AU$6</definedName>
    <definedName function="false" hidden="true" localSheetId="13" name="_xlnm._FilterDatabase" vbProcedure="false">'Quà cảm ơn'!$A$6:$AU$6</definedName>
    <definedName function="false" hidden="true" localSheetId="18" name="_xlnm._FilterDatabase" vbProcedure="false">'Tài khoản &amp; Hồ sơ'!$A$6:$AU$6</definedName>
    <definedName function="false" hidden="true" localSheetId="15" name="_xlnm._FilterDatabase" vbProcedure="false">'Thông báo'!$A$6:$AU$6</definedName>
    <definedName function="false" hidden="true" localSheetId="14" name="_xlnm._FilterDatabase" vbProcedure="false">'Trang chủ'!$A$6:$AU$6</definedName>
    <definedName function="false" hidden="true" localSheetId="17" name="_xlnm._FilterDatabase" vbProcedure="false">'Trust &amp; Safety'!$A$6:$AU$6</definedName>
  </definedNames>
  <calcPr iterateCount="100" refMode="A1" iterate="false" iterateDelta="0.0001"/>
  <extLst>
    <ext xmlns:loext="http://schemas.libreoffice.org/" uri="{7626C862-2A13-11E5-B345-FEFF819CDC9F}">
      <loext:extCalcPr stringRefSyntax="ExcelA1"/>
    </ext>
  </extLst>
</workbook>
</file>

<file path=xl/comments6.xml><?xml version="1.0" encoding="utf-8"?>
<comments xmlns="http://schemas.openxmlformats.org/spreadsheetml/2006/main" xmlns:xdr="http://schemas.openxmlformats.org/drawingml/2006/spreadsheetDrawing">
  <authors>
    <author>None</author>
  </authors>
  <commentList>
    <comment ref="L220" authorId="0">
      <text>
        <r>
          <rPr>
            <sz val="10"/>
            <rFont val="Arial"/>
            <family val="2"/>
          </rPr>
          <t xml:space="preserve">======
ID#AAACAZ0I57g
Ghi rõ chức năng/scope test của từng Round giúp Manager nắm tổng quát    (2026-07-08 10:16:14)
• TH1 – Round chia scope KHÔNG trùng (VD: R1: Function A; R2: Function B, C) → độ phủ cộng dồn.
• TH2 – mỗi Round chạy full regression toàn bộ chức năng (số Round = số lần test lại).</t>
        </r>
      </text>
    </comment>
  </commentList>
</comments>
</file>

<file path=xl/sharedStrings.xml><?xml version="1.0" encoding="utf-8"?>
<sst xmlns="http://schemas.openxmlformats.org/spreadsheetml/2006/main" count="3828" uniqueCount="1468">
  <si>
    <t xml:space="preserve">foxeco-v2</t>
  </si>
  <si>
    <t xml:space="preserve">TEST CASE &amp; TEST REPORT</t>
  </si>
  <si>
    <t xml:space="preserve">Bộ tài liệu kiểm thử — quy trình SDLC</t>
  </si>
  <si>
    <t xml:space="preserve">Mã hiệu</t>
  </si>
  <si>
    <t xml:space="preserve">7.1-BM/PM/HDCV/ISC</t>
  </si>
  <si>
    <t xml:space="preserve">Phiên bản</t>
  </si>
  <si>
    <t xml:space="preserve">v1.1</t>
  </si>
  <si>
    <t xml:space="preserve">File gồm 2 phần: TEST CASE (viết &amp; theo dõi case) và REPORT (tổng hợp kết quả &amp; bug).</t>
  </si>
  <si>
    <t xml:space="preserve">Sheet: Guideline · Revision History · Summary · Dashboard · Report Test · Data · RTM·  Test Cases </t>
  </si>
  <si>
    <t xml:space="preserve">QUY ĐỊNH CHUNG</t>
  </si>
  <si>
    <t xml:space="preserve">1. Đặt tên file</t>
  </si>
  <si>
    <t xml:space="preserve">ISC_[Tên dự án]_[Version]_TC_[Version TC]_R[Số round test].xlsx 
VD: ISC_FCP-Web_v1.0_TC_v1.0_R1.xls</t>
  </si>
  <si>
    <t xml:space="preserve">2. Tách sheet</t>
  </si>
  <si>
    <t xml:space="preserve">Mỗi Function/Screen tách thành 1 sheet Test Cases riêng (copy sheet mẫu).</t>
  </si>
  <si>
    <t xml:space="preserve">3. Test Title</t>
  </si>
  <si>
    <t xml:space="preserve">Mỗi case kiểm tra 1 nội dung; bắt đầu bằng 'Check ...'</t>
  </si>
  <si>
    <t xml:space="preserve">4. Người thực hiện</t>
  </si>
  <si>
    <t xml:space="preserve">Dùng email, mỗi case 1 người</t>
  </si>
  <si>
    <t xml:space="preserve">5. Phiên bản</t>
  </si>
  <si>
    <t xml:space="preserve">Khi update nội dung file test cases phải tăng [Version TC] và quản lý lịch sử thay đổi trong sheet Revision History </t>
  </si>
  <si>
    <t xml:space="preserve">PHÂN LOẠI TRẠNG THÁI (Status — trạng thái TỔNG của TC)</t>
  </si>
  <si>
    <t xml:space="preserve">Trạng thái</t>
  </si>
  <si>
    <t xml:space="preserve">Ý nghĩa</t>
  </si>
  <si>
    <t xml:space="preserve">Pass</t>
  </si>
  <si>
    <t xml:space="preserve">Đạt — chỉ Pass khi TẤT CẢ bước/kiểm tra trong case đều đạt</t>
  </si>
  <si>
    <t xml:space="preserve">Fail</t>
  </si>
  <si>
    <t xml:space="preserve">Chỉ cần 1 bước/kiểm tra không đạt → Fail (ghi ID Bugs)</t>
  </si>
  <si>
    <t xml:space="preserve">Block</t>
  </si>
  <si>
    <t xml:space="preserve">Không thực hiện được / Pending — ghi rõ lý do ở Remark</t>
  </si>
  <si>
    <t xml:space="preserve">N/A</t>
  </si>
  <si>
    <t xml:space="preserve">Case không áp dụng (VD: Won't fix)</t>
  </si>
  <si>
    <t xml:space="preserve">PHÂN LOẠI ĐỘ ƯU TIÊN </t>
  </si>
  <si>
    <t xml:space="preserve">Priority</t>
  </si>
  <si>
    <t xml:space="preserve">High (P1)</t>
  </si>
  <si>
    <t xml:space="preserve">Bắt buộc chạy; ảnh hưởng luồng/nghiệp vụ chính</t>
  </si>
  <si>
    <t xml:space="preserve">Medium (P2)</t>
  </si>
  <si>
    <t xml:space="preserve">Chạy ít nhất 1 lần; ảnh hưởng người dùng mức trung bình</t>
  </si>
  <si>
    <t xml:space="preserve">Low (P3)</t>
  </si>
  <si>
    <t xml:space="preserve">Có thể bỏ khi rút ngắn thời gian; ít ảnh hưởng</t>
  </si>
  <si>
    <t xml:space="preserve">PHÂN LOẠI NHÓM (Group)</t>
  </si>
  <si>
    <t xml:space="preserve">Group</t>
  </si>
  <si>
    <t xml:space="preserve">Functional</t>
  </si>
  <si>
    <t xml:space="preserve">Kiểm tra chức năng theo luồng nghiệp vụ</t>
  </si>
  <si>
    <t xml:space="preserve">UI</t>
  </si>
  <si>
    <t xml:space="preserve">Kiểm tra giao diện: bố cục, hiển thị, responsive, thông báo, trạng thái control</t>
  </si>
  <si>
    <t xml:space="preserve">Integration</t>
  </si>
  <si>
    <t xml:space="preserve">Kiểm tra tích hợp giữa các module / API / hệ thống</t>
  </si>
  <si>
    <t xml:space="preserve">Database</t>
  </si>
  <si>
    <t xml:space="preserve">Kiểm tra tầng dữ liệu: lưu/đọc đúng, ràng buộc &amp; toàn vẹn dữ liệu (CSDL)</t>
  </si>
  <si>
    <t xml:space="preserve">Ý NGHĨA CỘT EXECUTION</t>
  </si>
  <si>
    <t xml:space="preserve">Status</t>
  </si>
  <si>
    <t xml:space="preserve">Trạng thái TỔNG của TC = kết quả round MỚI NHẤT (tự động, không nhập tay).</t>
  </si>
  <si>
    <t xml:space="preserve">Executed By (mỗi round)</t>
  </si>
  <si>
    <t xml:space="preserve">Email người thực thi test ở TỪNG round.</t>
  </si>
  <si>
    <t xml:space="preserve">ID Bugs (mỗi round)</t>
  </si>
  <si>
    <t xml:space="preserve">Mã bug (Jira) phát sinh ở round đó khi Fail.</t>
  </si>
  <si>
    <t xml:space="preserve">Note (mỗi round)</t>
  </si>
  <si>
    <t xml:space="preserve">Ghi chú tự do cho round đó: lý do Block/Fail, môi trường/dữ liệu đã dùng, link evidence… (không ảnh hưởng Status).</t>
  </si>
  <si>
    <t xml:space="preserve">SDLC</t>
  </si>
  <si>
    <t xml:space="preserve">Các cột dưới đây tích hợp AI vào quy trình kiểm thử</t>
  </si>
  <si>
    <t xml:space="preserve">Origin (Nguồn tạo)</t>
  </si>
  <si>
    <t xml:space="preserve">AI = TC do AI sinh · QC = QC viết tay</t>
  </si>
  <si>
    <t xml:space="preserve">Review</t>
  </si>
  <si>
    <t xml:space="preserve">Reviewed = QC đã review · Pending = chờ review · N/A</t>
  </si>
  <si>
    <t xml:space="preserve">Automated</t>
  </si>
  <si>
    <t xml:space="preserve">Yes/No — TC đã được viết script automation hay chưa</t>
  </si>
  <si>
    <t xml:space="preserve">Script</t>
  </si>
  <si>
    <t xml:space="preserve">Đường dẫn file script automation (nếu có)</t>
  </si>
  <si>
    <t xml:space="preserve">Vibe-test</t>
  </si>
  <si>
    <t xml:space="preserve">Yes/No/N-A theo TỪNG round — TC có kiểm thử kiểu 'vibe-test' (thăm dò có AI agent hỗ trợ) ở round đó. Cột 'Vibe-test (tổng)' tự gộp = Yes nếu có ≥1 round Yes.</t>
  </si>
  <si>
    <t xml:space="preserve">KQ Script</t>
  </si>
  <si>
    <t xml:space="preserve">Kết quả CHẠY script tự động theo TỪNG round: Pass/Fail/Block/N/A/Chưa chạy. Cột 'KQ Script (tổng)' tự lấy kết quả round mới nhất.</t>
  </si>
  <si>
    <t xml:space="preserve">Traceability</t>
  </si>
  <si>
    <t xml:space="preserve">Scenario ID + Req ID + DOC Source: truy vết TC ↔ kịch bản ↔ yêu cầu ↔ tài liệu nguồn</t>
  </si>
  <si>
    <t xml:space="preserve">TEST THEO ROUND (nhiều round trong 1 version)</t>
  </si>
  <si>
    <t xml:space="preserve">R1 … R5</t>
  </si>
  <si>
    <t xml:space="preserve">Mỗi round là 1 khối 6 cột: Vibe-test · KQ Script · Kết quả · Executed By · ID Bugs · Note. Chạy round nào thì nhập vào khối round đó. Template hỗ trợ 5 round. Ô Kết quả/KQ Script tự tô màu: Pass=xanh · Fail=đỏ · Block=xám · N/A=vàng.</t>
  </si>
  <si>
    <t xml:space="preserve">TỰ ĐỘNG = kết quả (Kết quả) của round MỚI NHẤT trong R1…R5. Không nhập tay.</t>
  </si>
  <si>
    <t xml:space="preserve">Round (Bug Data)</t>
  </si>
  <si>
    <t xml:space="preserve">Round phát hiện bug. Report mục IV thống kê Bug theo round &amp; tiến độ Pass/Fail theo round.</t>
  </si>
  <si>
    <t xml:space="preserve">REVISION HISTORY</t>
  </si>
  <si>
    <t xml:space="preserve">Date</t>
  </si>
  <si>
    <t xml:space="preserve">Version</t>
  </si>
  <si>
    <t xml:space="preserve">Author</t>
  </si>
  <si>
    <t xml:space="preserve">Reviewer</t>
  </si>
  <si>
    <t xml:space="preserve">Approver</t>
  </si>
  <si>
    <t xml:space="preserve">Change Description</t>
  </si>
  <si>
    <t xml:space="preserve">QC</t>
  </si>
  <si>
    <t xml:space="preserve">QC Lead</t>
  </si>
  <si>
    <t xml:space="preserve">PM</t>
  </si>
  <si>
    <t xml:space="preserve">Tạo mới</t>
  </si>
  <si>
    <t xml:space="preserve">SUMMARY — Thiết lập chung &amp; Chỉ số Test Case</t>
  </si>
  <si>
    <t xml:space="preserve">Sheet SETUP CHUNG. Chỉ số TỔNG QUAN bên dưới được GOM TỰ ĐỘNG từ TẤT CẢ sheet Test Case, quản lý ở sheet "Dashboard".</t>
  </si>
  <si>
    <t xml:space="preserve">THIẾT LẬP CHUNG</t>
  </si>
  <si>
    <t xml:space="preserve">Tên dự án</t>
  </si>
  <si>
    <t xml:space="preserve">FoxEco</t>
  </si>
  <si>
    <t xml:space="preserve">Mã tài liệu</t>
  </si>
  <si>
    <t xml:space="preserve">Sprint</t>
  </si>
  <si>
    <t xml:space="preserve">Ngày bắt đầu test</t>
  </si>
  <si>
    <t xml:space="preserve">18/09/2026</t>
  </si>
  <si>
    <t xml:space="preserve">Ngày kết thúc test</t>
  </si>
  <si>
    <t xml:space="preserve">25/09/2026</t>
  </si>
  <si>
    <t xml:space="preserve">Số sheet chức năng</t>
  </si>
  <si>
    <t xml:space="preserve">PIC</t>
  </si>
  <si>
    <t xml:space="preserve">GiangDC2</t>
  </si>
  <si>
    <t xml:space="preserve">Ô vàng = nhập tay. Version / ngày test được Test Cases &amp; Report tham chiếu tự động.</t>
  </si>
  <si>
    <t xml:space="preserve">TỔNG QUAN TEST CASE — ƯU TIÊN &amp; TIẾN ĐỘ THỰC THI</t>
  </si>
  <si>
    <t xml:space="preserve">Tổng số Test Case</t>
  </si>
  <si>
    <t xml:space="preserve">THEO NHÓM LOẠI TC (Group)</t>
  </si>
  <si>
    <t xml:space="preserve">Mức ưu tiên</t>
  </si>
  <si>
    <t xml:space="preserve">Tổng TC</t>
  </si>
  <si>
    <t xml:space="preserve">% / Tổng</t>
  </si>
  <si>
    <t xml:space="preserve">Đã chạy</t>
  </si>
  <si>
    <t xml:space="preserve">% đã chạy</t>
  </si>
  <si>
    <t xml:space="preserve">Nhóm</t>
  </si>
  <si>
    <t xml:space="preserve">Số TC</t>
  </si>
  <si>
    <t xml:space="preserve">Tổng</t>
  </si>
  <si>
    <t xml:space="preserve">SDLC — MỨC ĐỘ ÁP DỤNG</t>
  </si>
  <si>
    <t xml:space="preserve">Chỉ số</t>
  </si>
  <si>
    <t xml:space="preserve">Số lượng</t>
  </si>
  <si>
    <t xml:space="preserve">% / Tổng TC</t>
  </si>
  <si>
    <t xml:space="preserve">TC do AI sinh (Origin=AI)</t>
  </si>
  <si>
    <t xml:space="preserve">TC do QC viết (Origin=QC)</t>
  </si>
  <si>
    <t xml:space="preserve">TC đã automation (Automated=Yes)</t>
  </si>
  <si>
    <t xml:space="preserve">TC Vibe-test (Yes)</t>
  </si>
  <si>
    <t xml:space="preserve">TC script auto chạy Pass</t>
  </si>
  <si>
    <t xml:space="preserve">TC đã TL review</t>
  </si>
  <si>
    <t xml:space="preserve">% tính trên TỔNG SỐ TEST CASE. Tự đếm từ sheet Test Cases (khác khối III của Report — khối đó nhập tay theo bug).</t>
  </si>
  <si>
    <t xml:space="preserve">Test nhiều Round/1 version: nhập kết quả từng round ở cột R1…R8 (sheet Test Case); Status = round mới nhất. Chi tiết tiến độ theo round ở Report — mục IV.</t>
  </si>
  <si>
    <t xml:space="preserve">MÔI TRƯỜNG &amp; PHẠM VI TEST</t>
  </si>
  <si>
    <t xml:space="preserve">Environment</t>
  </si>
  <si>
    <t xml:space="preserve">STG</t>
  </si>
  <si>
    <t xml:space="preserve">Platform</t>
  </si>
  <si>
    <t xml:space="preserve">App</t>
  </si>
  <si>
    <t xml:space="preserve">Device</t>
  </si>
  <si>
    <t xml:space="preserve">VD: iPhone 14 (iOS 17), Galaxy S23 (Android 14)</t>
  </si>
  <si>
    <t xml:space="preserve">Accounts</t>
  </si>
  <si>
    <t xml:space="preserve">VD: user01, user02</t>
  </si>
  <si>
    <t xml:space="preserve">Functional Testing</t>
  </si>
  <si>
    <t xml:space="preserve">VD: 1. Function A / 2. Function B</t>
  </si>
  <si>
    <t xml:space="preserve">System Integration Testing (nếu có)</t>
  </si>
  <si>
    <t xml:space="preserve">VD: Tool A, Tool B</t>
  </si>
  <si>
    <t xml:space="preserve">►  QUẢN LÝ DANH SÁCH SHEET TEST CASE: xem sheet "Dashboard".
     Thêm/bớt function chỉ cần thêm/xoá 1 dòng (tên tab sheet) ở Dashboard — mọi chỉ số tự cập nhật.</t>
  </si>
  <si>
    <t xml:space="preserve">BẢNG ĐIỀU KHIỂN — QUẢN LÝ &amp; GOM SỐ LIỆU TẤT CẢ SHEET TEST CASE</t>
  </si>
  <si>
    <t xml:space="preserve">QUẢN LÝ SHEET  (nhập tay 3 cột)</t>
  </si>
  <si>
    <t xml:space="preserve">Execution</t>
  </si>
  <si>
    <t xml:space="preserve">PRIORITY</t>
  </si>
  <si>
    <t xml:space="preserve">GROUP TC</t>
  </si>
  <si>
    <t xml:space="preserve">PRIORITY — ĐÃ CHẠY</t>
  </si>
  <si>
    <t xml:space="preserve">TIẾN ĐỘ THEO ROUND (mỗi round chạy lại toàn bộ TC)</t>
  </si>
  <si>
    <t xml:space="preserve">STT</t>
  </si>
  <si>
    <t xml:space="preserve">Mã CN</t>
  </si>
  <si>
    <t xml:space="preserve">Tên tab sheet
(đúng 100%)</t>
  </si>
  <si>
    <t xml:space="preserve">Function / Màn hình</t>
  </si>
  <si>
    <t xml:space="preserve">Chưa chạy</t>
  </si>
  <si>
    <t xml:space="preserve">Executed</t>
  </si>
  <si>
    <t xml:space="preserve">Coverage %</t>
  </si>
  <si>
    <t xml:space="preserve">Pass %</t>
  </si>
  <si>
    <t xml:space="preserve">High</t>
  </si>
  <si>
    <t xml:space="preserve">Medium</t>
  </si>
  <si>
    <t xml:space="preserve">Low</t>
  </si>
  <si>
    <t xml:space="preserve">AI-gen</t>
  </si>
  <si>
    <t xml:space="preserve">QC viết</t>
  </si>
  <si>
    <t xml:space="preserve">Auto</t>
  </si>
  <si>
    <t xml:space="preserve">Vibe</t>
  </si>
  <si>
    <t xml:space="preserve">Script Pass</t>
  </si>
  <si>
    <t xml:space="preserve">Reviewed</t>
  </si>
  <si>
    <t xml:space="preserve">High
đã chạy</t>
  </si>
  <si>
    <t xml:space="preserve">Medium
đã chạy</t>
  </si>
  <si>
    <t xml:space="preserve">Low
đã chạy</t>
  </si>
  <si>
    <t xml:space="preserve">R1 Executed</t>
  </si>
  <si>
    <t xml:space="preserve">R1 Pass</t>
  </si>
  <si>
    <t xml:space="preserve">R1 Fail</t>
  </si>
  <si>
    <t xml:space="preserve">R1 Block</t>
  </si>
  <si>
    <t xml:space="preserve">R1 N/A</t>
  </si>
  <si>
    <t xml:space="preserve">R2 Executed</t>
  </si>
  <si>
    <t xml:space="preserve">R2 Pass</t>
  </si>
  <si>
    <t xml:space="preserve">R2 Fail</t>
  </si>
  <si>
    <t xml:space="preserve">R2 Block</t>
  </si>
  <si>
    <t xml:space="preserve">R2 N/A</t>
  </si>
  <si>
    <t xml:space="preserve">R3 Executed</t>
  </si>
  <si>
    <t xml:space="preserve">R3 Pass</t>
  </si>
  <si>
    <t xml:space="preserve">R3 Fail</t>
  </si>
  <si>
    <t xml:space="preserve">R3 Block</t>
  </si>
  <si>
    <t xml:space="preserve">R3 N/A</t>
  </si>
  <si>
    <t xml:space="preserve">R4 Executed</t>
  </si>
  <si>
    <t xml:space="preserve">R4 Pass</t>
  </si>
  <si>
    <t xml:space="preserve">R4 Fail</t>
  </si>
  <si>
    <t xml:space="preserve">R4 Block</t>
  </si>
  <si>
    <t xml:space="preserve">R4 N/A</t>
  </si>
  <si>
    <t xml:space="preserve">R5 Executed</t>
  </si>
  <si>
    <t xml:space="preserve">R5 Pass</t>
  </si>
  <si>
    <t xml:space="preserve">R5 Fail</t>
  </si>
  <si>
    <t xml:space="preserve">R5 Block</t>
  </si>
  <si>
    <t xml:space="preserve">R5 N/A</t>
  </si>
  <si>
    <t xml:space="preserve">TC_01</t>
  </si>
  <si>
    <t xml:space="preserve">Hoạt động (Đơn của tôi)</t>
  </si>
  <si>
    <t xml:space="preserve">TC_02</t>
  </si>
  <si>
    <t xml:space="preserve">Ghép nối</t>
  </si>
  <si>
    <t xml:space="preserve">TC_03</t>
  </si>
  <si>
    <t xml:space="preserve">Huỷ đơn - Huỷ nhận đơn</t>
  </si>
  <si>
    <t xml:space="preserve">TC_04</t>
  </si>
  <si>
    <t xml:space="preserve">Giao nhận &amp; Theo dõi đơn</t>
  </si>
  <si>
    <t xml:space="preserve">TC_05</t>
  </si>
  <si>
    <t xml:space="preserve">Bảng tin &amp; Chi tiết tin</t>
  </si>
  <si>
    <t xml:space="preserve">TC_06</t>
  </si>
  <si>
    <t xml:space="preserve">Quà cảm ơn</t>
  </si>
  <si>
    <t xml:space="preserve">TC_07</t>
  </si>
  <si>
    <t xml:space="preserve">Trang chủ</t>
  </si>
  <si>
    <t xml:space="preserve">TC_08</t>
  </si>
  <si>
    <t xml:space="preserve">Thông báo</t>
  </si>
  <si>
    <t xml:space="preserve">TC_09</t>
  </si>
  <si>
    <t xml:space="preserve">Đăng tin &amp; Quản lý tin</t>
  </si>
  <si>
    <t xml:space="preserve">TC_10</t>
  </si>
  <si>
    <t xml:space="preserve">Trust &amp; Safety</t>
  </si>
  <si>
    <t xml:space="preserve">TC_11</t>
  </si>
  <si>
    <t xml:space="preserve">Tài khoản &amp; Hồ sơ</t>
  </si>
  <si>
    <t xml:space="preserve">TOTAL</t>
  </si>
  <si>
    <t xml:space="preserve">CÁCH THÊM 1 FUNCTION MỚI (chạy được cả Excel &amp; Google Sheets):</t>
  </si>
  <si>
    <t xml:space="preserve">1. Nhân bản (Duplicate) 1 sheet Test Case có sẵn → đổi tên tab thành tên function mới.</t>
  </si>
  <si>
    <t xml:space="preserve">2. Thêm 1 dòng ở bảng trên: nhập Mã CN, TÊN TAB SHEET (phải giống hệt tên tab), Function.</t>
  </si>
  <si>
    <t xml:space="preserve">3. Xong! Tổng TC / Pass / Coverage / Priority / SDLC tự cộng vào Summary &amp; Report Test.</t>
  </si>
  <si>
    <t xml:space="preserve">Lưu ý: cột "Tên tab sheet" phải trùng KHÍT tên tab (kể cả khoảng trắng). Sai tên → dòng đó = 0 (không lỗi).</t>
  </si>
  <si>
    <t xml:space="preserve">Các chỉ số lấy từ sheet Test Case: A=Testcase ID · D=Group · E=Priority · J=Origin · K=Review · L=Auto · AR=Vibe(tổng) · AS=KQ Script(tổng) · Kết quả từng round: P/V/AB/AH/AN · Status(mới nhất)=AT.</t>
  </si>
  <si>
    <t xml:space="preserve">I. THÔNG TIN CHUNG</t>
  </si>
  <si>
    <t xml:space="preserve">TỔNG QUAN NHANH</t>
  </si>
  <si>
    <t xml:space="preserve">Tổng số Bug</t>
  </si>
  <si>
    <t xml:space="preserve">Critical + Major</t>
  </si>
  <si>
    <t xml:space="preserve">% Bug đã đóng</t>
  </si>
  <si>
    <t xml:space="preserve">Test Period</t>
  </si>
  <si>
    <t xml:space="preserve">% Coverage (thực thi)</t>
  </si>
  <si>
    <t xml:space="preserve">Thông tin dự án load tự động từ sheet Summary (PROJECT SETUP). Môi trường · thiết bị · tài khoản · phạm vi test: xem mục 'MÔI TRƯỜNG &amp; PHẠM VI TEST' trong Summary.</t>
  </si>
  <si>
    <t xml:space="preserve">% Automation</t>
  </si>
  <si>
    <t xml:space="preserve">% Bug do AI phát hiện</t>
  </si>
  <si>
    <t xml:space="preserve">% TC Pass</t>
  </si>
  <si>
    <t xml:space="preserve">Critical/Major còn Open</t>
  </si>
  <si>
    <t xml:space="preserve">II. REPORT TEST</t>
  </si>
  <si>
    <t xml:space="preserve">KPI = chỉ số chính (Key Performance Indicator). Ô có màu = nhập ở khối III / Data; số tự cập nhật.</t>
  </si>
  <si>
    <t xml:space="preserve">PHẦN A — TỔNG QUAN</t>
  </si>
  <si>
    <t xml:space="preserve">1. Total Test</t>
  </si>
  <si>
    <t xml:space="preserve">1a. Bug Status theo nền tảng (Platform)</t>
  </si>
  <si>
    <t xml:space="preserve">Nền tảng</t>
  </si>
  <si>
    <t xml:space="preserve">To Do</t>
  </si>
  <si>
    <t xml:space="preserve">In Progress</t>
  </si>
  <si>
    <t xml:space="preserve">In Review</t>
  </si>
  <si>
    <t xml:space="preserve">Pending</t>
  </si>
  <si>
    <t xml:space="preserve">Cancel</t>
  </si>
  <si>
    <t xml:space="preserve">Done</t>
  </si>
  <si>
    <t xml:space="preserve">Total</t>
  </si>
  <si>
    <t xml:space="preserve">Web</t>
  </si>
  <si>
    <t xml:space="preserve">Web, App</t>
  </si>
  <si>
    <t xml:space="preserve">Mỗi cột = 1 trạng thái Jira của bug (sheet Bug Data, cột Bug Status); Total = tổng 6 cột. Bug chưa đóng (Open) = To Do + In Progress + In Review. Bug ở trạng thái riêng của board (Reopened, QA Verify…) KHÔNG lên bảng này — script export cảnh báo khi gặp.</t>
  </si>
  <si>
    <t xml:space="preserve">1b. Tỷ lệ Bug theo chức năng (Function)</t>
  </si>
  <si>
    <t xml:space="preserve">Bug theo chức năng</t>
  </si>
  <si>
    <t xml:space="preserve">ID</t>
  </si>
  <si>
    <t xml:space="preserve">Chức năng</t>
  </si>
  <si>
    <t xml:space="preserve">Tỷ lệ</t>
  </si>
  <si>
    <t xml:space="preserve">—</t>
  </si>
  <si>
    <t xml:space="preserve">Khác / chưa gán chức năng</t>
  </si>
  <si>
    <t xml:space="preserve">Chức năng khớp theo cột "Function" ở sheet Bug Data — script tự chuẩn hoá về tên module TC-MASTER (bỏ qua khác biệt hoa/thường, dấu, gạch dưới). Chức năng không map được vẫn được liệt kê với ID "—"; dòng "Khác / chưa gán chức năng" gom phần còn lại nên Total của bảng này luôn khớp Total ở mục 1a. ID = mã module của sheet Dashboard.</t>
  </si>
  <si>
    <t xml:space="preserve">2. Coverage (Độ phủ Test Case)</t>
  </si>
  <si>
    <t xml:space="preserve">Coverage theo chức năng</t>
  </si>
  <si>
    <t xml:space="preserve">Total TC</t>
  </si>
  <si>
    <t xml:space="preserve">Executed TC</t>
  </si>
  <si>
    <t xml:space="preserve">Coverage</t>
  </si>
  <si>
    <t xml:space="preserve">Note</t>
  </si>
  <si>
    <t xml:space="preserve">Tổng (dòng Total) = gộp TẤT CẢ sheet Test Case. Các dòng ở trên là từng module (tối đa 18) — ID/tên chức năng lấy trực tiếp từ sheet "Dashboard" nên luôn khớp.</t>
  </si>
  <si>
    <t xml:space="preserve">2b. Kết quả thực thi Test Case</t>
  </si>
  <si>
    <t xml:space="preserve">Kết quả TC theo Status (từ sheet Test Cases)</t>
  </si>
  <si>
    <t xml:space="preserve">Chưa thực hiện</t>
  </si>
  <si>
    <t xml:space="preserve">3. Bug Severity</t>
  </si>
  <si>
    <t xml:space="preserve">Bug Severity</t>
  </si>
  <si>
    <t xml:space="preserve">Mức độ</t>
  </si>
  <si>
    <t xml:space="preserve">Thang điểm</t>
  </si>
  <si>
    <t xml:space="preserve">Critical Bug</t>
  </si>
  <si>
    <t xml:space="preserve">Major Bug</t>
  </si>
  <si>
    <t xml:space="preserve">Medium Bug</t>
  </si>
  <si>
    <t xml:space="preserve">Low Bug</t>
  </si>
  <si>
    <t xml:space="preserve">Suggest Bug</t>
  </si>
  <si>
    <t xml:space="preserve">Thang điểm: Critical=20, Major=10, Medium=5, Low=2.</t>
  </si>
  <si>
    <t xml:space="preserve">PHẦN B — CHI TIẾT QC</t>
  </si>
  <si>
    <t xml:space="preserve">4. Bug Resolution</t>
  </si>
  <si>
    <t xml:space="preserve">Bug Resolution</t>
  </si>
  <si>
    <t xml:space="preserve">Resolution</t>
  </si>
  <si>
    <t xml:space="preserve">Fixed</t>
  </si>
  <si>
    <t xml:space="preserve">Won't fix</t>
  </si>
  <si>
    <t xml:space="preserve">Chưa xác định</t>
  </si>
  <si>
    <t xml:space="preserve">5. Bug Won't fix By Reason</t>
  </si>
  <si>
    <t xml:space="preserve">Bug Won't fix By Reason</t>
  </si>
  <si>
    <t xml:space="preserve">Mã</t>
  </si>
  <si>
    <t xml:space="preserve">Lý do</t>
  </si>
  <si>
    <t xml:space="preserve">1.1</t>
  </si>
  <si>
    <t xml:space="preserve">QC miss thông tin/ nghiệp vụ</t>
  </si>
  <si>
    <t xml:space="preserve">1.2</t>
  </si>
  <si>
    <t xml:space="preserve">QC post trùng bug</t>
  </si>
  <si>
    <t xml:space="preserve">1.3</t>
  </si>
  <si>
    <t xml:space="preserve">QC không tái hiện được Bug</t>
  </si>
  <si>
    <t xml:space="preserve">2.1</t>
  </si>
  <si>
    <t xml:space="preserve">BA miss luồng</t>
  </si>
  <si>
    <t xml:space="preserve">2.2</t>
  </si>
  <si>
    <t xml:space="preserve">BA thiếu/ sai nghiệp vụ</t>
  </si>
  <si>
    <t xml:space="preserve">3.1</t>
  </si>
  <si>
    <t xml:space="preserve">Dev không sửa do Ngoài scope dự án</t>
  </si>
  <si>
    <t xml:space="preserve">3.2</t>
  </si>
  <si>
    <t xml:space="preserve">Dev không fix do Phụ thuộc thông tin các bên liên quan ngoài ISC</t>
  </si>
  <si>
    <t xml:space="preserve">3.3</t>
  </si>
  <si>
    <t xml:space="preserve">Dev không fix do Điều kiện test không đáp ứng (Môi trường, cấu hình, dữ liệu, thiết bị,...)</t>
  </si>
  <si>
    <t xml:space="preserve">3.4</t>
  </si>
  <si>
    <t xml:space="preserve">Dev miss thông tin</t>
  </si>
  <si>
    <t xml:space="preserve">4.1</t>
  </si>
  <si>
    <t xml:space="preserve">PM/PMO CR, QC không nhận thông tin</t>
  </si>
  <si>
    <t xml:space="preserve">6. Defect Type</t>
  </si>
  <si>
    <t xml:space="preserve">Defect Type</t>
  </si>
  <si>
    <t xml:space="preserve">Loại</t>
  </si>
  <si>
    <t xml:space="preserve">SL</t>
  </si>
  <si>
    <t xml:space="preserve">Data</t>
  </si>
  <si>
    <t xml:space="preserve">Interface</t>
  </si>
  <si>
    <t xml:space="preserve">Logic</t>
  </si>
  <si>
    <t xml:space="preserve">Requirement</t>
  </si>
  <si>
    <t xml:space="preserve">Server</t>
  </si>
  <si>
    <t xml:space="preserve">Other</t>
  </si>
  <si>
    <t xml:space="preserve">7. Effect</t>
  </si>
  <si>
    <t xml:space="preserve">Effect</t>
  </si>
  <si>
    <t xml:space="preserve">Functionality</t>
  </si>
  <si>
    <t xml:space="preserve">Performance</t>
  </si>
  <si>
    <t xml:space="preserve">Security</t>
  </si>
  <si>
    <t xml:space="preserve">Serviceability</t>
  </si>
  <si>
    <t xml:space="preserve">Usability</t>
  </si>
  <si>
    <t xml:space="preserve">8. Bug Rework</t>
  </si>
  <si>
    <t xml:space="preserve">Bug Rework</t>
  </si>
  <si>
    <t xml:space="preserve">Số lần rework</t>
  </si>
  <si>
    <t xml:space="preserve">1-2 lần</t>
  </si>
  <si>
    <t xml:space="preserve">3-5 lần</t>
  </si>
  <si>
    <t xml:space="preserve">6-7 lần</t>
  </si>
  <si>
    <t xml:space="preserve">8-10 lần</t>
  </si>
  <si>
    <t xml:space="preserve">III. SDLC / AUTOMATION METRICS</t>
  </si>
  <si>
    <t xml:space="preserve">Chỉ số SDLC &amp; Automation</t>
  </si>
  <si>
    <t xml:space="preserve">TC sinh bởi AI (AI-generated)</t>
  </si>
  <si>
    <t xml:space="preserve">TC do QC viết tay</t>
  </si>
  <si>
    <t xml:space="preserve">TC đã automation (có script)</t>
  </si>
  <si>
    <t xml:space="preserve">TC Vibe-test</t>
  </si>
  <si>
    <t xml:space="preserve">TC đã QC review</t>
  </si>
  <si>
    <t xml:space="preserve">Bug do AI phát hiện (nhập tay)</t>
  </si>
  <si>
    <t xml:space="preserve">Ô vàng = nhập tay; các % tự tính trên Tổng TC. % Bug do AI = Bug do AI phát hiện / Tổng số Bug.</t>
  </si>
  <si>
    <t xml:space="preserve">IV. KẾT QUẢ THỰC THI THEO ROUND (Round-by-Round)</t>
  </si>
  <si>
    <t xml:space="preserve">Ghi Phạm vi/Chức năng test của mỗi Round ở cột 'Phạm vi'. TH1 – các Round chia scope KHÔNG trùng nhau (VD R1: Function A; R2: Function B, C) → độ phủ cộng dồn qua các Round. TH2 – mỗi Round chạy full regression toàn bộ chức năng (số Round = số lần test lại). Coverage% = Đã chạy/Tổng TC · Pass rate = Pass/Đã chạy · dòng 'Cuối' = verdict Final.</t>
  </si>
  <si>
    <t xml:space="preserve">Bảng kết quả theo Round (số liệu gom tự động từ Dashboard)</t>
  </si>
  <si>
    <t xml:space="preserve">Round</t>
  </si>
  <si>
    <t xml:space="preserve">Thời gian</t>
  </si>
  <si>
    <t xml:space="preserve">Coverage%</t>
  </si>
  <si>
    <t xml:space="preserve">Pass rate</t>
  </si>
  <si>
    <t xml:space="preserve">Phạm vi / Chức năng test</t>
  </si>
  <si>
    <t xml:space="preserve">Round 1</t>
  </si>
  <si>
    <t xml:space="preserve">Toàn bộ chức năng</t>
  </si>
  <si>
    <t xml:space="preserve">Round 2</t>
  </si>
  <si>
    <t xml:space="preserve">Round 3</t>
  </si>
  <si>
    <t xml:space="preserve">Round 4</t>
  </si>
  <si>
    <t xml:space="preserve">Round 5</t>
  </si>
  <si>
    <t xml:space="preserve">Cuối (Final)</t>
  </si>
  <si>
    <t xml:space="preserve">Xu hướng Bug theo Round (phát hiện vs đã đóng)</t>
  </si>
  <si>
    <t xml:space="preserve">Phát hiện</t>
  </si>
  <si>
    <t xml:space="preserve">Đã đóng</t>
  </si>
  <si>
    <t xml:space="preserve">Phát hiện = đếm cột T `Round` (round PHÁT HIỆN bug) · Đã đóng = đếm cột U `Round closed bug` (round ĐÓNG bug) ⇒ bug tìm ở R1 mà fix xong ở R3 vào Phát hiện R1 + Đã đóng R3, KHÔNG cộng cả hai vào R1. Total Phát hiện = số bug có Round (phải khớp Tổng số Bug ở mục 1) · Total Đã đóng = số bug đã đóng có điền Round closed bug — chênh lệch 2 Total = bug còn nợ; bug chưa đóng để TRỐNG cột U.</t>
  </si>
  <si>
    <t xml:space="preserve">Key</t>
  </si>
  <si>
    <t xml:space="preserve">Type</t>
  </si>
  <si>
    <t xml:space="preserve">Summary</t>
  </si>
  <si>
    <t xml:space="preserve">Bug Status</t>
  </si>
  <si>
    <t xml:space="preserve">Priority (Jira)</t>
  </si>
  <si>
    <t xml:space="preserve">Assignee</t>
  </si>
  <si>
    <t xml:space="preserve">Reporter</t>
  </si>
  <si>
    <t xml:space="preserve">Created</t>
  </si>
  <si>
    <t xml:space="preserve">Resolved</t>
  </si>
  <si>
    <t xml:space="preserve">Fix Version</t>
  </si>
  <si>
    <t xml:space="preserve">Severity</t>
  </si>
  <si>
    <t xml:space="preserve">Function</t>
  </si>
  <si>
    <t xml:space="preserve">Won't Fix Reason</t>
  </si>
  <si>
    <t xml:space="preserve">Defect</t>
  </si>
  <si>
    <t xml:space="preserve">Rework number</t>
  </si>
  <si>
    <t xml:space="preserve">Round closed bug</t>
  </si>
  <si>
    <t xml:space="preserve">Danh mục Won't Fix Reason (nguồn dropdown cột P)</t>
  </si>
  <si>
    <t xml:space="preserve">HƯỚNG DẪN IMPORT TỪ JIRA</t>
  </si>
  <si>
    <t xml:space="preserve">1.1 QC miss thông tin/ nghiệp vụ</t>
  </si>
  <si>
    <t xml:space="preserve">① KHỐI JIRA (cột A–K, nền vàng): export/CSV từ Jira rồi dán trực tiếp bắt đầu ô A2.</t>
  </si>
  <si>
    <t xml:space="preserve">1.2 QC post trùng bug</t>
  </si>
  <si>
    <t xml:space="preserve">   • Board dự án: foxproject.atlassian.net (project key IP). Mỗi round = 1 Sprint.</t>
  </si>
  <si>
    <t xml:space="preserve">1.3 QC không tái hiện được Bug</t>
  </si>
  <si>
    <t xml:space="preserve">   • A Key, B Type, C Summary, D Bug Status, E Priority, F Assignee, G Reporter,</t>
  </si>
  <si>
    <t xml:space="preserve">2.1 BA miss luồng</t>
  </si>
  <si>
    <t xml:space="preserve">     H Created, I Resolved, J Fix Version, K Sprint — khớp cột export mặc định của Jira.</t>
  </si>
  <si>
    <t xml:space="preserve">2.2 BA thiếu/ sai nghiệp vụ</t>
  </si>
  <si>
    <t xml:space="preserve">② KHỐI QC PHÂN TÍCH (cột L–U, nền cam): QC tự điền, là nguồn cho biểu đồ sheet Report Test.</t>
  </si>
  <si>
    <t xml:space="preserve">3.1 Dev không sửa do Ngoài scope dự án</t>
  </si>
  <si>
    <t xml:space="preserve">   • L Severity (20=Critical,10=Major,5=Medium,2=Low) — map từ Priority/field Severity của Jira.</t>
  </si>
  <si>
    <t xml:space="preserve">3.2 Dev không fix do Phụ thuộc thông tin các bên liên quan ngoài ISC</t>
  </si>
  <si>
    <t xml:space="preserve">   • D Bug Status: GIỮ NGUYÊN status của board Jira (không gom nhóm, không có cột status thứ 2). Report Test §1a/§1b đếm theo từng trạng thái này.</t>
  </si>
  <si>
    <t xml:space="preserve">3.3 Dev không fix do Điều kiện test không đáp ứng (Môi trường, cấu hình, dữ liệu, thiết bị,...)</t>
  </si>
  <si>
    <t xml:space="preserve">   • T Round: round PHÁT HIỆN bug (1..5) — map từ Sprint (K). Là nguồn cột 'Phát hiện' của biểu đồ Xu hướng Bug theo Round (Report Test §IV).</t>
  </si>
  <si>
    <t xml:space="preserve">3.4 Dev miss thông tin</t>
  </si>
  <si>
    <t xml:space="preserve">   • U Round closed bug: round ĐÓNG bug (1..5) — điền khi bug đã đóng, để trống nếu chưa. Là nguồn cột 'Đã đóng' của biểu đồ đó: bug tìm ở R1 mà fix xong ở R3 thì T=1, U=3 (KHÔNG phải U=1).</t>
  </si>
  <si>
    <t xml:space="preserve">4.1 PM/PMO CR, QC không nhận thông tin</t>
  </si>
  <si>
    <t xml:space="preserve">   • P Won't Fix Reason: chọn theo danh mục (mã + lý do) ở cột Y.</t>
  </si>
  <si>
    <t xml:space="preserve">③ 13 dòng mẫu nền vàng/cam: xoá khi dùng dữ liệu thật. Chỉ dán vào khối Jira, khối QC điền tay.</t>
  </si>
  <si>
    <t xml:space="preserve">Ghi chú: mapping theo cấu trúc export chuẩn của Jira; nếu dự án dùng custom field (Severity, Sprint) có thể chỉnh cột tương ứng.</t>
  </si>
  <si>
    <t xml:space="preserve">RTM — MA TRẬN TRUY VẾT YÊU CẦU (Requirement Traceability Matrix)</t>
  </si>
  <si>
    <t xml:space="preserve">Mỗi dòng = 1 yêu cầu (Req ID) ĐÃ CÓ test case — REQ out-scope / chốt không làm không liệt kê ở đây. Số liệu tự đếm từ các sheet Test Case.</t>
  </si>
  <si>
    <t xml:space="preserve">Req ID</t>
  </si>
  <si>
    <t xml:space="preserve">Yêu cầu (mô tả)</t>
  </si>
  <si>
    <t xml:space="preserve">Nguồn (DOC)</t>
  </si>
  <si>
    <t xml:space="preserve">% phủ</t>
  </si>
  <si>
    <t xml:space="preserve">REQ-ACT-001</t>
  </si>
  <si>
    <t xml:space="preserve">Nguồn (v1.0) — `DOC-v1.0-02 §3.7` + `KP-01 §3 KB-ORD-07` (quan sát app 2026-07-27): "Màn Hoạt động có 2 tab: **Đang diễn ra** / **Đã hoàn thành**.</t>
  </si>
  <si>
    <t xml:space="preserve">DOC-v1.1-01 §8.17.1 EMP-05 / EMP-06 · trang 51</t>
  </si>
  <si>
    <t xml:space="preserve">REQ-ACT</t>
  </si>
  <si>
    <t xml:space="preserve">REQ-ACT-004</t>
  </si>
  <si>
    <t xml:space="preserve">Nguồn (v1.0) — `DOC-v1.0-02 §3.7 đoạn 3` + `DOC-v1.0-01 §D1b US-D04 L166`: "Tab 'Đã hoàn thành' liệt kê các đơn đã kết thúc.</t>
  </si>
  <si>
    <t xml:space="preserve">DOC-v1.1-01 §6.2 AC-24.2.01 · trang 25</t>
  </si>
  <si>
    <t xml:space="preserve">REQ-ASN</t>
  </si>
  <si>
    <t xml:space="preserve">REQ-ACT-005</t>
  </si>
  <si>
    <t xml:space="preserve">Nguồn (v1.0) — `DOC-v1.0-06 KP-01 §3 KB-ORD-07 (#4,#6)` (quan sát app): card "Hết hạn" **có** lý do, nhưng **chuỗi lý do lấy từ màn hình**, không từ tài liệu.</t>
  </si>
  <si>
    <t xml:space="preserve">DOC-v1.1-01 §8.5.1 BR05-03 · trang 38</t>
  </si>
  <si>
    <t xml:space="preserve">REQ-CNL</t>
  </si>
  <si>
    <t xml:space="preserve">REQ-ACT-008</t>
  </si>
  <si>
    <t xml:space="preserve">Nguồn (v1.0) — `DOC-v1.0-06 KP-02 §5 dòng C-ORD-06`: text empty state **chưa chốt** — từng Resolved 2026-07-28 rồi **REVERT** 2026-07-29 vì chốt không kèm bằng chứng.</t>
  </si>
  <si>
    <t xml:space="preserve">DOC-v1.1-01 §8.17.1 bảng Danh mục empty state, dòng EMP-05 / EMP-06 · trang 51</t>
  </si>
  <si>
    <t xml:space="preserve">REQ-DLV</t>
  </si>
  <si>
    <t xml:space="preserve">REQ-ACT-009</t>
  </si>
  <si>
    <t xml:space="preserve">Nguồn (v1.0) — `DOC-v1.0-02 §3.7 đoạn 3` + `KP-01 §6 KB-GIFT-02`, gắn `C-GIFT-01` Resolved *"Out of scope **v1.0**"* ⇒ SC chỉ **ghi nhận**.</t>
  </si>
  <si>
    <t xml:space="preserve">DOC-v1.1-01 §8.14.1 BR14-03 · trang 49</t>
  </si>
  <si>
    <t xml:space="preserve">REQ-FEED</t>
  </si>
  <si>
    <t xml:space="preserve">REQ-ACT-010</t>
  </si>
  <si>
    <t xml:space="preserve">Nguồn #1 — BR17-01..03 (§8.17.2, trang 51): "BR17-01 | Mỗi empty state gồm: icon nét mảnh màu neutral + một dòng tiêu đề + một dòng giải thích + tối đa một CTA." "BR17-02 | Không dùng ảnh minh hoạ nặng; không hiện skeleton vô hạn — phân biệt rõ đang tải và không có dữ liệu." "BR17-03 | Empty state không được che thanh tab dưới và vẫn cuộn được.</t>
  </si>
  <si>
    <t xml:space="preserve">DOC-v1.1-01 §8.17.2 BR17-01..03 · trang 51</t>
  </si>
  <si>
    <t xml:space="preserve">REQ-GIFT</t>
  </si>
  <si>
    <t xml:space="preserve">REQ-ASN-003</t>
  </si>
  <si>
    <t xml:space="preserve">BR03-02 | Ghép ngay khi người vận chuyển bấm nhận — không có bước chủ tin duyệt. Một tin chỉ có một cặp ghép active; ghép cho người bấm đầu tiên, chống double-accept bằng khoá giao dịch." "NFR-06 | Data Integrity | Một tin chỉ tồn tại một cặp ghép active; tỷ lệ ghép trùng = 0% dưới điều kiện 50 request đồng thời trên cùng một tin | Cách đo: Concurrency test trên staging</t>
  </si>
  <si>
    <t xml:space="preserve">DOC-v1.1-01 §8.3 "FR03" BR03-02 · page 37</t>
  </si>
  <si>
    <t xml:space="preserve">REQ-HOME</t>
  </si>
  <si>
    <t xml:space="preserve">REQ-ASN-005</t>
  </si>
  <si>
    <t xml:space="preserve">NFR-08 | Consistency | Ba vai trò thấy cùng một trạng thái đơn trong ≤ 5 giây sau khi trạng thái đổi | Cách đo: Integration test đa thiết bị</t>
  </si>
  <si>
    <t xml:space="preserve">DOC-v1.1-01 §9 NFR-08 · page 53</t>
  </si>
  <si>
    <t xml:space="preserve">REQ-NTF</t>
  </si>
  <si>
    <t xml:space="preserve">REQ-ASN-007</t>
  </si>
  <si>
    <t xml:space="preserve">Nguồn v1.0 (`DOC-v1.0-06` KP-01 §4 `KB-ASN-04`): "= trùng địa chỉ giao hàng đã chọn + khung giờ phù hợp. KHÔNG dùng bán kính GPS / khoảng cách địa lý." · "🔴 Còn thiếu: "khung giờ phù hợp" là trùng hoàn toàn hay có độ lệch cho phép? Chu kỳ quét khớp?</t>
  </si>
  <si>
    <t xml:space="preserve">DOC-v1.1-01 §8.4 "FR04 — Khớp tuyến OFFER ↔ NEED" · Business Rules · page 38</t>
  </si>
  <si>
    <t xml:space="preserve">REQ-ORD</t>
  </si>
  <si>
    <t xml:space="preserve">REQ-ASN-008</t>
  </si>
  <si>
    <t xml:space="preserve">`DOC-v1.0-06` KP-01 §4 `KB-ASN-03`: "Không phải "5 thông báo/ngày" cộng dồn — tính riêng theo từng tin.</t>
  </si>
  <si>
    <t xml:space="preserve">DOC-v1.1-01 §8.4 "FR04 — Khớp tuyến OFFER ↔ NEED" BR04-04 · page 38</t>
  </si>
  <si>
    <t xml:space="preserve">REQ-TS</t>
  </si>
  <si>
    <t xml:space="preserve">REQ-ASN-009</t>
  </si>
  <si>
    <t xml:space="preserve">`DOC-v1.0-01` §D7 `OPR-04` L340: "Sắp xếp theo độ gần tuyến → thời gian đăng (mới trước)" — Analyst Note v1.0 kết luận "độ gần tuyến là nhị phân nên không còn thang để sắp xếp ⇒ tiêu chí duy nhất kiểm chứng được là thời gian đăng".</t>
  </si>
  <si>
    <t xml:space="preserve">DOC-v1.1-01 §8.3 "FR03 — Ghép nối &amp; lộ liên hệ" BR03-06 · page 37</t>
  </si>
  <si>
    <t xml:space="preserve">REQ-USR</t>
  </si>
  <si>
    <t xml:space="preserve">REQ-ASN-013</t>
  </si>
  <si>
    <t xml:space="preserve">NFR-11 | Security | Tin OFFER không truy cập được trực tiếp; mọi request đọc tin OFFER bởi người dùng không phải chủ tin phải bị chặn lỗi và ghi audit log | Cách đo: Security test</t>
  </si>
  <si>
    <t xml:space="preserve">DOC-v1.1-01 §9 NFR-11 · page 54</t>
  </si>
  <si>
    <t xml:space="preserve">REQ-CNL-002</t>
  </si>
  <si>
    <t xml:space="preserve">Nguồn (v1.0) — `DOC-v1.0-01 §D8.3 VAL-04 · L395`: "Huỷ đơn: bắt buộc lý do ≥ 5 ký tự mới bật nút xác nhận.</t>
  </si>
  <si>
    <t xml:space="preserve">DOC-v1.1-01 §8.18.2 VAL-03/VAL-04 · trang 52</t>
  </si>
  <si>
    <t xml:space="preserve">REQ-CNL-003</t>
  </si>
  <si>
    <t xml:space="preserve">Nguồn (v1.0) — `DOC-v1.0-01 §D7 OPR-11 · L347`: "Sau khi người vận chuyển đã nhận hàng (IN_TRANSIT) thì KHÔNG ai được huỷ đơn thường.</t>
  </si>
  <si>
    <t xml:space="preserve">DOC-v1.1-01 §8.11 dòng Pre-Conditions · trang 44</t>
  </si>
  <si>
    <t xml:space="preserve">REQ-CNL-007</t>
  </si>
  <si>
    <t xml:space="preserve">Nguồn (v1.0) — `DOC-v1.0-01 §D2 · L233` (`[INCIDENT]` có tên trong sơ đồ vòng đời nhưng không mô tả field/màn) ⇒ `C-CNL-01` Resolved: *"Out of scope v1.0 (chưa có đặc tả field)"*.</t>
  </si>
  <si>
    <t xml:space="preserve">DOC-v1.1-01 §8.16 "FR16 — Báo cáo sự cố &amp; hỗ trợ" · trang 50</t>
  </si>
  <si>
    <t xml:space="preserve">REQ-CNL-006</t>
  </si>
  <si>
    <t xml:space="preserve">Nguồn (v1.0) — `DOC-v1.0-06 KP-01 §7 KB-CNL-01` (live-verify 2026-07-29) + `C-CNL-02` Resolved-override 2026-07-30: "Huỷ đơn không ghi log nào, chỉ hiện banner đỏ. Huỷ nhận đơn XOÁ dòng 'Ghép thành công' khỏi LỊCH SỬ.</t>
  </si>
  <si>
    <t xml:space="preserve">DOC-v1.1-01 §8.11.1 BR11-02 / BR11-03 · trang 44</t>
  </si>
  <si>
    <t xml:space="preserve">REQ-CNL-008</t>
  </si>
  <si>
    <t xml:space="preserve">Nguồn #1 — AC-25.2.01 (§6.2, trang 26): "Given: Đơn ở IN_TRANSIT hoặc muộn hơn. When: Bất kỳ vai trò nào mở màn theo dõi đơn. Then: Không còn thao tác huỷ đơn thường cho bất kỳ ai. Chỉ còn hai đường: hoàn hàng (RETURNING) hoặc báo sự cố (INCIDENT). Đơn ở INCIDENT không tự về COMPLETED, phải qua admin hỗ trợ.</t>
  </si>
  <si>
    <t xml:space="preserve">DOC-v1.1-01 §6.2 AC-25.2.01 "Sau khi hàng đã lên đường" · trang 26</t>
  </si>
  <si>
    <t xml:space="preserve">REQ-CNL-009</t>
  </si>
  <si>
    <t xml:space="preserve">Nguồn — FR11 Actor (§8.11, trang 44): "Người gửi · Người vận chuyển · Người nhận · Admin vận hành</t>
  </si>
  <si>
    <t xml:space="preserve">DOC-v1.1-01 §8.11 dòng Actor · trang 44</t>
  </si>
  <si>
    <t xml:space="preserve">REQ-DLV-002</t>
  </si>
  <si>
    <t xml:space="preserve">RESCHEDULED | Xem lịch hẹn giao lại | Giao lại theo lịch (mở lại màn giao hàng) | Xem lịch hẹn" "RETURNING | 'Xác nhận đã nhận lại hàng' · xem lịch hẹn | Xem lịch hẹn trả hàng | Xem lý do hoàn hàng" "RETURNED · CANCELLED · EXPIRED | Xem lý do · đăng lại | Xem lý do | Xem lý do</t>
  </si>
  <si>
    <t xml:space="preserve">DOC-v1.1-01 §8.12.3 "Hành động khả dụng theo trạng thái" · trang 45-46</t>
  </si>
  <si>
    <t xml:space="preserve">REQ-DLV-007</t>
  </si>
  <si>
    <t xml:space="preserve">BR10-04 | Đơn có báo cáo sự cố (INCIDENT) không tự chuyển về COMPLETED — phải qua admin hỗ trợ dựa trên nhật ký và ảnh.</t>
  </si>
  <si>
    <t xml:space="preserve">DOC-v1.1-01 §8.10.1 "FR10" BR10-04 · trang 43</t>
  </si>
  <si>
    <t xml:space="preserve">REQ-DLV-012</t>
  </si>
  <si>
    <t xml:space="preserve">BR06-01 | Ảnh lúc lấy hàng là tuỳ chọn nhưng được khuyến nghị mạnh; tối đa 5 ảnh.</t>
  </si>
  <si>
    <t xml:space="preserve">DOC-v1.1-01 §8.6.1 "FR06" BR06-01 · trang 38</t>
  </si>
  <si>
    <t xml:space="preserve">REQ-DLV-017</t>
  </si>
  <si>
    <t xml:space="preserve">Description (§8.7): "Ghi nhận việc bàn giao hàng với đối tượng nhận rõ ràng và bằng chứng ảnh bắt buộc, phục vụ truy vết và xử lý tranh chấp."  BR07-01: "Bắt buộc chọn 1 trong 4 đối tượng nhận: Người nhận · Người được uỷ quyền · Quầy lễ tân · Quầy bảo vệ." BR07-02: "Ảnh khi giao là bắt buộc ≥ 1 (tối đa 5) cho mọi kết cục giao; nút xác nhận vô hiệu hoá đến khi đủ ảnh." BR07-03: "Với ba lựa chọn khác 'Người nhận': tên người nhận thay là bắt buộc (2–60 ký tự), số điện thoại là khuyến nghị. Quầy lễ tân/bảo vệ vẫn phải nhập tên người trực — không cho ghi chung chung." BR07-04: "Người nhận uỷ quyền do người gửi chỉ định lúc đăng tin, hoặc do người nhận / người gửi chỉ định tại hiện trường; ứng dụng luôn ghi rõ ai uỷ quyền. Người vận chuyển không tự chọn người nhận thay." BR07-05: "Trường 'Uỷ quyền bởi' tự sinh: 'Người nhận' khi đến từ màn Xác nhận giao hàng, 'Người gửi' khi đến từ màn Liên hệ người gửi. Chỉ đọc." BR07-06: "Mọi thao tác ghi mốc không thể hoàn tác đều qua popup xác nhận nêu rõ hệ quả trước khi ghi." BR07-07: "Ảnh bằng chứng không xoá được sau khi đơn đã ghi mốc (phục vụ truy vết).</t>
  </si>
  <si>
    <t xml:space="preserve">DOC-v1.1-01 §8.7 "FR07", §8.7.1 BR07-01..07, §8.7.3 UI/Field Spec · trang 39-41</t>
  </si>
  <si>
    <t xml:space="preserve">REQ-DLV-018</t>
  </si>
  <si>
    <t xml:space="preserve">Description: "Cung cấp đường xử lý chuẩn khi người vận chuyển tới nơi mà không liên lạc được người nhận, thay vì để họ tự quyết định."  BR08-01: "Người vận chuyển không được tự ý để hàng ở nơi khác mà không đi qua luồng này." BR08-02: "Thứ tự ưu tiên xử lý (màn hình sắp xếp đúng thứ tự này): (1) giao cho người uỷ quyền người gửi đã khai sẵn → (2) liên hệ người gửi xin uỷ quyền người khác → (3) gửi quầy lễ tân/chốt bảo vệ → (4) cầm hàng về." BR08-03: "Màn 'Liên hệ người gửi': ô tên và số điện thoại người nhận thay để trống (không prefill), dòng 'Uỷ quyền bởi: Người gửi', ảnh bắt buộc; hiển thị số điện thoại người gửi có thể bấm gọi." BR08-04: "Hai phương án gửi quầy: bắt buộc ≥ 1 ảnh và tên người trực quầy, ghi chú tuỳ chọn, có popup xác nhận trước khi ghi." BR08-05: "Đơn có cờ không liên lạc được người nhận thì hiện cảnh báo trong nhật ký cho cả ba bên." BR08-06: "Thời hạn giữ hàng tại quầy: nhắc người nhận sau 4 giờ và cuối ngày; sau 24 giờ chưa xác nhận thì chuyển admin hỗ trợ." BR08-07: "Nếu không có ai ở quầy để ghi tên thì không xác nhận được — buộc chuyển sang 'Cầm hàng về'.</t>
  </si>
  <si>
    <t xml:space="preserve">DOC-v1.1-01 §8.8 "FR08", §8.8.1 BR08-01..07, §8.8.2 UI/Field Spec · trang 41-42</t>
  </si>
  <si>
    <t xml:space="preserve">REQ-DLV-019</t>
  </si>
  <si>
    <t xml:space="preserve">Description: "Khi không giao được, người vận chuyển cầm hàng về và hẹn lịch rõ ràng: giao lại sau, hoặc trả hàng về cho người gửi. Đơn không bị huỷ."  BR09-01: "'Cầm hàng về' không phải huỷ đơn — đơn vẫn sống ở RESCHEDULED/RETURNING và bắt buộc có lịch hẹn." BR09-02: "Bắt buộc chọn chế độ: giao lại sau (`retry`) hoặc trả về người gửi (`return`)." BR09-03: "Lịch hẹn dùng giờ chính xác (không dùng buổi)... giờ đến &gt; giờ từ, tối thiểu 30 phút." BR09-04: "Lịch hẹn phải trong vòng 7 ngày kể từ ngày cầm hàng về; quá lịch hẹn 24 giờ mà đơn chưa đóng thì chuyển admin hỗ trợ." BR09-05: "Chế độ `retry`: theo lịch hẹn, đơn quay lại IN_TRANSIT và người vận chuyển giao lại theo FR07." BR09-06: "Chế độ `return`: người gửi bấm 'Xác nhận đã nhận lại hàng' → RETURNED. Đơn RETURNED không mở bước tặng quà và không cộng vào 'Đơn đã giúp' của người vận chuyển, nhưng vẫn nằm trong lịch sử đơn." BR09-07: "Người nhận từ chối nhận hàng: người vận chuyển chọn chế độ `return`, ghi lý do vào ghi chú.</t>
  </si>
  <si>
    <t xml:space="preserve">DOC-v1.1-01 §8.9 "FR09", §8.9.1 BR09-01..07, §8.9.2 UI/Field Spec · trang 42-43</t>
  </si>
  <si>
    <t xml:space="preserve">REQ-DLV-020</t>
  </si>
  <si>
    <t xml:space="preserve">Giao tận tay người nhận → 'Đã giao tận tay người nhận'" "Giao cho người được uỷ quyền → 'Đã giao cho người được uỷ quyền — {tên · SĐT} — uỷ quyền bởi {người gửi/người nhận}'" "Gửi quầy lễ tân → 'Đã gửi tại quầy lễ tân — {tên người trực quầy}'" "Gửi quầy/chốt bảo vệ → 'Đã gửi tại quầy bảo vệ — {tên người trực}'" "Cầm hàng về, hẹn giao lại → 'Cầm hàng về — hẹn giao lại {ngày · giờ · nơi hẹn}'" "Trả về người gửi → 'Đã trả lại người gửi'" "Mọi dòng | Kèm thời điểm, cờ 'không liên lạc được người nhận' (nếu có) và dấu hiệu 'có ảnh bằng chứng'.</t>
  </si>
  <si>
    <t xml:space="preserve">DOC-v1.1-01 §8.12.4 "Nội dung dòng nhật ký theo kết cục giao" · trang 46</t>
  </si>
  <si>
    <t xml:space="preserve">REQ-DLV-021</t>
  </si>
  <si>
    <t xml:space="preserve">BR12-01: "Chỉ được đi theo chuyển tiếp hợp lệ ở bảng 8.12.2 — mọi request sai trạng thái bị từ chối và không ghi mốc." BR12-02: "Không nhảy bậc: không DELIVERED khi chưa IN_TRANSIT, không COMPLETED khi chưa DELIVERED." BR12-03: "Mỗi lần đổi trạng thái ghi: trạng thái cũ → mới, actor, thời điểm, ảnh kèm — không sửa, không xoá được." BR12-07: "Admin có quyền can thiệp hỗ trợ dựa trên nhật ký; mọi can thiệp cũng được ghi nhật ký.</t>
  </si>
  <si>
    <t xml:space="preserve">DOC-v1.1-01 §8.12.1 "FR12" BR12-01, BR12-02, BR12-03, BR12-07 · trang 44-45</t>
  </si>
  <si>
    <t xml:space="preserve">REQ-DLV-022</t>
  </si>
  <si>
    <t xml:space="preserve">NFR-03 | Performance | "Tải 5 ảnh bằng chứng (mỗi ảnh ≤ 5MB) hoàn tất &lt; 15 giây (p95) trên 4G; có chỉ báo tiến trình và cho phép thử lại từng ảnh." | Cách đo: "Test trên thiết bị thật + APM." NFR-07 | Data Integrity | "Bản ghi nhật ký đơn là chỉ-thêm (append-only): không API nào cho phép sửa hoặc xoá bản ghi và ảnh bằng chứng đã ghi." | Cách đo: "Code review + security test." NFR-12 | Privacy | "Dữ liệu người nhận thay (tên · số điện thoại) chỉ dùng làm bằng chứng bàn giao; không xuất hiện ở bất kỳ báo cáo/thống kê nào ngoài nhật ký đơn." | Cách đo: "Code review + kiểm tra báo cáo.</t>
  </si>
  <si>
    <t xml:space="preserve">DOC-v1.1-01 §9 "Non-Functional Requirements" · NFR-03, NFR-07, NFR-12 · trang 53-54</t>
  </si>
  <si>
    <t xml:space="preserve">REQ-DLV-023</t>
  </si>
  <si>
    <t xml:space="preserve">↪ *Quote `BR18-04` (icon copy) — home ở `../ORD-dang-tin/requirement_traceability.md` (không chép lại — tránh lặp home, health-check G-03 2026-09-17)*</t>
  </si>
  <si>
    <t xml:space="preserve">DOC-v1.1-01 §8.18.1 "FR18" BR18-04 · trang 52</t>
  </si>
  <si>
    <t xml:space="preserve">REQ-FEED-001</t>
  </si>
  <si>
    <t xml:space="preserve">DOC-v1.0-02</t>
  </si>
  <si>
    <t xml:space="preserve">REQ-FEED-004</t>
  </si>
  <si>
    <t xml:space="preserve">DOC-v1.0-01 · DOC-v1.0-02</t>
  </si>
  <si>
    <t xml:space="preserve">REQ-FEED-005</t>
  </si>
  <si>
    <t xml:space="preserve">REQ-FEED-009</t>
  </si>
  <si>
    <t xml:space="preserve">DOC-v1.1-01 · DOC-v1.0-06</t>
  </si>
  <si>
    <t xml:space="preserve">REQ-GIFT-001</t>
  </si>
  <si>
    <t xml:space="preserve">Nguồn (v1.0) — `DOC-v1.0-01 §D3 GIFT-01 · L258` + `§A7 L107-108`: "Người gửi tặng quà ảo cảm ơn người vận chuyển sau khi đơn hoàn thành. 4 loại quà phi vật chất.</t>
  </si>
  <si>
    <t xml:space="preserve">DOC-v1.1-01 §8.14.1 BR14-01 · trang 49</t>
  </si>
  <si>
    <t xml:space="preserve">REQ-GIFT-002</t>
  </si>
  <si>
    <t xml:space="preserve">Nguồn (v1.0) — `DOC-v1.0-01 §D4 BR-GIFT-01 · L271`: "Quà gửi một chiều, không cần người nhận xác nhận.</t>
  </si>
  <si>
    <t xml:space="preserve">DOC-v1.1-01 §8.14.1 BR14-02 · trang 49</t>
  </si>
  <si>
    <t xml:space="preserve">REQ-GIFT-004</t>
  </si>
  <si>
    <t xml:space="preserve">Nguồn (v1.0) — `DOC-v1.0-01 §D1b US-D20 · L196` + `KP-01 §6 KB-GIFT-03`: "Người vận chuyển xem 'Quà đã nhận'. (Có danh sách lịch sử hay chỉ card đếm — chưa rõ.)</t>
  </si>
  <si>
    <t xml:space="preserve">DOC-v1.1-01 §6.2 AC-26.1.01 · trang 27</t>
  </si>
  <si>
    <t xml:space="preserve">REQ-GIFT-007</t>
  </si>
  <si>
    <t xml:space="preserve">Nguồn (v1.0) — `DOC-v1.0-06 KP-02 §5 dòng C-ORD-06` ⇒ text empty state **chưa chốt** (từng Resolved 2026-07-28 rồi **REVERT** 2026-07-29 vì chốt không kèm bằng chứng).</t>
  </si>
  <si>
    <t xml:space="preserve">DOC-v1.1-01 §8.17.1 EMP-08 · trang 51</t>
  </si>
  <si>
    <t xml:space="preserve">REQ-GIFT-005</t>
  </si>
  <si>
    <t xml:space="preserve">Nguồn (v1.0) — `DOC-v1.0-01 §D3 RAT-01/02 · L256` ⇒ `C-GIFT-01` Resolved: *"Out of scope **v1.0**; v1.0 chỉ có Quà ảo"*.</t>
  </si>
  <si>
    <t xml:space="preserve">REQ-GIFT-009</t>
  </si>
  <si>
    <t xml:space="preserve">Nguồn #1 — FR14 Pre-Conditions (§8.14): "Đơn ở COMPLETED (đơn RETURNED không mở bước này)</t>
  </si>
  <si>
    <t xml:space="preserve">DOC-v1.1-01 §8.14 dòng Pre-Conditions · trang 48-49</t>
  </si>
  <si>
    <t xml:space="preserve">REQ-HOME-004</t>
  </si>
  <si>
    <t xml:space="preserve">[qua SC-HOME-008] `C-HOME-06` — "a. 0 / b. toàn hệ thống, người tham gia / c. realtime" (`CL-hoi-BA-v1.1.xlsx` sheet `HOME`)</t>
  </si>
  <si>
    <t xml:space="preserve">DOC-v1.1-01</t>
  </si>
  <si>
    <t xml:space="preserve">REQ-HOME-011</t>
  </si>
  <si>
    <t xml:space="preserve">US11: "Là Người vận chuyển, tôi muốn xem tối đa 5 tin cần gửi mới nhất trên trang chủ, để nhanh chóng thấy tin thuận tuyến mà không phải tìm."  AC-11.1.01 — Given: "Trong khu vực của người dùng có 12 tin NEED đang ở POSTED." — When: "Mở trang chủ." — Then: "Khối 'Tin mới' hiển thị đúng 5 tin mới nhất. Có nút 'Xem thêm trên Bảng tin'. Tin đã MATCHED, EXPIRED hoặc tin của chính người dùng không nằm trong danh sách gợi ý."  AC-11.2.01 — Given: "Không có tin NEED nào ở POSTED trong khu vực của người dùng." — When: "Mở trang chủ." — Then: "Khối 'Tin mới' hiển thị empty state: icon nét mảnh + 'Chưa có tin nào trong khu vực của bạn' + một dòng giải thích + đúng một CTA 'Đăng tin ngay'. Không hiện skeleton kéo dài; phân biệt rõ đang tải và không có dữ liệu.</t>
  </si>
  <si>
    <t xml:space="preserve">DOC-v1.1-01 §6.1 "Danh sách User Story" · US11 · trang 12</t>
  </si>
  <si>
    <t xml:space="preserve">REQ-HOME-012</t>
  </si>
  <si>
    <t xml:space="preserve">Description: "Đặc tả nội dung hiển thị khi chưa có dữ liệu, để người dùng mới hiểu cần làm gì thay vì tưởng ứng dụng bị lỗi."  §8.17.1 (bảng, 3 dòng liên quan Trang chủ): EMP-01 | Trang chủ — Tin mới | "Chưa có tin nào trong khu vực của bạn" + "Đăng tin để đồng nghiệp nhìn thấy nhu cầu của bạn" | CTA "Đăng tin ngay" EMP-02 | Trang chủ — Đơn của tôi | "Bạn chưa có đơn nào đang chạy" | CTA "Tạo đơn gửi hàng" EMP-03 | Trang chủ — Hero &amp; cộng đồng | Hero hiện "0 · Chưa có đóng góp nào"; cụm cộng đồng hiện "0 đơn · 0 người" | CTA "—"  BR17-01: "Mỗi empty state gồm: icon nét mảnh màu neutral + một dòng tiêu đề + một dòng giải thích + tối đa một CTA." BR17-02: "Không dùng ảnh minh hoạ nặng; không hiện skeleton vô hạn — phân biệt rõ đang tải và không có dữ liệu." BR17-03: "Empty state không được che thanh tab dưới và vẫn cuộn được.</t>
  </si>
  <si>
    <t xml:space="preserve">DOC-v1.1-01 §8.17 "FR17 — Trạng thái trống (Empty state)" · §8.17.1 "Danh mục empty state" · trang 51</t>
  </si>
  <si>
    <t xml:space="preserve">REQ-HOME-013</t>
  </si>
  <si>
    <t xml:space="preserve">NFR01 | Performance | "Bảng tin và trang chủ hiển thị nội dung đầu tiên &lt; 2 giây (p95) trên mạng 4G với 1.000 người dùng đồng thời." | Cách đo: "Load test trước go-live.</t>
  </si>
  <si>
    <t xml:space="preserve">DOC-v1.1-01 §9 "Non-Functional Requirements" · NFR01 · trang 53</t>
  </si>
  <si>
    <t xml:space="preserve">REQ-NTF-003</t>
  </si>
  <si>
    <t xml:space="preserve">NTF-06 | Người nhận "Xác nhận đã nhận hàng" (COMPLETED) | Người gửi · Người vận chuyển | "Đơn đã hoàn tất — cảm ơn bạn!"" (mâu thuẫn với `DOC-v1.0-06 KP-07` hàng #6 — Figma/PRD-demo ghi *"Đơn đã hoàn thành — đánh giá ngay"*)</t>
  </si>
  <si>
    <t xml:space="preserve">DOC-v1.1-01 §8.13.1 · page 48</t>
  </si>
  <si>
    <t xml:space="preserve">REQ-NTF-005</t>
  </si>
  <si>
    <t xml:space="preserve">SĐT chỉ lộ sau khi ghép, chỉ cho đúng 2 người trong cặp; không đưa SĐT vào nội dung push</t>
  </si>
  <si>
    <t xml:space="preserve">DOC-v1.1-01 §8.13.1 · page 47-48</t>
  </si>
  <si>
    <t xml:space="preserve">REQ-NTF-010</t>
  </si>
  <si>
    <t xml:space="preserve">Danh sách sự kiện bắn thông báo dựa trên flow &amp; màn hình hiện có của prototype. **Nháp — chờ BA review &amp; bổ sung.**</t>
  </si>
  <si>
    <t xml:space="preserve">DOC-v1.1-01 §8.13 · §8.13.1 · page 47-48</t>
  </si>
  <si>
    <t xml:space="preserve">REQ-NTF-012</t>
  </si>
  <si>
    <t xml:space="preserve">NTF-10 | Giao cho người được uỷ quyền | Người nhận · Người gửi | "Hàng đã được giao cho {tên người nhận thay} (uỷ quyền bởi {người gửi/người nhận}) — có ảnh bằng chứng""
"NTF-11 | Gửi tại quầy lễ tân / bảo vệ | Người nhận · Người gửi | "Hàng đang được giữ tại {quầy lễ tân/bảo vệ} — người giữ: {tên} — vui lòng nhận trong hôm nay""
"NTF-12 | Người vận chuyển không liên lạc được người nhận | Người gửi | "Người vận chuyển không liên lạc được người nhận — cần bạn xác nhận uỷ quyền cho người khác nhận hàng""
"NTF-13 | Người vận chuyển chọn hẹn giao lại (RESCHEDULED) | Người nhận · Người gửi | "Người vận chuyển sẽ giao lại vào {ngày · giờ} tại {nơi hẹn}""
"NTF-14 | Người vận chuyển chọn trả hàng về người gửi (RETURNING) | Người gửi · Người nhận | "Hàng được cầm về — vui lòng nhận lại vào {ngày · giờ} tại {nơi hẹn}""
"NTF-15 | Người gửi xác nhận đã nhận lại hàng (RETURNED) | Người vận chuyển · Người nhận | "Đơn đã đóng — hàng đã được trả lại người gửi</t>
  </si>
  <si>
    <t xml:space="preserve">REQ-ORD-003</t>
  </si>
  <si>
    <t xml:space="preserve">Nguồn (v1.0) — `DOC-v1.0-01 §D8.1 ORD-01 · L357` + `KP-01 §10.2/§10.3` (quan sát app): **3 nguồn cho 3 danh mục khác nhau**; app STG có 8 chip nhưng chip đầu là **"Giấy tờ, hồ sơ"**, ⛔ **không có chip "Tài liệu"**.</t>
  </si>
  <si>
    <t xml:space="preserve">DOC-v1.1-01 §8.1.4 UI/Field Spec, dòng "Loại hàng" · trang 35</t>
  </si>
  <si>
    <t xml:space="preserve">REQ-ORD-006</t>
  </si>
  <si>
    <t xml:space="preserve">Nguồn (v1.0) — `DOC-v1.0-01 §D8.1 dòng "Ảnh sản phẩm" · L360`: có field ảnh, **không nêu bắt buộc hay không**, không nêu trần.</t>
  </si>
  <si>
    <t xml:space="preserve">DOC-v1.1-01 §8.1.1 BR01-01 · trang 33</t>
  </si>
  <si>
    <t xml:space="preserve">REQ-ORD-007</t>
  </si>
  <si>
    <t xml:space="preserve">Nguồn (v1.0) — `KP-01 §10.5/§10.6/§10.10` (quan sát app): **địa chỉ lấy hàng KHÔNG được pre-fill** ⇒ `C-ORD-10` mở: *"bug hay tài khoản test chưa cấu hình?"*</t>
  </si>
  <si>
    <t xml:space="preserve">DOC-v1.1-01 §8.1.4 UI/Field Spec · trang 35</t>
  </si>
  <si>
    <t xml:space="preserve">REQ-ORD-010</t>
  </si>
  <si>
    <t xml:space="preserve">Nguồn (v1.0) — `DOC-v1.0-01 §D3 LOC-03 L246` + `KP-01 §3 KB-ORD-06` ⇒ `C-ORD-11` Open: *"preset 6 văn phòng / không chip gợi ý / autocomplete?"*</t>
  </si>
  <si>
    <t xml:space="preserve">DOC-v1.1-01 §8.1.4 dòng "Địa chỉ lấy hàng" · trang 35</t>
  </si>
  <si>
    <t xml:space="preserve">REQ-ORD-011</t>
  </si>
  <si>
    <t xml:space="preserve">Nguồn (v1.0) — `DOC-v1.0-01 §D8.1 L370-371`: có Từ ngày / Đến ngày, **không nêu trần khoảng ngày**.</t>
  </si>
  <si>
    <t xml:space="preserve">DOC-v1.1-01 §8.1.1 BR01-04 · trang 34</t>
  </si>
  <si>
    <t xml:space="preserve">REQ-ORD-012</t>
  </si>
  <si>
    <t xml:space="preserve">Nguồn (v1.0) — `DOC-v1.0-01 §D8.1 dòng "Khung giờ" · L372` + `KP-01 §10.11`: có khung giờ, **chưa rõ enum và quy tắc loại trừ**.</t>
  </si>
  <si>
    <t xml:space="preserve">DOC-v1.1-01 §8.1.1 BR01-04 / BR01-05 · trang 34</t>
  </si>
  <si>
    <t xml:space="preserve">REQ-ORD-015</t>
  </si>
  <si>
    <t xml:space="preserve">Nguồn (v1.0) — `DOC-v1.0-02 §3.5.4` + `DOC-v1.0-04` (**2 biến thể mockup**) ⇒ `C-ORD-05` Open: *"Màn 'Đăng tin thành công' có 'Mã tin' hay không?"*</t>
  </si>
  <si>
    <t xml:space="preserve">DOC-v1.1-01 §6.2 AC-07.1.01 · trang 18</t>
  </si>
  <si>
    <t xml:space="preserve">REQ-ORD-016</t>
  </si>
  <si>
    <t xml:space="preserve">Nguồn (v1.0) — `DOC-v1.0-01 §D8.2 L379-386` + `KP-01 §3 KB-ORD-11`: form OFFER 1 trang, tin không công khai.</t>
  </si>
  <si>
    <t xml:space="preserve">DOC-v1.1-01 §8.2 · trang 36</t>
  </si>
  <si>
    <t xml:space="preserve">REQ-ORD-017</t>
  </si>
  <si>
    <t xml:space="preserve">Nguồn (v1.0) — `DOC-v1.0-01 §D3 ORD-10 L252` · `§D4 BR-EDIT-01 L269` · `§D7 OPR-10 L346`: chỉ sửa khi còn "Chờ ghép".</t>
  </si>
  <si>
    <t xml:space="preserve">DOC-v1.1-01 §8.5.1 BR05-01 / BR05-02 · trang 38</t>
  </si>
  <si>
    <t xml:space="preserve">REQ-ORD-018</t>
  </si>
  <si>
    <t xml:space="preserve">Nguồn (v1.0) — `DOC-v1.0-01 §D3 ORD-06 L244` + `KP-01 §3 KB-ORD-02` ⇒ `C-ORD-03` Resolved: hạn tin = **giá trị "Đến ngày"** user chọn.</t>
  </si>
  <si>
    <t xml:space="preserve">REQ-ORD-021</t>
  </si>
  <si>
    <t xml:space="preserve">Nguồn (v1.0) — `DOC-v1.0-06 KP-02 §5 dòng C-ORD-08` ⇒ Open: *"Thoát/Reset giữa wizard có xoá form?"*</t>
  </si>
  <si>
    <t xml:space="preserve">DOC-v1.1-01 §6.2 AC-01.2.01 · trang 17</t>
  </si>
  <si>
    <t xml:space="preserve">REQ-ORD-024</t>
  </si>
  <si>
    <t xml:space="preserve">Nguồn #1 — BR01-02 (§8.1.1, trang 34): "Khối lượng và kích thước là bắt buộc — dùng để người vận chuyển tự lượng sức; ứng dụng không chặn theo ngưỡng.</t>
  </si>
  <si>
    <t xml:space="preserve">DOC-v1.1-01 §8.1.1 BR01-02 · trang 34</t>
  </si>
  <si>
    <t xml:space="preserve">REQ-ORD-026</t>
  </si>
  <si>
    <t xml:space="preserve">BR18-03 | Nơi hiển thị nhiều ảnh dùng carousel lướt ngang có badge đếm "2/5"; chạm ảnh mở lightbox nền tối giữ đúng tỉ lệ, có nút đóng và chạm nền để đóng.</t>
  </si>
  <si>
    <t xml:space="preserve">DOC-v1.1-01 §8.18.1 BR18-03 · trang 52</t>
  </si>
  <si>
    <t xml:space="preserve">REQ-ORD-008</t>
  </si>
  <si>
    <t xml:space="preserve">Nguồn (v1.0) — `DOC-v1.0-01 §D3 USR-EML L253` + `§D8.1 L366`: có field email người nhận, **autofill** được nhắc nhưng không nêu nguồn dữ liệu.</t>
  </si>
  <si>
    <t xml:space="preserve">DOC-v1.1-01 §8.1.1 BR01-09 · trang 34</t>
  </si>
  <si>
    <t xml:space="preserve">REQ-ORD-023</t>
  </si>
  <si>
    <t xml:space="preserve">Nguồn #1 — BR01-06 (§8.1.1, trang 34): "Người nhận uỷ quyền là không bắt buộc; nếu có thì tên 2–60 ký tự, số điện thoại đúng định dạng Việt Nam khi được nhập.</t>
  </si>
  <si>
    <t xml:space="preserve">DOC-v1.1-01 §8.1.1 BR01-06 · trang 34</t>
  </si>
  <si>
    <t xml:space="preserve">REQ-ORD-028</t>
  </si>
  <si>
    <t xml:space="preserve">Địa chỉ giao hàng | Có | Văn bản · tự điền từ danh bạ | Không để trống; phải khác địa chỉ lấy hàng</t>
  </si>
  <si>
    <t xml:space="preserve">DOC-v1.1-01 §8.1.4 UI/Field Spec, dòng "Địa chỉ giao hàng" · trang 35</t>
  </si>
  <si>
    <t xml:space="preserve">REQ-ORD-009</t>
  </si>
  <si>
    <t xml:space="preserve">Nguồn (v1.0) — `DOC-v1.0-01 §D8.1 L367-369` + `DOC-v1.0-02 §3.5.2`: 3 trường người nhận (tên · SĐT · địa chỉ giao), chưa nêu ràng buộc liên-trường.</t>
  </si>
  <si>
    <t xml:space="preserve">DOC-v1.1-01 §8.1.4 UI/Field Spec, nhóm người nhận · trang 35</t>
  </si>
  <si>
    <t xml:space="preserve">REQ-ORD-025</t>
  </si>
  <si>
    <t xml:space="preserve">BR18-04 | Icon copy đặt cạnh địa chỉ giao và số điện thoại ở màn chi tiết tin và màn theo dõi đơn; sau khi copy, icon đổi trạng thái và màu xanh trong khoảng 1,8 giây.</t>
  </si>
  <si>
    <t xml:space="preserve">DOC-v1.1-01 §8.18.1 BR18-04 · trang 52</t>
  </si>
  <si>
    <t xml:space="preserve">REQ-ORD-027</t>
  </si>
  <si>
    <t xml:space="preserve">BR18-05 | Ảnh đã gắn vào một mốc nhật ký thì không xoá được (phục vụ truy vết).</t>
  </si>
  <si>
    <t xml:space="preserve">DOC-v1.1-01 §8.18.1 BR18-05 · trang 52</t>
  </si>
  <si>
    <t xml:space="preserve">REQ-TS-006</t>
  </si>
  <si>
    <t xml:space="preserve">Nguồn #1 — Description (§8.16): "Kênh tiếp nhận sự cố/góp ý ở Phase 1: mở Google Form trong WebView với ngữ cảnh đơn được điền sẵn, không xây back-office trong ứng dụng.</t>
  </si>
  <si>
    <t xml:space="preserve">DOC-v1.1-01 §8.16 "FR16 — Báo cáo sự cố &amp; hỗ trợ" · trang 50-51</t>
  </si>
  <si>
    <t xml:space="preserve">REQ-USR-002</t>
  </si>
  <si>
    <t xml:space="preserve">Nguồn (v1.0) — `DOC-v1.0-01 §A6 USR-02 · L100`: "USR-02 | Xem/cập nhật hồ sơ: tên, SĐT, avatar, phòng ban, khu vực/văn phòng, kênh liên hệ"  ⇒ `C-USR-03` Resolved 2026-07-24 theo **quan sát app STG**: *"KHÔNG (view-only)"*; `SC-USR-003` là SC negative bảo vệ kết luận đó.</t>
  </si>
  <si>
    <t xml:space="preserve">DOC-v1.1-01 §8.15 · trang 48</t>
  </si>
  <si>
    <t xml:space="preserve">REQ-USR-007</t>
  </si>
  <si>
    <t xml:space="preserve">[qua SC-USR-007] ↪ *Quote `BR14-03` / `AC-26.1.01` / `§4 Out of Scope` — home ở `risk_assessment.md` · `C-USR-06`*</t>
  </si>
  <si>
    <t xml:space="preserve">DOC-v1.1-01 §8.14.1 BR14-03 · trang 48</t>
  </si>
  <si>
    <t xml:space="preserve">REQ-USR-006</t>
  </si>
  <si>
    <t xml:space="preserve">Nguồn (v1.0) — `DOC-v1.0-02 §3.9` + `KP-01 §2 KB-USR-04` ⇒ `C-USR-04` Open: *"Nhãn mục menu thứ hai + 3 trường hồ sơ chưa có bằng chứng UI"*; `SC-USR-012` là SC dạng `[GAP]`.</t>
  </si>
  <si>
    <t xml:space="preserve">DOC-v1.1-01 §8.15 dòng Trigger · trang 48</t>
  </si>
  <si>
    <t xml:space="preserve">REQ-USR-008</t>
  </si>
  <si>
    <t xml:space="preserve">Nguồn #1 — Description + Trigger (§8.15, trang 48): "Cho phép sửa số điện thoại và địa chỉ mặc định dùng để prefill khi đăng tin; các trường đồng bộ từ SSO là chỉ đọc." "Trigger: Mở "Cập nhật thông tin" trong trang cá nhân (nằm dưới mục "Quà đã nhận")</t>
  </si>
  <si>
    <t xml:space="preserve">DOC-v1.1-01 §8.15 "FR15 — Hồ sơ &amp; cập nhật thông tin" · trang 48-49</t>
  </si>
  <si>
    <t xml:space="preserve">REQ-USR-009</t>
  </si>
  <si>
    <t xml:space="preserve">Nguồn #1 — `BR15-03` (§8.15.1, trang 49): "Sửa hồ sơ không làm thay đổi các đơn đã tạo — đơn giữ nguyên số điện thoại/địa chỉ tại thời điểm đăng.</t>
  </si>
  <si>
    <t xml:space="preserve">DOC-v1.1-01 §8.15.1 BR15-03 · trang 49</t>
  </si>
  <si>
    <t xml:space="preserve">REQ-USR-010</t>
  </si>
  <si>
    <t xml:space="preserve">Nguồn #1 — `BR15-04` (§8.15.1, trang 49): "Giá trị mặc định được prefill vào ô số điện thoại người gửi và địa chỉ lấy hàng ở lần đăng tin sau; người dùng vẫn sửa trong từng đơn mà không ghi lại hồ sơ.</t>
  </si>
  <si>
    <t xml:space="preserve">DOC-v1.1-01 §8.15.1 BR15-04 · trang 49</t>
  </si>
  <si>
    <t xml:space="preserve">Ghi chú: Số liệu tự đếm trên TẤT CẢ sheet Test Case (khớp theo Req ID nên 1 TC gắn nhiều Req vẫn được tính cho từng Req). Số TC = Pass + Fail + Block + N/A + chưa chạy · % phủ = Đã chạy / Số TC (đã chạy gồm cả Block/N-A) — là độ phủ TRÊN TẬP REQ CÓ TC, không phải trên toàn bộ REQ của tài liệu. Trạng thái theo thứ tự ưu tiên: Chưa có TC (gap) → Có lỗi (Fail) → Bị block → Đang test → Không áp dụng (N/A) → Đã test xong.</t>
  </si>
  <si>
    <t xml:space="preserve">Mã chức năng</t>
  </si>
  <si>
    <t xml:space="preserve">Tên chức năng</t>
  </si>
  <si>
    <t xml:space="preserve">TRACEABILITY</t>
  </si>
  <si>
    <t xml:space="preserve">TEST DESIGN</t>
  </si>
  <si>
    <t xml:space="preserve">ROUND 1</t>
  </si>
  <si>
    <t xml:space="preserve">ROUND 2</t>
  </si>
  <si>
    <t xml:space="preserve">ROUND 3</t>
  </si>
  <si>
    <t xml:space="preserve">ROUND 4</t>
  </si>
  <si>
    <t xml:space="preserve">ROUND 5</t>
  </si>
  <si>
    <t xml:space="preserve">KẾT QUẢ TỔNG</t>
  </si>
  <si>
    <t xml:space="preserve">Testcase ID</t>
  </si>
  <si>
    <t xml:space="preserve">DOC Source</t>
  </si>
  <si>
    <t xml:space="preserve">Test Title
(Nội dung test)</t>
  </si>
  <si>
    <t xml:space="preserve">Pre-condition
(Điều kiện/Dữ liệu)</t>
  </si>
  <si>
    <t xml:space="preserve">Test Steps
(Các bước)</t>
  </si>
  <si>
    <t xml:space="preserve">Expected Result
(Kết quả mong đợi)</t>
  </si>
  <si>
    <t xml:space="preserve">Origin</t>
  </si>
  <si>
    <t xml:space="preserve">Kết quả</t>
  </si>
  <si>
    <t xml:space="preserve">Executed By</t>
  </si>
  <si>
    <t xml:space="preserve">ID Bugs</t>
  </si>
  <si>
    <t xml:space="preserve">Vibe-test
(tổng)</t>
  </si>
  <si>
    <t xml:space="preserve">KQ Script
(tổng)</t>
  </si>
  <si>
    <t xml:space="preserve">Remark</t>
  </si>
  <si>
    <t xml:space="preserve">▬▬  1. Nhãn màn và hai tab  ·  1 TC (TC-ACT-001)</t>
  </si>
  <si>
    <t xml:space="preserve">DOC-v1.1-01 · DOC-v1.1-02</t>
  </si>
  <si>
    <t xml:space="preserve">Check màn Hoạt động dùng đúng bộ nhãn của app cho tên màn và hai tab</t>
  </si>
  <si>
    <t xml:space="preserve">- Tài khoản A là CBNV có hồ sơ đầy đủ trên STG.
- Host app FoxPro đã cài trên thiết bị Android/iOS.</t>
  </si>
  <si>
    <t xml:space="preserve">1. Đăng nhập FoxEco từ host app FoxPro. (setup)
2. Nhấn tab "Hoạt động" ở bottom nav. (setup)
3. Check nhãn mục vừa nhấn ở bottom nav, tiêu đề màn và hàng tab con phía trên danh sách.</t>
  </si>
  <si>
    <t xml:space="preserve">3. Nhãn bottom nav là "Hoạt động"; tiêu đề màn là "Đơn của tôi"; hàng tab con có đúng 2 tab "Đang diễn ra" và "Đã hoàn thành", không có tab con thứ ba.</t>
  </si>
  <si>
    <t xml:space="preserve">AI</t>
  </si>
  <si>
    <t xml:space="preserve">▬▬  2. Dữ liệu tab Đã hoàn thành  ·  2 TC (TC-ACT-005…TC-ACT-015)</t>
  </si>
  <si>
    <t xml:space="preserve">Check tab Đã hoàn thành chứa đủ cả ba loại đơn kết thúc</t>
  </si>
  <si>
    <t xml:space="preserve">- Tài khoản A là CBNV có hồ sơ đầy đủ trên STG, đã seed sẵn `SEED-ACT-03` (xem §0.4).
- Host app FoxPro đã cài trên thiết bị Android/iOS.</t>
  </si>
  <si>
    <t xml:space="preserve">1. Đăng nhập FoxEco và nhấn tab "Hoạt động". (setup)
2. Nhấn tab con "Đã hoàn thành". (setup)
3. Check badge trạng thái của từng card trong danh sách.</t>
  </si>
  <si>
    <t xml:space="preserve">3. Danh sách có đủ ba card mang badge "Hoàn thành", "Hết hạn" và badge của đơn đã trả lại người gửi; KHÔNG có card nào badge "Chờ ghép", "Đã ghép", "Đang giao" hay "Đã giao".</t>
  </si>
  <si>
    <t xml:space="preserve">Check đơn đã trả người gửi hiện kèm lý do còn đơn đã huỷ vẫn bị ẩn</t>
  </si>
  <si>
    <t xml:space="preserve">- Tài khoản A là CBNV có hồ sơ đầy đủ trên STG, đã seed sẵn `SEED-ACT-03` (xem §0.4) — gồm cặp đối chứng 1 đơn đã trả lại người gửi và 1 đơn "Đã huỷ".
- Host app FoxPro đã cài trên thiết bị Android/iOS.</t>
  </si>
  <si>
    <t xml:space="preserve">1. Đăng nhập FoxEco và nhấn tab "Hoạt động". (setup)
2. Nhấn tab con "Đã hoàn thành". (setup)
3. Nhấn tab con "Đang diễn ra" rồi rà toàn bộ danh sách. (setup)
4. Nhấn lại tab con "Đã hoàn thành" và check cả hai đơn của cặp đối chứng trong cùng một lượt xem.</t>
  </si>
  <si>
    <t xml:space="preserve">4. Đơn đã trả lại người gửi CÓ trong danh sách tab "Đã hoàn thành" và hiện lý do hoàn hàng trên card; đơn "Đã huỷ" KHÔNG xuất hiện ở cả hai tab.</t>
  </si>
  <si>
    <t xml:space="preserve">▬▬  3. Card đơn Hết hạn  ·  1 TC (TC-ACT-008)</t>
  </si>
  <si>
    <t xml:space="preserve">Check card đơn Hết hạn hiện badge và đúng chuỗi lý do chính thức</t>
  </si>
  <si>
    <t xml:space="preserve">- Tài khoản A là CBNV có hồ sơ đầy đủ trên STG, đã seed sẵn `SEED-ACT-03` (xem §0.4) — gồm đơn "Hết hạn" cần dev/QA chuẩn bị trước vì ⛔ không tạo được qua UI.
- Host app FoxPro đã cài trên thiết bị Android/iOS.</t>
  </si>
  <si>
    <t xml:space="preserve">1. Đăng nhập FoxEco, nhấn tab "Hoạt động" rồi nhấn tab con "Đã hoàn thành". (setup)
2. Check badge và dòng lý do trên card đơn "Hết hạn".</t>
  </si>
  <si>
    <t xml:space="preserve">2. Card hiển thị badge "Hết hạn" kèm dòng lý do đúng chuỗi "Không có ai nhận mang giúp trong thời gian đăng".</t>
  </si>
  <si>
    <t xml:space="preserve">▬▬  4. Empty state hai tab  ·  2 TC (TC-ACT-012…TC-ACT-014)</t>
  </si>
  <si>
    <t xml:space="preserve">Check empty state tab Đang diễn ra hiện đúng chuỗi và đúng một nút đăng tin</t>
  </si>
  <si>
    <t xml:space="preserve">- Tài khoản CBNV "trắng" trên STG = `SEED-ACT-02` (không có đơn nào ở trạng thái từ "Chờ ghép" đến "Đã giao") — dùng chung với `TC-ACT-014/016/017/018`, chuẩn bị 1 lần.
- Host app FoxPro đã cài trên thiết bị Android/iOS.</t>
  </si>
  <si>
    <t xml:space="preserve">1. Đăng nhập FoxEco bằng tài khoản "trắng". (setup)
2. Nhấn tab "Hoạt động". (setup)
3. Check vùng danh sách của tab "Đang diễn ra": icon, dòng tiêu đề, dòng giải thích và số lượng nút CTA.</t>
  </si>
  <si>
    <t xml:space="preserve">3. Vùng danh sách hiện icon nét mảnh màu neutral, dòng tiêu đề đúng chuỗi "Không có đơn đang thực hiện", 1 dòng giải thích, và đúng 1 nút CTA nhãn "Đăng tin gửi hàng".</t>
  </si>
  <si>
    <t xml:space="preserve">Check empty state tab Đã hoàn thành hiện đúng chuỗi không có CTA và ẩn hẳn khối lịch sử</t>
  </si>
  <si>
    <t xml:space="preserve">- Tài khoản CBNV "trắng" trên STG = `SEED-ACT-02` (chưa có đơn "Hoàn thành", "Hết hạn" hay đơn đã trả lại người gửi) — dùng chung với `TC-ACT-012/016/017/018`, không chuẩn bị lại.
- Host app FoxPro đã cài trên thiết bị Android/iOS.</t>
  </si>
  <si>
    <t xml:space="preserve">1. Đăng nhập FoxEco bằng tài khoản "trắng". (setup)
2. Nhấn tab "Hoạt động". (setup)
3. Nhấn tab con "Đã hoàn thành". (setup)
4. Check vùng danh sách: dòng tiêu đề, số lượng nút CTA và khu vực khối lịch sử.</t>
  </si>
  <si>
    <t xml:space="preserve">4. Vùng danh sách hiện dòng tiêu đề đúng chuỗi "Chưa có đơn hoàn tất", KHÔNG có nút CTA nào, và khối lịch sử bị ẩn hẳn chứ không hiện khung rỗng.</t>
  </si>
  <si>
    <t xml:space="preserve">▬▬  5. Dấu vết sao · điểm · tier  ·  1 TC (TC-ACT-013)</t>
  </si>
  <si>
    <t xml:space="preserve">Check card đơn Hoàn thành không còn dấu vết sao điểm tier hay chỉ số môi trường</t>
  </si>
  <si>
    <t xml:space="preserve">1. Đăng nhập FoxEco, nhấn tab "Hoạt động" rồi nhấn tab con "Đã hoàn thành". (setup)
2. Check toàn bộ nội dung hiển thị trên từng card đơn trong danh sách.</t>
  </si>
  <si>
    <t xml:space="preserve">2. KHÔNG card nào chứa chuỗi sao, điểm số, nhãn tier hay chỉ số môi trường.</t>
  </si>
  <si>
    <t xml:space="preserve">▬▬  6. Rule hình thức chung empty state  ·  3 TC (TC-ACT-016…TC-ACT-018)</t>
  </si>
  <si>
    <t xml:space="preserve">Check empty state không che thanh tab dưới ở cả hai tab rỗng</t>
  </si>
  <si>
    <t xml:space="preserve">- Tài khoản CBNV "trắng" trên STG = `SEED-ACT-02` (không có đơn nào ở cả 2 tab) — dùng chung với `TC-ACT-012/014/017/018`, không chuẩn bị lại.
- Host app FoxPro đã cài trên thiết bị Android/iOS.</t>
  </si>
  <si>
    <t xml:space="preserve">1. Đăng nhập FoxEco bằng tài khoản "trắng". (setup)
2. Nhấn tab "Hoạt động". (setup)
3. Nhấn lần lượt từng mục trên thanh tab dưới rồi quay lại tab "Hoạt động".
4. Nhấn tab con "Đã hoàn thành".
5. Nhấn lần lượt từng mục trên thanh tab dưới rồi quay lại tab "Hoạt động", và check thanh tab dưới ở cả hai tab con.</t>
  </si>
  <si>
    <t xml:space="preserve">5. Thanh tab dưới hiển thị đủ 5 mục và mọi mục đều nhấn được ở cả hai tab con, không mục nào bị empty state che lấp.</t>
  </si>
  <si>
    <t xml:space="preserve">Check màn vẫn cuộn được khi đang hiện empty state ở cả hai tab rỗng</t>
  </si>
  <si>
    <t xml:space="preserve">- Tài khoản CBNV "trắng" trên STG = `SEED-ACT-02` (không có đơn nào ở cả 2 tab) — dùng chung với `TC-ACT-012/014/016/018`, không chuẩn bị lại.
- Host app FoxPro đã cài trên thiết bị Android/iOS.</t>
  </si>
  <si>
    <t xml:space="preserve">1. Đăng nhập FoxEco bằng tài khoản "trắng". (setup)
2. Nhấn tab "Hoạt động". (setup)
3. Vuốt lên và vuốt xuống trên vùng danh sách của tab "Đang diễn ra".
4. Nhấn tab con "Đã hoàn thành".
5. Vuốt lên và vuốt xuống trên vùng danh sách, và check phản hồi cuộn của màn ở cả hai tab con.</t>
  </si>
  <si>
    <t xml:space="preserve">5. Màn phản hồi thao tác cuộn ở cả hai tab con, không bị khoá cứng tại chỗ.</t>
  </si>
  <si>
    <t xml:space="preserve">Check tab rỗng phân biệt rõ trạng thái đang tải với trạng thái không có dữ liệu</t>
  </si>
  <si>
    <t xml:space="preserve">- Tài khoản CBNV "trắng" trên STG = `SEED-ACT-02` (không có đơn nào ở cả 2 tab) — dùng chung với `TC-ACT-012/014/016/017`, không chuẩn bị lại.
- Host app FoxPro đã cài trên thiết bị Android/iOS.
- Có sẵn công cụ throttle mạng về 3G chậm — không dựng được bằng thao tác trong app.</t>
  </si>
  <si>
    <t xml:space="preserve">1. Throttle mạng thiết bị về 3G chậm. (setup)
2. Đăng nhập FoxEco bằng tài khoản "trắng". (setup)
3. Nhấn tab "Hoạt động" và theo dõi liên tục vùng danh sách của tab "Đang diễn ra" từ lúc vào màn.
4. Nhấn tab con "Đã hoàn thành" và theo dõi liên tục vùng danh sách từ lúc chuyển tab.
5. Check chuỗi trạng thái hiển thị đã quan sát ở cả hai tab con.</t>
  </si>
  <si>
    <t xml:space="preserve">5. Ở cả hai tab con, vùng danh sách đi qua pha đang tải rồi chuyển hẳn sang empty state; pha đang tải kết thúc chứ không lặp skeleton vô hạn.</t>
  </si>
  <si>
    <t xml:space="preserve">▬▬  1. Ghép nối đồng thời  ·  2 TC (TC-ASN-006…TC-ASN-024)</t>
  </si>
  <si>
    <t xml:space="preserve">Check hai người vận chuyển nhận gần đồng thời chỉ một người ghép được</t>
  </si>
  <si>
    <t xml:space="preserve">- Tài khoản A, B và C là 3 CBNV khác nhau trên STG.
- Có 2 thiết bị Android/iOS đã cài host app FoxPro.</t>
  </si>
  <si>
    <t xml:space="preserve">1. Đăng nhập bằng tài khoản A, đăng 1 tin NEED rồi đăng xuất. (setup)
2. Đăng nhập tài khoản B trên thiết bị 1 và tài khoản C trên thiết bị 2, cùng mở màn Chi tiết tin của tin đó. (setup)
3. Trên cả hai thiết bị, nhấn "Tôi mang giúp được".
4. Nhấn "Xác nhận" trên cả hai thiết bị cách nhau dưới 2 giây.
5. Check màn hiện ra trên từng thiết bị, sau đó đăng nhập lại tài khoản A và check người vận chuyển của đơn.</t>
  </si>
  <si>
    <t xml:space="preserve">5. Một thiết bị mở màn Theo dõi đơn với vai người vận chuyển, thiết bị còn lại KHÔNG ghép được và hiển thị thông báo tin đã có người nhận; đơn có đúng 1 người vận chuyển là tài khoản của thiết bị ghép thành công.</t>
  </si>
  <si>
    <t xml:space="preserve">Check 50 request ghép đồng thời trên cùng 1 tin giữ tỷ lệ trùng 0%</t>
  </si>
  <si>
    <t xml:space="preserve">- Có sẵn 1 tin NEED `POSTED` của tài khoản A.
- Có công cụ gửi 50 request ghép đồng thời tới API ghép của tin đó (concurrency/load test tool, vd JMeter/k6) — ⛔ không thực hiện bằng thao tác tay trên UI.</t>
  </si>
  <si>
    <t xml:space="preserve">1. Chuẩn bị 50 request gọi API "Tôi mang giúp được" cho cùng 1 tin NEED đó, mỗi request gán 1 tài khoản Carrier/token khác nhau. (setup)
2. Gửi đồng thời toàn bộ 50 request tại cùng 1 thời điểm.
3. Đếm số request trả về thành công và check trạng thái cuối cùng của tin trên hệ thống.</t>
  </si>
  <si>
    <t xml:space="preserve">3. Đúng 1 request thành công (ghép được), 49 request còn lại bị từ chối; tin chỉ có đúng 1 cặp ghép active — tỷ lệ ghép trùng = **0%**.</t>
  </si>
  <si>
    <t xml:space="preserve">▬▬  2. Đồng bộ trạng thái ba vai  ·  1 TC (TC-ASN-008)</t>
  </si>
  <si>
    <t xml:space="preserve">Check ba phiên ba vai cùng cập nhật "Đã ghép" trong vòng 5 giây</t>
  </si>
  <si>
    <t xml:space="preserve">- Tài khoản A, B và C là 3 CBNV khác nhau trên STG.
- Có 3 thiết bị Android/iOS đã cài host app FoxPro.</t>
  </si>
  <si>
    <t xml:space="preserve">1. Đăng nhập tài khoản A trên thiết bị 1, đăng 1 tin NEED khai C là người nhận. (setup)
2. Đăng nhập tài khoản C trên thiết bị 3, mở màn Theo dõi đơn của đơn đó. (setup)
3. Trên thiết bị 1, mở màn Theo dõi đơn của đơn vừa đăng và giữ nguyên màn. (setup)
4. Trên thiết bị 2, đăng nhập tài khoản B, nhận đơn đó và xác nhận; ghi lại thời điểm xác nhận.
5. Không thao tác kéo làm mới trên thiết bị 1 và 3; đo thời điểm trạng thái đơn đổi thành "Đã ghép" trên từng thiết bị.</t>
  </si>
  <si>
    <t xml:space="preserve">5. Trên cả thiết bị 1 và thiết bị 3, trạng thái đơn đổi sang "Đã ghép" trong vòng **≤5 giây** kể từ thời điểm xác nhận ở bước 4, không cần kéo làm mới hay mở lại màn.</t>
  </si>
  <si>
    <t xml:space="preserve">▬▬  3. Điều kiện khớp tuyến  ·  4 TC (TC-ASN-011…TC-ASN-023)</t>
  </si>
  <si>
    <t xml:space="preserve">Check không có thông báo khớp tuyến khi tin NEED lệch điểm giao hàng</t>
  </si>
  <si>
    <t xml:space="preserve">- Tin OFFER của `SEED-ASN-01` (điểm P1→P2, khoảng ngày D1-D2, buổi "Sáng"+"Chiều" — xem sheet `Seed` của chính file này) của tài khoản B đã có sẵn — không seed riêng.
- Host app FoxPro đã cài trên thiết bị Android/iOS.</t>
  </si>
  <si>
    <t xml:space="preserve">1. Đăng nhập bằng tài khoản A, đăng 1 tin NEED trùng điểm lấy P1 nhưng chọn điểm giao KHÁC P2, khoảng ngày trùng D1-D2 và chọn buổi "Sáng", rồi đăng xuất. (setup)
2. Đăng nhập bằng tài khoản B, nhấn icon chuông, check danh sách thông báo.</t>
  </si>
  <si>
    <t xml:space="preserve">2. KHÔNG có thông báo khớp tuyến nào trỏ tới tin NEED vừa đăng ở bước 1.</t>
  </si>
  <si>
    <t xml:space="preserve">Check không có thông báo khớp tuyến khi khoảng ngày không giao nhau</t>
  </si>
  <si>
    <t xml:space="preserve">- Tin OFFER của `SEED-ASN-01` (xem sheet `Seed` của chính file này) của tài khoản B đã có sẵn — không seed riêng.
- Host app FoxPro đã cài trên thiết bị Android/iOS.</t>
  </si>
  <si>
    <t xml:space="preserve">1. Đăng nhập bằng tài khoản A, đăng 1 tin NEED trùng điểm P1/P2 nhưng chọn khoảng ngày KHÔNG giao nhau với D1-D2 của tin OFFER, chọn buổi "Giờ nào cũng được", rồi đăng xuất. (setup)
2. Đăng nhập bằng tài khoản B, nhấn icon chuông, check danh sách thông báo.</t>
  </si>
  <si>
    <t xml:space="preserve">Check không có thông báo khớp tuyến khi ngày giao nhau nhưng buổi không chung</t>
  </si>
  <si>
    <t xml:space="preserve">- Tin OFFER của `SEED-ASN-01` (buổi "Sáng"+"Chiều" — xem sheet `Seed` của chính file này) của tài khoản B đã có sẵn — không seed riêng.
- Host app FoxPro đã cài trên thiết bị Android/iOS.</t>
  </si>
  <si>
    <t xml:space="preserve">1. Đăng nhập bằng tài khoản A, đăng 1 tin NEED trùng điểm P1/P2, khoảng ngày có giao nhau với D1-D2 nhưng chỉ chọn buổi "Sau giờ làm" (không có buổi chung với "Sáng"/"Chiều" của tin OFFER, không chọn "Giờ nào cũng được"), rồi đăng xuất. (setup)
2. Đăng nhập bằng tài khoản B, nhấn icon chuông, check danh sách thông báo.</t>
  </si>
  <si>
    <t xml:space="preserve">Check có thông báo khớp tuyến trong vòng 60 giây khi khớp đầy đủ điều kiện</t>
  </si>
  <si>
    <t xml:space="preserve">1. Đăng nhập bằng tài khoản A, đăng 1 tin NEED trùng điểm P1/P2, khoảng ngày có giao nhau với D1-D2 và chọn buổi "Sáng" (có buổi chung với tin OFFER); ghi lại thời điểm đăng, rồi đăng xuất. (setup)
2. Đăng nhập bằng tài khoản B, nhấn icon chuông theo chu kỳ tới khi thấy thông báo hoặc quá 60 giây kể từ thời điểm đã ghi ở bước 1, check nội dung và thời điểm nhận thông báo.</t>
  </si>
  <si>
    <t xml:space="preserve">2. B CÓ nhận thông báo khớp tuyến trỏ tới tin NEED vừa đăng, trong vòng **≤60 giây** kể từ thời điểm đăng ở bước 1.</t>
  </si>
  <si>
    <t xml:space="preserve">▬▬  4. Trần thông báo khớp tuyến  ·  4 TC (TC-ASN-015…TC-ASN-025)</t>
  </si>
  <si>
    <t xml:space="preserve">Check tin OFFER có 3 tin NEED khớp nhận đủ 3 thông báo</t>
  </si>
  <si>
    <t xml:space="preserve">- Tài khoản A và B là hai CBNV khác nhau trên STG.
- Host app FoxPro đã cài trên thiết bị Android/iOS.</t>
  </si>
  <si>
    <t xml:space="preserve">1. Đăng nhập bằng tài khoản B, đăng 1 tin OFFER với điểm lấy, điểm giao, khoảng ngày và tập buổi xác định, rồi đăng xuất. (setup)
2. Đăng nhập bằng tài khoản A, đăng đúng 3 tin NEED qua wizard, mỗi tin trùng 2 điểm và giao ngày/buổi với tin OFFER đó, rồi đăng xuất. (setup)
3. Đăng nhập bằng tài khoản B, nhấn icon chuông, đếm số thông báo khớp tuyến của tin OFFER đó.</t>
  </si>
  <si>
    <t xml:space="preserve">3. Có đúng 3 thông báo khớp tuyến cho tin OFFER đó.</t>
  </si>
  <si>
    <t xml:space="preserve">Check tin OFFER có 5 tin NEED khớp nhận đủ 5 thông báo</t>
  </si>
  <si>
    <t xml:space="preserve">1. Đăng nhập bằng tài khoản B, đăng 1 tin OFFER với điểm lấy, điểm giao, khoảng ngày và tập buổi xác định, rồi đăng xuất. (setup)
2. Đăng nhập bằng tài khoản A, đăng đúng 5 tin NEED qua wizard, mỗi tin trùng 2 điểm và giao ngày/buổi với tin OFFER đó, rồi đăng xuất. (setup)
3. Đăng nhập bằng tài khoản B, nhấn icon chuông, đếm số thông báo khớp tuyến của tin OFFER đó.</t>
  </si>
  <si>
    <t xml:space="preserve">3. Có đúng 5 thông báo khớp tuyến cho tin OFFER đó.</t>
  </si>
  <si>
    <t xml:space="preserve">Check tin NEED khớp thứ 6 không sinh thêm thông báo khi tuyến đã đủ trần 5</t>
  </si>
  <si>
    <t xml:space="preserve">1. Đăng nhập bằng tài khoản B, đăng 1 tin OFFER với điểm lấy, điểm giao, khoảng ngày và tập buổi xác định. (setup)
2. Đăng nhập bằng tài khoản A, đăng đúng 5 tin NEED qua wizard, mỗi tin trùng 2 điểm và giao ngày/buổi với tin OFFER đó. (setup)
3. Đăng nhập bằng tài khoản B, nhấn icon chuông và ghi lại số thông báo khớp tuyến hiện có. (setup)
4. Đăng nhập lại tài khoản A, đăng thêm 1 tin NEED thứ 6 cũng trùng 2 điểm và giao ngày/buổi với tin OFFER đó, rồi đăng xuất. (setup)
5. Đăng nhập tài khoản B, nhấn icon chuông, đếm lại số thông báo khớp tuyến của tin OFFER đó.</t>
  </si>
  <si>
    <t xml:space="preserve">5. Số thông báo khớp tuyến vẫn bằng số đã ghi ở bước 3; KHÔNG có thông báo mới cho tin NEED thứ 6.</t>
  </si>
  <si>
    <t xml:space="preserve">Check mỗi tuyến OFFER có trần 5 thông báo độc lập, không cộng dồn</t>
  </si>
  <si>
    <t xml:space="preserve">- Tài khoản B đã đăng đủ 5 tin NEED khớp cho tuyến OFFER thứ nhất và đã nhận đủ 5 thông báo cho tuyến đó (tái dùng seed của `TC-ASN-016`) — không seed riêng.
- Host app FoxPro đã cài trên thiết bị Android/iOS.</t>
  </si>
  <si>
    <t xml:space="preserve">1. Đăng nhập tài khoản B, đăng thêm 1 tin OFFER thứ hai với tuyến khác (P3→P4), rồi đăng xuất. (setup)
2. Đăng nhập tài khoản A, đăng 1 tin NEED trùng tuyến P3→P4 (ngày/buổi giao nhau với tuyến thứ hai), rồi đăng xuất. (setup)
3. Đăng nhập tài khoản B, nhấn icon chuông, check thông báo của riêng tuyến thứ hai (P3→P4) và tổng số thông báo hiện có.</t>
  </si>
  <si>
    <t xml:space="preserve">3. Tuyến thứ hai (P3→P4) nhận được thông báo mới dù tuyến thứ nhất đã đạt trần 5; tổng số thông báo của tài khoản B lớn hơn 5 (2 tuyến không cộng dồn chung 1 trần).</t>
  </si>
  <si>
    <t xml:space="preserve">▬▬  5. Thứ tự ưu tiên gợi ý  ·  1 TC (TC-ASN-018)</t>
  </si>
  <si>
    <t xml:space="preserve">Check danh sách gợi ý ưu tiên tin trùng tuyến trước, thời gian đăng sau</t>
  </si>
  <si>
    <t xml:space="preserve">- Tài khoản B đã đăng 1 tin OFFER (điểm P1→P2, khoảng ngày D1-D2, tập buổi S).
- Host app FoxPro đã cài trên thiết bị Android/iOS.</t>
  </si>
  <si>
    <t xml:space="preserve">1. Đăng nhập tài khoản A, đăng 1 tin NEED KHÔNG trùng tuyến của B (điểm khác) nhưng đăng SỚM NHẤT trong 3 tin, ghi lại thời điểm. (setup)
2. Vẫn tài khoản A, đăng tin NEED thứ hai trùng tuyến P1/P2 với B (ngày/buổi giao nhau), ghi lại thời điểm. (setup)
3. Vẫn tài khoản A, đăng tin NEED thứ ba cũng trùng tuyến P1/P2 với B, đăng sau tin thứ hai ít nhất 1 phút, ghi lại thời điểm, rồi đăng xuất. (setup)
4. Đăng nhập tài khoản B, nhấn icon chuông, ghi lại thứ tự 3 thông báo/gợi ý từ trên xuống, đối chiếu với 3 thời điểm đã ghi.</t>
  </si>
  <si>
    <t xml:space="preserve">4. Tin thứ hai và tin thứ ba (trùng tuyến) đều xếp TRƯỚC tin thứ nhất (không trùng tuyến) dù tin thứ nhất đăng sớm nhất; giữa tin thứ hai và tin thứ ba, tin thứ ba (đăng sau) xếp trước tin thứ hai.</t>
  </si>
  <si>
    <t xml:space="preserve">▬▬  6. Bảo mật API tin OFFER  ·  1 TC (TC-ASN-026)</t>
  </si>
  <si>
    <t xml:space="preserve">Check request đọc tin OFFER qua API bởi người ngoài bị chặn và ghi audit log</t>
  </si>
  <si>
    <t xml:space="preserve">- Tin OFFER đang `POSTED` của tài khoản B (không phải sở hữu của tài khoản D).
- Có sẵn công cụ gọi API trực tiếp (vd Postman) với token hợp lệ của tài khoản D, biết endpoint đọc chi tiết tin OFFER.</t>
  </si>
  <si>
    <t xml:space="preserve">1. Dùng công cụ API, gọi endpoint đọc chi tiết tin OFFER đó bằng token của tài khoản D. (setup)
2. Check response trả về và hệ thống ghi audit log.</t>
  </si>
  <si>
    <t xml:space="preserve">2. Request bị chặn (không trả dữ liệu tin OFFER); hệ thống ghi thêm đúng 1 dòng audit log ghi nhận request trái phép này (tài khoản D, thời điểm, tin OFFER mục tiêu).</t>
  </si>
  <si>
    <t xml:space="preserve">▬▬  1. Lý do huỷ đơn  ·  2 TC (TC-CNL-004…TC-CNL-012)</t>
  </si>
  <si>
    <t xml:space="preserve">Check lý do huỷ 4 ký tự bị chặn ngay từ nút xác nhận</t>
  </si>
  <si>
    <t xml:space="preserve">1. Đăng nhập bằng tài khoản A và đăng 1 tin NEED qua wizard "+ Đăng tin". (setup)
2. Nhấn tab "Hoạt động", mở đơn vừa đăng và nhấn "Huỷ đơn". (setup)
3. Nhập "abcd" vào ô lý do.
4. Check trạng thái nút "Xác nhận" và vùng dưới ô lý do.</t>
  </si>
  <si>
    <t xml:space="preserve">4. Nút "Xác nhận" ở trạng thái vô hiệu hoá ngay (không phải bấm được rồi mới báo lỗi); hiện lỗi ngay dưới ô lý do; trạng thái đơn không đổi.</t>
  </si>
  <si>
    <t xml:space="preserve">Check lý do huỷ gồm năm dấu cách bị chặn sau khi cắt khoảng trắng</t>
  </si>
  <si>
    <t xml:space="preserve">1. Đăng nhập bằng tài khoản A và đăng 1 tin NEED qua wizard "+ Đăng tin". (setup)
2. Nhấn tab "Hoạt động", mở đơn vừa đăng và nhấn "Huỷ đơn". (setup)
3. Nhập đúng 5 dấu cách vào ô lý do.
4. Check trạng thái nút "Xác nhận".</t>
  </si>
  <si>
    <t xml:space="preserve">4. Nút "Xác nhận" ở trạng thái vô hiệu hoá, không nhấn được (sau khi tự cắt khoảng trắng đầu/cuối thì lý do rỗng).</t>
  </si>
  <si>
    <t xml:space="preserve">▬▬  2. Báo cáo sự cố theo vai  ·  3 TC (TC-CNL-006…TC-CNL-016)</t>
  </si>
  <si>
    <t xml:space="preserve">REQ-CNL-003, REQ-CNL-007</t>
  </si>
  <si>
    <t xml:space="preserve">Check nút "Báo cáo sự cố" tồn tại cho vai Người gửi khi đơn đang giao</t>
  </si>
  <si>
    <t xml:space="preserve">- Đơn đã ở checkpoint 2 (`IN_TRANSIT`/Đang giao) của `SEED-DLV-01` (xem sheet `Seed` của chính file này) — không seed riêng.
- Host app FoxPro đã cài trên thiết bị Android/iOS.</t>
  </si>
  <si>
    <t xml:space="preserve">1. Đăng nhập bằng tài khoản A (Người gửi), mở màn Theo dõi đơn của đơn đó. (setup)
2. Check góc trên bên phải màn Theo dõi đơn.</t>
  </si>
  <si>
    <t xml:space="preserve">2. Có nút "Báo cáo sự cố"; nhấn vào mở được luồng báo sự cố.</t>
  </si>
  <si>
    <t xml:space="preserve">Check nút "Báo cáo sự cố" tồn tại cho vai Người vận chuyển khi đơn đang giao</t>
  </si>
  <si>
    <t xml:space="preserve">1. Đăng nhập bằng tài khoản B (Người vận chuyển), mở màn Theo dõi đơn của đơn đó. (setup)
2. Check góc trên bên phải màn Theo dõi đơn.</t>
  </si>
  <si>
    <t xml:space="preserve">Check nút "Báo cáo sự cố" tồn tại cho vai Người nhận khi đơn đang giao</t>
  </si>
  <si>
    <t xml:space="preserve">1. Đăng nhập bằng tài khoản C (Người nhận), mở màn Theo dõi đơn của đơn đó. (setup)
2. Check góc trên bên phải màn Theo dõi đơn.</t>
  </si>
  <si>
    <t xml:space="preserve">▬▬  3. Nhật ký huỷ đơn  ·  2 TC (TC-CNL-009…TC-CNL-010)</t>
  </si>
  <si>
    <t xml:space="preserve">Check huỷ đơn ghi log đủ vai trò, lý do và thời điểm</t>
  </si>
  <si>
    <t xml:space="preserve">1. Đăng nhập bằng tài khoản A, đăng 1 tin NEED, nhờ tài khoản B nhận đơn để đơn sang "Đã ghép". (setup)
2. Mở màn Theo dõi đơn của đơn đó, mở block LỊCH SỬ. (setup)
3. Ghi lại số dòng log hiện có.
4. Nhấn "Huỷ đơn".
5. Nhập lý do "Huy vi trung lich".
6. Nhấn "Xác nhận".
7. Không rời màn Theo dõi đơn, mở lại block LỊCH SỬ.
8. Check số dòng log mới và nội dung dòng đó.</t>
  </si>
  <si>
    <t xml:space="preserve">8. Block LỊCH SỬ có nhiều hơn số dòng đã ghi ở bước 3 đúng 1 dòng; dòng mới ghi đủ 3 thành phần: vai "Người gửi", lý do "Huy vi trung lich" và thời điểm (timestamp) huỷ.</t>
  </si>
  <si>
    <t xml:space="preserve">Check huỷ nhận đơn giữ nguyên log ghép cũ và đơn về lại bảng tin</t>
  </si>
  <si>
    <t xml:space="preserve">1. Đăng nhập bằng tài khoản A, đăng 1 tin NEED rồi đăng xuất. (setup)
2. Đăng nhập bằng tài khoản B, nhận đơn đó và xác nhận. (setup)
3. Mở màn Theo dõi đơn, mở block LỊCH SỬ. (setup)
4. Check sự tồn tại của dòng "Ghép thành công". (setup)
5. Nhấn "✕ Huỷ nhận đơn".
6. Nhập lý do "Doi ca lam viec".
7. Nhấn "Xác nhận".
8. Không rời màn Theo dõi đơn, mở lại block LỊCH SỬ.
9. Điều hướng đến "Bảng tin" và tìm đơn đó.</t>
  </si>
  <si>
    <t xml:space="preserve">9. Dòng "Ghép thành công" vẫn còn trong block LỊCH SỬ ở bước 8 (không bị xoá), có thêm 1 dòng log ghi hành động huỷ nhận kèm vai "Người vận chuyển" và lý do "Doi ca lam viec"; đơn chuyển về trạng thái "Chờ ghép" và hiện lại trên bảng tin.</t>
  </si>
  <si>
    <t xml:space="preserve">▬▬  4. Đường thoát sau khi ghép  ·  4 TC (TC-CNL-017…TC-CNL-020)</t>
  </si>
  <si>
    <t xml:space="preserve">Check chỉ còn đúng 2 đường thoát cho vai Người gửi sau khi đơn đang giao</t>
  </si>
  <si>
    <t xml:space="preserve">1. Đăng nhập bằng tài khoản A (Người gửi), mở màn Theo dõi đơn của đơn đó. (setup)
2. Rà toàn bộ nút hành động trên màn.</t>
  </si>
  <si>
    <t xml:space="preserve">2. KHÔNG còn nút huỷ đơn thường nào; chỉ có đúng 2 nút hành động liên quan huỷ: "Yêu cầu hoàn hàng" và "Báo cáo sự cố".</t>
  </si>
  <si>
    <t xml:space="preserve">Check chỉ còn đúng 2 đường thoát cho vai Người vận chuyển sau khi đơn đang giao</t>
  </si>
  <si>
    <t xml:space="preserve">1. Đăng nhập bằng tài khoản B (Người vận chuyển), mở màn Theo dõi đơn của đơn đó. (setup)
2. Rà toàn bộ nút hành động trên màn.</t>
  </si>
  <si>
    <t xml:space="preserve">Check chỉ còn đúng 2 đường thoát cho vai Người nhận sau khi đơn đang giao</t>
  </si>
  <si>
    <t xml:space="preserve">1. Đăng nhập bằng tài khoản C (Người nhận), mở màn Theo dõi đơn của đơn đó. (setup)
2. Rà toàn bộ nút hành động trên màn.</t>
  </si>
  <si>
    <t xml:space="preserve">Check đơn ở trạng thái sự cố không tự chuyển hoàn thành</t>
  </si>
  <si>
    <t xml:space="preserve">- Đơn đã ở trạng thái `INCIDENT` qua luồng báo sự cố (`FR16`).
- Host app FoxPro đã cài trên thiết bị Android/iOS.</t>
  </si>
  <si>
    <t xml:space="preserve">1. Đăng nhập bằng tài khoản C (Người nhận) của đơn `INCIDENT`, mở màn Theo dõi đơn. (setup)
2. Rà toàn bộ nút hành động và nội dung màn.</t>
  </si>
  <si>
    <t xml:space="preserve">2. KHÔNG có nút "Xác nhận đã nhận hàng" khả dụng để chuyển trạng thái đơn; màn nêu rõ đơn đang chờ admin hỗ trợ, KHÔNG tự chuyển sang "Hoàn thành".</t>
  </si>
  <si>
    <t xml:space="preserve">▬▬  5. Điều kiện chặn huỷ đơn  ·  1 TC (TC-CNL-021)</t>
  </si>
  <si>
    <t xml:space="preserve">Check huỷ đơn bị chặn khi đơn còn hiện Đã ghép nhưng người vận chuyển đã bấm lấy hàng</t>
  </si>
  <si>
    <t xml:space="preserve">- Đơn đang ở "Đã ghép" (`MATCHED`), sẵn 2 phiên đăng nhập song song: tài khoản A (Người gửi) và tài khoản B (Người vận chuyển).
- Host app FoxPro đã cài trên thiết bị Android/iOS.</t>
  </si>
  <si>
    <t xml:space="preserve">1. Trên phiên B, nhấn nút "Tôi đã lấy hàng" nhưng CHƯA xác nhận popup (giữ popup đang mở).
2. Trên phiên A, mở màn Theo dõi đơn của đơn đó và nhấn "Huỷ đơn".</t>
  </si>
  <si>
    <t xml:space="preserve">2. Huỷ bị chặn (không mở được popup nhập lý do, hoặc hiển thị lỗi ngăn huỷ).</t>
  </si>
  <si>
    <t xml:space="preserve">▬▬  6. Bề mặt Admin ngoài scope  ·  1 TC (TC-CNL-022)</t>
  </si>
  <si>
    <t xml:space="preserve">Check không tồn tại bề mặt Admin vận hành trong app end-user</t>
  </si>
  <si>
    <t xml:space="preserve">- Tài khoản A là CBNV thường (không có vai Admin) trên STG.
- Host app FoxPro đã cài trên thiết bị Android/iOS.</t>
  </si>
  <si>
    <t xml:space="preserve">1. Đăng nhập bằng tài khoản A. (setup)
2. Rà toàn bộ màn Theo dõi đơn và trang Cá nhân tìm chức năng huỷ/can thiệp của "Admin vận hành".</t>
  </si>
  <si>
    <t xml:space="preserve">2. KHÔNG có bề mặt Admin nào (không màn, không field, không nút) trong app end-user.</t>
  </si>
  <si>
    <t xml:space="preserve">▬▬  1. Ma trận hành động theo trạng thái mới  ·  9 TC (TC-DLV-031…TC-DLV-039)</t>
  </si>
  <si>
    <t xml:space="preserve">Check người gửi thấy nhãn xem lịch hẹn giao lại khi đơn hẹn giao lại</t>
  </si>
  <si>
    <t xml:space="preserve">- Tài khoản A, B, C là ba CBNV khác nhau trên STG.
- Host app FoxPro đã cài trên thiết bị Android/iOS.</t>
  </si>
  <si>
    <t xml:space="preserve">1. Đăng nhập bằng tài khoản A, đăng 1 tin NEED khai tài khoản C là người nhận, rồi đăng xuất. (setup)
2. Đăng nhập bằng tài khoản B, nhận đơn đó, nhấn "Tôi đã lấy hàng" và xác nhận. (setup)
3. Nhấn "Không thể liên lạc cho người nhận?", đi tiếp tới màn "Xử lý đơn hàng", chọn "Cầm hàng về" rồi chọn "Tôi sẽ giao lại sau", nhập lịch hẹn hợp lệ và xác nhận, rồi đăng xuất. (setup)
4. Đăng nhập bằng tài khoản A, nhấn tab "Hoạt động" và mở đơn đó. (setup)
5. Check nhãn hành động chính trên màn Theo dõi đơn.</t>
  </si>
  <si>
    <t xml:space="preserve">5. Nhãn hành động chính hiển thị "Xem lịch hẹn giao lại".</t>
  </si>
  <si>
    <t xml:space="preserve">Check người vận chuyển thấy nhãn giao lại theo lịch khi đơn hẹn giao lại</t>
  </si>
  <si>
    <t xml:space="preserve">1. Đăng nhập bằng tài khoản A, đăng 1 tin NEED khai tài khoản C là người nhận, rồi đăng xuất. (setup)
2. Đăng nhập bằng tài khoản B, nhận đơn đó, nhấn "Tôi đã lấy hàng" và xác nhận. (setup)
3. Nhấn "Không thể liên lạc cho người nhận?", đi tiếp tới màn "Xử lý đơn hàng", chọn "Cầm hàng về" rồi chọn "Tôi sẽ giao lại sau", nhập lịch hẹn hợp lệ và xác nhận. (setup)
4. Nhấn tab "Hoạt động" và mở lại đơn đó. (setup)
5. Check nhãn hành động chính trên màn Theo dõi đơn.</t>
  </si>
  <si>
    <t xml:space="preserve">5. Nhãn hành động chính hiển thị "Giao lại theo lịch" và nhấn được để mở lại màn giao hàng.</t>
  </si>
  <si>
    <t xml:space="preserve">Check người nhận thấy nhãn xem lịch hẹn khi đơn hẹn giao lại</t>
  </si>
  <si>
    <t xml:space="preserve">1. Đăng nhập bằng tài khoản A, đăng 1 tin NEED khai tài khoản C là người nhận, rồi đăng xuất. (setup)
2. Đăng nhập bằng tài khoản B, nhận đơn đó, nhấn "Tôi đã lấy hàng" và xác nhận. (setup)
3. Nhấn "Không thể liên lạc cho người nhận?", đi tiếp tới màn "Xử lý đơn hàng", chọn "Cầm hàng về" rồi chọn "Tôi sẽ giao lại sau", nhập lịch hẹn hợp lệ và xác nhận, rồi đăng xuất. (setup)
4. Đăng nhập bằng tài khoản C, nhấn tab "Hoạt động" và mở đơn đó. (setup)
5. Check nhãn hành động chính trên màn Theo dõi đơn.</t>
  </si>
  <si>
    <t xml:space="preserve">5. Nhãn hành động chính hiển thị "Xem lịch hẹn" và KHÔNG có nút giao lại nào.</t>
  </si>
  <si>
    <t xml:space="preserve">Check người gửi thấy nút xác nhận đã nhận lại hàng khi đơn đang hoàn hàng</t>
  </si>
  <si>
    <t xml:space="preserve">1. Đăng nhập bằng tài khoản A, đăng 1 tin NEED khai tài khoản C là người nhận, rồi đăng xuất. (setup)
2. Đăng nhập bằng tài khoản B, nhận đơn đó, nhấn "Tôi đã lấy hàng" và xác nhận. (setup)
3. Nhấn "Không thể liên lạc cho người nhận?", đi tiếp tới màn "Xử lý đơn hàng", chọn "Cầm hàng về" rồi chọn "Tôi sẽ trả về cho người gửi", nhập lịch hẹn hợp lệ và xác nhận, rồi đăng xuất. (setup)
4. Đăng nhập bằng tài khoản A, nhấn tab "Hoạt động" và mở đơn đó. (setup)
5. Check nhãn hành động chính trên màn Theo dõi đơn.</t>
  </si>
  <si>
    <t xml:space="preserve">5. Nhãn hành động chính hiển thị "Xác nhận đã nhận lại hàng" ở trạng thái enable và màn có mục xem lịch hẹn trả hàng.</t>
  </si>
  <si>
    <t xml:space="preserve">Check người vận chuyển thấy nhãn xem lịch hẹn trả hàng khi đơn đang hoàn hàng</t>
  </si>
  <si>
    <t xml:space="preserve">1. Đăng nhập bằng tài khoản A, đăng 1 tin NEED khai tài khoản C là người nhận, rồi đăng xuất. (setup)
2. Đăng nhập bằng tài khoản B, nhận đơn đó, nhấn "Tôi đã lấy hàng" và xác nhận. (setup)
3. Nhấn "Không thể liên lạc cho người nhận?", đi tiếp tới màn "Xử lý đơn hàng", chọn "Cầm hàng về" rồi chọn "Tôi sẽ trả về cho người gửi", nhập lịch hẹn hợp lệ và xác nhận. (setup)
4. Nhấn tab "Hoạt động" và mở lại đơn đó. (setup)
5. Check nhãn hành động chính trên màn Theo dõi đơn.</t>
  </si>
  <si>
    <t xml:space="preserve">5. Nhãn hành động chính hiển thị "Xem lịch hẹn trả hàng" và KHÔNG có nút xác nhận đóng đơn.</t>
  </si>
  <si>
    <t xml:space="preserve">Check người nhận thấy nhãn xem lý do hoàn hàng khi đơn đang hoàn hàng</t>
  </si>
  <si>
    <t xml:space="preserve">1. Đăng nhập bằng tài khoản A, đăng 1 tin NEED khai tài khoản C là người nhận, rồi đăng xuất. (setup)
2. Đăng nhập bằng tài khoản B, nhận đơn đó, nhấn "Tôi đã lấy hàng" và xác nhận. (setup)
3. Nhấn "Không thể liên lạc cho người nhận?", đi tiếp tới màn "Xử lý đơn hàng", chọn "Cầm hàng về" rồi chọn "Tôi sẽ trả về cho người gửi", nhập lịch hẹn hợp lệ và xác nhận, rồi đăng xuất. (setup)
4. Đăng nhập bằng tài khoản C, nhấn tab "Hoạt động" và mở đơn đó. (setup)
5. Check nhãn hành động chính trên màn Theo dõi đơn.</t>
  </si>
  <si>
    <t xml:space="preserve">5. Nhãn hành động chính hiển thị "Xem lý do hoàn hàng".</t>
  </si>
  <si>
    <t xml:space="preserve">Check người gửi thấy nhãn xem lý do và đăng lại ở ba trạng thái đóng</t>
  </si>
  <si>
    <t xml:space="preserve">1. Đăng nhập bằng tài khoản A, đăng 1 tin NEED khai tài khoản C là người nhận, rồi đăng xuất. (setup)
2. Đăng nhập bằng tài khoản B, nhận đơn đó, nhấn "Tôi đã lấy hàng" và xác nhận. (setup)
3. Nhấn "Không thể liên lạc cho người nhận?", đi tiếp tới màn "Xử lý đơn hàng", chọn "Cầm hàng về" rồi chọn "Tôi sẽ trả về cho người gửi", nhập lịch hẹn hợp lệ và xác nhận, rồi đăng xuất. (setup)
4. Đăng nhập bằng tài khoản A, nhấn tab "Hoạt động", mở đơn đó và nhấn "Xác nhận đã nhận lại hàng". (setup)
5. Đăng 1 tin NEED khác rồi huỷ đơn đó, và để 1 tin NEED thứ ba quá "Đến ngày" mà không ai nhận. (setup)
6. Mở lần lượt cả ba đơn ở tab "Đã hoàn thành" và check nhãn hành động chính của từng đơn.</t>
  </si>
  <si>
    <t xml:space="preserve">6. Cả ba đơn đều hiển thị nhãn "Xem lý do" kèm lựa chọn "Đăng lại".</t>
  </si>
  <si>
    <t xml:space="preserve">Check người vận chuyển chỉ thấy nhãn xem lý do ở ba trạng thái đóng</t>
  </si>
  <si>
    <t xml:space="preserve">1. Đăng nhập bằng tài khoản A, đăng 1 tin NEED khai tài khoản C là người nhận, rồi đăng xuất. (setup)
2. Đăng nhập bằng tài khoản B, nhận đơn đó, nhấn "Tôi đã lấy hàng" và xác nhận. (setup)
3. Nhấn "Không thể liên lạc cho người nhận?", đi tiếp tới màn "Xử lý đơn hàng", chọn "Cầm hàng về" rồi chọn "Tôi sẽ trả về cho người gửi", nhập lịch hẹn hợp lệ và xác nhận. (setup)
4. Đăng nhập bằng tài khoản A, mở đơn đó và nhấn "Xác nhận đã nhận lại hàng", rồi đăng xuất. (setup)
5. Đăng nhập lại bằng tài khoản B, nhấn tab "Hoạt động" và mở đơn đó ở tab "Đã hoàn thành". (setup)
6. Check nhãn hành động chính trên màn Theo dõi đơn.</t>
  </si>
  <si>
    <t xml:space="preserve">6. Nhãn hành động chính hiển thị "Xem lý do" và KHÔNG có lựa chọn "Đăng lại".</t>
  </si>
  <si>
    <t xml:space="preserve">Check người nhận chỉ thấy nhãn xem lý do ở ba trạng thái đóng</t>
  </si>
  <si>
    <t xml:space="preserve">1. Đăng nhập bằng tài khoản A, đăng 1 tin NEED khai tài khoản C là người nhận, rồi đăng xuất. (setup)
2. Đăng nhập bằng tài khoản B, nhận đơn đó, nhấn "Tôi đã lấy hàng" và xác nhận. (setup)
3. Nhấn "Không thể liên lạc cho người nhận?", đi tiếp tới màn "Xử lý đơn hàng", chọn "Cầm hàng về" rồi chọn "Tôi sẽ trả về cho người gửi", nhập lịch hẹn hợp lệ và xác nhận, rồi đăng xuất. (setup)
4. Đăng nhập bằng tài khoản A, mở đơn đó và nhấn "Xác nhận đã nhận lại hàng", rồi đăng xuất. (setup)
5. Đăng nhập bằng tài khoản C, nhấn tab "Hoạt động" và mở đơn đó ở tab "Đã hoàn thành". (setup)
6. Check nhãn hành động chính trên màn Theo dõi đơn.</t>
  </si>
  <si>
    <t xml:space="preserve">▬▬  2. Đơn có sự cố  ·  1 TC (TC-DLV-040)</t>
  </si>
  <si>
    <t xml:space="preserve">Check đơn có báo cáo sự cố không tự chuyển sang hoàn thành sau các mốc nhắc</t>
  </si>
  <si>
    <t xml:space="preserve">- Tài khoản A, B, C là ba CBNV khác nhau trên STG.
- Host app FoxPro đã cài trên thiết bị Android/iOS.
- Dev/QA hỗ trợ lùi timestamp đơn để vượt mốc 2 giờ và 4 giờ — ⛔ không tái tạo được qua UI.</t>
  </si>
  <si>
    <t xml:space="preserve">1. Đăng nhập bằng tài khoản A, đăng 1 tin NEED khai tài khoản C là người nhận, rồi đăng xuất. (setup)
2. Đăng nhập bằng tài khoản B, nhận đơn đó, nhấn "Tôi đã lấy hàng" và xác nhận. (setup)
3. Nhấn "Báo cáo sự cố", gửi form báo sự cố cho đơn này, rồi đăng xuất. (setup)
4. Nhờ dev/QA lùi timestamp của đơn để vượt qua cả mốc 2 giờ và mốc 4 giờ. (setup)
5. Đăng nhập bằng tài khoản A, nhấn tab "Hoạt động" và mở đơn đó. (setup)
6. Check trạng thái đơn và tab chứa đơn.</t>
  </si>
  <si>
    <t xml:space="preserve">6. Đơn KHÔNG ở trạng thái "Hoàn thành" và vẫn nằm ở tab "Đang diễn ra".</t>
  </si>
  <si>
    <t xml:space="preserve">▬▬  3. Ảnh lúc lấy hàng  ·  2 TC (TC-DLV-041…TC-DLV-042)</t>
  </si>
  <si>
    <t xml:space="preserve">Check đính ảnh lúc lấy hàng lưu được kèm mốc và đơn chuyển đang giao</t>
  </si>
  <si>
    <t xml:space="preserve">- Tài khoản A, B, C là ba CBNV khác nhau trên STG.
- Host app FoxPro đã cài trên thiết bị Android/iOS.
- Thư viện ảnh thiết bị có sẵn ≥5 ảnh JPG, mỗi ảnh ≤5MB.</t>
  </si>
  <si>
    <t xml:space="preserve">1. Đăng nhập bằng tài khoản A, đăng 1 tin NEED khai tài khoản C là người nhận, rồi đăng xuất. (setup)
2. Đăng nhập bằng tài khoản B, nhận đơn đó và xác nhận. (setup)
3. Nhấn "Tôi đã lấy hàng".
4. Đính 1 ảnh JPG từ thư viện thiết bị.
5. Nhấn "Xác nhận".
6. Mở lại đơn đó và check trạng thái đơn cùng nội dung block "LỊCH SỬ".</t>
  </si>
  <si>
    <t xml:space="preserve">6. Đơn ở trạng thái "Đang giao"; block "LỊCH SỬ" có mốc "Tôi đã lấy hàng" kèm dấu hiệu có ảnh bằng chứng và mở xem được đúng ảnh vừa đính.</t>
  </si>
  <si>
    <t xml:space="preserve">Check xác nhận đã lấy hàng vẫn thành công khi không đính ảnh nào</t>
  </si>
  <si>
    <t xml:space="preserve">1. Đăng nhập bằng tài khoản A, đăng 1 tin NEED khai tài khoản C là người nhận, rồi đăng xuất. (setup)
2. Đăng nhập bằng tài khoản B, nhận đơn đó và xác nhận. (setup)
3. Nhấn "Tôi đã lấy hàng".
4. Nhấn "Xác nhận" mà KHÔNG đính ảnh nào.
5. Check trạng thái đơn trên màn Theo dõi đơn.</t>
  </si>
  <si>
    <t xml:space="preserve">5. Đơn chuyển sang trạng thái "Đang giao" bình thường, không có thông báo lỗi đòi ảnh.</t>
  </si>
  <si>
    <t xml:space="preserve">▬▬  4. Màn Xác nhận đã giao  ·  7 TC (TC-DLV-043…TC-DLV-049)</t>
  </si>
  <si>
    <t xml:space="preserve">DOC-v1.1-01 · DOC-v1.1-03</t>
  </si>
  <si>
    <t xml:space="preserve">Check giao tận tay người nhận chuyển đơn sang đã giao và ghi đúng mốc nhật ký</t>
  </si>
  <si>
    <t xml:space="preserve">1. Đăng nhập bằng tài khoản A, đăng 1 tin NEED khai tài khoản C là người nhận, rồi đăng xuất. (setup)
2. Đăng nhập bằng tài khoản B, nhận đơn đó, nhấn "Tôi đã lấy hàng" và xác nhận. (setup)
3. Nhấn nút mở màn "Xác nhận đã giao".
4. Chọn "Người nhận" ở field "Giao cho".
5. Đính 1 ảnh JPG từ thư viện thiết bị.
6. Nhấn "Xác nhận đã giao hàng" và đồng ý ở popup xác nhận.
7. Check trạng thái đơn và dòng mới nhất ở block "LỊCH SỬ".</t>
  </si>
  <si>
    <t xml:space="preserve">7. Đơn chuyển sang trạng thái "Đã giao"; block "LỊCH SỬ" có dòng mới "Đã giao tận tay người nhận" kèm thời điểm.</t>
  </si>
  <si>
    <t xml:space="preserve">Check giao cho người được uỷ quyền tự sinh uỷ quyền bởi người nhận và ghi đúng nhật ký</t>
  </si>
  <si>
    <t xml:space="preserve">1. Đăng nhập bằng tài khoản A, đăng 1 tin NEED khai tài khoản C là người nhận, rồi đăng xuất. (setup)
2. Đăng nhập bằng tài khoản B, nhận đơn đó, nhấn "Tôi đã lấy hàng" và xác nhận. (setup)
3. Nhấn nút mở màn "Xác nhận đã giao".
4. Chọn "Người được uỷ quyền" ở field "Giao cho".
5. Nhập "Nguyễn Văn Bảy" vào ô tên người nhận thay.
6. Nhập "0912345678" vào ô số điện thoại người nhận thay.
7. Đính 1 ảnh JPG từ thư viện thiết bị.
8. Nhấn "Xác nhận đã giao hàng" và đồng ý ở popup xác nhận.
9. Check trạng thái đơn và dòng mới nhất ở block "LỊCH SỬ".</t>
  </si>
  <si>
    <t xml:space="preserve">9. Đơn chuyển sang trạng thái "Đã giao"; block "LỊCH SỬ" có dòng mới "Đã giao cho người được uỷ quyền — Nguyễn Văn Bảy · 0912345678 — uỷ quyền bởi Người nhận".</t>
  </si>
  <si>
    <t xml:space="preserve">Check gửi quầy lễ tân bắt buộc hai ô người trực quầy và ghi đúng tên vào nhật ký</t>
  </si>
  <si>
    <t xml:space="preserve">1. Đăng nhập bằng tài khoản A, đăng 1 tin NEED khai tài khoản C là người nhận, rồi đăng xuất. (setup)
2. Đăng nhập bằng tài khoản B, nhận đơn đó, nhấn "Tôi đã lấy hàng" và xác nhận. (setup)
3. Nhấn nút mở màn "Xác nhận đã giao".
4. Chọn "Quầy lễ tân" ở field "Giao cho".
5. Đính 1 ảnh JPG rồi nhấn "Xác nhận đã giao hàng" khi vẫn để trống cả hai ô của khối "NGƯỜI NHẬN TẠI QUẦY".
6. Nhập "Trần Thị Lan" vào ô "Họ tên người trực quầy".
7. Nhập "0987654321" vào ô "Số điện thoại".
8. Nhấn "Xác nhận đã giao hàng" và đồng ý ở popup xác nhận.
9. Check trạng thái đơn và dòng mới nhất ở block "LỊCH SỬ".</t>
  </si>
  <si>
    <t xml:space="preserve">9. Đơn chuyển sang trạng thái "Đã giao"; block "LỊCH SỬ" có dòng mới "Đã gửi tại quầy lễ tân — Trần Thị Lan".</t>
  </si>
  <si>
    <t xml:space="preserve">Check gửi quầy bảo vệ ghi đúng mẫu câu nhật ký riêng của quầy bảo vệ</t>
  </si>
  <si>
    <t xml:space="preserve">1. Đăng nhập bằng tài khoản A, đăng 1 tin NEED khai tài khoản C là người nhận, rồi đăng xuất. (setup)
2. Đăng nhập bằng tài khoản B, nhận đơn đó, nhấn "Tôi đã lấy hàng" và xác nhận. (setup)
3. Nhấn nút mở màn "Xác nhận đã giao".
4. Chọn "Quầy bảo vệ" ở field "Giao cho".
5. Nhập "Lê Văn Tám" vào ô "Họ tên người trực quầy".
6. Nhập "0901112223" vào ô "Số điện thoại".
7. Đính 1 ảnh JPG từ thư viện thiết bị.
8. Nhấn "Xác nhận đã giao hàng" và đồng ý ở popup xác nhận.
9. Check dòng mới nhất ở block "LỊCH SỬ".</t>
  </si>
  <si>
    <t xml:space="preserve">9. Block "LỊCH SỬ" có dòng mới "Đã gửi tại quầy bảo vệ — Lê Văn Tám", ⛔ KHÔNG dùng chữ "quầy lễ tân".</t>
  </si>
  <si>
    <t xml:space="preserve">Check nút xác nhận đã giao hàng chỉ bật sau khi đính ảnh bằng chứng đầu tiên</t>
  </si>
  <si>
    <t xml:space="preserve">1. Đăng nhập bằng tài khoản A, đăng 1 tin NEED khai tài khoản C là người nhận, rồi đăng xuất. (setup)
2. Đăng nhập bằng tài khoản B, nhận đơn đó, nhấn "Tôi đã lấy hàng" và xác nhận. (setup)
3. Nhấn nút mở màn "Xác nhận đã giao".
4. Chọn "Người nhận" ở field "Giao cho" mà chưa đính ảnh nào.
5. Check trạng thái nút "Xác nhận đã giao hàng".
6. Đính 1 ảnh JPG từ thư viện thiết bị.
7. Check lại trạng thái nút "Xác nhận đã giao hàng".</t>
  </si>
  <si>
    <t xml:space="preserve">7. Nút "Xác nhận đã giao hàng" ở trạng thái disable tại step 5 khi chưa có ảnh, và chuyển sang enable ngay sau khi đính ảnh đầu tiên.</t>
  </si>
  <si>
    <t xml:space="preserve">Check ảnh bằng chứng đã gắn mốc nhật ký không xoá được từ màn theo dõi đơn</t>
  </si>
  <si>
    <t xml:space="preserve">1. Đăng nhập bằng tài khoản A, đăng 1 tin NEED khai tài khoản C là người nhận, rồi đăng xuất. (setup)
2. Đăng nhập bằng tài khoản B, nhận đơn đó, nhấn "Tôi đã lấy hàng" và xác nhận. (setup)
3. Mở màn "Xác nhận đã giao", chọn "Người nhận", đính 1 ảnh JPG rồi nhấn "Xác nhận đã giao hàng" và đồng ý ở popup. (setup)
4. Mở block "LỊCH SỬ" và mở ảnh bằng chứng vừa ghi.
5. Nhấn giữ vào ảnh và tìm thao tác xoá ảnh.
6. Check ảnh bằng chứng ở mốc "Đã giao" sau khi đã thử xoá.</t>
  </si>
  <si>
    <t xml:space="preserve">6. KHÔNG có thao tác xoá nào khả dụng và ảnh bằng chứng vẫn còn nguyên ở mốc nhật ký.</t>
  </si>
  <si>
    <t xml:space="preserve">Check huỷ ở popup xác nhận giao hàng không ghi mốc và giữ nguyên trạng thái đơn</t>
  </si>
  <si>
    <t xml:space="preserve">1. Đăng nhập bằng tài khoản A, đăng 1 tin NEED khai tài khoản C là người nhận, rồi đăng xuất. (setup)
2. Đăng nhập bằng tài khoản B, nhận đơn đó, nhấn "Tôi đã lấy hàng" và xác nhận. (setup)
3. Mở màn "Xác nhận đã giao", chọn "Người nhận" và đính 1 ảnh JPG. (setup)
4. Nhấn "Xác nhận đã giao hàng".
5. Check nội dung popup xác nhận.
6. Nhấn nút huỷ ở popup.
7. Check trạng thái đơn và số dòng ở block "LỊCH SỬ".</t>
  </si>
  <si>
    <t xml:space="preserve">7. Đơn vẫn ở trạng thái "Đang giao" và block "LỊCH SỬ" KHÔNG có dòng mốc mới nào được thêm.</t>
  </si>
  <si>
    <t xml:space="preserve">▬▬  5. Luồng không liên lạc được  ·  8 TC (TC-DLV-050…TC-DLV-057)</t>
  </si>
  <si>
    <t xml:space="preserve">Check luồng không liên lạc được đi đúng bốn tầng và ba phương án đúng thứ tự</t>
  </si>
  <si>
    <t xml:space="preserve">1. Đăng nhập bằng tài khoản A, đăng 1 tin NEED khai tài khoản C là người nhận, rồi đăng xuất. (setup)
2. Đăng nhập bằng tài khoản B, nhận đơn đó, nhấn "Tôi đã lấy hàng" và xác nhận. (setup)
3. Mở màn "Xác nhận đã giao" và nhấn "Không thể liên lạc cho người nhận?".
4. Check tên màn vừa mở và các thành phần trên màn đó.
5. Nhấn "Không thể liên lạc với người gửi và người nhận?".
6. Check tiêu đề và hai lựa chọn của modal vừa hiện.
7. Nhấn "Xử lý đơn hàng".
8. Check tên màn vừa mở và thứ tự các phương án trên màn đó.</t>
  </si>
  <si>
    <t xml:space="preserve">8. Màn "Xử lý đơn hàng" hiển thị đúng ba phương án theo thứ tự từ trên xuống: "Gửi tại chốt bảo vệ", "Gửi tại quầy lễ tân", "Cầm hàng về".</t>
  </si>
  <si>
    <t xml:space="preserve">Check màn liên hệ người gửi để trống ô người nhận thay và tự sinh uỷ quyền bởi người gửi</t>
  </si>
  <si>
    <t xml:space="preserve">1. Đăng nhập bằng tài khoản A, đăng 1 tin NEED khai tài khoản C là người nhận, rồi đăng xuất. (setup)
2. Đăng nhập bằng tài khoản B, nhận đơn đó, nhấn "Tôi đã lấy hàng" và xác nhận. (setup)
3. Mở màn "Xác nhận đã giao" và nhấn "Không thể liên lạc cho người nhận?". (setup)
4. Chọn "Người được uỷ quyền" ở field "Giao cho" trên màn "Liên hệ người gửi".
5. Check giá trị hai ô tên và số điện thoại người nhận thay, dòng "Uỷ quyền bởi", khu vực liên hệ người gửi và dấu bắt buộc của ô ảnh.</t>
  </si>
  <si>
    <t xml:space="preserve">5. Hai ô tên và số điện thoại người nhận thay để TRỐNG, dòng "Uỷ quyền bởi" hiển thị "Người gửi" ở trạng thái chỉ đọc, màn hiện số điện thoại người gửi kèm nút gọi, và ô ảnh mang dấu bắt buộc.</t>
  </si>
  <si>
    <t xml:space="preserve">Check gửi quầy từ màn xử lý đơn hàng chuyển đơn sang đã giao khi nhập đủ tên và ảnh</t>
  </si>
  <si>
    <t xml:space="preserve">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nhấn "Không thể liên lạc với người gửi và người nhận?" rồi nhấn "Xử lý đơn hàng". (setup)
4. Nhấn "Gửi tại quầy lễ tân".
5. Nhập "Phạm Thị Hoa" vào ô "Họ tên người trực quầy".
6. Nhập "0933444555" vào ô "Số điện thoại".
7. Đính 1 ảnh JPG từ thư viện thiết bị.
8. Nhấn nút xác nhận và đồng ý ở popup xác nhận.
9. Check trạng thái đơn và dòng mới nhất ở block "LỊCH SỬ".</t>
  </si>
  <si>
    <t xml:space="preserve">9. Đơn chuyển sang trạng thái "Đã giao"; block "LỊCH SỬ" có dòng mới "Đã gửi tại quầy lễ tân — Phạm Thị Hoa".</t>
  </si>
  <si>
    <t xml:space="preserve">Check không nhập được tên người trực quầy thì buộc chuyển sang cầm hàng về</t>
  </si>
  <si>
    <t xml:space="preserve">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nhấn "Không thể liên lạc với người gửi và người nhận?" rồi nhấn "Xử lý đơn hàng". (setup)
4. Nhấn "Gửi tại chốt bảo vệ".
5. Đính 1 ảnh JPG và để TRỐNG ô "Họ tên người trực quầy".
6. Nhấn nút xác nhận.
7. Check trạng thái đơn và các phương án còn khả dụng trên màn.</t>
  </si>
  <si>
    <t xml:space="preserve">7. Đơn vẫn ở trạng thái "Đang giao" và màn vẫn còn phương án "Cầm hàng về" để chọn tiếp.</t>
  </si>
  <si>
    <t xml:space="preserve">Check người gửi thấy cảnh báo không liên lạc được người nhận trong nhật ký</t>
  </si>
  <si>
    <t xml:space="preserve">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"Gửi tại quầy lễ tân", nhập tên người trực quầy và số điện thoại, đính 1 ảnh rồi xác nhận, sau đó đăng xuất. (setup)
4. Đăng nhập bằng tài khoản A, nhấn tab "Hoạt động" và mở đơn đó. (setup)
5. Mở block "LỊCH SỬ" và check cảnh báo gắn với mốc gửi quầy.</t>
  </si>
  <si>
    <t xml:space="preserve">5. Block "LỊCH SỬ" hiển thị cảnh báo không liên lạc được người nhận gắn đúng mốc gửi quầy.</t>
  </si>
  <si>
    <t xml:space="preserve">Check người vận chuyển thấy cảnh báo không liên lạc được người nhận trong nhật ký</t>
  </si>
  <si>
    <t xml:space="preserve">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"Gửi tại quầy lễ tân", nhập tên người trực quầy và số điện thoại, đính 1 ảnh rồi xác nhận. (setup)
4. Nhấn tab "Hoạt động" và mở lại đơn đó. (setup)
5. Mở block "LỊCH SỬ" và check cảnh báo gắn với mốc gửi quầy.</t>
  </si>
  <si>
    <t xml:space="preserve">Check người nhận thấy cảnh báo không liên lạc được người nhận trong nhật ký</t>
  </si>
  <si>
    <t xml:space="preserve">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"Gửi tại quầy lễ tân", nhập tên người trực quầy và số điện thoại, đính 1 ảnh rồi xác nhận, sau đó đăng xuất. (setup)
4. Đăng nhập bằng tài khoản C, nhấn tab "Hoạt động" và mở đơn đó. (setup)
5. Mở block "LỊCH SỬ" và check cảnh báo gắn với mốc gửi quầy.</t>
  </si>
  <si>
    <t xml:space="preserve">Check người nhận nhận đủ hai thông báo nhắc sau bốn giờ và cuối ngày giữ hàng tại quầy</t>
  </si>
  <si>
    <t xml:space="preserve">- Tài khoản A, B, C là ba CBNV khác nhau trên STG.
- Host app FoxPro đã cài trên thiết bị Android/iOS.
- Dev/QA hỗ trợ lùi timestamp đơn để vượt mốc 4 giờ — ⛔ không tái tạo được qua UI.</t>
  </si>
  <si>
    <t xml:space="preserve">1. Đăng nhập bằng tài khoản A, đăng 1 tin NEED khai tài khoản C là người nhận, rồi đăng xuất. (setup)
2. Đăng nhập bằng tài khoản B, nhận đơn đó, nhấn "Tôi đã lấy hàng" và xác nhận. (setup)
3. Mở màn "Xác nhận đã giao", chọn "Quầy lễ tân", nhập tên người trực quầy và số điện thoại, đính 1 ảnh rồi xác nhận, sau đó đăng xuất. (setup)
4. Nhờ dev/QA lùi timestamp của mốc gửi quầy để vượt mốc 4 giờ, rồi chờ tới hết ngày làm việc mà tài khoản C không xác nhận đã nhận hàng. (setup)
5. Đăng nhập bằng tài khoản C, nhấn tab "Thông báo" và check các thông báo của đơn này.</t>
  </si>
  <si>
    <t xml:space="preserve">5. Tab "Thông báo" có đủ hai thông báo nhắc cho đơn này — một sau mốc 4 giờ và một vào cuối ngày.</t>
  </si>
  <si>
    <t xml:space="preserve">▬▬  6. Cầm hàng về  ·  10 TC (TC-DLV-058…TC-DLV-067)</t>
  </si>
  <si>
    <t xml:space="preserve">Check chọn giao lại sau đổi nhãn khối lịch hẹn sang hẹn giao lại và nơi giao lại</t>
  </si>
  <si>
    <t xml:space="preserve">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rồi nhấn "Cầm hàng về". (setup)
4. Chọn "Tôi sẽ giao lại sau".
5. Check tiêu đề khối lịch hẹn và nhãn ô địa điểm.</t>
  </si>
  <si>
    <t xml:space="preserve">5. Khối lịch hẹn mang tiêu đề "Hẹn giao lại" và ô địa điểm mang nhãn "Nơi giao lại".</t>
  </si>
  <si>
    <t xml:space="preserve">Check chọn trả về cho người gửi đổi nhãn khối lịch hẹn sang hẹn trả hàng và nơi nhận lại hàng</t>
  </si>
  <si>
    <t xml:space="preserve">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rồi nhấn "Cầm hàng về". (setup)
4. Chọn "Tôi sẽ trả về cho người gửi".
5. Check tiêu đề khối lịch hẹn và nhãn ô địa điểm.</t>
  </si>
  <si>
    <t xml:space="preserve">5. Khối lịch hẹn mang tiêu đề "Hẹn trả hàng" và ô địa điểm mang nhãn "Nơi nhận lại hàng".</t>
  </si>
  <si>
    <t xml:space="preserve">Check ngày hẹn nhận đúng bảy ngày và chặn ngày thứ tám</t>
  </si>
  <si>
    <t xml:space="preserve">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"Cầm hàng về" rồi chọn "Tôi sẽ giao lại sau". (setup)
4. Chọn ngày hẹn là ngày hiện tại cộng 7 ngày.
5. Chọn lại ngày hẹn là ngày hiện tại cộng 8 ngày.
6. Check trạng thái ô "Ngày hẹn" và thông báo lỗi nếu có.</t>
  </si>
  <si>
    <t xml:space="preserve">6. Ngày cộng 7 được nhận không báo lỗi, còn ngày cộng 8 bị chặn kèm thông báo lỗi ở ô "Ngày hẹn".</t>
  </si>
  <si>
    <t xml:space="preserve">Check khoảng giờ hẹn nhận đúng ba mươi phút và chặn khoảng hai mươi chín phút</t>
  </si>
  <si>
    <t xml:space="preserve">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"Cầm hàng về", chọn "Tôi sẽ giao lại sau" và chọn ngày hẹn hợp lệ. (setup)
4. Chọn giờ từ "09:00" và giờ đến "09:30".
5. Chọn lại giờ đến "09:29".
6. Chọn lại giờ đến "08:30".
7. Check trạng thái hai ô giờ và thông báo lỗi nếu có.</t>
  </si>
  <si>
    <t xml:space="preserve">7. Khoảng 09:00–09:30 được nhận không báo lỗi, còn khoảng 09:00–09:29 và khoảng có giờ đến nhỏ hơn giờ từ đều bị chặn kèm thông báo lỗi.</t>
  </si>
  <si>
    <t xml:space="preserve">Check người vận chuyển mở lại màn giao hàng đưa đơn hẹn giao lại về đang giao</t>
  </si>
  <si>
    <t xml:space="preserve">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"Cầm hàng về", chọn "Tôi sẽ giao lại sau", nhập lịch hẹn hợp lệ và xác nhận. (setup)
4. Nhấn tab "Hoạt động" và mở lại đơn đó.
5. Nhấn "Giao lại theo lịch".
6. Check màn vừa mở và trạng thái đơn.</t>
  </si>
  <si>
    <t xml:space="preserve">6. Màn giao hàng mở lại được và đơn trở về trạng thái "Đang giao".</t>
  </si>
  <si>
    <t xml:space="preserve">Check người gửi xác nhận đã nhận lại hàng đóng đơn ở trạng thái đã trả người gửi</t>
  </si>
  <si>
    <t xml:space="preserve">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"Cầm hàng về", chọn "Tôi sẽ trả về cho người gửi", nhập lịch hẹn hợp lệ và xác nhận, rồi đăng xuất. (setup)
4. Đăng nhập bằng tài khoản A, nhấn tab "Hoạt động" và mở đơn đó. (setup)
5. Nhấn "Xác nhận đã nhận lại hàng" và đồng ý ở popup xác nhận.
6. Check trạng thái đơn và tab chứa đơn.</t>
  </si>
  <si>
    <t xml:space="preserve">6. Đơn chuyển sang trạng thái đã trả lại người gửi và nằm ở tab "Đã hoàn thành".</t>
  </si>
  <si>
    <t xml:space="preserve">Check đơn đã trả người gửi không mở bước tặng quà cho người gửi</t>
  </si>
  <si>
    <t xml:space="preserve">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"Cầm hàng về", chọn "Tôi sẽ trả về cho người gửi", nhập lịch hẹn hợp lệ và xác nhận, rồi đăng xuất. (setup)
4. Đăng nhập bằng tài khoản A, mở đơn đó và nhấn "Xác nhận đã nhận lại hàng". (setup)
5. Check màn Theo dõi đơn ngay sau khi xác nhận và các nút trên đơn ở tab "Đã hoàn thành".</t>
  </si>
  <si>
    <t xml:space="preserve">5. KHÔNG có bước tặng quà nào mở ra và đơn KHÔNG có nút tặng quà.</t>
  </si>
  <si>
    <t xml:space="preserve">Check đơn đã trả người gửi không làm tăng chỉ số đơn đã giúp của người vận chuyển</t>
  </si>
  <si>
    <t xml:space="preserve">1. Đăng nhập bằng tài khoản A, đăng 1 tin NEED khai tài khoản C là người nhận, rồi đăng xuất. (setup)
2. Đăng nhập bằng tài khoản B, mở Trang chủ và ghi lại con số "đơn đã giúp" ở khối hero. (setup)
3. Nhận đơn đó, nhấn "Tôi đã lấy hàng" và xác nhận. (setup)
4. Mở màn "Xác nhận đã giao", nhấn "Không thể liên lạc cho người nhận?", đi tiếp tới màn "Xử lý đơn hàng", nhấn "Cầm hàng về", chọn "Tôi sẽ trả về cho người gửi", nhập lịch hẹn hợp lệ và xác nhận, rồi đăng xuất. (setup)
5. Đăng nhập bằng tài khoản A, mở đơn đó, nhấn "Xác nhận đã nhận lại hàng" rồi đăng xuất. (setup)
6. Đăng nhập lại bằng tài khoản B, mở Trang chủ và check con số "đơn đã giúp" ở khối hero.</t>
  </si>
  <si>
    <t xml:space="preserve">6. Con số "đơn đã giúp" bằng đúng con số đã ghi ở step 2, không tăng.</t>
  </si>
  <si>
    <t xml:space="preserve">Check lý do người nhận từ chối nhận hàng được lưu vào nhật ký đơn</t>
  </si>
  <si>
    <t xml:space="preserve">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rồi nhấn "Cầm hàng về". (setup)
4. Chọn "Tôi sẽ trả về cho người gửi".
5. Nhập "Người nhận từ chối nhận hàng" vào ô ghi chú.
6. Nhập lịch hẹn hợp lệ và nhấn xác nhận.
7. Mở block "LỊCH SỬ" và check ghi chú kèm mốc cầm hàng về.</t>
  </si>
  <si>
    <t xml:space="preserve">7. Block "LỊCH SỬ" lưu đúng nguyên văn ghi chú "Người nhận từ chối nhận hàng" gắn với mốc cầm hàng về.</t>
  </si>
  <si>
    <t xml:space="preserve">Check đơn quá lịch hẹn hai mươi bốn giờ không tự chuyển sang hoàn thành</t>
  </si>
  <si>
    <t xml:space="preserve">- Tài khoản A, B, C là ba CBNV khác nhau trên STG.
- Host app FoxPro đã cài trên thiết bị Android/iOS.
- Dev/QA hỗ trợ lùi timestamp lịch hẹn để vượt mốc 24 giờ — ⛔ không tái tạo được qua UI.</t>
  </si>
  <si>
    <t xml:space="preserve">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"Cầm hàng về", chọn "Tôi sẽ giao lại sau", nhập lịch hẹn hợp lệ và xác nhận, rồi đăng xuất. (setup)
4. Nhờ dev/QA lùi timestamp lịch hẹn để vượt mốc 24 giờ mà không ai đóng đơn. (setup)
5. Đăng nhập bằng tài khoản A, nhấn tab "Hoạt động" và mở đơn đó. (setup)
6. Check trạng thái đơn, nhãn trên đơn và tab chứa đơn.</t>
  </si>
  <si>
    <t xml:space="preserve">6. Đơn KHÔNG ở trạng thái "Hoàn thành", KHÔNG có nhãn hay cờ mới nào so với trước mốc, và vẫn nằm ở tab "Đang diễn ra".</t>
  </si>
  <si>
    <t xml:space="preserve">▬▬  7. Nhật ký sáu mẫu câu  ·  6 TC (TC-DLV-068…TC-DLV-073)</t>
  </si>
  <si>
    <t xml:space="preserve">Check nhật ký ghi đúng nguyên văn mẫu câu giao tận tay người nhận</t>
  </si>
  <si>
    <t xml:space="preserve">1. Đăng nhập bằng tài khoản A, đăng 1 tin NEED khai tài khoản C là người nhận, rồi đăng xuất. (setup)
2. Đăng nhập bằng tài khoản B, nhận đơn đó, nhấn "Tôi đã lấy hàng" và xác nhận. (setup)
3. Mở màn "Xác nhận đã giao", chọn "Người nhận", đính 1 ảnh JPG rồi nhấn "Xác nhận đã giao hàng" và đồng ý ở popup. (setup)
4. Mở block "LỊCH SỬ" và check dòng mốc giao hàng.</t>
  </si>
  <si>
    <t xml:space="preserve">4. Dòng mốc giao hàng ghi đúng nguyên văn "Đã giao tận tay người nhận", kèm thời điểm và dấu hiệu có ảnh bằng chứng.</t>
  </si>
  <si>
    <t xml:space="preserve">Check nhật ký ghi đúng nguyên văn mẫu câu giao cho người được uỷ quyền</t>
  </si>
  <si>
    <t xml:space="preserve">1. Đăng nhập bằng tài khoản A, đăng 1 tin NEED khai tài khoản C là người nhận, rồi đăng xuất. (setup)
2. Đăng nhập bằng tài khoản B, nhận đơn đó, nhấn "Tôi đã lấy hàng" và xác nhận. (setup)
3. Mở màn "Xác nhận đã giao", chọn "Người được uỷ quyền", nhập tên "Nguyễn Văn Bảy" và số điện thoại "0912345678", đính 1 ảnh JPG rồi nhấn "Xác nhận đã giao hàng" và đồng ý ở popup. (setup)
4. Mở block "LỊCH SỬ" và check dòng mốc giao hàng.</t>
  </si>
  <si>
    <t xml:space="preserve">4. Dòng mốc giao hàng ghi đúng nguyên văn "Đã giao cho người được uỷ quyền — Nguyễn Văn Bảy · 0912345678 — uỷ quyền bởi Người nhận", kèm thời điểm và dấu hiệu có ảnh bằng chứng.</t>
  </si>
  <si>
    <t xml:space="preserve">Check nhật ký ghi đúng nguyên văn mẫu câu gửi tại quầy lễ tân</t>
  </si>
  <si>
    <t xml:space="preserve">1. Đăng nhập bằng tài khoản A, đăng 1 tin NEED khai tài khoản C là người nhận, rồi đăng xuất. (setup)
2. Đăng nhập bằng tài khoản B, nhận đơn đó, nhấn "Tôi đã lấy hàng" và xác nhận. (setup)
3. Mở màn "Xác nhận đã giao", chọn "Quầy lễ tân", nhập tên "Trần Thị Lan" và số điện thoại "0987654321", đính 1 ảnh JPG rồi nhấn "Xác nhận đã giao hàng" và đồng ý ở popup. (setup)
4. Mở block "LỊCH SỬ" và check dòng mốc giao hàng.</t>
  </si>
  <si>
    <t xml:space="preserve">4. Dòng mốc giao hàng ghi đúng nguyên văn "Đã gửi tại quầy lễ tân — Trần Thị Lan", kèm thời điểm và dấu hiệu có ảnh bằng chứng.</t>
  </si>
  <si>
    <t xml:space="preserve">Check nhật ký ghi đúng nguyên văn mẫu câu gửi tại quầy bảo vệ</t>
  </si>
  <si>
    <t xml:space="preserve">1. Đăng nhập bằng tài khoản A, đăng 1 tin NEED khai tài khoản C là người nhận, rồi đăng xuất. (setup)
2. Đăng nhập bằng tài khoản B, nhận đơn đó, nhấn "Tôi đã lấy hàng" và xác nhận. (setup)
3. Mở màn "Xác nhận đã giao", chọn "Quầy bảo vệ", nhập tên "Lê Văn Tám" và số điện thoại "0901112223", đính 1 ảnh JPG rồi nhấn "Xác nhận đã giao hàng" và đồng ý ở popup. (setup)
4. Mở block "LỊCH SỬ" và check dòng mốc giao hàng.</t>
  </si>
  <si>
    <t xml:space="preserve">4. Dòng mốc giao hàng ghi đúng nguyên văn "Đã gửi tại quầy bảo vệ — Lê Văn Tám", kèm thời điểm và dấu hiệu có ảnh bằng chứng.</t>
  </si>
  <si>
    <t xml:space="preserve">Check nhật ký ghi đúng nguyên văn mẫu câu cầm hàng về kèm lịch hẹn giao lại</t>
  </si>
  <si>
    <t xml:space="preserve">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"Cầm hàng về", chọn "Tôi sẽ giao lại sau", nhập ngày hẹn hợp lệ, giờ "09:00" đến "10:00", nơi hẹn "Sảnh toà FPT Tower" rồi xác nhận. (setup)
4. Mở block "LỊCH SỬ" và check dòng mốc cầm hàng về.</t>
  </si>
  <si>
    <t xml:space="preserve">4. Dòng mốc ghi đúng nguyên văn "Cầm hàng về — hẹn giao lại" kèm đúng ngày hẹn, khoảng giờ 09:00–10:00 và nơi hẹn "Sảnh toà FPT Tower" đã nhập.</t>
  </si>
  <si>
    <t xml:space="preserve">Check nhật ký ghi đúng nguyên văn mẫu câu đã trả lại người gửi</t>
  </si>
  <si>
    <t xml:space="preserve">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"Cầm hàng về", chọn "Tôi sẽ trả về cho người gửi", nhập lịch hẹn hợp lệ và xác nhận, rồi đăng xuất. (setup)
4. Đăng nhập bằng tài khoản A, mở đơn đó và nhấn "Xác nhận đã nhận lại hàng". (setup)
5. Mở block "LỊCH SỬ" và check dòng mốc cuối cùng.</t>
  </si>
  <si>
    <t xml:space="preserve">5. Dòng mốc cuối cùng ghi đúng nguyên văn "Đã trả lại người gửi", kèm thời điểm.</t>
  </si>
  <si>
    <t xml:space="preserve">▬▬  8. State machine transitions  ·  3 TC (TC-DLV-074…TC-DLV-076)</t>
  </si>
  <si>
    <t xml:space="preserve">Check chuyển thẳng đơn chờ ghép sang đã giao bị từ chối và không ghi mốc</t>
  </si>
  <si>
    <t xml:space="preserve">- Tài khoản A, B, C là ba CBNV khác nhau trên STG.
- Host app FoxPro đã cài trên thiết bị Android/iOS.
- Có sẵn công cụ proxy chặn và phát lại request trỏ vào app FoxEco trên STG.</t>
  </si>
  <si>
    <t xml:space="preserve">1. Đăng nhập bằng tài khoản A, đăng 1 tin NEED khai tài khoản C là người nhận. (setup)
2. Bật proxy chặn request và ghi lại request app gửi đi khi xác nhận một mốc trạng thái ở đơn khác. (setup)
3. Sửa request đã ghi thành yêu cầu chuyển đơn đang ở "Chờ ghép" sang "Đã giao" và phát lại request đó.
4. Mở lại đơn đó trên app và check trạng thái đơn cùng số dòng ở block "LỊCH SỬ".</t>
  </si>
  <si>
    <t xml:space="preserve">4. Đơn vẫn ở trạng thái "Chờ ghép" và block "LỊCH SỬ" KHÔNG có dòng mốc mới nào được thêm.</t>
  </si>
  <si>
    <t xml:space="preserve">Check chuyển thẳng đơn đang giao sang đã trả người gửi bị từ chối</t>
  </si>
  <si>
    <t xml:space="preserve">1. Đăng nhập bằng tài khoản A, đăng 1 tin NEED khai tài khoản C là người nhận, rồi đăng xuất. (setup)
2. Đăng nhập bằng tài khoản B, nhận đơn đó, nhấn "Tôi đã lấy hàng" và xác nhận. (setup)
3. Bật proxy chặn request và ghi lại request app gửi đi khi xác nhận một mốc trạng thái ở đơn khác. (setup)
4. Sửa request đã ghi thành yêu cầu chuyển đơn đang ở "Đang giao" thẳng sang trạng thái đã trả người gửi, bỏ qua bước hoàn hàng, và phát lại request đó.
5. Mở lại đơn đó trên app và check trạng thái đơn cùng số dòng ở block "LỊCH SỬ".</t>
  </si>
  <si>
    <t xml:space="preserve">5. Đơn vẫn ở trạng thái "Đang giao" và block "LỊCH SỬ" KHÔNG có dòng mốc mới nào được thêm.</t>
  </si>
  <si>
    <t xml:space="preserve">Check chuyển thẳng đơn đang giao sang hoàn thành bị từ chối</t>
  </si>
  <si>
    <t xml:space="preserve">1. Đăng nhập bằng tài khoản A, đăng 1 tin NEED khai tài khoản C là người nhận, rồi đăng xuất. (setup)
2. Đăng nhập bằng tài khoản B, nhận đơn đó, nhấn "Tôi đã lấy hàng" và xác nhận. (setup)
3. Bật proxy chặn request và ghi lại request app gửi đi khi xác nhận một mốc trạng thái ở đơn khác. (setup)
4. Sửa request đã ghi thành yêu cầu chuyển đơn đang ở "Đang giao" thẳng sang "Hoàn thành", bỏ qua bước "Đã giao", và phát lại request đó.
5. Mở lại đơn đó trên app và check trạng thái đơn cùng số dòng ở block "LỊCH SỬ".</t>
  </si>
  <si>
    <t xml:space="preserve">▬▬  9. NFR hiệu năng · bảo mật · riêng tư  ·  3 TC (TC-DLV-077…TC-DLV-079)</t>
  </si>
  <si>
    <t xml:space="preserve">Check tải năm ảnh bằng chứng trên mạng 4G hoàn tất dưới mười lăm giây</t>
  </si>
  <si>
    <t xml:space="preserve">- Tài khoản A, B, C là ba CBNV khác nhau trên STG.
- Host app FoxPro đã cài trên thiết bị Android/iOS.
- Thiết bị đang dùng mạng 4G, đã tắt Wi-Fi.
- Thư viện ảnh thiết bị có sẵn ≥5 ảnh JPG, mỗi ảnh đúng 5MB.
- Có sẵn đồng hồ bấm giờ.</t>
  </si>
  <si>
    <t xml:space="preserve">1. Đăng nhập bằng tài khoản A, đăng 1 tin NEED khai tài khoản C là người nhận, rồi đăng xuất. (setup)
2. Đăng nhập bằng tài khoản B, nhận đơn đó, nhấn "Tôi đã lấy hàng" và xác nhận. (setup)
3. Mở màn "Xác nhận đã giao" và chọn "Người nhận". (setup)
4. Khởi động đồng hồ bấm giờ rồi đính cùng lúc 5 ảnh JPG 5MB từ thư viện thiết bị.
5. Dừng đồng hồ bấm giờ khi cả 5 ảnh hiện đủ trong ô ảnh.
6. Lặp lại step 3 đến step 5 thêm 9 lần trên 9 đơn khác nhau và ghi lại 10 số đo.
7. Check 10 số đo đã ghi và chỉ báo tiến trình quan sát được trong lúc tải.</t>
  </si>
  <si>
    <t xml:space="preserve">7. Nhiều nhất 1 trong 10 số đo vượt 15 giây, và trong lúc tải luôn có chỉ báo tiến trình cùng khả năng thử lại từng ảnh lỗi riêng lẻ.</t>
  </si>
  <si>
    <t xml:space="preserve">Check nhật ký đơn không mất dòng mốc nào sau khi huỷ nhận đơn</t>
  </si>
  <si>
    <t xml:space="preserve">1. Đăng nhập bằng tài khoản A, đăng 1 tin NEED khai tài khoản C là người nhận, rồi đăng xuất. (setup)
2. Đăng nhập bằng tài khoản B, nhận đơn đó và xác nhận. (setup)
3. Mở block "LỊCH SỬ" và ghi lại toàn bộ các dòng mốc hiện có.
4. Nhấn "Huỷ nhận đơn" và xác nhận.
5. Bật proxy, ghi lại request app gửi đi khi thao tác trên đơn, rồi sửa thành yêu cầu sửa hoặc xoá một dòng nhật ký đã có và phát lại request đó.
6. Mở lại block "LỊCH SỬ" của đơn đó và check toàn bộ các dòng mốc.</t>
  </si>
  <si>
    <t xml:space="preserve">6. Block "LỊCH SỬ" vẫn giữ đủ mọi dòng mốc đã ghi ở step 3, gồm cả dòng ghép thành công, và KHÔNG dòng nào bị sửa hay biến mất.</t>
  </si>
  <si>
    <t xml:space="preserve">Check tên và số điện thoại người nhận thay chỉ xuất hiện trong nhật ký đơn</t>
  </si>
  <si>
    <t xml:space="preserve">1. Đăng nhập bằng tài khoản A, đăng 1 tin NEED khai tài khoản C là người nhận, rồi đăng xuất. (setup)
2. Đăng nhập bằng tài khoản B, nhận đơn đó, nhấn "Tôi đã lấy hàng" và xác nhận. (setup)
3. Mở màn "Xác nhận đã giao", chọn "Người được uỷ quyền", nhập tên "Nguyễn Văn Bảy" và số điện thoại "0912345678", đính 1 ảnh JPG rồi nhấn "Xác nhận đã giao hàng" và đồng ý ở popup. (setup)
4. Mở lần lượt Trang chủ, tab "Bảng tin", tab "Hoạt động" ở cả hai tab con, tab "Thông báo" và màn hồ sơ cá nhân.
5. Check từng màn ở step 4 xem có chỗ nào hiện tên "Nguyễn Văn Bảy" hoặc số "0912345678" không.</t>
  </si>
  <si>
    <t xml:space="preserve">5. KHÔNG màn nào trong số đó hiện tên "Nguyễn Văn Bảy" hay số "0912345678"; hai giá trị này chỉ xuất hiện ở block "LỊCH SỬ" của đơn.</t>
  </si>
  <si>
    <t xml:space="preserve">▬▬  10. Tiện ích copy nhanh  ·  2 TC (TC-DLV-080…TC-DLV-081)</t>
  </si>
  <si>
    <t xml:space="preserve">Check icon copy cạnh số điện thoại sao chép đúng nội dung và đổi màu xanh</t>
  </si>
  <si>
    <t xml:space="preserve">1. Đăng nhập bằng tài khoản A, đăng 1 tin NEED khai tài khoản C là người nhận, rồi đăng xuất. (setup)
2. Đăng nhập bằng tài khoản B, nhận đơn đó và xác nhận. (setup)
3. Nhấn tab "Hoạt động" và mở đơn đó. (setup)
4. Ghi lại số điện thoại liên hệ đang hiển thị trên màn Theo dõi đơn.
5. Nhấn icon copy cạnh số điện thoại đó.
6. Dán nội dung vừa copy vào ô tìm kiếm ở tab "Bảng tin" và check nội dung dán ra cùng trạng thái icon copy lúc vừa nhấn.</t>
  </si>
  <si>
    <t xml:space="preserve">6. Nội dung dán ra đúng nguyên văn số điện thoại đã ghi ở step 4, và icon copy đã đổi trạng thái sang màu xanh khoảng 2 giây rồi trở lại bình thường.</t>
  </si>
  <si>
    <t xml:space="preserve">Check icon copy cạnh địa chỉ giao sao chép đúng nội dung và đổi màu xanh</t>
  </si>
  <si>
    <t xml:space="preserve">1. Đăng nhập bằng tài khoản A, đăng 1 tin NEED khai tài khoản C là người nhận, rồi đăng xuất. (setup)
2. Đăng nhập bằng tài khoản B, nhận đơn đó và xác nhận. (setup)
3. Nhấn tab "Hoạt động" và mở đơn đó. (setup)
4. Ghi lại địa chỉ giao đang hiển thị trên màn Theo dõi đơn.
5. Nhấn icon copy cạnh địa chỉ giao đó.
6. Dán nội dung vừa copy vào ô tìm kiếm ở tab "Bảng tin" và check nội dung dán ra cùng trạng thái icon copy lúc vừa nhấn.</t>
  </si>
  <si>
    <t xml:space="preserve">6. Nội dung dán ra đúng nguyên văn địa chỉ giao đã ghi ở step 4, và icon copy đã đổi trạng thái sang màu xanh khoảng 2 giây rồi trở lại bình thường.</t>
  </si>
  <si>
    <t xml:space="preserve">▬▬  1. Card tin ở Bảng tin  ·  1 TC (TC-FEED-002)</t>
  </si>
  <si>
    <t xml:space="preserve">Check card tin ở Bảng tin đủ thành phần và không có nút CTA</t>
  </si>
  <si>
    <t xml:space="preserve">- Tài khoản B là CBNV có hồ sơ đầy đủ trên STG.
- Host app FoxPro đã cài trên thiết bị Android/iOS.</t>
  </si>
  <si>
    <t xml:space="preserve">1. Đăng nhập bằng tài khoản B, nhấn tab "Bảng tin". (setup)
2. Check lần lượt các thành phần và rà toàn bộ card tin đầu tiên tìm nút "Tôi mang giúp được".</t>
  </si>
  <si>
    <t xml:space="preserve">2. Card hiển thị đủ: icon/ảnh hàng, dòng loại hàng kèm giá trị hàng, thời gian đăng, dòng "Nhận:"/"Giao:" dạng rút gọn, khung giờ mong muốn; card KHÔNG có nút "Tôi mang giúp được" ở bất kỳ đâu.</t>
  </si>
  <si>
    <t xml:space="preserve">▬▬  2. Chi tiết tin  ·  1 TC (TC-FEED-007)</t>
  </si>
  <si>
    <t xml:space="preserve">Check phần dưới Chi tiết tin đủ lộ trình, khung giờ, tên người gửi và CTA</t>
  </si>
  <si>
    <t xml:space="preserve">1. Đăng nhập bằng tài khoản B, nhấn tab "Bảng tin" và nhấn 1 tin do tài khoản khác đăng. (setup)
2. Cuộn xuống phần dưới màn Chi tiết tin.
3. Check lần lượt các thành phần.</t>
  </si>
  <si>
    <t xml:space="preserve">3. Hiển thị đủ: khối Lộ trình gồm điểm lấy hàng và điểm giao hàng đầy đủ như data đã đăng kèm khung "Bản đồ · ~X km", khung giờ mong muốn, cụm Người gửi có đúng họ tên (KHÔNG có số điện thoại), và nút "Tôi mang giúp được".</t>
  </si>
  <si>
    <t xml:space="preserve">▬▬  3. Bản đồ tuyến  ·  2 TC (TC-FEED-009…TC-FEED-015)</t>
  </si>
  <si>
    <t xml:space="preserve">Check khung bản đồ ở Chi tiết tin là ảnh tĩnh có vẽ tuyến thật</t>
  </si>
  <si>
    <t xml:space="preserve">- Tin NEED có điểm lấy hàng và điểm giao hàng đều thuộc văn phòng CÓ đủ toạ độ (lat/lng) trong `location_address_catalog.xlsx` — chọn văn phòng NGOÀI danh sách lỗi `C-FEED-05`.
- Host app FoxPro đã cài trên thiết bị Android/iOS.</t>
  </si>
  <si>
    <t xml:space="preserve">1. Đăng nhập bằng tài khoản B, nhấn tab "Bảng tin" và nhấn tin đó để mở màn Chi tiết tin. (setup)
2. Check khung "Bản đồ · ~X km".</t>
  </si>
  <si>
    <t xml:space="preserve">2. Khung hiển thị ảnh bản đồ **tĩnh có vẽ tuyến** từ điểm lấy tới điểm giao (không phải khung trống/placeholder); có dòng "~X km" (không assert giá trị số cụ thể).</t>
  </si>
  <si>
    <t xml:space="preserve">DOC-v1.1-04</t>
  </si>
  <si>
    <t xml:space="preserve">Check khung bản đồ hiện placeholder và 0km khi văn phòng thiếu toạ độ</t>
  </si>
  <si>
    <t xml:space="preserve">- Tin NEED có điểm lấy hoặc điểm giao là văn phòng THIẾU lat/lng trong `location_address_catalog.xlsx` (theo danh sách lỗi đã xác nhận ở `C-FEED-05`).
- Host app FoxPro đã cài trên thiết bị Android/iOS.</t>
  </si>
  <si>
    <t xml:space="preserve">1. Đăng nhập bằng tài khoản B, nhấn tab "Bảng tin" và nhấn tin đó để mở màn Chi tiết tin. (setup)
2. Check khung "Bản đồ · ~X km" và tổng thể bố cục màn.</t>
  </si>
  <si>
    <t xml:space="preserve">2. Khung hiển thị placeholder kèm thông báo (không phải ảnh bản đồ vẽ tuyến); khoảng cách hiện đúng "0km"; màn không vỡ layout.</t>
  </si>
  <si>
    <t xml:space="preserve">▬▬  4. Empty state Bảng tin  ·  1 TC (TC-FEED-013)</t>
  </si>
  <si>
    <t xml:space="preserve">Check empty state Bảng tin đúng text và chỉ 1 danh sách không tab</t>
  </si>
  <si>
    <t xml:space="preserve">- Tài khoản B là CBNV có hồ sơ đầy đủ trên STG.</t>
  </si>
  <si>
    <t xml:space="preserve">1. Nhờ dev/QA chuẩn bị môi trường không còn tin NEED ở trạng thái "Chờ ghép". (setup)
2. Đăng nhập bằng tài khoản B, nhấn tab "Bảng tin". (setup)
3. Check vùng danh sách, text hiển thị, nút CTA, và cấu trúc màn (có tab con hay không).</t>
  </si>
  <si>
    <t xml:space="preserve">3. Vùng danh sách hiện đúng chuỗi "Chưa có tin nào", có câu gợi ý **mở rộng khu vực hoặc đăng tin**, kèm nút CTA "Đăng tin"; màn Bảng tin chỉ có **1 danh sách duy nhất, không có tab con nào**.</t>
  </si>
  <si>
    <t xml:space="preserve">▬▬  1. Danh mục quà  ·  1 TC (TC-GIFT-002)</t>
  </si>
  <si>
    <t xml:space="preserve">Check màn "Tặng quà" hiển thị đúng tên bốn loại quà theo danh mục chính thức</t>
  </si>
  <si>
    <t xml:space="preserve">- Đơn đã ở trạng thái Hoàn thành của `SEED-GIFT-01` (xem sheet `Seed` của chính file này), chưa gửi quà — không seed riêng.
- Host app FoxPro đã cài trên thiết bị Android/iOS.</t>
  </si>
  <si>
    <t xml:space="preserve">1. Đăng nhập FoxEco bằng tài khoản A, nhấn tab "Hoạt động" ở bottom nav rồi nhấn tab con "Đã hoàn thành". (setup)
2. Nhấn vào card đơn Hoàn thành đó để mở màn Theo dõi đơn. (setup)
3. Nhấn nút "✓ Cảm ơn người vận chuyển". (setup)
4. Đọc danh sách quà hiển thị trên màn "Tặng quà".</t>
  </si>
  <si>
    <t xml:space="preserve">4. Màn hiển thị đúng 4 loại quà, đúng tên: "Bông hoa", "Ly cà phê", "Gấu bông", "Vương miện"; không có loại thứ năm, không có loại nào bị đổi tên hay đổi icon.</t>
  </si>
  <si>
    <t xml:space="preserve">▬▬  2. Gửi quà  ·  1 TC (TC-GIFT-003)</t>
  </si>
  <si>
    <t xml:space="preserve">Check gửi quà hiện đúng popup "Cảm ơn của bạn đã được gửi" kèm nút về trang chủ</t>
  </si>
  <si>
    <t xml:space="preserve">- Đơn đã ở trạng thái Hoàn thành của `SEED-GIFT-02` (xem sheet `Seed` của chính file này, đơn RIÊNG — TC này sẽ tiêu đơn) — không seed riêng.
- Host app FoxPro đã cài trên thiết bị Android/iOS.</t>
  </si>
  <si>
    <t xml:space="preserve">1. Đăng nhập FoxEco bằng tài khoản A, nhấn tab "Hoạt động" ở bottom nav rồi nhấn tab con "Đã hoàn thành". (setup)
2. Nhấn vào card đơn Hoàn thành đó để mở màn Theo dõi đơn. (setup)
3. Nhấn nút "✓ Cảm ơn người vận chuyển". (setup)
4. Chọn loại quà "Bông hoa".
5. Nhấn nút xác nhận gửi quà.</t>
  </si>
  <si>
    <t xml:space="preserve">5. Quà gửi ngay, không có bước chờ xác nhận của người vận chuyển; popup hiện đúng chuỗi "Cảm ơn của bạn đã được gửi" kèm nút về trang chủ.</t>
  </si>
  <si>
    <t xml:space="preserve">▬▬  3. Thống kê quà đã nhận  ·  2 TC (TC-GIFT-006…TC-GIFT-007)</t>
  </si>
  <si>
    <t xml:space="preserve">Check card đếm quà hiển thị đúng từng loại và tổng khi nhận 5 quà thuộc 2 loại</t>
  </si>
  <si>
    <t xml:space="preserve">- Tài khoản B đã nhận 5 quà gồm 3 "Bông hoa" và 2 "Gấu bông" của `SEED-GIFT-05` (xem sheet `Seed` của chính file này, v1.1 revised) — không seed riêng.
- Host app FoxPro đã cài trên thiết bị Android/iOS.</t>
  </si>
  <si>
    <t xml:space="preserve">1. Đăng nhập FoxEco bằng tài khoản B, nhấn tab "Cá nhân" và nhấn mục menu "Quà đã nhận". (setup)
2. Check các loại quà và số lượng hiển thị trên card đếm.</t>
  </si>
  <si>
    <t xml:space="preserve">2. Card đếm hiển thị đúng 2 loại "Bông hoa" (3) và "Gấu bông" (2), tổng = 5; KHÔNG hiển thị "Ly cà phê" và "Vương miện" kể cả dưới dạng số 0.</t>
  </si>
  <si>
    <t xml:space="preserve">Check màn "Quà đã nhận" có danh sách lịch sử nhận quà</t>
  </si>
  <si>
    <t xml:space="preserve">- Tài khoản B đã nhận 5 quà ở các thời điểm khác nhau của `SEED-GIFT-05` (xem sheet `Seed` của chính file này, dùng chung với `TC-GIFT-006`) — không seed riêng.
- Host app FoxPro đã cài trên thiết bị Android/iOS.</t>
  </si>
  <si>
    <t xml:space="preserve">1. Đăng nhập FoxEco bằng tài khoản B, nhấn tab "Cá nhân" và nhấn mục menu "Quà đã nhận". (setup)
2. Cuộn hết màn, check vùng danh sách lịch sử nhận quà.</t>
  </si>
  <si>
    <t xml:space="preserve">2. Màn CÓ danh sách lịch sử nhận quà (không chỉ có card đếm); số dòng khớp số lần đã nhận quà của `SEED-GIFT-05`.</t>
  </si>
  <si>
    <t xml:space="preserve">▬▬  4. Empty state Quà đã nhận  ·  1 TC (TC-GIFT-008)</t>
  </si>
  <si>
    <t xml:space="preserve">Check empty state "Quà đã nhận" đúng text và không có CTA</t>
  </si>
  <si>
    <t xml:space="preserve">- Tài khoản CBNV "trắng" trên STG (chưa từng nhận quà, chưa có đơn Hoàn thành nào).
- Host app FoxPro đã cài trên thiết bị Android/iOS.</t>
  </si>
  <si>
    <t xml:space="preserve">1. Đăng nhập FoxEco bằng tài khoản "trắng". (setup)
2. Nhấn tab "Cá nhân" và nhấn mục menu "Quà đã nhận". (setup)
3. Check text hiển thị trên màn "Quà đã nhận", thống kê "Đơn đã giúp"/"Quà đã nhận" trên Trang cá nhân, và sự tồn tại của bất kỳ nút CTA nào.</t>
  </si>
  <si>
    <t xml:space="preserve">3. Màn "Quà đã nhận" hiện đúng chuỗi "Chưa nhận được quà nào"; thống kê trên Trang cá nhân hiện đúng "0 đơn đã giúp" / "0 quà đã nhận"; KHÔNG có nút CTA nào trên màn.</t>
  </si>
  <si>
    <t xml:space="preserve">▬▬  5. Dấu vết sao · điểm · tier  ·  1 TC (TC-GIFT-011)</t>
  </si>
  <si>
    <t xml:space="preserve">Check không có sao, điểm, tier hay chỉ số môi trường trên cả 4 bề mặt của luồng tặng quà</t>
  </si>
  <si>
    <t xml:space="preserve">- Đơn đã ở trạng thái Hoàn thành của `SEED-GIFT-06` (xem sheet `Seed` của chính file này, đơn RIÊNG — TC này sẽ tiêu đơn khi gửi quà) — không seed riêng.
- Host app FoxPro đã cài trên thiết bị Android/iOS.</t>
  </si>
  <si>
    <t xml:space="preserve">1. Đăng nhập FoxEco bằng tài khoản A, nhấn tab "Hoạt động" ở bottom nav rồi nhấn tab con "Đã hoàn thành". (setup)
2. Nhấn vào card đơn Hoàn thành đó để mở màn Theo dõi đơn. (setup)
3. Nhấn nút "✓ Cảm ơn người vận chuyển". (setup)
4. Chọn 1 loại quà bất kỳ và nhấn xác nhận gửi để mở popup cảm ơn.
5. Đóng popup, nhấn tab "Cá nhân" rồi mở mục menu "Quà đã nhận".
6. Rà toàn bộ 4 bề mặt vừa đi qua (màn "Tặng quà", popup cảm ơn, màn "Quà đã nhận", Trang cá nhân) tìm chấm sao 1–5, điểm số, tier/xếp hạng, chỉ số môi trường.</t>
  </si>
  <si>
    <t xml:space="preserve">6. KHÔNG có chấm sao 1–5, KHÔNG có điểm, KHÔNG có tier/xếp hạng, KHÔNG có chỉ số môi trường ở bất kỳ bề mặt nào trong 4 bề mặt trên.</t>
  </si>
  <si>
    <t xml:space="preserve">▬▬  6. Đơn đã trả người gửi  ·  2 TC (TC-GIFT-013…TC-GIFT-014)</t>
  </si>
  <si>
    <t xml:space="preserve">Check đơn RETURNED không có nút tặng quà và vẫn hiện trong lịch sử đơn</t>
  </si>
  <si>
    <t xml:space="preserve">- Đã có sẵn 1 đơn ở trạng thái `RETURNED`, đi hết nhánh `IN_TRANSIT → RETURNING → RETURNED` của `SEED-GIFT-08` (xem sheet `Seed` của chính file này, dùng chung với `DLV`) — không seed riêng; ⚠ có thể KHÔNG seed được nếu STG chưa build `FR09`.
- Host app FoxPro đã cài trên thiết bị Android/iOS.</t>
  </si>
  <si>
    <t xml:space="preserve">1. Đăng nhập FoxEco bằng tài khoản A (Người gửi của đơn `RETURNED` đó), nhấn tab "Hoạt động" ở bottom nav rồi nhấn tab con "Đã hoàn thành". (setup)
2. Nhấn vào card đơn `RETURNED` đó để mở màn Theo dõi đơn. (setup)
3. Rà toàn bộ màn tìm nút tặng quà/"✓ Cảm ơn người vận chuyển", đồng thời check nội dung lý do hoàn hàng.</t>
  </si>
  <si>
    <t xml:space="preserve">3. KHÔNG có nút tặng quà (hay "✓ Cảm ơn người vận chuyển") ở bất kỳ đâu trên màn; màn hiển thị lý do hoàn hàng và đơn vẫn nằm trong lịch sử đơn.</t>
  </si>
  <si>
    <t xml:space="preserve">Check đơn RETURNED không được tính vào chỉ số "Đơn đã giúp"</t>
  </si>
  <si>
    <t xml:space="preserve">- Tài khoản B (Người vận chuyển) đã có sẵn N đơn `COMPLETED` được tính vào "Đơn đã giúp" (tái dùng đơn Hoàn thành từ `SEED-GIFT-01`/`02`/`05`/`06`) — không seed riêng.
- Host app FoxPro đã cài trên thiết bị Android/iOS.</t>
  </si>
  <si>
    <t xml:space="preserve">1. Đăng nhập FoxEco bằng tài khoản B, nhấn tab "Cá nhân". (setup)
2. Check và ghi lại số "Đơn đã giúp" hiện tại trên Trang cá nhân (giá trị N).
3. Thực hiện luồng hoàn hàng cho 1 đơn khác của cùng tài khoản B tới khi đơn đó chuyển hẳn sang `RETURNED` (theo đúng quy trình liên module với `DLV`, dùng chung `SEED-GIFT-08`/`SC-DLV-053..056` — xem sheet `Seed` của chính file này). (setup)
4. Quay lại Trang cá nhân, check lại số "Đơn đã giúp".</t>
  </si>
  <si>
    <t xml:space="preserve">4. Số "Đơn đã giúp" vẫn là N (không đổi thành N+1) dù vừa phát sinh thêm 1 đơn `RETURNED`.</t>
  </si>
  <si>
    <t xml:space="preserve">▬▬  1. Hero và số liệu cộng đồng  ·  3 TC (TC-HOME-008…TC-HOME-031)</t>
  </si>
  <si>
    <t xml:space="preserve">Check card Đóng góp của bạn hiện đúng số đơn đã giúp và không có chỉ số môi trường</t>
  </si>
  <si>
    <t xml:space="preserve">1. Đăng nhập bằng tài khoản A, mở Trang chủ và ghi lại con số đơn đã giúp ở khối hero. (setup)
2. Đăng xuất, đăng nhập bằng tài khoản B, đăng 1 tin NEED khai tài khoản C là người nhận, rồi đăng xuất. (setup)
3. Đăng nhập bằng tài khoản A, nhận đơn đó, nhấn "Tôi đã lấy hàng" và xác nhận, rồi giao hàng cho tới khi đơn sang "Đã giao", sau đó đăng xuất. (setup)
4. Đăng nhập bằng tài khoản C, mở đơn đó và nhấn xác nhận đã nhận hàng, rồi đăng xuất. (setup)
5. Đăng nhập lại bằng tài khoản A và mở Trang chủ. (setup)
6. Check con số ở khối hero, dòng số liệu cộng đồng và toàn bộ nội dung card "Đóng góp của bạn".</t>
  </si>
  <si>
    <t xml:space="preserve">6. Khối hero hiện con số lớn hơn đúng 1 so với con số đã ghi ở step 1; dòng số liệu cộng đồng hiện đúng định dạng "[số] đơn · [số] người"; card KHÔNG hiện chỉ số CO₂ hay điểm ECO nào.</t>
  </si>
  <si>
    <t xml:space="preserve">Check hero hiện số không với tài khoản chỉ từng làm người gửi</t>
  </si>
  <si>
    <t xml:space="preserve">- Tài khoản CBNV "sạch" trên STG = `SEED-HOME-01` (0 đóng góp) — dùng chung với `TC-HOME-027/028`, không chuẩn bị lại.
- Tài khoản B và C là hai CBNV khác trên STG.
- Host app FoxPro đã cài trên thiết bị Android/iOS.</t>
  </si>
  <si>
    <t xml:space="preserve">1. Đăng nhập bằng tài khoản "sạch", đăng 1 tin NEED khai tài khoản C là người nhận, rồi đăng xuất. (setup)
2. Đăng nhập bằng tài khoản B, nhận đơn đó, nhấn "Tôi đã lấy hàng" và xác nhận, rồi giao hàng cho tới khi đơn sang "Đã giao", sau đó đăng xuất. (setup)
3. Đăng nhập bằng tài khoản C, mở đơn đó và nhấn xác nhận đã nhận hàng, rồi đăng xuất. (setup)
4. Đăng nhập lại bằng tài khoản "sạch" và mở Trang chủ. (setup)
5. Check con số đơn đã giúp ở khối hero.</t>
  </si>
  <si>
    <t xml:space="preserve">5. Khối hero hiện số 0, đơn Hoàn thành ở vai người gửi KHÔNG được cộng vào.</t>
  </si>
  <si>
    <t xml:space="preserve">Check số đơn cộng đồng tăng đúng một ngay sau khi có đơn hoàn thành</t>
  </si>
  <si>
    <t xml:space="preserve">1. Đăng nhập bằng tài khoản A, mở Trang chủ và ghi lại số đơn ở dòng số liệu cộng đồng. (setup)
2. Đăng xuất, đăng nhập bằng tài khoản B, đăng 1 tin NEED khai tài khoản C là người nhận, nhờ một tài khoản phụ khác nhận và giao đơn đó cho tới khi đơn sang "Đã giao", rồi đăng xuất. (setup)
3. Đăng nhập bằng tài khoản C, mở đơn đó và nhấn xác nhận đã nhận hàng, rồi đăng xuất. (setup)
4. Đăng nhập lại bằng tài khoản A và mở lại Trang chủ. (setup)
5. Check số đơn ở dòng số liệu cộng đồng.</t>
  </si>
  <si>
    <t xml:space="preserve">5. Số đơn ở dòng cộng đồng lớn hơn đúng 1 so với con số đã ghi ở step 1.</t>
  </si>
  <si>
    <t xml:space="preserve">▬▬  2. Section Tin mới  ·  5 TC (TC-HOME-019…TC-HOME-030)</t>
  </si>
  <si>
    <t xml:space="preserve">Check section Tin mới hiển thị đúng năm tin khi hệ thống có nhiều hơn năm tin hợp lệ</t>
  </si>
  <si>
    <t xml:space="preserve">1. Đăng nhập bằng tài khoản B, đăng 6 tin NEED còn hiệu lực qua wizard "+ Đăng tin", rồi đăng xuất. (setup)
2. Đăng nhập bằng tài khoản A và mở Trang chủ. (setup)
3. Đếm số tin hiển thị trong section "Tin mới".</t>
  </si>
  <si>
    <t xml:space="preserve">3. Section "Tin mới" hiển thị đúng 5 tin, không nhiều hơn và không ít hơn.</t>
  </si>
  <si>
    <t xml:space="preserve">Check nút Xem thêm trên Bảng tin hiện và dẫn sang Bảng tin khi có hơn năm tin hợp lệ</t>
  </si>
  <si>
    <t xml:space="preserve">1. Đăng nhập bằng tài khoản B, đăng 6 tin NEED còn hiệu lực qua wizard "+ Đăng tin", rồi đăng xuất. (setup)
2. Đăng nhập bằng tài khoản A và mở Trang chủ. (setup)
3. Cuộn xuống cuối section "Tin mới".
4. Nhấn nút "Xem thêm trên Bảng tin".
5. Check tên màn vừa mở.</t>
  </si>
  <si>
    <t xml:space="preserve">5. Nút "Xem thêm trên Bảng tin" hiện ở cuối section và nhấn vào mở đúng màn Bảng tin.</t>
  </si>
  <si>
    <t xml:space="preserve">Check nút Xem thêm trên Bảng tin không hiện khi chỉ có đúng năm tin hợp lệ</t>
  </si>
  <si>
    <t xml:space="preserve">- Tài khoản A là CBNV có hồ sơ đầy đủ trên STG.
- Host app FoxPro đã cài trên thiết bị Android/iOS.
- Môi trường STG riêng hoặc khung giờ đã dọn dữ liệu, cho phép khống chế tổng số tin NEED hợp lệ của TOÀN hệ thống.</t>
  </si>
  <si>
    <t xml:space="preserve">1. Dọn dữ liệu STG để toàn hệ thống không còn tin NEED hợp lệ nào, rồi đăng đúng 5 tin NEED còn hiệu lực bằng tài khoản phụ, sau đó đăng xuất. (setup)
2. Đăng nhập bằng tài khoản A và mở Trang chủ. (setup)
3. Đếm số tin trong section "Tin mới" rồi cuộn xuống cuối section.
4. Check khu vực cuối section "Tin mới".</t>
  </si>
  <si>
    <t xml:space="preserve">4. Section hiển thị đúng 5 tin và cuối section KHÔNG có nút "Xem thêm trên Bảng tin".</t>
  </si>
  <si>
    <t xml:space="preserve">REQ-HOME-011, REQ-HOME-012</t>
  </si>
  <si>
    <t xml:space="preserve">Check empty state section Tin mới hiện đúng chuỗi và nút đăng tin ngay</t>
  </si>
  <si>
    <t xml:space="preserve">- Tài khoản A là CBNV có hồ sơ đầy đủ trên STG.
- Host app FoxPro đã cài trên thiết bị Android/iOS.
- Môi trường STG riêng hoặc khung giờ đã dọn dữ liệu, cho phép đưa toàn hệ thống về 0 tin NEED hợp lệ.</t>
  </si>
  <si>
    <t xml:space="preserve">1. Dọn dữ liệu STG để toàn hệ thống không còn tin NEED hợp lệ nào ngoài tin của chính tài khoản A. (setup)
2. Đăng nhập bằng tài khoản A và mở Trang chủ. (setup)
3. Check vùng nội dung của section "Tin mới": icon, dòng tiêu đề, dòng giải thích và nút CTA.</t>
  </si>
  <si>
    <t xml:space="preserve">3. Section hiện icon nét mảnh, dòng tiêu đề đúng chuỗi "Chưa có tin nào trong khu vực của bạn", dòng giải thích "Đăng tin để đồng nghiệp nhìn thấy nhu cầu của bạn" và nút CTA "Đăng tin ngay"; không có skeleton kéo dài.</t>
  </si>
  <si>
    <t xml:space="preserve">Check section Tin mới loại trừ tin đã ghép tin hết hạn và tin của chính mình</t>
  </si>
  <si>
    <t xml:space="preserve">- Tài khoản A và B là hai CBNV khác nhau trên STG.
- Host app FoxPro đã cài trên thiết bị Android/iOS.
- Dev/QA hỗ trợ lùi "Đến ngày" của 1 tin để tạo tin hết hạn — ⛔ không tạo được qua UI.</t>
  </si>
  <si>
    <t xml:space="preserve">1. Đăng nhập bằng tài khoản B, đăng 6 tin NEED còn hiệu lực với tiêu đề phân biệt được, rồi đăng xuất. (setup)
2. Đăng nhập bằng tài khoản phụ thứ ba, nhận 1 trong 6 tin đó để đưa tin sang trạng thái đã ghép, rồi đăng xuất. (setup)
3. Nhờ dev/QA lùi "Đến ngày" của 1 tin khác trong 6 tin đó để tin chuyển sang hết hạn. (setup)
4. Đăng nhập bằng tài khoản A, đăng 1 tin NEED với tiêu đề riêng biệt. (setup)
5. Mở Trang chủ và đối chiếu tiêu đề từng tin trong section "Tin mới" với ba tin đã đánh dấu ở step 2, 3 và 4.</t>
  </si>
  <si>
    <t xml:space="preserve">5. Cả ba tin đã đánh dấu đều KHÔNG xuất hiện trong section "Tin mới".</t>
  </si>
  <si>
    <t xml:space="preserve">▬▬  3. Empty state Trang chủ  ·  2 TC (TC-HOME-027…TC-HOME-028)</t>
  </si>
  <si>
    <t xml:space="preserve">Check section Đơn của tôi vẫn hiện kèm empty state khi chưa có đơn đang chạy</t>
  </si>
  <si>
    <t xml:space="preserve">- Tài khoản CBNV "sạch" trên STG = `SEED-HOME-01` (0 tin đã đăng, 0 đơn đang chạy, 0 đóng góp) — dùng chung với `TC-HOME-028/029`, chuẩn bị 1 lần.
- Host app FoxPro đã cài trên thiết bị Android/iOS.</t>
  </si>
  <si>
    <t xml:space="preserve">1. Đăng nhập FoxEco bằng tài khoản "sạch". (setup)
2. Mở Trang chủ. (setup)
3. Check sự tồn tại của section "Đơn của tôi" và nội dung bên trong section đó.</t>
  </si>
  <si>
    <t xml:space="preserve">3. Section "Đơn của tôi" VẪN hiển thị trên Trang chủ, bên trong có icon nét mảnh, dòng "Bạn chưa có đơn nào đang chạy" và nút CTA "Tạo đơn gửi hàng".</t>
  </si>
  <si>
    <t xml:space="preserve">Check hero và cụm cộng đồng hiện số không khi tài khoản và hệ thống chưa có đóng góp</t>
  </si>
  <si>
    <t xml:space="preserve">- Tài khoản CBNV "sạch" trên STG = `SEED-HOME-01` (0 tin đã đăng, 0 đơn đang chạy, 0 đóng góp) — dùng chung với `TC-HOME-027/029`, không chuẩn bị lại.
- Host app FoxPro đã cài trên thiết bị Android/iOS.
- Môi trường STG chưa có đơn Hoàn thành nào của bất kỳ tài khoản nào.</t>
  </si>
  <si>
    <t xml:space="preserve">1. Đăng nhập FoxEco bằng tài khoản "sạch". (setup)
2. Mở Trang chủ. (setup)
3. Check khối hero, cụm số liệu cộng đồng và các nút CTA trong vùng này.</t>
  </si>
  <si>
    <t xml:space="preserve">3. Khối hero hiện "0 · Chưa có đóng góp nào", cụm cộng đồng hiện "0 đơn · 0 người", và vùng này KHÔNG có nút CTA nào.</t>
  </si>
  <si>
    <t xml:space="preserve">▬▬  4. Hiệu năng NFR01  ·  1 TC (TC-HOME-032)</t>
  </si>
  <si>
    <t xml:space="preserve">Check nội dung đầu Trang chủ hiển thị dưới hai giây khi có một nghìn người dùng đồng thời</t>
  </si>
  <si>
    <t xml:space="preserve">- Tài khoản A là CBNV có hồ sơ đầy đủ trên STG.
- Môi trường load-test mô phỏng được 1.000 người dùng đồng thời trên mạng 4G — ⛔ không dựng được bằng thiết bị tay.
- Có sẵn công cụ đo thời gian hiển thị nội dung đầu tiên.</t>
  </si>
  <si>
    <t xml:space="preserve">1. Khởi động kịch bản load-test mô phỏng 1.000 người dùng đồng thời truy cập FoxEco trên mạng 4G. (setup)
2. Mở Trang chủ bằng tài khoản A trong lúc tải đang ở mức đỉnh.
3. Check số đo thời gian từ lúc mở màn tới lúc nội dung đầu tiên hiển thị, lấy theo phân vị 95.</t>
  </si>
  <si>
    <t xml:space="preserve">3. Số đo phân vị 95 nhỏ hơn 2 giây.</t>
  </si>
  <si>
    <t xml:space="preserve">▬▬  1. Thông báo hoàn tất đơn  ·  1 TC (TC-NTF-005)</t>
  </si>
  <si>
    <t xml:space="preserve">Check xác nhận nhận hàng sinh thông báo hoàn tất đúng text cho hai vai</t>
  </si>
  <si>
    <t xml:space="preserve">- Đơn đã ở checkpoint 3 (`DELIVERED`/Đã giao) của `SEED-DLV-01` — không seed riêng, không cần 2 thiết bị.
- Host app FoxPro đã cài trên thiết bị Android/iOS.</t>
  </si>
  <si>
    <t xml:space="preserve">1. Ngay sau khi người nhận nhấn "Xác nhận đã nhận hàng" và xác nhận (đẩy đơn sang `COMPLETED`), đăng nhập tài khoản A (người gửi), nhấn icon chuông, check nội dung thông báo về đơn đó. (setup)
2. Đăng nhập tài khoản B (người vận chuyển), nhấn icon chuông, check nội dung thông báo về đơn đó.</t>
  </si>
  <si>
    <t xml:space="preserve">2. Cả tài khoản A và tài khoản B đều có thông báo đúng chuỗi verbatim "Đơn đã hoàn tất — cảm ơn bạn!".</t>
  </si>
  <si>
    <t xml:space="preserve">▬▬  2. Riêng tư trong nội dung thông báo  ·  1 TC (TC-NTF-008)</t>
  </si>
  <si>
    <t xml:space="preserve">Check không thông báo nào trong đủ 15 sự kiện chứa số điện thoại</t>
  </si>
  <si>
    <t xml:space="preserve">- Có sẵn 1 đơn đi trọn vòng đời chính (`SEED-DLV-01` checkpoint 0→4) VÀ đơn/nhóm đơn đã đi qua đủ 6 nhánh phụ FR08/FR09 (uỷ quyền · quầy lễ tân · quầy bảo vệ · không liên lạc được · hẹn giao lại · trả hàng — tái dùng từ `TC-NTF-017..022` bên dưới, không seed riêng).
- Vế push cần ≥2 thiết bị/phiên thật đăng nhập đúng lúc sự kiện xảy ra.
- Host app FoxPro đã cài trên thiết bị Android/iOS.</t>
  </si>
  <si>
    <t xml:space="preserve">1. Với từng tài khoản liên quan (người gửi/vận chuyển/nhận) của toàn bộ đơn trên, đăng nhập lần lượt, nhấn icon chuông và đọc toàn bộ nội dung từng thông báo trong danh sách — bao trùm đủ 15 sự kiện `NTF-01..15`.
2. Với thiết bị đã đăng nhập sẵn trong lúc sự kiện xảy ra, kéo thanh thông báo hệ thống và đọc toàn bộ nội dung các push đã nhận.</t>
  </si>
  <si>
    <t xml:space="preserve">2. KHÔNG thông báo nào (in-app lẫn push), kể cả 6 sự kiện mới `NTF-10..15`, chứa dãy số điện thoại; các dòng nhạy cảm nhất (`NTF-10`/`11`/`12`) chỉ được nhắc "có ảnh bằng chứng"/"cần xác nhận uỷ quyền", không kèm số.</t>
  </si>
  <si>
    <t xml:space="preserve">▬▬  3. Danh mục 15 sự kiện  ·  1 TC (TC-NTF-014)</t>
  </si>
  <si>
    <t xml:space="preserve">Check quan sát đủ 15 loại thông báo chính thức đúng người nhận từng loại</t>
  </si>
  <si>
    <t xml:space="preserve">- Có sẵn cùng bộ đơn của `TC-NTF-008` (vòng đời chính + đủ 6 nhánh phụ FR08/FR09) — không seed riêng.
- Host app FoxPro đã cài trên thiết bị Android/iOS.</t>
  </si>
  <si>
    <t xml:space="preserve">1. Với từng tài khoản liên quan, đăng nhập lần lượt, nhấn icon chuông và liệt kê toàn bộ loại thông báo (nội dung + người nhận) đã nhận được cho các đơn trên.
2. Đối chiếu danh sách vừa liệt kê với danh mục 15 loại chính thức `NTF-01..15` (test_data_catalog §NTF v1.1).</t>
  </si>
  <si>
    <t xml:space="preserve">2. Quan sát đủ **15/15 loại** thông báo chính thức, mỗi loại đúng người nhận theo danh mục; thiếu loại nào hoặc sai người nhận loại nào thì ghi rõ tên loại thiếu/sai để log finding.</t>
  </si>
  <si>
    <t xml:space="preserve">▬▬  4. Thông báo nhánh giao nhận mở rộng  ·  6 TC (TC-NTF-017…TC-NTF-022)</t>
  </si>
  <si>
    <t xml:space="preserve">Check giao cho người được uỷ quyền sinh thông báo NTF-10 cho hai vai</t>
  </si>
  <si>
    <t xml:space="preserve">- Đơn đã được Carrier xác nhận giao hàng theo phương án "Người được uỷ quyền" ở nhánh FR08 (Carrier nhập tên người nhận thay, đính ≥1 ảnh, xác nhận — theo `SC-DLV-038`) — không seed riêng, chạy chung lô vibe-test `DLV`.
- Host app FoxPro đã cài trên thiết bị Android/iOS.</t>
  </si>
  <si>
    <t xml:space="preserve">1. Đăng nhập tài khoản người nhận, nhấn icon chuông, check nội dung thông báo về đơn đó.
2. Đăng nhập tài khoản người gửi, nhấn icon chuông, check nội dung thông báo về đơn đó.</t>
  </si>
  <si>
    <t xml:space="preserve">2. Cả người nhận và người gửi đều có thông báo `NTF-10` nêu đúng tên người nhận thay, đúng người uỷ quyền (người gửi hoặc người nhận), có nhắc "có ảnh bằng chứng"; KHÔNG chứa số điện thoại.</t>
  </si>
  <si>
    <t xml:space="preserve">Check gửi tại quầy sinh thông báo NTF-11 cho hai vai</t>
  </si>
  <si>
    <t xml:space="preserve">- Đơn đã được Carrier xác nhận giao hàng theo phương án gửi quầy (lễ tân hoặc bảo vệ) ở nhánh FR08 (nhập tên người trực, đính ≥1 ảnh, xác nhận — theo `SC-DLV-039`) — không seed riêng, chạy chung lô vibe-test `DLV`.
- Host app FoxPro đã cài trên thiết bị Android/iOS.</t>
  </si>
  <si>
    <t xml:space="preserve">2. Cả người nhận và người gửi đều có thông báo `NTF-11` nêu đúng loại quầy (lễ tân/bảo vệ) + tên người trực; KHÔNG chứa số điện thoại.</t>
  </si>
  <si>
    <t xml:space="preserve">Check không liên lạc được người nhận sinh thông báo NTF-12 cho người gửi</t>
  </si>
  <si>
    <t xml:space="preserve">- Carrier đã bấm "Không liên lạc được người nhận?" và chọn hướng liên hệ người gửi xin uỷ quyền khác ở nhánh FR08 (theo `SC-DLV-044`) — không seed riêng, chạy chung lô vibe-test `DLV`.
- Host app FoxPro đã cài trên thiết bị Android/iOS.</t>
  </si>
  <si>
    <t xml:space="preserve">1. Đăng nhập tài khoản người gửi, nhấn icon chuông, check nội dung thông báo về đơn đó.</t>
  </si>
  <si>
    <t xml:space="preserve">1. Tài khoản người gửi có thông báo `NTF-12` đúng chuỗi "Người vận chuyển không liên lạc được người nhận — cần bạn xác nhận uỷ quyền cho người khác nhận hàng"; KHÔNG chứa số điện thoại người nhận.</t>
  </si>
  <si>
    <t xml:space="preserve">Check hẹn giao lại sinh thông báo NTF-13 đúng biến cho hai vai</t>
  </si>
  <si>
    <t xml:space="preserve">- Carrier đã chọn "Cầm hàng về" → chế độ hẹn giao lại (`retry`), nhập lịch hẹn hợp lệ {ngày · giờ} + {nơi hẹn} ở nhánh FR09 (theo `SC-DLV-049`), đơn chuyển `RESCHEDULED` — không seed riêng, chạy chung lô vibe-test `DLV`.
- Host app FoxPro đã cài trên thiết bị Android/iOS.</t>
  </si>
  <si>
    <t xml:space="preserve">2. Cả người nhận và người gửi đều có thông báo `NTF-13` đúng {ngày · giờ} và {nơi hẹn} vừa nhập; KHÔNG chứa số điện thoại.</t>
  </si>
  <si>
    <t xml:space="preserve">Check trả hàng về người gửi sinh thông báo NTF-14 đúng biến cho hai vai</t>
  </si>
  <si>
    <t xml:space="preserve">- Carrier đã chọn "Cầm hàng về" → chế độ trả người gửi (`return`), nhập lịch hẹn hợp lệ {ngày · giờ} + {nơi hẹn} ở nhánh FR09 (theo `SC-DLV-049`, chế độ khác `TC-NTF-020`), đơn chuyển `RETURNING` — không seed riêng, chạy chung lô vibe-test `DLV`.
- Host app FoxPro đã cài trên thiết bị Android/iOS.</t>
  </si>
  <si>
    <t xml:space="preserve">1. Đăng nhập tài khoản người gửi, nhấn icon chuông, check nội dung thông báo về đơn đó.
2. Đăng nhập tài khoản người nhận, nhấn icon chuông, check nội dung thông báo về đơn đó.</t>
  </si>
  <si>
    <t xml:space="preserve">2. Cả người gửi và người nhận đều có thông báo `NTF-14` đúng {ngày · giờ} và {nơi hẹn} vừa nhập; KHÔNG chứa số điện thoại.</t>
  </si>
  <si>
    <t xml:space="preserve">Check xác nhận đã nhận lại hàng sinh thông báo NTF-15 cho hai vai</t>
  </si>
  <si>
    <t xml:space="preserve">- Đơn đã ở `RETURNING` (tái dùng từ `TC-NTF-021`) — không seed riêng.
- Host app FoxPro đã cài trên thiết bị Android/iOS.</t>
  </si>
  <si>
    <t xml:space="preserve">1. Đăng nhập tài khoản người gửi, nhấn "Xác nhận đã nhận lại hàng" và xác nhận (đẩy đơn sang `RETURNED`). (setup)
2. Đăng nhập tài khoản người vận chuyển, nhấn icon chuông, check nội dung thông báo về đơn đó.
3. Đăng nhập tài khoản người nhận, nhấn icon chuông, check nội dung thông báo về đơn đó.</t>
  </si>
  <si>
    <t xml:space="preserve">3. Cả người vận chuyển và người nhận đều có thông báo `NTF-15` đúng chuỗi "Đơn đã đóng — hàng đã được trả lại người gửi".</t>
  </si>
  <si>
    <t xml:space="preserve">▬▬  1. Loại hàng  ·  1 TC (TC-ORD-005)</t>
  </si>
  <si>
    <t xml:space="preserve">Check field Loại hàng có đúng tám giá trị và mặc định là Tài liệu</t>
  </si>
  <si>
    <t xml:space="preserve">1. Đăng nhập FoxEco bằng tài khoản A. (setup)
2. Nhấn "+ Đăng tin" rồi nhấn card "Tôi cần gửi hàng". (setup)
3. Check giá trị đang được chọn ở field "Loại hàng" và liệt kê toàn bộ lựa chọn theo thứ tự.</t>
  </si>
  <si>
    <t xml:space="preserve">3. Field có đúng 8 lựa chọn theo thứ tự "Tài liệu · Đồ điện tử · Thực phẩm · Hàng nhỏ · Đồ dễ vỡ · Quần áo · Thuốc/Y tế · Khác" và giá trị đang chọn sẵn là "Tài liệu".</t>
  </si>
  <si>
    <t xml:space="preserve">▬▬  2. Ảnh món hàng  ·  7 TC (TC-ORD-012…TC-ORD-071)</t>
  </si>
  <si>
    <t xml:space="preserve">Check tải một ảnh JPG hợp lệ hiện đúng bộ đếm một trên năm</t>
  </si>
  <si>
    <t xml:space="preserve">- Tài khoản A là CBNV có hồ sơ đầy đủ trên STG.
- Host app FoxPro đã cài trên thiết bị Android/iOS.
- Thư viện ảnh thiết bị có sẵn bộ ảnh mẫu dùng chung 3 module = `SEED-ORD-01`.</t>
  </si>
  <si>
    <t xml:space="preserve">1. Đăng nhập FoxEco, nhấn "+ Đăng tin" rồi nhấn card "Tôi cần gửi hàng". (setup)
2. Nhấn vùng "ẢNH HÀNG" và chọn 1 ảnh JPG nhỏ từ thư viện thiết bị.
3. Check ô ảnh và bộ đếm bên cạnh nhãn "ẢNH HÀNG".</t>
  </si>
  <si>
    <t xml:space="preserve">3. Ảnh hiện trong ô và bộ đếm hiển thị "1/5".</t>
  </si>
  <si>
    <t xml:space="preserve">Check khối ảnh hàng mang dấu bắt buộc và dòng helper nêu rõ ràng buộc</t>
  </si>
  <si>
    <t xml:space="preserve">1. Đăng nhập FoxEco, nhấn "+ Đăng tin" rồi nhấn card "Tôi cần gửi hàng". (setup)
2. Check nhãn khối ảnh, bộ đếm và dòng chữ hướng dẫn ngay dưới vùng tải ảnh khi chưa tải ảnh nào.</t>
  </si>
  <si>
    <t xml:space="preserve">2. Nhãn khối là "ẢNH HÀNG" kèm dấu sao bắt buộc, bộ đếm hiển thị "0/5" và dòng helper ghi đúng chuỗi "Bắt buộc ít nhất 1 ảnh · tối đa 5 ảnh · giúp người vận chuyển nhận diện hàng".</t>
  </si>
  <si>
    <t xml:space="preserve">Check chưa tải ảnh nào thì bị chặn sang bước hai</t>
  </si>
  <si>
    <t xml:space="preserve">1. Đăng nhập FoxEco, nhấn "+ Đăng tin" rồi nhấn card "Tôi cần gửi hàng". (setup)
2. Chọn chip "Thấp (Dưới 1 triệu đ)" ở khối "GIÁ TRỊ HÀNG (ƯỚC TÍNH)". (setup)
3. Chọn chip "Dưới 5 kg (Nhẹ)" ở khối "TRỌNG LƯỢNG". (setup)
4. Chọn chip "Nhỏ · Cầm tay" ở khối Kích thước. (setup)
5. Nhấn "Tiếp theo" khi chưa tải ảnh nào.
6. Check màn đang hiển thị và thông báo lỗi ở khối "ẢNH HÀNG".</t>
  </si>
  <si>
    <t xml:space="preserve">6. Wizard vẫn ở bước 1, không sang được bước 2, và có thông báo lỗi ở khối "ẢNH HÀNG".</t>
  </si>
  <si>
    <t xml:space="preserve">Check ảnh vượt năm MB bị từ chối và bộ đếm không tăng</t>
  </si>
  <si>
    <t xml:space="preserve">- Tài khoản A là CBNV có hồ sơ đầy đủ trên STG.
- Host app FoxPro đã cài trên thiết bị Android/iOS.
- Thư viện ảnh thiết bị có sẵn bộ ảnh mẫu dùng chung 3 module = `SEED-ORD-01`, gồm 1 ảnh &gt; 5MB.</t>
  </si>
  <si>
    <t xml:space="preserve">1. Đăng nhập FoxEco, nhấn "+ Đăng tin" rồi nhấn card "Tôi cần gửi hàng". (setup)
2. Nhấn vùng "ẢNH HÀNG" và chọn ảnh có dung lượng lớn hơn 5MB.
3. Check thông báo hiện ra và giá trị bộ đếm.</t>
  </si>
  <si>
    <t xml:space="preserve">3. Ảnh bị từ chối kèm thông báo lỗi và bộ đếm vẫn hiển thị "0/5".</t>
  </si>
  <si>
    <t xml:space="preserve">Check file sai định dạng bị từ chối và bộ đếm không tăng</t>
  </si>
  <si>
    <t xml:space="preserve">- Tài khoản A là CBNV có hồ sơ đầy đủ trên STG.
- Host app FoxPro đã cài trên thiết bị Android/iOS.
- Thư viện thiết bị có sẵn bộ mẫu dùng chung 3 module = `SEED-ORD-01`, gồm 1 file `.pdf`.</t>
  </si>
  <si>
    <t xml:space="preserve">1. Đăng nhập FoxEco, nhấn "+ Đăng tin" rồi nhấn card "Tôi cần gửi hàng". (setup)
2. Nhấn vùng "ẢNH HÀNG" và chọn file định dạng `.pdf` từ thiết bị.
3. Check thông báo hiện ra và giá trị bộ đếm.</t>
  </si>
  <si>
    <t xml:space="preserve">3. File bị từ chối kèm thông báo lỗi và bộ đếm vẫn hiển thị "0/5".</t>
  </si>
  <si>
    <t xml:space="preserve">Check tải đủ năm ảnh thì bộ đếm đạt trần và không thêm được ảnh thứ sáu</t>
  </si>
  <si>
    <t xml:space="preserve">- Tài khoản A là CBNV có hồ sơ đầy đủ trên STG.
- Host app FoxPro đã cài trên thiết bị Android/iOS.
- Thư viện ảnh thiết bị có sẵn bộ ảnh mẫu dùng chung 3 module = `SEED-ORD-01`, gồm ≥6 ảnh hợp lệ.</t>
  </si>
  <si>
    <t xml:space="preserve">1. Đăng nhập FoxEco, nhấn "+ Đăng tin" rồi nhấn card "Tôi cần gửi hàng". (setup)
2. Tải lần lượt 5 ảnh hợp lệ vào khối "ẢNH HÀNG", quan sát bộ đếm sau mỗi lần tải.
3. Thử tải thêm ảnh thứ 6.
4. Check bộ đếm và trạng thái nút thêm ảnh.</t>
  </si>
  <si>
    <t xml:space="preserve">4. Bộ đếm hiển thị "5/5", nút thêm ảnh bị ẩn và không chọn được ảnh thứ 6.</t>
  </si>
  <si>
    <t xml:space="preserve">Check xoá một ảnh làm bộ đếm giảm đúng một đơn vị</t>
  </si>
  <si>
    <t xml:space="preserve">1. Đăng nhập FoxEco, nhấn "+ Đăng tin" rồi nhấn card "Tôi cần gửi hàng". (setup)
2. Tải 5 ảnh hợp lệ vào khối "ẢNH HÀNG". (setup)
3. Nhấn nút xoá trên ảnh thứ ba.
4. Check bộ đếm, số ảnh còn lại và trạng thái nút thêm ảnh.</t>
  </si>
  <si>
    <t xml:space="preserve">4. Bộ đếm hiển thị "4/5", còn đúng 4 ảnh và chỉ mất đúng ảnh thứ ba, nút thêm ảnh hiện lại.</t>
  </si>
  <si>
    <t xml:space="preserve">▬▬  3. Prefill địa chỉ lấy hàng  ·  1 TC (TC-ORD-027)</t>
  </si>
  <si>
    <t xml:space="preserve">REQ-ORD-007, REQ-ORD-010</t>
  </si>
  <si>
    <t xml:space="preserve">Check ô địa chỉ lấy hàng điền sẵn địa chỉ mặc định của hồ sơ và sửa được</t>
  </si>
  <si>
    <t xml:space="preserve">- Tài khoản A là CBNV trên STG **đã đặt địa chỉ mặc định** ở màn "Cập nhật thông tin" = `SEED-ORD-03`.
- Host app FoxPro đã cài trên thiết bị Android/iOS.</t>
  </si>
  <si>
    <t xml:space="preserve">1. Đăng nhập FoxEco bằng tài khoản A, mở màn "Cập nhật thông tin" và ghi lại địa chỉ mặc định đang lưu. (setup)
2. Nhấn "+ Đăng tin", nhấn card "Tôi cần gửi hàng", nhập đủ trường bước 1 rồi nhấn "Tiếp theo" để sang bước 2. (setup)
3. Nhập thêm chuỗi " toà B" vào cuối ô "Địa chỉ lấy hàng".
4. Check giá trị ban đầu và giá trị sau khi sửa của ô "Địa chỉ lấy hàng".</t>
  </si>
  <si>
    <t xml:space="preserve">4. Ô đã điền sẵn đúng địa chỉ đã ghi ở step 1 và nhận được ký tự vừa nhập thêm.</t>
  </si>
  <si>
    <t xml:space="preserve">▬▬  4. Ô địa chỉ  ·  2 TC (TC-ORD-028…TC-ORD-055)</t>
  </si>
  <si>
    <t xml:space="preserve">Check ô địa chỉ là ô văn bản tự do không phải preset văn phòng</t>
  </si>
  <si>
    <t xml:space="preserve">1. Đăng nhập FoxEco, nhấn "+ Đăng tin", nhấn card "Tôi cần gửi hàng", nhập đủ trường bước 1 rồi nhấn "Tiếp theo". (setup)
2. Nhấn vào ô "Địa chỉ giao hàng".
3. Nhập chuỗi tự do "Số 7 ngõ 12 Trần Duy Hưng".
4. Check kiểu control của ô và giá trị vừa nhập.</t>
  </si>
  <si>
    <t xml:space="preserve">4. Ô là ô văn bản tự do nhận đúng chuỗi vừa nhập; KHÔNG có danh sách preset văn phòng hay chip gợi ý nào hiện ra.</t>
  </si>
  <si>
    <t xml:space="preserve">Check ô địa chỉ nhận đúng hai trăm ký tự và chặn ký tự thứ hai trăm lẻ một</t>
  </si>
  <si>
    <t xml:space="preserve">1. Đăng nhập FoxEco, nhấn "+ Đăng tin", nhấn card "Tôi cần gửi hàng", nhập đủ trường bước 1 rồi nhấn "Tiếp theo". (setup)
2. Nhập chuỗi đúng 200 ký tự vào ô "Địa chỉ giao hàng".
3. Nhập thêm 1 ký tự nữa vào cuối ô.
4. Check số ký tự thực tế còn lại trong ô.</t>
  </si>
  <si>
    <t xml:space="preserve">4. Ô giữ đúng 200 ký tự, ký tự thứ 201 không được nhận.</t>
  </si>
  <si>
    <t xml:space="preserve">▬▬  5. Khoảng ngày  ·  4 TC (TC-ORD-030…TC-ORD-057)</t>
  </si>
  <si>
    <t xml:space="preserve">Check chọn ngày quá khứ cho Từ ngày bị chặn</t>
  </si>
  <si>
    <t xml:space="preserve">1. Đăng nhập FoxEco, nhấn "+ Đăng tin", nhấn card "Tôi cần gửi hàng", nhập đủ trường bước 1 rồi nhấn "Tiếp theo". (setup)
2. Nhấn ô "Từ ngày" để mở bộ chọn ngày.
3. Chọn ngày liền trước ngày hiện tại.
4. Check giá trị ô "Từ ngày" và thông báo lỗi nếu có.</t>
  </si>
  <si>
    <t xml:space="preserve">4. Ngày quá khứ không được nhận, ô giữ nguyên trạng thái chưa chọn hoặc hiện lỗi ngay dưới ô.</t>
  </si>
  <si>
    <t xml:space="preserve">Check chọn Đến ngày sớm hơn Từ ngày bị chặn</t>
  </si>
  <si>
    <t xml:space="preserve">1. Đăng nhập FoxEco, nhấn "+ Đăng tin", nhấn card "Tôi cần gửi hàng", nhập đủ trường bước 1 rồi nhấn "Tiếp theo". (setup)
2. Chọn "Từ ngày" là ngày hiện tại cộng 3 ngày. (setup)
3. Nhấn ô "Đến ngày" và chọn ngày hiện tại cộng 1 ngày.
4. Check giá trị ô "Đến ngày" và thông báo lỗi nếu có.</t>
  </si>
  <si>
    <t xml:space="preserve">4. Giá trị sớm hơn "Từ ngày" không được nhận, ô giữ nguyên trạng thái chưa chọn hoặc hiện lỗi ngay dưới ô.</t>
  </si>
  <si>
    <t xml:space="preserve">Check khoảng đúng bảy ngày được chấp nhận</t>
  </si>
  <si>
    <t xml:space="preserve">1. Đăng nhập FoxEco, nhấn "+ Đăng tin", nhấn card "Tôi cần gửi hàng", nhập đủ trường bước 1 rồi nhấn "Tiếp theo". (setup)
2. Chọn "Từ ngày" là ngày hiện tại. (setup)
3. Chọn "Đến ngày" là ngày hiện tại cộng 7 ngày.
4. Check giá trị hai ô ngày và thông báo lỗi nếu có.</t>
  </si>
  <si>
    <t xml:space="preserve">4. Cả hai ô nhận đúng giá trị vừa chọn và KHÔNG có thông báo lỗi nào về khoảng ngày.</t>
  </si>
  <si>
    <t xml:space="preserve">Check khoảng tám ngày bị chặn</t>
  </si>
  <si>
    <t xml:space="preserve">1. Đăng nhập FoxEco, nhấn "+ Đăng tin", nhấn card "Tôi cần gửi hàng", nhập đủ trường bước 1 rồi nhấn "Tiếp theo". (setup)
2. Chọn "Từ ngày" là ngày hiện tại. (setup)
3. Chọn "Đến ngày" là ngày hiện tại cộng 8 ngày.
4. Check giá trị ô "Đến ngày" và thông báo lỗi nếu có.</t>
  </si>
  <si>
    <t xml:space="preserve">4. Giá trị cộng 8 ngày không được nhận, ô giữ nguyên trạng thái chưa chọn hoặc hiện lỗi ngay dưới ô.</t>
  </si>
  <si>
    <t xml:space="preserve">▬▬  6. Buổi mong muốn  ·  3 TC (TC-ORD-032…TC-ORD-059)</t>
  </si>
  <si>
    <t xml:space="preserve">Check chọn Giờ nào cũng được tự bỏ chọn các buổi đang chọn</t>
  </si>
  <si>
    <t xml:space="preserve">1. Đăng nhập FoxEco, nhấn "+ Đăng tin", nhấn card "Tôi cần gửi hàng", nhập đủ trường bước 1 rồi nhấn "Tiếp theo". (setup)
2. Chọn buổi "Sáng (8–12)". (setup)
3. Chọn thêm buổi "Chiều (13–17)". (setup)
4. Chọn "Giờ nào cũng được".
5. Check trạng thái chọn của cả bốn buổi.</t>
  </si>
  <si>
    <t xml:space="preserve">5. Chỉ còn "Giờ nào cũng được" ở trạng thái được chọn; "Sáng (8–12)" và "Chiều (13–17)" tự bỏ chọn.</t>
  </si>
  <si>
    <t xml:space="preserve">Check buổi mong muốn mặc định là Sau giờ làm khi vừa mở bước hai</t>
  </si>
  <si>
    <t xml:space="preserve">1. Đăng nhập FoxEco, nhấn "+ Đăng tin", nhấn card "Tôi cần gửi hàng", nhập đủ trường bước 1 rồi nhấn "Tiếp theo". (setup)
2. Check buổi đang được chọn sẵn ở field buổi mong muốn khi chưa chạm vào field.</t>
  </si>
  <si>
    <t xml:space="preserve">2. Buổi "Sau giờ làm (17–19)" đang ở trạng thái được chọn sẵn.</t>
  </si>
  <si>
    <t xml:space="preserve">Check buổi đã trôi qua trong ngày hôm nay bị chặn chọn</t>
  </si>
  <si>
    <t xml:space="preserve">- Tài khoản A là CBNV có hồ sơ đầy đủ trên STG.
- Host app FoxPro đã cài trên thiết bị Android/iOS.
- Thời điểm chạy là sau 12 giờ trưa để buổi "Sáng (8–12)" đã trôi qua.</t>
  </si>
  <si>
    <t xml:space="preserve">1. Đăng nhập FoxEco, nhấn "+ Đăng tin", nhấn card "Tôi cần gửi hàng", nhập đủ trường bước 1 rồi nhấn "Tiếp theo". (setup)
2. Chọn "Từ ngày" và "Đến ngày" đều là ngày hiện tại. (setup)
3. Nhấn chọn buổi "Sáng (8–12)".
4. Check trạng thái chọn của buổi "Sáng (8–12)".</t>
  </si>
  <si>
    <t xml:space="preserve">4. Buổi "Sáng (8–12)" không chọn được, giữ nguyên trạng thái không được chọn hoặc bị vô hiệu hoá.</t>
  </si>
  <si>
    <t xml:space="preserve">▬▬  7. Màn Đăng tin thành công  ·  1 TC (TC-ORD-039)</t>
  </si>
  <si>
    <t xml:space="preserve">Check màn Đăng tin thành công không hiển thị mã đơn và có đủ hai nút điều hướng</t>
  </si>
  <si>
    <t xml:space="preserve">1. Đăng nhập FoxEco, nhấn "+ Đăng tin" rồi nhấn card "Tôi cần gửi hàng". (setup)
2. Nhập đủ dữ liệu hợp lệ cả ba bước wizard, gồm ≥1 ảnh. (setup)
3. Nhấn "Đăng tin ngay".
4. Check toàn bộ nội dung và các nút trên màn thành công.</t>
  </si>
  <si>
    <t xml:space="preserve">4. Màn KHÔNG hiển thị mã đơn nào; có nút về trang chủ và nút xem đơn vừa đăng.</t>
  </si>
  <si>
    <t xml:space="preserve">▬▬  8. Tin OFFER  ·  1 TC (TC-ORD-044)</t>
  </si>
  <si>
    <t xml:space="preserve">Check vai người gửi không tìm thấy và không mở được tin OFFER của người khác</t>
  </si>
  <si>
    <t xml:space="preserve">1. Đăng nhập bằng tài khoản A, nhấn "+ Đăng tin", nhấn card "Tôi có thể mang giúp" và đăng 1 tin OFFER với tên tuyến riêng biệt, rồi đăng xuất. (setup)
2. Đăng nhập bằng tài khoản B và nhấn tab "Bảng tin". (setup)
3. Rà lần lượt cả hai tab con của Bảng tin.
4. Nhập tên tuyến của tin OFFER vào ô tìm kiếm và check kết quả trả về.</t>
  </si>
  <si>
    <t xml:space="preserve">4. Không có kết quả nào khớp và tin OFFER của tài khoản A KHÔNG xuất hiện ở cả hai tab con.</t>
  </si>
  <si>
    <t xml:space="preserve">▬▬  9. Chỉnh sửa tin  ·  3 TC (TC-ORD-046…TC-ORD-060)</t>
  </si>
  <si>
    <t xml:space="preserve">Check sửa tin đang chờ ghép lưu được dữ liệu mới và giữ nguyên trạng thái</t>
  </si>
  <si>
    <t xml:space="preserve">1. Đăng nhập FoxEco bằng tài khoản A và đăng 1 tin NEED để tin ở trạng thái "Chờ ghép". (setup)
2. Nhấn tab "Hoạt động" và mở tin đó. (setup)
3. Nhấn "Chỉnh sửa".
4. Check dữ liệu đang nạp trong form.
5. Nhập địa chỉ giao hàng mới "Số 9 Duy Tân".
6. Nhấn "Cập nhật".
7. Check địa chỉ giao hàng và trạng thái của tin.</t>
  </si>
  <si>
    <t xml:space="preserve">7. Tin hiển thị địa chỉ giao hàng mới "Số 9 Duy Tân" và vẫn ở trạng thái "Chờ ghép".</t>
  </si>
  <si>
    <t xml:space="preserve">Check tin đã ghép không còn nút Chỉnh sửa</t>
  </si>
  <si>
    <t xml:space="preserve">1. Đăng nhập bằng tài khoản A, đăng 1 tin NEED rồi đăng xuất. (setup)
2. Đăng nhập bằng tài khoản B, nhận tin đó và xác nhận, rồi đăng xuất. (setup)
3. Đăng nhập lại bằng tài khoản A, nhấn tab "Hoạt động" và mở tin đó. (setup)
4. Check các nút hành động trên màn Theo dõi đơn.</t>
  </si>
  <si>
    <t xml:space="preserve">4. Màn KHÔNG có nút "Chỉnh sửa".</t>
  </si>
  <si>
    <t xml:space="preserve">Check huỷ chỉnh sửa trả tin về dữ liệu cũ và không lưu thay đổi</t>
  </si>
  <si>
    <t xml:space="preserve">1. Đăng nhập FoxEco bằng tài khoản A và đăng 1 tin NEED để tin ở trạng thái "Chờ ghép". (setup)
2. Nhấn tab "Hoạt động", mở tin đó và ghi lại địa chỉ giao hàng đang hiển thị. (setup)
3. Nhấn "Chỉnh sửa".
4. Nhập địa chỉ giao hàng khác "Số 99 Cầu Giấy".
5. Nhấn "Huỷ chỉnh sửa".
6. Check địa chỉ giao hàng của tin.</t>
  </si>
  <si>
    <t xml:space="preserve">6. Tin giữ nguyên địa chỉ giao hàng đã ghi ở step 2, KHÔNG nhận giá trị vừa nhập.</t>
  </si>
  <si>
    <t xml:space="preserve">▬▬  10. Tin hết hạn  ·  2 TC (TC-ORD-048…TC-ORD-061)</t>
  </si>
  <si>
    <t xml:space="preserve">Check tin chưa ai ghép quá Đến ngày chuyển sang hết hạn và biến khỏi Bảng tin</t>
  </si>
  <si>
    <t xml:space="preserve">- Tài khoản A và B là hai CBNV khác nhau trên STG.
- Host app FoxPro đã cài trên thiết bị Android/iOS.
- Dev/QA hỗ trợ lùi "Đến ngày" của tin để vượt mốc hết hạn — ⛔ không tái tạo được qua UI.</t>
  </si>
  <si>
    <t xml:space="preserve">1. Đăng nhập bằng tài khoản A, đăng 1 tin NEED với tiêu đề riêng biệt và để nguyên ở trạng thái "Chờ ghép", rồi đăng xuất. (setup)
2. Nhờ dev/QA lùi "Đến ngày" của tin đó về quá khứ và chờ qua thời điểm job cuối ngày chạy. (setup)
3. Đăng nhập bằng tài khoản B, nhấn tab "Bảng tin" và tìm tiêu đề của tin đó.
4. Đăng xuất, đăng nhập lại bằng tài khoản A, nhấn tab "Hoạt động" rồi nhấn tab con "Đã hoàn thành". (setup)
5. Check trạng thái của tin đó và kết quả tìm ở step 3.</t>
  </si>
  <si>
    <t xml:space="preserve">5. Tin mang badge "Hết hạn" ở tab "Đã hoàn thành" và KHÔNG còn xuất hiện trên Bảng tin của tài khoản B.</t>
  </si>
  <si>
    <t xml:space="preserve">Check tin đã ghép quá Đến ngày không chuyển sang hết hạn</t>
  </si>
  <si>
    <t xml:space="preserve">1. Đăng nhập bằng tài khoản A, đăng 1 tin NEED rồi đăng xuất. (setup)
2. Đăng nhập bằng tài khoản B, nhận tin đó và xác nhận để tin chuyển "Đã ghép", rồi đăng xuất. (setup)
3. Nhờ dev/QA lùi "Đến ngày" của tin đó về quá khứ và chờ qua thời điểm job cuối ngày chạy. (setup)
4. Đăng nhập lại bằng tài khoản A, nhấn tab "Hoạt động" và mở tin đó. (setup)
5. Check trạng thái và tab chứa tin đó.</t>
  </si>
  <si>
    <t xml:space="preserve">5. Tin KHÔNG mang badge "Hết hạn" và vẫn nằm ở tab "Đang diễn ra".</t>
  </si>
  <si>
    <t xml:space="preserve">▬▬  11. Thoát wizard  ·  2 TC (TC-ORD-053…TC-ORD-062)</t>
  </si>
  <si>
    <t xml:space="preserve">Check chọn ở lại ở popup thoát wizard giữ nguyên dữ liệu đã nhập</t>
  </si>
  <si>
    <t xml:space="preserve">1. Đăng nhập FoxEco, nhấn "+ Đăng tin", nhấn card "Tôi cần gửi hàng", nhập đủ trường bước 1 rồi nhấn "Tiếp theo". (setup)
2. Nhập địa chỉ giao hàng "Số 9 Duy Tân" ở bước 2. (setup)
3. Nhấn nút quay lại để đóng wizard.
4. Check nội dung popup vừa hiện.
5. Nhấn lựa chọn ở lại trên popup.
6. Check giá trị ô "Địa chỉ giao hàng".</t>
  </si>
  <si>
    <t xml:space="preserve">6. Popup hiện đúng chuỗi "Thoát và bỏ nội dung đã nhập?" và sau khi chọn ở lại, ô "Địa chỉ giao hàng" vẫn giữ nguyên "Số 9 Duy Tân".</t>
  </si>
  <si>
    <t xml:space="preserve">Check chọn thoát ở popup mở lại wizard là form trắng không có bản nháp</t>
  </si>
  <si>
    <t xml:space="preserve">1. Đăng nhập FoxEco, nhấn "+ Đăng tin", nhấn card "Tôi cần gửi hàng", nhập đủ trường bước 1 rồi nhấn "Tiếp theo". (setup)
2. Nhập địa chỉ giao hàng "Số 9 Duy Tân" ở bước 2. (setup)
3. Nhấn nút quay lại để đóng wizard rồi nhấn lựa chọn thoát trên popup. (setup)
4. Nhấn tab "Hoạt động" và rà danh sách cả hai tab con.
5. Nhấn "+ Đăng tin", nhấn card "Tôi cần gửi hàng" và sang bước 2.
6. Check giá trị các ô của bước 1 và bước 2.</t>
  </si>
  <si>
    <t xml:space="preserve">6. Mọi ô đều trắng, không giữ chuỗi "Số 9 Duy Tân"; và không có tin nháp nào xuất hiện ở hai tab con của "Hoạt động".</t>
  </si>
  <si>
    <t xml:space="preserve">▬▬  12. Trọng lượng và Kích thước  ·  4 TC (TC-ORD-064…TC-ORD-067)</t>
  </si>
  <si>
    <t xml:space="preserve">Check chưa chọn Trọng lượng thì bị chặn và ba chip hiện đúng nhãn chính thức</t>
  </si>
  <si>
    <t xml:space="preserve">1. Đăng nhập FoxEco, nhấn "+ Đăng tin" rồi nhấn card "Tôi cần gửi hàng". (setup)
2. Chọn chip "Thấp (Dưới 1 triệu đ)" ở khối "GIÁ TRỊ HÀNG (ƯỚC TÍNH)". (setup)
3. Chọn chip "Nhỏ · Cầm tay" ở khối Kích thước. (setup)
4. Tải 1 ảnh JPG từ thư viện thiết bị. (setup)
5. Nhấn "Tiếp theo" khi khối "TRỌNG LƯỢNG" chưa có chip nào được chọn.
6. Check nhãn khối, ba chip của khối đó và thông báo lỗi.</t>
  </si>
  <si>
    <t xml:space="preserve">6. Wizard vẫn ở bước 1 và có lỗi ở khối; nhãn khối là "TRỌNG LƯỢNG" với đúng ba chip "Dưới 5 kg (Nhẹ)", "5 – 10 kg (Trung bình)", "Trên 10 kg (Nặng)".</t>
  </si>
  <si>
    <t xml:space="preserve">Check chọn Trọng lượng trên mười kg vẫn đăng tin được bình thường</t>
  </si>
  <si>
    <t xml:space="preserve">1. Đăng nhập FoxEco, nhấn "+ Đăng tin" rồi nhấn card "Tôi cần gửi hàng". (setup)
2. Chọn chip "Thấp (Dưới 1 triệu đ)" và chip "Nhỏ · Cầm tay", rồi tải 1 ảnh JPG. (setup)
3. Chọn chip "Trên 10 kg (Nặng)" ở khối "TRỌNG LƯỢNG".
4. Nhấn "Tiếp theo", nhập đủ dữ liệu hợp lệ bước 2 và bước 3, rồi nhấn "Đăng tin ngay".
5. Check màn hiện ra sau khi đăng.</t>
  </si>
  <si>
    <t xml:space="preserve">5. Tin đăng thành công và hiện màn "Đăng tin thành công", không có cảnh báo hay chặn nào vì trọng lượng.</t>
  </si>
  <si>
    <t xml:space="preserve">Check chưa chọn Kích thước thì bị chặn và ba chip hiện đúng nhãn</t>
  </si>
  <si>
    <t xml:space="preserve">1. Đăng nhập FoxEco, nhấn "+ Đăng tin" rồi nhấn card "Tôi cần gửi hàng". (setup)
2. Chọn chip "Thấp (Dưới 1 triệu đ)" ở khối "GIÁ TRỊ HÀNG (ƯỚC TÍNH)". (setup)
3. Chọn chip "Dưới 5 kg (Nhẹ)" ở khối "TRỌNG LƯỢNG", rồi tải 1 ảnh JPG. (setup)
4. Nhấn "Tiếp theo" khi khối Kích thước chưa có chip nào được chọn.
5. Check ba chip của khối Kích thước và thông báo lỗi.</t>
  </si>
  <si>
    <t xml:space="preserve">5. Wizard vẫn ở bước 1 và có lỗi ở khối Kích thước; khối có đúng ba chip "Nhỏ · Cầm tay", "Vừa · ~20×20 cm", "Lớn · &gt; 20×20 cm".</t>
  </si>
  <si>
    <t xml:space="preserve">Check chọn Kích thước lớn vẫn đăng tin được bình thường</t>
  </si>
  <si>
    <t xml:space="preserve">1. Đăng nhập FoxEco, nhấn "+ Đăng tin" rồi nhấn card "Tôi cần gửi hàng". (setup)
2. Chọn chip "Thấp (Dưới 1 triệu đ)" và chip "Dưới 5 kg (Nhẹ)", rồi tải 1 ảnh JPG. (setup)
3. Chọn chip "Lớn · &gt; 20×20 cm" ở khối Kích thước.
4. Nhấn "Tiếp theo", nhập đủ dữ liệu hợp lệ bước 2 và bước 3, rồi nhấn "Đăng tin ngay".
5. Check màn hiện ra sau khi đăng.</t>
  </si>
  <si>
    <t xml:space="preserve">5. Tin đăng thành công và hiện màn "Đăng tin thành công", không có cảnh báo hay chặn nào vì kích thước.</t>
  </si>
  <si>
    <t xml:space="preserve">▬▬  13. Carousel và lightbox ảnh  ·  2 TC (TC-ORD-072…TC-ORD-073)</t>
  </si>
  <si>
    <t xml:space="preserve">Check dải ảnh ở chi tiết tin lướt ngang được và có badge đếm ảnh</t>
  </si>
  <si>
    <t xml:space="preserve">1. Đăng nhập FoxEco bằng tài khoản A và đăng 1 tin NEED kèm 5 ảnh. (setup)
2. Nhấn tab "Hoạt động" và mở tin đó để vào màn chi tiết tin. (setup)
3. Lướt ngang trên dải ảnh sang ảnh thứ hai.
4. Check ảnh đang hiển thị và badge đếm trên dải ảnh.</t>
  </si>
  <si>
    <t xml:space="preserve">4. Dải ảnh chuyển sang ảnh thứ hai và badge đếm hiển thị "2/5".</t>
  </si>
  <si>
    <t xml:space="preserve">Check lightbox ảnh đóng được bằng cả nút đóng lẫn chạm nền</t>
  </si>
  <si>
    <t xml:space="preserve">1. Đăng nhập FoxEco bằng tài khoản A và đăng 1 tin NEED kèm 5 ảnh. (setup)
2. Nhấn tab "Hoạt động" và mở tin đó để vào màn chi tiết tin. (setup)
3. Nhấn 1 ảnh trên dải ảnh để mở lightbox.
4. Nhấn nút đóng của lightbox.
5. Nhấn lại ảnh đó để mở lightbox lần hai.
6. Nhấn vào vùng nền tối ngoài ảnh.
7. Check màn đang hiển thị sau cả hai lần đóng.</t>
  </si>
  <si>
    <t xml:space="preserve">7. Cả hai cách đều đóng được lightbox và trả về đúng màn chi tiết tin.</t>
  </si>
  <si>
    <t xml:space="preserve">▬▬  14. Tra danh bạ nội bộ  ·  5 TC (TC-ORD-074…TC-ORD-078)</t>
  </si>
  <si>
    <t xml:space="preserve">Check nhập email có trên danh bạ tự điền ba trường và cả ba vẫn sửa được</t>
  </si>
  <si>
    <t xml:space="preserve">- Tài khoản A là CBNV có hồ sơ đầy đủ trên STG.
- Host app FoxPro đã cài trên thiết bị Android/iOS.
- Có sẵn email công ty CÓ trên HRIS, đang làm việc = `SEED-ORD-02` ①.</t>
  </si>
  <si>
    <t xml:space="preserve">1. Đăng nhập FoxEco, nhấn "+ Đăng tin", nhấn card "Tôi cần gửi hàng", nhập đủ trường bước 1 rồi nhấn "Tiếp theo". (setup)
2. Nhập "stag_anhdc4@fpt.com" vào ô email người nhận.
3. Nhấn ra ngoài ô email để rời ô.
4. Nhập thêm ký tự "X" vào cuối ô tên người nhận.
5. Check giá trị ba ô tên, số điện thoại, địa chỉ giao và khả năng sửa của chúng.</t>
  </si>
  <si>
    <t xml:space="preserve">5. Ba ô tên, số điện thoại và địa chỉ giao đều được tự điền khác rỗng, và ô tên nhận được ký tự vừa nhập thêm.</t>
  </si>
  <si>
    <t xml:space="preserve">Check email đúng tên miền công ty nhưng không có trên danh bạ thì chặn tạo đơn</t>
  </si>
  <si>
    <t xml:space="preserve">1. Đăng nhập FoxEco, nhấn "+ Đăng tin", nhấn card "Tôi cần gửi hàng", nhập đủ trường bước 1 rồi nhấn "Tiếp theo". (setup)
2. Nhập "stag_khongtontai9999@fpt.com" vào ô email người nhận.
3. Nhấn ra ngoài ô email để rời ô.
4. Check trạng thái nút "Tiếp theo" và ba ô tên, số điện thoại, địa chỉ giao.</t>
  </si>
  <si>
    <t xml:space="preserve">4. Nút "Tiếp theo" ở trạng thái vô hiệu hoá và KHÔNG có ô nào mở ra cho nhập tay.</t>
  </si>
  <si>
    <t xml:space="preserve">Check email của người đã nghỉ việc cũng chặn tạo đơn</t>
  </si>
  <si>
    <t xml:space="preserve">- Tài khoản A là CBNV có hồ sơ đầy đủ trên STG.
- Host app FoxPro đã cài trên thiết bị Android/iOS.
- Có sẵn email công ty của người ĐÃ NGHỈ VIỆC do QTHT cấp = `SEED-ORD-02` ②.</t>
  </si>
  <si>
    <t xml:space="preserve">1. Đăng nhập FoxEco, nhấn "+ Đăng tin", nhấn card "Tôi cần gửi hàng", nhập đủ trường bước 1 rồi nhấn "Tiếp theo". (setup)
2. Nhập email `@fpt.com` của người đã nghỉ việc vào ô email người nhận.
3. Nhấn ra ngoài ô email để rời ô.
4. Check trạng thái nút "Tiếp theo" và ba ô tên, số điện thoại, địa chỉ giao.</t>
  </si>
  <si>
    <t xml:space="preserve">Check email sai định dạng bị chặn và không kích hoạt tra danh bạ</t>
  </si>
  <si>
    <t xml:space="preserve">1. Đăng nhập FoxEco, nhấn "+ Đăng tin", nhấn card "Tôi cần gửi hàng", nhập đủ trường bước 1 rồi nhấn "Tiếp theo". (setup)
2. Nhập "stag_anhdc4@" vào ô email người nhận.
3. Nhấn ra ngoài ô email để rời ô.
4. Check thông báo lỗi ở ô email và ba ô tên, số điện thoại, địa chỉ giao.</t>
  </si>
  <si>
    <t xml:space="preserve">4. Ô email hiện lỗi định dạng và ba ô kia vẫn TRỐNG, không có dấu hiệu tra danh bạ chạy.</t>
  </si>
  <si>
    <t xml:space="preserve">Check email ngoài tên miền công ty bị chặn</t>
  </si>
  <si>
    <t xml:space="preserve">1. Đăng nhập FoxEco, nhấn "+ Đăng tin", nhấn card "Tôi cần gửi hàng", nhập đủ trường bước 1 rồi nhấn "Tiếp theo". (setup)
2. Nhập "nguyenvana@gmail.com" vào ô email người nhận.
3. Nhấn ra ngoài ô email để rời ô.
4. Check thông báo lỗi ở ô email và ba ô tên, số điện thoại, địa chỉ giao.</t>
  </si>
  <si>
    <t xml:space="preserve">4. Ô email hiện lỗi và ba ô kia vẫn TRỐNG, không có dấu hiệu tra danh bạ chạy.</t>
  </si>
  <si>
    <t xml:space="preserve">▬▬  15. Người nhận uỷ quyền  ·  4 TC (TC-ORD-079…TC-ORD-082)</t>
  </si>
  <si>
    <t xml:space="preserve">Check số điện thoại uỷ quyền sai định dạng bị báo lỗi và chặn</t>
  </si>
  <si>
    <t xml:space="preserve">1. Đăng nhập FoxEco, nhấn "+ Đăng tin", nhấn card "Tôi cần gửi hàng", nhập đủ trường bước 1 rồi nhấn "Tiếp theo". (setup)
2. Nhấn "+ Thêm người nhận uỷ quyền" để mở khối uỷ quyền.
3. Nhập "Nguyễn Văn Bảy" vào ô tên người nhận uỷ quyền.
4. Nhập "123" vào ô số điện thoại người nhận uỷ quyền.
5. Nhấn "Tiếp theo".
6. Check màn đang hiển thị và thông báo lỗi ở ô số điện thoại.</t>
  </si>
  <si>
    <t xml:space="preserve">6. Wizard vẫn ở bước 2 và ô số điện thoại uỷ quyền hiện lỗi định dạng.</t>
  </si>
  <si>
    <t xml:space="preserve">Check khai người nhận uỷ quyền hợp lệ gắn nhãn Người gửi chỉ định vào đơn</t>
  </si>
  <si>
    <t xml:space="preserve">1. Đăng nhập FoxEco, nhấn "+ Đăng tin", nhấn card "Tôi cần gửi hàng", nhập đủ trường bước 1 gồm 1 ảnh rồi nhấn "Tiếp theo". (setup)
2. Nhấn "+ Thêm người nhận uỷ quyền" để mở khối uỷ quyền. (setup)
3. Nhập "Nguyễn Văn Bảy" vào ô tên và "0912345678" vào ô số điện thoại người nhận uỷ quyền.
4. Nhấn "Tiếp theo", nhập đủ dữ liệu hợp lệ bước 3 rồi nhấn "Đăng tin ngay".
5. Nhấn tab "Hoạt động", mở đơn vừa đăng và check khối thông tin người nhận uỷ quyền.</t>
  </si>
  <si>
    <t xml:space="preserve">5. Đơn hiển thị tên "Nguyễn Văn Bảy" và số "0912345678" kèm nhãn "Người gửi chỉ định".</t>
  </si>
  <si>
    <t xml:space="preserve">Check tên người nhận uỷ quyền nhận đúng hai và sáu mươi ký tự</t>
  </si>
  <si>
    <t xml:space="preserve">1. Đăng nhập FoxEco, nhấn "+ Đăng tin", nhấn card "Tôi cần gửi hàng", nhập đủ trường bước 1 rồi nhấn "Tiếp theo". (setup)
2. Nhấn "+ Thêm người nhận uỷ quyền" để mở khối uỷ quyền. (setup)
3. Nhập chuỗi 1 ký tự vào ô tên rồi nhấn "Tiếp theo".
4. Nhập chuỗi đúng 2 ký tự vào ô tên rồi nhấn "Tiếp theo".
5. Quay lại bước 2, nhập chuỗi đúng 60 ký tự vào ô tên rồi nhấn "Tiếp theo".
6. Quay lại bước 2, nhập chuỗi 61 ký tự vào ô tên.
7. Check trạng thái ô tên sau cả bốn lần nhập.</t>
  </si>
  <si>
    <t xml:space="preserve">7. Chuỗi 2 và 60 ký tự đều được nhận và đi tiếp được; chuỗi 1 ký tự bị báo lỗi và chuỗi 61 ký tự không nhập được quá 60.</t>
  </si>
  <si>
    <t xml:space="preserve">Check xoá khối uỷ quyền đã điền vẫn đăng tin được và đơn không mang dữ liệu uỷ quyền</t>
  </si>
  <si>
    <t xml:space="preserve">1. Đăng nhập FoxEco, nhấn "+ Đăng tin", nhấn card "Tôi cần gửi hàng", nhập đủ trường bước 1 gồm 1 ảnh rồi nhấn "Tiếp theo". (setup)
2. Nhấn "+ Thêm người nhận uỷ quyền", nhập tên "Nguyễn Văn Bảy" và số "0912345678". (setup)
3. Nhấn nút xoá khối uỷ quyền.
4. Nhấn "Tiếp theo", nhập đủ dữ liệu hợp lệ bước 3 rồi nhấn "Đăng tin ngay".
5. Nhấn tab "Hoạt động", mở đơn vừa đăng và check khối thông tin người nhận.</t>
  </si>
  <si>
    <t xml:space="preserve">5. Đơn tạo thành công và KHÔNG mang tên "Nguyễn Văn Bảy" hay số "0912345678"; không có thông báo lỗi thiếu trường nào ở bước đăng.</t>
  </si>
  <si>
    <t xml:space="preserve">▬▬  16. Địa chỉ giao khác địa chỉ lấy  ·  2 TC (TC-ORD-083…TC-ORD-084)</t>
  </si>
  <si>
    <t xml:space="preserve">REQ-ORD-028, REQ-ORD-009</t>
  </si>
  <si>
    <t xml:space="preserve">Check địa chỉ giao trùng hệt địa chỉ lấy bị chặn</t>
  </si>
  <si>
    <t xml:space="preserve">1. Đăng nhập FoxEco, nhấn "+ Đăng tin", nhấn card "Tôi cần gửi hàng", nhập đủ trường bước 1 rồi nhấn "Tiếp theo". (setup)
2. Nhập "Số 7 ngõ 12 Trần Duy Hưng" vào ô "Địa chỉ lấy hàng". (setup)
3. Nhập đúng chuỗi "Số 7 ngõ 12 Trần Duy Hưng" vào ô "Địa chỉ giao hàng".
4. Nhấn "Tiếp theo".
5. Check màn đang hiển thị và thông báo lỗi ở ô địa chỉ giao.</t>
  </si>
  <si>
    <t xml:space="preserve">5. Wizard vẫn ở bước 2 và ô "Địa chỉ giao hàng" hiện lỗi vì trùng địa chỉ lấy hàng.</t>
  </si>
  <si>
    <t xml:space="preserve">Check địa chỉ giao chỉ khác khoảng trắng đầu cuối vẫn bị chặn</t>
  </si>
  <si>
    <t xml:space="preserve">1. Đăng nhập FoxEco, nhấn "+ Đăng tin", nhấn card "Tôi cần gửi hàng", nhập đủ trường bước 1 rồi nhấn "Tiếp theo". (setup)
2. Nhập "Số 7 ngõ 12 Trần Duy Hưng" vào ô "Địa chỉ lấy hàng". (setup)
3. Nhập chuỗi "  Số 7 ngõ 12 Trần Duy Hưng  " có thêm khoảng trắng ở đầu và cuối vào ô "Địa chỉ giao hàng".
4. Nhấn "Tiếp theo".
5. Check màn đang hiển thị và thông báo lỗi ở ô địa chỉ giao.</t>
  </si>
  <si>
    <t xml:space="preserve">▬▬  17. Tiện ích copy nhanh  ·  2 TC (TC-ORD-085…TC-ORD-086)</t>
  </si>
  <si>
    <t xml:space="preserve">Check icon copy cạnh địa chỉ giao ở chi tiết tin sao chép đúng nội dung</t>
  </si>
  <si>
    <t xml:space="preserve">1. Đăng nhập FoxEco bằng tài khoản A và đăng 1 tin NEED có địa chỉ giao và số điện thoại người nhận. (setup)
2. Nhấn tab "Hoạt động" và mở tin đó để vào màn chi tiết tin. (setup)
3. Ghi lại địa chỉ giao đang hiển thị trên màn.
4. Nhấn icon copy cạnh địa chỉ giao.
5. Dán nội dung vừa copy vào ô tìm kiếm ở tab "Bảng tin" và check nội dung dán ra cùng trạng thái icon copy lúc vừa nhấn.</t>
  </si>
  <si>
    <t xml:space="preserve">5. Nội dung dán ra đúng nguyên văn địa chỉ đã ghi ở step 3, và icon copy đã đổi trạng thái sang màu xanh khoảng 2 giây rồi trở lại bình thường.</t>
  </si>
  <si>
    <t xml:space="preserve">Check icon copy cạnh số điện thoại ở chi tiết tin sao chép đúng nội dung</t>
  </si>
  <si>
    <t xml:space="preserve">1. Đăng nhập FoxEco bằng tài khoản A và đăng 1 tin NEED có địa chỉ giao và số điện thoại người nhận. (setup)
2. Nhấn tab "Hoạt động" và mở tin đó để vào màn chi tiết tin. (setup)
3. Ghi lại số điện thoại đang hiển thị trên màn.
4. Nhấn icon copy cạnh số điện thoại.
5. Dán nội dung vừa copy vào ô tìm kiếm ở tab "Bảng tin" và check nội dung dán ra cùng trạng thái icon copy lúc vừa nhấn.</t>
  </si>
  <si>
    <t xml:space="preserve">5. Nội dung dán ra đúng nguyên văn số điện thoại đã ghi ở step 3, và icon copy đã đổi trạng thái sang màu xanh khoảng 2 giây rồi trở lại bình thường.</t>
  </si>
  <si>
    <t xml:space="preserve">▬▬  18. Ảnh đã ghi mốc  ·  2 TC (TC-ORD-087…TC-ORD-088)</t>
  </si>
  <si>
    <t xml:space="preserve">Check xoá được ảnh khi đang soạn tin chưa đăng</t>
  </si>
  <si>
    <t xml:space="preserve">1. Đăng nhập FoxEco, nhấn "+ Đăng tin" rồi nhấn card "Tôi cần gửi hàng". (setup)
2. Tải 2 ảnh hợp lệ vào khối "ẢNH HÀNG". (setup)
3. Nhấn nút xoá trên ảnh thứ nhất.
4. Check số ảnh còn lại và bộ đếm.</t>
  </si>
  <si>
    <t xml:space="preserve">4. Còn đúng 1 ảnh và bộ đếm hiển thị "1/5".</t>
  </si>
  <si>
    <t xml:space="preserve">Check không xoá được ảnh của tin đã đăng</t>
  </si>
  <si>
    <t xml:space="preserve">1. Đăng nhập FoxEco bằng tài khoản A và đăng 1 tin NEED kèm 2 ảnh. (setup)
2. Nhấn tab "Hoạt động" và mở tin đó. (setup)
3. Nhấn "Chỉnh sửa" để mở form sửa tin.
4. Nhấn giữ vào ảnh thứ nhất và tìm thao tác xoá ảnh.
5. Check số ảnh của tin sau khi đã thử xoá.</t>
  </si>
  <si>
    <t xml:space="preserve">5. KHÔNG có thao tác xoá nào khả dụng và tin vẫn giữ đủ 2 ảnh.</t>
  </si>
  <si>
    <t xml:space="preserve">▬▬  1. Mở form và gửi thành công  ·  2 TC (TC-TS-008…TC-TS-009)</t>
  </si>
  <si>
    <t xml:space="preserve">Check form báo cáo sự cố mở trong WebView và chỉ điền sẵn mã đơn hàng</t>
  </si>
  <si>
    <t xml:space="preserve">1. Đăng nhập bằng tài khoản A, đăng 1 tin NEED khai tài khoản C là người nhận, rồi đăng xuất. (setup)
2. Đăng nhập bằng tài khoản B, nhận đơn đó, nhấn "Tôi đã lấy hàng" và xác nhận. (setup)
3. Nhấn tab "Hoạt động" và mở đơn đó. (setup)
4. Nhấn "Báo cáo sự cố".
5. Check khung WebView vừa mở và giá trị của bốn ô "Mã đơn hàng", "Loại yêu cầu", "Mô tả chi tiết", "Số điện thoại liên hệ lại".</t>
  </si>
  <si>
    <t xml:space="preserve">5. WebView mở toàn màn hình có thanh URL chỉ đọc và nút đóng; ô "Mã đơn hàng" đã điền sẵn đúng mã của đơn kèm ghi chú "Tự động điền từ ứng dụng"; ba ô "Loại yêu cầu", "Mô tả chi tiết" và "Số điện thoại liên hệ lại" đều TRỐNG.</t>
  </si>
  <si>
    <t xml:space="preserve">Check gửi báo cáo sự cố hợp lệ hiện màn ghi nhận kèm cam kết liên hệ lại</t>
  </si>
  <si>
    <t xml:space="preserve">- Tài khoản A, B, C là ba CBNV khác nhau trên STG.
- Host app FoxPro đã cài trên thiết bị Android/iOS.
- Thư viện ảnh thiết bị có sẵn ≥5 ảnh JPG.</t>
  </si>
  <si>
    <t xml:space="preserve">1. Đăng nhập bằng tài khoản A, đăng 1 tin NEED khai tài khoản C là người nhận, rồi đăng xuất. (setup)
2. Đăng nhập bằng tài khoản B, nhận đơn đó, nhấn "Tôi đã lấy hàng" và xác nhận. (setup)
3. Nhấn tab "Hoạt động", mở đơn đó rồi nhấn "Báo cáo sự cố". (setup)
4. Chọn "Sự cố đơn hàng" ở ô "Loại yêu cầu".
5. Nhập "Hàng bị móp góc khi giao" vào ô "Mô tả chi tiết".
6. Nhập "0912345678" vào ô "Số điện thoại liên hệ lại".
7. Đính 2 ảnh JPG từ thư viện thiết bị.
8. Nhấn "Gửi".
9. Check màn hiện ra sau khi gửi.</t>
  </si>
  <si>
    <t xml:space="preserve">9. Màn hiển thị "Đã ghi nhận phản hồi" kèm đúng câu "Đội hỗ trợ FoxEco sẽ liên hệ lại số 0912345678 trong vòng 24 giờ làm việc" và nút "Quay lại đơn hàng".</t>
  </si>
  <si>
    <t xml:space="preserve">▬▬  2. Trường bắt buộc  ·  3 TC (TC-TS-010…TC-TS-012)</t>
  </si>
  <si>
    <t xml:space="preserve">Check nút Gửi vô hiệu hoá khi chưa chọn loại yêu cầu</t>
  </si>
  <si>
    <t xml:space="preserve">1. Đăng nhập bằng tài khoản A, đăng 1 tin NEED khai tài khoản C là người nhận, rồi đăng xuất. (setup)
2. Đăng nhập bằng tài khoản B, nhận đơn đó, nhấn "Tôi đã lấy hàng" và xác nhận. (setup)
3. Nhấn tab "Hoạt động", mở đơn đó rồi nhấn "Báo cáo sự cố". (setup)
4. Nhập "Hàng bị móp góc khi giao" vào ô "Mô tả chi tiết".
5. Nhập "0912345678" vào ô "Số điện thoại liên hệ lại".
6. Để ô "Loại yêu cầu" ở trạng thái chưa chọn và check trạng thái nút "Gửi" cùng phần chữ cạnh nút.</t>
  </si>
  <si>
    <t xml:space="preserve">6. Nút "Gửi" ở trạng thái vô hiệu hoá và cạnh nút hiện chữ "Điền các mục bắt buộc".</t>
  </si>
  <si>
    <t xml:space="preserve">Check nút Gửi vô hiệu hoá khi chưa nhập mô tả chi tiết</t>
  </si>
  <si>
    <t xml:space="preserve">1. Đăng nhập bằng tài khoản A, đăng 1 tin NEED khai tài khoản C là người nhận, rồi đăng xuất. (setup)
2. Đăng nhập bằng tài khoản B, nhận đơn đó, nhấn "Tôi đã lấy hàng" và xác nhận. (setup)
3. Nhấn tab "Hoạt động", mở đơn đó rồi nhấn "Báo cáo sự cố". (setup)
4. Chọn "Lỗi ứng dụng" ở ô "Loại yêu cầu".
5. Nhập "0912345678" vào ô "Số điện thoại liên hệ lại".
6. Để ô "Mô tả chi tiết" rỗng và check trạng thái nút "Gửi" cùng phần chữ cạnh nút.</t>
  </si>
  <si>
    <t xml:space="preserve">Check nút Gửi vô hiệu hoá khi số điện thoại sai định dạng</t>
  </si>
  <si>
    <t xml:space="preserve">1. Đăng nhập bằng tài khoản A, đăng 1 tin NEED khai tài khoản C là người nhận, rồi đăng xuất. (setup)
2. Đăng nhập bằng tài khoản B, nhận đơn đó, nhấn "Tôi đã lấy hàng" và xác nhận. (setup)
3. Nhấn tab "Hoạt động", mở đơn đó rồi nhấn "Báo cáo sự cố". (setup)
4. Chọn "Góp ý / đề xuất" ở ô "Loại yêu cầu".
5. Nhập "App hay bị chậm ở màn bảng tin" vào ô "Mô tả chi tiết".
6. Nhập "0912abc" vào ô "Số điện thoại liên hệ lại".
7. Check trạng thái nút "Gửi" cùng phần chữ cạnh nút.</t>
  </si>
  <si>
    <t xml:space="preserve">7. Nút "Gửi" ở trạng thái vô hiệu hoá và cạnh nút hiện chữ "Điền các mục bắt buộc".</t>
  </si>
  <si>
    <t xml:space="preserve">▬▬  3. Ảnh đính kèm  ·  3 TC (TC-TS-013…TC-TS-015)</t>
  </si>
  <si>
    <t xml:space="preserve">Check gửi báo cáo sự cố thành công khi không đính ảnh nào</t>
  </si>
  <si>
    <t xml:space="preserve">1. Đăng nhập bằng tài khoản A, đăng 1 tin NEED khai tài khoản C là người nhận, rồi đăng xuất. (setup)
2. Đăng nhập bằng tài khoản B, nhận đơn đó, nhấn "Tôi đã lấy hàng" và xác nhận. (setup)
3. Nhấn tab "Hoạt động", mở đơn đó rồi nhấn "Báo cáo sự cố". (setup)
4. Chọn "Sự cố đơn hàng" ở ô "Loại yêu cầu".
5. Nhập "Không liên lạc được người nhận" vào ô "Mô tả chi tiết".
6. Nhập "0912345678" vào ô "Số điện thoại liên hệ lại".
7. Nhấn "Gửi" mà KHÔNG đính ảnh nào.
8. Check màn hiện ra sau khi gửi.</t>
  </si>
  <si>
    <t xml:space="preserve">8. Màn hiển thị "Đã ghi nhận phản hồi", gửi thành công không có thông báo lỗi đòi ảnh.</t>
  </si>
  <si>
    <t xml:space="preserve">Check đính đủ năm ảnh thì nút thêm ảnh khác bị vô hiệu hoá</t>
  </si>
  <si>
    <t xml:space="preserve">- Tài khoản A, B, C là ba CBNV khác nhau trên STG.
- Host app FoxPro đã cài trên thiết bị Android/iOS.
- Thư viện ảnh thiết bị có sẵn ≥6 ảnh JPG.</t>
  </si>
  <si>
    <t xml:space="preserve">1. Đăng nhập bằng tài khoản A, đăng 1 tin NEED khai tài khoản C là người nhận, rồi đăng xuất. (setup)
2. Đăng nhập bằng tài khoản B, nhận đơn đó, nhấn "Tôi đã lấy hàng" và xác nhận. (setup)
3. Nhấn tab "Hoạt động", mở đơn đó rồi nhấn "Báo cáo sự cố". (setup)
4. Chọn "Sự cố đơn hàng", nhập mô tả "Hàng bị ướt" và nhập số điện thoại "0912345678". (setup)
5. Đính lần lượt 5 ảnh JPG từ thư viện thiết bị.
6. Check số ảnh hiển thị trong ô ảnh và trạng thái nút "Thêm ảnh khác".</t>
  </si>
  <si>
    <t xml:space="preserve">6. Ô ảnh hiển thị đủ 5 ảnh và nút "Thêm ảnh khác" chuyển sang trạng thái vô hiệu hoá, không chọn được ảnh thứ 6.</t>
  </si>
  <si>
    <t xml:space="preserve">Check xoá được từng ảnh đính kèm riêng lẻ và mở lại chỗ thêm ảnh</t>
  </si>
  <si>
    <t xml:space="preserve">1. Đăng nhập bằng tài khoản A, đăng 1 tin NEED khai tài khoản C là người nhận, rồi đăng xuất. (setup)
2. Đăng nhập bằng tài khoản B, nhận đơn đó, nhấn "Tôi đã lấy hàng" và xác nhận. (setup)
3. Nhấn tab "Hoạt động", mở đơn đó rồi nhấn "Báo cáo sự cố". (setup)
4. Đính lần lượt 5 ảnh JPG từ thư viện thiết bị. (setup)
5. Nhấn nút xoá trên ảnh thứ ba.
6. Check số ảnh còn lại, thứ tự các ảnh còn lại và trạng thái nút "Thêm ảnh khác".</t>
  </si>
  <si>
    <t xml:space="preserve">6. Ô ảnh còn đúng 4 ảnh và chỉ mất đúng ảnh thứ ba, các ảnh còn lại giữ nguyên; nút "Thêm ảnh khác" trở lại trạng thái khả dụng.</t>
  </si>
  <si>
    <t xml:space="preserve">▬▬  4. Mất mạng  ·  2 TC (TC-TS-016…TC-TS-017)</t>
  </si>
  <si>
    <t xml:space="preserve">Check mất mạng khi mở báo cáo sự cố thì app hiện lỗi kèm nút thử lại</t>
  </si>
  <si>
    <t xml:space="preserve">- Tài khoản A, B, C là ba CBNV khác nhau trên STG.
- Host app FoxPro đã cài trên thiết bị Android/iOS.
- Có sẵn công cụ bật tắt mạng thiết bị hoặc network throttle — ⛔ không dựng được bằng thao tác trong app.</t>
  </si>
  <si>
    <t xml:space="preserve">1. Đăng nhập bằng tài khoản A, đăng 1 tin NEED khai tài khoản C là người nhận, rồi đăng xuất. (setup)
2. Đăng nhập bằng tài khoản B, nhận đơn đó, nhấn "Tôi đã lấy hàng" và xác nhận. (setup)
3. Nhấn tab "Hoạt động" và mở đơn đó. (setup)
4. Ngắt hoàn toàn kết nối mạng của thiết bị.
5. Nhấn "Báo cáo sự cố".
6. Check màn hiện ra và các nút trên màn đó.</t>
  </si>
  <si>
    <t xml:space="preserve">6. Màn hiển thị thông báo lỗi không tải được kèm nút "Thử lại"; form Google không hiện ra.</t>
  </si>
  <si>
    <t xml:space="preserve">Check thử lại sau khi có mạng mở đúng form của đơn cũ không mất ngữ cảnh</t>
  </si>
  <si>
    <t xml:space="preserve">1. Đăng nhập bằng tài khoản A, đăng 1 tin NEED khai tài khoản C là người nhận, rồi đăng xuất. (setup)
2. Đăng nhập bằng tài khoản B, nhận đơn đó, nhấn "Tôi đã lấy hàng" và xác nhận. (setup)
3. Nhấn tab "Hoạt động", mở đơn đó và ghi lại mã đơn hiển thị trên màn. (setup)
4. Ngắt hoàn toàn kết nối mạng của thiết bị rồi nhấn "Báo cáo sự cố". (setup)
5. Bật lại kết nối mạng của thiết bị.
6. Nhấn "Thử lại".
7. Check ô "Mã đơn hàng" trên form vừa tải được.</t>
  </si>
  <si>
    <t xml:space="preserve">7. Form tải được và ô "Mã đơn hàng" điền đúng mã đơn đã ghi ở step 3.</t>
  </si>
  <si>
    <t xml:space="preserve">▬▬  5. Vòng đời WebView  ·  2 TC (TC-TS-018…TC-TS-019)</t>
  </si>
  <si>
    <t xml:space="preserve">Check đóng WebView quay về đúng màn theo dõi đơn trước đó</t>
  </si>
  <si>
    <t xml:space="preserve">1. Đăng nhập bằng tài khoản A, đăng 1 tin NEED khai tài khoản C là người nhận, rồi đăng xuất. (setup)
2. Đăng nhập bằng tài khoản B, nhận đơn đó, nhấn "Tôi đã lấy hàng" và xác nhận. (setup)
3. Nhấn tab "Hoạt động" và mở đơn đó. (setup)
4. Nhấn "Báo cáo sự cố".
5. Nhập "Thử đóng giữa chừng" vào ô "Mô tả chi tiết".
6. Nhấn nút đóng của WebView.
7. Check màn hiện ra và trạng thái đơn trên màn đó.</t>
  </si>
  <si>
    <t xml:space="preserve">7. Quay về đúng màn "Theo dõi đơn" của chính đơn vừa mở, đơn vẫn ở trạng thái "Đang giao".</t>
  </si>
  <si>
    <t xml:space="preserve">Check mở lại báo cáo sự cố là phiên mới không giữ dữ liệu nhập dở</t>
  </si>
  <si>
    <t xml:space="preserve">1. Đăng nhập bằng tài khoản A, đăng 1 tin NEED khai tài khoản C là người nhận, rồi đăng xuất. (setup)
2. Đăng nhập bằng tài khoản B, nhận đơn đó, nhấn "Tôi đã lấy hàng" và xác nhận. (setup)
3. Nhấn tab "Hoạt động" và mở đơn đó. (setup)
4. Nhấn "Báo cáo sự cố", chọn "Lỗi ứng dụng" và nhập "Dữ liệu nhập dở lần một" vào ô "Mô tả chi tiết", rồi nhấn nút đóng của WebView. (setup)
5. Nhấn lại "Báo cáo sự cố" từ chính đơn đó.
6. Check giá trị ô "Loại yêu cầu" và ô "Mô tả chi tiết".</t>
  </si>
  <si>
    <t xml:space="preserve">6. Ô "Loại yêu cầu" trở về trạng thái chưa chọn và ô "Mô tả chi tiết" TRỐNG, không còn chuỗi "Dữ liệu nhập dở lần một".</t>
  </si>
  <si>
    <t xml:space="preserve">▬▬  6. Hệ quả trạng thái đơn  ·  1 TC (TC-TS-020)</t>
  </si>
  <si>
    <t xml:space="preserve">Check gửi báo cáo sự cố không làm đơn đổi trạng thái</t>
  </si>
  <si>
    <t xml:space="preserve">1. Đăng nhập bằng tài khoản A, đăng 1 tin NEED khai tài khoản C là người nhận. (setup)
2. Nhấn tab "Hoạt động", mở đơn đó và ghi lại trạng thái đang hiển thị. (setup)
3. Nhấn "Báo cáo sự cố".
4. Chọn "Sự cố đơn hàng", nhập mô tả "Thử ảnh hưởng trạng thái" và nhập số điện thoại "0912345678".
5. Nhấn "Gửi".
6. Nhấn "Quay lại đơn hàng".
7. Check trạng thái đơn và nhãn trên màn "Theo dõi đơn".</t>
  </si>
  <si>
    <t xml:space="preserve">7. Đơn vẫn ở đúng trạng thái đã ghi ở step 2, không xuất hiện nhãn hay cờ sự cố nào mới.</t>
  </si>
  <si>
    <t xml:space="preserve">▬▬  7. Field prefill chỉ đọc  ·  1 TC (TC-TS-021)</t>
  </si>
  <si>
    <t xml:space="preserve">Check ô mã đơn hàng là nhãn tĩnh chỉ đọc không sửa được</t>
  </si>
  <si>
    <t xml:space="preserve">1. Đăng nhập bằng tài khoản A, đăng 1 tin NEED khai tài khoản C là người nhận, rồi đăng xuất. (setup)
2. Đăng nhập bằng tài khoản B, nhận đơn đó, nhấn "Tôi đã lấy hàng" và xác nhận. (setup)
3. Nhấn tab "Hoạt động", mở đơn đó rồi nhấn "Báo cáo sự cố". (setup)
4. Nhấn vào ô "Mã đơn hàng" và thử nhập thêm ký tự "X".
5. Check kiểu hiển thị của ô "Mã đơn hàng", trạng thái bàn phím và giá trị trong ô.</t>
  </si>
  <si>
    <t xml:space="preserve">5. Ô "Mã đơn hàng" hiển thị dạng nhãn tĩnh chứ không phải textbox, bàn phím không bật lên, và giá trị trong ô giữ nguyên mã đơn gốc không có ký tự "X".</t>
  </si>
  <si>
    <t xml:space="preserve">▬▬  8. Trigger ba vai trò  ·  3 TC (TC-TS-022…TC-TS-024)</t>
  </si>
  <si>
    <t xml:space="preserve">Check người gửi thấy nút báo cáo sự cố ở cả ba trạng thái đơn</t>
  </si>
  <si>
    <t xml:space="preserve">1. Đăng nhập bằng tài khoản A, đăng 1 tin NEED khai tài khoản C là người nhận. (setup)
2. Nhấn tab "Hoạt động", mở đơn đó và check góc trên bên phải màn "Theo dõi đơn".
3. Đăng xuất, đăng nhập bằng tài khoản B, nhận đơn đó và xác nhận, rồi đăng xuất. (setup)
4. Đăng nhập lại bằng tài khoản A, mở đơn đó và check góc trên bên phải màn.
5. Đăng xuất, đăng nhập bằng tài khoản B, nhấn "Tôi đã lấy hàng" và xác nhận, rồi đăng xuất. (setup)
6. Đăng nhập lại bằng tài khoản A, mở đơn đó và check góc trên bên phải màn ở cả ba lần quan sát.</t>
  </si>
  <si>
    <t xml:space="preserve">6. Cả ba lần quan sát đều thấy nút "Báo cáo sự cố" ở góc trên bên phải màn "Theo dõi đơn" với nền cam nhạt, icon cảnh báo kèm chữ, và nhấn được.</t>
  </si>
  <si>
    <t xml:space="preserve">Check người vận chuyển thấy nút báo cáo sự cố ở cả hai trạng thái sau khi nhận đơn</t>
  </si>
  <si>
    <t xml:space="preserve">1. Đăng nhập bằng tài khoản A, đăng 1 tin NEED khai tài khoản C là người nhận, rồi đăng xuất. (setup)
2. Đăng nhập bằng tài khoản B, nhận đơn đó và xác nhận. (setup)
3. Nhấn tab "Hoạt động", mở đơn đó và check góc trên bên phải màn "Theo dõi đơn".
4. Nhấn "Tôi đã lấy hàng" và xác nhận. (setup)
5. Mở lại đơn đó và check góc trên bên phải màn ở cả hai lần quan sát.</t>
  </si>
  <si>
    <t xml:space="preserve">5. Cả hai lần quan sát đều thấy nút "Báo cáo sự cố" ở góc trên bên phải màn "Theo dõi đơn" và nhấn được.</t>
  </si>
  <si>
    <t xml:space="preserve">Check người nhận thấy nút báo cáo sự cố và mở được form giống hai vai kia</t>
  </si>
  <si>
    <t xml:space="preserve">1. Đăng nhập bằng tài khoản A, đăng 1 tin NEED khai tài khoản C là người nhận, rồi đăng xuất. (setup)
2. Đăng nhập bằng tài khoản B, nhận đơn đó, nhấn "Tôi đã lấy hàng" và xác nhận, rồi đăng xuất. (setup)
3. Đăng nhập bằng tài khoản C, nhấn tab "Hoạt động" và mở đơn đó. (setup)
4. Check góc trên bên phải màn "Theo dõi đơn".
5. Nhấn "Báo cáo sự cố".
6. Check khung vừa mở và ô "Mã đơn hàng".</t>
  </si>
  <si>
    <t xml:space="preserve">6. WebView mở toàn màn hình và ô "Mã đơn hàng" điền sẵn đúng mã của đơn, giống hệt hành vi ở vai người gửi và người vận chuyển.</t>
  </si>
  <si>
    <t xml:space="preserve">▬▬  1. Trang Cá nhân — hiển thị  ·  2 TC (TC-USR-002…TC-USR-003)</t>
  </si>
  <si>
    <t xml:space="preserve">Check trang "Cá nhân" hiển thị avatar chữ viết tắt, tên, phòng ban và MNV</t>
  </si>
  <si>
    <t xml:space="preserve">1. Đăng nhập FoxEco từ host app FoxPro bằng tài khoản A. (setup)
2. Nhấn tab "Cá nhân" ở bottom nav. (setup)
3. Check khối hồ sơ đầu trang.</t>
  </si>
  <si>
    <t xml:space="preserve">3. Avatar hiển thị chữ viết tắt không dấu, viết hoa, ghép từ chữ cái đầu của 2 từ cuối trong tên tài khoản A (vd tên "Đồng Công Chí Linh" hiển thị "CL"); dưới avatar là tên và dòng phòng ban · MNV trùng hồ sơ nhân viên của tài khoản A (vd "Phòng Kỹ thuật · MNV: FTEL2291"); KHÔNG hiển thị số điện thoại, email công ty hay địa chỉ mặc định.</t>
  </si>
  <si>
    <t xml:space="preserve">Check trang "Cá nhân" không cho sửa trực tiếp avatar, tên, phòng ban và MNV</t>
  </si>
  <si>
    <t xml:space="preserve">1. Đăng nhập FoxEco từ host app FoxPro bằng tài khoản A. (setup)
2. Nhấn tab "Cá nhân" ở bottom nav. (setup)
3. Nhấn vào avatar.
4. Nhấn vào tên.
5. Nhấn vào dòng phòng ban · MNV.
6. Check trạng thái avatar, tên và dòng phòng ban · MNV sau cả 3 lần nhấn.</t>
  </si>
  <si>
    <t xml:space="preserve">6. Không mở màn hay popup đổi ảnh, không xuất hiện field nhập liệu hay bàn phím ở cả 3 lần nhấn; avatar, tên và dòng phòng ban · MNV đều giữ nguyên giá trị.</t>
  </si>
  <si>
    <t xml:space="preserve">▬▬  2. Trang Cá nhân — badge hạng  ·  2 TC (TC-USR-008…TC-USR-012)</t>
  </si>
  <si>
    <t xml:space="preserve">Check trang "Cá nhân" không hiển thị badge "Hạng Đồng hành"</t>
  </si>
  <si>
    <t xml:space="preserve">1. Đăng nhập FoxEco từ host app FoxPro bằng tài khoản A. (setup)
2. Nhấn tab "Cá nhân" ở bottom nav. (setup)
3. Check vùng bên dưới tên và dòng phòng ban · MNV.</t>
  </si>
  <si>
    <t xml:space="preserve">3. KHÔNG hiển thị badge "Hạng Đồng hành" hay bất kỳ nhãn hạng thành viên nào.</t>
  </si>
  <si>
    <t xml:space="preserve">Check trang "Cá nhân" hiển thị đủ thành phần theo đúng thứ tự</t>
  </si>
  <si>
    <t xml:space="preserve">1. Đăng nhập FoxEco từ host app FoxPro bằng tài khoản A. (setup)
2. Nhấn tab "Cá nhân" ở bottom nav. (setup)
3. Check lần lượt từ trên xuống các thành phần của trang.</t>
  </si>
  <si>
    <t xml:space="preserve">3. Hiển thị theo đúng thứ tự: avatar chữ viết tắt, tên, dòng phòng ban kèm MNV, card 2 chỉ số "đơn đã giúp" và "quà đã nhận", 3 mục menu "Đơn của tôi", "Quà đã nhận", "Cập nhật thông tin"; không có badge hạng thành viên.</t>
  </si>
  <si>
    <t xml:space="preserve">▬▬  3. Lối vào màn Cập nhật thông tin  ·  2 TC (TC-USR-013…TC-USR-014)</t>
  </si>
  <si>
    <t xml:space="preserve">Check mục menu "Cập nhật thông tin" nằm ngay dưới mục "Quà đã nhận"</t>
  </si>
  <si>
    <t xml:space="preserve">1. Đăng nhập FoxEco từ host app FoxPro bằng tài khoản A. (setup)
2. Nhấn tab "Cá nhân" ở bottom nav. (setup)
3. Check nhãn và thứ tự các mục menu.</t>
  </si>
  <si>
    <t xml:space="preserve">3. Mục menu thứ hai có nhãn "Quà đã nhận"; mục menu thứ ba có nhãn "Cập nhật thông tin", nằm ngay dưới "Quà đã nhận".</t>
  </si>
  <si>
    <t xml:space="preserve">REQ-USR-006, REQ-USR-008</t>
  </si>
  <si>
    <t xml:space="preserve">Check nhấn mục "Cập nhật thông tin" mở đúng màn và ẩn bottom nav</t>
  </si>
  <si>
    <t xml:space="preserve">1. Đăng nhập FoxEco từ host app FoxPro bằng tài khoản A. (setup)
2. Nhấn tab "Cá nhân" ở bottom nav. (setup)
3. Nhấn mục menu "Cập nhật thông tin".</t>
  </si>
  <si>
    <t xml:space="preserve">3. Mở màn "Cập nhật thông tin": header có nút quay lại "←" và tiêu đề "Cập nhật thông tin"; màn không hiển thị bottom nav.</t>
  </si>
  <si>
    <t xml:space="preserve">▬▬  4. Lưu và hiển thị lại  ·  3 TC (TC-USR-015…TC-USR-027)</t>
  </si>
  <si>
    <t xml:space="preserve">DOC-v1.1-01 · DOC-v1.1-04</t>
  </si>
  <si>
    <t xml:space="preserve">Check lưu số điện thoại và địa chỉ mặc định mới hiển thị đúng banner xanh</t>
  </si>
  <si>
    <t xml:space="preserve">1. Đăng nhập FoxEco từ host app FoxPro bằng tài khoản A. (setup)
2. Nhấn tab "Cá nhân" ở bottom nav. (setup)
3. Nhấn mục menu "Cập nhật thông tin". (setup)
4. Ghi lại giá trị đang hiển thị ở field "Số điện thoại mặc định" và field "Địa chỉ mặc định".
5. Nhập "0987654321" vào field "Số điện thoại mặc định".
6. Nhập "Lê Thái Tổ" vào field "Địa chỉ mặc định".
7. Chọn "Tòa V-City, Lê Thái Tổ" trong danh sách gợi ý.
8. Nhấn nút "Lưu thay đổi".</t>
  </si>
  <si>
    <t xml:space="preserve">8. Hiển thị banner xanh "Đã lưu thông tin của bạn" ngay trên nút "Lưu thay đổi"; màn vẫn ở "Cập nhật thông tin".</t>
  </si>
  <si>
    <t xml:space="preserve">Check giá trị số điện thoại và địa chỉ mặc định vẫn đúng sau khi mở lại màn</t>
  </si>
  <si>
    <t xml:space="preserve">1. Đăng nhập FoxEco từ host app FoxPro bằng tài khoản A. (setup)
2. Nhấn tab "Cá nhân" ở bottom nav. (setup)
3. Nhấn mục menu "Cập nhật thông tin". (setup)
4. Ghi lại giá trị đang hiển thị ở field "Số điện thoại mặc định" và field "Địa chỉ mặc định". (setup)
5. Nhập "0987654321" vào field "Số điện thoại mặc định". (setup)
6. Nhập "Lê Thái Tổ" vào field "Địa chỉ mặc định". (setup)
7. Chọn "Tòa V-City, Lê Thái Tổ" trong danh sách gợi ý. (setup)
8. Nhấn nút "Lưu thay đổi". (setup)
9. Nhấn nút "←". (setup)
10. Nhấn mục menu "Cập nhật thông tin".
11. Check field "Số điện thoại mặc định" và field "Địa chỉ mặc định".</t>
  </si>
  <si>
    <t xml:space="preserve">11. Field "Số điện thoại mặc định" hiển thị "0987654321"; field "Địa chỉ mặc định" hiển thị "Tòa V-City, Lê Thái Tổ".</t>
  </si>
  <si>
    <t xml:space="preserve">Check banner đã lưu tự ẩn khi sửa tiếp nội dung field</t>
  </si>
  <si>
    <t xml:space="preserve">1. Đăng nhập FoxEco từ host app FoxPro bằng tài khoản A. (setup)
2. Nhấn tab "Cá nhân" ở bottom nav. (setup)
3. Nhấn mục menu "Cập nhật thông tin". (setup)
4. Nhập "0987654321" vào field "Số điện thoại mặc định". (setup)
5. Nhấn nút "Lưu thay đổi". (setup)
6. Check banner phía trên nút "Lưu thay đổi". (setup)
7. Nhập "0987654322" vào field "Số điện thoại mặc định".
8. Check banner phía trên nút "Lưu thay đổi".</t>
  </si>
  <si>
    <t xml:space="preserve">8. Banner "Đã lưu thông tin của bạn" không còn hiển thị, không cần nhấn đóng.</t>
  </si>
  <si>
    <t xml:space="preserve">▬▬  5. Validate số điện thoại mặc định  ·  7 TC (TC-USR-017…TC-USR-023)</t>
  </si>
  <si>
    <t xml:space="preserve">Check để trống số điện thoại mặc định bị chặn lưu và báo lỗi dưới field</t>
  </si>
  <si>
    <t xml:space="preserve">1. Đăng nhập FoxEco từ host app FoxPro bằng tài khoản A. (setup)
2. Nhấn tab "Cá nhân" ở bottom nav. (setup)
3. Nhấn mục menu "Cập nhật thông tin". (setup)
4. Xoá toàn bộ nội dung field "Số điện thoại mặc định".
5. Nhấn nút "Lưu thay đổi".</t>
  </si>
  <si>
    <t xml:space="preserve">5. Hiển thị thông báo lỗi màu đỏ "Vui lòng nhập số điện thoại" ngay dưới field "Số điện thoại mặc định"; KHÔNG hiển thị banner "Đã lưu thông tin của bạn".</t>
  </si>
  <si>
    <t xml:space="preserve">Check số điện thoại mặc định 9 chữ số bị chặn lưu</t>
  </si>
  <si>
    <t xml:space="preserve">1. Đăng nhập FoxEco từ host app FoxPro bằng tài khoản A. (setup)
2. Nhấn tab "Cá nhân" ở bottom nav. (setup)
3. Nhấn mục menu "Cập nhật thông tin". (setup)
4. Nhập "091234567" vào field "Số điện thoại mặc định".
5. Nhấn nút "Lưu thay đổi".</t>
  </si>
  <si>
    <t xml:space="preserve">5. Hiển thị thông báo lỗi màu đỏ "Số điện thoại không hợp lệ (10 số, bắt đầu bằng 0)" ngay dưới field "Số điện thoại mặc định"; KHÔNG hiển thị banner "Đã lưu thông tin của bạn".</t>
  </si>
  <si>
    <t xml:space="preserve">Check số điện thoại mặc định 11 chữ số bị chặn lưu</t>
  </si>
  <si>
    <t xml:space="preserve">1. Đăng nhập FoxEco từ host app FoxPro bằng tài khoản A. (setup)
2. Nhấn tab "Cá nhân" ở bottom nav. (setup)
3. Nhấn mục menu "Cập nhật thông tin". (setup)
4. Nhập "09123456789" vào field "Số điện thoại mặc định".
5. Nhấn nút "Lưu thay đổi".
6. Nhấn nút "←".
7. Nhấn mục menu "Cập nhật thông tin".
8. Check field "Số điện thoại mặc định".</t>
  </si>
  <si>
    <t xml:space="preserve">8. Field "Số điện thoại mặc định" không hiển thị "09123456789".</t>
  </si>
  <si>
    <t xml:space="preserve">Check số điện thoại mặc định không bắt đầu bằng 0 bị chặn lưu</t>
  </si>
  <si>
    <t xml:space="preserve">1. Đăng nhập FoxEco từ host app FoxPro bằng tài khoản A. (setup)
2. Nhấn tab "Cá nhân" ở bottom nav. (setup)
3. Nhấn mục menu "Cập nhật thông tin". (setup)
4. Nhập "1912345678" vào field "Số điện thoại mặc định".
5. Nhấn nút "Lưu thay đổi".</t>
  </si>
  <si>
    <t xml:space="preserve">Check số điện thoại mặc định chứa khoảng trắng bị chặn lưu</t>
  </si>
  <si>
    <t xml:space="preserve">1. Đăng nhập FoxEco từ host app FoxPro bằng tài khoản A. (setup)
2. Nhấn tab "Cá nhân" ở bottom nav. (setup)
3. Nhấn mục menu "Cập nhật thông tin". (setup)
4. Nhập "0912 345 678" vào field "Số điện thoại mặc định".
5. Nhấn nút "Lưu thay đổi".</t>
  </si>
  <si>
    <t xml:space="preserve">Check số điện thoại mặc định có tiền tố +84 bị chặn lưu</t>
  </si>
  <si>
    <t xml:space="preserve">1. Đăng nhập FoxEco từ host app FoxPro bằng tài khoản A. (setup)
2. Nhấn tab "Cá nhân" ở bottom nav. (setup)
3. Nhấn mục menu "Cập nhật thông tin". (setup)
4. Nhập "+84912345678" vào field "Số điện thoại mặc định".
5. Nhấn nút "Lưu thay đổi".</t>
  </si>
  <si>
    <t xml:space="preserve">Check số điện thoại mặc định chứa chữ bị chặn lưu</t>
  </si>
  <si>
    <t xml:space="preserve">1. Đăng nhập FoxEco từ host app FoxPro bằng tài khoản A. (setup)
2. Nhấn tab "Cá nhân" ở bottom nav. (setup)
3. Nhấn mục menu "Cập nhật thông tin". (setup)
4. Nhập "09123a5678" vào field "Số điện thoại mặc định".
5. Nhấn nút "Lưu thay đổi".</t>
  </si>
  <si>
    <t xml:space="preserve">▬▬  6. Field chỉ đọc từ SSO  ·  1 TC (TC-USR-024)</t>
  </si>
  <si>
    <t xml:space="preserve">REQ-USR-002, REQ-USR-008</t>
  </si>
  <si>
    <t xml:space="preserve">Check avatar, tên, phòng ban, MNV và email trên màn cập nhật chỉ đọc</t>
  </si>
  <si>
    <t xml:space="preserve">1. Đăng nhập FoxEco từ host app FoxPro bằng tài khoản A. (setup)
2. Nhấn tab "Cá nhân" ở bottom nav. (setup)
3. Nhấn mục menu "Cập nhật thông tin". (setup)
4. Nhấn vào avatar.
5. Nhấn vào tên.
6. Nhấn vào dòng phòng ban · MNV.
7. Nhấn vào field "Email công ty".
8. Check trạng thái cả 4 thành phần và icon bên phải field "Email công ty".</t>
  </si>
  <si>
    <t xml:space="preserve">8. Không mở màn/popup đổi ảnh, không xuất hiện field nhập liệu hay bàn phím ở cả 4 lần nhấn; avatar, tên, dòng phòng ban · MNV và email đều giữ nguyên; icon bên phải field "Email công ty" hiển thị icon khiên.</t>
  </si>
  <si>
    <t xml:space="preserve">▬▬  7. Truy vết hai chiều với đơn  ·  2 TC (TC-USR-025…TC-USR-026)</t>
  </si>
  <si>
    <t xml:space="preserve">Check đổi số điện thoại và địa chỉ mặc định không làm đổi đơn đã đăng trước đó</t>
  </si>
  <si>
    <t xml:space="preserve">- Tài khoản A và B là 2 CBNV khác nhau trên STG.
- Host app FoxPro đã cài trên thiết bị Android/iOS.</t>
  </si>
  <si>
    <t xml:space="preserve">1. Đăng nhập FoxEco từ host app FoxPro bằng tài khoản A. (setup)
2. Đăng 1 tin NEED qua wizard "Đăng tin", khai tài khoản B là người nhận, giữ nguyên số điện thoại người gửi và địa chỉ lấy hàng được điền sẵn. (setup)
3. Mở màn Theo dõi đơn của tin vừa đăng. (setup)
4. Ghi lại số điện thoại người gửi và địa chỉ lấy hàng hiển thị trên màn Theo dõi đơn.
5. Nhấn tab "Cá nhân" ở bottom nav. (setup)
6. Nhấn mục menu "Cập nhật thông tin". (setup)
7. Nhập "0987654321" vào field "Số điện thoại mặc định".
8. Nhập "Cẩm Lệ" vào field "Địa chỉ mặc định".
9. Chọn "363 Nguyễn Hữu Thọ,Cẩm Lệ" trong danh sách gợi ý.
10. Nhấn nút "Lưu thay đổi".
11. Nhấn tab "Hoạt động" ở bottom nav.
12. Nhấn card của tin đã đăng ở bước 2 để mở màn Theo dõi đơn.
13. Check số điện thoại người gửi và địa chỉ lấy hàng.</t>
  </si>
  <si>
    <t xml:space="preserve">13. Số điện thoại người gửi và địa chỉ lấy hàng trùng đúng giá trị đã ghi ở bước 4.</t>
  </si>
  <si>
    <t xml:space="preserve">Check sửa số điện thoại người gửi và địa chỉ lấy hàng trong đơn không ghi đè hồ sơ</t>
  </si>
  <si>
    <t xml:space="preserve">1. Đăng nhập FoxEco từ host app FoxPro bằng tài khoản A. (setup)
2. Nhấn tab "Cá nhân" ở bottom nav. (setup)
3. Nhấn mục menu "Cập nhật thông tin". (setup)
4. Ghi lại giá trị đang hiển thị ở field "Số điện thoại mặc định" và field "Địa chỉ mặc định".
5. Mở wizard "Đăng tin" loại NEED, khai tài khoản B là người nhận và đi tới bước có field số điện thoại người gửi và địa chỉ lấy hàng. (setup)
6. Nhập "0987654321" vào field số điện thoại người gửi.
7. Nhập "Tòa V-City, Lê Thái Tổ" vào field địa chỉ lấy hàng.
8. Hoàn tất các bước còn lại của wizard và nhấn đăng tin. (setup)
9. Nhấn tab "Cá nhân" ở bottom nav. (setup)
10. Nhấn mục menu "Cập nhật thông tin".
11. Check field "Số điện thoại mặc định" và field "Địa chỉ mặc định".</t>
  </si>
  <si>
    <t xml:space="preserve">11. Field "Số điện thoại mặc định" và field "Địa chỉ mặc định" trùng đúng giá trị đã ghi ở bước 4; không hiển thị "0987654321" hay "Tòa V-City, Lê Thái Tổ".</t>
  </si>
  <si>
    <t xml:space="preserve">▬▬  8. Địa chỉ mặc định — rỗng và gõ tay  ·  3 TC (TC-USR-028…TC-USR-030)</t>
  </si>
  <si>
    <t xml:space="preserve">Check địa chỉ gõ tay không chọn gợi ý bị xoá rỗng khi rời field</t>
  </si>
  <si>
    <t xml:space="preserve">1. Đăng nhập FoxEco từ host app FoxPro bằng tài khoản A. (setup)
2. Nhấn tab "Cá nhân" ở bottom nav. (setup)
3. Nhấn mục menu "Cập nhật thông tin". (setup)
4. Nhập "Lê Thái Tổ" vào field "Địa chỉ mặc định", chọn "Tòa V-City, Lê Thái Tổ" trong danh sách gợi ý và nhấn nút "Lưu thay đổi". (setup)
5. Nhập "asdfghjkl1" vào field "Địa chỉ mặc định".
6. Nhấn vào vùng trống bên ngoài field "Địa chỉ mặc định".</t>
  </si>
  <si>
    <t xml:space="preserve">6. Field "Địa chỉ mặc định" trở về rỗng; trong lúc gõ ở bước 5 không hiển thị danh sách gợi ý.</t>
  </si>
  <si>
    <t xml:space="preserve">Check để trống địa chỉ mặc định sau khi xoá vẫn lưu được</t>
  </si>
  <si>
    <t xml:space="preserve">1. Đăng nhập FoxEco từ host app FoxPro bằng tài khoản A. (setup)
2. Nhấn tab "Cá nhân" ở bottom nav. (setup)
3. Nhấn mục menu "Cập nhật thông tin". (setup)
4. Nhập "Lê Thái Tổ" vào field "Địa chỉ mặc định", chọn "Tòa V-City, Lê Thái Tổ" trong danh sách gợi ý và nhấn nút "Lưu thay đổi". (setup)
5. Nhập "asdfghjkl1" vào field "Địa chỉ mặc định". (setup)
6. Nhấn vào vùng trống bên ngoài field "Địa chỉ mặc định". (setup)
7. Nhấn nút "Lưu thay đổi".</t>
  </si>
  <si>
    <t xml:space="preserve">7. Hiển thị banner xanh "Đã lưu thông tin của bạn"; để trống địa chỉ mặc định vẫn lưu được.</t>
  </si>
  <si>
    <t xml:space="preserve">Check địa chỉ mặc định đã lưu rỗng vẫn rỗng sau khi mở lại, không tự load lại HRIS</t>
  </si>
  <si>
    <t xml:space="preserve">1. Đăng nhập FoxEco từ host app FoxPro bằng tài khoản A. (setup)
2. Nhấn tab "Cá nhân" ở bottom nav. (setup)
3. Nhấn mục menu "Cập nhật thông tin". (setup)
4. Nhập "Lê Thái Tổ" vào field "Địa chỉ mặc định", chọn "Tòa V-City, Lê Thái Tổ" trong danh sách gợi ý và nhấn nút "Lưu thay đổi". (setup)
5. Nhập "asdfghjkl1" vào field "Địa chỉ mặc định". (setup)
6. Nhấn vào vùng trống bên ngoài field "Địa chỉ mặc định". (setup)
7. Nhấn nút "Lưu thay đổi". (setup)
8. Nhấn nút "←". (setup)
9. Nhấn mục menu "Cập nhật thông tin".
10. Check field "Địa chỉ mặc định".</t>
  </si>
  <si>
    <t xml:space="preserve">10. Field "Địa chỉ mặc định" rỗng; không tự điền lại địa chỉ làm việc từ HRIS.</t>
  </si>
  <si>
    <t xml:space="preserve">▬▬  9. Gợi ý văn phòng  ·  9 TC (TC-USR-031…TC-USR-039)</t>
  </si>
  <si>
    <t xml:space="preserve">Check nhập 2 ký tự chưa hiển thị gợi ý văn phòng</t>
  </si>
  <si>
    <t xml:space="preserve">1. Đăng nhập FoxEco từ host app FoxPro bằng tài khoản A. (setup)
2. Nhấn tab "Cá nhân" ở bottom nav. (setup)
3. Nhấn mục menu "Cập nhật thông tin". (setup)
4. Xoá toàn bộ nội dung field "Địa chỉ mặc định". (setup)
5. Nhập "fp" vào field "Địa chỉ mặc định".</t>
  </si>
  <si>
    <t xml:space="preserve">5. Không hiển thị danh sách gợi ý.</t>
  </si>
  <si>
    <t xml:space="preserve">Check nhập đủ 3 ký tự hiển thị đúng danh sách gợi ý văn phòng</t>
  </si>
  <si>
    <t xml:space="preserve">1. Đăng nhập FoxEco từ host app FoxPro bằng tài khoản A. (setup)
2. Nhấn tab "Cá nhân" ở bottom nav. (setup)
3. Nhấn mục menu "Cập nhật thông tin". (setup)
4. Xoá toàn bộ nội dung field "Địa chỉ mặc định". (setup)
5. Nhập "fpt" vào field "Địa chỉ mặc định".</t>
  </si>
  <si>
    <t xml:space="preserve">5. Danh sách gợi ý hiển thị đúng 8 văn phòng: "Tầng 20, FPT Tower", "Tầng 19, FPT Tower", "Tầng 8, FPT Tower", "Tầng 9, FPT Tower", "FPT Cầu Giấy", "Tầng 17,18 FPT Tower", "Lô A4-1, KĐT Công nghệ FPT", "ĐH FPT, KĐT An Phú Thịnh".</t>
  </si>
  <si>
    <t xml:space="preserve">Check chọn 1 văn phòng trong gợi ý điền đúng tên văn phòng vào field</t>
  </si>
  <si>
    <t xml:space="preserve">1. Đăng nhập FoxEco từ host app FoxPro bằng tài khoản A. (setup)
2. Nhấn tab "Cá nhân" ở bottom nav. (setup)
3. Nhấn mục menu "Cập nhật thông tin". (setup)
4. Xoá toàn bộ nội dung field "Địa chỉ mặc định". (setup)
5. Nhập "Lê Thái Tổ" vào field "Địa chỉ mặc định".
6. Check danh sách gợi ý.
7. Chọn "Tòa V-City, Lê Thái Tổ" trong danh sách gợi ý.
8. Nhấn vào vùng trống bên ngoài field "Địa chỉ mặc định".</t>
  </si>
  <si>
    <t xml:space="preserve">8. Field "Địa chỉ mặc định" hiển thị đúng chuỗi "Tòa V-City, Lê Thái Tổ", không bị xoá rỗng.</t>
  </si>
  <si>
    <t xml:space="preserve">Check gợi ý văn phòng khớp đúng khi nhập có dấu</t>
  </si>
  <si>
    <t xml:space="preserve">1. Đăng nhập FoxEco từ host app FoxPro bằng tài khoản A. (setup)
2. Nhấn tab "Cá nhân" ở bottom nav. (setup)
3. Nhấn mục menu "Cập nhật thông tin". (setup)
4. Xoá toàn bộ nội dung field "Địa chỉ mặc định". (setup)
5. Nhập "Cẩm Lệ" vào field "Địa chỉ mặc định".</t>
  </si>
  <si>
    <t xml:space="preserve">5. Danh sách gợi ý hiển thị đúng 2 văn phòng "363 Nguyễn Hữu Thọ,Cẩm Lệ" và "36 Nhơn Hòa 4, Cẩm Lệ".</t>
  </si>
  <si>
    <t xml:space="preserve">Check gợi ý văn phòng khớp đúng khi nhập chữ thường không dấu</t>
  </si>
  <si>
    <t xml:space="preserve">1. Đăng nhập FoxEco từ host app FoxPro bằng tài khoản A. (setup)
2. Nhấn tab "Cá nhân" ở bottom nav. (setup)
3. Nhấn mục menu "Cập nhật thông tin". (setup)
4. Xoá toàn bộ nội dung field "Địa chỉ mặc định". (setup)
5. Nhập "cam le" vào field "Địa chỉ mặc định".</t>
  </si>
  <si>
    <t xml:space="preserve">Check gợi ý văn phòng khớp đúng khi nhập chữ hoa không dấu</t>
  </si>
  <si>
    <t xml:space="preserve">1. Đăng nhập FoxEco từ host app FoxPro bằng tài khoản A. (setup)
2. Nhấn tab "Cá nhân" ở bottom nav. (setup)
3. Nhấn mục menu "Cập nhật thông tin". (setup)
4. Xoá toàn bộ nội dung field "Địa chỉ mặc định". (setup)
5. Nhập "CAM LE" vào field "Địa chỉ mặc định".</t>
  </si>
  <si>
    <t xml:space="preserve">Check gợi ý văn phòng khớp theo kiểu chứa chuỗi kể cả giữa từ</t>
  </si>
  <si>
    <t xml:space="preserve">1. Đăng nhập FoxEco từ host app FoxPro bằng tài khoản A. (setup)
2. Nhấn tab "Cá nhân" ở bottom nav. (setup)
3. Nhấn mục menu "Cập nhật thông tin". (setup)
4. Xoá toàn bộ nội dung field "Địa chỉ mặc định". (setup)
5. Nhập "tan" vào field "Địa chỉ mặc định".</t>
  </si>
  <si>
    <t xml:space="preserve">5. Danh sách gợi ý có văn phòng "Tầng 20, FPT Tower" và văn phòng "14 NVY,Phú Thọ Hòa,Tân Phú".</t>
  </si>
  <si>
    <t xml:space="preserve">Check từ khoá không khớp văn phòng nào không hiển thị gợi ý</t>
  </si>
  <si>
    <t xml:space="preserve">1. Đăng nhập FoxEco từ host app FoxPro bằng tài khoản A. (setup)
2. Nhấn tab "Cá nhân" ở bottom nav. (setup)
3. Nhấn mục menu "Cập nhật thông tin". (setup)
4. Xoá toàn bộ nội dung field "Địa chỉ mặc định". (setup)
5. Nhập "xyz" vào field "Địa chỉ mặc định".</t>
  </si>
  <si>
    <t xml:space="preserve">5. Không hiển thị danh sách gợi ý và không hiển thị dòng thông báo nào.</t>
  </si>
  <si>
    <t xml:space="preserve">Check gợi ý chỉ tìm theo tên văn phòng, không theo mã tỉnh</t>
  </si>
  <si>
    <t xml:space="preserve">1. Đăng nhập FoxEco từ host app FoxPro bằng tài khoản A. (setup)
2. Nhấn tab "Cá nhân" ở bottom nav. (setup)
3. Nhấn mục menu "Cập nhật thông tin". (setup)
4. Xoá toàn bộ nội dung field "Địa chỉ mặc định". (setup)
5. Nhập "hcm" vào field "Địa chỉ mặc định".</t>
  </si>
  <si>
    <t xml:space="preserve">▬▬  10. Nguồn HRIS lần đầu mở màn  ·  5 TC (TC-USR-040…TC-USR-044)</t>
  </si>
  <si>
    <t xml:space="preserve">Check lần đầu mở màn cập nhật địa chỉ mặc định điền sẵn từ HRIS</t>
  </si>
  <si>
    <t xml:space="preserve">- Tài khoản C là CBNV chưa từng lưu thông tin ở màn "Cập nhật thông tin".
- HRIS có địa chỉ làm việc của tài khoản C (giá trị đã biết).
- Host app FoxPro đã cài trên thiết bị Android/iOS.</t>
  </si>
  <si>
    <t xml:space="preserve">1. Đăng nhập FoxEco từ host app FoxPro bằng tài khoản C. (setup)
2. Nhấn tab "Cá nhân" ở bottom nav. (setup)
3. Nhấn mục menu "Cập nhật thông tin".
4. Nhấn vào field "Địa chỉ mặc định".
5. Check field "Địa chỉ mặc định".</t>
  </si>
  <si>
    <t xml:space="preserve">5. Field hiển thị đúng địa chỉ làm việc của tài khoản C trên HRIS và cho phép nhập (con trỏ, bàn phím xuất hiện).</t>
  </si>
  <si>
    <t xml:space="preserve">Check địa chỉ mặc định rỗng khi HRIS không có địa chỉ làm việc</t>
  </si>
  <si>
    <t xml:space="preserve">- Tài khoản D là CBNV chưa từng lưu thông tin ở màn "Cập nhật thông tin".
- HRIS không có địa chỉ làm việc của tài khoản D.
- Host app FoxPro đã cài trên thiết bị Android/iOS.</t>
  </si>
  <si>
    <t xml:space="preserve">1. Đăng nhập FoxEco từ host app FoxPro bằng tài khoản D. (setup)
2. Nhấn tab "Cá nhân" ở bottom nav. (setup)
3. Nhấn mục menu "Cập nhật thông tin".
4. Check field "Địa chỉ mặc định".</t>
  </si>
  <si>
    <t xml:space="preserve">4. Field "Địa chỉ mặc định" rỗng.</t>
  </si>
  <si>
    <t xml:space="preserve">Check địa chỉ mặc định đã lưu được giữ sau khi mở lại FoxEco, không bị HRIS ghi đè</t>
  </si>
  <si>
    <t xml:space="preserve">- Tài khoản A là CBNV có hồ sơ đầy đủ trên STG.
- HRIS có địa chỉ làm việc của tài khoản A khác "Tòa V-City, Lê Thái Tổ".
- Host app FoxPro đã cài trên thiết bị Android/iOS.</t>
  </si>
  <si>
    <t xml:space="preserve">1. Đăng nhập FoxEco từ host app FoxPro bằng tài khoản A. (setup)
2. Nhấn tab "Cá nhân" ở bottom nav. (setup)
3. Nhấn mục menu "Cập nhật thông tin". (setup)
4. Nhập "Lê Thái Tổ" vào field "Địa chỉ mặc định". (setup)
5. Chọn "Tòa V-City, Lê Thái Tổ" trong danh sách gợi ý. (setup)
6. Nhấn nút "Lưu thay đổi". (setup)
7. Nhấn nút back của thiết bị cho tới khi quay về màn chính của host app FoxPro.
8. Mở lại FoxEco từ host app FoxPro.
9. Nhấn tab "Cá nhân" ở bottom nav.
10. Nhấn mục menu "Cập nhật thông tin".
11. Check field "Địa chỉ mặc định".</t>
  </si>
  <si>
    <t xml:space="preserve">11. Field "Địa chỉ mặc định" hiển thị "Tòa V-City, Lê Thái Tổ", không hiển thị địa chỉ làm việc trên HRIS.</t>
  </si>
  <si>
    <t xml:space="preserve">Check lần đầu mở màn cập nhật số điện thoại mặc định điền sẵn từ HRIS</t>
  </si>
  <si>
    <t xml:space="preserve">- Tài khoản C là CBNV chưa từng lưu thông tin ở màn "Cập nhật thông tin".
- HRIS có số điện thoại của tài khoản C (giá trị đã biết).
- Host app FoxPro đã cài trên thiết bị Android/iOS.</t>
  </si>
  <si>
    <t xml:space="preserve">1. Đăng nhập FoxEco từ host app FoxPro bằng tài khoản C. (setup)
2. Nhấn tab "Cá nhân" ở bottom nav. (setup)
3. Nhấn mục menu "Cập nhật thông tin".
4. Nhấn vào field "Số điện thoại mặc định".
5. Check field "Số điện thoại mặc định".</t>
  </si>
  <si>
    <t xml:space="preserve">5. Field hiển thị đúng số điện thoại của tài khoản C trên HRIS và cho phép nhập (con trỏ, bàn phím xuất hiện).</t>
  </si>
  <si>
    <t xml:space="preserve">Check HRIS không có số điện thoại thì field rỗng và nhấn lưu bị chặn</t>
  </si>
  <si>
    <t xml:space="preserve">- Tài khoản D là CBNV chưa từng lưu thông tin ở màn "Cập nhật thông tin".
- HRIS không có số điện thoại của tài khoản D.
- Host app FoxPro đã cài trên thiết bị Android/iOS.</t>
  </si>
  <si>
    <t xml:space="preserve">1. Đăng nhập FoxEco từ host app FoxPro bằng tài khoản D. (setup)
2. Nhấn tab "Cá nhân" ở bottom nav. (setup)
3. Nhấn mục menu "Cập nhật thông tin".
4. Check field "Số điện thoại mặc định".
5. Nhấn nút "Lưu thay đổi".</t>
  </si>
  <si>
    <t xml:space="preserve">▬▬  11. Thoát màn khi chưa lưu  ·  2 TC (TC-USR-045…TC-USR-046)</t>
  </si>
  <si>
    <t xml:space="preserve">Check nhấn quay lại khi chưa lưu không hiển thị hộp thoại xác nhận</t>
  </si>
  <si>
    <t xml:space="preserve">1. Đăng nhập FoxEco từ host app FoxPro bằng tài khoản A. (setup)
2. Nhấn tab "Cá nhân" ở bottom nav. (setup)
3. Nhấn mục menu "Cập nhật thông tin". (setup)
4. Ghi lại giá trị đang hiển thị ở field "Số điện thoại mặc định" và field "Địa chỉ mặc định".
5. Nhập "0987654321" vào field "Số điện thoại mặc định".
6. Nhập "Cẩm Lệ" vào field "Địa chỉ mặc định".
7. Chọn "36 Nhơn Hòa 4, Cẩm Lệ" trong danh sách gợi ý.
8. Nhấn nút "←".</t>
  </si>
  <si>
    <t xml:space="preserve">8. Quay về trang "Cá nhân" ngay, không hiển thị hộp thoại xác nhận nào.</t>
  </si>
  <si>
    <t xml:space="preserve">Check thoát màn khi chưa lưu bỏ thay đổi không giữ bản nháp</t>
  </si>
  <si>
    <t xml:space="preserve">1. Đăng nhập FoxEco từ host app FoxPro bằng tài khoản A. (setup)
2. Nhấn tab "Cá nhân" ở bottom nav. (setup)
3. Nhấn mục menu "Cập nhật thông tin". (setup)
4. Ghi lại giá trị đang hiển thị ở field "Số điện thoại mặc định" và field "Địa chỉ mặc định". (setup)
5. Nhập "0987654321" vào field "Số điện thoại mặc định". (setup)
6. Nhập "Cẩm Lệ" vào field "Địa chỉ mặc định". (setup)
7. Chọn "36 Nhơn Hòa 4, Cẩm Lệ" trong danh sách gợi ý. (setup)
8. Nhấn nút "←". (setup)
9. Nhấn mục menu "Cập nhật thông tin".
10. Check field "Số điện thoại mặc định" và field "Địa chỉ mặc định".</t>
  </si>
  <si>
    <t xml:space="preserve">10. Field "Số điện thoại mặc định" và field "Địa chỉ mặc định" trùng đúng giá trị đã ghi ở bước 4 — thay đổi chưa lưu bị bỏ, không giữ lại dạng bản nháp.</t>
  </si>
</sst>
</file>

<file path=xl/styles.xml><?xml version="1.0" encoding="utf-8"?>
<styleSheet xmlns="http://schemas.openxmlformats.org/spreadsheetml/2006/main">
  <numFmts count="6">
    <numFmt numFmtId="164" formatCode="General"/>
    <numFmt numFmtId="165" formatCode="d\/m\/yy"/>
    <numFmt numFmtId="166" formatCode="0.0"/>
    <numFmt numFmtId="167" formatCode="0"/>
    <numFmt numFmtId="168" formatCode="0.0%"/>
    <numFmt numFmtId="169" formatCode="0%"/>
  </numFmts>
  <fonts count="57">
    <font>
      <sz val="11"/>
      <color theme="1"/>
      <name val="Calibri"/>
      <family val="0"/>
      <charset val="1"/>
    </font>
    <font>
      <sz val="10"/>
      <name val="Arial"/>
      <family val="0"/>
    </font>
    <font>
      <sz val="10"/>
      <name val="Arial"/>
      <family val="0"/>
    </font>
    <font>
      <sz val="10"/>
      <name val="Arial"/>
      <family val="0"/>
    </font>
    <font>
      <b val="true"/>
      <sz val="12"/>
      <color rgb="FF808080"/>
      <name val="Arial"/>
      <family val="0"/>
      <charset val="1"/>
    </font>
    <font>
      <b val="true"/>
      <sz val="28"/>
      <color rgb="FFED7D31"/>
      <name val="Arial"/>
      <family val="0"/>
      <charset val="1"/>
    </font>
    <font>
      <b val="true"/>
      <sz val="32"/>
      <color rgb="FF1F1F1F"/>
      <name val="Arial"/>
      <family val="0"/>
      <charset val="1"/>
    </font>
    <font>
      <i val="true"/>
      <sz val="13"/>
      <color rgb="FF2F5496"/>
      <name val="Arial"/>
      <family val="0"/>
      <charset val="1"/>
    </font>
    <font>
      <b val="true"/>
      <sz val="12"/>
      <color rgb="FFFFFFFF"/>
      <name val="Arial"/>
      <family val="0"/>
      <charset val="1"/>
    </font>
    <font>
      <b val="true"/>
      <sz val="12"/>
      <color rgb="FF2F5496"/>
      <name val="Arial"/>
      <family val="0"/>
      <charset val="1"/>
    </font>
    <font>
      <i val="true"/>
      <sz val="11"/>
      <color rgb="FF404040"/>
      <name val="Arial"/>
      <family val="0"/>
      <charset val="1"/>
    </font>
    <font>
      <i val="true"/>
      <sz val="10"/>
      <color rgb="FF808080"/>
      <name val="Arial"/>
      <family val="0"/>
      <charset val="1"/>
    </font>
    <font>
      <sz val="14"/>
      <color theme="1"/>
      <name val="Calibri"/>
      <family val="0"/>
      <charset val="1"/>
    </font>
    <font>
      <b val="true"/>
      <sz val="14"/>
      <color rgb="FFFFFFFF"/>
      <name val="Arial"/>
      <family val="0"/>
      <charset val="1"/>
    </font>
    <font>
      <b val="true"/>
      <sz val="10"/>
      <color rgb="FF1F4E79"/>
      <name val="Arial"/>
      <family val="0"/>
      <charset val="1"/>
    </font>
    <font>
      <sz val="10"/>
      <color rgb="FF000000"/>
      <name val="Arial"/>
      <family val="0"/>
      <charset val="1"/>
    </font>
    <font>
      <b val="true"/>
      <sz val="10"/>
      <color rgb="FFFFFFFF"/>
      <name val="Arial"/>
      <family val="0"/>
      <charset val="1"/>
    </font>
    <font>
      <i val="true"/>
      <sz val="10"/>
      <color rgb="FFFFFFFF"/>
      <name val="Arial"/>
      <family val="0"/>
      <charset val="1"/>
    </font>
    <font>
      <sz val="11"/>
      <color theme="1"/>
      <name val="Arial"/>
      <family val="0"/>
      <charset val="1"/>
    </font>
    <font>
      <b val="true"/>
      <sz val="11"/>
      <color rgb="FFFFFFFF"/>
      <name val="Arial"/>
      <family val="0"/>
      <charset val="1"/>
    </font>
    <font>
      <sz val="11"/>
      <color rgb="FF000000"/>
      <name val="Arial"/>
      <family val="0"/>
      <charset val="1"/>
    </font>
    <font>
      <sz val="11"/>
      <color rgb="FF000000"/>
      <name val="Calibri"/>
      <family val="0"/>
      <charset val="1"/>
    </font>
    <font>
      <b val="true"/>
      <sz val="17"/>
      <color rgb="FF1F4E79"/>
      <name val="Arial"/>
      <family val="0"/>
      <charset val="1"/>
    </font>
    <font>
      <i val="true"/>
      <sz val="9"/>
      <color rgb="FF808080"/>
      <name val="Arial"/>
      <family val="0"/>
      <charset val="1"/>
    </font>
    <font>
      <b val="true"/>
      <sz val="11"/>
      <color rgb="FF000000"/>
      <name val="Arial"/>
      <family val="0"/>
      <charset val="1"/>
    </font>
    <font>
      <b val="true"/>
      <sz val="10"/>
      <color rgb="FF000000"/>
      <name val="Arial"/>
      <family val="0"/>
      <charset val="1"/>
    </font>
    <font>
      <i val="true"/>
      <sz val="9"/>
      <color rgb="FF595959"/>
      <name val="Arial"/>
      <family val="0"/>
      <charset val="1"/>
    </font>
    <font>
      <b val="true"/>
      <sz val="11"/>
      <color rgb="FF1F4E79"/>
      <name val="Arial"/>
      <family val="0"/>
      <charset val="1"/>
    </font>
    <font>
      <u val="single"/>
      <sz val="11"/>
      <color rgb="FF0563C1"/>
      <name val="Calibri"/>
      <family val="0"/>
      <charset val="1"/>
    </font>
    <font>
      <b val="true"/>
      <sz val="11"/>
      <color theme="1"/>
      <name val="Calibri"/>
      <family val="0"/>
      <charset val="1"/>
    </font>
    <font>
      <b val="true"/>
      <sz val="18"/>
      <color rgb="FF757575"/>
      <name val="Calibri"/>
      <family val="2"/>
    </font>
    <font>
      <sz val="10"/>
      <color rgb="FF000000"/>
      <name val="Calibri"/>
      <family val="2"/>
    </font>
    <font>
      <sz val="10"/>
      <color rgb="FF1A1A1A"/>
      <name val="Calibri"/>
      <family val="2"/>
    </font>
    <font>
      <sz val="15"/>
      <color theme="1"/>
      <name val="Calibri"/>
      <family val="0"/>
      <charset val="1"/>
    </font>
    <font>
      <b val="true"/>
      <sz val="15"/>
      <color rgb="FF1F4E79"/>
      <name val="Arial"/>
      <family val="0"/>
      <charset val="1"/>
    </font>
    <font>
      <b val="true"/>
      <sz val="9"/>
      <color rgb="FFFFFFFF"/>
      <name val="Arial"/>
      <family val="0"/>
      <charset val="1"/>
    </font>
    <font>
      <b val="true"/>
      <sz val="11"/>
      <color theme="1"/>
      <name val="Arial"/>
      <family val="0"/>
      <charset val="1"/>
    </font>
    <font>
      <b val="true"/>
      <sz val="9"/>
      <color theme="1"/>
      <name val="Arial"/>
      <family val="0"/>
      <charset val="1"/>
    </font>
    <font>
      <sz val="9"/>
      <color theme="1"/>
      <name val="Arial"/>
      <family val="0"/>
      <charset val="1"/>
    </font>
    <font>
      <sz val="10"/>
      <color theme="1"/>
      <name val="Arial"/>
      <family val="0"/>
      <charset val="1"/>
    </font>
    <font>
      <b val="true"/>
      <sz val="9"/>
      <color rgb="FF1F4E79"/>
      <name val="Arial"/>
      <family val="0"/>
      <charset val="1"/>
    </font>
    <font>
      <sz val="9"/>
      <color rgb="FF404040"/>
      <name val="Arial"/>
      <family val="0"/>
      <charset val="1"/>
    </font>
    <font>
      <b val="true"/>
      <sz val="14"/>
      <color rgb="FF1F4E79"/>
      <name val="Arial"/>
      <family val="0"/>
      <charset val="1"/>
    </font>
    <font>
      <b val="true"/>
      <sz val="13"/>
      <color rgb="FF1F4E79"/>
      <name val="Arial"/>
      <family val="0"/>
      <charset val="1"/>
    </font>
    <font>
      <i val="true"/>
      <sz val="8"/>
      <color rgb="FF808080"/>
      <name val="Arial"/>
      <family val="0"/>
      <charset val="1"/>
    </font>
    <font>
      <i val="true"/>
      <sz val="9"/>
      <color rgb="FF7F7F7F"/>
      <name val="Arial"/>
      <family val="0"/>
      <charset val="1"/>
    </font>
    <font>
      <strike val="true"/>
      <sz val="11"/>
      <color theme="1"/>
      <name val="Calibri"/>
      <family val="0"/>
      <charset val="1"/>
    </font>
    <font>
      <sz val="10"/>
      <color rgb="FF808080"/>
      <name val="Arial"/>
      <family val="0"/>
      <charset val="1"/>
    </font>
    <font>
      <sz val="11"/>
      <color rgb="FF0000FF"/>
      <name val="Arial"/>
      <family val="0"/>
      <charset val="1"/>
    </font>
    <font>
      <sz val="10"/>
      <name val="Arial"/>
      <family val="2"/>
    </font>
    <font>
      <b val="true"/>
      <sz val="10"/>
      <color rgb="FF000000"/>
      <name val="Calibri"/>
      <family val="2"/>
    </font>
    <font>
      <b val="true"/>
      <sz val="9"/>
      <color rgb="FF808080"/>
      <name val="Arial"/>
      <family val="0"/>
      <charset val="1"/>
    </font>
    <font>
      <b val="true"/>
      <sz val="10"/>
      <color rgb="FF808080"/>
      <name val="Arial"/>
      <family val="0"/>
      <charset val="1"/>
    </font>
    <font>
      <sz val="9"/>
      <color rgb="FF808080"/>
      <name val="Arial"/>
      <family val="0"/>
      <charset val="1"/>
    </font>
    <font>
      <b val="true"/>
      <sz val="15"/>
      <color rgb="FF1F1F1F"/>
      <name val="Arial"/>
      <family val="0"/>
      <charset val="1"/>
    </font>
    <font>
      <b val="true"/>
      <sz val="11"/>
      <color rgb="FFC55A11"/>
      <name val="Arial"/>
      <family val="0"/>
      <charset val="1"/>
    </font>
    <font>
      <b val="true"/>
      <sz val="10"/>
      <color theme="1"/>
      <name val="Arial"/>
      <family val="0"/>
      <charset val="1"/>
    </font>
  </fonts>
  <fills count="29">
    <fill>
      <patternFill patternType="none"/>
    </fill>
    <fill>
      <patternFill patternType="gray125"/>
    </fill>
    <fill>
      <patternFill patternType="solid">
        <fgColor rgb="FF4472C4"/>
        <bgColor rgb="FF4D81BE"/>
      </patternFill>
    </fill>
    <fill>
      <patternFill patternType="solid">
        <fgColor rgb="FFFFFFFF"/>
        <bgColor rgb="FFF2F2F2"/>
      </patternFill>
    </fill>
    <fill>
      <patternFill patternType="solid">
        <fgColor rgb="FF1F4E79"/>
        <bgColor rgb="FF2F5496"/>
      </patternFill>
    </fill>
    <fill>
      <patternFill patternType="solid">
        <fgColor rgb="FFE2EFD9"/>
        <bgColor rgb="FFE2EFDA"/>
      </patternFill>
    </fill>
    <fill>
      <patternFill patternType="solid">
        <fgColor rgb="FFC5E0B3"/>
        <bgColor rgb="FFC6EFCE"/>
      </patternFill>
    </fill>
    <fill>
      <patternFill patternType="solid">
        <fgColor rgb="FF1F6E7B"/>
        <bgColor rgb="FF2E75B6"/>
      </patternFill>
    </fill>
    <fill>
      <patternFill patternType="solid">
        <fgColor rgb="FF2E75B6"/>
        <bgColor rgb="FF4472C4"/>
      </patternFill>
    </fill>
    <fill>
      <patternFill patternType="solid">
        <fgColor rgb="FFFFF2CC"/>
        <bgColor rgb="FFFCE4D6"/>
      </patternFill>
    </fill>
    <fill>
      <patternFill patternType="solid">
        <fgColor rgb="FF31859C"/>
        <bgColor rgb="FF2E75B6"/>
      </patternFill>
    </fill>
    <fill>
      <patternFill patternType="solid">
        <fgColor rgb="FFDAEEF3"/>
        <bgColor rgb="FFDDEBF7"/>
      </patternFill>
    </fill>
    <fill>
      <patternFill patternType="solid">
        <fgColor rgb="FFF2F2F2"/>
        <bgColor rgb="FFE2EFDA"/>
      </patternFill>
    </fill>
    <fill>
      <patternFill patternType="solid">
        <fgColor rgb="FFEE7E31"/>
        <bgColor rgb="FFED7D31"/>
      </patternFill>
    </fill>
    <fill>
      <patternFill patternType="darkGray">
        <fgColor rgb="FFE09949"/>
        <bgColor rgb="FFCD8B6F"/>
      </patternFill>
    </fill>
    <fill>
      <patternFill patternType="solid">
        <fgColor rgb="FF548235"/>
        <bgColor rgb="FF757575"/>
      </patternFill>
    </fill>
    <fill>
      <patternFill patternType="solid">
        <fgColor rgb="FF305496"/>
        <bgColor rgb="FF2F5496"/>
      </patternFill>
    </fill>
    <fill>
      <patternFill patternType="solid">
        <fgColor rgb="FFDDEBF7"/>
        <bgColor rgb="FFDAEEF3"/>
      </patternFill>
    </fill>
    <fill>
      <patternFill patternType="solid">
        <fgColor rgb="FFC00000"/>
        <bgColor rgb="FF9C0006"/>
      </patternFill>
    </fill>
    <fill>
      <patternFill patternType="solid">
        <fgColor rgb="FF70AD47"/>
        <bgColor rgb="FF9BBB59"/>
      </patternFill>
    </fill>
    <fill>
      <patternFill patternType="solid">
        <fgColor rgb="FF7030A0"/>
        <bgColor rgb="FF8064A2"/>
      </patternFill>
    </fill>
    <fill>
      <patternFill patternType="solid">
        <fgColor rgb="FFA8D08D"/>
        <bgColor rgb="FFA9D08E"/>
      </patternFill>
    </fill>
    <fill>
      <patternFill patternType="mediumGray">
        <fgColor rgb="FFA9D08E"/>
        <bgColor rgb="FFABD08E"/>
      </patternFill>
    </fill>
    <fill>
      <patternFill patternType="solid">
        <fgColor rgb="FFE2EFDA"/>
        <bgColor rgb="FFE2EFD9"/>
      </patternFill>
    </fill>
    <fill>
      <patternFill patternType="solid">
        <fgColor rgb="FF2F5496"/>
        <bgColor rgb="FF305496"/>
      </patternFill>
    </fill>
    <fill>
      <patternFill patternType="solid">
        <fgColor rgb="FF97A1CA"/>
        <bgColor rgb="FFB7B7B7"/>
      </patternFill>
    </fill>
    <fill>
      <patternFill patternType="solid">
        <fgColor rgb="FFCD8B6F"/>
        <bgColor rgb="FFE09949"/>
      </patternFill>
    </fill>
    <fill>
      <patternFill patternType="solid">
        <fgColor rgb="FFD9E1F2"/>
        <bgColor rgb="FFDDEBF7"/>
      </patternFill>
    </fill>
    <fill>
      <patternFill patternType="solid">
        <fgColor rgb="FFFCE4D6"/>
        <bgColor rgb="FFFFF2CC"/>
      </patternFill>
    </fill>
  </fills>
  <borders count="6">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 diagonalUp="false" diagonalDown="false">
      <left style="thin"/>
      <right style="thin"/>
      <top style="thin"/>
      <bottom style="thin"/>
      <diagonal/>
    </border>
    <border diagonalUp="false" diagonalDown="false">
      <left style="thin">
        <color rgb="FFFFFFFF"/>
      </left>
      <right style="thin">
        <color rgb="FFFFFFFF"/>
      </right>
      <top style="thin">
        <color rgb="FFFFFFFF"/>
      </top>
      <bottom style="thin">
        <color rgb="FFFFFFFF"/>
      </bottom>
      <diagonal/>
    </border>
    <border diagonalUp="false" diagonalDown="false">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right" vertical="center" textRotation="0" wrapText="false" indent="0" shrinkToFit="false"/>
      <protection locked="true" hidden="false"/>
    </xf>
    <xf numFmtId="164" fontId="5" fillId="0" borderId="0" xfId="0" applyFont="true" applyBorder="true" applyAlignment="true" applyProtection="true">
      <alignment horizontal="center" vertical="center" textRotation="0" wrapText="false" indent="0" shrinkToFit="false"/>
      <protection locked="true" hidden="false"/>
    </xf>
    <xf numFmtId="164" fontId="6" fillId="0" borderId="0" xfId="0" applyFont="true" applyBorder="true" applyAlignment="true" applyProtection="true">
      <alignment horizontal="center" vertical="center" textRotation="0" wrapText="false" indent="0" shrinkToFit="false"/>
      <protection locked="true" hidden="false"/>
    </xf>
    <xf numFmtId="164" fontId="7" fillId="0" borderId="0" xfId="0" applyFont="true" applyBorder="true" applyAlignment="true" applyProtection="true">
      <alignment horizontal="center" vertical="center" textRotation="0" wrapText="false" indent="0" shrinkToFit="false"/>
      <protection locked="true" hidden="false"/>
    </xf>
    <xf numFmtId="164" fontId="8" fillId="2" borderId="1" xfId="0" applyFont="true" applyBorder="true" applyAlignment="true" applyProtection="true">
      <alignment horizontal="center" vertical="center" textRotation="0" wrapText="false" indent="0" shrinkToFit="false"/>
      <protection locked="true" hidden="false"/>
    </xf>
    <xf numFmtId="164" fontId="9" fillId="3" borderId="1" xfId="0" applyFont="true" applyBorder="true" applyAlignment="true" applyProtection="true">
      <alignment horizontal="center" vertical="center" textRotation="0" wrapText="false" indent="0" shrinkToFit="false"/>
      <protection locked="true" hidden="false"/>
    </xf>
    <xf numFmtId="164" fontId="10" fillId="0" borderId="0" xfId="0" applyFont="true" applyBorder="true" applyAlignment="true" applyProtection="true">
      <alignment horizontal="center" vertical="center" textRotation="0" wrapText="false" indent="0" shrinkToFit="false"/>
      <protection locked="true" hidden="false"/>
    </xf>
    <xf numFmtId="164" fontId="11" fillId="0" borderId="0" xfId="0" applyFont="true" applyBorder="true" applyAlignment="true" applyProtection="true">
      <alignment horizontal="center" vertical="center"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4" borderId="1" xfId="0" applyFont="true" applyBorder="true" applyAlignment="true" applyProtection="true">
      <alignment horizontal="left" vertical="center" textRotation="0" wrapText="true" indent="0" shrinkToFit="false"/>
      <protection locked="true" hidden="false"/>
    </xf>
    <xf numFmtId="164" fontId="14" fillId="5" borderId="1" xfId="0" applyFont="true" applyBorder="true" applyAlignment="true" applyProtection="true">
      <alignment horizontal="left" vertical="center" textRotation="0" wrapText="true" indent="0" shrinkToFit="false"/>
      <protection locked="true" hidden="false"/>
    </xf>
    <xf numFmtId="164" fontId="15" fillId="0" borderId="1" xfId="0" applyFont="true" applyBorder="true" applyAlignment="true" applyProtection="true">
      <alignment horizontal="left" vertical="top" textRotation="0" wrapText="true" indent="0" shrinkToFit="false"/>
      <protection locked="true" hidden="false"/>
    </xf>
    <xf numFmtId="164" fontId="14" fillId="6" borderId="1" xfId="0" applyFont="true" applyBorder="true" applyAlignment="true" applyProtection="true">
      <alignment horizontal="left" vertical="center" textRotation="0" wrapText="true" indent="0" shrinkToFit="false"/>
      <protection locked="true" hidden="false"/>
    </xf>
    <xf numFmtId="164" fontId="14" fillId="6" borderId="1" xfId="0" applyFont="true" applyBorder="true" applyAlignment="true" applyProtection="true">
      <alignment horizontal="left" vertical="top" textRotation="0" wrapText="true" indent="0" shrinkToFit="false"/>
      <protection locked="true" hidden="false"/>
    </xf>
    <xf numFmtId="164" fontId="16" fillId="0" borderId="0" xfId="0" applyFont="true" applyBorder="false" applyAlignment="true" applyProtection="true">
      <alignment horizontal="left" vertical="center" textRotation="0" wrapText="true" indent="0" shrinkToFit="false"/>
      <protection locked="true" hidden="false"/>
    </xf>
    <xf numFmtId="164" fontId="15" fillId="0" borderId="0" xfId="0" applyFont="true" applyBorder="false" applyAlignment="true" applyProtection="true">
      <alignment horizontal="left" vertical="top" textRotation="0" wrapText="true" indent="0" shrinkToFit="false"/>
      <protection locked="true" hidden="false"/>
    </xf>
    <xf numFmtId="164" fontId="17" fillId="7" borderId="1" xfId="0" applyFont="true" applyBorder="true" applyAlignment="true" applyProtection="true">
      <alignment horizontal="left" vertical="center" textRotation="0" wrapText="true" indent="0" shrinkToFit="false"/>
      <protection locked="true" hidden="false"/>
    </xf>
    <xf numFmtId="164" fontId="5" fillId="0" borderId="0" xfId="0" applyFont="true" applyBorder="false" applyAlignment="true" applyProtection="true">
      <alignment horizontal="left" vertical="center" textRotation="0" wrapText="false" indent="0" shrinkToFit="false"/>
      <protection locked="true" hidden="false"/>
    </xf>
    <xf numFmtId="164" fontId="18" fillId="0" borderId="0" xfId="0" applyFont="true" applyBorder="false" applyAlignment="true" applyProtection="true">
      <alignment horizontal="general" vertical="center" textRotation="0" wrapText="false" indent="0" shrinkToFit="false"/>
      <protection locked="true" hidden="false"/>
    </xf>
    <xf numFmtId="164" fontId="19" fillId="8" borderId="1" xfId="0" applyFont="true" applyBorder="true" applyAlignment="true" applyProtection="true">
      <alignment horizontal="center" vertical="center"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5" fontId="20" fillId="3" borderId="2" xfId="0" applyFont="true" applyBorder="true" applyAlignment="true" applyProtection="true">
      <alignment horizontal="center" vertical="center" textRotation="0" wrapText="true" indent="0" shrinkToFit="false"/>
      <protection locked="true" hidden="false"/>
    </xf>
    <xf numFmtId="166" fontId="20" fillId="3" borderId="1" xfId="0" applyFont="true" applyBorder="true" applyAlignment="true" applyProtection="true">
      <alignment horizontal="center" vertical="bottom" textRotation="0" wrapText="false" indent="0" shrinkToFit="false"/>
      <protection locked="true" hidden="false"/>
    </xf>
    <xf numFmtId="164" fontId="20" fillId="3" borderId="1" xfId="0" applyFont="true" applyBorder="true" applyAlignment="true" applyProtection="true">
      <alignment horizontal="center" vertical="bottom" textRotation="0" wrapText="false" indent="0" shrinkToFit="false"/>
      <protection locked="true" hidden="false"/>
    </xf>
    <xf numFmtId="164" fontId="20" fillId="3" borderId="1" xfId="0" applyFont="true" applyBorder="true" applyAlignment="true" applyProtection="true">
      <alignment horizontal="general" vertical="bottom" textRotation="0" wrapText="false" indent="0" shrinkToFit="false"/>
      <protection locked="true" hidden="false"/>
    </xf>
    <xf numFmtId="164" fontId="20" fillId="3" borderId="1" xfId="0" applyFont="true" applyBorder="true" applyAlignment="true" applyProtection="true">
      <alignment horizontal="general" vertical="top" textRotation="0" wrapText="false" indent="0" shrinkToFit="false"/>
      <protection locked="true" hidden="false"/>
    </xf>
    <xf numFmtId="164" fontId="6" fillId="0" borderId="0" xfId="0" applyFont="true" applyBorder="false" applyAlignment="true" applyProtection="true">
      <alignment horizontal="center" vertical="center" textRotation="0" wrapText="false" indent="0" shrinkToFit="false"/>
      <protection locked="true" hidden="false"/>
    </xf>
    <xf numFmtId="165" fontId="20" fillId="3" borderId="2" xfId="0" applyFont="true" applyBorder="true" applyAlignment="true" applyProtection="true">
      <alignment horizontal="left" vertical="center" textRotation="0" wrapText="true" indent="0" shrinkToFit="false"/>
      <protection locked="true" hidden="false"/>
    </xf>
    <xf numFmtId="164" fontId="21" fillId="3" borderId="1" xfId="0" applyFont="true" applyBorder="true" applyAlignment="true" applyProtection="true">
      <alignment horizontal="center" vertical="bottom" textRotation="0" wrapText="false" indent="0" shrinkToFit="false"/>
      <protection locked="true" hidden="false"/>
    </xf>
    <xf numFmtId="164" fontId="21" fillId="3" borderId="1" xfId="0" applyFont="true" applyBorder="true" applyAlignment="true" applyProtection="true">
      <alignment horizontal="general" vertical="bottom" textRotation="0" wrapText="false" indent="0" shrinkToFit="false"/>
      <protection locked="true" hidden="false"/>
    </xf>
    <xf numFmtId="164" fontId="21" fillId="3" borderId="1" xfId="0" applyFont="true" applyBorder="true" applyAlignment="true" applyProtection="true">
      <alignment horizontal="general" vertical="top" textRotation="0" wrapText="false" indent="0" shrinkToFit="false"/>
      <protection locked="true" hidden="false"/>
    </xf>
    <xf numFmtId="164" fontId="22" fillId="0" borderId="0" xfId="0" applyFont="true" applyBorder="false" applyAlignment="true" applyProtection="true">
      <alignment horizontal="general"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8" fillId="4" borderId="1" xfId="0" applyFont="true" applyBorder="true" applyAlignment="true" applyProtection="true">
      <alignment horizontal="left" vertical="center" textRotation="0" wrapText="true" indent="0" shrinkToFit="false"/>
      <protection locked="true" hidden="false"/>
    </xf>
    <xf numFmtId="164" fontId="24" fillId="6" borderId="1" xfId="0" applyFont="true" applyBorder="true" applyAlignment="true" applyProtection="true">
      <alignment horizontal="left" vertical="center" textRotation="0" wrapText="true" indent="0" shrinkToFit="false"/>
      <protection locked="true" hidden="false"/>
    </xf>
    <xf numFmtId="164" fontId="20" fillId="9" borderId="1" xfId="0" applyFont="true" applyBorder="true" applyAlignment="true" applyProtection="true">
      <alignment horizontal="left" vertical="center" textRotation="0" wrapText="true" indent="0" shrinkToFit="false"/>
      <protection locked="true" hidden="false"/>
    </xf>
    <xf numFmtId="164" fontId="20" fillId="0" borderId="1" xfId="0" applyFont="true" applyBorder="true" applyAlignment="true" applyProtection="true">
      <alignment horizontal="left" vertical="center" textRotation="0" wrapText="true" indent="0" shrinkToFit="false"/>
      <protection locked="true" hidden="false"/>
    </xf>
    <xf numFmtId="165" fontId="20" fillId="9" borderId="1" xfId="0" applyFont="true" applyBorder="true" applyAlignment="true" applyProtection="true">
      <alignment horizontal="left" vertical="center" textRotation="0" wrapText="true" indent="0" shrinkToFit="false"/>
      <protection locked="true" hidden="false"/>
    </xf>
    <xf numFmtId="164" fontId="23" fillId="0" borderId="0" xfId="0" applyFont="true" applyBorder="true" applyAlignment="true" applyProtection="true">
      <alignment horizontal="general" vertical="bottom" textRotation="0" wrapText="false" indent="0" shrinkToFit="false"/>
      <protection locked="true" hidden="false"/>
    </xf>
    <xf numFmtId="164" fontId="25" fillId="5" borderId="1" xfId="0" applyFont="true" applyBorder="true" applyAlignment="true" applyProtection="true">
      <alignment horizontal="left" vertical="center" textRotation="0" wrapText="true" indent="0" shrinkToFit="false"/>
      <protection locked="true" hidden="false"/>
    </xf>
    <xf numFmtId="167" fontId="25" fillId="6" borderId="1" xfId="0" applyFont="true" applyBorder="true" applyAlignment="true" applyProtection="true">
      <alignment horizontal="center" vertical="center" textRotation="0" wrapText="true" indent="0" shrinkToFit="false"/>
      <protection locked="true" hidden="false"/>
    </xf>
    <xf numFmtId="168" fontId="24" fillId="0" borderId="0" xfId="0" applyFont="true" applyBorder="false" applyAlignment="true" applyProtection="true">
      <alignment horizontal="center" vertical="center" textRotation="0" wrapText="false" indent="0" shrinkToFit="false"/>
      <protection locked="true" hidden="false"/>
    </xf>
    <xf numFmtId="164" fontId="20" fillId="0" borderId="0" xfId="0" applyFont="true" applyBorder="false" applyAlignment="true" applyProtection="true">
      <alignment horizontal="left" vertical="center" textRotation="0" wrapText="true" indent="0" shrinkToFit="false"/>
      <protection locked="true" hidden="false"/>
    </xf>
    <xf numFmtId="167" fontId="20" fillId="0" borderId="0" xfId="0" applyFont="true" applyBorder="false" applyAlignment="true" applyProtection="true">
      <alignment horizontal="center" vertical="center" textRotation="0" wrapText="false" indent="0" shrinkToFit="false"/>
      <protection locked="true" hidden="false"/>
    </xf>
    <xf numFmtId="164" fontId="16" fillId="4" borderId="1" xfId="0" applyFont="true" applyBorder="true" applyAlignment="true" applyProtection="true">
      <alignment horizontal="left" vertical="center" textRotation="0" wrapText="true" indent="0" shrinkToFit="false"/>
      <protection locked="true" hidden="false"/>
    </xf>
    <xf numFmtId="164" fontId="16" fillId="4" borderId="1" xfId="0" applyFont="true" applyBorder="true" applyAlignment="true" applyProtection="true">
      <alignment horizontal="center" vertical="center" textRotation="0" wrapText="true" indent="0" shrinkToFit="false"/>
      <protection locked="true" hidden="false"/>
    </xf>
    <xf numFmtId="167" fontId="16" fillId="4" borderId="1" xfId="0" applyFont="true" applyBorder="true" applyAlignment="true" applyProtection="true">
      <alignment horizontal="center" vertical="center" textRotation="0" wrapText="true" indent="0" shrinkToFit="false"/>
      <protection locked="true" hidden="false"/>
    </xf>
    <xf numFmtId="168" fontId="16" fillId="4" borderId="1" xfId="0" applyFont="true" applyBorder="true" applyAlignment="true" applyProtection="true">
      <alignment horizontal="center" vertical="center" textRotation="0" wrapText="true" indent="0" shrinkToFit="false"/>
      <protection locked="true" hidden="false"/>
    </xf>
    <xf numFmtId="164" fontId="25" fillId="0" borderId="1" xfId="0" applyFont="true" applyBorder="true" applyAlignment="true" applyProtection="true">
      <alignment horizontal="left" vertical="center" textRotation="0" wrapText="true" indent="0" shrinkToFit="false"/>
      <protection locked="true" hidden="false"/>
    </xf>
    <xf numFmtId="167" fontId="15" fillId="0" borderId="1" xfId="0" applyFont="true" applyBorder="true" applyAlignment="true" applyProtection="true">
      <alignment horizontal="center" vertical="center" textRotation="0" wrapText="true" indent="0" shrinkToFit="false"/>
      <protection locked="true" hidden="false"/>
    </xf>
    <xf numFmtId="168" fontId="15" fillId="0" borderId="1" xfId="0" applyFont="true" applyBorder="true" applyAlignment="true" applyProtection="true">
      <alignment horizontal="center" vertical="center" textRotation="0" wrapText="true" indent="0" shrinkToFit="false"/>
      <protection locked="true" hidden="false"/>
    </xf>
    <xf numFmtId="164" fontId="15" fillId="0" borderId="1" xfId="0" applyFont="true" applyBorder="true" applyAlignment="true" applyProtection="true">
      <alignment horizontal="left" vertical="center" textRotation="0" wrapText="true" indent="0" shrinkToFit="false"/>
      <protection locked="true" hidden="false"/>
    </xf>
    <xf numFmtId="164" fontId="25" fillId="6" borderId="1" xfId="0" applyFont="true" applyBorder="true" applyAlignment="true" applyProtection="true">
      <alignment horizontal="left" vertical="center" textRotation="0" wrapText="true" indent="0" shrinkToFit="false"/>
      <protection locked="true" hidden="false"/>
    </xf>
    <xf numFmtId="168" fontId="25" fillId="6" borderId="1" xfId="0" applyFont="true" applyBorder="true" applyAlignment="true" applyProtection="true">
      <alignment horizontal="center" vertical="center" textRotation="0" wrapText="true" indent="0" shrinkToFit="false"/>
      <protection locked="true" hidden="false"/>
    </xf>
    <xf numFmtId="164" fontId="13" fillId="4" borderId="2" xfId="0" applyFont="true" applyBorder="true" applyAlignment="true" applyProtection="true">
      <alignment horizontal="left" vertical="center" textRotation="0" wrapText="true" indent="0" shrinkToFit="false"/>
      <protection locked="true" hidden="false"/>
    </xf>
    <xf numFmtId="164" fontId="19" fillId="10" borderId="1" xfId="0" applyFont="true" applyBorder="true" applyAlignment="true" applyProtection="true">
      <alignment horizontal="left" vertical="center" textRotation="0" wrapText="true" indent="0" shrinkToFit="false"/>
      <protection locked="true" hidden="false"/>
    </xf>
    <xf numFmtId="164" fontId="19" fillId="10" borderId="1" xfId="0" applyFont="true" applyBorder="true" applyAlignment="true" applyProtection="true">
      <alignment horizontal="center" vertical="center" textRotation="0" wrapText="false" indent="0" shrinkToFit="false"/>
      <protection locked="true" hidden="false"/>
    </xf>
    <xf numFmtId="164" fontId="20" fillId="11" borderId="1" xfId="0" applyFont="true" applyBorder="true" applyAlignment="true" applyProtection="true">
      <alignment horizontal="left" vertical="center" textRotation="0" wrapText="true" indent="0" shrinkToFit="false"/>
      <protection locked="true" hidden="false"/>
    </xf>
    <xf numFmtId="164" fontId="20" fillId="11" borderId="1" xfId="0" applyFont="true" applyBorder="true" applyAlignment="true" applyProtection="true">
      <alignment horizontal="center" vertical="center" textRotation="0" wrapText="false" indent="0" shrinkToFit="false"/>
      <protection locked="true" hidden="false"/>
    </xf>
    <xf numFmtId="168" fontId="20" fillId="11" borderId="1" xfId="0" applyFont="true" applyBorder="true" applyAlignment="true" applyProtection="true">
      <alignment horizontal="center" vertical="center" textRotation="0" wrapText="false" indent="0" shrinkToFit="false"/>
      <protection locked="true" hidden="false"/>
    </xf>
    <xf numFmtId="164" fontId="23" fillId="0" borderId="0" xfId="0" applyFont="true" applyBorder="true" applyAlignment="true" applyProtection="true">
      <alignment horizontal="left" vertical="center" textRotation="0" wrapText="true" indent="0" shrinkToFit="false"/>
      <protection locked="true" hidden="false"/>
    </xf>
    <xf numFmtId="164" fontId="26" fillId="0" borderId="0" xfId="0" applyFont="true" applyBorder="true" applyAlignment="true" applyProtection="true">
      <alignment horizontal="general" vertical="bottom" textRotation="0" wrapText="true" indent="0" shrinkToFit="false"/>
      <protection locked="true" hidden="false"/>
    </xf>
    <xf numFmtId="164" fontId="27" fillId="5" borderId="1" xfId="0" applyFont="true" applyBorder="tru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center" vertical="bottom" textRotation="0" wrapText="tru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29" fillId="0" borderId="0" xfId="0" applyFont="true" applyBorder="false" applyAlignment="true" applyProtection="true">
      <alignment horizontal="center" vertical="bottom" textRotation="0" wrapText="true" indent="0" shrinkToFit="false"/>
      <protection locked="true" hidden="false"/>
    </xf>
    <xf numFmtId="169" fontId="29" fillId="0" borderId="0" xfId="0" applyFont="true" applyBorder="false" applyAlignment="true" applyProtection="true">
      <alignment horizontal="center" vertical="bottom" textRotation="0" wrapText="false" indent="0" shrinkToFit="false"/>
      <protection locked="true" hidden="false"/>
    </xf>
    <xf numFmtId="169" fontId="18" fillId="0" borderId="0" xfId="0" applyFont="true" applyBorder="false" applyAlignment="true" applyProtection="true">
      <alignment horizontal="general" vertical="bottom" textRotation="0" wrapText="false" indent="0" shrinkToFit="false"/>
      <protection locked="true" hidden="false"/>
    </xf>
    <xf numFmtId="164" fontId="33" fillId="0" borderId="0" xfId="0" applyFont="true" applyBorder="false" applyAlignment="true" applyProtection="true">
      <alignment horizontal="general" vertical="bottom" textRotation="0" wrapText="false" indent="0" shrinkToFit="false"/>
      <protection locked="true" hidden="false"/>
    </xf>
    <xf numFmtId="164" fontId="34" fillId="0" borderId="0" xfId="0" applyFont="true" applyBorder="true" applyAlignment="true" applyProtection="true">
      <alignment horizontal="left" vertical="center" textRotation="0" wrapText="true" indent="0" shrinkToFit="false"/>
      <protection locked="true" hidden="false"/>
    </xf>
    <xf numFmtId="164" fontId="0" fillId="12" borderId="1" xfId="0" applyFont="false" applyBorder="true" applyAlignment="true" applyProtection="true">
      <alignment horizontal="general" vertical="bottom" textRotation="0" wrapText="false" indent="0" shrinkToFit="false"/>
      <protection locked="true" hidden="false"/>
    </xf>
    <xf numFmtId="164" fontId="16" fillId="13" borderId="2" xfId="0" applyFont="true" applyBorder="true" applyAlignment="true" applyProtection="true">
      <alignment horizontal="center" vertical="center" textRotation="0" wrapText="true" indent="0" shrinkToFit="false"/>
      <protection locked="true" hidden="false"/>
    </xf>
    <xf numFmtId="164" fontId="16" fillId="2" borderId="2" xfId="0" applyFont="true" applyBorder="true" applyAlignment="true" applyProtection="true">
      <alignment horizontal="center" vertical="center" textRotation="0" wrapText="true" indent="0" shrinkToFit="false"/>
      <protection locked="true" hidden="false"/>
    </xf>
    <xf numFmtId="164" fontId="16" fillId="14" borderId="2" xfId="0" applyFont="true" applyBorder="true" applyAlignment="true" applyProtection="true">
      <alignment horizontal="center" vertical="center" textRotation="0" wrapText="true" indent="0" shrinkToFit="false"/>
      <protection locked="true" hidden="false"/>
    </xf>
    <xf numFmtId="164" fontId="16" fillId="10" borderId="2" xfId="0" applyFont="true" applyBorder="true" applyAlignment="true" applyProtection="true">
      <alignment horizontal="center" vertical="center" textRotation="0" wrapText="true" indent="0" shrinkToFit="false"/>
      <protection locked="true" hidden="false"/>
    </xf>
    <xf numFmtId="164" fontId="16" fillId="4" borderId="2" xfId="0" applyFont="true" applyBorder="true" applyAlignment="true" applyProtection="true">
      <alignment horizontal="center" vertical="center" textRotation="0" wrapText="true" indent="0" shrinkToFit="false"/>
      <protection locked="true" hidden="false"/>
    </xf>
    <xf numFmtId="164" fontId="35" fillId="15" borderId="1" xfId="0" applyFont="true" applyBorder="true" applyAlignment="true" applyProtection="true">
      <alignment horizontal="center" vertical="center" textRotation="0" wrapText="true" indent="0" shrinkToFit="false"/>
      <protection locked="true" hidden="false"/>
    </xf>
    <xf numFmtId="164" fontId="36" fillId="0" borderId="0" xfId="0" applyFont="true" applyBorder="true" applyAlignment="true" applyProtection="true">
      <alignment horizontal="center" vertical="bottom" textRotation="0" wrapText="false" indent="0" shrinkToFit="false"/>
      <protection locked="true" hidden="false"/>
    </xf>
    <xf numFmtId="164" fontId="35" fillId="16" borderId="1" xfId="0" applyFont="true" applyBorder="true" applyAlignment="true" applyProtection="true">
      <alignment horizontal="center" vertical="center" textRotation="0" wrapText="true" indent="0" shrinkToFit="false"/>
      <protection locked="true" hidden="false"/>
    </xf>
    <xf numFmtId="164" fontId="35" fillId="2" borderId="1" xfId="0" applyFont="true" applyBorder="true" applyAlignment="true" applyProtection="true">
      <alignment horizontal="center" vertical="center" textRotation="0" wrapText="true" indent="0" shrinkToFit="false"/>
      <protection locked="true" hidden="false"/>
    </xf>
    <xf numFmtId="164" fontId="35" fillId="14" borderId="1" xfId="0" applyFont="true" applyBorder="true" applyAlignment="true" applyProtection="true">
      <alignment horizontal="center" vertical="center" textRotation="0" wrapText="true" indent="0" shrinkToFit="false"/>
      <protection locked="true" hidden="false"/>
    </xf>
    <xf numFmtId="164" fontId="35" fillId="10" borderId="1" xfId="0" applyFont="true" applyBorder="true" applyAlignment="true" applyProtection="true">
      <alignment horizontal="center" vertical="center" textRotation="0" wrapText="true" indent="0" shrinkToFit="false"/>
      <protection locked="true" hidden="false"/>
    </xf>
    <xf numFmtId="164" fontId="35" fillId="4" borderId="1" xfId="0" applyFont="true" applyBorder="true" applyAlignment="true" applyProtection="true">
      <alignment horizontal="center" vertical="center" textRotation="0" wrapText="true" indent="0" shrinkToFit="false"/>
      <protection locked="true" hidden="false"/>
    </xf>
    <xf numFmtId="164" fontId="37" fillId="17" borderId="3" xfId="0" applyFont="true" applyBorder="true" applyAlignment="true" applyProtection="true">
      <alignment horizontal="center" vertical="bottom" textRotation="0" wrapText="true" indent="0" shrinkToFit="false"/>
      <protection locked="true" hidden="false"/>
    </xf>
    <xf numFmtId="164" fontId="38" fillId="0" borderId="1" xfId="0" applyFont="true" applyBorder="true" applyAlignment="true" applyProtection="true">
      <alignment horizontal="center" vertical="center" textRotation="0" wrapText="true" indent="0" shrinkToFit="false"/>
      <protection locked="true" hidden="false"/>
    </xf>
    <xf numFmtId="164" fontId="38" fillId="9" borderId="1" xfId="0" applyFont="true" applyBorder="true" applyAlignment="true" applyProtection="true">
      <alignment horizontal="center" vertical="center" textRotation="0" wrapText="true" indent="0" shrinkToFit="false"/>
      <protection locked="true" hidden="false"/>
    </xf>
    <xf numFmtId="164" fontId="38" fillId="9" borderId="1" xfId="0" applyFont="true" applyBorder="true" applyAlignment="true" applyProtection="true">
      <alignment horizontal="left" vertical="center" textRotation="0" wrapText="true" indent="0" shrinkToFit="false"/>
      <protection locked="true" hidden="false"/>
    </xf>
    <xf numFmtId="168" fontId="38" fillId="0" borderId="1" xfId="0" applyFont="true" applyBorder="true" applyAlignment="true" applyProtection="true">
      <alignment horizontal="center" vertical="center" textRotation="0" wrapText="true" indent="0" shrinkToFit="false"/>
      <protection locked="true" hidden="false"/>
    </xf>
    <xf numFmtId="164" fontId="39" fillId="0" borderId="1" xfId="0" applyFont="true" applyBorder="true" applyAlignment="true" applyProtection="true">
      <alignment horizontal="center" vertical="center" textRotation="0" wrapText="false" indent="0" shrinkToFit="false"/>
      <protection locked="true" hidden="false"/>
    </xf>
    <xf numFmtId="164" fontId="39" fillId="0" borderId="0" xfId="0" applyFont="true" applyBorder="false" applyAlignment="true" applyProtection="true">
      <alignment horizontal="center" vertical="center" textRotation="0" wrapText="false" indent="0" shrinkToFit="false"/>
      <protection locked="true" hidden="false"/>
    </xf>
    <xf numFmtId="164" fontId="37" fillId="6" borderId="1" xfId="0" applyFont="true" applyBorder="true" applyAlignment="true" applyProtection="true">
      <alignment horizontal="center" vertical="center" textRotation="0" wrapText="true" indent="0" shrinkToFit="false"/>
      <protection locked="true" hidden="false"/>
    </xf>
    <xf numFmtId="164" fontId="37" fillId="6" borderId="1" xfId="0" applyFont="true" applyBorder="true" applyAlignment="true" applyProtection="true">
      <alignment horizontal="left" vertical="center" textRotation="0" wrapText="true" indent="0" shrinkToFit="false"/>
      <protection locked="true" hidden="false"/>
    </xf>
    <xf numFmtId="168" fontId="37" fillId="6" borderId="1" xfId="0" applyFont="true" applyBorder="true" applyAlignment="true" applyProtection="true">
      <alignment horizontal="center" vertical="center" textRotation="0" wrapText="true" indent="0" shrinkToFit="false"/>
      <protection locked="true" hidden="false"/>
    </xf>
    <xf numFmtId="164" fontId="25" fillId="6" borderId="1" xfId="0" applyFont="true" applyBorder="true" applyAlignment="true" applyProtection="true">
      <alignment horizontal="center" vertical="center" textRotation="0" wrapText="false" indent="0" shrinkToFit="false"/>
      <protection locked="true" hidden="false"/>
    </xf>
    <xf numFmtId="164" fontId="36" fillId="0" borderId="0" xfId="0" applyFont="true" applyBorder="false" applyAlignment="true" applyProtection="true">
      <alignment horizontal="center" vertical="center" textRotation="0" wrapText="false" indent="0" shrinkToFit="false"/>
      <protection locked="true" hidden="false"/>
    </xf>
    <xf numFmtId="164" fontId="36" fillId="0" borderId="0" xfId="0" applyFont="true" applyBorder="false" applyAlignment="true" applyProtection="true">
      <alignment horizontal="general" vertical="bottom" textRotation="0" wrapText="false" indent="0" shrinkToFit="false"/>
      <protection locked="true" hidden="false"/>
    </xf>
    <xf numFmtId="164" fontId="40" fillId="0" borderId="0" xfId="0" applyFont="true" applyBorder="true" applyAlignment="true" applyProtection="true">
      <alignment horizontal="left" vertical="center" textRotation="0" wrapText="true" indent="0" shrinkToFit="false"/>
      <protection locked="true" hidden="false"/>
    </xf>
    <xf numFmtId="164" fontId="41" fillId="0" borderId="0" xfId="0" applyFont="true" applyBorder="true" applyAlignment="true" applyProtection="true">
      <alignment horizontal="left" vertical="center" textRotation="0" wrapText="true" indent="0" shrinkToFit="false"/>
      <protection locked="true" hidden="false"/>
    </xf>
    <xf numFmtId="164" fontId="42" fillId="0" borderId="0" xfId="0" applyFont="true" applyBorder="false" applyAlignment="true" applyProtection="true">
      <alignment horizontal="general" vertical="bottom" textRotation="0" wrapText="false" indent="0" shrinkToFit="false"/>
      <protection locked="true" hidden="false"/>
    </xf>
    <xf numFmtId="164" fontId="8" fillId="4" borderId="1" xfId="0" applyFont="true" applyBorder="true" applyAlignment="true" applyProtection="true">
      <alignment horizontal="center" vertical="center" textRotation="0" wrapText="true" indent="0" shrinkToFit="false"/>
      <protection locked="true" hidden="false"/>
    </xf>
    <xf numFmtId="164" fontId="24" fillId="5" borderId="1" xfId="0" applyFont="true" applyBorder="true" applyAlignment="true" applyProtection="true">
      <alignment horizontal="left" vertical="center" textRotation="0" wrapText="true" indent="0" shrinkToFit="false"/>
      <protection locked="true" hidden="false"/>
    </xf>
    <xf numFmtId="164" fontId="16" fillId="13" borderId="1" xfId="0" applyFont="true" applyBorder="true" applyAlignment="true" applyProtection="true">
      <alignment horizontal="left" vertical="center" textRotation="0" wrapText="true" indent="0" shrinkToFit="false"/>
      <protection locked="true" hidden="false"/>
    </xf>
    <xf numFmtId="167" fontId="43" fillId="3" borderId="1" xfId="0" applyFont="true" applyBorder="true" applyAlignment="true" applyProtection="true">
      <alignment horizontal="center" vertical="center" textRotation="0" wrapText="false" indent="0" shrinkToFit="false"/>
      <protection locked="true" hidden="false"/>
    </xf>
    <xf numFmtId="164" fontId="16" fillId="18" borderId="1" xfId="0" applyFont="true" applyBorder="true" applyAlignment="true" applyProtection="true">
      <alignment horizontal="left" vertical="center" textRotation="0" wrapText="true" indent="0" shrinkToFit="false"/>
      <protection locked="true" hidden="false"/>
    </xf>
    <xf numFmtId="164" fontId="16" fillId="19" borderId="1" xfId="0" applyFont="true" applyBorder="true" applyAlignment="true" applyProtection="true">
      <alignment horizontal="left" vertical="center" textRotation="0" wrapText="true" indent="0" shrinkToFit="false"/>
      <protection locked="true" hidden="false"/>
    </xf>
    <xf numFmtId="168" fontId="43" fillId="3" borderId="1" xfId="0" applyFont="true" applyBorder="true" applyAlignment="true" applyProtection="true">
      <alignment horizontal="center" vertical="center" textRotation="0" wrapText="false" indent="0" shrinkToFit="false"/>
      <protection locked="true" hidden="false"/>
    </xf>
    <xf numFmtId="164" fontId="16" fillId="2" borderId="1" xfId="0" applyFont="true" applyBorder="true" applyAlignment="true" applyProtection="true">
      <alignment horizontal="left" vertical="center" textRotation="0" wrapText="true" indent="0" shrinkToFit="false"/>
      <protection locked="true" hidden="false"/>
    </xf>
    <xf numFmtId="164" fontId="23" fillId="0" borderId="1" xfId="0" applyFont="true" applyBorder="true" applyAlignment="true" applyProtection="true">
      <alignment horizontal="left" vertical="top" textRotation="0" wrapText="true" indent="0" shrinkToFit="false"/>
      <protection locked="true" hidden="false"/>
    </xf>
    <xf numFmtId="164" fontId="16" fillId="10" borderId="1" xfId="0" applyFont="true" applyBorder="true" applyAlignment="true" applyProtection="true">
      <alignment horizontal="left" vertical="center" textRotation="0" wrapText="true" indent="0" shrinkToFit="false"/>
      <protection locked="true" hidden="false"/>
    </xf>
    <xf numFmtId="164" fontId="16" fillId="20" borderId="1" xfId="0" applyFont="true" applyBorder="true" applyAlignment="true" applyProtection="true">
      <alignment horizontal="left" vertical="center" textRotation="0" wrapText="true" indent="0" shrinkToFit="false"/>
      <protection locked="true" hidden="false"/>
    </xf>
    <xf numFmtId="164" fontId="16" fillId="15" borderId="1" xfId="0" applyFont="true" applyBorder="true" applyAlignment="true" applyProtection="true">
      <alignment horizontal="left" vertical="center" textRotation="0" wrapText="true" indent="0" shrinkToFit="false"/>
      <protection locked="true" hidden="false"/>
    </xf>
    <xf numFmtId="164" fontId="44" fillId="0" borderId="0" xfId="0" applyFont="true" applyBorder="true" applyAlignment="true" applyProtection="true">
      <alignment horizontal="general" vertical="bottom" textRotation="0" wrapText="true" indent="0" shrinkToFit="false"/>
      <protection locked="true" hidden="false"/>
    </xf>
    <xf numFmtId="164" fontId="13" fillId="4" borderId="1" xfId="0" applyFont="true" applyBorder="true" applyAlignment="true" applyProtection="true">
      <alignment horizontal="center" vertical="center" textRotation="0" wrapText="true" indent="0" shrinkToFit="false"/>
      <protection locked="true" hidden="false"/>
    </xf>
    <xf numFmtId="164" fontId="43" fillId="0" borderId="0" xfId="0" applyFont="true" applyBorder="false" applyAlignment="true" applyProtection="true">
      <alignment horizontal="general" vertical="bottom" textRotation="0" wrapText="false" indent="0" shrinkToFit="false"/>
      <protection locked="true" hidden="false"/>
    </xf>
    <xf numFmtId="164" fontId="24" fillId="21" borderId="1" xfId="0" applyFont="true" applyBorder="true" applyAlignment="true" applyProtection="true">
      <alignment horizontal="center" vertical="center" textRotation="0" wrapText="true" indent="0" shrinkToFit="false"/>
      <protection locked="true" hidden="false"/>
    </xf>
    <xf numFmtId="164" fontId="24" fillId="6" borderId="1" xfId="0" applyFont="true" applyBorder="true" applyAlignment="true" applyProtection="true">
      <alignment horizontal="center" vertical="center" textRotation="0" wrapText="true" indent="0" shrinkToFit="false"/>
      <protection locked="true" hidden="false"/>
    </xf>
    <xf numFmtId="167" fontId="20" fillId="0" borderId="1" xfId="0" applyFont="true" applyBorder="true" applyAlignment="true" applyProtection="true">
      <alignment horizontal="center" vertical="center" textRotation="0" wrapText="false" indent="0" shrinkToFit="false"/>
      <protection locked="true" hidden="false"/>
    </xf>
    <xf numFmtId="167" fontId="20" fillId="5" borderId="1" xfId="0" applyFont="true" applyBorder="true" applyAlignment="true" applyProtection="true">
      <alignment horizontal="center" vertical="center" textRotation="0" wrapText="false" indent="0" shrinkToFit="false"/>
      <protection locked="true" hidden="false"/>
    </xf>
    <xf numFmtId="167" fontId="20" fillId="6" borderId="1" xfId="0" applyFont="true" applyBorder="true" applyAlignment="true" applyProtection="true">
      <alignment horizontal="center" vertical="center" textRotation="0" wrapText="false" indent="0" shrinkToFit="false"/>
      <protection locked="true" hidden="false"/>
    </xf>
    <xf numFmtId="164" fontId="23" fillId="0" borderId="0" xfId="0" applyFont="true" applyBorder="true" applyAlignment="true" applyProtection="true">
      <alignment horizontal="general" vertical="top" textRotation="0" wrapText="true" indent="0" shrinkToFit="false"/>
      <protection locked="true" hidden="false"/>
    </xf>
    <xf numFmtId="164" fontId="15" fillId="0" borderId="1" xfId="0" applyFont="true" applyBorder="true" applyAlignment="true" applyProtection="true">
      <alignment horizontal="center" vertical="center" textRotation="0" wrapText="true" indent="0" shrinkToFit="false"/>
      <protection locked="true" hidden="false"/>
    </xf>
    <xf numFmtId="167" fontId="15" fillId="5" borderId="1" xfId="0" applyFont="true" applyBorder="true" applyAlignment="true" applyProtection="true">
      <alignment horizontal="center" vertical="center" textRotation="0" wrapText="true" indent="0" shrinkToFit="false"/>
      <protection locked="true" hidden="false"/>
    </xf>
    <xf numFmtId="164" fontId="25" fillId="6" borderId="1" xfId="0" applyFont="true" applyBorder="true" applyAlignment="true" applyProtection="true">
      <alignment horizontal="center" vertical="center" textRotation="0" wrapText="true" indent="0" shrinkToFit="false"/>
      <protection locked="true" hidden="false"/>
    </xf>
    <xf numFmtId="164" fontId="15" fillId="6" borderId="1" xfId="0" applyFont="true" applyBorder="true" applyAlignment="true" applyProtection="true">
      <alignment horizontal="center" vertical="center" textRotation="0" wrapText="true" indent="0" shrinkToFit="false"/>
      <protection locked="true" hidden="false"/>
    </xf>
    <xf numFmtId="164" fontId="26" fillId="0" borderId="4" xfId="0" applyFont="true" applyBorder="true" applyAlignment="true" applyProtection="true">
      <alignment horizontal="left" vertical="top" textRotation="0" wrapText="true" indent="0" shrinkToFit="false"/>
      <protection locked="true" hidden="false"/>
    </xf>
    <xf numFmtId="164" fontId="20" fillId="0" borderId="1" xfId="0" applyFont="true" applyBorder="true" applyAlignment="true" applyProtection="true">
      <alignment horizontal="center" vertical="center" textRotation="0" wrapText="false" indent="0" shrinkToFit="false"/>
      <protection locked="true" hidden="false"/>
    </xf>
    <xf numFmtId="168" fontId="20" fillId="0" borderId="1" xfId="0" applyFont="true" applyBorder="true" applyAlignment="true" applyProtection="true">
      <alignment horizontal="center" vertical="center" textRotation="0" wrapText="false" indent="0" shrinkToFit="false"/>
      <protection locked="true" hidden="false"/>
    </xf>
    <xf numFmtId="164" fontId="45" fillId="0" borderId="0" xfId="0" applyFont="true" applyBorder="false" applyAlignment="true" applyProtection="true">
      <alignment horizontal="left" vertical="center" textRotation="0" wrapText="true" indent="0" shrinkToFit="false"/>
      <protection locked="true" hidden="false"/>
    </xf>
    <xf numFmtId="164" fontId="20" fillId="6" borderId="1" xfId="0" applyFont="true" applyBorder="true" applyAlignment="true" applyProtection="true">
      <alignment horizontal="general" vertical="bottom" textRotation="0" wrapText="false" indent="0" shrinkToFit="false"/>
      <protection locked="true" hidden="false"/>
    </xf>
    <xf numFmtId="168" fontId="20" fillId="6" borderId="1" xfId="0" applyFont="true" applyBorder="true" applyAlignment="true" applyProtection="true">
      <alignment horizontal="center" vertical="center" textRotation="0" wrapText="false" indent="0" shrinkToFit="false"/>
      <protection locked="true" hidden="false"/>
    </xf>
    <xf numFmtId="164" fontId="45" fillId="0" borderId="0" xfId="0" applyFont="true" applyBorder="true" applyAlignment="true" applyProtection="true">
      <alignment horizontal="left" vertical="top" textRotation="0" wrapText="true" indent="0" shrinkToFit="false"/>
      <protection locked="true" hidden="false"/>
    </xf>
    <xf numFmtId="164" fontId="46" fillId="0" borderId="0" xfId="0" applyFont="true" applyBorder="false" applyAlignment="true" applyProtection="true">
      <alignment horizontal="general" vertical="bottom" textRotation="0" wrapText="false" indent="0" shrinkToFit="false"/>
      <protection locked="true" hidden="false"/>
    </xf>
    <xf numFmtId="164" fontId="24" fillId="5" borderId="1" xfId="0" applyFont="true" applyBorder="true" applyAlignment="true" applyProtection="true">
      <alignment horizontal="center" vertical="center" textRotation="0" wrapText="false" indent="0" shrinkToFit="false"/>
      <protection locked="true" hidden="false"/>
    </xf>
    <xf numFmtId="164" fontId="19" fillId="10" borderId="1" xfId="0" applyFont="true" applyBorder="true" applyAlignment="true" applyProtection="true">
      <alignment horizontal="center" vertical="center" textRotation="0" wrapText="true" indent="0" shrinkToFit="false"/>
      <protection locked="true" hidden="false"/>
    </xf>
    <xf numFmtId="164" fontId="16" fillId="15" borderId="1" xfId="0" applyFont="true" applyBorder="true" applyAlignment="true" applyProtection="true">
      <alignment horizontal="center" vertical="center" textRotation="0" wrapText="true" indent="0" shrinkToFit="false"/>
      <protection locked="true" hidden="false"/>
    </xf>
    <xf numFmtId="164" fontId="15" fillId="11" borderId="1" xfId="0" applyFont="true" applyBorder="true" applyAlignment="true" applyProtection="true">
      <alignment horizontal="left" vertical="center" textRotation="0" wrapText="true" indent="0" shrinkToFit="false"/>
      <protection locked="true" hidden="false"/>
    </xf>
    <xf numFmtId="168" fontId="47" fillId="9" borderId="1" xfId="0" applyFont="true" applyBorder="true" applyAlignment="true" applyProtection="true">
      <alignment horizontal="center" vertical="center" textRotation="0" wrapText="true" indent="0" shrinkToFit="false"/>
      <protection locked="true" hidden="false"/>
    </xf>
    <xf numFmtId="168" fontId="15" fillId="9" borderId="1" xfId="0" applyFont="true" applyBorder="true" applyAlignment="true" applyProtection="true">
      <alignment horizontal="center" vertical="center" textRotation="0" wrapText="true" indent="0" shrinkToFit="false"/>
      <protection locked="true" hidden="false"/>
    </xf>
    <xf numFmtId="167" fontId="15" fillId="9" borderId="1" xfId="0" applyFont="true" applyBorder="true" applyAlignment="true" applyProtection="true">
      <alignment horizontal="center" vertical="center" textRotation="0" wrapText="true" indent="0" shrinkToFit="false"/>
      <protection locked="true" hidden="false"/>
    </xf>
    <xf numFmtId="164" fontId="24" fillId="0" borderId="0" xfId="0" applyFont="true" applyBorder="false" applyAlignment="true" applyProtection="true">
      <alignment horizontal="left" vertical="center" textRotation="0" wrapText="true" indent="0" shrinkToFit="false"/>
      <protection locked="true" hidden="false"/>
    </xf>
    <xf numFmtId="167" fontId="48" fillId="0" borderId="0" xfId="0" applyFont="true" applyBorder="false" applyAlignment="true" applyProtection="true">
      <alignment horizontal="center" vertical="center" textRotation="0" wrapText="false" indent="0" shrinkToFit="false"/>
      <protection locked="true" hidden="false"/>
    </xf>
    <xf numFmtId="164" fontId="23" fillId="0" borderId="0" xfId="0" applyFont="true" applyBorder="true" applyAlignment="true" applyProtection="true">
      <alignment horizontal="general" vertical="bottom" textRotation="0" wrapText="true" indent="0" shrinkToFit="false"/>
      <protection locked="true" hidden="false"/>
    </xf>
    <xf numFmtId="164" fontId="43" fillId="0" borderId="0" xfId="0" applyFont="true" applyBorder="true" applyAlignment="true" applyProtection="true">
      <alignment horizontal="left" vertical="center" textRotation="0" wrapText="true" indent="0" shrinkToFit="false"/>
      <protection locked="true" hidden="false"/>
    </xf>
    <xf numFmtId="164" fontId="36" fillId="22" borderId="3" xfId="0" applyFont="true" applyBorder="true" applyAlignment="true" applyProtection="true">
      <alignment horizontal="center" vertical="center" textRotation="0" wrapText="true" indent="0" shrinkToFit="false"/>
      <protection locked="true" hidden="false"/>
    </xf>
    <xf numFmtId="164" fontId="36" fillId="6" borderId="3" xfId="0" applyFont="true" applyBorder="true" applyAlignment="true" applyProtection="true">
      <alignment horizontal="center" vertical="center" textRotation="0" wrapText="true" indent="0" shrinkToFit="false"/>
      <protection locked="true" hidden="false"/>
    </xf>
    <xf numFmtId="167" fontId="36" fillId="6" borderId="3" xfId="0" applyFont="true" applyBorder="true" applyAlignment="true" applyProtection="true">
      <alignment horizontal="center" vertical="center" textRotation="0" wrapText="true" indent="0" shrinkToFit="false"/>
      <protection locked="true" hidden="false"/>
    </xf>
    <xf numFmtId="168" fontId="36" fillId="6" borderId="3" xfId="0" applyFont="true" applyBorder="true" applyAlignment="true" applyProtection="true">
      <alignment horizontal="center" vertical="center" textRotation="0" wrapText="true" indent="0" shrinkToFit="false"/>
      <protection locked="true" hidden="false"/>
    </xf>
    <xf numFmtId="164" fontId="36" fillId="11" borderId="3" xfId="0" applyFont="true" applyBorder="true" applyAlignment="true" applyProtection="true">
      <alignment horizontal="left" vertical="center" textRotation="0" wrapText="true" indent="0" shrinkToFit="false"/>
      <protection locked="true" hidden="false"/>
    </xf>
    <xf numFmtId="167" fontId="20" fillId="9" borderId="3" xfId="0" applyFont="true" applyBorder="true" applyAlignment="true" applyProtection="true">
      <alignment horizontal="left" vertical="center" textRotation="0" wrapText="true" indent="0" shrinkToFit="false"/>
      <protection locked="true" hidden="false"/>
    </xf>
    <xf numFmtId="167" fontId="20" fillId="0" borderId="3" xfId="0" applyFont="true" applyBorder="true" applyAlignment="true" applyProtection="true">
      <alignment horizontal="center" vertical="center" textRotation="0" wrapText="true" indent="0" shrinkToFit="false"/>
      <protection locked="true" hidden="false"/>
    </xf>
    <xf numFmtId="168" fontId="20" fillId="0" borderId="3" xfId="0" applyFont="true" applyBorder="true" applyAlignment="true" applyProtection="true">
      <alignment horizontal="center" vertical="center" textRotation="0" wrapText="true" indent="0" shrinkToFit="false"/>
      <protection locked="true" hidden="false"/>
    </xf>
    <xf numFmtId="164" fontId="36" fillId="23" borderId="3" xfId="0" applyFont="true" applyBorder="true" applyAlignment="true" applyProtection="true">
      <alignment horizontal="left" vertical="center" textRotation="0" wrapText="true" indent="0" shrinkToFit="false"/>
      <protection locked="true" hidden="false"/>
    </xf>
    <xf numFmtId="167" fontId="20" fillId="23" borderId="3" xfId="0" applyFont="true" applyBorder="true" applyAlignment="true" applyProtection="true">
      <alignment horizontal="center" vertical="center" textRotation="0" wrapText="true" indent="0" shrinkToFit="false"/>
      <protection locked="true" hidden="false"/>
    </xf>
    <xf numFmtId="168" fontId="20" fillId="23" borderId="3" xfId="0" applyFont="true" applyBorder="true" applyAlignment="true" applyProtection="true">
      <alignment horizontal="center" vertical="center" textRotation="0" wrapText="true" indent="0" shrinkToFit="false"/>
      <protection locked="true" hidden="false"/>
    </xf>
    <xf numFmtId="164" fontId="18" fillId="0" borderId="0" xfId="0" applyFont="true" applyBorder="false" applyAlignment="true" applyProtection="true">
      <alignment horizontal="left" vertical="center" textRotation="0" wrapText="true" indent="0" shrinkToFit="false"/>
      <protection locked="true" hidden="false"/>
    </xf>
    <xf numFmtId="167" fontId="18" fillId="0" borderId="0" xfId="0" applyFont="true" applyBorder="false" applyAlignment="true" applyProtection="true">
      <alignment horizontal="center" vertical="center" textRotation="0" wrapText="true" indent="0" shrinkToFit="false"/>
      <protection locked="true" hidden="false"/>
    </xf>
    <xf numFmtId="168" fontId="18" fillId="0" borderId="0" xfId="0" applyFont="true" applyBorder="false" applyAlignment="true" applyProtection="true">
      <alignment horizontal="center" vertical="center" textRotation="0" wrapText="true" indent="0" shrinkToFit="false"/>
      <protection locked="true" hidden="false"/>
    </xf>
    <xf numFmtId="164" fontId="36" fillId="11" borderId="3" xfId="0" applyFont="true" applyBorder="true" applyAlignment="true" applyProtection="true">
      <alignment horizontal="center" vertical="center" textRotation="0" wrapText="true" indent="0" shrinkToFit="false"/>
      <protection locked="true" hidden="false"/>
    </xf>
    <xf numFmtId="164" fontId="20" fillId="0" borderId="3" xfId="0" applyFont="true" applyBorder="true" applyAlignment="true" applyProtection="true">
      <alignment horizontal="center" vertical="center" textRotation="0" wrapText="true" indent="0" shrinkToFit="false"/>
      <protection locked="true" hidden="false"/>
    </xf>
    <xf numFmtId="167" fontId="36" fillId="11" borderId="3" xfId="0" applyFont="true" applyBorder="true" applyAlignment="true" applyProtection="true">
      <alignment horizontal="center" vertical="center" textRotation="0" wrapText="true" indent="0" shrinkToFit="false"/>
      <protection locked="true" hidden="false"/>
    </xf>
    <xf numFmtId="167" fontId="36" fillId="23" borderId="3" xfId="0" applyFont="true" applyBorder="true" applyAlignment="true" applyProtection="true">
      <alignment horizontal="center" vertical="center" textRotation="0" wrapText="true" indent="0" shrinkToFit="false"/>
      <protection locked="true" hidden="false"/>
    </xf>
    <xf numFmtId="164" fontId="36" fillId="23" borderId="3" xfId="0" applyFont="true" applyBorder="true" applyAlignment="true" applyProtection="true">
      <alignment horizontal="center" vertical="center" textRotation="0" wrapText="true" indent="0" shrinkToFit="false"/>
      <protection locked="true" hidden="false"/>
    </xf>
    <xf numFmtId="167" fontId="23" fillId="0" borderId="0" xfId="0" applyFont="true" applyBorder="false" applyAlignment="true" applyProtection="true">
      <alignment horizontal="left" vertical="center" textRotation="0" wrapText="true" indent="0" shrinkToFit="false"/>
      <protection locked="true" hidden="false"/>
    </xf>
    <xf numFmtId="164" fontId="18" fillId="0" borderId="0" xfId="0" applyFont="true" applyBorder="false" applyAlignment="true" applyProtection="true">
      <alignment horizontal="center" vertical="center" textRotation="0" wrapText="true" indent="0" shrinkToFit="false"/>
      <protection locked="true" hidden="false"/>
    </xf>
    <xf numFmtId="164" fontId="18" fillId="0" borderId="0" xfId="0" applyFont="true" applyBorder="false" applyAlignment="true" applyProtection="true">
      <alignment horizontal="general" vertical="bottom" textRotation="0" wrapText="true" indent="0" shrinkToFit="false"/>
      <protection locked="true" hidden="false"/>
    </xf>
    <xf numFmtId="164" fontId="19" fillId="4" borderId="0" xfId="0" applyFont="true" applyBorder="false" applyAlignment="true" applyProtection="true">
      <alignment horizontal="center" vertical="center" textRotation="0" wrapText="true" indent="0" shrinkToFit="false"/>
      <protection locked="true" hidden="false"/>
    </xf>
    <xf numFmtId="164" fontId="19" fillId="13" borderId="0" xfId="0" applyFont="true" applyBorder="false" applyAlignment="true" applyProtection="true">
      <alignment horizontal="center" vertical="center" textRotation="0" wrapText="true" indent="0" shrinkToFit="false"/>
      <protection locked="true" hidden="false"/>
    </xf>
    <xf numFmtId="164" fontId="51" fillId="0" borderId="0" xfId="0" applyFont="true" applyBorder="false" applyAlignment="true" applyProtection="true">
      <alignment horizontal="general" vertical="bottom" textRotation="0" wrapText="false" indent="0" shrinkToFit="false"/>
      <protection locked="true" hidden="false"/>
    </xf>
    <xf numFmtId="164" fontId="52" fillId="0" borderId="0" xfId="0" applyFont="true" applyBorder="false" applyAlignment="true" applyProtection="true">
      <alignment horizontal="general" vertical="bottom" textRotation="0" wrapText="false" indent="0" shrinkToFit="false"/>
      <protection locked="true" hidden="false"/>
    </xf>
    <xf numFmtId="164" fontId="53" fillId="0" borderId="0" xfId="0" applyFont="true" applyBorder="false" applyAlignment="true" applyProtection="true">
      <alignment horizontal="general" vertical="bottom" textRotation="0" wrapText="false" indent="0" shrinkToFit="false"/>
      <protection locked="true" hidden="false"/>
    </xf>
    <xf numFmtId="164" fontId="54" fillId="0" borderId="0" xfId="0" applyFont="true" applyBorder="false" applyAlignment="true" applyProtection="true">
      <alignment horizontal="left" vertical="center" textRotation="0" wrapText="false" indent="0" shrinkToFit="false"/>
      <protection locked="true" hidden="false"/>
    </xf>
    <xf numFmtId="164" fontId="11" fillId="0" borderId="0" xfId="0" applyFont="true" applyBorder="true" applyAlignment="true" applyProtection="true">
      <alignment horizontal="left" vertical="center" textRotation="0" wrapText="false" indent="0" shrinkToFit="false"/>
      <protection locked="true" hidden="false"/>
    </xf>
    <xf numFmtId="164" fontId="25" fillId="11" borderId="1" xfId="0" applyFont="true" applyBorder="true" applyAlignment="true" applyProtection="true">
      <alignment horizontal="center" vertical="center" textRotation="0" wrapText="true" indent="0" shrinkToFit="false"/>
      <protection locked="true" hidden="false"/>
    </xf>
    <xf numFmtId="164" fontId="15" fillId="0" borderId="1" xfId="0" applyFont="true" applyBorder="true" applyAlignment="true" applyProtection="true">
      <alignment horizontal="general" vertical="top" textRotation="0" wrapText="true" indent="0" shrinkToFit="false"/>
      <protection locked="true" hidden="false"/>
    </xf>
    <xf numFmtId="164" fontId="20" fillId="6" borderId="1" xfId="0" applyFont="true" applyBorder="true" applyAlignment="true" applyProtection="true">
      <alignment horizontal="center" vertical="center" textRotation="0" wrapText="false" indent="0" shrinkToFit="false"/>
      <protection locked="true" hidden="false"/>
    </xf>
    <xf numFmtId="164" fontId="0" fillId="0" borderId="5" xfId="0" applyFont="false" applyBorder="true" applyAlignment="true" applyProtection="true">
      <alignment horizontal="general" vertical="bottom" textRotation="0" wrapText="false" indent="0" shrinkToFit="false"/>
      <protection locked="true" hidden="false"/>
    </xf>
    <xf numFmtId="164" fontId="26" fillId="0" borderId="0" xfId="0" applyFont="true" applyBorder="true" applyAlignment="true" applyProtection="true">
      <alignment horizontal="left" vertical="center" textRotation="0" wrapText="false" indent="0" shrinkToFit="false"/>
      <protection locked="true" hidden="false"/>
    </xf>
    <xf numFmtId="164" fontId="19" fillId="24" borderId="1" xfId="0" applyFont="true" applyBorder="true" applyAlignment="true" applyProtection="true">
      <alignment horizontal="left" vertical="center" textRotation="0" wrapText="true" indent="0" shrinkToFit="false"/>
      <protection locked="true" hidden="false"/>
    </xf>
    <xf numFmtId="164" fontId="20" fillId="3" borderId="1" xfId="0" applyFont="true" applyBorder="true" applyAlignment="true" applyProtection="true">
      <alignment horizontal="left" vertical="center" textRotation="0" wrapText="true" indent="0" shrinkToFit="false"/>
      <protection locked="true" hidden="false"/>
    </xf>
    <xf numFmtId="164" fontId="19" fillId="25" borderId="1" xfId="0" applyFont="true" applyBorder="true" applyAlignment="true" applyProtection="true">
      <alignment horizontal="center" vertical="center" textRotation="0" wrapText="true" indent="0" shrinkToFit="false"/>
      <protection locked="true" hidden="false"/>
    </xf>
    <xf numFmtId="164" fontId="19" fillId="14" borderId="3" xfId="0" applyFont="true" applyBorder="true" applyAlignment="true" applyProtection="true">
      <alignment horizontal="center" vertical="center" textRotation="0" wrapText="true" indent="0" shrinkToFit="false"/>
      <protection locked="true" hidden="false"/>
    </xf>
    <xf numFmtId="164" fontId="19" fillId="26" borderId="3" xfId="0" applyFont="true" applyBorder="true" applyAlignment="true" applyProtection="true">
      <alignment horizontal="center" vertical="center" textRotation="0" wrapText="true" indent="0" shrinkToFit="false"/>
      <protection locked="true" hidden="false"/>
    </xf>
    <xf numFmtId="164" fontId="19" fillId="15" borderId="3" xfId="0" applyFont="true" applyBorder="true" applyAlignment="true" applyProtection="true">
      <alignment horizontal="center" vertical="center" textRotation="0" wrapText="true" indent="0" shrinkToFit="false"/>
      <protection locked="true" hidden="false"/>
    </xf>
    <xf numFmtId="164" fontId="25" fillId="27" borderId="1" xfId="0" applyFont="true" applyBorder="true" applyAlignment="true" applyProtection="true">
      <alignment horizontal="center" vertical="center" textRotation="0" wrapText="true" indent="0" shrinkToFit="false"/>
      <protection locked="true" hidden="false"/>
    </xf>
    <xf numFmtId="164" fontId="25" fillId="28" borderId="3" xfId="0" applyFont="true" applyBorder="true" applyAlignment="true" applyProtection="true">
      <alignment horizontal="center" vertical="center" textRotation="0" wrapText="true" indent="0" shrinkToFit="false"/>
      <protection locked="true" hidden="false"/>
    </xf>
    <xf numFmtId="164" fontId="25" fillId="23" borderId="3" xfId="0" applyFont="true" applyBorder="true" applyAlignment="true" applyProtection="true">
      <alignment horizontal="center" vertical="center" textRotation="0" wrapText="true" indent="0" shrinkToFit="false"/>
      <protection locked="true" hidden="false"/>
    </xf>
    <xf numFmtId="164" fontId="15" fillId="28" borderId="1" xfId="0" applyFont="true" applyBorder="true" applyAlignment="true" applyProtection="true">
      <alignment horizontal="center" vertical="center" textRotation="0" wrapText="false" indent="0" shrinkToFit="false"/>
      <protection locked="true" hidden="false"/>
    </xf>
    <xf numFmtId="164" fontId="55" fillId="28" borderId="1" xfId="0" applyFont="true" applyBorder="true" applyAlignment="true" applyProtection="true">
      <alignment horizontal="left" vertical="center" textRotation="0" wrapText="false" indent="0" shrinkToFit="false"/>
      <protection locked="true" hidden="false"/>
    </xf>
    <xf numFmtId="164" fontId="15" fillId="0" borderId="1" xfId="0" applyFont="true" applyBorder="true" applyAlignment="true" applyProtection="true">
      <alignment horizontal="center" vertical="center" textRotation="0" wrapText="false" indent="0" shrinkToFit="false"/>
      <protection locked="true" hidden="false"/>
    </xf>
    <xf numFmtId="164" fontId="15" fillId="0" borderId="3" xfId="0" applyFont="true" applyBorder="true" applyAlignment="true" applyProtection="true">
      <alignment horizontal="center" vertical="center" textRotation="0" wrapText="false" indent="0" shrinkToFit="false"/>
      <protection locked="true" hidden="false"/>
    </xf>
    <xf numFmtId="164" fontId="25" fillId="12" borderId="3" xfId="0" applyFont="true" applyBorder="true" applyAlignment="true" applyProtection="true">
      <alignment horizontal="center" vertical="center" textRotation="0" wrapText="false" indent="0" shrinkToFit="false"/>
      <protection locked="true" hidden="false"/>
    </xf>
    <xf numFmtId="164" fontId="15" fillId="0" borderId="3" xfId="0" applyFont="true" applyBorder="true" applyAlignment="true" applyProtection="true">
      <alignment horizontal="left" vertical="top" textRotation="0" wrapText="true" indent="0" shrinkToFit="false"/>
      <protection locked="true" hidden="false"/>
    </xf>
    <xf numFmtId="164" fontId="15" fillId="0" borderId="0" xfId="0" applyFont="true" applyBorder="false" applyAlignment="true" applyProtection="true">
      <alignment horizontal="center" vertical="center" textRotation="0" wrapText="false" indent="0" shrinkToFit="false"/>
      <protection locked="true" hidden="false"/>
    </xf>
    <xf numFmtId="164" fontId="0" fillId="28" borderId="0" xfId="0" applyFont="false" applyBorder="false" applyAlignment="true" applyProtection="true">
      <alignment horizontal="general" vertical="bottom" textRotation="0" wrapText="false" indent="0" shrinkToFit="false"/>
      <protection locked="true" hidden="false"/>
    </xf>
    <xf numFmtId="164" fontId="55" fillId="28" borderId="0" xfId="0" applyFont="true" applyBorder="true" applyAlignment="true" applyProtection="true">
      <alignment horizontal="left" vertical="center" textRotation="0" wrapText="false" indent="0" shrinkToFit="false"/>
      <protection locked="true" hidden="false"/>
    </xf>
    <xf numFmtId="164" fontId="56"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ont>
        <color rgb="FF006100"/>
      </font>
      <fill>
        <patternFill>
          <bgColor rgb="FFC6EFCE"/>
        </patternFill>
      </fill>
    </dxf>
    <dxf>
      <font>
        <color rgb="FF9C0006"/>
      </font>
      <fill>
        <patternFill>
          <bgColor rgb="FFFFC7CE"/>
        </patternFill>
      </fill>
    </dxf>
    <dxf>
      <font>
        <color rgb="FF3F3F3F"/>
      </font>
      <fill>
        <patternFill>
          <bgColor rgb="FFD9D9D9"/>
        </patternFill>
      </fill>
    </dxf>
    <dxf>
      <font>
        <color rgb="FF9C6500"/>
      </font>
      <fill>
        <patternFill>
          <bgColor rgb="FFFFEB9C"/>
        </patternFill>
      </fill>
    </dxf>
    <dxf>
      <fill>
        <patternFill>
          <bgColor rgb="FFF4CCCC"/>
        </patternFill>
      </fill>
    </dxf>
    <dxf>
      <fill>
        <patternFill patternType="solid">
          <fgColor rgb="FFD9E1F2"/>
          <bgColor rgb="FF000000"/>
        </patternFill>
      </fill>
    </dxf>
    <dxf>
      <fill>
        <patternFill patternType="solid">
          <fgColor rgb="FF000000"/>
          <bgColor rgb="FF000000"/>
        </patternFill>
      </fill>
    </dxf>
    <dxf>
      <fill>
        <patternFill patternType="solid">
          <fgColor rgb="FFC5E0B3"/>
          <bgColor rgb="FF000000"/>
        </patternFill>
      </fill>
    </dxf>
    <dxf>
      <fill>
        <patternFill patternType="solid">
          <fgColor rgb="FFDAEEF3"/>
          <bgColor rgb="FF000000"/>
        </patternFill>
      </fill>
    </dxf>
    <dxf>
      <fill>
        <patternFill patternType="solid">
          <fgColor rgb="FFFCE4D6"/>
          <bgColor rgb="FF000000"/>
        </patternFill>
      </fill>
    </dxf>
    <dxf>
      <fill>
        <patternFill patternType="solid">
          <fgColor rgb="FFE2EFDA"/>
          <bgColor rgb="FF000000"/>
        </patternFill>
      </fill>
    </dxf>
  </dxfs>
  <colors>
    <indexedColors>
      <rgbColor rgb="FF000000"/>
      <rgbColor rgb="FFFFFFFF"/>
      <rgbColor rgb="FFC00000"/>
      <rgbColor rgb="FF70AD47"/>
      <rgbColor rgb="FF0000FF"/>
      <rgbColor rgb="FFC5E0B3"/>
      <rgbColor rgb="FFD9E1F2"/>
      <rgbColor rgb="FFA8D08D"/>
      <rgbColor rgb="FF9C0006"/>
      <rgbColor rgb="FF006100"/>
      <rgbColor rgb="FF2F5496"/>
      <rgbColor rgb="FF9C6500"/>
      <rgbColor rgb="FF595959"/>
      <rgbColor rgb="FF1F6E7B"/>
      <rgbColor rgb="FFBFBFBF"/>
      <rgbColor rgb="FF808080"/>
      <rgbColor rgb="FF97A1CA"/>
      <rgbColor rgb="FF7030A0"/>
      <rgbColor rgb="FFFFF2CC"/>
      <rgbColor rgb="FFDAEEF3"/>
      <rgbColor rgb="FF404040"/>
      <rgbColor rgb="FFEE7E31"/>
      <rgbColor rgb="FF0563C1"/>
      <rgbColor rgb="FFD9D9D9"/>
      <rgbColor rgb="FFF2F2F2"/>
      <rgbColor rgb="FFE2EFDA"/>
      <rgbColor rgb="FFFCE4D6"/>
      <rgbColor rgb="FFA9D08E"/>
      <rgbColor rgb="FF757575"/>
      <rgbColor rgb="FF548235"/>
      <rgbColor rgb="FF2E75B6"/>
      <rgbColor rgb="FFE2EFD9"/>
      <rgbColor rgb="FF4D81BE"/>
      <rgbColor rgb="FFDDEBF7"/>
      <rgbColor rgb="FFC6EFCE"/>
      <rgbColor rgb="FFFFEB9C"/>
      <rgbColor rgb="FFB7B7B7"/>
      <rgbColor rgb="FFFFC7CE"/>
      <rgbColor rgb="FFCD8B6F"/>
      <rgbColor rgb="FFF4CCCC"/>
      <rgbColor rgb="FF4472C4"/>
      <rgbColor rgb="FF4FA8CC"/>
      <rgbColor rgb="FF9BBB59"/>
      <rgbColor rgb="FFABD08E"/>
      <rgbColor rgb="FFE09949"/>
      <rgbColor rgb="FFED7D31"/>
      <rgbColor rgb="FF8064A2"/>
      <rgbColor rgb="FF7F7F7F"/>
      <rgbColor rgb="FF1F4E79"/>
      <rgbColor rgb="FF31859C"/>
      <rgbColor rgb="FF1A1A1A"/>
      <rgbColor rgb="FF1F1F1F"/>
      <rgbColor rgb="FFC55A11"/>
      <rgbColor rgb="FFC0504D"/>
      <rgbColor rgb="FF305496"/>
      <rgbColor rgb="FF3F3F3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_rels/chart14.xml.rels><?xml version="1.0" encoding="UTF-8"?>
<Relationships xmlns="http://schemas.openxmlformats.org/package/2006/relationships"><Relationship Id="rId1" Type="http://schemas.microsoft.com/office/2011/relationships/chartStyle" Target="style14.xml"/><Relationship Id="rId2" Type="http://schemas.microsoft.com/office/2011/relationships/chartColorStyle" Target="colors14.xml"/>
</Relationships>
</file>

<file path=xl/charts/_rels/chart15.xml.rels><?xml version="1.0" encoding="UTF-8"?>
<Relationships xmlns="http://schemas.openxmlformats.org/package/2006/relationships"><Relationship Id="rId1" Type="http://schemas.microsoft.com/office/2011/relationships/chartStyle" Target="style15.xml"/><Relationship Id="rId2" Type="http://schemas.microsoft.com/office/2011/relationships/chartColorStyle" Target="colors15.xml"/>
</Relationships>
</file>

<file path=xl/charts/_rels/chart16.xml.rels><?xml version="1.0" encoding="UTF-8"?>
<Relationships xmlns="http://schemas.openxmlformats.org/package/2006/relationships"><Relationship Id="rId1" Type="http://schemas.microsoft.com/office/2011/relationships/chartStyle" Target="style16.xml"/><Relationship Id="rId2" Type="http://schemas.microsoft.com/office/2011/relationships/chartColorStyle" Target="colors16.xml"/>
</Relationships>
</file>

<file path=xl/charts/_rels/chart17.xml.rels><?xml version="1.0" encoding="UTF-8"?>
<Relationships xmlns="http://schemas.openxmlformats.org/package/2006/relationships"><Relationship Id="rId1" Type="http://schemas.microsoft.com/office/2011/relationships/chartStyle" Target="style17.xml"/><Relationship Id="rId2" Type="http://schemas.microsoft.com/office/2011/relationships/chartColorStyle" Target="colors17.xml"/>
</Relationships>
</file>

<file path=xl/charts/_rels/chart18.xml.rels><?xml version="1.0" encoding="UTF-8"?>
<Relationships xmlns="http://schemas.openxmlformats.org/package/2006/relationships"><Relationship Id="rId1" Type="http://schemas.microsoft.com/office/2011/relationships/chartStyle" Target="style18.xml"/><Relationship Id="rId2" Type="http://schemas.microsoft.com/office/2011/relationships/chartColorStyle" Target="colors18.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Calibri"/>
                <a:ea typeface="Calibri"/>
              </a:rPr>
              <a:t>Tiến độ thực thi theo ưu tiên (Tổng vs Đã chạy)</a:t>
            </a:r>
          </a:p>
        </c:rich>
      </c:tx>
      <c:overlay val="0"/>
      <c:spPr>
        <a:noFill/>
        <a:ln w="0">
          <a:noFill/>
        </a:ln>
      </c:spPr>
    </c:title>
    <c:autoTitleDeleted val="0"/>
    <c:plotArea>
      <c:layout>
        <c:manualLayout>
          <c:xMode val="edge"/>
          <c:yMode val="edge"/>
          <c:x val="0.0679497493656786"/>
          <c:y val="0.157077038465659"/>
          <c:w val="0.776038121170865"/>
          <c:h val="0.742419372120433"/>
        </c:manualLayout>
      </c:layout>
      <c:barChart>
        <c:barDir val="col"/>
        <c:grouping val="clustered"/>
        <c:varyColors val="0"/>
        <c:ser>
          <c:idx val="0"/>
          <c:order val="0"/>
          <c:tx>
            <c:strRef>
              <c:f>Summary!$C$18</c:f>
              <c:strCache>
                <c:ptCount val="1"/>
                <c:pt idx="0">
                  <c:v>Tổng TC</c:v>
                </c:pt>
              </c:strCache>
            </c:strRef>
          </c:tx>
          <c:spPr>
            <a:solidFill>
              <a:srgbClr val="A9D08E"/>
            </a:solidFill>
            <a:ln w="12600">
              <a:no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Summary!$B$19:$B$21</c:f>
              <c:strCache>
                <c:ptCount val="3"/>
                <c:pt idx="0">
                  <c:v>High (P1)</c:v>
                </c:pt>
                <c:pt idx="1">
                  <c:v>Medium (P2)</c:v>
                </c:pt>
                <c:pt idx="2">
                  <c:v>Low (P3)</c:v>
                </c:pt>
              </c:strCache>
            </c:strRef>
          </c:cat>
          <c:val>
            <c:numRef>
              <c:f>Summary!$C$19:$C$21</c:f>
              <c:numCache>
                <c:formatCode>0</c:formatCode>
                <c:ptCount val="3"/>
                <c:pt idx="0">
                  <c:v>22</c:v>
                </c:pt>
                <c:pt idx="1">
                  <c:v>145</c:v>
                </c:pt>
                <c:pt idx="2">
                  <c:v>56</c:v>
                </c:pt>
              </c:numCache>
            </c:numRef>
          </c:val>
        </c:ser>
        <c:ser>
          <c:idx val="1"/>
          <c:order val="1"/>
          <c:tx>
            <c:strRef>
              <c:f>Summary!$E$18</c:f>
              <c:strCache>
                <c:ptCount val="1"/>
                <c:pt idx="0">
                  <c:v>Đã chạy</c:v>
                </c:pt>
              </c:strCache>
            </c:strRef>
          </c:tx>
          <c:spPr>
            <a:solidFill>
              <a:srgbClr val="3D85C6"/>
            </a:solidFill>
            <a:ln w="12600">
              <a:no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Summary!$B$19:$B$21</c:f>
              <c:strCache>
                <c:ptCount val="3"/>
                <c:pt idx="0">
                  <c:v>High (P1)</c:v>
                </c:pt>
                <c:pt idx="1">
                  <c:v>Medium (P2)</c:v>
                </c:pt>
                <c:pt idx="2">
                  <c:v>Low (P3)</c:v>
                </c:pt>
              </c:strCache>
            </c:strRef>
          </c:cat>
          <c:val>
            <c:numRef>
              <c:f>Summary!$E$19:$E$21</c:f>
              <c:numCache>
                <c:formatCode>0</c:formatCode>
                <c:ptCount val="3"/>
                <c:pt idx="0">
                  <c:v>0</c:v>
                </c:pt>
                <c:pt idx="1">
                  <c:v>0</c:v>
                </c:pt>
                <c:pt idx="2">
                  <c:v>0</c:v>
                </c:pt>
              </c:numCache>
            </c:numRef>
          </c:val>
        </c:ser>
        <c:gapWidth val="150"/>
        <c:overlap val="0"/>
        <c:axId val="68004819"/>
        <c:axId val="16702235"/>
      </c:barChart>
      <c:catAx>
        <c:axId val="68004819"/>
        <c:scaling>
          <c:orientation val="minMax"/>
        </c:scaling>
        <c:delete val="0"/>
        <c:axPos val="b"/>
        <c:title>
          <c:tx>
            <c:rich>
              <a:bodyPr rot="0"/>
              <a:lstStyle/>
              <a:p>
                <a:pPr>
                  <a:defRPr sz="1300" b="0" u="none" strike="noStrike">
                    <a:uFillTx/>
                    <a:latin typeface="Arial"/>
                  </a:defRPr>
                </a:pPr>
                <a:r>
                  <a:rPr sz="1000" b="0" u="none" strike="noStrike">
                    <a:solidFill>
                      <a:srgbClr val="000000"/>
                    </a:solidFill>
                    <a:uFillTx/>
                    <a:latin typeface="Calibri"/>
                    <a:ea typeface="Calibri"/>
                  </a:rPr>
                  <a:t>None</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16702235"/>
        <c:crosses val="autoZero"/>
        <c:auto val="1"/>
        <c:lblAlgn val="ctr"/>
        <c:lblOffset val="100"/>
        <c:noMultiLvlLbl val="0"/>
      </c:catAx>
      <c:valAx>
        <c:axId val="16702235"/>
        <c:scaling>
          <c:orientation val="minMax"/>
        </c:scaling>
        <c:delete val="0"/>
        <c:axPos val="l"/>
        <c:majorGridlines>
          <c:spPr>
            <a:ln w="6480">
              <a:solidFill>
                <a:srgbClr val="B7B7B7"/>
              </a:solidFill>
              <a:round/>
            </a:ln>
          </c:spPr>
        </c:majorGridlines>
        <c:title>
          <c:tx>
            <c:rich>
              <a:bodyPr rot="-5400000"/>
              <a:lstStyle/>
              <a:p>
                <a:pPr>
                  <a:defRPr sz="1300" b="0" u="none" strike="noStrike">
                    <a:uFillTx/>
                    <a:latin typeface="Arial"/>
                  </a:defRPr>
                </a:pPr>
                <a:r>
                  <a:rPr sz="1000" b="0" u="none" strike="noStrike">
                    <a:solidFill>
                      <a:srgbClr val="000000"/>
                    </a:solidFill>
                    <a:uFillTx/>
                    <a:latin typeface="Calibri"/>
                    <a:ea typeface="Calibri"/>
                  </a:rPr>
                  <a:t>None</a:t>
                </a:r>
              </a:p>
            </c:rich>
          </c:tx>
          <c:overlay val="0"/>
          <c:spPr>
            <a:noFill/>
            <a:ln w="0">
              <a:noFill/>
            </a:ln>
          </c:spPr>
        </c:title>
        <c:numFmt formatCode="General" sourceLinked="0"/>
        <c:majorTickMark val="cross"/>
        <c:minorTickMark val="none"/>
        <c:tickLblPos val="nextTo"/>
        <c:spPr>
          <a:ln w="6480">
            <a:solidFill>
              <a:srgbClr val="8B8B8B"/>
            </a:solidFill>
            <a:round/>
          </a:ln>
        </c:spPr>
        <c:txPr>
          <a:bodyPr/>
          <a:lstStyle/>
          <a:p>
            <a:pPr>
              <a:defRPr sz="1000" b="0" u="none" strike="noStrike">
                <a:solidFill>
                  <a:srgbClr val="000000"/>
                </a:solidFill>
                <a:uFillTx/>
                <a:latin typeface="Calibri"/>
                <a:ea typeface="Calibri"/>
              </a:defRPr>
            </a:pPr>
          </a:p>
        </c:txPr>
        <c:crossAx val="6800481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1A1A1A"/>
              </a:solidFill>
              <a:uFillTx/>
              <a:latin typeface="Calibri"/>
              <a:ea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Calibri"/>
                <a:ea typeface="Calibri"/>
              </a:rPr>
              <a:t>Số Test Case theo nhóm (Group)</a:t>
            </a:r>
          </a:p>
        </c:rich>
      </c:tx>
      <c:overlay val="0"/>
      <c:spPr>
        <a:noFill/>
        <a:ln w="0">
          <a:noFill/>
        </a:ln>
      </c:spPr>
    </c:title>
    <c:autoTitleDeleted val="0"/>
    <c:plotArea>
      <c:barChart>
        <c:barDir val="col"/>
        <c:grouping val="clustered"/>
        <c:varyColors val="0"/>
        <c:ser>
          <c:idx val="0"/>
          <c:order val="0"/>
          <c:tx>
            <c:strRef>
              <c:f>Summary!$J$18</c:f>
              <c:strCache>
                <c:ptCount val="1"/>
                <c:pt idx="0">
                  <c:v>Số TC</c:v>
                </c:pt>
              </c:strCache>
            </c:strRef>
          </c:tx>
          <c:spPr>
            <a:solidFill>
              <a:srgbClr val="548235"/>
            </a:solidFill>
            <a:ln w="12600">
              <a:no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Summary!$I$19:$I$22</c:f>
              <c:strCache>
                <c:ptCount val="4"/>
                <c:pt idx="0">
                  <c:v>Functional</c:v>
                </c:pt>
                <c:pt idx="1">
                  <c:v>UI</c:v>
                </c:pt>
                <c:pt idx="2">
                  <c:v>Integration</c:v>
                </c:pt>
                <c:pt idx="3">
                  <c:v>Database</c:v>
                </c:pt>
              </c:strCache>
            </c:strRef>
          </c:cat>
          <c:val>
            <c:numRef>
              <c:f>Summary!$J$19:$J$22</c:f>
              <c:numCache>
                <c:formatCode>0</c:formatCode>
                <c:ptCount val="4"/>
                <c:pt idx="0">
                  <c:v>175</c:v>
                </c:pt>
                <c:pt idx="1">
                  <c:v>48</c:v>
                </c:pt>
                <c:pt idx="2">
                  <c:v>0</c:v>
                </c:pt>
                <c:pt idx="3">
                  <c:v>0</c:v>
                </c:pt>
              </c:numCache>
            </c:numRef>
          </c:val>
        </c:ser>
        <c:gapWidth val="150"/>
        <c:overlap val="0"/>
        <c:axId val="45587565"/>
        <c:axId val="94641383"/>
      </c:barChart>
      <c:catAx>
        <c:axId val="45587565"/>
        <c:scaling>
          <c:orientation val="minMax"/>
        </c:scaling>
        <c:delete val="0"/>
        <c:axPos val="b"/>
        <c:title>
          <c:tx>
            <c:rich>
              <a:bodyPr rot="0"/>
              <a:lstStyle/>
              <a:p>
                <a:pPr>
                  <a:defRPr sz="1300" b="0" u="none" strike="noStrike">
                    <a:uFillTx/>
                    <a:latin typeface="Arial"/>
                  </a:defRPr>
                </a:pPr>
                <a:r>
                  <a:rPr sz="1000" b="0" u="none" strike="noStrike">
                    <a:solidFill>
                      <a:srgbClr val="000000"/>
                    </a:solidFill>
                    <a:uFillTx/>
                    <a:latin typeface="Calibri"/>
                    <a:ea typeface="Calibri"/>
                  </a:rPr>
                  <a:t>None</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94641383"/>
        <c:crosses val="autoZero"/>
        <c:auto val="1"/>
        <c:lblAlgn val="ctr"/>
        <c:lblOffset val="100"/>
        <c:noMultiLvlLbl val="0"/>
      </c:catAx>
      <c:valAx>
        <c:axId val="94641383"/>
        <c:scaling>
          <c:orientation val="minMax"/>
        </c:scaling>
        <c:delete val="0"/>
        <c:axPos val="l"/>
        <c:majorGridlines>
          <c:spPr>
            <a:ln w="6480">
              <a:solidFill>
                <a:srgbClr val="B7B7B7"/>
              </a:solidFill>
              <a:round/>
            </a:ln>
          </c:spPr>
        </c:majorGridlines>
        <c:title>
          <c:tx>
            <c:rich>
              <a:bodyPr rot="-5400000"/>
              <a:lstStyle/>
              <a:p>
                <a:pPr>
                  <a:defRPr sz="1300" b="0" u="none" strike="noStrike">
                    <a:uFillTx/>
                    <a:latin typeface="Arial"/>
                  </a:defRPr>
                </a:pPr>
                <a:r>
                  <a:rPr sz="1000" b="0" u="none" strike="noStrike">
                    <a:solidFill>
                      <a:srgbClr val="000000"/>
                    </a:solidFill>
                    <a:uFillTx/>
                    <a:latin typeface="Calibri"/>
                    <a:ea typeface="Calibri"/>
                  </a:rPr>
                  <a:t>None</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45587565"/>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Calibri"/>
                <a:ea typeface="Calibri"/>
              </a:rPr>
              <a:t>Mức độ áp dụng SDLC (% trên tổng TC)</a:t>
            </a:r>
          </a:p>
        </c:rich>
      </c:tx>
      <c:overlay val="0"/>
      <c:spPr>
        <a:noFill/>
        <a:ln w="0">
          <a:noFill/>
        </a:ln>
      </c:spPr>
    </c:title>
    <c:autoTitleDeleted val="0"/>
    <c:plotArea>
      <c:barChart>
        <c:barDir val="bar"/>
        <c:grouping val="clustered"/>
        <c:varyColors val="0"/>
        <c:ser>
          <c:idx val="0"/>
          <c:order val="0"/>
          <c:spPr>
            <a:solidFill>
              <a:srgbClr val="548235"/>
            </a:solidFill>
            <a:ln w="12600">
              <a:no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Summary!$B$44:$B$49</c:f>
              <c:strCache>
                <c:ptCount val="6"/>
                <c:pt idx="0">
                  <c:v>TC do AI sinh (Origin=AI)</c:v>
                </c:pt>
                <c:pt idx="1">
                  <c:v>TC do QC viết (Origin=QC)</c:v>
                </c:pt>
                <c:pt idx="2">
                  <c:v>TC đã automation (Automated=Yes)</c:v>
                </c:pt>
                <c:pt idx="3">
                  <c:v>TC Vibe-test (Yes)</c:v>
                </c:pt>
                <c:pt idx="4">
                  <c:v>TC script auto chạy Pass</c:v>
                </c:pt>
                <c:pt idx="5">
                  <c:v>TC đã TL review</c:v>
                </c:pt>
              </c:strCache>
            </c:strRef>
          </c:cat>
          <c:val>
            <c:numRef>
              <c:f>Summary!$D$44:$D$49</c:f>
              <c:numCache>
                <c:formatCode>0.0%</c:formatCode>
                <c:ptCount val="6"/>
                <c:pt idx="0">
                  <c:v>1</c:v>
                </c:pt>
                <c:pt idx="1">
                  <c:v>0</c:v>
                </c:pt>
                <c:pt idx="2">
                  <c:v>0</c:v>
                </c:pt>
                <c:pt idx="3">
                  <c:v>0</c:v>
                </c:pt>
                <c:pt idx="4">
                  <c:v>0</c:v>
                </c:pt>
                <c:pt idx="5">
                  <c:v>0</c:v>
                </c:pt>
              </c:numCache>
            </c:numRef>
          </c:val>
        </c:ser>
        <c:gapWidth val="150"/>
        <c:overlap val="0"/>
        <c:axId val="84461131"/>
        <c:axId val="10767986"/>
      </c:barChart>
      <c:catAx>
        <c:axId val="84461131"/>
        <c:scaling>
          <c:orientation val="maxMin"/>
        </c:scaling>
        <c:delete val="0"/>
        <c:axPos val="b"/>
        <c:title>
          <c:tx>
            <c:rich>
              <a:bodyPr rot="-5400000"/>
              <a:lstStyle/>
              <a:p>
                <a:pPr>
                  <a:defRPr sz="1300" b="0" u="none" strike="noStrike">
                    <a:uFillTx/>
                    <a:latin typeface="Arial"/>
                  </a:defRPr>
                </a:pPr>
                <a:r>
                  <a:rPr sz="1000" b="0" u="none" strike="noStrike">
                    <a:solidFill>
                      <a:srgbClr val="000000"/>
                    </a:solidFill>
                    <a:uFillTx/>
                    <a:latin typeface="Calibri"/>
                    <a:ea typeface="Calibri"/>
                  </a:rPr>
                  <a:t>None</a:t>
                </a:r>
              </a:p>
            </c:rich>
          </c:tx>
          <c:overlay val="0"/>
          <c:spPr>
            <a:noFill/>
            <a:ln w="0">
              <a:noFill/>
            </a:ln>
          </c:spPr>
        </c:title>
        <c:numFmt formatCode="0%"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10767986"/>
        <c:crosses val="autoZero"/>
        <c:auto val="1"/>
        <c:lblAlgn val="ctr"/>
        <c:lblOffset val="100"/>
        <c:noMultiLvlLbl val="0"/>
      </c:catAx>
      <c:valAx>
        <c:axId val="10767986"/>
        <c:scaling>
          <c:orientation val="minMax"/>
          <c:max val="1"/>
        </c:scaling>
        <c:delete val="0"/>
        <c:axPos val="l"/>
        <c:majorGridlines>
          <c:spPr>
            <a:ln w="6480">
              <a:solidFill>
                <a:srgbClr val="B7B7B7"/>
              </a:solidFill>
              <a:round/>
            </a:ln>
          </c:spPr>
        </c:majorGridlines>
        <c:title>
          <c:tx>
            <c:rich>
              <a:bodyPr rot="0"/>
              <a:lstStyle/>
              <a:p>
                <a:pPr>
                  <a:defRPr sz="1300" b="0" u="none" strike="noStrike">
                    <a:uFillTx/>
                    <a:latin typeface="Arial"/>
                  </a:defRPr>
                </a:pPr>
                <a:r>
                  <a:rPr sz="1000" b="0" u="none" strike="noStrike">
                    <a:solidFill>
                      <a:srgbClr val="000000"/>
                    </a:solidFill>
                    <a:uFillTx/>
                    <a:latin typeface="Calibri"/>
                    <a:ea typeface="Calibri"/>
                  </a:rPr>
                  <a:t>None</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84461131"/>
        <c:crosses val="max"/>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Calibri"/>
                <a:ea typeface="Calibri"/>
              </a:rPr>
              <a:t>1a. Bug Status theo nền tảng</a:t>
            </a:r>
          </a:p>
        </c:rich>
      </c:tx>
      <c:overlay val="0"/>
      <c:spPr>
        <a:noFill/>
        <a:ln w="0">
          <a:noFill/>
        </a:ln>
      </c:spPr>
    </c:title>
    <c:autoTitleDeleted val="0"/>
    <c:plotArea>
      <c:barChart>
        <c:barDir val="col"/>
        <c:grouping val="stacked"/>
        <c:varyColors val="0"/>
        <c:ser>
          <c:idx val="0"/>
          <c:order val="0"/>
          <c:tx>
            <c:strRef>
              <c:f>"To Do"</c:f>
              <c:strCache>
                <c:ptCount val="1"/>
                <c:pt idx="0">
                  <c:v>To Do</c:v>
                </c:pt>
              </c:strCache>
            </c:strRef>
          </c:tx>
          <c:spPr>
            <a:solidFill>
              <a:srgbClr val="5B9BD5"/>
            </a:solidFill>
            <a:ln w="12600">
              <a:noFill/>
            </a:ln>
          </c:spPr>
          <c:invertIfNegative val="0"/>
          <c:dLbls>
            <c:txPr>
              <a:bodyPr wrap="square"/>
              <a:lstStyle/>
              <a:p>
                <a:pPr>
                  <a:defRPr sz="1000" b="0" u="none" strike="noStrike">
                    <a:solidFill>
                      <a:srgbClr val="000000"/>
                    </a:solidFill>
                    <a:uFillTx/>
                    <a:latin typeface="Arial"/>
                    <a:ea typeface="Calibri"/>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 Test'!$B$18:$B$20</c:f>
              <c:strCache>
                <c:ptCount val="3"/>
                <c:pt idx="0">
                  <c:v>Web</c:v>
                </c:pt>
                <c:pt idx="1">
                  <c:v>App</c:v>
                </c:pt>
                <c:pt idx="2">
                  <c:v>Web, App</c:v>
                </c:pt>
              </c:strCache>
            </c:strRef>
          </c:cat>
          <c:val>
            <c:numRef>
              <c:f>'Report Test'!$C$18:$C$20</c:f>
              <c:numCache>
                <c:formatCode>0</c:formatCode>
                <c:ptCount val="3"/>
                <c:pt idx="0">
                  <c:v>0</c:v>
                </c:pt>
                <c:pt idx="1">
                  <c:v>0</c:v>
                </c:pt>
                <c:pt idx="2">
                  <c:v>0</c:v>
                </c:pt>
              </c:numCache>
            </c:numRef>
          </c:val>
        </c:ser>
        <c:ser>
          <c:idx val="1"/>
          <c:order val="1"/>
          <c:tx>
            <c:strRef>
              <c:f>"In Progress"</c:f>
              <c:strCache>
                <c:ptCount val="1"/>
                <c:pt idx="0">
                  <c:v>In Progress</c:v>
                </c:pt>
              </c:strCache>
            </c:strRef>
          </c:tx>
          <c:spPr>
            <a:solidFill>
              <a:srgbClr val="ED7D31"/>
            </a:solidFill>
            <a:ln w="12600">
              <a:noFill/>
            </a:ln>
          </c:spPr>
          <c:invertIfNegative val="0"/>
          <c:dLbls>
            <c:txPr>
              <a:bodyPr wrap="square"/>
              <a:lstStyle/>
              <a:p>
                <a:pPr>
                  <a:defRPr sz="1000" b="0" u="none" strike="noStrike">
                    <a:solidFill>
                      <a:srgbClr val="000000"/>
                    </a:solidFill>
                    <a:uFillTx/>
                    <a:latin typeface="Arial"/>
                    <a:ea typeface="Calibri"/>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 Test'!$B$18:$B$20</c:f>
              <c:strCache>
                <c:ptCount val="3"/>
                <c:pt idx="0">
                  <c:v>Web</c:v>
                </c:pt>
                <c:pt idx="1">
                  <c:v>App</c:v>
                </c:pt>
                <c:pt idx="2">
                  <c:v>Web, App</c:v>
                </c:pt>
              </c:strCache>
            </c:strRef>
          </c:cat>
          <c:val>
            <c:numRef>
              <c:f>'Report Test'!$D$18:$D$20</c:f>
              <c:numCache>
                <c:formatCode>0</c:formatCode>
                <c:ptCount val="3"/>
                <c:pt idx="0">
                  <c:v>0</c:v>
                </c:pt>
                <c:pt idx="1">
                  <c:v>0</c:v>
                </c:pt>
                <c:pt idx="2">
                  <c:v>0</c:v>
                </c:pt>
              </c:numCache>
            </c:numRef>
          </c:val>
        </c:ser>
        <c:ser>
          <c:idx val="2"/>
          <c:order val="2"/>
          <c:tx>
            <c:strRef>
              <c:f>"In Review"</c:f>
              <c:strCache>
                <c:ptCount val="1"/>
                <c:pt idx="0">
                  <c:v>In Review</c:v>
                </c:pt>
              </c:strCache>
            </c:strRef>
          </c:tx>
          <c:spPr>
            <a:solidFill>
              <a:srgbClr val="8064A2"/>
            </a:solidFill>
            <a:ln w="12600">
              <a:noFill/>
            </a:ln>
          </c:spPr>
          <c:invertIfNegative val="0"/>
          <c:dLbls>
            <c:txPr>
              <a:bodyPr wrap="square"/>
              <a:lstStyle/>
              <a:p>
                <a:pPr>
                  <a:defRPr sz="1000" b="0" u="none" strike="noStrike">
                    <a:solidFill>
                      <a:srgbClr val="000000"/>
                    </a:solidFill>
                    <a:uFillTx/>
                    <a:latin typeface="Arial"/>
                    <a:ea typeface="Calibri"/>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 Test'!$B$18:$B$20</c:f>
              <c:strCache>
                <c:ptCount val="3"/>
                <c:pt idx="0">
                  <c:v>Web</c:v>
                </c:pt>
                <c:pt idx="1">
                  <c:v>App</c:v>
                </c:pt>
                <c:pt idx="2">
                  <c:v>Web, App</c:v>
                </c:pt>
              </c:strCache>
            </c:strRef>
          </c:cat>
          <c:val>
            <c:numRef>
              <c:f>'Report Test'!$E$18:$E$20</c:f>
              <c:numCache>
                <c:formatCode>0</c:formatCode>
                <c:ptCount val="3"/>
                <c:pt idx="0">
                  <c:v>0</c:v>
                </c:pt>
                <c:pt idx="1">
                  <c:v>0</c:v>
                </c:pt>
                <c:pt idx="2">
                  <c:v>0</c:v>
                </c:pt>
              </c:numCache>
            </c:numRef>
          </c:val>
        </c:ser>
        <c:ser>
          <c:idx val="3"/>
          <c:order val="3"/>
          <c:tx>
            <c:strRef>
              <c:f>"Pending"</c:f>
              <c:strCache>
                <c:ptCount val="1"/>
                <c:pt idx="0">
                  <c:v>Pending</c:v>
                </c:pt>
              </c:strCache>
            </c:strRef>
          </c:tx>
          <c:spPr>
            <a:solidFill>
              <a:srgbClr val="FFC000"/>
            </a:solidFill>
            <a:ln w="12600">
              <a:noFill/>
            </a:ln>
          </c:spPr>
          <c:invertIfNegative val="0"/>
          <c:dLbls>
            <c:txPr>
              <a:bodyPr wrap="square"/>
              <a:lstStyle/>
              <a:p>
                <a:pPr>
                  <a:defRPr sz="1000" b="0" u="none" strike="noStrike">
                    <a:solidFill>
                      <a:srgbClr val="000000"/>
                    </a:solidFill>
                    <a:uFillTx/>
                    <a:latin typeface="Arial"/>
                    <a:ea typeface="Calibri"/>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 Test'!$B$18:$B$20</c:f>
              <c:strCache>
                <c:ptCount val="3"/>
                <c:pt idx="0">
                  <c:v>Web</c:v>
                </c:pt>
                <c:pt idx="1">
                  <c:v>App</c:v>
                </c:pt>
                <c:pt idx="2">
                  <c:v>Web, App</c:v>
                </c:pt>
              </c:strCache>
            </c:strRef>
          </c:cat>
          <c:val>
            <c:numRef>
              <c:f>'Report Test'!$F$18:$F$20</c:f>
              <c:numCache>
                <c:formatCode>0</c:formatCode>
                <c:ptCount val="3"/>
                <c:pt idx="0">
                  <c:v>0</c:v>
                </c:pt>
                <c:pt idx="1">
                  <c:v>0</c:v>
                </c:pt>
                <c:pt idx="2">
                  <c:v>0</c:v>
                </c:pt>
              </c:numCache>
            </c:numRef>
          </c:val>
        </c:ser>
        <c:ser>
          <c:idx val="4"/>
          <c:order val="4"/>
          <c:tx>
            <c:strRef>
              <c:f>"Cancel"</c:f>
              <c:strCache>
                <c:ptCount val="1"/>
                <c:pt idx="0">
                  <c:v>Cancel</c:v>
                </c:pt>
              </c:strCache>
            </c:strRef>
          </c:tx>
          <c:spPr>
            <a:solidFill>
              <a:srgbClr val="A6A6A6"/>
            </a:solidFill>
            <a:ln w="12600">
              <a:noFill/>
            </a:ln>
          </c:spPr>
          <c:invertIfNegative val="0"/>
          <c:dLbls>
            <c:txPr>
              <a:bodyPr wrap="square"/>
              <a:lstStyle/>
              <a:p>
                <a:pPr>
                  <a:defRPr sz="1000" b="0" u="none" strike="noStrike">
                    <a:solidFill>
                      <a:srgbClr val="000000"/>
                    </a:solidFill>
                    <a:uFillTx/>
                    <a:latin typeface="Arial"/>
                    <a:ea typeface="Calibri"/>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 Test'!$B$18:$B$20</c:f>
              <c:strCache>
                <c:ptCount val="3"/>
                <c:pt idx="0">
                  <c:v>Web</c:v>
                </c:pt>
                <c:pt idx="1">
                  <c:v>App</c:v>
                </c:pt>
                <c:pt idx="2">
                  <c:v>Web, App</c:v>
                </c:pt>
              </c:strCache>
            </c:strRef>
          </c:cat>
          <c:val>
            <c:numRef>
              <c:f>'Report Test'!$G$18:$G$20</c:f>
              <c:numCache>
                <c:formatCode>0</c:formatCode>
                <c:ptCount val="3"/>
                <c:pt idx="0">
                  <c:v>0</c:v>
                </c:pt>
                <c:pt idx="1">
                  <c:v>0</c:v>
                </c:pt>
                <c:pt idx="2">
                  <c:v>0</c:v>
                </c:pt>
              </c:numCache>
            </c:numRef>
          </c:val>
        </c:ser>
        <c:ser>
          <c:idx val="5"/>
          <c:order val="5"/>
          <c:tx>
            <c:strRef>
              <c:f>"Done"</c:f>
              <c:strCache>
                <c:ptCount val="1"/>
                <c:pt idx="0">
                  <c:v>Done</c:v>
                </c:pt>
              </c:strCache>
            </c:strRef>
          </c:tx>
          <c:spPr>
            <a:solidFill>
              <a:srgbClr val="70AD47"/>
            </a:solidFill>
            <a:ln w="12600">
              <a:noFill/>
            </a:ln>
          </c:spPr>
          <c:invertIfNegative val="0"/>
          <c:dLbls>
            <c:txPr>
              <a:bodyPr wrap="square"/>
              <a:lstStyle/>
              <a:p>
                <a:pPr>
                  <a:defRPr sz="1000" b="0" u="none" strike="noStrike">
                    <a:solidFill>
                      <a:srgbClr val="000000"/>
                    </a:solidFill>
                    <a:uFillTx/>
                    <a:latin typeface="Arial"/>
                    <a:ea typeface="Calibri"/>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 Test'!$B$18:$B$20</c:f>
              <c:strCache>
                <c:ptCount val="3"/>
                <c:pt idx="0">
                  <c:v>Web</c:v>
                </c:pt>
                <c:pt idx="1">
                  <c:v>App</c:v>
                </c:pt>
                <c:pt idx="2">
                  <c:v>Web, App</c:v>
                </c:pt>
              </c:strCache>
            </c:strRef>
          </c:cat>
          <c:val>
            <c:numRef>
              <c:f>'Report Test'!$H$18:$H$20</c:f>
              <c:numCache>
                <c:formatCode>0</c:formatCode>
                <c:ptCount val="3"/>
                <c:pt idx="0">
                  <c:v>0</c:v>
                </c:pt>
                <c:pt idx="1">
                  <c:v>0</c:v>
                </c:pt>
                <c:pt idx="2">
                  <c:v>0</c:v>
                </c:pt>
              </c:numCache>
            </c:numRef>
          </c:val>
        </c:ser>
        <c:gapWidth val="150"/>
        <c:overlap val="100"/>
        <c:axId val="24784016"/>
        <c:axId val="33600699"/>
      </c:barChart>
      <c:catAx>
        <c:axId val="24784016"/>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ea typeface="Calibri"/>
                  </a:rPr>
                  <a:t>Nền tảng</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33600699"/>
        <c:crosses val="autoZero"/>
        <c:auto val="1"/>
        <c:lblAlgn val="ctr"/>
        <c:lblOffset val="100"/>
        <c:noMultiLvlLbl val="0"/>
      </c:catAx>
      <c:valAx>
        <c:axId val="33600699"/>
        <c:scaling>
          <c:orientation val="minMax"/>
        </c:scaling>
        <c:delete val="0"/>
        <c:axPos val="l"/>
        <c:majorGridlines>
          <c:spPr>
            <a:ln w="6480">
              <a:solidFill>
                <a:srgbClr val="B7B7B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ea typeface="Calibri"/>
                  </a:rPr>
                  <a:t>Số lượng</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2478401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1A1A1A"/>
              </a:solidFill>
              <a:uFillTx/>
              <a:latin typeface="Calibri"/>
              <a:ea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Calibri"/>
                <a:ea typeface="Calibri"/>
              </a:rPr>
              <a:t>2. Coverage theo chức năng</a:t>
            </a:r>
          </a:p>
        </c:rich>
      </c:tx>
      <c:overlay val="0"/>
      <c:spPr>
        <a:noFill/>
        <a:ln w="0">
          <a:noFill/>
        </a:ln>
      </c:spPr>
    </c:title>
    <c:autoTitleDeleted val="0"/>
    <c:plotArea>
      <c:barChart>
        <c:barDir val="col"/>
        <c:grouping val="clustered"/>
        <c:varyColors val="0"/>
        <c:ser>
          <c:idx val="0"/>
          <c:order val="0"/>
          <c:tx>
            <c:strRef>
              <c:f>"Total TC"</c:f>
              <c:strCache>
                <c:ptCount val="1"/>
                <c:pt idx="0">
                  <c:v>Total TC</c:v>
                </c:pt>
              </c:strCache>
            </c:strRef>
          </c:tx>
          <c:spPr>
            <a:solidFill>
              <a:srgbClr val="A8D08D"/>
            </a:solidFill>
            <a:ln w="12600">
              <a:no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 Test'!$C$60:$C$70</c:f>
              <c:strCache>
                <c:ptCount val="11"/>
                <c:pt idx="0">
                  <c:v>Hoạt động (Đơn của tôi)</c:v>
                </c:pt>
                <c:pt idx="1">
                  <c:v>Ghép nối</c:v>
                </c:pt>
                <c:pt idx="2">
                  <c:v>Huỷ đơn - Huỷ nhận đơn</c:v>
                </c:pt>
                <c:pt idx="3">
                  <c:v>Giao nhận &amp; Theo dõi đơn</c:v>
                </c:pt>
                <c:pt idx="4">
                  <c:v>Bảng tin &amp; Chi tiết tin</c:v>
                </c:pt>
                <c:pt idx="5">
                  <c:v>Quà cảm ơn</c:v>
                </c:pt>
                <c:pt idx="6">
                  <c:v>Trang chủ</c:v>
                </c:pt>
                <c:pt idx="7">
                  <c:v>Thông báo</c:v>
                </c:pt>
                <c:pt idx="8">
                  <c:v>Đăng tin &amp; Quản lý tin</c:v>
                </c:pt>
                <c:pt idx="9">
                  <c:v>Trust &amp; Safety</c:v>
                </c:pt>
                <c:pt idx="10">
                  <c:v>Tài khoản &amp; Hồ sơ</c:v>
                </c:pt>
              </c:strCache>
            </c:strRef>
          </c:cat>
          <c:val>
            <c:numRef>
              <c:f>'Report Test'!$D$60:$D$70</c:f>
              <c:numCache>
                <c:formatCode>0</c:formatCode>
                <c:ptCount val="11"/>
                <c:pt idx="0">
                  <c:v>10</c:v>
                </c:pt>
                <c:pt idx="1">
                  <c:v>13</c:v>
                </c:pt>
                <c:pt idx="2">
                  <c:v>13</c:v>
                </c:pt>
                <c:pt idx="3">
                  <c:v>51</c:v>
                </c:pt>
                <c:pt idx="4">
                  <c:v>5</c:v>
                </c:pt>
                <c:pt idx="5">
                  <c:v>8</c:v>
                </c:pt>
                <c:pt idx="6">
                  <c:v>11</c:v>
                </c:pt>
                <c:pt idx="7">
                  <c:v>9</c:v>
                </c:pt>
                <c:pt idx="8">
                  <c:v>48</c:v>
                </c:pt>
                <c:pt idx="9">
                  <c:v>17</c:v>
                </c:pt>
                <c:pt idx="10">
                  <c:v>38</c:v>
                </c:pt>
              </c:numCache>
            </c:numRef>
          </c:val>
        </c:ser>
        <c:ser>
          <c:idx val="1"/>
          <c:order val="1"/>
          <c:tx>
            <c:strRef>
              <c:f>"Executed TC"</c:f>
              <c:strCache>
                <c:ptCount val="1"/>
                <c:pt idx="0">
                  <c:v>Executed TC</c:v>
                </c:pt>
              </c:strCache>
            </c:strRef>
          </c:tx>
          <c:spPr>
            <a:solidFill>
              <a:srgbClr val="ED7D31"/>
            </a:solidFill>
            <a:ln w="12600">
              <a:no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 Test'!$C$60:$C$70</c:f>
              <c:strCache>
                <c:ptCount val="11"/>
                <c:pt idx="0">
                  <c:v>Hoạt động (Đơn của tôi)</c:v>
                </c:pt>
                <c:pt idx="1">
                  <c:v>Ghép nối</c:v>
                </c:pt>
                <c:pt idx="2">
                  <c:v>Huỷ đơn - Huỷ nhận đơn</c:v>
                </c:pt>
                <c:pt idx="3">
                  <c:v>Giao nhận &amp; Theo dõi đơn</c:v>
                </c:pt>
                <c:pt idx="4">
                  <c:v>Bảng tin &amp; Chi tiết tin</c:v>
                </c:pt>
                <c:pt idx="5">
                  <c:v>Quà cảm ơn</c:v>
                </c:pt>
                <c:pt idx="6">
                  <c:v>Trang chủ</c:v>
                </c:pt>
                <c:pt idx="7">
                  <c:v>Thông báo</c:v>
                </c:pt>
                <c:pt idx="8">
                  <c:v>Đăng tin &amp; Quản lý tin</c:v>
                </c:pt>
                <c:pt idx="9">
                  <c:v>Trust &amp; Safety</c:v>
                </c:pt>
                <c:pt idx="10">
                  <c:v>Tài khoản &amp; Hồ sơ</c:v>
                </c:pt>
              </c:strCache>
            </c:strRef>
          </c:cat>
          <c:val>
            <c:numRef>
              <c:f>'Report Test'!$E$60:$E$70</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val>
        </c:ser>
        <c:gapWidth val="150"/>
        <c:overlap val="0"/>
        <c:axId val="49881424"/>
        <c:axId val="31818803"/>
      </c:barChart>
      <c:catAx>
        <c:axId val="49881424"/>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ea typeface="Calibri"/>
                  </a:rPr>
                  <a:t>Chức năng</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31818803"/>
        <c:crosses val="autoZero"/>
        <c:auto val="1"/>
        <c:lblAlgn val="ctr"/>
        <c:lblOffset val="100"/>
        <c:noMultiLvlLbl val="0"/>
      </c:catAx>
      <c:valAx>
        <c:axId val="31818803"/>
        <c:scaling>
          <c:orientation val="minMax"/>
        </c:scaling>
        <c:delete val="0"/>
        <c:axPos val="l"/>
        <c:majorGridlines>
          <c:spPr>
            <a:ln w="6480">
              <a:solidFill>
                <a:srgbClr val="B7B7B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ea typeface="Calibri"/>
                  </a:rPr>
                  <a:t>Số lượng</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4988142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1A1A1A"/>
              </a:solidFill>
              <a:uFillTx/>
              <a:latin typeface="Calibri"/>
              <a:ea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Calibri"/>
                <a:ea typeface="Calibri"/>
              </a:rPr>
              <a:t>3. Bug Severity (% theo mức độ)</a:t>
            </a:r>
          </a:p>
        </c:rich>
      </c:tx>
      <c:overlay val="0"/>
      <c:spPr>
        <a:noFill/>
        <a:ln w="0">
          <a:noFill/>
        </a:ln>
      </c:spPr>
    </c:title>
    <c:autoTitleDeleted val="0"/>
    <c:plotArea>
      <c:pieChart>
        <c:varyColors val="1"/>
        <c:ser>
          <c:idx val="0"/>
          <c:order val="0"/>
          <c:tx>
            <c:strRef>
              <c:f>'Report Test'!$C$101</c:f>
              <c:strCache>
                <c:ptCount val="1"/>
                <c:pt idx="0">
                  <c:v>Số lượng</c:v>
                </c:pt>
              </c:strCache>
            </c:strRef>
          </c:tx>
          <c:spPr>
            <a:solidFill>
              <a:srgbClr val="4F81BD"/>
            </a:solidFill>
            <a:ln w="1260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Pt>
            <c:idx val="4"/>
            <c:spPr>
              <a:solidFill>
                <a:srgbClr val="4BACC6"/>
              </a:solidFill>
              <a:ln w="0">
                <a:noFill/>
              </a:ln>
            </c:spPr>
          </c:dPt>
          <c:dLbls>
            <c:dLbl>
              <c:idx val="0"/>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dLbl>
              <c:idx val="1"/>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dLbl>
              <c:idx val="2"/>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dLbl>
              <c:idx val="3"/>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dLbl>
              <c:idx val="4"/>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showLeaderLines val="1"/>
            <c:leaderLines>
              <c:spPr>
                <a:ln w="0">
                  <a:solidFill>
                    <a:srgbClr val="000000"/>
                  </a:solidFill>
                </a:ln>
              </c:spPr>
            </c:leaderLines>
          </c:dLbls>
          <c:cat>
            <c:strRef>
              <c:f>'Report Test'!$B$102:$B$106</c:f>
              <c:strCache>
                <c:ptCount val="5"/>
                <c:pt idx="0">
                  <c:v>Critical Bug</c:v>
                </c:pt>
                <c:pt idx="1">
                  <c:v>Major Bug</c:v>
                </c:pt>
                <c:pt idx="2">
                  <c:v>Medium Bug</c:v>
                </c:pt>
                <c:pt idx="3">
                  <c:v>Low Bug</c:v>
                </c:pt>
                <c:pt idx="4">
                  <c:v>Suggest Bug</c:v>
                </c:pt>
              </c:strCache>
            </c:strRef>
          </c:cat>
          <c:val>
            <c:numRef>
              <c:f>'Report Test'!$C$102:$C$106</c:f>
              <c:numCache>
                <c:formatCode>0</c:formatCode>
                <c:ptCount val="5"/>
                <c:pt idx="0">
                  <c:v>0</c:v>
                </c:pt>
                <c:pt idx="1">
                  <c:v>0</c:v>
                </c:pt>
                <c:pt idx="2">
                  <c:v>0</c:v>
                </c:pt>
                <c:pt idx="3">
                  <c:v>0</c:v>
                </c:pt>
                <c:pt idx="4">
                  <c:v>0</c:v>
                </c:pt>
              </c:numCache>
            </c:numRef>
          </c:val>
        </c:ser>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1A1A1A"/>
              </a:solidFill>
              <a:uFillTx/>
              <a:latin typeface="Calibri"/>
              <a:ea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Calibri"/>
                <a:ea typeface="Calibri"/>
              </a:rPr>
              <a:t>2b. Kết quả thực thi TC (%)</a:t>
            </a:r>
          </a:p>
        </c:rich>
      </c:tx>
      <c:overlay val="0"/>
      <c:spPr>
        <a:noFill/>
        <a:ln w="0">
          <a:noFill/>
        </a:ln>
      </c:spPr>
    </c:title>
    <c:autoTitleDeleted val="0"/>
    <c:plotArea>
      <c:pieChart>
        <c:varyColors val="1"/>
        <c:ser>
          <c:idx val="0"/>
          <c:order val="0"/>
          <c:tx>
            <c:strRef>
              <c:f>'Report Test'!$C$84</c:f>
              <c:strCache>
                <c:ptCount val="1"/>
                <c:pt idx="0">
                  <c:v>Số lượng</c:v>
                </c:pt>
              </c:strCache>
            </c:strRef>
          </c:tx>
          <c:spPr>
            <a:solidFill>
              <a:srgbClr val="4F81BD"/>
            </a:solidFill>
            <a:ln w="1260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Pt>
            <c:idx val="4"/>
            <c:spPr>
              <a:solidFill>
                <a:srgbClr val="4BACC6"/>
              </a:solidFill>
              <a:ln w="0">
                <a:noFill/>
              </a:ln>
            </c:spPr>
          </c:dPt>
          <c:dLbls>
            <c:dLbl>
              <c:idx val="0"/>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dLbl>
              <c:idx val="1"/>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dLbl>
              <c:idx val="2"/>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dLbl>
              <c:idx val="3"/>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dLbl>
              <c:idx val="4"/>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showLeaderLines val="1"/>
            <c:leaderLines>
              <c:spPr>
                <a:ln w="0">
                  <a:solidFill>
                    <a:srgbClr val="000000"/>
                  </a:solidFill>
                </a:ln>
              </c:spPr>
            </c:leaderLines>
          </c:dLbls>
          <c:cat>
            <c:strRef>
              <c:f>'Report Test'!$B$85:$B$89</c:f>
              <c:strCache>
                <c:ptCount val="5"/>
                <c:pt idx="0">
                  <c:v>Pass</c:v>
                </c:pt>
                <c:pt idx="1">
                  <c:v>Fail</c:v>
                </c:pt>
                <c:pt idx="2">
                  <c:v>Block</c:v>
                </c:pt>
                <c:pt idx="3">
                  <c:v>N/A</c:v>
                </c:pt>
                <c:pt idx="4">
                  <c:v>Chưa thực hiện</c:v>
                </c:pt>
              </c:strCache>
            </c:strRef>
          </c:cat>
          <c:val>
            <c:numRef>
              <c:f>'Report Test'!$C$85:$C$89</c:f>
              <c:numCache>
                <c:formatCode>0</c:formatCode>
                <c:ptCount val="5"/>
                <c:pt idx="0">
                  <c:v>0</c:v>
                </c:pt>
                <c:pt idx="1">
                  <c:v>0</c:v>
                </c:pt>
                <c:pt idx="2">
                  <c:v>0</c:v>
                </c:pt>
                <c:pt idx="3">
                  <c:v>0</c:v>
                </c:pt>
                <c:pt idx="4">
                  <c:v>223</c:v>
                </c:pt>
              </c:numCache>
            </c:numRef>
          </c:val>
        </c:ser>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1A1A1A"/>
              </a:solidFill>
              <a:uFillTx/>
              <a:latin typeface="Calibri"/>
              <a:ea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Calibri"/>
                <a:ea typeface="Calibri"/>
              </a:rPr>
              <a:t>4. Bug Resolution (%)</a:t>
            </a:r>
          </a:p>
        </c:rich>
      </c:tx>
      <c:overlay val="0"/>
      <c:spPr>
        <a:noFill/>
        <a:ln w="0">
          <a:noFill/>
        </a:ln>
      </c:spPr>
    </c:title>
    <c:autoTitleDeleted val="0"/>
    <c:plotArea>
      <c:pieChart>
        <c:varyColors val="1"/>
        <c:ser>
          <c:idx val="0"/>
          <c:order val="0"/>
          <c:tx>
            <c:strRef>
              <c:f>'Report Test'!$C$120</c:f>
              <c:strCache>
                <c:ptCount val="1"/>
                <c:pt idx="0">
                  <c:v>Số lượng</c:v>
                </c:pt>
              </c:strCache>
            </c:strRef>
          </c:tx>
          <c:spPr>
            <a:solidFill>
              <a:srgbClr val="4F81BD"/>
            </a:solidFill>
            <a:ln w="1260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Lbls>
            <c:dLbl>
              <c:idx val="0"/>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dLbl>
              <c:idx val="1"/>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dLbl>
              <c:idx val="2"/>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showLeaderLines val="1"/>
            <c:leaderLines>
              <c:spPr>
                <a:ln w="0">
                  <a:solidFill>
                    <a:srgbClr val="000000"/>
                  </a:solidFill>
                </a:ln>
              </c:spPr>
            </c:leaderLines>
          </c:dLbls>
          <c:cat>
            <c:strRef>
              <c:f>'Report Test'!$B$121:$B$123</c:f>
              <c:strCache>
                <c:ptCount val="3"/>
                <c:pt idx="0">
                  <c:v>Fixed</c:v>
                </c:pt>
                <c:pt idx="1">
                  <c:v>Won't fix</c:v>
                </c:pt>
                <c:pt idx="2">
                  <c:v>Chưa xác định</c:v>
                </c:pt>
              </c:strCache>
            </c:strRef>
          </c:cat>
          <c:val>
            <c:numRef>
              <c:f>'Report Test'!$C$121:$C$123</c:f>
              <c:numCache>
                <c:formatCode>0</c:formatCode>
                <c:ptCount val="3"/>
                <c:pt idx="0">
                  <c:v>0</c:v>
                </c:pt>
                <c:pt idx="1">
                  <c:v>0</c:v>
                </c:pt>
                <c:pt idx="2">
                  <c:v>0</c:v>
                </c:pt>
              </c:numCache>
            </c:numRef>
          </c:val>
        </c:ser>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1A1A1A"/>
              </a:solidFill>
              <a:uFillTx/>
              <a:latin typeface="Calibri"/>
              <a:ea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Calibri"/>
                <a:ea typeface="Calibri"/>
              </a:rPr>
              <a:t>5. Bug Won't fix theo Lý do</a:t>
            </a:r>
          </a:p>
        </c:rich>
      </c:tx>
      <c:overlay val="0"/>
      <c:spPr>
        <a:noFill/>
        <a:ln w="0">
          <a:noFill/>
        </a:ln>
      </c:spPr>
    </c:title>
    <c:autoTitleDeleted val="0"/>
    <c:plotArea>
      <c:barChart>
        <c:barDir val="col"/>
        <c:grouping val="clustered"/>
        <c:varyColors val="0"/>
        <c:ser>
          <c:idx val="0"/>
          <c:order val="0"/>
          <c:tx>
            <c:strRef>
              <c:f>"Số lượng"</c:f>
              <c:strCache>
                <c:ptCount val="1"/>
                <c:pt idx="0">
                  <c:v>Số lượng</c:v>
                </c:pt>
              </c:strCache>
            </c:strRef>
          </c:tx>
          <c:spPr>
            <a:solidFill>
              <a:srgbClr val="4F81BD"/>
            </a:solidFill>
            <a:ln w="12600">
              <a:no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 Test'!$B$138:$B$147</c:f>
              <c:strCache>
                <c:ptCount val="10"/>
                <c:pt idx="0">
                  <c:v>1.1</c:v>
                </c:pt>
                <c:pt idx="1">
                  <c:v>1.2</c:v>
                </c:pt>
                <c:pt idx="2">
                  <c:v>1.3</c:v>
                </c:pt>
                <c:pt idx="3">
                  <c:v>2.1</c:v>
                </c:pt>
                <c:pt idx="4">
                  <c:v>2.2</c:v>
                </c:pt>
                <c:pt idx="5">
                  <c:v>3.1</c:v>
                </c:pt>
                <c:pt idx="6">
                  <c:v>3.2</c:v>
                </c:pt>
                <c:pt idx="7">
                  <c:v>3.3</c:v>
                </c:pt>
                <c:pt idx="8">
                  <c:v>3.4</c:v>
                </c:pt>
                <c:pt idx="9">
                  <c:v>4.1</c:v>
                </c:pt>
              </c:strCache>
            </c:strRef>
          </c:cat>
          <c:val>
            <c:numRef>
              <c:f>'Report Test'!$E$138:$E$147</c:f>
              <c:numCache>
                <c:formatCode>0</c:formatCode>
                <c:ptCount val="10"/>
                <c:pt idx="0">
                  <c:v>0</c:v>
                </c:pt>
                <c:pt idx="1">
                  <c:v>0</c:v>
                </c:pt>
                <c:pt idx="2">
                  <c:v>0</c:v>
                </c:pt>
                <c:pt idx="3">
                  <c:v>0</c:v>
                </c:pt>
                <c:pt idx="4">
                  <c:v>0</c:v>
                </c:pt>
                <c:pt idx="5">
                  <c:v>0</c:v>
                </c:pt>
                <c:pt idx="6">
                  <c:v>0</c:v>
                </c:pt>
                <c:pt idx="7">
                  <c:v>0</c:v>
                </c:pt>
                <c:pt idx="8">
                  <c:v>0</c:v>
                </c:pt>
                <c:pt idx="9">
                  <c:v>0</c:v>
                </c:pt>
              </c:numCache>
            </c:numRef>
          </c:val>
        </c:ser>
        <c:gapWidth val="150"/>
        <c:overlap val="0"/>
        <c:axId val="32600366"/>
        <c:axId val="20944389"/>
      </c:barChart>
      <c:catAx>
        <c:axId val="32600366"/>
        <c:scaling>
          <c:orientation val="minMax"/>
        </c:scaling>
        <c:delete val="0"/>
        <c:axPos val="b"/>
        <c:title>
          <c:tx>
            <c:rich>
              <a:bodyPr rot="0"/>
              <a:lstStyle/>
              <a:p>
                <a:pPr>
                  <a:defRPr sz="1300" b="0" u="none" strike="noStrike">
                    <a:uFillTx/>
                    <a:latin typeface="Arial"/>
                  </a:defRPr>
                </a:pPr>
                <a:r>
                  <a:rPr sz="1000" b="0" u="none" strike="noStrike">
                    <a:solidFill>
                      <a:srgbClr val="000000"/>
                    </a:solidFill>
                    <a:uFillTx/>
                    <a:latin typeface="Calibri"/>
                    <a:ea typeface="Calibri"/>
                  </a:rPr>
                  <a:t>None</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20944389"/>
        <c:crosses val="autoZero"/>
        <c:auto val="1"/>
        <c:lblAlgn val="ctr"/>
        <c:lblOffset val="100"/>
        <c:noMultiLvlLbl val="0"/>
      </c:catAx>
      <c:valAx>
        <c:axId val="20944389"/>
        <c:scaling>
          <c:orientation val="minMax"/>
        </c:scaling>
        <c:delete val="0"/>
        <c:axPos val="l"/>
        <c:majorGridlines>
          <c:spPr>
            <a:ln w="6480">
              <a:solidFill>
                <a:srgbClr val="B7B7B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ea typeface="Calibri"/>
                  </a:rPr>
                  <a:t>Số lượng</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32600366"/>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Calibri"/>
                <a:ea typeface="Calibri"/>
              </a:rPr>
              <a:t>6. Defect Type</a:t>
            </a:r>
          </a:p>
        </c:rich>
      </c:tx>
      <c:overlay val="0"/>
      <c:spPr>
        <a:noFill/>
        <a:ln w="0">
          <a:noFill/>
        </a:ln>
      </c:spPr>
    </c:title>
    <c:autoTitleDeleted val="0"/>
    <c:plotArea>
      <c:barChart>
        <c:barDir val="col"/>
        <c:grouping val="clustered"/>
        <c:varyColors val="0"/>
        <c:ser>
          <c:idx val="0"/>
          <c:order val="0"/>
          <c:tx>
            <c:strRef>
              <c:f>"SL"</c:f>
              <c:strCache>
                <c:ptCount val="1"/>
                <c:pt idx="0">
                  <c:v>SL</c:v>
                </c:pt>
              </c:strCache>
            </c:strRef>
          </c:tx>
          <c:spPr>
            <a:solidFill>
              <a:srgbClr val="4F81BD"/>
            </a:solidFill>
            <a:ln w="12600">
              <a:no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 Test'!$B$154:$B$159</c:f>
              <c:strCache>
                <c:ptCount val="6"/>
                <c:pt idx="0">
                  <c:v>Data</c:v>
                </c:pt>
                <c:pt idx="1">
                  <c:v>Interface</c:v>
                </c:pt>
                <c:pt idx="2">
                  <c:v>Logic</c:v>
                </c:pt>
                <c:pt idx="3">
                  <c:v>Requirement</c:v>
                </c:pt>
                <c:pt idx="4">
                  <c:v>Server</c:v>
                </c:pt>
                <c:pt idx="5">
                  <c:v>Other</c:v>
                </c:pt>
              </c:strCache>
            </c:strRef>
          </c:cat>
          <c:val>
            <c:numRef>
              <c:f>'Report Test'!$C$154:$C$159</c:f>
              <c:numCache>
                <c:formatCode>0</c:formatCode>
                <c:ptCount val="6"/>
                <c:pt idx="0">
                  <c:v>0</c:v>
                </c:pt>
                <c:pt idx="1">
                  <c:v>0</c:v>
                </c:pt>
                <c:pt idx="2">
                  <c:v>0</c:v>
                </c:pt>
                <c:pt idx="3">
                  <c:v>0</c:v>
                </c:pt>
                <c:pt idx="4">
                  <c:v>0</c:v>
                </c:pt>
                <c:pt idx="5">
                  <c:v>0</c:v>
                </c:pt>
              </c:numCache>
            </c:numRef>
          </c:val>
        </c:ser>
        <c:gapWidth val="150"/>
        <c:overlap val="0"/>
        <c:axId val="18158077"/>
        <c:axId val="71478016"/>
      </c:barChart>
      <c:catAx>
        <c:axId val="18158077"/>
        <c:scaling>
          <c:orientation val="minMax"/>
        </c:scaling>
        <c:delete val="0"/>
        <c:axPos val="b"/>
        <c:title>
          <c:tx>
            <c:rich>
              <a:bodyPr rot="0"/>
              <a:lstStyle/>
              <a:p>
                <a:pPr>
                  <a:defRPr sz="1300" b="0" u="none" strike="noStrike">
                    <a:uFillTx/>
                    <a:latin typeface="Arial"/>
                  </a:defRPr>
                </a:pPr>
                <a:r>
                  <a:rPr sz="1000" b="0" u="none" strike="noStrike">
                    <a:solidFill>
                      <a:srgbClr val="000000"/>
                    </a:solidFill>
                    <a:uFillTx/>
                    <a:latin typeface="Calibri"/>
                    <a:ea typeface="Calibri"/>
                  </a:rPr>
                  <a:t>None</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71478016"/>
        <c:crosses val="autoZero"/>
        <c:auto val="1"/>
        <c:lblAlgn val="ctr"/>
        <c:lblOffset val="100"/>
        <c:noMultiLvlLbl val="0"/>
      </c:catAx>
      <c:valAx>
        <c:axId val="71478016"/>
        <c:scaling>
          <c:orientation val="minMax"/>
        </c:scaling>
        <c:delete val="0"/>
        <c:axPos val="l"/>
        <c:majorGridlines>
          <c:spPr>
            <a:ln w="6480">
              <a:solidFill>
                <a:srgbClr val="B7B7B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ea typeface="Calibri"/>
                  </a:rPr>
                  <a:t>Số lượng</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18158077"/>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Calibri"/>
                <a:ea typeface="Calibri"/>
              </a:rPr>
              <a:t>7. Effect</a:t>
            </a:r>
          </a:p>
        </c:rich>
      </c:tx>
      <c:overlay val="0"/>
      <c:spPr>
        <a:noFill/>
        <a:ln w="0">
          <a:noFill/>
        </a:ln>
      </c:spPr>
    </c:title>
    <c:autoTitleDeleted val="0"/>
    <c:plotArea>
      <c:barChart>
        <c:barDir val="col"/>
        <c:grouping val="clustered"/>
        <c:varyColors val="0"/>
        <c:ser>
          <c:idx val="0"/>
          <c:order val="0"/>
          <c:tx>
            <c:strRef>
              <c:f>"SL"</c:f>
              <c:strCache>
                <c:ptCount val="1"/>
                <c:pt idx="0">
                  <c:v>SL</c:v>
                </c:pt>
              </c:strCache>
            </c:strRef>
          </c:tx>
          <c:spPr>
            <a:solidFill>
              <a:srgbClr val="4F81BD"/>
            </a:solidFill>
            <a:ln w="12600">
              <a:no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 Test'!$B$170:$B$174</c:f>
              <c:strCache>
                <c:ptCount val="5"/>
                <c:pt idx="0">
                  <c:v>Functionality</c:v>
                </c:pt>
                <c:pt idx="1">
                  <c:v>Performance</c:v>
                </c:pt>
                <c:pt idx="2">
                  <c:v>Security</c:v>
                </c:pt>
                <c:pt idx="3">
                  <c:v>Serviceability</c:v>
                </c:pt>
                <c:pt idx="4">
                  <c:v>Usability</c:v>
                </c:pt>
              </c:strCache>
            </c:strRef>
          </c:cat>
          <c:val>
            <c:numRef>
              <c:f>'Report Test'!$C$170:$C$174</c:f>
              <c:numCache>
                <c:formatCode>0</c:formatCode>
                <c:ptCount val="5"/>
                <c:pt idx="0">
                  <c:v>0</c:v>
                </c:pt>
                <c:pt idx="1">
                  <c:v>0</c:v>
                </c:pt>
                <c:pt idx="2">
                  <c:v>0</c:v>
                </c:pt>
                <c:pt idx="3">
                  <c:v>0</c:v>
                </c:pt>
                <c:pt idx="4">
                  <c:v>0</c:v>
                </c:pt>
              </c:numCache>
            </c:numRef>
          </c:val>
        </c:ser>
        <c:gapWidth val="150"/>
        <c:overlap val="0"/>
        <c:axId val="66729920"/>
        <c:axId val="19334983"/>
      </c:barChart>
      <c:catAx>
        <c:axId val="66729920"/>
        <c:scaling>
          <c:orientation val="minMax"/>
        </c:scaling>
        <c:delete val="0"/>
        <c:axPos val="b"/>
        <c:title>
          <c:tx>
            <c:rich>
              <a:bodyPr rot="0"/>
              <a:lstStyle/>
              <a:p>
                <a:pPr>
                  <a:defRPr sz="1300" b="0" u="none" strike="noStrike">
                    <a:uFillTx/>
                    <a:latin typeface="Arial"/>
                  </a:defRPr>
                </a:pPr>
                <a:r>
                  <a:rPr sz="1000" b="0" u="none" strike="noStrike">
                    <a:solidFill>
                      <a:srgbClr val="000000"/>
                    </a:solidFill>
                    <a:uFillTx/>
                    <a:latin typeface="Calibri"/>
                    <a:ea typeface="Calibri"/>
                  </a:rPr>
                  <a:t>None</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19334983"/>
        <c:crosses val="autoZero"/>
        <c:auto val="1"/>
        <c:lblAlgn val="ctr"/>
        <c:lblOffset val="100"/>
        <c:noMultiLvlLbl val="0"/>
      </c:catAx>
      <c:valAx>
        <c:axId val="19334983"/>
        <c:scaling>
          <c:orientation val="minMax"/>
        </c:scaling>
        <c:delete val="0"/>
        <c:axPos val="l"/>
        <c:majorGridlines>
          <c:spPr>
            <a:ln w="6480">
              <a:solidFill>
                <a:srgbClr val="B7B7B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ea typeface="Calibri"/>
                  </a:rPr>
                  <a:t>Số lượng</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66729920"/>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Calibri"/>
                <a:ea typeface="Calibri"/>
              </a:rPr>
              <a:t>8. Bug Rework</a:t>
            </a:r>
          </a:p>
        </c:rich>
      </c:tx>
      <c:overlay val="0"/>
      <c:spPr>
        <a:noFill/>
        <a:ln w="0">
          <a:noFill/>
        </a:ln>
      </c:spPr>
    </c:title>
    <c:autoTitleDeleted val="0"/>
    <c:plotArea>
      <c:barChart>
        <c:barDir val="col"/>
        <c:grouping val="clustered"/>
        <c:varyColors val="0"/>
        <c:ser>
          <c:idx val="0"/>
          <c:order val="0"/>
          <c:tx>
            <c:strRef>
              <c:f>"SL"</c:f>
              <c:strCache>
                <c:ptCount val="1"/>
                <c:pt idx="0">
                  <c:v>SL</c:v>
                </c:pt>
              </c:strCache>
            </c:strRef>
          </c:tx>
          <c:spPr>
            <a:solidFill>
              <a:srgbClr val="4F81BD"/>
            </a:solidFill>
            <a:ln w="12600">
              <a:no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 Test'!$B$186:$B$189</c:f>
              <c:strCache>
                <c:ptCount val="4"/>
                <c:pt idx="0">
                  <c:v>1-2 lần</c:v>
                </c:pt>
                <c:pt idx="1">
                  <c:v>3-5 lần</c:v>
                </c:pt>
                <c:pt idx="2">
                  <c:v>6-7 lần</c:v>
                </c:pt>
                <c:pt idx="3">
                  <c:v>8-10 lần</c:v>
                </c:pt>
              </c:strCache>
            </c:strRef>
          </c:cat>
          <c:val>
            <c:numRef>
              <c:f>'Report Test'!$C$186:$C$189</c:f>
              <c:numCache>
                <c:formatCode>0</c:formatCode>
                <c:ptCount val="4"/>
                <c:pt idx="0">
                  <c:v>0</c:v>
                </c:pt>
                <c:pt idx="1">
                  <c:v>0</c:v>
                </c:pt>
                <c:pt idx="2">
                  <c:v>0</c:v>
                </c:pt>
                <c:pt idx="3">
                  <c:v>0</c:v>
                </c:pt>
              </c:numCache>
            </c:numRef>
          </c:val>
        </c:ser>
        <c:gapWidth val="150"/>
        <c:overlap val="0"/>
        <c:axId val="74653326"/>
        <c:axId val="53551539"/>
      </c:barChart>
      <c:catAx>
        <c:axId val="74653326"/>
        <c:scaling>
          <c:orientation val="minMax"/>
        </c:scaling>
        <c:delete val="0"/>
        <c:axPos val="b"/>
        <c:title>
          <c:tx>
            <c:rich>
              <a:bodyPr rot="0"/>
              <a:lstStyle/>
              <a:p>
                <a:pPr>
                  <a:defRPr sz="1300" b="0" u="none" strike="noStrike">
                    <a:uFillTx/>
                    <a:latin typeface="Arial"/>
                  </a:defRPr>
                </a:pPr>
                <a:r>
                  <a:rPr sz="1000" b="0" u="none" strike="noStrike">
                    <a:solidFill>
                      <a:srgbClr val="000000"/>
                    </a:solidFill>
                    <a:uFillTx/>
                    <a:latin typeface="Calibri"/>
                    <a:ea typeface="Calibri"/>
                  </a:rPr>
                  <a:t>None</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53551539"/>
        <c:crosses val="autoZero"/>
        <c:auto val="1"/>
        <c:lblAlgn val="ctr"/>
        <c:lblOffset val="100"/>
        <c:noMultiLvlLbl val="0"/>
      </c:catAx>
      <c:valAx>
        <c:axId val="53551539"/>
        <c:scaling>
          <c:orientation val="minMax"/>
        </c:scaling>
        <c:delete val="0"/>
        <c:axPos val="l"/>
        <c:majorGridlines>
          <c:spPr>
            <a:ln w="6480">
              <a:solidFill>
                <a:srgbClr val="B7B7B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ea typeface="Calibri"/>
                  </a:rPr>
                  <a:t>Số lượng</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74653326"/>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Calibri"/>
                <a:ea typeface="Calibri"/>
              </a:rPr>
              <a:t>1b. Tỷ lệ Bug theo chức năng (%)</a:t>
            </a:r>
          </a:p>
        </c:rich>
      </c:tx>
      <c:overlay val="0"/>
      <c:spPr>
        <a:noFill/>
        <a:ln w="0">
          <a:noFill/>
        </a:ln>
      </c:spPr>
    </c:title>
    <c:autoTitleDeleted val="0"/>
    <c:plotArea>
      <c:pieChart>
        <c:varyColors val="1"/>
        <c:ser>
          <c:idx val="0"/>
          <c:order val="0"/>
          <c:spPr>
            <a:solidFill>
              <a:srgbClr val="4F81BD"/>
            </a:solidFill>
            <a:ln w="1260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Pt>
            <c:idx val="4"/>
            <c:spPr>
              <a:solidFill>
                <a:srgbClr val="4BACC6"/>
              </a:solidFill>
              <a:ln w="0">
                <a:noFill/>
              </a:ln>
            </c:spPr>
          </c:dPt>
          <c:dPt>
            <c:idx val="5"/>
            <c:spPr>
              <a:solidFill>
                <a:srgbClr val="F79646"/>
              </a:solidFill>
              <a:ln w="0">
                <a:noFill/>
              </a:ln>
            </c:spPr>
          </c:dPt>
          <c:dPt>
            <c:idx val="6"/>
            <c:spPr>
              <a:solidFill>
                <a:srgbClr val="84A7D1"/>
              </a:solidFill>
              <a:ln w="0">
                <a:noFill/>
              </a:ln>
            </c:spPr>
          </c:dPt>
          <c:dPt>
            <c:idx val="7"/>
            <c:spPr>
              <a:solidFill>
                <a:srgbClr val="D38582"/>
              </a:solidFill>
              <a:ln w="0">
                <a:noFill/>
              </a:ln>
            </c:spPr>
          </c:dPt>
          <c:dPt>
            <c:idx val="8"/>
            <c:spPr>
              <a:solidFill>
                <a:srgbClr val="B9CF8B"/>
              </a:solidFill>
              <a:ln w="0">
                <a:noFill/>
              </a:ln>
            </c:spPr>
          </c:dPt>
          <c:dPt>
            <c:idx val="9"/>
            <c:spPr>
              <a:solidFill>
                <a:srgbClr val="A693BE"/>
              </a:solidFill>
              <a:ln w="0">
                <a:noFill/>
              </a:ln>
            </c:spPr>
          </c:dPt>
          <c:dLbls>
            <c:dLbl>
              <c:idx val="0"/>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dLbl>
              <c:idx val="1"/>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dLbl>
              <c:idx val="2"/>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dLbl>
              <c:idx val="3"/>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dLbl>
              <c:idx val="4"/>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dLbl>
              <c:idx val="5"/>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dLbl>
              <c:idx val="6"/>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dLbl>
              <c:idx val="7"/>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dLbl>
              <c:idx val="8"/>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dLbl>
              <c:idx val="9"/>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dLbl>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0"/>
            <c:separator>; </c:separator>
            <c:showLeaderLines val="1"/>
            <c:leaderLines>
              <c:spPr>
                <a:ln w="0">
                  <a:solidFill>
                    <a:srgbClr val="000000"/>
                  </a:solidFill>
                </a:ln>
              </c:spPr>
            </c:leaderLines>
          </c:dLbls>
          <c:cat>
            <c:strRef>
              <c:f>'Report Test'!$C$43:$C$52</c:f>
              <c:strCache>
                <c:ptCount val="10"/>
                <c:pt idx="0">
                  <c:v>Hoạt động (Đơn của tôi)</c:v>
                </c:pt>
                <c:pt idx="1">
                  <c:v>Ghép nối</c:v>
                </c:pt>
                <c:pt idx="2">
                  <c:v>Huỷ đơn - Huỷ nhận đơn</c:v>
                </c:pt>
                <c:pt idx="3">
                  <c:v>Giao nhận &amp; Theo dõi đơn</c:v>
                </c:pt>
                <c:pt idx="4">
                  <c:v>Bảng tin &amp; Chi tiết tin</c:v>
                </c:pt>
                <c:pt idx="5">
                  <c:v>Quà cảm ơn</c:v>
                </c:pt>
                <c:pt idx="6">
                  <c:v>Trang chủ</c:v>
                </c:pt>
                <c:pt idx="7">
                  <c:v>Thông báo</c:v>
                </c:pt>
                <c:pt idx="8">
                  <c:v>Đăng tin &amp; Quản lý tin</c:v>
                </c:pt>
                <c:pt idx="9">
                  <c:v>Khác / chưa gán chức năng</c:v>
                </c:pt>
              </c:strCache>
            </c:strRef>
          </c:cat>
          <c:val>
            <c:numRef>
              <c:f>'Report Test'!$J$43:$J$52</c:f>
              <c:numCache>
                <c:formatCode>0</c:formatCode>
                <c:ptCount val="10"/>
                <c:pt idx="0">
                  <c:v>0</c:v>
                </c:pt>
                <c:pt idx="1">
                  <c:v>0</c:v>
                </c:pt>
                <c:pt idx="2">
                  <c:v>0</c:v>
                </c:pt>
                <c:pt idx="3">
                  <c:v>0</c:v>
                </c:pt>
                <c:pt idx="4">
                  <c:v>0</c:v>
                </c:pt>
                <c:pt idx="5">
                  <c:v>0</c:v>
                </c:pt>
                <c:pt idx="6">
                  <c:v>0</c:v>
                </c:pt>
                <c:pt idx="7">
                  <c:v>0</c:v>
                </c:pt>
                <c:pt idx="8">
                  <c:v>0</c:v>
                </c:pt>
                <c:pt idx="9">
                  <c:v>0</c:v>
                </c:pt>
              </c:numCache>
            </c:numRef>
          </c:val>
        </c:ser>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1A1A1A"/>
              </a:solidFill>
              <a:uFillTx/>
              <a:latin typeface="Calibri"/>
              <a:ea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Calibri"/>
                <a:ea typeface="Calibri"/>
              </a:rPr>
              <a:t>Mức độ áp dụng SDLC / Automation (%)</a:t>
            </a:r>
          </a:p>
        </c:rich>
      </c:tx>
      <c:overlay val="0"/>
      <c:spPr>
        <a:noFill/>
        <a:ln w="0">
          <a:noFill/>
        </a:ln>
      </c:spPr>
    </c:title>
    <c:autoTitleDeleted val="0"/>
    <c:plotArea>
      <c:barChart>
        <c:barDir val="bar"/>
        <c:grouping val="clustered"/>
        <c:varyColors val="0"/>
        <c:ser>
          <c:idx val="0"/>
          <c:order val="0"/>
          <c:spPr>
            <a:solidFill>
              <a:srgbClr val="4F81BD"/>
            </a:solidFill>
            <a:ln w="12600">
              <a:no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 Test'!$B$203:$B$208</c:f>
              <c:strCache>
                <c:ptCount val="6"/>
                <c:pt idx="0">
                  <c:v>TC sinh bởi AI (AI-generated)</c:v>
                </c:pt>
                <c:pt idx="1">
                  <c:v>TC do QC viết tay</c:v>
                </c:pt>
                <c:pt idx="2">
                  <c:v>TC đã automation (có script)</c:v>
                </c:pt>
                <c:pt idx="3">
                  <c:v>TC Vibe-test</c:v>
                </c:pt>
                <c:pt idx="4">
                  <c:v>TC đã QC review</c:v>
                </c:pt>
                <c:pt idx="5">
                  <c:v>TC script auto chạy Pass</c:v>
                </c:pt>
              </c:strCache>
            </c:strRef>
          </c:cat>
          <c:val>
            <c:numRef>
              <c:f>'Report Test'!$D$203:$D$208</c:f>
              <c:numCache>
                <c:formatCode>0.0%</c:formatCode>
                <c:ptCount val="6"/>
                <c:pt idx="0">
                  <c:v>1</c:v>
                </c:pt>
                <c:pt idx="1">
                  <c:v>0</c:v>
                </c:pt>
                <c:pt idx="2">
                  <c:v>0</c:v>
                </c:pt>
                <c:pt idx="3">
                  <c:v>0</c:v>
                </c:pt>
                <c:pt idx="4">
                  <c:v>0</c:v>
                </c:pt>
                <c:pt idx="5">
                  <c:v>0</c:v>
                </c:pt>
              </c:numCache>
            </c:numRef>
          </c:val>
        </c:ser>
        <c:gapWidth val="150"/>
        <c:overlap val="0"/>
        <c:axId val="70897611"/>
        <c:axId val="72968398"/>
      </c:barChart>
      <c:catAx>
        <c:axId val="70897611"/>
        <c:scaling>
          <c:orientation val="maxMin"/>
        </c:scaling>
        <c:delete val="0"/>
        <c:axPos val="b"/>
        <c:title>
          <c:tx>
            <c:rich>
              <a:bodyPr rot="-5400000"/>
              <a:lstStyle/>
              <a:p>
                <a:pPr>
                  <a:defRPr sz="1300" b="0" u="none" strike="noStrike">
                    <a:uFillTx/>
                    <a:latin typeface="Arial"/>
                  </a:defRPr>
                </a:pPr>
                <a:r>
                  <a:rPr sz="1000" b="0" u="none" strike="noStrike">
                    <a:solidFill>
                      <a:srgbClr val="000000"/>
                    </a:solidFill>
                    <a:uFillTx/>
                    <a:latin typeface="Calibri"/>
                    <a:ea typeface="Calibri"/>
                  </a:rPr>
                  <a:t>None</a:t>
                </a:r>
              </a:p>
            </c:rich>
          </c:tx>
          <c:overlay val="0"/>
          <c:spPr>
            <a:noFill/>
            <a:ln w="0">
              <a:noFill/>
            </a:ln>
          </c:spPr>
        </c:title>
        <c:numFmt formatCode="0%"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72968398"/>
        <c:crosses val="autoZero"/>
        <c:auto val="1"/>
        <c:lblAlgn val="ctr"/>
        <c:lblOffset val="100"/>
        <c:noMultiLvlLbl val="0"/>
      </c:catAx>
      <c:valAx>
        <c:axId val="72968398"/>
        <c:scaling>
          <c:orientation val="minMax"/>
        </c:scaling>
        <c:delete val="0"/>
        <c:axPos val="l"/>
        <c:majorGridlines>
          <c:spPr>
            <a:ln w="6480">
              <a:solidFill>
                <a:srgbClr val="B7B7B7"/>
              </a:solidFill>
              <a:round/>
            </a:ln>
          </c:spPr>
        </c:majorGridlines>
        <c:title>
          <c:tx>
            <c:rich>
              <a:bodyPr rot="0"/>
              <a:lstStyle/>
              <a:p>
                <a:pPr>
                  <a:defRPr sz="1300" b="0" u="none" strike="noStrike">
                    <a:uFillTx/>
                    <a:latin typeface="Arial"/>
                  </a:defRPr>
                </a:pPr>
                <a:r>
                  <a:rPr sz="1000" b="0" u="none" strike="noStrike">
                    <a:solidFill>
                      <a:srgbClr val="000000"/>
                    </a:solidFill>
                    <a:uFillTx/>
                    <a:latin typeface="Calibri"/>
                    <a:ea typeface="Calibri"/>
                  </a:rPr>
                  <a:t>None</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70897611"/>
        <c:crosses val="max"/>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Calibri"/>
                <a:ea typeface="Calibri"/>
              </a:rPr>
              <a:t>Pass / Fail theo Round</a:t>
            </a:r>
          </a:p>
        </c:rich>
      </c:tx>
      <c:overlay val="0"/>
      <c:spPr>
        <a:noFill/>
        <a:ln w="0">
          <a:noFill/>
        </a:ln>
      </c:spPr>
    </c:title>
    <c:autoTitleDeleted val="0"/>
    <c:plotArea>
      <c:barChart>
        <c:barDir val="col"/>
        <c:grouping val="clustered"/>
        <c:varyColors val="0"/>
        <c:ser>
          <c:idx val="0"/>
          <c:order val="0"/>
          <c:tx>
            <c:strRef>
              <c:f>'Report Test'!$F$220</c:f>
              <c:strCache>
                <c:ptCount val="1"/>
                <c:pt idx="0">
                  <c:v>Pass</c:v>
                </c:pt>
              </c:strCache>
            </c:strRef>
          </c:tx>
          <c:spPr>
            <a:solidFill>
              <a:srgbClr val="4472C4"/>
            </a:solidFill>
            <a:ln w="12600">
              <a:no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 Test'!$B$221:$B$223</c:f>
              <c:strCache>
                <c:ptCount val="3"/>
                <c:pt idx="0">
                  <c:v>Round 1</c:v>
                </c:pt>
                <c:pt idx="1">
                  <c:v>Round 2</c:v>
                </c:pt>
                <c:pt idx="2">
                  <c:v>Round 3</c:v>
                </c:pt>
              </c:strCache>
            </c:strRef>
          </c:cat>
          <c:val>
            <c:numRef>
              <c:f>'Report Test'!$F$221:$F$223</c:f>
              <c:numCache>
                <c:formatCode>0</c:formatCode>
                <c:ptCount val="3"/>
                <c:pt idx="0">
                  <c:v>0</c:v>
                </c:pt>
                <c:pt idx="1">
                  <c:v>0</c:v>
                </c:pt>
                <c:pt idx="2">
                  <c:v>0</c:v>
                </c:pt>
              </c:numCache>
            </c:numRef>
          </c:val>
        </c:ser>
        <c:ser>
          <c:idx val="1"/>
          <c:order val="1"/>
          <c:tx>
            <c:strRef>
              <c:f>'Report Test'!$G$220</c:f>
              <c:strCache>
                <c:ptCount val="1"/>
                <c:pt idx="0">
                  <c:v>Fail</c:v>
                </c:pt>
              </c:strCache>
            </c:strRef>
          </c:tx>
          <c:spPr>
            <a:solidFill>
              <a:srgbClr val="C0504D"/>
            </a:solidFill>
            <a:ln w="12600">
              <a:no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 Test'!$B$221:$B$223</c:f>
              <c:strCache>
                <c:ptCount val="3"/>
                <c:pt idx="0">
                  <c:v>Round 1</c:v>
                </c:pt>
                <c:pt idx="1">
                  <c:v>Round 2</c:v>
                </c:pt>
                <c:pt idx="2">
                  <c:v>Round 3</c:v>
                </c:pt>
              </c:strCache>
            </c:strRef>
          </c:cat>
          <c:val>
            <c:numRef>
              <c:f>'Report Test'!$G$221:$G$223</c:f>
              <c:numCache>
                <c:formatCode>0</c:formatCode>
                <c:ptCount val="3"/>
                <c:pt idx="0">
                  <c:v>0</c:v>
                </c:pt>
                <c:pt idx="1">
                  <c:v>0</c:v>
                </c:pt>
                <c:pt idx="2">
                  <c:v>0</c:v>
                </c:pt>
              </c:numCache>
            </c:numRef>
          </c:val>
        </c:ser>
        <c:ser>
          <c:idx val="2"/>
          <c:order val="2"/>
          <c:tx>
            <c:strRef>
              <c:f>'Report Test'!$H$220</c:f>
              <c:strCache>
                <c:ptCount val="1"/>
                <c:pt idx="0">
                  <c:v>Block</c:v>
                </c:pt>
              </c:strCache>
            </c:strRef>
          </c:tx>
          <c:spPr>
            <a:solidFill>
              <a:srgbClr val="9BBB59"/>
            </a:solidFill>
            <a:ln w="12600">
              <a:no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 Test'!$B$221:$B$223</c:f>
              <c:strCache>
                <c:ptCount val="3"/>
                <c:pt idx="0">
                  <c:v>Round 1</c:v>
                </c:pt>
                <c:pt idx="1">
                  <c:v>Round 2</c:v>
                </c:pt>
                <c:pt idx="2">
                  <c:v>Round 3</c:v>
                </c:pt>
              </c:strCache>
            </c:strRef>
          </c:cat>
          <c:val>
            <c:numRef>
              <c:f>'Report Test'!$H$221:$H$223</c:f>
              <c:numCache>
                <c:formatCode>0</c:formatCode>
                <c:ptCount val="3"/>
                <c:pt idx="0">
                  <c:v>0</c:v>
                </c:pt>
                <c:pt idx="1">
                  <c:v>0</c:v>
                </c:pt>
                <c:pt idx="2">
                  <c:v>0</c:v>
                </c:pt>
              </c:numCache>
            </c:numRef>
          </c:val>
        </c:ser>
        <c:ser>
          <c:idx val="3"/>
          <c:order val="3"/>
          <c:tx>
            <c:strRef>
              <c:f>'Report Test'!$I$220</c:f>
              <c:strCache>
                <c:ptCount val="1"/>
                <c:pt idx="0">
                  <c:v>N/A</c:v>
                </c:pt>
              </c:strCache>
            </c:strRef>
          </c:tx>
          <c:spPr>
            <a:solidFill>
              <a:srgbClr val="8064A2"/>
            </a:solidFill>
            <a:ln w="12600">
              <a:no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 Test'!$B$221:$B$223</c:f>
              <c:strCache>
                <c:ptCount val="3"/>
                <c:pt idx="0">
                  <c:v>Round 1</c:v>
                </c:pt>
                <c:pt idx="1">
                  <c:v>Round 2</c:v>
                </c:pt>
                <c:pt idx="2">
                  <c:v>Round 3</c:v>
                </c:pt>
              </c:strCache>
            </c:strRef>
          </c:cat>
          <c:val>
            <c:numRef>
              <c:f>'Report Test'!$I$221:$I$223</c:f>
              <c:numCache>
                <c:formatCode>0</c:formatCode>
                <c:ptCount val="3"/>
                <c:pt idx="0">
                  <c:v>0</c:v>
                </c:pt>
                <c:pt idx="1">
                  <c:v>0</c:v>
                </c:pt>
                <c:pt idx="2">
                  <c:v>0</c:v>
                </c:pt>
              </c:numCache>
            </c:numRef>
          </c:val>
        </c:ser>
        <c:gapWidth val="150"/>
        <c:overlap val="0"/>
        <c:axId val="89373100"/>
        <c:axId val="5992028"/>
      </c:barChart>
      <c:catAx>
        <c:axId val="89373100"/>
        <c:scaling>
          <c:orientation val="minMax"/>
        </c:scaling>
        <c:delete val="0"/>
        <c:axPos val="b"/>
        <c:title>
          <c:tx>
            <c:rich>
              <a:bodyPr rot="0"/>
              <a:lstStyle/>
              <a:p>
                <a:pPr>
                  <a:defRPr sz="1300" b="0" u="none" strike="noStrike">
                    <a:uFillTx/>
                    <a:latin typeface="Arial"/>
                  </a:defRPr>
                </a:pPr>
                <a:r>
                  <a:rPr sz="1000" b="0" u="none" strike="noStrike">
                    <a:solidFill>
                      <a:srgbClr val="000000"/>
                    </a:solidFill>
                    <a:uFillTx/>
                    <a:latin typeface="Calibri"/>
                    <a:ea typeface="Calibri"/>
                  </a:rPr>
                  <a:t>Round</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5992028"/>
        <c:crosses val="autoZero"/>
        <c:auto val="1"/>
        <c:lblAlgn val="ctr"/>
        <c:lblOffset val="100"/>
        <c:noMultiLvlLbl val="0"/>
      </c:catAx>
      <c:valAx>
        <c:axId val="5992028"/>
        <c:scaling>
          <c:orientation val="minMax"/>
        </c:scaling>
        <c:delete val="0"/>
        <c:axPos val="l"/>
        <c:majorGridlines>
          <c:spPr>
            <a:ln w="6480">
              <a:solidFill>
                <a:srgbClr val="B7B7B7"/>
              </a:solidFill>
              <a:round/>
            </a:ln>
          </c:spPr>
        </c:majorGridlines>
        <c:title>
          <c:tx>
            <c:rich>
              <a:bodyPr rot="-5400000"/>
              <a:lstStyle/>
              <a:p>
                <a:pPr>
                  <a:defRPr sz="1300" b="0" u="none" strike="noStrike">
                    <a:uFillTx/>
                    <a:latin typeface="Arial"/>
                  </a:defRPr>
                </a:pPr>
                <a:r>
                  <a:rPr sz="1000" b="0" u="none" strike="noStrike">
                    <a:solidFill>
                      <a:srgbClr val="000000"/>
                    </a:solidFill>
                    <a:uFillTx/>
                    <a:latin typeface="Calibri"/>
                    <a:ea typeface="Calibri"/>
                  </a:rPr>
                  <a:t>Test cases</a:t>
                </a:r>
              </a:p>
            </c:rich>
          </c:tx>
          <c:overlay val="0"/>
          <c:spPr>
            <a:noFill/>
            <a:ln w="0">
              <a:noFill/>
            </a:ln>
          </c:spPr>
        </c:title>
        <c:numFmt formatCode="0"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89373100"/>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1A1A1A"/>
              </a:solidFill>
              <a:uFillTx/>
              <a:latin typeface="Calibri"/>
              <a:ea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Calibri"/>
                <a:ea typeface="Calibri"/>
              </a:rPr>
              <a:t>Bug phát hiện vs đã đóng theo Round</a:t>
            </a:r>
          </a:p>
        </c:rich>
      </c:tx>
      <c:overlay val="0"/>
      <c:spPr>
        <a:noFill/>
        <a:ln w="0">
          <a:noFill/>
        </a:ln>
      </c:spPr>
    </c:title>
    <c:autoTitleDeleted val="0"/>
    <c:plotArea>
      <c:barChart>
        <c:barDir val="col"/>
        <c:grouping val="clustered"/>
        <c:varyColors val="0"/>
        <c:ser>
          <c:idx val="0"/>
          <c:order val="0"/>
          <c:tx>
            <c:strRef>
              <c:f>'Report Test'!$C$229</c:f>
              <c:strCache>
                <c:ptCount val="1"/>
                <c:pt idx="0">
                  <c:v>Phát hiện</c:v>
                </c:pt>
              </c:strCache>
            </c:strRef>
          </c:tx>
          <c:spPr>
            <a:solidFill>
              <a:srgbClr val="4472C4"/>
            </a:solidFill>
            <a:ln w="12600">
              <a:no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 Test'!$B$230:$B$234</c:f>
              <c:strCache>
                <c:ptCount val="5"/>
                <c:pt idx="0">
                  <c:v>1</c:v>
                </c:pt>
                <c:pt idx="1">
                  <c:v>2</c:v>
                </c:pt>
                <c:pt idx="2">
                  <c:v>3</c:v>
                </c:pt>
                <c:pt idx="3">
                  <c:v>4</c:v>
                </c:pt>
                <c:pt idx="4">
                  <c:v>5</c:v>
                </c:pt>
              </c:strCache>
            </c:strRef>
          </c:cat>
          <c:val>
            <c:numRef>
              <c:f>'Report Test'!$C$230:$C$234</c:f>
              <c:numCache>
                <c:formatCode>General</c:formatCode>
                <c:ptCount val="5"/>
                <c:pt idx="0">
                  <c:v>0</c:v>
                </c:pt>
                <c:pt idx="1">
                  <c:v>0</c:v>
                </c:pt>
                <c:pt idx="2">
                  <c:v>0</c:v>
                </c:pt>
                <c:pt idx="3">
                  <c:v>0</c:v>
                </c:pt>
                <c:pt idx="4">
                  <c:v>0</c:v>
                </c:pt>
              </c:numCache>
            </c:numRef>
          </c:val>
        </c:ser>
        <c:ser>
          <c:idx val="1"/>
          <c:order val="1"/>
          <c:tx>
            <c:strRef>
              <c:f>'Report Test'!$D$229</c:f>
              <c:strCache>
                <c:ptCount val="1"/>
                <c:pt idx="0">
                  <c:v>Đã đóng</c:v>
                </c:pt>
              </c:strCache>
            </c:strRef>
          </c:tx>
          <c:spPr>
            <a:solidFill>
              <a:srgbClr val="C0504D"/>
            </a:solidFill>
            <a:ln w="12600">
              <a:no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 Test'!$B$230:$B$234</c:f>
              <c:strCache>
                <c:ptCount val="5"/>
                <c:pt idx="0">
                  <c:v>1</c:v>
                </c:pt>
                <c:pt idx="1">
                  <c:v>2</c:v>
                </c:pt>
                <c:pt idx="2">
                  <c:v>3</c:v>
                </c:pt>
                <c:pt idx="3">
                  <c:v>4</c:v>
                </c:pt>
                <c:pt idx="4">
                  <c:v>5</c:v>
                </c:pt>
              </c:strCache>
            </c:strRef>
          </c:cat>
          <c:val>
            <c:numRef>
              <c:f>'Report Test'!$D$230:$D$234</c:f>
              <c:numCache>
                <c:formatCode>General</c:formatCode>
                <c:ptCount val="5"/>
                <c:pt idx="0">
                  <c:v>0</c:v>
                </c:pt>
                <c:pt idx="1">
                  <c:v>0</c:v>
                </c:pt>
                <c:pt idx="2">
                  <c:v>0</c:v>
                </c:pt>
                <c:pt idx="3">
                  <c:v>0</c:v>
                </c:pt>
                <c:pt idx="4">
                  <c:v>0</c:v>
                </c:pt>
              </c:numCache>
            </c:numRef>
          </c:val>
        </c:ser>
        <c:gapWidth val="150"/>
        <c:overlap val="0"/>
        <c:axId val="97302504"/>
        <c:axId val="40967801"/>
      </c:barChart>
      <c:catAx>
        <c:axId val="97302504"/>
        <c:scaling>
          <c:orientation val="minMax"/>
        </c:scaling>
        <c:delete val="0"/>
        <c:axPos val="b"/>
        <c:title>
          <c:tx>
            <c:rich>
              <a:bodyPr rot="0"/>
              <a:lstStyle/>
              <a:p>
                <a:pPr>
                  <a:defRPr sz="1300" b="0" u="none" strike="noStrike">
                    <a:uFillTx/>
                    <a:latin typeface="Arial"/>
                  </a:defRPr>
                </a:pPr>
                <a:r>
                  <a:rPr sz="1000" b="0" u="none" strike="noStrike">
                    <a:solidFill>
                      <a:srgbClr val="000000"/>
                    </a:solidFill>
                    <a:uFillTx/>
                    <a:latin typeface="Calibri"/>
                    <a:ea typeface="Calibri"/>
                  </a:rPr>
                  <a:t>Round</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40967801"/>
        <c:crosses val="autoZero"/>
        <c:auto val="1"/>
        <c:lblAlgn val="ctr"/>
        <c:lblOffset val="100"/>
        <c:noMultiLvlLbl val="0"/>
      </c:catAx>
      <c:valAx>
        <c:axId val="40967801"/>
        <c:scaling>
          <c:orientation val="minMax"/>
        </c:scaling>
        <c:delete val="0"/>
        <c:axPos val="l"/>
        <c:majorGridlines>
          <c:spPr>
            <a:ln w="6480">
              <a:solidFill>
                <a:srgbClr val="B7B7B7"/>
              </a:solidFill>
              <a:round/>
            </a:ln>
          </c:spPr>
        </c:majorGridlines>
        <c:title>
          <c:tx>
            <c:rich>
              <a:bodyPr rot="-5400000"/>
              <a:lstStyle/>
              <a:p>
                <a:pPr>
                  <a:defRPr sz="1300" b="0" u="none" strike="noStrike">
                    <a:uFillTx/>
                    <a:latin typeface="Arial"/>
                  </a:defRPr>
                </a:pPr>
                <a:r>
                  <a:rPr sz="1000" b="0" u="none" strike="noStrike">
                    <a:solidFill>
                      <a:srgbClr val="000000"/>
                    </a:solidFill>
                    <a:uFillTx/>
                    <a:latin typeface="Calibri"/>
                    <a:ea typeface="Calibri"/>
                  </a:rPr>
                  <a:t>Bug</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97302504"/>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1A1A1A"/>
              </a:solidFill>
              <a:uFillTx/>
              <a:latin typeface="Calibri"/>
              <a:ea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Calibri"/>
                <a:ea typeface="Calibri"/>
              </a:rPr>
              <a:t>Pass rate % theo Round</a:t>
            </a:r>
          </a:p>
        </c:rich>
      </c:tx>
      <c:overlay val="0"/>
      <c:spPr>
        <a:noFill/>
        <a:ln w="0">
          <a:noFill/>
        </a:ln>
      </c:spPr>
    </c:title>
    <c:autoTitleDeleted val="0"/>
    <c:plotArea>
      <c:lineChart>
        <c:grouping val="standard"/>
        <c:varyColors val="0"/>
        <c:ser>
          <c:idx val="0"/>
          <c:order val="0"/>
          <c:tx>
            <c:strRef>
              <c:f>'Report Test'!$K$220</c:f>
              <c:strCache>
                <c:ptCount val="1"/>
                <c:pt idx="0">
                  <c:v>Pass rate</c:v>
                </c:pt>
              </c:strCache>
            </c:strRef>
          </c:tx>
          <c:spPr>
            <a:solidFill>
              <a:srgbClr val="4472C4"/>
            </a:solidFill>
            <a:ln w="19080">
              <a:solidFill>
                <a:srgbClr val="4472C4"/>
              </a:solidFill>
              <a:round/>
            </a:ln>
          </c:spPr>
          <c:marker>
            <c:symbol val="none"/>
          </c:marker>
          <c:dLbls>
            <c:txPr>
              <a:bodyPr wrap="square"/>
              <a:lstStyle/>
              <a:p>
                <a:pPr>
                  <a:defRPr sz="1000" b="0" u="none" strike="noStrike">
                    <a:solidFill>
                      <a:srgbClr val="000000"/>
                    </a:solidFill>
                    <a:uFillTx/>
                    <a:latin typeface="Arial"/>
                    <a:ea typeface="Calibri"/>
                  </a:defRPr>
                </a:pPr>
              </a:p>
            </c:txPr>
            <c:dLblPos val="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cat>
            <c:strRef>
              <c:f>'Report Test'!$B$221:$B$223</c:f>
              <c:strCache>
                <c:ptCount val="3"/>
                <c:pt idx="0">
                  <c:v>Round 1</c:v>
                </c:pt>
                <c:pt idx="1">
                  <c:v>Round 2</c:v>
                </c:pt>
                <c:pt idx="2">
                  <c:v>Round 3</c:v>
                </c:pt>
              </c:strCache>
            </c:strRef>
          </c:cat>
          <c:val>
            <c:numRef>
              <c:f>'Report Test'!$K$221:$K$223</c:f>
              <c:numCache>
                <c:formatCode>General</c:formatCode>
                <c:ptCount val="3"/>
              </c:numCache>
            </c:numRef>
          </c:val>
          <c:smooth val="0"/>
        </c:ser>
        <c:hiLowLines>
          <c:spPr>
            <a:ln w="0">
              <a:noFill/>
            </a:ln>
          </c:spPr>
        </c:hiLowLines>
        <c:marker val="0"/>
        <c:axId val="67110793"/>
        <c:axId val="71921733"/>
      </c:lineChart>
      <c:catAx>
        <c:axId val="67110793"/>
        <c:scaling>
          <c:orientation val="minMax"/>
        </c:scaling>
        <c:delete val="0"/>
        <c:axPos val="b"/>
        <c:title>
          <c:tx>
            <c:rich>
              <a:bodyPr rot="0"/>
              <a:lstStyle/>
              <a:p>
                <a:pPr>
                  <a:defRPr sz="1300" b="0" u="none" strike="noStrike">
                    <a:uFillTx/>
                    <a:latin typeface="Arial"/>
                  </a:defRPr>
                </a:pPr>
                <a:r>
                  <a:rPr sz="1000" b="0" u="none" strike="noStrike">
                    <a:solidFill>
                      <a:srgbClr val="000000"/>
                    </a:solidFill>
                    <a:uFillTx/>
                    <a:latin typeface="Calibri"/>
                    <a:ea typeface="Calibri"/>
                  </a:rPr>
                  <a:t>None</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71921733"/>
        <c:crosses val="autoZero"/>
        <c:auto val="1"/>
        <c:lblAlgn val="ctr"/>
        <c:lblOffset val="100"/>
        <c:noMultiLvlLbl val="0"/>
      </c:catAx>
      <c:valAx>
        <c:axId val="71921733"/>
        <c:scaling>
          <c:orientation val="minMax"/>
        </c:scaling>
        <c:delete val="0"/>
        <c:axPos val="l"/>
        <c:majorGridlines>
          <c:spPr>
            <a:ln w="6480">
              <a:solidFill>
                <a:srgbClr val="B7B7B7"/>
              </a:solidFill>
              <a:round/>
            </a:ln>
          </c:spPr>
        </c:majorGridlines>
        <c:title>
          <c:tx>
            <c:rich>
              <a:bodyPr rot="-5400000"/>
              <a:lstStyle/>
              <a:p>
                <a:pPr>
                  <a:defRPr sz="1300" b="0" u="none" strike="noStrike">
                    <a:uFillTx/>
                    <a:latin typeface="Arial"/>
                  </a:defRPr>
                </a:pPr>
                <a:r>
                  <a:rPr sz="1000" b="0" u="none" strike="noStrike">
                    <a:solidFill>
                      <a:srgbClr val="000000"/>
                    </a:solidFill>
                    <a:uFillTx/>
                    <a:latin typeface="Calibri"/>
                    <a:ea typeface="Calibri"/>
                  </a:rPr>
                  <a:t>None</a:t>
                </a:r>
              </a:p>
            </c:rich>
          </c:tx>
          <c:overlay val="0"/>
          <c:spPr>
            <a:noFill/>
            <a:ln w="0">
              <a:noFill/>
            </a:ln>
          </c:spPr>
        </c:title>
        <c:numFmt formatCode="0.0%" sourceLinked="0"/>
        <c:majorTickMark val="cross"/>
        <c:minorTickMark val="none"/>
        <c:tickLblPos val="nextTo"/>
        <c:spPr>
          <a:ln w="6480">
            <a:solidFill>
              <a:srgbClr val="8B8B8B"/>
            </a:solidFill>
            <a:round/>
          </a:ln>
        </c:spPr>
        <c:txPr>
          <a:bodyPr/>
          <a:lstStyle/>
          <a:p>
            <a:pPr>
              <a:defRPr sz="1000" b="0" u="none" strike="noStrike">
                <a:solidFill>
                  <a:srgbClr val="000000"/>
                </a:solidFill>
                <a:uFillTx/>
                <a:latin typeface="Calibri"/>
                <a:ea typeface="Calibri"/>
              </a:defRPr>
            </a:pPr>
          </a:p>
        </c:txPr>
        <c:crossAx val="67110793"/>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1A1A1A"/>
              </a:solidFill>
              <a:uFillTx/>
              <a:latin typeface="Calibri"/>
              <a:ea typeface="Calibri"/>
            </a:defRPr>
          </a:pPr>
        </a:p>
      </c:txPr>
    </c:legend>
    <c:plotVisOnly val="1"/>
    <c:dispBlanksAs val="zero"/>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757575"/>
                </a:solidFill>
                <a:uFillTx/>
                <a:latin typeface="Calibri"/>
                <a:ea typeface="Calibri"/>
              </a:rPr>
              <a:t>Độ phủ theo nhóm yêu cầu (Số TC vs Đã chạy)</a:t>
            </a:r>
          </a:p>
        </c:rich>
      </c:tx>
      <c:overlay val="0"/>
      <c:spPr>
        <a:noFill/>
        <a:ln w="0">
          <a:noFill/>
        </a:ln>
      </c:spPr>
    </c:title>
    <c:autoTitleDeleted val="0"/>
    <c:plotArea>
      <c:barChart>
        <c:barDir val="col"/>
        <c:grouping val="clustered"/>
        <c:varyColors val="0"/>
        <c:ser>
          <c:idx val="0"/>
          <c:order val="0"/>
          <c:spPr>
            <a:solidFill>
              <a:srgbClr val="A9D08E"/>
            </a:solidFill>
            <a:ln w="12600">
              <a:no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RTM!$AD$6:$AD$16</c:f>
              <c:strCache>
                <c:ptCount val="11"/>
                <c:pt idx="0">
                  <c:v>REQ-ACT</c:v>
                </c:pt>
                <c:pt idx="1">
                  <c:v>REQ-ASN</c:v>
                </c:pt>
                <c:pt idx="2">
                  <c:v>REQ-CNL</c:v>
                </c:pt>
                <c:pt idx="3">
                  <c:v>REQ-DLV</c:v>
                </c:pt>
                <c:pt idx="4">
                  <c:v>REQ-FEED</c:v>
                </c:pt>
                <c:pt idx="5">
                  <c:v>REQ-GIFT</c:v>
                </c:pt>
                <c:pt idx="6">
                  <c:v>REQ-HOME</c:v>
                </c:pt>
                <c:pt idx="7">
                  <c:v>REQ-NTF</c:v>
                </c:pt>
                <c:pt idx="8">
                  <c:v>REQ-ORD</c:v>
                </c:pt>
                <c:pt idx="9">
                  <c:v>REQ-TS</c:v>
                </c:pt>
                <c:pt idx="10">
                  <c:v>REQ-USR</c:v>
                </c:pt>
              </c:strCache>
            </c:strRef>
          </c:cat>
          <c:val>
            <c:numRef>
              <c:f>RTM!$AE$6:$AE$16</c:f>
              <c:numCache>
                <c:formatCode>General</c:formatCode>
                <c:ptCount val="11"/>
                <c:pt idx="0">
                  <c:v>10</c:v>
                </c:pt>
                <c:pt idx="1">
                  <c:v>13</c:v>
                </c:pt>
                <c:pt idx="2">
                  <c:v>16</c:v>
                </c:pt>
                <c:pt idx="3">
                  <c:v>51</c:v>
                </c:pt>
                <c:pt idx="4">
                  <c:v>5</c:v>
                </c:pt>
                <c:pt idx="5">
                  <c:v>8</c:v>
                </c:pt>
                <c:pt idx="6">
                  <c:v>12</c:v>
                </c:pt>
                <c:pt idx="7">
                  <c:v>9</c:v>
                </c:pt>
                <c:pt idx="8">
                  <c:v>50</c:v>
                </c:pt>
                <c:pt idx="9">
                  <c:v>17</c:v>
                </c:pt>
                <c:pt idx="10">
                  <c:v>40</c:v>
                </c:pt>
              </c:numCache>
            </c:numRef>
          </c:val>
        </c:ser>
        <c:ser>
          <c:idx val="1"/>
          <c:order val="1"/>
          <c:spPr>
            <a:solidFill>
              <a:srgbClr val="4472C4"/>
            </a:solidFill>
            <a:ln w="12600">
              <a:noFill/>
            </a:ln>
          </c:spPr>
          <c:invertIfNegative val="0"/>
          <c:dLbls>
            <c:txPr>
              <a:bodyPr wrap="square"/>
              <a:lstStyle/>
              <a:p>
                <a:pPr>
                  <a:defRPr sz="1000" b="0" u="none" strike="noStrike">
                    <a:solidFill>
                      <a:srgbClr val="000000"/>
                    </a:solidFill>
                    <a:uFillTx/>
                    <a:latin typeface="Arial"/>
                    <a:ea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RTM!$AD$6:$AD$16</c:f>
              <c:strCache>
                <c:ptCount val="11"/>
                <c:pt idx="0">
                  <c:v>REQ-ACT</c:v>
                </c:pt>
                <c:pt idx="1">
                  <c:v>REQ-ASN</c:v>
                </c:pt>
                <c:pt idx="2">
                  <c:v>REQ-CNL</c:v>
                </c:pt>
                <c:pt idx="3">
                  <c:v>REQ-DLV</c:v>
                </c:pt>
                <c:pt idx="4">
                  <c:v>REQ-FEED</c:v>
                </c:pt>
                <c:pt idx="5">
                  <c:v>REQ-GIFT</c:v>
                </c:pt>
                <c:pt idx="6">
                  <c:v>REQ-HOME</c:v>
                </c:pt>
                <c:pt idx="7">
                  <c:v>REQ-NTF</c:v>
                </c:pt>
                <c:pt idx="8">
                  <c:v>REQ-ORD</c:v>
                </c:pt>
                <c:pt idx="9">
                  <c:v>REQ-TS</c:v>
                </c:pt>
                <c:pt idx="10">
                  <c:v>REQ-USR</c:v>
                </c:pt>
              </c:strCache>
            </c:strRef>
          </c:cat>
          <c:val>
            <c:numRef>
              <c:f>RTM!$AF$6:$AF$16</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er>
        <c:gapWidth val="150"/>
        <c:overlap val="0"/>
        <c:axId val="66504315"/>
        <c:axId val="70294050"/>
      </c:barChart>
      <c:catAx>
        <c:axId val="66504315"/>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ea typeface="Calibri"/>
                  </a:rPr>
                  <a:t>Nhóm yêu cầu (Req ID)</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70294050"/>
        <c:crosses val="autoZero"/>
        <c:auto val="1"/>
        <c:lblAlgn val="ctr"/>
        <c:lblOffset val="100"/>
        <c:noMultiLvlLbl val="0"/>
      </c:catAx>
      <c:valAx>
        <c:axId val="70294050"/>
        <c:scaling>
          <c:orientation val="minMax"/>
        </c:scaling>
        <c:delete val="0"/>
        <c:axPos val="l"/>
        <c:majorGridlines>
          <c:spPr>
            <a:ln w="6480">
              <a:solidFill>
                <a:srgbClr val="B7B7B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ea typeface="Calibri"/>
                  </a:rPr>
                  <a:t>Số Test Case</a:t>
                </a:r>
              </a:p>
            </c:rich>
          </c:tx>
          <c:overlay val="0"/>
          <c:spPr>
            <a:noFill/>
            <a:ln w="0">
              <a:noFill/>
            </a:ln>
          </c:spPr>
        </c:title>
        <c:numFmt formatCode="General" sourceLinked="0"/>
        <c:majorTickMark val="none"/>
        <c:minorTickMark val="none"/>
        <c:tickLblPos val="nextTo"/>
        <c:spPr>
          <a:ln w="6480">
            <a:noFill/>
          </a:ln>
        </c:spPr>
        <c:txPr>
          <a:bodyPr/>
          <a:lstStyle/>
          <a:p>
            <a:pPr>
              <a:defRPr sz="1000" b="0" u="none" strike="noStrike">
                <a:solidFill>
                  <a:srgbClr val="000000"/>
                </a:solidFill>
                <a:uFillTx/>
                <a:latin typeface="Calibri"/>
                <a:ea typeface="Calibri"/>
              </a:defRPr>
            </a:pPr>
          </a:p>
        </c:txPr>
        <c:crossAx val="66504315"/>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1A1A1A"/>
              </a:solidFill>
              <a:uFillTx/>
              <a:latin typeface="Calibri"/>
              <a:ea typeface="Calibri"/>
            </a:defRPr>
          </a:pPr>
        </a:p>
      </c:txPr>
    </c:legend>
    <c:plotVisOnly val="0"/>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colors9.xml><?xml version="1.0" encoding="utf-8"?>
<cs:colorStyle xmlns:cs="http://schemas.microsoft.com/office/drawing/2012/chartStyle" xmlns:a="http://schemas.openxmlformats.org/drawingml/2006/main" meth="cycle" id="10">
  <a:schemeClr val="accent1"/>
</cs:colorStyle>
</file>

<file path=xl/charts/colors10.xml><?xml version="1.0" encoding="utf-8"?>
<cs:colorStyle xmlns:cs="http://schemas.microsoft.com/office/drawing/2012/chartStyle" xmlns:a="http://schemas.openxmlformats.org/drawingml/2006/main" meth="cycle" id="10">
  <a:schemeClr val="accent1"/>
</cs:colorStyle>
</file>

<file path=xl/charts/colors11.xml><?xml version="1.0" encoding="utf-8"?>
<cs:colorStyle xmlns:cs="http://schemas.microsoft.com/office/drawing/2012/chartStyle" xmlns:a="http://schemas.openxmlformats.org/drawingml/2006/main" meth="cycle" id="10">
  <a:schemeClr val="accent1"/>
</cs:colorStyle>
</file>

<file path=xl/charts/colors12.xml><?xml version="1.0" encoding="utf-8"?>
<cs:colorStyle xmlns:cs="http://schemas.microsoft.com/office/drawing/2012/chartStyle" xmlns:a="http://schemas.openxmlformats.org/drawingml/2006/main" meth="cycle" id="10">
  <a:schemeClr val="accent1"/>
</cs:colorStyle>
</file>

<file path=xl/charts/colors13.xml><?xml version="1.0" encoding="utf-8"?>
<cs:colorStyle xmlns:cs="http://schemas.microsoft.com/office/drawing/2012/chartStyle" xmlns:a="http://schemas.openxmlformats.org/drawingml/2006/main" meth="cycle" id="10">
  <a:schemeClr val="accent1"/>
</cs:colorStyle>
</file>

<file path=xl/charts/colors14.xml><?xml version="1.0" encoding="utf-8"?>
<cs:colorStyle xmlns:cs="http://schemas.microsoft.com/office/drawing/2012/chartStyle" xmlns:a="http://schemas.openxmlformats.org/drawingml/2006/main" meth="cycle" id="10">
  <a:schemeClr val="accent1"/>
</cs:colorStyle>
</file>

<file path=xl/charts/colors15.xml><?xml version="1.0" encoding="utf-8"?>
<cs:colorStyle xmlns:cs="http://schemas.microsoft.com/office/drawing/2012/chartStyle" xmlns:a="http://schemas.openxmlformats.org/drawingml/2006/main" meth="cycle" id="10">
  <a:schemeClr val="accent1"/>
</cs:colorStyle>
</file>

<file path=xl/charts/colors16.xml><?xml version="1.0" encoding="utf-8"?>
<cs:colorStyle xmlns:cs="http://schemas.microsoft.com/office/drawing/2012/chartStyle" xmlns:a="http://schemas.openxmlformats.org/drawingml/2006/main" meth="cycle" id="10">
  <a:schemeClr val="accent1"/>
</cs:colorStyle>
</file>

<file path=xl/charts/colors17.xml><?xml version="1.0" encoding="utf-8"?>
<cs:colorStyle xmlns:cs="http://schemas.microsoft.com/office/drawing/2012/chartStyle" xmlns:a="http://schemas.openxmlformats.org/drawingml/2006/main" meth="cycle" id="10">
  <a:schemeClr val="accent1"/>
</cs:colorStyle>
</file>

<file path=xl/charts/colors18.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4.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5.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6.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7.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8.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_rels/drawing4.xml.rels><?xml version="1.0" encoding="UTF-8"?>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 Id="rId4" Type="http://schemas.openxmlformats.org/officeDocument/2006/relationships/chart" Target="../charts/chart7.xml"/><Relationship Id="rId5" Type="http://schemas.openxmlformats.org/officeDocument/2006/relationships/chart" Target="../charts/chart8.xml"/><Relationship Id="rId6" Type="http://schemas.openxmlformats.org/officeDocument/2006/relationships/chart" Target="../charts/chart9.xml"/><Relationship Id="rId7" Type="http://schemas.openxmlformats.org/officeDocument/2006/relationships/chart" Target="../charts/chart10.xml"/><Relationship Id="rId8" Type="http://schemas.openxmlformats.org/officeDocument/2006/relationships/chart" Target="../charts/chart11.xml"/><Relationship Id="rId9" Type="http://schemas.openxmlformats.org/officeDocument/2006/relationships/chart" Target="../charts/chart12.xml"/><Relationship Id="rId10" Type="http://schemas.openxmlformats.org/officeDocument/2006/relationships/chart" Target="../charts/chart13.xml"/><Relationship Id="rId11" Type="http://schemas.openxmlformats.org/officeDocument/2006/relationships/chart" Target="../charts/chart14.xml"/><Relationship Id="rId12" Type="http://schemas.openxmlformats.org/officeDocument/2006/relationships/chart" Target="../charts/chart15.xml"/><Relationship Id="rId13" Type="http://schemas.openxmlformats.org/officeDocument/2006/relationships/chart" Target="../charts/chart16.xml"/><Relationship Id="rId14" Type="http://schemas.openxmlformats.org/officeDocument/2006/relationships/chart" Target="../charts/chart17.xml"/>
</Relationships>
</file>

<file path=xl/drawings/_rels/drawing5.xml.rels><?xml version="1.0" encoding="UTF-8"?>
<Relationships xmlns="http://schemas.openxmlformats.org/package/2006/relationships"><Relationship Id="rId1" Type="http://schemas.openxmlformats.org/officeDocument/2006/relationships/chart" Target="../charts/chart18.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104760</xdr:colOff>
      <xdr:row>0</xdr:row>
      <xdr:rowOff>66600</xdr:rowOff>
    </xdr:from>
    <xdr:to>
      <xdr:col>3</xdr:col>
      <xdr:colOff>156960</xdr:colOff>
      <xdr:row>3</xdr:row>
      <xdr:rowOff>159120</xdr:rowOff>
    </xdr:to>
    <xdr:pic>
      <xdr:nvPicPr>
        <xdr:cNvPr id="1" name="image1.png"/>
        <xdr:cNvPicPr/>
      </xdr:nvPicPr>
      <xdr:blipFill>
        <a:blip r:embed="rId1"/>
        <a:stretch/>
      </xdr:blipFill>
      <xdr:spPr>
        <a:xfrm>
          <a:off x="316080" y="66600"/>
          <a:ext cx="2026080" cy="105444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828000</xdr:colOff>
      <xdr:row>2</xdr:row>
      <xdr:rowOff>292320</xdr:rowOff>
    </xdr:to>
    <xdr:pic>
      <xdr:nvPicPr>
        <xdr:cNvPr id="2" name="image1.png"/>
        <xdr:cNvPicPr/>
      </xdr:nvPicPr>
      <xdr:blipFill>
        <a:blip r:embed="rId1"/>
        <a:stretch/>
      </xdr:blipFill>
      <xdr:spPr>
        <a:xfrm>
          <a:off x="0" y="0"/>
          <a:ext cx="2026080" cy="105444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181080</xdr:colOff>
      <xdr:row>22</xdr:row>
      <xdr:rowOff>76320</xdr:rowOff>
    </xdr:from>
    <xdr:to>
      <xdr:col>6</xdr:col>
      <xdr:colOff>852480</xdr:colOff>
      <xdr:row>39</xdr:row>
      <xdr:rowOff>35640</xdr:rowOff>
    </xdr:to>
    <xdr:graphicFrame>
      <xdr:nvGraphicFramePr>
        <xdr:cNvPr id="3" name="Chart 1"/>
        <xdr:cNvGraphicFramePr/>
      </xdr:nvGraphicFramePr>
      <xdr:xfrm>
        <a:off x="181080" y="4953240"/>
        <a:ext cx="5816880" cy="33595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276120</xdr:colOff>
      <xdr:row>22</xdr:row>
      <xdr:rowOff>76320</xdr:rowOff>
    </xdr:from>
    <xdr:to>
      <xdr:col>13</xdr:col>
      <xdr:colOff>94320</xdr:colOff>
      <xdr:row>39</xdr:row>
      <xdr:rowOff>35640</xdr:rowOff>
    </xdr:to>
    <xdr:graphicFrame>
      <xdr:nvGraphicFramePr>
        <xdr:cNvPr id="4" name="Chart 2"/>
        <xdr:cNvGraphicFramePr/>
      </xdr:nvGraphicFramePr>
      <xdr:xfrm>
        <a:off x="6559560" y="4953240"/>
        <a:ext cx="5921640" cy="33595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714240</xdr:colOff>
      <xdr:row>40</xdr:row>
      <xdr:rowOff>190440</xdr:rowOff>
    </xdr:from>
    <xdr:to>
      <xdr:col>11</xdr:col>
      <xdr:colOff>1800</xdr:colOff>
      <xdr:row>54</xdr:row>
      <xdr:rowOff>130320</xdr:rowOff>
    </xdr:to>
    <xdr:graphicFrame>
      <xdr:nvGraphicFramePr>
        <xdr:cNvPr id="5" name="Chart 3"/>
        <xdr:cNvGraphicFramePr/>
      </xdr:nvGraphicFramePr>
      <xdr:xfrm>
        <a:off x="4308840" y="8667720"/>
        <a:ext cx="6045480" cy="30164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142920</xdr:colOff>
      <xdr:row>22</xdr:row>
      <xdr:rowOff>47520</xdr:rowOff>
    </xdr:from>
    <xdr:to>
      <xdr:col>5</xdr:col>
      <xdr:colOff>612360</xdr:colOff>
      <xdr:row>36</xdr:row>
      <xdr:rowOff>130320</xdr:rowOff>
    </xdr:to>
    <xdr:graphicFrame>
      <xdr:nvGraphicFramePr>
        <xdr:cNvPr id="6" name="Chart 1"/>
        <xdr:cNvGraphicFramePr/>
      </xdr:nvGraphicFramePr>
      <xdr:xfrm>
        <a:off x="142920" y="5124240"/>
        <a:ext cx="5293080" cy="2883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142920</xdr:colOff>
      <xdr:row>57</xdr:row>
      <xdr:rowOff>123840</xdr:rowOff>
    </xdr:from>
    <xdr:to>
      <xdr:col>13</xdr:col>
      <xdr:colOff>452520</xdr:colOff>
      <xdr:row>72</xdr:row>
      <xdr:rowOff>120600</xdr:rowOff>
    </xdr:to>
    <xdr:graphicFrame>
      <xdr:nvGraphicFramePr>
        <xdr:cNvPr id="7" name="Chart 2"/>
        <xdr:cNvGraphicFramePr/>
      </xdr:nvGraphicFramePr>
      <xdr:xfrm>
        <a:off x="7715160" y="12401640"/>
        <a:ext cx="5807520" cy="31017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847800</xdr:colOff>
      <xdr:row>98</xdr:row>
      <xdr:rowOff>190440</xdr:rowOff>
    </xdr:from>
    <xdr:to>
      <xdr:col>11</xdr:col>
      <xdr:colOff>8640</xdr:colOff>
      <xdr:row>113</xdr:row>
      <xdr:rowOff>120960</xdr:rowOff>
    </xdr:to>
    <xdr:graphicFrame>
      <xdr:nvGraphicFramePr>
        <xdr:cNvPr id="8" name="Chart 3"/>
        <xdr:cNvGraphicFramePr/>
      </xdr:nvGraphicFramePr>
      <xdr:xfrm>
        <a:off x="4754880" y="20907360"/>
        <a:ext cx="5293080" cy="29307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723960</xdr:colOff>
      <xdr:row>82</xdr:row>
      <xdr:rowOff>0</xdr:rowOff>
    </xdr:from>
    <xdr:to>
      <xdr:col>9</xdr:col>
      <xdr:colOff>519120</xdr:colOff>
      <xdr:row>95</xdr:row>
      <xdr:rowOff>141840</xdr:rowOff>
    </xdr:to>
    <xdr:graphicFrame>
      <xdr:nvGraphicFramePr>
        <xdr:cNvPr id="9" name="Chart 4"/>
        <xdr:cNvGraphicFramePr/>
      </xdr:nvGraphicFramePr>
      <xdr:xfrm>
        <a:off x="3714840" y="17382960"/>
        <a:ext cx="5293080" cy="28756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9360</xdr:colOff>
      <xdr:row>117</xdr:row>
      <xdr:rowOff>190440</xdr:rowOff>
    </xdr:from>
    <xdr:to>
      <xdr:col>9</xdr:col>
      <xdr:colOff>720720</xdr:colOff>
      <xdr:row>132</xdr:row>
      <xdr:rowOff>73080</xdr:rowOff>
    </xdr:to>
    <xdr:graphicFrame>
      <xdr:nvGraphicFramePr>
        <xdr:cNvPr id="10" name="Chart 5"/>
        <xdr:cNvGraphicFramePr/>
      </xdr:nvGraphicFramePr>
      <xdr:xfrm>
        <a:off x="3916440" y="24707880"/>
        <a:ext cx="5293080" cy="288288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847800</xdr:colOff>
      <xdr:row>134</xdr:row>
      <xdr:rowOff>190440</xdr:rowOff>
    </xdr:from>
    <xdr:to>
      <xdr:col>11</xdr:col>
      <xdr:colOff>8640</xdr:colOff>
      <xdr:row>149</xdr:row>
      <xdr:rowOff>73440</xdr:rowOff>
    </xdr:to>
    <xdr:graphicFrame>
      <xdr:nvGraphicFramePr>
        <xdr:cNvPr id="11" name="Chart 6"/>
        <xdr:cNvGraphicFramePr/>
      </xdr:nvGraphicFramePr>
      <xdr:xfrm>
        <a:off x="4754880" y="28108080"/>
        <a:ext cx="5293080" cy="28836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1724040</xdr:colOff>
      <xdr:row>150</xdr:row>
      <xdr:rowOff>190440</xdr:rowOff>
    </xdr:from>
    <xdr:to>
      <xdr:col>8</xdr:col>
      <xdr:colOff>603000</xdr:colOff>
      <xdr:row>165</xdr:row>
      <xdr:rowOff>73440</xdr:rowOff>
    </xdr:to>
    <xdr:graphicFrame>
      <xdr:nvGraphicFramePr>
        <xdr:cNvPr id="12" name="Chart 7"/>
        <xdr:cNvGraphicFramePr/>
      </xdr:nvGraphicFramePr>
      <xdr:xfrm>
        <a:off x="2882160" y="31308480"/>
        <a:ext cx="5293080" cy="288360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1724040</xdr:colOff>
      <xdr:row>166</xdr:row>
      <xdr:rowOff>181080</xdr:rowOff>
    </xdr:from>
    <xdr:to>
      <xdr:col>8</xdr:col>
      <xdr:colOff>603000</xdr:colOff>
      <xdr:row>180</xdr:row>
      <xdr:rowOff>63720</xdr:rowOff>
    </xdr:to>
    <xdr:graphicFrame>
      <xdr:nvGraphicFramePr>
        <xdr:cNvPr id="13" name="Chart 8"/>
        <xdr:cNvGraphicFramePr/>
      </xdr:nvGraphicFramePr>
      <xdr:xfrm>
        <a:off x="2882160" y="34499520"/>
        <a:ext cx="5293080" cy="268308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xdr:col>
      <xdr:colOff>1724040</xdr:colOff>
      <xdr:row>182</xdr:row>
      <xdr:rowOff>190440</xdr:rowOff>
    </xdr:from>
    <xdr:to>
      <xdr:col>8</xdr:col>
      <xdr:colOff>603000</xdr:colOff>
      <xdr:row>196</xdr:row>
      <xdr:rowOff>73080</xdr:rowOff>
    </xdr:to>
    <xdr:graphicFrame>
      <xdr:nvGraphicFramePr>
        <xdr:cNvPr id="14" name="Chart 9"/>
        <xdr:cNvGraphicFramePr/>
      </xdr:nvGraphicFramePr>
      <xdr:xfrm>
        <a:off x="2882160" y="37709280"/>
        <a:ext cx="5293080" cy="26830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781200</xdr:colOff>
      <xdr:row>39</xdr:row>
      <xdr:rowOff>190440</xdr:rowOff>
    </xdr:from>
    <xdr:to>
      <xdr:col>15</xdr:col>
      <xdr:colOff>527040</xdr:colOff>
      <xdr:row>55</xdr:row>
      <xdr:rowOff>25560</xdr:rowOff>
    </xdr:to>
    <xdr:graphicFrame>
      <xdr:nvGraphicFramePr>
        <xdr:cNvPr id="15" name="Chart 10"/>
        <xdr:cNvGraphicFramePr/>
      </xdr:nvGraphicFramePr>
      <xdr:xfrm>
        <a:off x="10820520" y="8667720"/>
        <a:ext cx="4045320" cy="323568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xdr:col>
      <xdr:colOff>723960</xdr:colOff>
      <xdr:row>199</xdr:row>
      <xdr:rowOff>0</xdr:rowOff>
    </xdr:from>
    <xdr:to>
      <xdr:col>9</xdr:col>
      <xdr:colOff>414360</xdr:colOff>
      <xdr:row>215</xdr:row>
      <xdr:rowOff>35280</xdr:rowOff>
    </xdr:to>
    <xdr:graphicFrame>
      <xdr:nvGraphicFramePr>
        <xdr:cNvPr id="16" name="Chart 11"/>
        <xdr:cNvGraphicFramePr/>
      </xdr:nvGraphicFramePr>
      <xdr:xfrm>
        <a:off x="3714840" y="40919400"/>
        <a:ext cx="5188320" cy="323568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12</xdr:col>
      <xdr:colOff>0</xdr:colOff>
      <xdr:row>217</xdr:row>
      <xdr:rowOff>198720</xdr:rowOff>
    </xdr:from>
    <xdr:to>
      <xdr:col>18</xdr:col>
      <xdr:colOff>852480</xdr:colOff>
      <xdr:row>228</xdr:row>
      <xdr:rowOff>72000</xdr:rowOff>
    </xdr:to>
    <xdr:graphicFrame>
      <xdr:nvGraphicFramePr>
        <xdr:cNvPr id="17" name="Chart 12"/>
        <xdr:cNvGraphicFramePr/>
      </xdr:nvGraphicFramePr>
      <xdr:xfrm>
        <a:off x="12435840" y="44718480"/>
        <a:ext cx="5807520" cy="335952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12</xdr:col>
      <xdr:colOff>0</xdr:colOff>
      <xdr:row>229</xdr:row>
      <xdr:rowOff>47520</xdr:rowOff>
    </xdr:from>
    <xdr:to>
      <xdr:col>18</xdr:col>
      <xdr:colOff>852480</xdr:colOff>
      <xdr:row>247</xdr:row>
      <xdr:rowOff>82440</xdr:rowOff>
    </xdr:to>
    <xdr:graphicFrame>
      <xdr:nvGraphicFramePr>
        <xdr:cNvPr id="18" name="Chart 13"/>
        <xdr:cNvGraphicFramePr/>
      </xdr:nvGraphicFramePr>
      <xdr:xfrm>
        <a:off x="12435840" y="48253680"/>
        <a:ext cx="5807520" cy="363528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5</xdr:col>
      <xdr:colOff>514440</xdr:colOff>
      <xdr:row>229</xdr:row>
      <xdr:rowOff>47520</xdr:rowOff>
    </xdr:from>
    <xdr:to>
      <xdr:col>11</xdr:col>
      <xdr:colOff>1106280</xdr:colOff>
      <xdr:row>247</xdr:row>
      <xdr:rowOff>82440</xdr:rowOff>
    </xdr:to>
    <xdr:graphicFrame>
      <xdr:nvGraphicFramePr>
        <xdr:cNvPr id="19" name="Chart 14"/>
        <xdr:cNvGraphicFramePr/>
      </xdr:nvGraphicFramePr>
      <xdr:xfrm>
        <a:off x="5338080" y="48253680"/>
        <a:ext cx="5807520" cy="363528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162000</xdr:colOff>
      <xdr:row>5</xdr:row>
      <xdr:rowOff>0</xdr:rowOff>
    </xdr:from>
    <xdr:to>
      <xdr:col>17</xdr:col>
      <xdr:colOff>559080</xdr:colOff>
      <xdr:row>10</xdr:row>
      <xdr:rowOff>80280</xdr:rowOff>
    </xdr:to>
    <xdr:graphicFrame>
      <xdr:nvGraphicFramePr>
        <xdr:cNvPr id="20" name="Chart 1"/>
        <xdr:cNvGraphicFramePr/>
      </xdr:nvGraphicFramePr>
      <xdr:xfrm>
        <a:off x="10593720" y="990720"/>
        <a:ext cx="5483520" cy="31280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4.xml"/><Relationship Id="rId3"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0.xml.rels><?xml version="1.0" encoding="UTF-8"?>
<Relationships xmlns="http://schemas.openxmlformats.org/package/2006/relationships"><Relationship Id="rId1" Type="http://schemas.openxmlformats.org/officeDocument/2006/relationships/drawing" Target="../drawings/drawing7.xml"/>
</Relationships>
</file>

<file path=xl/worksheets/_rels/sheet11.xml.rels><?xml version="1.0" encoding="UTF-8"?>
<Relationships xmlns="http://schemas.openxmlformats.org/package/2006/relationships"><Relationship Id="rId1" Type="http://schemas.openxmlformats.org/officeDocument/2006/relationships/drawing" Target="../drawings/drawing8.xml"/>
</Relationships>
</file>

<file path=xl/worksheets/_rels/sheet12.xml.rels><?xml version="1.0" encoding="UTF-8"?>
<Relationships xmlns="http://schemas.openxmlformats.org/package/2006/relationships"><Relationship Id="rId1" Type="http://schemas.openxmlformats.org/officeDocument/2006/relationships/drawing" Target="../drawings/drawing9.xml"/>
</Relationships>
</file>

<file path=xl/worksheets/_rels/sheet13.xml.rels><?xml version="1.0" encoding="UTF-8"?>
<Relationships xmlns="http://schemas.openxmlformats.org/package/2006/relationships"><Relationship Id="rId1" Type="http://schemas.openxmlformats.org/officeDocument/2006/relationships/drawing" Target="../drawings/drawing10.xml"/>
</Relationships>
</file>

<file path=xl/worksheets/_rels/sheet14.xml.rels><?xml version="1.0" encoding="UTF-8"?>
<Relationships xmlns="http://schemas.openxmlformats.org/package/2006/relationships"><Relationship Id="rId1" Type="http://schemas.openxmlformats.org/officeDocument/2006/relationships/drawing" Target="../drawings/drawing11.xml"/>
</Relationships>
</file>

<file path=xl/worksheets/_rels/sheet15.xml.rels><?xml version="1.0" encoding="UTF-8"?>
<Relationships xmlns="http://schemas.openxmlformats.org/package/2006/relationships"><Relationship Id="rId1" Type="http://schemas.openxmlformats.org/officeDocument/2006/relationships/drawing" Target="../drawings/drawing12.xml"/>
</Relationships>
</file>

<file path=xl/worksheets/_rels/sheet16.xml.rels><?xml version="1.0" encoding="UTF-8"?>
<Relationships xmlns="http://schemas.openxmlformats.org/package/2006/relationships"><Relationship Id="rId1" Type="http://schemas.openxmlformats.org/officeDocument/2006/relationships/drawing" Target="../drawings/drawing13.xml"/>
</Relationships>
</file>

<file path=xl/worksheets/_rels/sheet17.xml.rels><?xml version="1.0" encoding="UTF-8"?>
<Relationships xmlns="http://schemas.openxmlformats.org/package/2006/relationships"><Relationship Id="rId1" Type="http://schemas.openxmlformats.org/officeDocument/2006/relationships/drawing" Target="../drawings/drawing14.xml"/>
</Relationships>
</file>

<file path=xl/worksheets/_rels/sheet18.xml.rels><?xml version="1.0" encoding="UTF-8"?>
<Relationships xmlns="http://schemas.openxmlformats.org/package/2006/relationships"><Relationship Id="rId1" Type="http://schemas.openxmlformats.org/officeDocument/2006/relationships/drawing" Target="../drawings/drawing15.xml"/>
</Relationships>
</file>

<file path=xl/worksheets/_rels/sheet19.xml.rels><?xml version="1.0" encoding="UTF-8"?>
<Relationships xmlns="http://schemas.openxmlformats.org/package/2006/relationships"><Relationship Id="rId1" Type="http://schemas.openxmlformats.org/officeDocument/2006/relationships/drawing" Target="../drawings/drawing1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1000"/>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1" width="3"/>
    <col collapsed="false" customWidth="true" hidden="false" outlineLevel="0" max="4" min="2" style="1" width="14"/>
    <col collapsed="false" customWidth="true" hidden="false" outlineLevel="0" max="6" min="5" style="1" width="18"/>
    <col collapsed="false" customWidth="true" hidden="false" outlineLevel="0" max="7" min="7" style="1" width="16"/>
    <col collapsed="false" customWidth="true" hidden="false" outlineLevel="0" max="8" min="8" style="1" width="14"/>
  </cols>
  <sheetData>
    <row r="1" customFormat="false" ht="30" hidden="false" customHeight="true" outlineLevel="0" collapsed="false">
      <c r="I1" s="1"/>
    </row>
    <row r="2" customFormat="false" ht="30" hidden="false" customHeight="true" outlineLevel="0" collapsed="false">
      <c r="F2" s="2"/>
      <c r="G2" s="2"/>
      <c r="H2" s="2"/>
      <c r="I2" s="1"/>
    </row>
    <row r="3" customFormat="false" ht="15.75" hidden="false" customHeight="true" outlineLevel="0" collapsed="false">
      <c r="I3" s="1"/>
    </row>
    <row r="4" customFormat="false" ht="15" hidden="false" customHeight="true" outlineLevel="0" collapsed="false">
      <c r="I4" s="1"/>
    </row>
    <row r="5" customFormat="false" ht="15" hidden="false" customHeight="true" outlineLevel="0" collapsed="false">
      <c r="I5" s="1"/>
    </row>
    <row r="6" customFormat="false" ht="33.75" hidden="false" customHeight="true" outlineLevel="0" collapsed="false">
      <c r="B6" s="3" t="s">
        <v>0</v>
      </c>
      <c r="C6" s="3"/>
      <c r="D6" s="3"/>
      <c r="E6" s="3"/>
      <c r="F6" s="3"/>
      <c r="G6" s="3"/>
      <c r="H6" s="3"/>
      <c r="I6" s="1"/>
    </row>
    <row r="7" customFormat="false" ht="15" hidden="false" customHeight="true" outlineLevel="0" collapsed="false">
      <c r="I7" s="1"/>
    </row>
    <row r="8" customFormat="false" ht="38.25" hidden="false" customHeight="true" outlineLevel="0" collapsed="false">
      <c r="B8" s="4" t="s">
        <v>1</v>
      </c>
      <c r="C8" s="4"/>
      <c r="D8" s="4"/>
      <c r="E8" s="4"/>
      <c r="F8" s="4"/>
      <c r="G8" s="4"/>
      <c r="H8" s="4"/>
      <c r="I8" s="1"/>
    </row>
    <row r="9" customFormat="false" ht="15.75" hidden="false" customHeight="true" outlineLevel="0" collapsed="false">
      <c r="B9" s="5" t="s">
        <v>2</v>
      </c>
      <c r="C9" s="5"/>
      <c r="D9" s="5"/>
      <c r="E9" s="5"/>
      <c r="F9" s="5"/>
      <c r="G9" s="5"/>
      <c r="H9" s="5"/>
      <c r="I9" s="1"/>
    </row>
    <row r="10" customFormat="false" ht="15" hidden="false" customHeight="true" outlineLevel="0" collapsed="false">
      <c r="I10" s="1"/>
    </row>
    <row r="11" customFormat="false" ht="15" hidden="false" customHeight="true" outlineLevel="0" collapsed="false">
      <c r="I11" s="1"/>
    </row>
    <row r="12" customFormat="false" ht="21.75" hidden="false" customHeight="true" outlineLevel="0" collapsed="false">
      <c r="C12" s="6" t="s">
        <v>3</v>
      </c>
      <c r="D12" s="6"/>
      <c r="E12" s="7" t="s">
        <v>4</v>
      </c>
      <c r="F12" s="7"/>
      <c r="G12" s="7"/>
    </row>
    <row r="13" customFormat="false" ht="21.75" hidden="false" customHeight="true" outlineLevel="0" collapsed="false">
      <c r="C13" s="6" t="s">
        <v>5</v>
      </c>
      <c r="D13" s="6"/>
      <c r="E13" s="7" t="s">
        <v>6</v>
      </c>
      <c r="F13" s="7"/>
      <c r="G13" s="7"/>
    </row>
    <row r="14" customFormat="false" ht="15" hidden="false" customHeight="true" outlineLevel="0" collapsed="false">
      <c r="I14" s="1"/>
    </row>
    <row r="15" customFormat="false" ht="15" hidden="false" customHeight="true" outlineLevel="0" collapsed="false">
      <c r="B15" s="8" t="s">
        <v>7</v>
      </c>
      <c r="C15" s="8"/>
      <c r="D15" s="8"/>
      <c r="E15" s="8"/>
      <c r="F15" s="8"/>
      <c r="G15" s="8"/>
      <c r="H15" s="8"/>
      <c r="I15" s="1"/>
    </row>
    <row r="16" customFormat="false" ht="15" hidden="false" customHeight="true" outlineLevel="0" collapsed="false">
      <c r="B16" s="9" t="s">
        <v>8</v>
      </c>
      <c r="C16" s="9"/>
      <c r="D16" s="9"/>
      <c r="E16" s="9"/>
      <c r="F16" s="9"/>
      <c r="G16" s="9"/>
      <c r="H16" s="9"/>
      <c r="I16" s="1"/>
    </row>
    <row r="17" customFormat="false" ht="15" hidden="false" customHeight="true" outlineLevel="0" collapsed="false">
      <c r="B17" s="9"/>
      <c r="C17" s="9"/>
      <c r="D17" s="9"/>
      <c r="E17" s="9"/>
      <c r="F17" s="9"/>
      <c r="G17" s="9"/>
      <c r="H17" s="9"/>
      <c r="I17" s="1"/>
    </row>
    <row r="18" customFormat="false" ht="15" hidden="false" customHeight="true" outlineLevel="0" collapsed="false">
      <c r="I18" s="1"/>
    </row>
    <row r="19" customFormat="false" ht="15.75" hidden="false" customHeight="true" outlineLevel="0" collapsed="false">
      <c r="I19" s="1"/>
    </row>
    <row r="20" customFormat="false" ht="15.75" hidden="false" customHeight="true" outlineLevel="0" collapsed="false">
      <c r="I20" s="1"/>
    </row>
    <row r="21" customFormat="false" ht="15.75" hidden="false" customHeight="true" outlineLevel="0" collapsed="false">
      <c r="I21" s="1"/>
    </row>
    <row r="22" customFormat="false" ht="15.75" hidden="false" customHeight="true" outlineLevel="0" collapsed="false">
      <c r="I22" s="1"/>
    </row>
    <row r="23" customFormat="false" ht="15.75" hidden="false" customHeight="true" outlineLevel="0" collapsed="false">
      <c r="I23" s="1"/>
    </row>
    <row r="24" customFormat="false" ht="15.75" hidden="false" customHeight="true" outlineLevel="0" collapsed="false">
      <c r="I24" s="1"/>
    </row>
    <row r="25" customFormat="false" ht="15.75" hidden="false" customHeight="true" outlineLevel="0" collapsed="false">
      <c r="I25" s="1"/>
    </row>
    <row r="26" customFormat="false" ht="15.75" hidden="false" customHeight="true" outlineLevel="0" collapsed="false">
      <c r="I26" s="1"/>
    </row>
    <row r="27" customFormat="false" ht="15.75" hidden="false" customHeight="true" outlineLevel="0" collapsed="false">
      <c r="I27" s="1"/>
    </row>
    <row r="28" customFormat="false" ht="15.75" hidden="false" customHeight="true" outlineLevel="0" collapsed="false">
      <c r="I28" s="1"/>
    </row>
    <row r="29" customFormat="false" ht="15.75" hidden="false" customHeight="true" outlineLevel="0" collapsed="false">
      <c r="I29" s="1"/>
    </row>
    <row r="30" customFormat="false" ht="15.75" hidden="false" customHeight="true" outlineLevel="0" collapsed="false">
      <c r="I30" s="1"/>
    </row>
    <row r="31" customFormat="false" ht="15.75" hidden="false" customHeight="true" outlineLevel="0" collapsed="false">
      <c r="I31" s="1"/>
    </row>
    <row r="32" customFormat="false" ht="15.75" hidden="false" customHeight="true" outlineLevel="0" collapsed="false">
      <c r="I32" s="1"/>
    </row>
    <row r="33" customFormat="false" ht="15.75" hidden="false" customHeight="true" outlineLevel="0" collapsed="false">
      <c r="I33" s="1"/>
    </row>
    <row r="34" customFormat="false" ht="15.75" hidden="false" customHeight="true" outlineLevel="0" collapsed="false">
      <c r="I34" s="1"/>
    </row>
    <row r="35" customFormat="false" ht="15.75" hidden="false" customHeight="true" outlineLevel="0" collapsed="false">
      <c r="I35" s="1"/>
    </row>
    <row r="36" customFormat="false" ht="15.75" hidden="false" customHeight="true" outlineLevel="0" collapsed="false">
      <c r="I36" s="1"/>
    </row>
    <row r="37" customFormat="false" ht="15.75" hidden="false" customHeight="true" outlineLevel="0" collapsed="false">
      <c r="I37" s="1"/>
    </row>
    <row r="38" customFormat="false" ht="15.75" hidden="false" customHeight="true" outlineLevel="0" collapsed="false">
      <c r="I38" s="1"/>
    </row>
    <row r="39" customFormat="false" ht="15.75" hidden="false" customHeight="true" outlineLevel="0" collapsed="false">
      <c r="I39" s="1"/>
    </row>
    <row r="40" customFormat="false" ht="15.75" hidden="false" customHeight="true" outlineLevel="0" collapsed="false">
      <c r="I40" s="1"/>
    </row>
    <row r="41" customFormat="false" ht="15.75" hidden="false" customHeight="true" outlineLevel="0" collapsed="false">
      <c r="I41" s="1"/>
    </row>
    <row r="42" customFormat="false" ht="15.75" hidden="false" customHeight="true" outlineLevel="0" collapsed="false">
      <c r="I42" s="1"/>
    </row>
    <row r="43" customFormat="false" ht="15.75" hidden="false" customHeight="true" outlineLevel="0" collapsed="false">
      <c r="I43" s="1"/>
    </row>
    <row r="44" customFormat="false" ht="15.75" hidden="false" customHeight="true" outlineLevel="0" collapsed="false">
      <c r="I44" s="1"/>
    </row>
    <row r="45" customFormat="false" ht="15.75" hidden="false" customHeight="true" outlineLevel="0" collapsed="false">
      <c r="I45" s="1"/>
    </row>
    <row r="46" customFormat="false" ht="15.75" hidden="false" customHeight="true" outlineLevel="0" collapsed="false">
      <c r="I46" s="1"/>
    </row>
    <row r="47" customFormat="false" ht="15.75" hidden="false" customHeight="true" outlineLevel="0" collapsed="false">
      <c r="I47" s="1"/>
    </row>
    <row r="48" customFormat="false" ht="15.75" hidden="false" customHeight="true" outlineLevel="0" collapsed="false">
      <c r="I48" s="1"/>
    </row>
    <row r="49" customFormat="false" ht="15.75" hidden="false" customHeight="true" outlineLevel="0" collapsed="false">
      <c r="I49" s="1"/>
    </row>
    <row r="50" customFormat="false" ht="15.75" hidden="false" customHeight="true" outlineLevel="0" collapsed="false">
      <c r="I50" s="1"/>
    </row>
    <row r="51" customFormat="false" ht="15.75" hidden="false" customHeight="true" outlineLevel="0" collapsed="false">
      <c r="I51" s="1"/>
    </row>
    <row r="52" customFormat="false" ht="15.75" hidden="false" customHeight="true" outlineLevel="0" collapsed="false">
      <c r="I52" s="1"/>
    </row>
    <row r="53" customFormat="false" ht="15.75" hidden="false" customHeight="true" outlineLevel="0" collapsed="false">
      <c r="I53" s="1"/>
    </row>
    <row r="54" customFormat="false" ht="15.75" hidden="false" customHeight="true" outlineLevel="0" collapsed="false">
      <c r="I54" s="1"/>
    </row>
    <row r="55" customFormat="false" ht="15.75" hidden="false" customHeight="true" outlineLevel="0" collapsed="false">
      <c r="I55" s="1"/>
    </row>
    <row r="56" customFormat="false" ht="15.75" hidden="false" customHeight="true" outlineLevel="0" collapsed="false">
      <c r="I56" s="1"/>
    </row>
    <row r="57" customFormat="false" ht="15.75" hidden="false" customHeight="true" outlineLevel="0" collapsed="false">
      <c r="I57" s="1"/>
    </row>
    <row r="58" customFormat="false" ht="15.75" hidden="false" customHeight="true" outlineLevel="0" collapsed="false">
      <c r="I58" s="1"/>
    </row>
    <row r="59" customFormat="false" ht="15.75" hidden="false" customHeight="true" outlineLevel="0" collapsed="false">
      <c r="I59" s="1"/>
    </row>
    <row r="60" customFormat="false" ht="15.75" hidden="false" customHeight="true" outlineLevel="0" collapsed="false">
      <c r="I60" s="1"/>
    </row>
    <row r="61" customFormat="false" ht="15.75" hidden="false" customHeight="true" outlineLevel="0" collapsed="false">
      <c r="I61" s="1"/>
    </row>
    <row r="62" customFormat="false" ht="15.75" hidden="false" customHeight="true" outlineLevel="0" collapsed="false">
      <c r="I62" s="1"/>
    </row>
    <row r="63" customFormat="false" ht="15.75" hidden="false" customHeight="true" outlineLevel="0" collapsed="false">
      <c r="I63" s="1"/>
    </row>
    <row r="64" customFormat="false" ht="15.75" hidden="false" customHeight="true" outlineLevel="0" collapsed="false">
      <c r="I64" s="1"/>
    </row>
    <row r="65" customFormat="false" ht="15.75" hidden="false" customHeight="true" outlineLevel="0" collapsed="false">
      <c r="I65" s="1"/>
    </row>
    <row r="66" customFormat="false" ht="15.75" hidden="false" customHeight="true" outlineLevel="0" collapsed="false">
      <c r="I66" s="1"/>
    </row>
    <row r="67" customFormat="false" ht="15.75" hidden="false" customHeight="true" outlineLevel="0" collapsed="false">
      <c r="I67" s="1"/>
    </row>
    <row r="68" customFormat="false" ht="15.75" hidden="false" customHeight="true" outlineLevel="0" collapsed="false">
      <c r="I68" s="1"/>
    </row>
    <row r="69" customFormat="false" ht="15.75" hidden="false" customHeight="true" outlineLevel="0" collapsed="false">
      <c r="I69" s="1"/>
    </row>
    <row r="70" customFormat="false" ht="15.75" hidden="false" customHeight="true" outlineLevel="0" collapsed="false">
      <c r="I70" s="1"/>
    </row>
    <row r="71" customFormat="false" ht="15.75" hidden="false" customHeight="true" outlineLevel="0" collapsed="false">
      <c r="I71" s="1"/>
    </row>
    <row r="72" customFormat="false" ht="15.75" hidden="false" customHeight="true" outlineLevel="0" collapsed="false">
      <c r="I72" s="1"/>
    </row>
    <row r="73" customFormat="false" ht="15.75" hidden="false" customHeight="true" outlineLevel="0" collapsed="false">
      <c r="I73" s="1"/>
    </row>
    <row r="74" customFormat="false" ht="15.75" hidden="false" customHeight="true" outlineLevel="0" collapsed="false">
      <c r="I74" s="1"/>
    </row>
    <row r="75" customFormat="false" ht="15.75" hidden="false" customHeight="true" outlineLevel="0" collapsed="false">
      <c r="I75" s="1"/>
    </row>
    <row r="76" customFormat="false" ht="15.75" hidden="false" customHeight="true" outlineLevel="0" collapsed="false">
      <c r="I76" s="1"/>
    </row>
    <row r="77" customFormat="false" ht="15.75" hidden="false" customHeight="true" outlineLevel="0" collapsed="false">
      <c r="I77" s="1"/>
    </row>
    <row r="78" customFormat="false" ht="15.75" hidden="false" customHeight="true" outlineLevel="0" collapsed="false">
      <c r="I78" s="1"/>
    </row>
    <row r="79" customFormat="false" ht="15.75" hidden="false" customHeight="true" outlineLevel="0" collapsed="false">
      <c r="I79" s="1"/>
    </row>
    <row r="80" customFormat="false" ht="15.75" hidden="false" customHeight="true" outlineLevel="0" collapsed="false">
      <c r="I80" s="1"/>
    </row>
    <row r="81" customFormat="false" ht="15.75" hidden="false" customHeight="true" outlineLevel="0" collapsed="false">
      <c r="I81" s="1"/>
    </row>
    <row r="82" customFormat="false" ht="15.75" hidden="false" customHeight="true" outlineLevel="0" collapsed="false">
      <c r="I82" s="1"/>
    </row>
    <row r="83" customFormat="false" ht="15.75" hidden="false" customHeight="true" outlineLevel="0" collapsed="false">
      <c r="I83" s="1"/>
    </row>
    <row r="84" customFormat="false" ht="15.75" hidden="false" customHeight="true" outlineLevel="0" collapsed="false">
      <c r="I84" s="1"/>
    </row>
    <row r="85" customFormat="false" ht="15.75" hidden="false" customHeight="true" outlineLevel="0" collapsed="false">
      <c r="I85" s="1"/>
    </row>
    <row r="86" customFormat="false" ht="15.75" hidden="false" customHeight="true" outlineLevel="0" collapsed="false">
      <c r="I86" s="1"/>
    </row>
    <row r="87" customFormat="false" ht="15.75" hidden="false" customHeight="true" outlineLevel="0" collapsed="false">
      <c r="I87" s="1"/>
    </row>
    <row r="88" customFormat="false" ht="15.75" hidden="false" customHeight="true" outlineLevel="0" collapsed="false">
      <c r="I88" s="1"/>
    </row>
    <row r="89" customFormat="false" ht="15.75" hidden="false" customHeight="true" outlineLevel="0" collapsed="false">
      <c r="I89" s="1"/>
    </row>
    <row r="90" customFormat="false" ht="15.75" hidden="false" customHeight="true" outlineLevel="0" collapsed="false">
      <c r="I90" s="1"/>
    </row>
    <row r="91" customFormat="false" ht="15.75" hidden="false" customHeight="true" outlineLevel="0" collapsed="false">
      <c r="I91" s="1"/>
    </row>
    <row r="92" customFormat="false" ht="15.75" hidden="false" customHeight="true" outlineLevel="0" collapsed="false">
      <c r="I92" s="1"/>
    </row>
    <row r="93" customFormat="false" ht="15.75" hidden="false" customHeight="true" outlineLevel="0" collapsed="false">
      <c r="I93" s="1"/>
    </row>
    <row r="94" customFormat="false" ht="15.75" hidden="false" customHeight="true" outlineLevel="0" collapsed="false">
      <c r="I94" s="1"/>
    </row>
    <row r="95" customFormat="false" ht="15.75" hidden="false" customHeight="true" outlineLevel="0" collapsed="false">
      <c r="I95" s="1"/>
    </row>
    <row r="96" customFormat="false" ht="15.75" hidden="false" customHeight="true" outlineLevel="0" collapsed="false">
      <c r="I96" s="1"/>
    </row>
    <row r="97" customFormat="false" ht="15.75" hidden="false" customHeight="true" outlineLevel="0" collapsed="false">
      <c r="I97" s="1"/>
    </row>
    <row r="98" customFormat="false" ht="15.75" hidden="false" customHeight="true" outlineLevel="0" collapsed="false">
      <c r="I98" s="1"/>
    </row>
    <row r="99" customFormat="false" ht="15.75" hidden="false" customHeight="true" outlineLevel="0" collapsed="false">
      <c r="I99" s="1"/>
    </row>
    <row r="100" customFormat="false" ht="15.75" hidden="false" customHeight="true" outlineLevel="0" collapsed="false">
      <c r="I100" s="1"/>
    </row>
    <row r="101" customFormat="false" ht="15.75" hidden="false" customHeight="true" outlineLevel="0" collapsed="false">
      <c r="I101" s="1"/>
    </row>
    <row r="102" customFormat="false" ht="15.75" hidden="false" customHeight="true" outlineLevel="0" collapsed="false">
      <c r="I102" s="1"/>
    </row>
    <row r="103" customFormat="false" ht="15.75" hidden="false" customHeight="true" outlineLevel="0" collapsed="false">
      <c r="I103" s="1"/>
    </row>
    <row r="104" customFormat="false" ht="15.75" hidden="false" customHeight="true" outlineLevel="0" collapsed="false">
      <c r="I104" s="1"/>
    </row>
    <row r="105" customFormat="false" ht="15.75" hidden="false" customHeight="true" outlineLevel="0" collapsed="false">
      <c r="I105" s="1"/>
    </row>
    <row r="106" customFormat="false" ht="15.75" hidden="false" customHeight="true" outlineLevel="0" collapsed="false">
      <c r="I106" s="1"/>
    </row>
    <row r="107" customFormat="false" ht="15.75" hidden="false" customHeight="true" outlineLevel="0" collapsed="false">
      <c r="I107" s="1"/>
    </row>
    <row r="108" customFormat="false" ht="15.75" hidden="false" customHeight="true" outlineLevel="0" collapsed="false">
      <c r="I108" s="1"/>
    </row>
    <row r="109" customFormat="false" ht="15.75" hidden="false" customHeight="true" outlineLevel="0" collapsed="false">
      <c r="I109" s="1"/>
    </row>
    <row r="110" customFormat="false" ht="15.75" hidden="false" customHeight="true" outlineLevel="0" collapsed="false">
      <c r="I110" s="1"/>
    </row>
    <row r="111" customFormat="false" ht="15.75" hidden="false" customHeight="true" outlineLevel="0" collapsed="false">
      <c r="I111" s="1"/>
    </row>
    <row r="112" customFormat="false" ht="15.75" hidden="false" customHeight="true" outlineLevel="0" collapsed="false">
      <c r="I112" s="1"/>
    </row>
    <row r="113" customFormat="false" ht="15.75" hidden="false" customHeight="true" outlineLevel="0" collapsed="false">
      <c r="I113" s="1"/>
    </row>
    <row r="114" customFormat="false" ht="15.75" hidden="false" customHeight="true" outlineLevel="0" collapsed="false">
      <c r="I114" s="1"/>
    </row>
    <row r="115" customFormat="false" ht="15.75" hidden="false" customHeight="true" outlineLevel="0" collapsed="false">
      <c r="I115" s="1"/>
    </row>
    <row r="116" customFormat="false" ht="15.75" hidden="false" customHeight="true" outlineLevel="0" collapsed="false">
      <c r="I116" s="1"/>
    </row>
    <row r="117" customFormat="false" ht="15.75" hidden="false" customHeight="true" outlineLevel="0" collapsed="false">
      <c r="I117" s="1"/>
    </row>
    <row r="118" customFormat="false" ht="15.75" hidden="false" customHeight="true" outlineLevel="0" collapsed="false">
      <c r="I118" s="1"/>
    </row>
    <row r="119" customFormat="false" ht="15.75" hidden="false" customHeight="true" outlineLevel="0" collapsed="false">
      <c r="I119" s="1"/>
    </row>
    <row r="120" customFormat="false" ht="15.75" hidden="false" customHeight="true" outlineLevel="0" collapsed="false">
      <c r="I120" s="1"/>
    </row>
    <row r="121" customFormat="false" ht="15.75" hidden="false" customHeight="true" outlineLevel="0" collapsed="false">
      <c r="I121" s="1"/>
    </row>
    <row r="122" customFormat="false" ht="15.75" hidden="false" customHeight="true" outlineLevel="0" collapsed="false">
      <c r="I122" s="1"/>
    </row>
    <row r="123" customFormat="false" ht="15.75" hidden="false" customHeight="true" outlineLevel="0" collapsed="false">
      <c r="I123" s="1"/>
    </row>
    <row r="124" customFormat="false" ht="15.75" hidden="false" customHeight="true" outlineLevel="0" collapsed="false">
      <c r="I124" s="1"/>
    </row>
    <row r="125" customFormat="false" ht="15.75" hidden="false" customHeight="true" outlineLevel="0" collapsed="false">
      <c r="I125" s="1"/>
    </row>
    <row r="126" customFormat="false" ht="15.75" hidden="false" customHeight="true" outlineLevel="0" collapsed="false">
      <c r="I126" s="1"/>
    </row>
    <row r="127" customFormat="false" ht="15.75" hidden="false" customHeight="true" outlineLevel="0" collapsed="false">
      <c r="I127" s="1"/>
    </row>
    <row r="128" customFormat="false" ht="15.75" hidden="false" customHeight="true" outlineLevel="0" collapsed="false">
      <c r="I128" s="1"/>
    </row>
    <row r="129" customFormat="false" ht="15.75" hidden="false" customHeight="true" outlineLevel="0" collapsed="false">
      <c r="I129" s="1"/>
    </row>
    <row r="130" customFormat="false" ht="15.75" hidden="false" customHeight="true" outlineLevel="0" collapsed="false">
      <c r="I130" s="1"/>
    </row>
    <row r="131" customFormat="false" ht="15.75" hidden="false" customHeight="true" outlineLevel="0" collapsed="false">
      <c r="I131" s="1"/>
    </row>
    <row r="132" customFormat="false" ht="15.75" hidden="false" customHeight="true" outlineLevel="0" collapsed="false">
      <c r="I132" s="1"/>
    </row>
    <row r="133" customFormat="false" ht="15.75" hidden="false" customHeight="true" outlineLevel="0" collapsed="false">
      <c r="I133" s="1"/>
    </row>
    <row r="134" customFormat="false" ht="15.75" hidden="false" customHeight="true" outlineLevel="0" collapsed="false">
      <c r="I134" s="1"/>
    </row>
    <row r="135" customFormat="false" ht="15.75" hidden="false" customHeight="true" outlineLevel="0" collapsed="false">
      <c r="I135" s="1"/>
    </row>
    <row r="136" customFormat="false" ht="15.75" hidden="false" customHeight="true" outlineLevel="0" collapsed="false">
      <c r="I136" s="1"/>
    </row>
    <row r="137" customFormat="false" ht="15.75" hidden="false" customHeight="true" outlineLevel="0" collapsed="false">
      <c r="I137" s="1"/>
    </row>
    <row r="138" customFormat="false" ht="15.75" hidden="false" customHeight="true" outlineLevel="0" collapsed="false">
      <c r="I138" s="1"/>
    </row>
    <row r="139" customFormat="false" ht="15.75" hidden="false" customHeight="true" outlineLevel="0" collapsed="false">
      <c r="I139" s="1"/>
    </row>
    <row r="140" customFormat="false" ht="15.75" hidden="false" customHeight="true" outlineLevel="0" collapsed="false">
      <c r="I140" s="1"/>
    </row>
    <row r="141" customFormat="false" ht="15.75" hidden="false" customHeight="true" outlineLevel="0" collapsed="false">
      <c r="I141" s="1"/>
    </row>
    <row r="142" customFormat="false" ht="15.75" hidden="false" customHeight="true" outlineLevel="0" collapsed="false">
      <c r="I142" s="1"/>
    </row>
    <row r="143" customFormat="false" ht="15.75" hidden="false" customHeight="true" outlineLevel="0" collapsed="false">
      <c r="I143" s="1"/>
    </row>
    <row r="144" customFormat="false" ht="15.75" hidden="false" customHeight="true" outlineLevel="0" collapsed="false">
      <c r="I144" s="1"/>
    </row>
    <row r="145" customFormat="false" ht="15.75" hidden="false" customHeight="true" outlineLevel="0" collapsed="false">
      <c r="I145" s="1"/>
    </row>
    <row r="146" customFormat="false" ht="15.75" hidden="false" customHeight="true" outlineLevel="0" collapsed="false">
      <c r="I146" s="1"/>
    </row>
    <row r="147" customFormat="false" ht="15.75" hidden="false" customHeight="true" outlineLevel="0" collapsed="false">
      <c r="I147" s="1"/>
    </row>
    <row r="148" customFormat="false" ht="15.75" hidden="false" customHeight="true" outlineLevel="0" collapsed="false">
      <c r="I148" s="1"/>
    </row>
    <row r="149" customFormat="false" ht="15.75" hidden="false" customHeight="true" outlineLevel="0" collapsed="false">
      <c r="I149" s="1"/>
    </row>
    <row r="150" customFormat="false" ht="15.75" hidden="false" customHeight="true" outlineLevel="0" collapsed="false">
      <c r="I150" s="1"/>
    </row>
    <row r="151" customFormat="false" ht="15.75" hidden="false" customHeight="true" outlineLevel="0" collapsed="false">
      <c r="I151" s="1"/>
    </row>
    <row r="152" customFormat="false" ht="15.75" hidden="false" customHeight="true" outlineLevel="0" collapsed="false">
      <c r="I152" s="1"/>
    </row>
    <row r="153" customFormat="false" ht="15.75" hidden="false" customHeight="true" outlineLevel="0" collapsed="false">
      <c r="I153" s="1"/>
    </row>
    <row r="154" customFormat="false" ht="15.75" hidden="false" customHeight="true" outlineLevel="0" collapsed="false">
      <c r="I154" s="1"/>
    </row>
    <row r="155" customFormat="false" ht="15.75" hidden="false" customHeight="true" outlineLevel="0" collapsed="false">
      <c r="I155" s="1"/>
    </row>
    <row r="156" customFormat="false" ht="15.75" hidden="false" customHeight="true" outlineLevel="0" collapsed="false">
      <c r="I156" s="1"/>
    </row>
    <row r="157" customFormat="false" ht="15.75" hidden="false" customHeight="true" outlineLevel="0" collapsed="false">
      <c r="I157" s="1"/>
    </row>
    <row r="158" customFormat="false" ht="15.75" hidden="false" customHeight="true" outlineLevel="0" collapsed="false">
      <c r="I158" s="1"/>
    </row>
    <row r="159" customFormat="false" ht="15.75" hidden="false" customHeight="true" outlineLevel="0" collapsed="false">
      <c r="I159" s="1"/>
    </row>
    <row r="160" customFormat="false" ht="15.75" hidden="false" customHeight="true" outlineLevel="0" collapsed="false">
      <c r="I160" s="1"/>
    </row>
    <row r="161" customFormat="false" ht="15.75" hidden="false" customHeight="true" outlineLevel="0" collapsed="false">
      <c r="I161" s="1"/>
    </row>
    <row r="162" customFormat="false" ht="15.75" hidden="false" customHeight="true" outlineLevel="0" collapsed="false">
      <c r="I162" s="1"/>
    </row>
    <row r="163" customFormat="false" ht="15.75" hidden="false" customHeight="true" outlineLevel="0" collapsed="false">
      <c r="I163" s="1"/>
    </row>
    <row r="164" customFormat="false" ht="15.75" hidden="false" customHeight="true" outlineLevel="0" collapsed="false">
      <c r="I164" s="1"/>
    </row>
    <row r="165" customFormat="false" ht="15.75" hidden="false" customHeight="true" outlineLevel="0" collapsed="false">
      <c r="I165" s="1"/>
    </row>
    <row r="166" customFormat="false" ht="15.75" hidden="false" customHeight="true" outlineLevel="0" collapsed="false">
      <c r="I166" s="1"/>
    </row>
    <row r="167" customFormat="false" ht="15.75" hidden="false" customHeight="true" outlineLevel="0" collapsed="false">
      <c r="I167" s="1"/>
    </row>
    <row r="168" customFormat="false" ht="15.75" hidden="false" customHeight="true" outlineLevel="0" collapsed="false">
      <c r="I168" s="1"/>
    </row>
    <row r="169" customFormat="false" ht="15.75" hidden="false" customHeight="true" outlineLevel="0" collapsed="false">
      <c r="I169" s="1"/>
    </row>
    <row r="170" customFormat="false" ht="15.75" hidden="false" customHeight="true" outlineLevel="0" collapsed="false">
      <c r="I170" s="1"/>
    </row>
    <row r="171" customFormat="false" ht="15.75" hidden="false" customHeight="true" outlineLevel="0" collapsed="false">
      <c r="I171" s="1"/>
    </row>
    <row r="172" customFormat="false" ht="15.75" hidden="false" customHeight="true" outlineLevel="0" collapsed="false">
      <c r="I172" s="1"/>
    </row>
    <row r="173" customFormat="false" ht="15.75" hidden="false" customHeight="true" outlineLevel="0" collapsed="false">
      <c r="I173" s="1"/>
    </row>
    <row r="174" customFormat="false" ht="15.75" hidden="false" customHeight="true" outlineLevel="0" collapsed="false">
      <c r="I174" s="1"/>
    </row>
    <row r="175" customFormat="false" ht="15.75" hidden="false" customHeight="true" outlineLevel="0" collapsed="false">
      <c r="I175" s="1"/>
    </row>
    <row r="176" customFormat="false" ht="15.75" hidden="false" customHeight="true" outlineLevel="0" collapsed="false">
      <c r="I176" s="1"/>
    </row>
    <row r="177" customFormat="false" ht="15.75" hidden="false" customHeight="true" outlineLevel="0" collapsed="false">
      <c r="I177" s="1"/>
    </row>
    <row r="178" customFormat="false" ht="15.75" hidden="false" customHeight="true" outlineLevel="0" collapsed="false">
      <c r="I178" s="1"/>
    </row>
    <row r="179" customFormat="false" ht="15.75" hidden="false" customHeight="true" outlineLevel="0" collapsed="false">
      <c r="I179" s="1"/>
    </row>
    <row r="180" customFormat="false" ht="15.75" hidden="false" customHeight="true" outlineLevel="0" collapsed="false">
      <c r="I180" s="1"/>
    </row>
    <row r="181" customFormat="false" ht="15.75" hidden="false" customHeight="true" outlineLevel="0" collapsed="false">
      <c r="I181" s="1"/>
    </row>
    <row r="182" customFormat="false" ht="15.75" hidden="false" customHeight="true" outlineLevel="0" collapsed="false">
      <c r="I182" s="1"/>
    </row>
    <row r="183" customFormat="false" ht="15.75" hidden="false" customHeight="true" outlineLevel="0" collapsed="false">
      <c r="I183" s="1"/>
    </row>
    <row r="184" customFormat="false" ht="15.75" hidden="false" customHeight="true" outlineLevel="0" collapsed="false">
      <c r="I184" s="1"/>
    </row>
    <row r="185" customFormat="false" ht="15.75" hidden="false" customHeight="true" outlineLevel="0" collapsed="false">
      <c r="I185" s="1"/>
    </row>
    <row r="186" customFormat="false" ht="15.75" hidden="false" customHeight="true" outlineLevel="0" collapsed="false">
      <c r="I186" s="1"/>
    </row>
    <row r="187" customFormat="false" ht="15.75" hidden="false" customHeight="true" outlineLevel="0" collapsed="false">
      <c r="I187" s="1"/>
    </row>
    <row r="188" customFormat="false" ht="15.75" hidden="false" customHeight="true" outlineLevel="0" collapsed="false">
      <c r="I188" s="1"/>
    </row>
    <row r="189" customFormat="false" ht="15.75" hidden="false" customHeight="true" outlineLevel="0" collapsed="false">
      <c r="I189" s="1"/>
    </row>
    <row r="190" customFormat="false" ht="15.75" hidden="false" customHeight="true" outlineLevel="0" collapsed="false">
      <c r="I190" s="1"/>
    </row>
    <row r="191" customFormat="false" ht="15.75" hidden="false" customHeight="true" outlineLevel="0" collapsed="false">
      <c r="I191" s="1"/>
    </row>
    <row r="192" customFormat="false" ht="15.75" hidden="false" customHeight="true" outlineLevel="0" collapsed="false">
      <c r="I192" s="1"/>
    </row>
    <row r="193" customFormat="false" ht="15.75" hidden="false" customHeight="true" outlineLevel="0" collapsed="false">
      <c r="I193" s="1"/>
    </row>
    <row r="194" customFormat="false" ht="15.75" hidden="false" customHeight="true" outlineLevel="0" collapsed="false">
      <c r="I194" s="1"/>
    </row>
    <row r="195" customFormat="false" ht="15.75" hidden="false" customHeight="true" outlineLevel="0" collapsed="false">
      <c r="I195" s="1"/>
    </row>
    <row r="196" customFormat="false" ht="15.75" hidden="false" customHeight="true" outlineLevel="0" collapsed="false">
      <c r="I196" s="1"/>
    </row>
    <row r="197" customFormat="false" ht="15.75" hidden="false" customHeight="true" outlineLevel="0" collapsed="false">
      <c r="I197" s="1"/>
    </row>
    <row r="198" customFormat="false" ht="15.75" hidden="false" customHeight="true" outlineLevel="0" collapsed="false">
      <c r="I198" s="1"/>
    </row>
    <row r="199" customFormat="false" ht="15.75" hidden="false" customHeight="true" outlineLevel="0" collapsed="false">
      <c r="I199" s="1"/>
    </row>
    <row r="200" customFormat="false" ht="15.75" hidden="false" customHeight="true" outlineLevel="0" collapsed="false">
      <c r="I200" s="1"/>
    </row>
    <row r="201" customFormat="false" ht="15.75" hidden="false" customHeight="true" outlineLevel="0" collapsed="false">
      <c r="I201" s="1"/>
    </row>
    <row r="202" customFormat="false" ht="15.75" hidden="false" customHeight="true" outlineLevel="0" collapsed="false">
      <c r="I202" s="1"/>
    </row>
    <row r="203" customFormat="false" ht="15.75" hidden="false" customHeight="true" outlineLevel="0" collapsed="false">
      <c r="I203" s="1"/>
    </row>
    <row r="204" customFormat="false" ht="15.75" hidden="false" customHeight="true" outlineLevel="0" collapsed="false">
      <c r="I204" s="1"/>
    </row>
    <row r="205" customFormat="false" ht="15.75" hidden="false" customHeight="true" outlineLevel="0" collapsed="false">
      <c r="I205" s="1"/>
    </row>
    <row r="206" customFormat="false" ht="15.75" hidden="false" customHeight="true" outlineLevel="0" collapsed="false">
      <c r="I206" s="1"/>
    </row>
    <row r="207" customFormat="false" ht="15.75" hidden="false" customHeight="true" outlineLevel="0" collapsed="false">
      <c r="I207" s="1"/>
    </row>
    <row r="208" customFormat="false" ht="15.75" hidden="false" customHeight="true" outlineLevel="0" collapsed="false">
      <c r="I208" s="1"/>
    </row>
    <row r="209" customFormat="false" ht="15.75" hidden="false" customHeight="true" outlineLevel="0" collapsed="false">
      <c r="I209" s="1"/>
    </row>
    <row r="210" customFormat="false" ht="15.75" hidden="false" customHeight="true" outlineLevel="0" collapsed="false">
      <c r="I210" s="1"/>
    </row>
    <row r="211" customFormat="false" ht="15.75" hidden="false" customHeight="true" outlineLevel="0" collapsed="false">
      <c r="I211" s="1"/>
    </row>
    <row r="212" customFormat="false" ht="15.75" hidden="false" customHeight="true" outlineLevel="0" collapsed="false">
      <c r="I212" s="1"/>
    </row>
    <row r="213" customFormat="false" ht="15.75" hidden="false" customHeight="true" outlineLevel="0" collapsed="false">
      <c r="I213" s="1"/>
    </row>
    <row r="214" customFormat="false" ht="15.75" hidden="false" customHeight="true" outlineLevel="0" collapsed="false">
      <c r="I214" s="1"/>
    </row>
    <row r="215" customFormat="false" ht="15.75" hidden="false" customHeight="true" outlineLevel="0" collapsed="false">
      <c r="I215" s="1"/>
    </row>
    <row r="216" customFormat="false" ht="15.75" hidden="false" customHeight="true" outlineLevel="0" collapsed="false">
      <c r="I216" s="1"/>
    </row>
    <row r="217" customFormat="false" ht="15.75" hidden="false" customHeight="true" outlineLevel="0" collapsed="false">
      <c r="I217" s="1"/>
    </row>
    <row r="218" customFormat="false" ht="15.75" hidden="false" customHeight="true" outlineLevel="0" collapsed="false">
      <c r="I218" s="1"/>
    </row>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1">
    <mergeCell ref="F2:H2"/>
    <mergeCell ref="B6:H6"/>
    <mergeCell ref="B8:H8"/>
    <mergeCell ref="B9:H9"/>
    <mergeCell ref="C12:D12"/>
    <mergeCell ref="E12:G12"/>
    <mergeCell ref="C13:D13"/>
    <mergeCell ref="E13:G13"/>
    <mergeCell ref="B15:H15"/>
    <mergeCell ref="B16:H16"/>
    <mergeCell ref="B17:H1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2:Z1000"/>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70"/>
    <col collapsed="false" customWidth="true" hidden="false" outlineLevel="0" max="6" min="4" style="1" width="8.71"/>
  </cols>
  <sheetData>
    <row r="2" customFormat="false" ht="33" hidden="false" customHeight="true" outlineLevel="0" collapsed="false">
      <c r="A2" s="10"/>
      <c r="B2" s="11" t="s">
        <v>9</v>
      </c>
      <c r="C2" s="11"/>
      <c r="D2" s="10"/>
      <c r="E2" s="10"/>
      <c r="F2" s="10"/>
      <c r="G2" s="10"/>
      <c r="H2" s="10"/>
      <c r="I2" s="10"/>
      <c r="J2" s="10"/>
      <c r="K2" s="10"/>
      <c r="L2" s="10"/>
      <c r="M2" s="10"/>
      <c r="N2" s="10"/>
      <c r="O2" s="10"/>
      <c r="P2" s="10"/>
      <c r="Q2" s="10"/>
      <c r="R2" s="10"/>
      <c r="S2" s="10"/>
      <c r="T2" s="10"/>
      <c r="U2" s="10"/>
      <c r="V2" s="10"/>
      <c r="W2" s="10"/>
      <c r="X2" s="10"/>
      <c r="Y2" s="10"/>
      <c r="Z2" s="10"/>
    </row>
    <row r="3" customFormat="false" ht="39.75" hidden="false" customHeight="true" outlineLevel="0" collapsed="false">
      <c r="B3" s="12" t="s">
        <v>10</v>
      </c>
      <c r="C3" s="13" t="s">
        <v>11</v>
      </c>
    </row>
    <row r="4" customFormat="false" ht="15" hidden="false" customHeight="true" outlineLevel="0" collapsed="false">
      <c r="B4" s="12" t="s">
        <v>12</v>
      </c>
      <c r="C4" s="13" t="s">
        <v>13</v>
      </c>
    </row>
    <row r="5" customFormat="false" ht="15" hidden="false" customHeight="true" outlineLevel="0" collapsed="false">
      <c r="B5" s="12" t="s">
        <v>14</v>
      </c>
      <c r="C5" s="13" t="s">
        <v>15</v>
      </c>
    </row>
    <row r="6" customFormat="false" ht="15" hidden="false" customHeight="true" outlineLevel="0" collapsed="false">
      <c r="B6" s="12" t="s">
        <v>16</v>
      </c>
      <c r="C6" s="13" t="s">
        <v>17</v>
      </c>
    </row>
    <row r="7" customFormat="false" ht="23.25" hidden="false" customHeight="true" outlineLevel="0" collapsed="false">
      <c r="B7" s="12" t="s">
        <v>18</v>
      </c>
      <c r="C7" s="13" t="s">
        <v>19</v>
      </c>
    </row>
    <row r="10" customFormat="false" ht="33" hidden="false" customHeight="true" outlineLevel="0" collapsed="false">
      <c r="A10" s="10"/>
      <c r="B10" s="11" t="s">
        <v>20</v>
      </c>
      <c r="C10" s="11"/>
      <c r="D10" s="10"/>
      <c r="E10" s="10"/>
      <c r="F10" s="10"/>
      <c r="G10" s="10"/>
      <c r="H10" s="10"/>
      <c r="I10" s="10"/>
      <c r="J10" s="10"/>
      <c r="K10" s="10"/>
      <c r="L10" s="10"/>
      <c r="M10" s="10"/>
      <c r="N10" s="10"/>
      <c r="O10" s="10"/>
      <c r="P10" s="10"/>
      <c r="Q10" s="10"/>
      <c r="R10" s="10"/>
      <c r="S10" s="10"/>
      <c r="T10" s="10"/>
      <c r="U10" s="10"/>
      <c r="V10" s="10"/>
      <c r="W10" s="10"/>
      <c r="X10" s="10"/>
      <c r="Y10" s="10"/>
      <c r="Z10" s="10"/>
    </row>
    <row r="11" customFormat="false" ht="15" hidden="false" customHeight="true" outlineLevel="0" collapsed="false">
      <c r="B11" s="14" t="s">
        <v>21</v>
      </c>
      <c r="C11" s="15" t="s">
        <v>22</v>
      </c>
    </row>
    <row r="12" customFormat="false" ht="15" hidden="false" customHeight="true" outlineLevel="0" collapsed="false">
      <c r="B12" s="12" t="s">
        <v>23</v>
      </c>
      <c r="C12" s="13" t="s">
        <v>24</v>
      </c>
    </row>
    <row r="13" customFormat="false" ht="15" hidden="false" customHeight="true" outlineLevel="0" collapsed="false">
      <c r="B13" s="12" t="s">
        <v>25</v>
      </c>
      <c r="C13" s="13" t="s">
        <v>26</v>
      </c>
    </row>
    <row r="14" customFormat="false" ht="15" hidden="false" customHeight="true" outlineLevel="0" collapsed="false">
      <c r="B14" s="12" t="s">
        <v>27</v>
      </c>
      <c r="C14" s="13" t="s">
        <v>28</v>
      </c>
    </row>
    <row r="15" customFormat="false" ht="15" hidden="false" customHeight="true" outlineLevel="0" collapsed="false">
      <c r="B15" s="12" t="s">
        <v>29</v>
      </c>
      <c r="C15" s="13" t="s">
        <v>30</v>
      </c>
    </row>
    <row r="16" customFormat="false" ht="15" hidden="false" customHeight="true" outlineLevel="0" collapsed="false">
      <c r="B16" s="16"/>
      <c r="C16" s="17"/>
    </row>
    <row r="17" customFormat="false" ht="15" hidden="false" customHeight="true" outlineLevel="0" collapsed="false">
      <c r="B17" s="16"/>
      <c r="C17" s="17"/>
    </row>
    <row r="18" customFormat="false" ht="33" hidden="false" customHeight="true" outlineLevel="0" collapsed="false">
      <c r="A18" s="10"/>
      <c r="B18" s="11" t="s">
        <v>31</v>
      </c>
      <c r="C18" s="11"/>
      <c r="D18" s="10"/>
      <c r="E18" s="10"/>
      <c r="F18" s="10"/>
      <c r="G18" s="10"/>
      <c r="H18" s="10"/>
      <c r="I18" s="10"/>
      <c r="J18" s="10"/>
      <c r="K18" s="10"/>
      <c r="L18" s="10"/>
      <c r="M18" s="10"/>
      <c r="N18" s="10"/>
      <c r="O18" s="10"/>
      <c r="P18" s="10"/>
      <c r="Q18" s="10"/>
      <c r="R18" s="10"/>
      <c r="S18" s="10"/>
      <c r="T18" s="10"/>
      <c r="U18" s="10"/>
      <c r="V18" s="10"/>
      <c r="W18" s="10"/>
      <c r="X18" s="10"/>
      <c r="Y18" s="10"/>
      <c r="Z18" s="10"/>
    </row>
    <row r="19" customFormat="false" ht="15" hidden="false" customHeight="true" outlineLevel="0" collapsed="false">
      <c r="B19" s="14" t="s">
        <v>32</v>
      </c>
      <c r="C19" s="15" t="s">
        <v>22</v>
      </c>
    </row>
    <row r="20" customFormat="false" ht="15" hidden="false" customHeight="true" outlineLevel="0" collapsed="false">
      <c r="B20" s="12" t="s">
        <v>33</v>
      </c>
      <c r="C20" s="13" t="s">
        <v>34</v>
      </c>
    </row>
    <row r="21" customFormat="false" ht="15.75" hidden="false" customHeight="true" outlineLevel="0" collapsed="false">
      <c r="B21" s="12" t="s">
        <v>35</v>
      </c>
      <c r="C21" s="13" t="s">
        <v>36</v>
      </c>
    </row>
    <row r="22" customFormat="false" ht="15.75" hidden="false" customHeight="true" outlineLevel="0" collapsed="false">
      <c r="B22" s="12" t="s">
        <v>37</v>
      </c>
      <c r="C22" s="13" t="s">
        <v>38</v>
      </c>
    </row>
    <row r="23" customFormat="false" ht="15.75" hidden="false" customHeight="true" outlineLevel="0" collapsed="false"/>
    <row r="24" customFormat="false" ht="15.75" hidden="false" customHeight="true" outlineLevel="0" collapsed="false"/>
    <row r="25" customFormat="false" ht="33" hidden="false" customHeight="true" outlineLevel="0" collapsed="false">
      <c r="A25" s="10"/>
      <c r="B25" s="11" t="s">
        <v>39</v>
      </c>
      <c r="C25" s="11"/>
      <c r="D25" s="10"/>
      <c r="E25" s="10"/>
      <c r="F25" s="10"/>
      <c r="G25" s="10"/>
      <c r="H25" s="10"/>
      <c r="I25" s="10"/>
      <c r="J25" s="10"/>
      <c r="K25" s="10"/>
      <c r="L25" s="10"/>
      <c r="M25" s="10"/>
      <c r="N25" s="10"/>
      <c r="O25" s="10"/>
      <c r="P25" s="10"/>
      <c r="Q25" s="10"/>
      <c r="R25" s="10"/>
      <c r="S25" s="10"/>
      <c r="T25" s="10"/>
      <c r="U25" s="10"/>
      <c r="V25" s="10"/>
      <c r="W25" s="10"/>
      <c r="X25" s="10"/>
      <c r="Y25" s="10"/>
      <c r="Z25" s="10"/>
    </row>
    <row r="26" customFormat="false" ht="15.75" hidden="false" customHeight="true" outlineLevel="0" collapsed="false">
      <c r="B26" s="14" t="s">
        <v>40</v>
      </c>
      <c r="C26" s="15" t="s">
        <v>22</v>
      </c>
    </row>
    <row r="27" customFormat="false" ht="15.75" hidden="false" customHeight="true" outlineLevel="0" collapsed="false">
      <c r="B27" s="12" t="s">
        <v>41</v>
      </c>
      <c r="C27" s="13" t="s">
        <v>42</v>
      </c>
    </row>
    <row r="28" customFormat="false" ht="15.75" hidden="false" customHeight="true" outlineLevel="0" collapsed="false">
      <c r="B28" s="12" t="s">
        <v>43</v>
      </c>
      <c r="C28" s="13" t="s">
        <v>44</v>
      </c>
    </row>
    <row r="29" customFormat="false" ht="15.75" hidden="false" customHeight="true" outlineLevel="0" collapsed="false">
      <c r="B29" s="12" t="s">
        <v>45</v>
      </c>
      <c r="C29" s="13" t="s">
        <v>46</v>
      </c>
    </row>
    <row r="30" customFormat="false" ht="15.75" hidden="false" customHeight="true" outlineLevel="0" collapsed="false">
      <c r="B30" s="12" t="s">
        <v>47</v>
      </c>
      <c r="C30" s="13" t="s">
        <v>48</v>
      </c>
    </row>
    <row r="31" customFormat="false" ht="15.75" hidden="false" customHeight="true" outlineLevel="0" collapsed="false">
      <c r="B31" s="16"/>
      <c r="C31" s="17"/>
    </row>
    <row r="32" customFormat="false" ht="15.75" hidden="false" customHeight="true" outlineLevel="0" collapsed="false"/>
    <row r="33" customFormat="false" ht="33" hidden="false" customHeight="true" outlineLevel="0" collapsed="false">
      <c r="A33" s="10"/>
      <c r="B33" s="11" t="s">
        <v>49</v>
      </c>
      <c r="C33" s="11"/>
      <c r="D33" s="10"/>
      <c r="E33" s="10"/>
      <c r="F33" s="10"/>
      <c r="G33" s="10"/>
      <c r="H33" s="10"/>
      <c r="I33" s="10"/>
      <c r="J33" s="10"/>
      <c r="K33" s="10"/>
      <c r="L33" s="10"/>
      <c r="M33" s="10"/>
      <c r="N33" s="10"/>
      <c r="O33" s="10"/>
      <c r="P33" s="10"/>
      <c r="Q33" s="10"/>
      <c r="R33" s="10"/>
      <c r="S33" s="10"/>
      <c r="T33" s="10"/>
      <c r="U33" s="10"/>
      <c r="V33" s="10"/>
      <c r="W33" s="10"/>
      <c r="X33" s="10"/>
      <c r="Y33" s="10"/>
      <c r="Z33" s="10"/>
    </row>
    <row r="34" customFormat="false" ht="15.75" hidden="false" customHeight="true" outlineLevel="0" collapsed="false">
      <c r="B34" s="12" t="s">
        <v>50</v>
      </c>
      <c r="C34" s="13" t="s">
        <v>51</v>
      </c>
    </row>
    <row r="35" customFormat="false" ht="15.75" hidden="false" customHeight="true" outlineLevel="0" collapsed="false">
      <c r="B35" s="12" t="s">
        <v>52</v>
      </c>
      <c r="C35" s="13" t="s">
        <v>53</v>
      </c>
    </row>
    <row r="36" customFormat="false" ht="15.75" hidden="false" customHeight="true" outlineLevel="0" collapsed="false">
      <c r="B36" s="12" t="s">
        <v>54</v>
      </c>
      <c r="C36" s="13" t="s">
        <v>55</v>
      </c>
    </row>
    <row r="37" customFormat="false" ht="15.75" hidden="false" customHeight="true" outlineLevel="0" collapsed="false">
      <c r="B37" s="12" t="s">
        <v>56</v>
      </c>
      <c r="C37" s="13" t="s">
        <v>57</v>
      </c>
    </row>
    <row r="38" customFormat="false" ht="15.75" hidden="false" customHeight="true" outlineLevel="0" collapsed="false"/>
    <row r="39" customFormat="false" ht="33" hidden="false" customHeight="true" outlineLevel="0" collapsed="false">
      <c r="A39" s="10"/>
      <c r="B39" s="11" t="s">
        <v>58</v>
      </c>
      <c r="C39" s="11"/>
      <c r="D39" s="10"/>
      <c r="E39" s="10"/>
      <c r="F39" s="10"/>
      <c r="G39" s="10"/>
      <c r="H39" s="10"/>
      <c r="I39" s="10"/>
      <c r="J39" s="10"/>
      <c r="K39" s="10"/>
      <c r="L39" s="10"/>
      <c r="M39" s="10"/>
      <c r="N39" s="10"/>
      <c r="O39" s="10"/>
      <c r="P39" s="10"/>
      <c r="Q39" s="10"/>
      <c r="R39" s="10"/>
      <c r="S39" s="10"/>
      <c r="T39" s="10"/>
      <c r="U39" s="10"/>
      <c r="V39" s="10"/>
      <c r="W39" s="10"/>
      <c r="X39" s="10"/>
      <c r="Y39" s="10"/>
      <c r="Z39" s="10"/>
    </row>
    <row r="40" customFormat="false" ht="15.75" hidden="false" customHeight="true" outlineLevel="0" collapsed="false">
      <c r="B40" s="18" t="s">
        <v>59</v>
      </c>
      <c r="C40" s="18"/>
    </row>
    <row r="41" customFormat="false" ht="15.75" hidden="false" customHeight="true" outlineLevel="0" collapsed="false">
      <c r="B41" s="12" t="s">
        <v>60</v>
      </c>
      <c r="C41" s="13" t="s">
        <v>61</v>
      </c>
    </row>
    <row r="42" customFormat="false" ht="15.75" hidden="false" customHeight="true" outlineLevel="0" collapsed="false">
      <c r="B42" s="12" t="s">
        <v>62</v>
      </c>
      <c r="C42" s="13" t="s">
        <v>63</v>
      </c>
    </row>
    <row r="43" customFormat="false" ht="15.75" hidden="false" customHeight="true" outlineLevel="0" collapsed="false">
      <c r="B43" s="12" t="s">
        <v>64</v>
      </c>
      <c r="C43" s="13" t="s">
        <v>65</v>
      </c>
    </row>
    <row r="44" customFormat="false" ht="15.75" hidden="false" customHeight="true" outlineLevel="0" collapsed="false">
      <c r="B44" s="12" t="s">
        <v>66</v>
      </c>
      <c r="C44" s="13" t="s">
        <v>67</v>
      </c>
    </row>
    <row r="45" customFormat="false" ht="15.75" hidden="false" customHeight="true" outlineLevel="0" collapsed="false">
      <c r="B45" s="12" t="s">
        <v>68</v>
      </c>
      <c r="C45" s="13" t="s">
        <v>69</v>
      </c>
    </row>
    <row r="46" customFormat="false" ht="15.75" hidden="false" customHeight="true" outlineLevel="0" collapsed="false">
      <c r="B46" s="12" t="s">
        <v>70</v>
      </c>
      <c r="C46" s="13" t="s">
        <v>71</v>
      </c>
    </row>
    <row r="47" customFormat="false" ht="15.75" hidden="false" customHeight="true" outlineLevel="0" collapsed="false">
      <c r="B47" s="12" t="s">
        <v>72</v>
      </c>
      <c r="C47" s="13" t="s">
        <v>73</v>
      </c>
    </row>
    <row r="48" customFormat="false" ht="15.75" hidden="false" customHeight="true" outlineLevel="0" collapsed="false"/>
    <row r="49" customFormat="false" ht="15.75" hidden="false" customHeight="true" outlineLevel="0" collapsed="false">
      <c r="B49" s="11" t="s">
        <v>74</v>
      </c>
      <c r="C49" s="11"/>
    </row>
    <row r="50" customFormat="false" ht="15.75" hidden="false" customHeight="true" outlineLevel="0" collapsed="false">
      <c r="B50" s="12" t="s">
        <v>75</v>
      </c>
      <c r="C50" s="13" t="s">
        <v>76</v>
      </c>
    </row>
    <row r="51" customFormat="false" ht="15.75" hidden="false" customHeight="true" outlineLevel="0" collapsed="false">
      <c r="B51" s="12" t="s">
        <v>50</v>
      </c>
      <c r="C51" s="13" t="s">
        <v>77</v>
      </c>
    </row>
    <row r="52" customFormat="false" ht="15.75" hidden="false" customHeight="true" outlineLevel="0" collapsed="false">
      <c r="B52" s="12" t="s">
        <v>78</v>
      </c>
      <c r="C52" s="13" t="s">
        <v>79</v>
      </c>
    </row>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8">
    <mergeCell ref="B2:C2"/>
    <mergeCell ref="B10:C10"/>
    <mergeCell ref="B18:C18"/>
    <mergeCell ref="B25:C25"/>
    <mergeCell ref="B33:C33"/>
    <mergeCell ref="B39:C39"/>
    <mergeCell ref="B40:C40"/>
    <mergeCell ref="B49:C49"/>
  </mergeCells>
  <conditionalFormatting sqref="B12:B15">
    <cfRule type="cellIs" priority="2" operator="equal" aboveAverage="0" equalAverage="0" bottom="0" percent="0" rank="0" text="" dxfId="0">
      <formula>"Pass"</formula>
    </cfRule>
    <cfRule type="cellIs" priority="3" operator="equal" aboveAverage="0" equalAverage="0" bottom="0" percent="0" rank="0" text="" dxfId="1">
      <formula>"Fail"</formula>
    </cfRule>
    <cfRule type="cellIs" priority="4" operator="equal" aboveAverage="0" equalAverage="0" bottom="0" percent="0" rank="0" text="" dxfId="2">
      <formula>"Block"</formula>
    </cfRule>
    <cfRule type="cellIs" priority="5" operator="equal" aboveAverage="0" equalAverage="0" bottom="0" percent="0" rank="0" text="" dxfId="3">
      <formula>"N/A"</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1" width="3"/>
    <col collapsed="false" customWidth="true" hidden="false" outlineLevel="0" max="4" min="2" style="1" width="14"/>
    <col collapsed="false" customWidth="true" hidden="false" outlineLevel="0" max="6" min="5" style="1" width="18"/>
    <col collapsed="false" customWidth="true" hidden="false" outlineLevel="0" max="7" min="7" style="1" width="48"/>
    <col collapsed="false" customWidth="true" hidden="false" outlineLevel="0" max="8" min="8" style="1" width="14"/>
  </cols>
  <sheetData>
    <row r="1" customFormat="false" ht="30" hidden="false" customHeight="true" outlineLevel="0" collapsed="false">
      <c r="I1" s="1"/>
    </row>
    <row r="2" customFormat="false" ht="30" hidden="false" customHeight="true" outlineLevel="0" collapsed="false">
      <c r="F2" s="2"/>
      <c r="G2" s="2"/>
      <c r="H2" s="2"/>
      <c r="I2" s="1"/>
    </row>
    <row r="3" customFormat="false" ht="33.75" hidden="false" customHeight="true" outlineLevel="0" collapsed="false">
      <c r="D3" s="19" t="s">
        <v>80</v>
      </c>
      <c r="I3" s="1"/>
    </row>
    <row r="4" customFormat="false" ht="15" hidden="false" customHeight="true" outlineLevel="0" collapsed="false">
      <c r="I4" s="1"/>
    </row>
    <row r="5" customFormat="false" ht="15" hidden="false" customHeight="true" outlineLevel="0" collapsed="false">
      <c r="I5" s="1"/>
    </row>
    <row r="6" customFormat="false" ht="18.75" hidden="false" customHeight="true" outlineLevel="0" collapsed="false">
      <c r="A6" s="20"/>
      <c r="B6" s="21" t="s">
        <v>81</v>
      </c>
      <c r="C6" s="21" t="s">
        <v>82</v>
      </c>
      <c r="D6" s="21" t="s">
        <v>83</v>
      </c>
      <c r="E6" s="21" t="s">
        <v>84</v>
      </c>
      <c r="F6" s="21" t="s">
        <v>85</v>
      </c>
      <c r="G6" s="21" t="s">
        <v>86</v>
      </c>
      <c r="H6" s="20"/>
      <c r="I6" s="20"/>
      <c r="J6" s="20"/>
      <c r="K6" s="20"/>
      <c r="L6" s="20"/>
      <c r="M6" s="20"/>
      <c r="N6" s="20"/>
      <c r="O6" s="20"/>
      <c r="P6" s="20"/>
      <c r="Q6" s="20"/>
      <c r="R6" s="20"/>
      <c r="S6" s="20"/>
      <c r="T6" s="20"/>
      <c r="U6" s="20"/>
      <c r="V6" s="20"/>
      <c r="W6" s="20"/>
      <c r="X6" s="20"/>
      <c r="Y6" s="20"/>
      <c r="Z6" s="20"/>
    </row>
    <row r="7" customFormat="false" ht="38.25" hidden="false" customHeight="true" outlineLevel="0" collapsed="false">
      <c r="A7" s="22"/>
      <c r="B7" s="23" t="n">
        <v>46203</v>
      </c>
      <c r="C7" s="24" t="n">
        <v>1</v>
      </c>
      <c r="D7" s="25" t="s">
        <v>87</v>
      </c>
      <c r="E7" s="25" t="s">
        <v>88</v>
      </c>
      <c r="F7" s="26" t="s">
        <v>89</v>
      </c>
      <c r="G7" s="27" t="s">
        <v>90</v>
      </c>
      <c r="H7" s="28"/>
      <c r="I7" s="22"/>
      <c r="J7" s="22"/>
      <c r="K7" s="22"/>
      <c r="L7" s="22"/>
      <c r="M7" s="22"/>
      <c r="N7" s="22"/>
      <c r="O7" s="22"/>
      <c r="P7" s="22"/>
      <c r="Q7" s="22"/>
      <c r="R7" s="22"/>
      <c r="S7" s="22"/>
      <c r="T7" s="22"/>
      <c r="U7" s="22"/>
      <c r="V7" s="22"/>
      <c r="W7" s="22"/>
      <c r="X7" s="22"/>
      <c r="Y7" s="22"/>
      <c r="Z7" s="22"/>
    </row>
    <row r="8" customFormat="false" ht="38.25" hidden="false" customHeight="true" outlineLevel="0" collapsed="false">
      <c r="A8" s="22"/>
      <c r="B8" s="23"/>
      <c r="C8" s="24"/>
      <c r="D8" s="25"/>
      <c r="E8" s="25"/>
      <c r="F8" s="26"/>
      <c r="G8" s="27"/>
      <c r="H8" s="28"/>
      <c r="I8" s="22"/>
      <c r="J8" s="22"/>
      <c r="K8" s="22"/>
      <c r="L8" s="22"/>
      <c r="M8" s="22"/>
      <c r="N8" s="22"/>
      <c r="O8" s="22"/>
      <c r="P8" s="22"/>
      <c r="Q8" s="22"/>
      <c r="R8" s="22"/>
      <c r="S8" s="22"/>
      <c r="T8" s="22"/>
      <c r="U8" s="22"/>
      <c r="V8" s="22"/>
      <c r="W8" s="22"/>
      <c r="X8" s="22"/>
      <c r="Y8" s="22"/>
      <c r="Z8" s="22"/>
    </row>
    <row r="9" customFormat="false" ht="38.25" hidden="false" customHeight="true" outlineLevel="0" collapsed="false">
      <c r="B9" s="29"/>
      <c r="C9" s="30"/>
      <c r="D9" s="30"/>
      <c r="E9" s="30"/>
      <c r="F9" s="31"/>
      <c r="G9" s="32"/>
      <c r="H9" s="28"/>
      <c r="I9" s="1"/>
    </row>
    <row r="10" customFormat="false" ht="38.25" hidden="false" customHeight="true" outlineLevel="0" collapsed="false">
      <c r="B10" s="29"/>
      <c r="C10" s="30"/>
      <c r="D10" s="30"/>
      <c r="E10" s="30"/>
      <c r="F10" s="31"/>
      <c r="G10" s="32"/>
      <c r="H10" s="28"/>
      <c r="I10" s="1"/>
    </row>
    <row r="11" customFormat="false" ht="38.25" hidden="false" customHeight="true" outlineLevel="0" collapsed="false">
      <c r="B11" s="29"/>
      <c r="C11" s="30"/>
      <c r="D11" s="30"/>
      <c r="E11" s="30"/>
      <c r="F11" s="31"/>
      <c r="G11" s="32"/>
      <c r="H11" s="28"/>
      <c r="I11" s="1"/>
    </row>
    <row r="12" customFormat="false" ht="38.25" hidden="false" customHeight="true" outlineLevel="0" collapsed="false">
      <c r="B12" s="29"/>
      <c r="C12" s="30"/>
      <c r="D12" s="30"/>
      <c r="E12" s="30"/>
      <c r="F12" s="31"/>
      <c r="G12" s="32"/>
      <c r="H12" s="28"/>
      <c r="I12" s="1"/>
    </row>
    <row r="13" customFormat="false" ht="38.25" hidden="false" customHeight="true" outlineLevel="0" collapsed="false">
      <c r="B13" s="29"/>
      <c r="C13" s="30"/>
      <c r="D13" s="30"/>
      <c r="E13" s="30"/>
      <c r="F13" s="31"/>
      <c r="G13" s="32"/>
      <c r="H13" s="28"/>
      <c r="I13" s="1"/>
    </row>
    <row r="14" customFormat="false" ht="38.25" hidden="false" customHeight="true" outlineLevel="0" collapsed="false">
      <c r="B14" s="29"/>
      <c r="C14" s="30"/>
      <c r="D14" s="30"/>
      <c r="E14" s="30"/>
      <c r="F14" s="31"/>
      <c r="G14" s="32"/>
      <c r="H14" s="28"/>
      <c r="I14" s="1"/>
    </row>
    <row r="15" customFormat="false" ht="15" hidden="false" customHeight="true" outlineLevel="0" collapsed="false">
      <c r="I15" s="1"/>
    </row>
    <row r="16" customFormat="false" ht="15" hidden="false" customHeight="true" outlineLevel="0" collapsed="false">
      <c r="B16" s="8"/>
      <c r="C16" s="8"/>
      <c r="D16" s="8"/>
      <c r="E16" s="8"/>
      <c r="F16" s="8"/>
      <c r="G16" s="8"/>
      <c r="H16" s="8"/>
      <c r="I16" s="1"/>
    </row>
    <row r="17" customFormat="false" ht="15" hidden="false" customHeight="true" outlineLevel="0" collapsed="false">
      <c r="B17" s="9"/>
      <c r="C17" s="9"/>
      <c r="D17" s="9"/>
      <c r="E17" s="9"/>
      <c r="F17" s="9"/>
      <c r="G17" s="9"/>
      <c r="H17" s="9"/>
      <c r="I17" s="1"/>
    </row>
    <row r="18" customFormat="false" ht="15" hidden="false" customHeight="true" outlineLevel="0" collapsed="false">
      <c r="B18" s="9"/>
      <c r="C18" s="9"/>
      <c r="D18" s="9"/>
      <c r="E18" s="9"/>
      <c r="F18" s="9"/>
      <c r="G18" s="9"/>
      <c r="H18" s="9"/>
      <c r="I18" s="1"/>
    </row>
    <row r="19" customFormat="false" ht="15" hidden="false" customHeight="true" outlineLevel="0" collapsed="false">
      <c r="I19" s="1"/>
    </row>
    <row r="20" customFormat="false" ht="15.75" hidden="false" customHeight="true" outlineLevel="0" collapsed="false">
      <c r="I20" s="1"/>
    </row>
    <row r="21" customFormat="false" ht="15.75" hidden="false" customHeight="true" outlineLevel="0" collapsed="false">
      <c r="I21" s="1"/>
    </row>
    <row r="22" customFormat="false" ht="15.75" hidden="false" customHeight="true" outlineLevel="0" collapsed="false">
      <c r="I22" s="1"/>
    </row>
    <row r="23" customFormat="false" ht="15.75" hidden="false" customHeight="true" outlineLevel="0" collapsed="false">
      <c r="I23" s="1"/>
    </row>
    <row r="24" customFormat="false" ht="15.75" hidden="false" customHeight="true" outlineLevel="0" collapsed="false">
      <c r="I24" s="1"/>
    </row>
    <row r="25" customFormat="false" ht="15.75" hidden="false" customHeight="true" outlineLevel="0" collapsed="false">
      <c r="I25" s="1"/>
    </row>
    <row r="26" customFormat="false" ht="15.75" hidden="false" customHeight="true" outlineLevel="0" collapsed="false">
      <c r="I26" s="1"/>
    </row>
    <row r="27" customFormat="false" ht="15.75" hidden="false" customHeight="true" outlineLevel="0" collapsed="false">
      <c r="I27" s="1"/>
    </row>
    <row r="28" customFormat="false" ht="15.75" hidden="false" customHeight="true" outlineLevel="0" collapsed="false">
      <c r="I28" s="1"/>
    </row>
    <row r="29" customFormat="false" ht="15.75" hidden="false" customHeight="true" outlineLevel="0" collapsed="false">
      <c r="I29" s="1"/>
    </row>
    <row r="30" customFormat="false" ht="15.75" hidden="false" customHeight="true" outlineLevel="0" collapsed="false">
      <c r="I30" s="1"/>
    </row>
    <row r="31" customFormat="false" ht="15.75" hidden="false" customHeight="true" outlineLevel="0" collapsed="false">
      <c r="I31" s="1"/>
    </row>
    <row r="32" customFormat="false" ht="15.75" hidden="false" customHeight="true" outlineLevel="0" collapsed="false">
      <c r="I32" s="1"/>
    </row>
    <row r="33" customFormat="false" ht="15.75" hidden="false" customHeight="true" outlineLevel="0" collapsed="false">
      <c r="I33" s="1"/>
    </row>
    <row r="34" customFormat="false" ht="15.75" hidden="false" customHeight="true" outlineLevel="0" collapsed="false">
      <c r="I34" s="1"/>
    </row>
    <row r="35" customFormat="false" ht="15.75" hidden="false" customHeight="true" outlineLevel="0" collapsed="false">
      <c r="I35" s="1"/>
    </row>
    <row r="36" customFormat="false" ht="15.75" hidden="false" customHeight="true" outlineLevel="0" collapsed="false">
      <c r="I36" s="1"/>
    </row>
    <row r="37" customFormat="false" ht="15.75" hidden="false" customHeight="true" outlineLevel="0" collapsed="false">
      <c r="I37" s="1"/>
    </row>
    <row r="38" customFormat="false" ht="15.75" hidden="false" customHeight="true" outlineLevel="0" collapsed="false">
      <c r="I38" s="1"/>
    </row>
    <row r="39" customFormat="false" ht="15.75" hidden="false" customHeight="true" outlineLevel="0" collapsed="false">
      <c r="I39" s="1"/>
    </row>
    <row r="40" customFormat="false" ht="15.75" hidden="false" customHeight="true" outlineLevel="0" collapsed="false">
      <c r="I40" s="1"/>
    </row>
    <row r="41" customFormat="false" ht="15.75" hidden="false" customHeight="true" outlineLevel="0" collapsed="false">
      <c r="I41" s="1"/>
    </row>
    <row r="42" customFormat="false" ht="15.75" hidden="false" customHeight="true" outlineLevel="0" collapsed="false">
      <c r="I42" s="1"/>
    </row>
    <row r="43" customFormat="false" ht="15.75" hidden="false" customHeight="true" outlineLevel="0" collapsed="false">
      <c r="I43" s="1"/>
    </row>
    <row r="44" customFormat="false" ht="15.75" hidden="false" customHeight="true" outlineLevel="0" collapsed="false">
      <c r="I44" s="1"/>
    </row>
    <row r="45" customFormat="false" ht="15.75" hidden="false" customHeight="true" outlineLevel="0" collapsed="false">
      <c r="I45" s="1"/>
    </row>
    <row r="46" customFormat="false" ht="15.75" hidden="false" customHeight="true" outlineLevel="0" collapsed="false">
      <c r="I46" s="1"/>
    </row>
    <row r="47" customFormat="false" ht="15.75" hidden="false" customHeight="true" outlineLevel="0" collapsed="false">
      <c r="I47" s="1"/>
    </row>
    <row r="48" customFormat="false" ht="15.75" hidden="false" customHeight="true" outlineLevel="0" collapsed="false">
      <c r="I48" s="1"/>
    </row>
    <row r="49" customFormat="false" ht="15.75" hidden="false" customHeight="true" outlineLevel="0" collapsed="false">
      <c r="I49" s="1"/>
    </row>
    <row r="50" customFormat="false" ht="15.75" hidden="false" customHeight="true" outlineLevel="0" collapsed="false">
      <c r="I50" s="1"/>
    </row>
    <row r="51" customFormat="false" ht="15.75" hidden="false" customHeight="true" outlineLevel="0" collapsed="false">
      <c r="I51" s="1"/>
    </row>
    <row r="52" customFormat="false" ht="15.75" hidden="false" customHeight="true" outlineLevel="0" collapsed="false">
      <c r="I52" s="1"/>
    </row>
    <row r="53" customFormat="false" ht="15.75" hidden="false" customHeight="true" outlineLevel="0" collapsed="false">
      <c r="I53" s="1"/>
    </row>
    <row r="54" customFormat="false" ht="15.75" hidden="false" customHeight="true" outlineLevel="0" collapsed="false">
      <c r="I54" s="1"/>
    </row>
    <row r="55" customFormat="false" ht="15.75" hidden="false" customHeight="true" outlineLevel="0" collapsed="false">
      <c r="I55" s="1"/>
    </row>
    <row r="56" customFormat="false" ht="15.75" hidden="false" customHeight="true" outlineLevel="0" collapsed="false">
      <c r="I56" s="1"/>
    </row>
    <row r="57" customFormat="false" ht="15.75" hidden="false" customHeight="true" outlineLevel="0" collapsed="false">
      <c r="I57" s="1"/>
    </row>
    <row r="58" customFormat="false" ht="15.75" hidden="false" customHeight="true" outlineLevel="0" collapsed="false">
      <c r="I58" s="1"/>
    </row>
    <row r="59" customFormat="false" ht="15.75" hidden="false" customHeight="true" outlineLevel="0" collapsed="false">
      <c r="I59" s="1"/>
    </row>
    <row r="60" customFormat="false" ht="15.75" hidden="false" customHeight="true" outlineLevel="0" collapsed="false">
      <c r="I60" s="1"/>
    </row>
    <row r="61" customFormat="false" ht="15.75" hidden="false" customHeight="true" outlineLevel="0" collapsed="false">
      <c r="I61" s="1"/>
    </row>
    <row r="62" customFormat="false" ht="15.75" hidden="false" customHeight="true" outlineLevel="0" collapsed="false">
      <c r="I62" s="1"/>
    </row>
    <row r="63" customFormat="false" ht="15.75" hidden="false" customHeight="true" outlineLevel="0" collapsed="false">
      <c r="I63" s="1"/>
    </row>
    <row r="64" customFormat="false" ht="15.75" hidden="false" customHeight="true" outlineLevel="0" collapsed="false">
      <c r="I64" s="1"/>
    </row>
    <row r="65" customFormat="false" ht="15.75" hidden="false" customHeight="true" outlineLevel="0" collapsed="false">
      <c r="I65" s="1"/>
    </row>
    <row r="66" customFormat="false" ht="15.75" hidden="false" customHeight="true" outlineLevel="0" collapsed="false">
      <c r="I66" s="1"/>
    </row>
    <row r="67" customFormat="false" ht="15.75" hidden="false" customHeight="true" outlineLevel="0" collapsed="false">
      <c r="I67" s="1"/>
    </row>
    <row r="68" customFormat="false" ht="15.75" hidden="false" customHeight="true" outlineLevel="0" collapsed="false">
      <c r="I68" s="1"/>
    </row>
    <row r="69" customFormat="false" ht="15.75" hidden="false" customHeight="true" outlineLevel="0" collapsed="false">
      <c r="I69" s="1"/>
    </row>
    <row r="70" customFormat="false" ht="15.75" hidden="false" customHeight="true" outlineLevel="0" collapsed="false">
      <c r="I70" s="1"/>
    </row>
    <row r="71" customFormat="false" ht="15.75" hidden="false" customHeight="true" outlineLevel="0" collapsed="false">
      <c r="I71" s="1"/>
    </row>
    <row r="72" customFormat="false" ht="15.75" hidden="false" customHeight="true" outlineLevel="0" collapsed="false">
      <c r="I72" s="1"/>
    </row>
    <row r="73" customFormat="false" ht="15.75" hidden="false" customHeight="true" outlineLevel="0" collapsed="false">
      <c r="I73" s="1"/>
    </row>
    <row r="74" customFormat="false" ht="15.75" hidden="false" customHeight="true" outlineLevel="0" collapsed="false">
      <c r="I74" s="1"/>
    </row>
    <row r="75" customFormat="false" ht="15.75" hidden="false" customHeight="true" outlineLevel="0" collapsed="false">
      <c r="I75" s="1"/>
    </row>
    <row r="76" customFormat="false" ht="15.75" hidden="false" customHeight="true" outlineLevel="0" collapsed="false">
      <c r="I76" s="1"/>
    </row>
    <row r="77" customFormat="false" ht="15.75" hidden="false" customHeight="true" outlineLevel="0" collapsed="false">
      <c r="I77" s="1"/>
    </row>
    <row r="78" customFormat="false" ht="15.75" hidden="false" customHeight="true" outlineLevel="0" collapsed="false">
      <c r="I78" s="1"/>
    </row>
    <row r="79" customFormat="false" ht="15.75" hidden="false" customHeight="true" outlineLevel="0" collapsed="false">
      <c r="I79" s="1"/>
    </row>
    <row r="80" customFormat="false" ht="15.75" hidden="false" customHeight="true" outlineLevel="0" collapsed="false">
      <c r="I80" s="1"/>
    </row>
    <row r="81" customFormat="false" ht="15.75" hidden="false" customHeight="true" outlineLevel="0" collapsed="false">
      <c r="I81" s="1"/>
    </row>
    <row r="82" customFormat="false" ht="15.75" hidden="false" customHeight="true" outlineLevel="0" collapsed="false">
      <c r="I82" s="1"/>
    </row>
    <row r="83" customFormat="false" ht="15.75" hidden="false" customHeight="true" outlineLevel="0" collapsed="false">
      <c r="I83" s="1"/>
    </row>
    <row r="84" customFormat="false" ht="15.75" hidden="false" customHeight="true" outlineLevel="0" collapsed="false">
      <c r="I84" s="1"/>
    </row>
    <row r="85" customFormat="false" ht="15.75" hidden="false" customHeight="true" outlineLevel="0" collapsed="false">
      <c r="I85" s="1"/>
    </row>
    <row r="86" customFormat="false" ht="15.75" hidden="false" customHeight="true" outlineLevel="0" collapsed="false">
      <c r="I86" s="1"/>
    </row>
    <row r="87" customFormat="false" ht="15.75" hidden="false" customHeight="true" outlineLevel="0" collapsed="false">
      <c r="I87" s="1"/>
    </row>
    <row r="88" customFormat="false" ht="15.75" hidden="false" customHeight="true" outlineLevel="0" collapsed="false">
      <c r="I88" s="1"/>
    </row>
    <row r="89" customFormat="false" ht="15.75" hidden="false" customHeight="true" outlineLevel="0" collapsed="false">
      <c r="I89" s="1"/>
    </row>
    <row r="90" customFormat="false" ht="15.75" hidden="false" customHeight="true" outlineLevel="0" collapsed="false">
      <c r="I90" s="1"/>
    </row>
    <row r="91" customFormat="false" ht="15.75" hidden="false" customHeight="true" outlineLevel="0" collapsed="false">
      <c r="I91" s="1"/>
    </row>
    <row r="92" customFormat="false" ht="15.75" hidden="false" customHeight="true" outlineLevel="0" collapsed="false">
      <c r="I92" s="1"/>
    </row>
    <row r="93" customFormat="false" ht="15.75" hidden="false" customHeight="true" outlineLevel="0" collapsed="false">
      <c r="I93" s="1"/>
    </row>
    <row r="94" customFormat="false" ht="15.75" hidden="false" customHeight="true" outlineLevel="0" collapsed="false">
      <c r="I94" s="1"/>
    </row>
    <row r="95" customFormat="false" ht="15.75" hidden="false" customHeight="true" outlineLevel="0" collapsed="false">
      <c r="I95" s="1"/>
    </row>
    <row r="96" customFormat="false" ht="15.75" hidden="false" customHeight="true" outlineLevel="0" collapsed="false">
      <c r="I96" s="1"/>
    </row>
    <row r="97" customFormat="false" ht="15.75" hidden="false" customHeight="true" outlineLevel="0" collapsed="false">
      <c r="I97" s="1"/>
    </row>
    <row r="98" customFormat="false" ht="15.75" hidden="false" customHeight="true" outlineLevel="0" collapsed="false">
      <c r="I98" s="1"/>
    </row>
    <row r="99" customFormat="false" ht="15.75" hidden="false" customHeight="true" outlineLevel="0" collapsed="false">
      <c r="I99" s="1"/>
    </row>
    <row r="100" customFormat="false" ht="15.75" hidden="false" customHeight="true" outlineLevel="0" collapsed="false">
      <c r="I100" s="1"/>
    </row>
    <row r="101" customFormat="false" ht="15.75" hidden="false" customHeight="true" outlineLevel="0" collapsed="false">
      <c r="I101" s="1"/>
    </row>
    <row r="102" customFormat="false" ht="15.75" hidden="false" customHeight="true" outlineLevel="0" collapsed="false">
      <c r="I102" s="1"/>
    </row>
    <row r="103" customFormat="false" ht="15.75" hidden="false" customHeight="true" outlineLevel="0" collapsed="false">
      <c r="I103" s="1"/>
    </row>
    <row r="104" customFormat="false" ht="15.75" hidden="false" customHeight="true" outlineLevel="0" collapsed="false">
      <c r="I104" s="1"/>
    </row>
    <row r="105" customFormat="false" ht="15.75" hidden="false" customHeight="true" outlineLevel="0" collapsed="false">
      <c r="I105" s="1"/>
    </row>
    <row r="106" customFormat="false" ht="15.75" hidden="false" customHeight="true" outlineLevel="0" collapsed="false">
      <c r="I106" s="1"/>
    </row>
    <row r="107" customFormat="false" ht="15.75" hidden="false" customHeight="true" outlineLevel="0" collapsed="false">
      <c r="I107" s="1"/>
    </row>
    <row r="108" customFormat="false" ht="15.75" hidden="false" customHeight="true" outlineLevel="0" collapsed="false">
      <c r="I108" s="1"/>
    </row>
    <row r="109" customFormat="false" ht="15.75" hidden="false" customHeight="true" outlineLevel="0" collapsed="false">
      <c r="I109" s="1"/>
    </row>
    <row r="110" customFormat="false" ht="15.75" hidden="false" customHeight="true" outlineLevel="0" collapsed="false">
      <c r="I110" s="1"/>
    </row>
    <row r="111" customFormat="false" ht="15.75" hidden="false" customHeight="true" outlineLevel="0" collapsed="false">
      <c r="I111" s="1"/>
    </row>
    <row r="112" customFormat="false" ht="15.75" hidden="false" customHeight="true" outlineLevel="0" collapsed="false">
      <c r="I112" s="1"/>
    </row>
    <row r="113" customFormat="false" ht="15.75" hidden="false" customHeight="true" outlineLevel="0" collapsed="false">
      <c r="I113" s="1"/>
    </row>
    <row r="114" customFormat="false" ht="15.75" hidden="false" customHeight="true" outlineLevel="0" collapsed="false">
      <c r="I114" s="1"/>
    </row>
    <row r="115" customFormat="false" ht="15.75" hidden="false" customHeight="true" outlineLevel="0" collapsed="false">
      <c r="I115" s="1"/>
    </row>
    <row r="116" customFormat="false" ht="15.75" hidden="false" customHeight="true" outlineLevel="0" collapsed="false">
      <c r="I116" s="1"/>
    </row>
    <row r="117" customFormat="false" ht="15.75" hidden="false" customHeight="true" outlineLevel="0" collapsed="false">
      <c r="I117" s="1"/>
    </row>
    <row r="118" customFormat="false" ht="15.75" hidden="false" customHeight="true" outlineLevel="0" collapsed="false">
      <c r="I118" s="1"/>
    </row>
    <row r="119" customFormat="false" ht="15.75" hidden="false" customHeight="true" outlineLevel="0" collapsed="false">
      <c r="I119" s="1"/>
    </row>
    <row r="120" customFormat="false" ht="15.75" hidden="false" customHeight="true" outlineLevel="0" collapsed="false">
      <c r="I120" s="1"/>
    </row>
    <row r="121" customFormat="false" ht="15.75" hidden="false" customHeight="true" outlineLevel="0" collapsed="false">
      <c r="I121" s="1"/>
    </row>
    <row r="122" customFormat="false" ht="15.75" hidden="false" customHeight="true" outlineLevel="0" collapsed="false">
      <c r="I122" s="1"/>
    </row>
    <row r="123" customFormat="false" ht="15.75" hidden="false" customHeight="true" outlineLevel="0" collapsed="false">
      <c r="I123" s="1"/>
    </row>
    <row r="124" customFormat="false" ht="15.75" hidden="false" customHeight="true" outlineLevel="0" collapsed="false">
      <c r="I124" s="1"/>
    </row>
    <row r="125" customFormat="false" ht="15.75" hidden="false" customHeight="true" outlineLevel="0" collapsed="false">
      <c r="I125" s="1"/>
    </row>
    <row r="126" customFormat="false" ht="15.75" hidden="false" customHeight="true" outlineLevel="0" collapsed="false">
      <c r="I126" s="1"/>
    </row>
    <row r="127" customFormat="false" ht="15.75" hidden="false" customHeight="true" outlineLevel="0" collapsed="false">
      <c r="I127" s="1"/>
    </row>
    <row r="128" customFormat="false" ht="15.75" hidden="false" customHeight="true" outlineLevel="0" collapsed="false">
      <c r="I128" s="1"/>
    </row>
    <row r="129" customFormat="false" ht="15.75" hidden="false" customHeight="true" outlineLevel="0" collapsed="false">
      <c r="I129" s="1"/>
    </row>
    <row r="130" customFormat="false" ht="15.75" hidden="false" customHeight="true" outlineLevel="0" collapsed="false">
      <c r="I130" s="1"/>
    </row>
    <row r="131" customFormat="false" ht="15.75" hidden="false" customHeight="true" outlineLevel="0" collapsed="false">
      <c r="I131" s="1"/>
    </row>
    <row r="132" customFormat="false" ht="15.75" hidden="false" customHeight="true" outlineLevel="0" collapsed="false">
      <c r="I132" s="1"/>
    </row>
    <row r="133" customFormat="false" ht="15.75" hidden="false" customHeight="true" outlineLevel="0" collapsed="false">
      <c r="I133" s="1"/>
    </row>
    <row r="134" customFormat="false" ht="15.75" hidden="false" customHeight="true" outlineLevel="0" collapsed="false">
      <c r="I134" s="1"/>
    </row>
    <row r="135" customFormat="false" ht="15.75" hidden="false" customHeight="true" outlineLevel="0" collapsed="false">
      <c r="I135" s="1"/>
    </row>
    <row r="136" customFormat="false" ht="15.75" hidden="false" customHeight="true" outlineLevel="0" collapsed="false">
      <c r="I136" s="1"/>
    </row>
    <row r="137" customFormat="false" ht="15.75" hidden="false" customHeight="true" outlineLevel="0" collapsed="false">
      <c r="I137" s="1"/>
    </row>
    <row r="138" customFormat="false" ht="15.75" hidden="false" customHeight="true" outlineLevel="0" collapsed="false">
      <c r="I138" s="1"/>
    </row>
    <row r="139" customFormat="false" ht="15.75" hidden="false" customHeight="true" outlineLevel="0" collapsed="false">
      <c r="I139" s="1"/>
    </row>
    <row r="140" customFormat="false" ht="15.75" hidden="false" customHeight="true" outlineLevel="0" collapsed="false">
      <c r="I140" s="1"/>
    </row>
    <row r="141" customFormat="false" ht="15.75" hidden="false" customHeight="true" outlineLevel="0" collapsed="false">
      <c r="I141" s="1"/>
    </row>
    <row r="142" customFormat="false" ht="15.75" hidden="false" customHeight="true" outlineLevel="0" collapsed="false">
      <c r="I142" s="1"/>
    </row>
    <row r="143" customFormat="false" ht="15.75" hidden="false" customHeight="true" outlineLevel="0" collapsed="false">
      <c r="I143" s="1"/>
    </row>
    <row r="144" customFormat="false" ht="15.75" hidden="false" customHeight="true" outlineLevel="0" collapsed="false">
      <c r="I144" s="1"/>
    </row>
    <row r="145" customFormat="false" ht="15.75" hidden="false" customHeight="true" outlineLevel="0" collapsed="false">
      <c r="I145" s="1"/>
    </row>
    <row r="146" customFormat="false" ht="15.75" hidden="false" customHeight="true" outlineLevel="0" collapsed="false">
      <c r="I146" s="1"/>
    </row>
    <row r="147" customFormat="false" ht="15.75" hidden="false" customHeight="true" outlineLevel="0" collapsed="false">
      <c r="I147" s="1"/>
    </row>
    <row r="148" customFormat="false" ht="15.75" hidden="false" customHeight="true" outlineLevel="0" collapsed="false">
      <c r="I148" s="1"/>
    </row>
    <row r="149" customFormat="false" ht="15.75" hidden="false" customHeight="true" outlineLevel="0" collapsed="false">
      <c r="I149" s="1"/>
    </row>
    <row r="150" customFormat="false" ht="15.75" hidden="false" customHeight="true" outlineLevel="0" collapsed="false">
      <c r="I150" s="1"/>
    </row>
    <row r="151" customFormat="false" ht="15.75" hidden="false" customHeight="true" outlineLevel="0" collapsed="false">
      <c r="I151" s="1"/>
    </row>
    <row r="152" customFormat="false" ht="15.75" hidden="false" customHeight="true" outlineLevel="0" collapsed="false">
      <c r="I152" s="1"/>
    </row>
    <row r="153" customFormat="false" ht="15.75" hidden="false" customHeight="true" outlineLevel="0" collapsed="false">
      <c r="I153" s="1"/>
    </row>
    <row r="154" customFormat="false" ht="15.75" hidden="false" customHeight="true" outlineLevel="0" collapsed="false">
      <c r="I154" s="1"/>
    </row>
    <row r="155" customFormat="false" ht="15.75" hidden="false" customHeight="true" outlineLevel="0" collapsed="false">
      <c r="I155" s="1"/>
    </row>
    <row r="156" customFormat="false" ht="15.75" hidden="false" customHeight="true" outlineLevel="0" collapsed="false">
      <c r="I156" s="1"/>
    </row>
    <row r="157" customFormat="false" ht="15.75" hidden="false" customHeight="true" outlineLevel="0" collapsed="false">
      <c r="I157" s="1"/>
    </row>
    <row r="158" customFormat="false" ht="15.75" hidden="false" customHeight="true" outlineLevel="0" collapsed="false">
      <c r="I158" s="1"/>
    </row>
    <row r="159" customFormat="false" ht="15.75" hidden="false" customHeight="true" outlineLevel="0" collapsed="false">
      <c r="I159" s="1"/>
    </row>
    <row r="160" customFormat="false" ht="15.75" hidden="false" customHeight="true" outlineLevel="0" collapsed="false">
      <c r="I160" s="1"/>
    </row>
    <row r="161" customFormat="false" ht="15.75" hidden="false" customHeight="true" outlineLevel="0" collapsed="false">
      <c r="I161" s="1"/>
    </row>
    <row r="162" customFormat="false" ht="15.75" hidden="false" customHeight="true" outlineLevel="0" collapsed="false">
      <c r="I162" s="1"/>
    </row>
    <row r="163" customFormat="false" ht="15.75" hidden="false" customHeight="true" outlineLevel="0" collapsed="false">
      <c r="I163" s="1"/>
    </row>
    <row r="164" customFormat="false" ht="15.75" hidden="false" customHeight="true" outlineLevel="0" collapsed="false">
      <c r="I164" s="1"/>
    </row>
    <row r="165" customFormat="false" ht="15.75" hidden="false" customHeight="true" outlineLevel="0" collapsed="false">
      <c r="I165" s="1"/>
    </row>
    <row r="166" customFormat="false" ht="15.75" hidden="false" customHeight="true" outlineLevel="0" collapsed="false">
      <c r="I166" s="1"/>
    </row>
    <row r="167" customFormat="false" ht="15.75" hidden="false" customHeight="true" outlineLevel="0" collapsed="false">
      <c r="I167" s="1"/>
    </row>
    <row r="168" customFormat="false" ht="15.75" hidden="false" customHeight="true" outlineLevel="0" collapsed="false">
      <c r="I168" s="1"/>
    </row>
    <row r="169" customFormat="false" ht="15.75" hidden="false" customHeight="true" outlineLevel="0" collapsed="false">
      <c r="I169" s="1"/>
    </row>
    <row r="170" customFormat="false" ht="15.75" hidden="false" customHeight="true" outlineLevel="0" collapsed="false">
      <c r="I170" s="1"/>
    </row>
    <row r="171" customFormat="false" ht="15.75" hidden="false" customHeight="true" outlineLevel="0" collapsed="false">
      <c r="I171" s="1"/>
    </row>
    <row r="172" customFormat="false" ht="15.75" hidden="false" customHeight="true" outlineLevel="0" collapsed="false">
      <c r="I172" s="1"/>
    </row>
    <row r="173" customFormat="false" ht="15.75" hidden="false" customHeight="true" outlineLevel="0" collapsed="false">
      <c r="I173" s="1"/>
    </row>
    <row r="174" customFormat="false" ht="15.75" hidden="false" customHeight="true" outlineLevel="0" collapsed="false">
      <c r="I174" s="1"/>
    </row>
    <row r="175" customFormat="false" ht="15.75" hidden="false" customHeight="true" outlineLevel="0" collapsed="false">
      <c r="I175" s="1"/>
    </row>
    <row r="176" customFormat="false" ht="15.75" hidden="false" customHeight="true" outlineLevel="0" collapsed="false">
      <c r="I176" s="1"/>
    </row>
    <row r="177" customFormat="false" ht="15.75" hidden="false" customHeight="true" outlineLevel="0" collapsed="false">
      <c r="I177" s="1"/>
    </row>
    <row r="178" customFormat="false" ht="15.75" hidden="false" customHeight="true" outlineLevel="0" collapsed="false">
      <c r="I178" s="1"/>
    </row>
    <row r="179" customFormat="false" ht="15.75" hidden="false" customHeight="true" outlineLevel="0" collapsed="false">
      <c r="I179" s="1"/>
    </row>
    <row r="180" customFormat="false" ht="15.75" hidden="false" customHeight="true" outlineLevel="0" collapsed="false">
      <c r="I180" s="1"/>
    </row>
    <row r="181" customFormat="false" ht="15.75" hidden="false" customHeight="true" outlineLevel="0" collapsed="false">
      <c r="I181" s="1"/>
    </row>
    <row r="182" customFormat="false" ht="15.75" hidden="false" customHeight="true" outlineLevel="0" collapsed="false">
      <c r="I182" s="1"/>
    </row>
    <row r="183" customFormat="false" ht="15.75" hidden="false" customHeight="true" outlineLevel="0" collapsed="false">
      <c r="I183" s="1"/>
    </row>
    <row r="184" customFormat="false" ht="15.75" hidden="false" customHeight="true" outlineLevel="0" collapsed="false">
      <c r="I184" s="1"/>
    </row>
    <row r="185" customFormat="false" ht="15.75" hidden="false" customHeight="true" outlineLevel="0" collapsed="false">
      <c r="I185" s="1"/>
    </row>
    <row r="186" customFormat="false" ht="15.75" hidden="false" customHeight="true" outlineLevel="0" collapsed="false">
      <c r="I186" s="1"/>
    </row>
    <row r="187" customFormat="false" ht="15.75" hidden="false" customHeight="true" outlineLevel="0" collapsed="false">
      <c r="I187" s="1"/>
    </row>
    <row r="188" customFormat="false" ht="15.75" hidden="false" customHeight="true" outlineLevel="0" collapsed="false">
      <c r="I188" s="1"/>
    </row>
    <row r="189" customFormat="false" ht="15.75" hidden="false" customHeight="true" outlineLevel="0" collapsed="false">
      <c r="I189" s="1"/>
    </row>
    <row r="190" customFormat="false" ht="15.75" hidden="false" customHeight="true" outlineLevel="0" collapsed="false">
      <c r="I190" s="1"/>
    </row>
    <row r="191" customFormat="false" ht="15.75" hidden="false" customHeight="true" outlineLevel="0" collapsed="false">
      <c r="I191" s="1"/>
    </row>
    <row r="192" customFormat="false" ht="15.75" hidden="false" customHeight="true" outlineLevel="0" collapsed="false">
      <c r="I192" s="1"/>
    </row>
    <row r="193" customFormat="false" ht="15.75" hidden="false" customHeight="true" outlineLevel="0" collapsed="false">
      <c r="I193" s="1"/>
    </row>
    <row r="194" customFormat="false" ht="15.75" hidden="false" customHeight="true" outlineLevel="0" collapsed="false">
      <c r="I194" s="1"/>
    </row>
    <row r="195" customFormat="false" ht="15.75" hidden="false" customHeight="true" outlineLevel="0" collapsed="false">
      <c r="I195" s="1"/>
    </row>
    <row r="196" customFormat="false" ht="15.75" hidden="false" customHeight="true" outlineLevel="0" collapsed="false">
      <c r="I196" s="1"/>
    </row>
    <row r="197" customFormat="false" ht="15.75" hidden="false" customHeight="true" outlineLevel="0" collapsed="false">
      <c r="I197" s="1"/>
    </row>
    <row r="198" customFormat="false" ht="15.75" hidden="false" customHeight="true" outlineLevel="0" collapsed="false">
      <c r="I198" s="1"/>
    </row>
    <row r="199" customFormat="false" ht="15.75" hidden="false" customHeight="true" outlineLevel="0" collapsed="false">
      <c r="I199" s="1"/>
    </row>
    <row r="200" customFormat="false" ht="15.75" hidden="false" customHeight="true" outlineLevel="0" collapsed="false">
      <c r="I200" s="1"/>
    </row>
    <row r="201" customFormat="false" ht="15.75" hidden="false" customHeight="true" outlineLevel="0" collapsed="false">
      <c r="I201" s="1"/>
    </row>
    <row r="202" customFormat="false" ht="15.75" hidden="false" customHeight="true" outlineLevel="0" collapsed="false">
      <c r="I202" s="1"/>
    </row>
    <row r="203" customFormat="false" ht="15.75" hidden="false" customHeight="true" outlineLevel="0" collapsed="false">
      <c r="I203" s="1"/>
    </row>
    <row r="204" customFormat="false" ht="15.75" hidden="false" customHeight="true" outlineLevel="0" collapsed="false">
      <c r="I204" s="1"/>
    </row>
    <row r="205" customFormat="false" ht="15.75" hidden="false" customHeight="true" outlineLevel="0" collapsed="false">
      <c r="I205" s="1"/>
    </row>
    <row r="206" customFormat="false" ht="15.75" hidden="false" customHeight="true" outlineLevel="0" collapsed="false">
      <c r="I206" s="1"/>
    </row>
    <row r="207" customFormat="false" ht="15.75" hidden="false" customHeight="true" outlineLevel="0" collapsed="false">
      <c r="I207" s="1"/>
    </row>
    <row r="208" customFormat="false" ht="15.75" hidden="false" customHeight="true" outlineLevel="0" collapsed="false">
      <c r="I208" s="1"/>
    </row>
    <row r="209" customFormat="false" ht="15.75" hidden="false" customHeight="true" outlineLevel="0" collapsed="false">
      <c r="I209" s="1"/>
    </row>
    <row r="210" customFormat="false" ht="15.75" hidden="false" customHeight="true" outlineLevel="0" collapsed="false">
      <c r="I210" s="1"/>
    </row>
    <row r="211" customFormat="false" ht="15.75" hidden="false" customHeight="true" outlineLevel="0" collapsed="false">
      <c r="I211" s="1"/>
    </row>
    <row r="212" customFormat="false" ht="15.75" hidden="false" customHeight="true" outlineLevel="0" collapsed="false">
      <c r="I212" s="1"/>
    </row>
    <row r="213" customFormat="false" ht="15.75" hidden="false" customHeight="true" outlineLevel="0" collapsed="false">
      <c r="I213" s="1"/>
    </row>
    <row r="214" customFormat="false" ht="15.75" hidden="false" customHeight="true" outlineLevel="0" collapsed="false">
      <c r="I214" s="1"/>
    </row>
    <row r="215" customFormat="false" ht="15.75" hidden="false" customHeight="true" outlineLevel="0" collapsed="false">
      <c r="I215" s="1"/>
    </row>
    <row r="216" customFormat="false" ht="15.75" hidden="false" customHeight="true" outlineLevel="0" collapsed="false">
      <c r="I216" s="1"/>
    </row>
    <row r="217" customFormat="false" ht="15.75" hidden="false" customHeight="true" outlineLevel="0" collapsed="false">
      <c r="I217" s="1"/>
    </row>
    <row r="218" customFormat="false" ht="15.75" hidden="false" customHeight="true" outlineLevel="0" collapsed="false">
      <c r="I218" s="1"/>
    </row>
    <row r="219" customFormat="false" ht="15.75" hidden="false" customHeight="true" outlineLevel="0" collapsed="false">
      <c r="I219" s="1"/>
    </row>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4">
    <mergeCell ref="F2:H2"/>
    <mergeCell ref="B16:H16"/>
    <mergeCell ref="B17:H17"/>
    <mergeCell ref="B18:H1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J1000"/>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selection pane="topLeft" activeCell="J12" activeCellId="0" sqref="J12"/>
    </sheetView>
  </sheetViews>
  <sheetFormatPr defaultColWidth="14.43359375" defaultRowHeight="15" customHeight="true"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6" min="3" style="1" width="11"/>
    <col collapsed="false" customWidth="true" hidden="false" outlineLevel="0" max="7" min="7" style="1" width="16.14"/>
  </cols>
  <sheetData>
    <row r="2" customFormat="false" ht="20.25" hidden="false" customHeight="true" outlineLevel="0" collapsed="false">
      <c r="B2" s="33" t="s">
        <v>91</v>
      </c>
    </row>
    <row r="3" customFormat="false" ht="15" hidden="false" customHeight="true" outlineLevel="0" collapsed="false">
      <c r="B3" s="34" t="s">
        <v>92</v>
      </c>
    </row>
    <row r="5" customFormat="false" ht="40.5" hidden="false" customHeight="true" outlineLevel="0" collapsed="false">
      <c r="B5" s="35" t="s">
        <v>93</v>
      </c>
      <c r="C5" s="35"/>
      <c r="D5" s="35"/>
      <c r="E5" s="35"/>
    </row>
    <row r="6" customFormat="false" ht="15" hidden="false" customHeight="true" outlineLevel="0" collapsed="false">
      <c r="B6" s="36" t="s">
        <v>94</v>
      </c>
      <c r="C6" s="37" t="s">
        <v>95</v>
      </c>
      <c r="D6" s="37"/>
      <c r="E6" s="37"/>
    </row>
    <row r="7" customFormat="false" ht="15" hidden="false" customHeight="true" outlineLevel="0" collapsed="false">
      <c r="B7" s="36" t="s">
        <v>96</v>
      </c>
      <c r="C7" s="38" t="s">
        <v>4</v>
      </c>
      <c r="D7" s="38"/>
      <c r="E7" s="38"/>
    </row>
    <row r="8" customFormat="false" ht="15" hidden="false" customHeight="true" outlineLevel="0" collapsed="false">
      <c r="B8" s="36" t="s">
        <v>82</v>
      </c>
      <c r="C8" s="37" t="s">
        <v>6</v>
      </c>
      <c r="D8" s="37"/>
      <c r="E8" s="37"/>
    </row>
    <row r="9" customFormat="false" ht="15" hidden="false" customHeight="true" outlineLevel="0" collapsed="false">
      <c r="B9" s="36" t="s">
        <v>97</v>
      </c>
      <c r="C9" s="37"/>
      <c r="D9" s="37"/>
      <c r="E9" s="37"/>
    </row>
    <row r="10" customFormat="false" ht="15" hidden="false" customHeight="true" outlineLevel="0" collapsed="false">
      <c r="B10" s="36" t="s">
        <v>98</v>
      </c>
      <c r="C10" s="39" t="s">
        <v>99</v>
      </c>
      <c r="D10" s="39"/>
      <c r="E10" s="39"/>
    </row>
    <row r="11" customFormat="false" ht="15" hidden="false" customHeight="true" outlineLevel="0" collapsed="false">
      <c r="B11" s="36" t="s">
        <v>100</v>
      </c>
      <c r="C11" s="39" t="s">
        <v>101</v>
      </c>
      <c r="D11" s="39"/>
      <c r="E11" s="39"/>
    </row>
    <row r="12" customFormat="false" ht="15" hidden="false" customHeight="true" outlineLevel="0" collapsed="false">
      <c r="B12" s="36" t="s">
        <v>102</v>
      </c>
      <c r="C12" s="37" t="n">
        <f aca="false">COUNTIF(Dashboard!$D$4:$D$33,"?*")</f>
        <v>11</v>
      </c>
      <c r="D12" s="37"/>
      <c r="E12" s="37"/>
    </row>
    <row r="13" customFormat="false" ht="15" hidden="false" customHeight="true" outlineLevel="0" collapsed="false">
      <c r="B13" s="36" t="s">
        <v>103</v>
      </c>
      <c r="C13" s="39" t="s">
        <v>104</v>
      </c>
      <c r="D13" s="39"/>
      <c r="E13" s="39"/>
    </row>
    <row r="14" customFormat="false" ht="15" hidden="false" customHeight="true" outlineLevel="0" collapsed="false">
      <c r="B14" s="40" t="s">
        <v>105</v>
      </c>
      <c r="C14" s="40"/>
      <c r="D14" s="40"/>
      <c r="E14" s="40"/>
    </row>
    <row r="15" customFormat="false" ht="25.5" hidden="false" customHeight="true" outlineLevel="0" collapsed="false"/>
    <row r="16" customFormat="false" ht="25.5" hidden="false" customHeight="true" outlineLevel="0" collapsed="false">
      <c r="B16" s="35" t="s">
        <v>106</v>
      </c>
      <c r="C16" s="35"/>
      <c r="D16" s="35"/>
      <c r="E16" s="35"/>
      <c r="F16" s="35"/>
    </row>
    <row r="17" customFormat="false" ht="15" hidden="false" customHeight="true" outlineLevel="0" collapsed="false">
      <c r="B17" s="41" t="s">
        <v>107</v>
      </c>
      <c r="C17" s="42" t="n">
        <f aca="false">Dashboard!$F$34</f>
        <v>223</v>
      </c>
      <c r="D17" s="43"/>
      <c r="F17" s="44"/>
      <c r="G17" s="45"/>
      <c r="I17" s="46" t="s">
        <v>108</v>
      </c>
      <c r="J17" s="46"/>
    </row>
    <row r="18" customFormat="false" ht="15" hidden="false" customHeight="true" outlineLevel="0" collapsed="false">
      <c r="B18" s="47" t="s">
        <v>109</v>
      </c>
      <c r="C18" s="48" t="s">
        <v>110</v>
      </c>
      <c r="D18" s="49" t="s">
        <v>111</v>
      </c>
      <c r="E18" s="47" t="s">
        <v>112</v>
      </c>
      <c r="F18" s="47" t="s">
        <v>113</v>
      </c>
      <c r="G18" s="45"/>
      <c r="I18" s="47" t="s">
        <v>114</v>
      </c>
      <c r="J18" s="47" t="s">
        <v>115</v>
      </c>
    </row>
    <row r="19" customFormat="false" ht="15" hidden="false" customHeight="true" outlineLevel="0" collapsed="false">
      <c r="B19" s="50" t="s">
        <v>33</v>
      </c>
      <c r="C19" s="51" t="n">
        <f aca="false">Dashboard!$O$34</f>
        <v>22</v>
      </c>
      <c r="D19" s="52" t="n">
        <f aca="false">IFERROR(C19/$C$17,0)</f>
        <v>0.0986547085201794</v>
      </c>
      <c r="E19" s="51" t="n">
        <f aca="false">Dashboard!$AB$34</f>
        <v>0</v>
      </c>
      <c r="F19" s="52" t="n">
        <f aca="false">IFERROR(E19/C19,0)</f>
        <v>0</v>
      </c>
      <c r="G19" s="45"/>
      <c r="I19" s="53" t="s">
        <v>41</v>
      </c>
      <c r="J19" s="51" t="n">
        <f aca="false">Dashboard!$R$34</f>
        <v>175</v>
      </c>
    </row>
    <row r="20" customFormat="false" ht="15.75" hidden="false" customHeight="true" outlineLevel="0" collapsed="false">
      <c r="B20" s="50" t="s">
        <v>35</v>
      </c>
      <c r="C20" s="51" t="n">
        <f aca="false">Dashboard!$P$34</f>
        <v>145</v>
      </c>
      <c r="D20" s="52" t="n">
        <f aca="false">IFERROR(C20/$C$17,0)</f>
        <v>0.650224215246637</v>
      </c>
      <c r="E20" s="51" t="n">
        <f aca="false">Dashboard!$AC$34</f>
        <v>0</v>
      </c>
      <c r="F20" s="52" t="n">
        <f aca="false">IFERROR(E20/C20,0)</f>
        <v>0</v>
      </c>
      <c r="G20" s="45"/>
      <c r="I20" s="53" t="s">
        <v>43</v>
      </c>
      <c r="J20" s="51" t="n">
        <f aca="false">Dashboard!$S$34</f>
        <v>48</v>
      </c>
    </row>
    <row r="21" customFormat="false" ht="15.75" hidden="false" customHeight="true" outlineLevel="0" collapsed="false">
      <c r="B21" s="50" t="s">
        <v>37</v>
      </c>
      <c r="C21" s="51" t="n">
        <f aca="false">Dashboard!$Q$34</f>
        <v>56</v>
      </c>
      <c r="D21" s="52" t="n">
        <f aca="false">IFERROR(C21/$C$17,0)</f>
        <v>0.251121076233184</v>
      </c>
      <c r="E21" s="51" t="n">
        <f aca="false">Dashboard!$AD$34</f>
        <v>0</v>
      </c>
      <c r="F21" s="52" t="n">
        <f aca="false">IFERROR(E21/C21,0)</f>
        <v>0</v>
      </c>
      <c r="I21" s="53" t="s">
        <v>45</v>
      </c>
      <c r="J21" s="51" t="n">
        <f aca="false">Dashboard!$T$34</f>
        <v>0</v>
      </c>
    </row>
    <row r="22" customFormat="false" ht="15.75" hidden="false" customHeight="true" outlineLevel="0" collapsed="false">
      <c r="B22" s="54" t="s">
        <v>116</v>
      </c>
      <c r="C22" s="42" t="n">
        <f aca="false">SUM(C19:C21)</f>
        <v>223</v>
      </c>
      <c r="D22" s="55" t="n">
        <f aca="false">IFERROR(C22/$C$17,0)</f>
        <v>1</v>
      </c>
      <c r="E22" s="42" t="n">
        <f aca="false">SUM(E19:E21)</f>
        <v>0</v>
      </c>
      <c r="F22" s="55" t="n">
        <f aca="false">IFERROR(E22/C22,0)</f>
        <v>0</v>
      </c>
      <c r="I22" s="53" t="s">
        <v>47</v>
      </c>
      <c r="J22" s="51" t="n">
        <f aca="false">Dashboard!$U$34</f>
        <v>0</v>
      </c>
    </row>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c r="B30" s="44"/>
      <c r="C30" s="45"/>
    </row>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37.5" hidden="false" customHeight="true" outlineLevel="0" collapsed="false">
      <c r="B42" s="56" t="s">
        <v>117</v>
      </c>
      <c r="C42" s="56"/>
      <c r="D42" s="56"/>
      <c r="E42" s="56"/>
    </row>
    <row r="43" customFormat="false" ht="15.75" hidden="false" customHeight="true" outlineLevel="0" collapsed="false">
      <c r="B43" s="57" t="s">
        <v>118</v>
      </c>
      <c r="C43" s="58" t="s">
        <v>119</v>
      </c>
      <c r="D43" s="58" t="s">
        <v>120</v>
      </c>
      <c r="E43" s="58"/>
    </row>
    <row r="44" customFormat="false" ht="15.75" hidden="false" customHeight="true" outlineLevel="0" collapsed="false">
      <c r="B44" s="59" t="s">
        <v>121</v>
      </c>
      <c r="C44" s="60" t="n">
        <f aca="false">Dashboard!$V$34</f>
        <v>223</v>
      </c>
      <c r="D44" s="61" t="n">
        <f aca="false">IFERROR(C44/$C17,0)</f>
        <v>1</v>
      </c>
      <c r="E44" s="61"/>
    </row>
    <row r="45" customFormat="false" ht="15.75" hidden="false" customHeight="true" outlineLevel="0" collapsed="false">
      <c r="B45" s="59" t="s">
        <v>122</v>
      </c>
      <c r="C45" s="60" t="n">
        <f aca="false">Dashboard!$W$34</f>
        <v>0</v>
      </c>
      <c r="D45" s="61" t="n">
        <f aca="false">IFERROR(C45/$C17,0)</f>
        <v>0</v>
      </c>
      <c r="E45" s="61"/>
    </row>
    <row r="46" customFormat="false" ht="15.75" hidden="false" customHeight="true" outlineLevel="0" collapsed="false">
      <c r="B46" s="59" t="s">
        <v>123</v>
      </c>
      <c r="C46" s="60" t="n">
        <f aca="false">Dashboard!$X$34</f>
        <v>0</v>
      </c>
      <c r="D46" s="61" t="n">
        <f aca="false">IFERROR(C46/$C17,0)</f>
        <v>0</v>
      </c>
      <c r="E46" s="61"/>
    </row>
    <row r="47" customFormat="false" ht="15.75" hidden="false" customHeight="true" outlineLevel="0" collapsed="false">
      <c r="B47" s="59" t="s">
        <v>124</v>
      </c>
      <c r="C47" s="60" t="n">
        <f aca="false">Dashboard!$Y$34</f>
        <v>0</v>
      </c>
      <c r="D47" s="61" t="n">
        <f aca="false">IFERROR(C47/$C17,0)</f>
        <v>0</v>
      </c>
      <c r="E47" s="61"/>
    </row>
    <row r="48" customFormat="false" ht="15.75" hidden="false" customHeight="true" outlineLevel="0" collapsed="false">
      <c r="B48" s="59" t="s">
        <v>125</v>
      </c>
      <c r="C48" s="60" t="n">
        <f aca="false">Dashboard!$Z$34</f>
        <v>0</v>
      </c>
      <c r="D48" s="61" t="n">
        <f aca="false">IFERROR(C48/$C17,0)</f>
        <v>0</v>
      </c>
      <c r="E48" s="61"/>
    </row>
    <row r="49" customFormat="false" ht="15.75" hidden="false" customHeight="true" outlineLevel="0" collapsed="false">
      <c r="B49" s="59" t="s">
        <v>126</v>
      </c>
      <c r="C49" s="60" t="n">
        <f aca="false">Dashboard!$AA$34</f>
        <v>0</v>
      </c>
      <c r="D49" s="61" t="n">
        <f aca="false">IFERROR(C49/$C17,0)</f>
        <v>0</v>
      </c>
      <c r="E49" s="61"/>
    </row>
    <row r="50" customFormat="false" ht="15.75" hidden="false" customHeight="true" outlineLevel="0" collapsed="false"/>
    <row r="51" customFormat="false" ht="15.75" hidden="false" customHeight="true" outlineLevel="0" collapsed="false">
      <c r="B51" s="62" t="s">
        <v>127</v>
      </c>
      <c r="C51" s="62"/>
      <c r="D51" s="62"/>
      <c r="E51" s="62"/>
    </row>
    <row r="52" customFormat="false" ht="15.75" hidden="false" customHeight="true" outlineLevel="0" collapsed="false"/>
    <row r="53" customFormat="false" ht="15.75" hidden="false" customHeight="true" outlineLevel="0" collapsed="false">
      <c r="B53" s="63" t="s">
        <v>128</v>
      </c>
      <c r="C53" s="63"/>
      <c r="D53" s="63"/>
      <c r="E53" s="63"/>
    </row>
    <row r="54" customFormat="false" ht="15.75" hidden="false" customHeight="true" outlineLevel="0" collapsed="false"/>
    <row r="55" customFormat="false" ht="15.75" hidden="false" customHeight="true" outlineLevel="0" collapsed="false"/>
    <row r="56" customFormat="false" ht="40.5" hidden="false" customHeight="true" outlineLevel="0" collapsed="false">
      <c r="B56" s="35" t="s">
        <v>129</v>
      </c>
      <c r="C56" s="35"/>
      <c r="D56" s="35"/>
      <c r="E56" s="35"/>
      <c r="F56" s="35"/>
    </row>
    <row r="57" customFormat="false" ht="15.75" hidden="false" customHeight="true" outlineLevel="0" collapsed="false">
      <c r="B57" s="36" t="s">
        <v>130</v>
      </c>
      <c r="C57" s="37" t="s">
        <v>131</v>
      </c>
      <c r="D57" s="37"/>
      <c r="E57" s="37"/>
      <c r="F57" s="37"/>
    </row>
    <row r="58" customFormat="false" ht="15.75" hidden="false" customHeight="true" outlineLevel="0" collapsed="false">
      <c r="B58" s="36" t="s">
        <v>132</v>
      </c>
      <c r="C58" s="37" t="s">
        <v>133</v>
      </c>
      <c r="D58" s="37"/>
      <c r="E58" s="37"/>
      <c r="F58" s="37"/>
    </row>
    <row r="59" customFormat="false" ht="15.75" hidden="false" customHeight="true" outlineLevel="0" collapsed="false">
      <c r="B59" s="36" t="s">
        <v>134</v>
      </c>
      <c r="C59" s="37" t="s">
        <v>135</v>
      </c>
      <c r="D59" s="37"/>
      <c r="E59" s="37"/>
      <c r="F59" s="37"/>
    </row>
    <row r="60" customFormat="false" ht="15.75" hidden="false" customHeight="true" outlineLevel="0" collapsed="false">
      <c r="B60" s="36" t="s">
        <v>136</v>
      </c>
      <c r="C60" s="37" t="s">
        <v>137</v>
      </c>
      <c r="D60" s="37"/>
      <c r="E60" s="37"/>
      <c r="F60" s="37"/>
    </row>
    <row r="61" customFormat="false" ht="15.75" hidden="false" customHeight="true" outlineLevel="0" collapsed="false">
      <c r="B61" s="36" t="s">
        <v>138</v>
      </c>
      <c r="C61" s="37" t="s">
        <v>139</v>
      </c>
      <c r="D61" s="37"/>
      <c r="E61" s="37"/>
      <c r="F61" s="37"/>
    </row>
    <row r="62" customFormat="false" ht="15.75" hidden="false" customHeight="true" outlineLevel="0" collapsed="false">
      <c r="B62" s="36" t="s">
        <v>140</v>
      </c>
      <c r="C62" s="37" t="s">
        <v>141</v>
      </c>
      <c r="D62" s="37"/>
      <c r="E62" s="37"/>
      <c r="F62" s="37"/>
    </row>
    <row r="63" customFormat="false" ht="15.75" hidden="false" customHeight="true" outlineLevel="0" collapsed="false"/>
    <row r="64" customFormat="false" ht="15.75" hidden="false" customHeight="true" outlineLevel="0" collapsed="false">
      <c r="B64" s="64" t="s">
        <v>142</v>
      </c>
      <c r="C64" s="64"/>
      <c r="D64" s="64"/>
      <c r="E64" s="64"/>
      <c r="F64" s="64"/>
    </row>
    <row r="65" customFormat="false" ht="45.75" hidden="false" customHeight="true" outlineLevel="0" collapsed="false">
      <c r="B65" s="64"/>
      <c r="C65" s="64"/>
      <c r="D65" s="64"/>
      <c r="E65" s="64"/>
      <c r="F65" s="64"/>
    </row>
    <row r="66" customFormat="false" ht="15.75" hidden="false" customHeight="true" outlineLevel="0" collapsed="false">
      <c r="B66" s="65"/>
      <c r="C66" s="66"/>
      <c r="D66" s="67"/>
      <c r="E66" s="67"/>
      <c r="F66" s="68"/>
    </row>
    <row r="67" customFormat="false" ht="15.75" hidden="false" customHeight="true" outlineLevel="0" collapsed="false">
      <c r="B67" s="65"/>
      <c r="C67" s="66"/>
      <c r="D67" s="22"/>
      <c r="E67" s="22"/>
      <c r="F67" s="68"/>
    </row>
    <row r="68" customFormat="false" ht="15.75" hidden="false" customHeight="true" outlineLevel="0" collapsed="false">
      <c r="B68" s="65"/>
      <c r="C68" s="66"/>
      <c r="D68" s="22"/>
      <c r="E68" s="22"/>
      <c r="F68" s="68"/>
    </row>
    <row r="69" customFormat="false" ht="15.75" hidden="false" customHeight="true" outlineLevel="0" collapsed="false">
      <c r="B69" s="65"/>
      <c r="C69" s="66"/>
      <c r="D69" s="22"/>
      <c r="E69" s="22"/>
      <c r="F69" s="68"/>
    </row>
    <row r="70" customFormat="false" ht="15.75" hidden="false" customHeight="true" outlineLevel="0" collapsed="false">
      <c r="B70" s="65"/>
      <c r="C70" s="66"/>
      <c r="D70" s="22"/>
      <c r="E70" s="22"/>
      <c r="F70" s="68"/>
    </row>
    <row r="71" customFormat="false" ht="15.75" hidden="false" customHeight="true" outlineLevel="0" collapsed="false">
      <c r="B71" s="65"/>
      <c r="C71" s="66"/>
      <c r="D71" s="22"/>
      <c r="E71" s="22"/>
      <c r="F71" s="68"/>
    </row>
    <row r="72" customFormat="false" ht="15.75" hidden="false" customHeight="true" outlineLevel="0" collapsed="false">
      <c r="B72" s="65"/>
      <c r="C72" s="66"/>
      <c r="D72" s="22"/>
      <c r="E72" s="22"/>
      <c r="F72" s="68"/>
    </row>
    <row r="73" customFormat="false" ht="15.75" hidden="false" customHeight="true" outlineLevel="0" collapsed="false">
      <c r="B73" s="68"/>
      <c r="F73" s="68"/>
    </row>
    <row r="74" customFormat="false" ht="15.75" hidden="false" customHeight="true" outlineLevel="0" collapsed="false">
      <c r="B74" s="69"/>
      <c r="F74" s="70"/>
    </row>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0">
    <mergeCell ref="B5:E5"/>
    <mergeCell ref="C6:E6"/>
    <mergeCell ref="C7:E7"/>
    <mergeCell ref="C8:E8"/>
    <mergeCell ref="C9:E9"/>
    <mergeCell ref="C10:E10"/>
    <mergeCell ref="C11:E11"/>
    <mergeCell ref="C12:E12"/>
    <mergeCell ref="C13:E13"/>
    <mergeCell ref="B14:E14"/>
    <mergeCell ref="B16:F16"/>
    <mergeCell ref="I17:J17"/>
    <mergeCell ref="B42:E42"/>
    <mergeCell ref="D43:E43"/>
    <mergeCell ref="D44:E44"/>
    <mergeCell ref="D45:E45"/>
    <mergeCell ref="D46:E46"/>
    <mergeCell ref="D47:E47"/>
    <mergeCell ref="D48:E48"/>
    <mergeCell ref="D49:E49"/>
    <mergeCell ref="B51:E51"/>
    <mergeCell ref="B53:E53"/>
    <mergeCell ref="B56:F56"/>
    <mergeCell ref="C57:F57"/>
    <mergeCell ref="C58:F58"/>
    <mergeCell ref="C59:F59"/>
    <mergeCell ref="C60:F60"/>
    <mergeCell ref="C61:F61"/>
    <mergeCell ref="C62:F62"/>
    <mergeCell ref="B64:F6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C1000"/>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5" ySplit="3" topLeftCell="F4" activePane="bottomRight" state="frozen"/>
      <selection pane="topLeft" activeCell="A1" activeCellId="0" sqref="A1"/>
      <selection pane="topRight" activeCell="F1" activeCellId="0" sqref="F1"/>
      <selection pane="bottomLeft" activeCell="A4" activeCellId="0" sqref="A4"/>
      <selection pane="bottomRight" activeCell="F4" activeCellId="0" sqref="F4"/>
    </sheetView>
  </sheetViews>
  <sheetFormatPr defaultColWidth="14.43359375" defaultRowHeight="15" customHeight="true" zeroHeight="false" outlineLevelRow="0" outlineLevelCol="0"/>
  <cols>
    <col collapsed="false" customWidth="true" hidden="false" outlineLevel="0" max="1" min="1" style="1" width="2"/>
    <col collapsed="false" customWidth="true" hidden="false" outlineLevel="0" max="2" min="2" style="1" width="5"/>
    <col collapsed="false" customWidth="true" hidden="false" outlineLevel="0" max="3" min="3" style="1" width="8"/>
    <col collapsed="false" customWidth="true" hidden="false" outlineLevel="0" max="4" min="4" style="1" width="16"/>
    <col collapsed="false" customWidth="true" hidden="false" outlineLevel="0" max="5" min="5" style="1" width="20"/>
    <col collapsed="false" customWidth="true" hidden="false" outlineLevel="0" max="6" min="6" style="1" width="7"/>
    <col collapsed="false" customWidth="true" hidden="false" outlineLevel="0" max="10" min="7" style="1" width="6"/>
    <col collapsed="false" customWidth="true" hidden="false" outlineLevel="0" max="11" min="11" style="1" width="8"/>
    <col collapsed="false" customWidth="true" hidden="false" outlineLevel="0" max="12" min="12" style="1" width="9.57"/>
    <col collapsed="false" customWidth="true" hidden="false" outlineLevel="0" max="13" min="13" style="1" width="9"/>
    <col collapsed="false" customWidth="true" hidden="false" outlineLevel="0" max="17" min="14" style="1" width="8"/>
    <col collapsed="false" customWidth="true" hidden="false" outlineLevel="0" max="18" min="18" style="1" width="12.57"/>
    <col collapsed="false" customWidth="true" hidden="false" outlineLevel="0" max="19" min="19" style="1" width="8"/>
    <col collapsed="false" customWidth="true" hidden="false" outlineLevel="0" max="20" min="20" style="1" width="13.29"/>
    <col collapsed="false" customWidth="true" hidden="false" outlineLevel="0" max="21" min="21" style="1" width="11.85"/>
    <col collapsed="false" customWidth="true" hidden="false" outlineLevel="0" max="26" min="22" style="1" width="8"/>
    <col collapsed="false" customWidth="true" hidden="false" outlineLevel="0" max="27" min="27" style="1" width="10"/>
    <col collapsed="false" customWidth="true" hidden="false" outlineLevel="0" max="30" min="28" style="1" width="9"/>
  </cols>
  <sheetData>
    <row r="1" customFormat="false" ht="38.25" hidden="false" customHeight="true" outlineLevel="0" collapsed="false">
      <c r="A1" s="71"/>
      <c r="B1" s="72" t="s">
        <v>143</v>
      </c>
      <c r="C1" s="72"/>
      <c r="D1" s="72"/>
      <c r="E1" s="72"/>
      <c r="F1" s="72"/>
      <c r="G1" s="72"/>
      <c r="H1" s="72"/>
      <c r="I1" s="72"/>
      <c r="J1" s="72"/>
      <c r="K1" s="72"/>
      <c r="L1" s="72"/>
      <c r="M1" s="72"/>
      <c r="N1" s="72"/>
      <c r="O1" s="72"/>
      <c r="P1" s="72"/>
      <c r="Q1" s="72"/>
      <c r="R1" s="72"/>
      <c r="S1" s="72"/>
      <c r="T1" s="72"/>
      <c r="U1" s="72"/>
      <c r="V1" s="72"/>
      <c r="W1" s="72"/>
      <c r="X1" s="72"/>
      <c r="Y1" s="72"/>
      <c r="Z1" s="72"/>
      <c r="AA1" s="72"/>
    </row>
    <row r="2" customFormat="false" ht="15" hidden="false" customHeight="true" outlineLevel="0" collapsed="false">
      <c r="B2" s="73"/>
      <c r="C2" s="74" t="s">
        <v>144</v>
      </c>
      <c r="D2" s="74"/>
      <c r="E2" s="74"/>
      <c r="F2" s="75" t="s">
        <v>145</v>
      </c>
      <c r="G2" s="75"/>
      <c r="H2" s="75"/>
      <c r="I2" s="75"/>
      <c r="J2" s="75"/>
      <c r="K2" s="75"/>
      <c r="L2" s="75"/>
      <c r="M2" s="75"/>
      <c r="N2" s="75"/>
      <c r="O2" s="76" t="s">
        <v>146</v>
      </c>
      <c r="P2" s="76"/>
      <c r="Q2" s="76"/>
      <c r="R2" s="77" t="s">
        <v>147</v>
      </c>
      <c r="S2" s="77"/>
      <c r="T2" s="77"/>
      <c r="U2" s="77"/>
      <c r="V2" s="78" t="s">
        <v>58</v>
      </c>
      <c r="W2" s="78"/>
      <c r="X2" s="78"/>
      <c r="Y2" s="78"/>
      <c r="Z2" s="78"/>
      <c r="AA2" s="78"/>
      <c r="AB2" s="79" t="s">
        <v>148</v>
      </c>
      <c r="AC2" s="79"/>
      <c r="AD2" s="79"/>
      <c r="AE2" s="80" t="s">
        <v>149</v>
      </c>
      <c r="AF2" s="80"/>
      <c r="AG2" s="80"/>
      <c r="AH2" s="80"/>
      <c r="AI2" s="80"/>
      <c r="AJ2" s="80"/>
      <c r="AK2" s="80"/>
      <c r="AL2" s="80"/>
      <c r="AM2" s="80"/>
      <c r="AN2" s="80"/>
      <c r="AO2" s="80"/>
      <c r="AP2" s="80"/>
      <c r="AQ2" s="80"/>
      <c r="AR2" s="80"/>
      <c r="AS2" s="80"/>
      <c r="AT2" s="80"/>
      <c r="AU2" s="80"/>
      <c r="AV2" s="80"/>
      <c r="AW2" s="80"/>
      <c r="AX2" s="80"/>
      <c r="AY2" s="80"/>
      <c r="AZ2" s="80"/>
      <c r="BA2" s="80"/>
      <c r="BB2" s="80"/>
      <c r="BC2" s="80"/>
    </row>
    <row r="3" customFormat="false" ht="33.75" hidden="false" customHeight="true" outlineLevel="0" collapsed="false">
      <c r="B3" s="81" t="s">
        <v>150</v>
      </c>
      <c r="C3" s="81" t="s">
        <v>151</v>
      </c>
      <c r="D3" s="81" t="s">
        <v>152</v>
      </c>
      <c r="E3" s="81" t="s">
        <v>153</v>
      </c>
      <c r="F3" s="82" t="s">
        <v>110</v>
      </c>
      <c r="G3" s="82" t="s">
        <v>23</v>
      </c>
      <c r="H3" s="82" t="s">
        <v>25</v>
      </c>
      <c r="I3" s="82" t="s">
        <v>27</v>
      </c>
      <c r="J3" s="82" t="s">
        <v>29</v>
      </c>
      <c r="K3" s="82" t="s">
        <v>154</v>
      </c>
      <c r="L3" s="82" t="s">
        <v>155</v>
      </c>
      <c r="M3" s="82" t="s">
        <v>156</v>
      </c>
      <c r="N3" s="82" t="s">
        <v>157</v>
      </c>
      <c r="O3" s="83" t="s">
        <v>158</v>
      </c>
      <c r="P3" s="83" t="s">
        <v>159</v>
      </c>
      <c r="Q3" s="83" t="s">
        <v>160</v>
      </c>
      <c r="R3" s="84" t="s">
        <v>41</v>
      </c>
      <c r="S3" s="84" t="s">
        <v>43</v>
      </c>
      <c r="T3" s="84" t="s">
        <v>45</v>
      </c>
      <c r="U3" s="84" t="s">
        <v>47</v>
      </c>
      <c r="V3" s="85" t="s">
        <v>161</v>
      </c>
      <c r="W3" s="85" t="s">
        <v>162</v>
      </c>
      <c r="X3" s="85" t="s">
        <v>163</v>
      </c>
      <c r="Y3" s="85" t="s">
        <v>164</v>
      </c>
      <c r="Z3" s="85" t="s">
        <v>165</v>
      </c>
      <c r="AA3" s="85" t="s">
        <v>166</v>
      </c>
      <c r="AB3" s="79" t="s">
        <v>167</v>
      </c>
      <c r="AC3" s="79" t="s">
        <v>168</v>
      </c>
      <c r="AD3" s="79" t="s">
        <v>169</v>
      </c>
      <c r="AE3" s="86" t="s">
        <v>170</v>
      </c>
      <c r="AF3" s="86" t="s">
        <v>171</v>
      </c>
      <c r="AG3" s="86" t="s">
        <v>172</v>
      </c>
      <c r="AH3" s="86" t="s">
        <v>173</v>
      </c>
      <c r="AI3" s="86" t="s">
        <v>174</v>
      </c>
      <c r="AJ3" s="86" t="s">
        <v>175</v>
      </c>
      <c r="AK3" s="86" t="s">
        <v>176</v>
      </c>
      <c r="AL3" s="86" t="s">
        <v>177</v>
      </c>
      <c r="AM3" s="86" t="s">
        <v>178</v>
      </c>
      <c r="AN3" s="86" t="s">
        <v>179</v>
      </c>
      <c r="AO3" s="86" t="s">
        <v>180</v>
      </c>
      <c r="AP3" s="86" t="s">
        <v>181</v>
      </c>
      <c r="AQ3" s="86" t="s">
        <v>182</v>
      </c>
      <c r="AR3" s="86" t="s">
        <v>183</v>
      </c>
      <c r="AS3" s="86" t="s">
        <v>184</v>
      </c>
      <c r="AT3" s="86" t="s">
        <v>185</v>
      </c>
      <c r="AU3" s="86" t="s">
        <v>186</v>
      </c>
      <c r="AV3" s="86" t="s">
        <v>187</v>
      </c>
      <c r="AW3" s="86" t="s">
        <v>188</v>
      </c>
      <c r="AX3" s="86" t="s">
        <v>189</v>
      </c>
      <c r="AY3" s="86" t="s">
        <v>190</v>
      </c>
      <c r="AZ3" s="86" t="s">
        <v>191</v>
      </c>
      <c r="BA3" s="86" t="s">
        <v>192</v>
      </c>
      <c r="BB3" s="86" t="s">
        <v>193</v>
      </c>
      <c r="BC3" s="86" t="s">
        <v>194</v>
      </c>
    </row>
    <row r="4" customFormat="false" ht="21.75" hidden="false" customHeight="true" outlineLevel="0" collapsed="false">
      <c r="B4" s="87" t="n">
        <f aca="false">IF($D4="","",ROW()-3)</f>
        <v>1</v>
      </c>
      <c r="C4" s="88" t="s">
        <v>195</v>
      </c>
      <c r="D4" s="88" t="s">
        <v>196</v>
      </c>
      <c r="E4" s="89" t="s">
        <v>196</v>
      </c>
      <c r="F4" s="87" t="n">
        <f aca="true">IF($D4="","",IFERROR(COUNTIF(INDIRECT("'"&amp;$D4&amp;"'!$A$7:$A$500"),"?*"),0))</f>
        <v>10</v>
      </c>
      <c r="G4" s="87" t="n">
        <f aca="true">IF($D4="","",IFERROR(COUNTIF(INDIRECT("'"&amp;$D4&amp;"'!$AT$7:$AT$500"),"Pass"),0))</f>
        <v>0</v>
      </c>
      <c r="H4" s="87" t="n">
        <f aca="true">IF($D4="","",IFERROR(COUNTIF(INDIRECT("'"&amp;$D4&amp;"'!$AT$7:$AT$500"),"Fail"),0))</f>
        <v>0</v>
      </c>
      <c r="I4" s="87" t="n">
        <f aca="true">IF($D4="","",IFERROR(COUNTIF(INDIRECT("'"&amp;$D4&amp;"'!$AT$7:$AT$500"),"Block"),0))</f>
        <v>0</v>
      </c>
      <c r="J4" s="87" t="n">
        <f aca="true">IF($D4="","",IFERROR(COUNTIF(INDIRECT("'"&amp;$D4&amp;"'!$AT$7:$AT$500"),"N/A"),0))</f>
        <v>0</v>
      </c>
      <c r="K4" s="87" t="n">
        <f aca="false">IF($D4="","",MAX(0,$F4-$G4-$H4-$I4-$J4))</f>
        <v>10</v>
      </c>
      <c r="L4" s="87" t="n">
        <f aca="false">IF($D4="","",$G4+$H4+$I4+$J4)</f>
        <v>0</v>
      </c>
      <c r="M4" s="90" t="n">
        <f aca="false">IF($D4="","",IFERROR($L4/$F4,0))</f>
        <v>0</v>
      </c>
      <c r="N4" s="90" t="n">
        <f aca="false">IF($D4="","",IFERROR($G4/$L4,0))</f>
        <v>0</v>
      </c>
      <c r="O4" s="87" t="n">
        <f aca="true">IF($D4="","",IFERROR(COUNTIF(INDIRECT("'"&amp;$D4&amp;"'!$E$7:$E$500"),"High"),0))</f>
        <v>0</v>
      </c>
      <c r="P4" s="87" t="n">
        <f aca="true">IF($D4="","",IFERROR(COUNTIF(INDIRECT("'"&amp;$D4&amp;"'!$E$7:$E$500"),"Medium"),0))</f>
        <v>6</v>
      </c>
      <c r="Q4" s="87" t="n">
        <f aca="true">IF($D4="","",IFERROR(COUNTIF(INDIRECT("'"&amp;$D4&amp;"'!$E$7:$E$500"),"Low"),0))</f>
        <v>4</v>
      </c>
      <c r="R4" s="87" t="n">
        <f aca="true">IF($D4="","",IFERROR(COUNTIF(INDIRECT("'"&amp;$D4&amp;"'!$D$7:$D$500"),"Functional"),0))</f>
        <v>3</v>
      </c>
      <c r="S4" s="87" t="n">
        <f aca="true">IF($D4="","",IFERROR(COUNTIF(INDIRECT("'"&amp;$D4&amp;"'!$D$7:$D$500"),"UI"),0))</f>
        <v>7</v>
      </c>
      <c r="T4" s="87" t="n">
        <f aca="true">IF($D4="","",IFERROR(COUNTIF(INDIRECT("'"&amp;$D4&amp;"'!$D$7:$D$500"),"Integration"),0))</f>
        <v>0</v>
      </c>
      <c r="U4" s="87" t="n">
        <f aca="true">IF($D4="","",IFERROR(COUNTIF(INDIRECT("'"&amp;$D4&amp;"'!$D$7:$D$500"),"Database Test Case"),0))</f>
        <v>0</v>
      </c>
      <c r="V4" s="87" t="n">
        <f aca="true">IF($D4="","",IFERROR(COUNTIF(INDIRECT("'"&amp;$D4&amp;"'!$J$7:$J$500"),"AI"),0))</f>
        <v>10</v>
      </c>
      <c r="W4" s="87" t="n">
        <f aca="true">IF($D4="","",IFERROR(COUNTIF(INDIRECT("'"&amp;$D4&amp;"'!$J$7:$J$500"),"QC"),0))</f>
        <v>0</v>
      </c>
      <c r="X4" s="87" t="n">
        <f aca="true">IF($D4="","",IFERROR(COUNTIF(INDIRECT("'"&amp;$D4&amp;"'!$L$7:$L$500"),"Yes"),0))</f>
        <v>0</v>
      </c>
      <c r="Y4" s="87" t="n">
        <f aca="true">IF($D4="","",IFERROR(COUNTIF(INDIRECT("'"&amp;$D4&amp;"'!$AR$7:$AR$500"),"Yes"),0))</f>
        <v>0</v>
      </c>
      <c r="Z4" s="87" t="n">
        <f aca="true">IF($D4="","",IFERROR(COUNTIF(INDIRECT("'"&amp;$D4&amp;"'!$AS$7:$AS$500"),"Pass"),0))</f>
        <v>0</v>
      </c>
      <c r="AA4" s="87" t="n">
        <f aca="true">IF($D4="","",IFERROR(COUNTIF(INDIRECT("'"&amp;$D4&amp;"'!$K$7:$K$500"),"Reviewed"),0))</f>
        <v>0</v>
      </c>
      <c r="AB4" s="91" t="n">
        <f aca="true">IF($D4="","",IFERROR(COUNTIFS(INDIRECT("'"&amp;$D4&amp;"'!$E$7:$E$500"),"High",INDIRECT("'"&amp;$D4&amp;"'!$AT$7:$AT$500"),"?*"),0))</f>
        <v>0</v>
      </c>
      <c r="AC4" s="91" t="n">
        <f aca="true">IF($D4="","",IFERROR(COUNTIFS(INDIRECT("'"&amp;$D4&amp;"'!$E$7:$E$500"),"Medium",INDIRECT("'"&amp;$D4&amp;"'!$AT$7:$AT$500"),"?*"),0))</f>
        <v>0</v>
      </c>
      <c r="AD4" s="91" t="n">
        <f aca="true">IF($D4="","",IFERROR(COUNTIFS(INDIRECT("'"&amp;$D4&amp;"'!$E$7:$E$500"),"Low",INDIRECT("'"&amp;$D4&amp;"'!$AT$7:$AT$500"),"?*"),0))</f>
        <v>0</v>
      </c>
      <c r="AE4" s="92" t="n">
        <f aca="true">IF($D4="","",IFERROR(COUNTIF(INDIRECT("'"&amp;$D4&amp;"'!$P$7:$P$500"),"?*"),0))</f>
        <v>0</v>
      </c>
      <c r="AF4" s="92" t="n">
        <f aca="true">IF($D4="","",IFERROR(COUNTIF(INDIRECT("'"&amp;$D4&amp;"'!$P$7:$P$500"),"Pass"),0))</f>
        <v>0</v>
      </c>
      <c r="AG4" s="92" t="n">
        <f aca="true">IF($D4="","",IFERROR(COUNTIF(INDIRECT("'"&amp;$D4&amp;"'!$P$7:$P$500"),"Fail"),0))</f>
        <v>0</v>
      </c>
      <c r="AH4" s="92" t="n">
        <f aca="true">IF($D4="","",IFERROR(COUNTIF(INDIRECT("'"&amp;$D4&amp;"'!$P$7:$P$500"),"Block"),0))</f>
        <v>0</v>
      </c>
      <c r="AI4" s="92" t="n">
        <f aca="true">IF($D4="","",IFERROR(COUNTIF(INDIRECT("'"&amp;$D4&amp;"'!$P$7:$P$500"),"N/A"),0))</f>
        <v>0</v>
      </c>
      <c r="AJ4" s="92" t="n">
        <f aca="true">IF($D4="","",IFERROR(COUNTIF(INDIRECT("'"&amp;$D4&amp;"'!$V$7:$V$500"),"?*"),0))</f>
        <v>0</v>
      </c>
      <c r="AK4" s="92" t="n">
        <f aca="true">IF($D4="","",IFERROR(COUNTIF(INDIRECT("'"&amp;$D4&amp;"'!$V$7:$V$500"),"Pass"),0))</f>
        <v>0</v>
      </c>
      <c r="AL4" s="92" t="n">
        <f aca="true">IF($D4="","",IFERROR(COUNTIF(INDIRECT("'"&amp;$D4&amp;"'!$V$7:$V$500"),"Fail"),0))</f>
        <v>0</v>
      </c>
      <c r="AM4" s="92" t="n">
        <f aca="true">IF($D4="","",IFERROR(COUNTIF(INDIRECT("'"&amp;$D4&amp;"'!$V$7:$V$500"),"Block"),0))</f>
        <v>0</v>
      </c>
      <c r="AN4" s="92" t="n">
        <f aca="true">IF($D4="","",IFERROR(COUNTIF(INDIRECT("'"&amp;$D4&amp;"'!$V$7:$V$500"),"N/A"),0))</f>
        <v>0</v>
      </c>
      <c r="AO4" s="92" t="n">
        <f aca="true">IF($D4="","",IFERROR(COUNTIF(INDIRECT("'"&amp;$D4&amp;"'!$AB$7:$AB$500"),"?*"),0))</f>
        <v>0</v>
      </c>
      <c r="AP4" s="92" t="n">
        <f aca="true">IF($D4="","",IFERROR(COUNTIF(INDIRECT("'"&amp;$D4&amp;"'!$AB$7:$AB$500"),"Pass"),0))</f>
        <v>0</v>
      </c>
      <c r="AQ4" s="92" t="n">
        <f aca="true">IF($D4="","",IFERROR(COUNTIF(INDIRECT("'"&amp;$D4&amp;"'!$AB$7:$AB$500"),"Fail"),0))</f>
        <v>0</v>
      </c>
      <c r="AR4" s="92" t="n">
        <f aca="true">IF($D4="","",IFERROR(COUNTIF(INDIRECT("'"&amp;$D4&amp;"'!$AB$7:$AB$500"),"Block"),0))</f>
        <v>0</v>
      </c>
      <c r="AS4" s="92" t="n">
        <f aca="true">IF($D4="","",IFERROR(COUNTIF(INDIRECT("'"&amp;$D4&amp;"'!$AB$7:$AB$500"),"N/A"),0))</f>
        <v>0</v>
      </c>
      <c r="AT4" s="92" t="n">
        <f aca="true">IF($D4="","",IFERROR(COUNTIF(INDIRECT("'"&amp;$D4&amp;"'!$AH$7:$AH$500"),"?*"),0))</f>
        <v>0</v>
      </c>
      <c r="AU4" s="92" t="n">
        <f aca="true">IF($D4="","",IFERROR(COUNTIF(INDIRECT("'"&amp;$D4&amp;"'!$AH$7:$AH$500"),"Pass"),0))</f>
        <v>0</v>
      </c>
      <c r="AV4" s="92" t="n">
        <f aca="true">IF($D4="","",IFERROR(COUNTIF(INDIRECT("'"&amp;$D4&amp;"'!$AH$7:$AH$500"),"Fail"),0))</f>
        <v>0</v>
      </c>
      <c r="AW4" s="92" t="n">
        <f aca="true">IF($D4="","",IFERROR(COUNTIF(INDIRECT("'"&amp;$D4&amp;"'!$AH$7:$AH$500"),"Block"),0))</f>
        <v>0</v>
      </c>
      <c r="AX4" s="92" t="n">
        <f aca="true">IF($D4="","",IFERROR(COUNTIF(INDIRECT("'"&amp;$D4&amp;"'!$AH$7:$AH$500"),"N/A"),0))</f>
        <v>0</v>
      </c>
      <c r="AY4" s="92" t="n">
        <f aca="true">IF($D4="","",IFERROR(COUNTIF(INDIRECT("'"&amp;$D4&amp;"'!$AN$7:$AN$500"),"?*"),0))</f>
        <v>0</v>
      </c>
      <c r="AZ4" s="92" t="n">
        <f aca="true">IF($D4="","",IFERROR(COUNTIF(INDIRECT("'"&amp;$D4&amp;"'!$AN$7:$AN$500"),"Pass"),0))</f>
        <v>0</v>
      </c>
      <c r="BA4" s="92" t="n">
        <f aca="true">IF($D4="","",IFERROR(COUNTIF(INDIRECT("'"&amp;$D4&amp;"'!$AN$7:$AN$500"),"Fail"),0))</f>
        <v>0</v>
      </c>
      <c r="BB4" s="92" t="n">
        <f aca="true">IF($D4="","",IFERROR(COUNTIF(INDIRECT("'"&amp;$D4&amp;"'!$AN$7:$AN$500"),"Block"),0))</f>
        <v>0</v>
      </c>
      <c r="BC4" s="1" t="n">
        <f aca="true">IF($D4="","",IFERROR(COUNTIF(INDIRECT("'"&amp;$D4&amp;"'!$AN$7:$AN$500"),"N/A"),0))</f>
        <v>0</v>
      </c>
    </row>
    <row r="5" customFormat="false" ht="15" hidden="false" customHeight="true" outlineLevel="0" collapsed="false">
      <c r="B5" s="87" t="n">
        <f aca="false">IF($D5="","",ROW()-3)</f>
        <v>2</v>
      </c>
      <c r="C5" s="88" t="s">
        <v>197</v>
      </c>
      <c r="D5" s="88" t="s">
        <v>198</v>
      </c>
      <c r="E5" s="89" t="s">
        <v>198</v>
      </c>
      <c r="F5" s="87" t="n">
        <f aca="true">IF($D5="","",IFERROR(COUNTIF(INDIRECT("'"&amp;$D5&amp;"'!$A$7:$A$500"),"?*"),0))</f>
        <v>13</v>
      </c>
      <c r="G5" s="87" t="n">
        <f aca="true">IF($D5="","",IFERROR(COUNTIF(INDIRECT("'"&amp;$D5&amp;"'!$AT$7:$AT$500"),"Pass"),0))</f>
        <v>0</v>
      </c>
      <c r="H5" s="87" t="n">
        <f aca="true">IF($D5="","",IFERROR(COUNTIF(INDIRECT("'"&amp;$D5&amp;"'!$AT$7:$AT$500"),"Fail"),0))</f>
        <v>0</v>
      </c>
      <c r="I5" s="87" t="n">
        <f aca="true">IF($D5="","",IFERROR(COUNTIF(INDIRECT("'"&amp;$D5&amp;"'!$AT$7:$AT$500"),"Block"),0))</f>
        <v>0</v>
      </c>
      <c r="J5" s="87" t="n">
        <f aca="true">IF($D5="","",IFERROR(COUNTIF(INDIRECT("'"&amp;$D5&amp;"'!$AT$7:$AT$500"),"N/A"),0))</f>
        <v>0</v>
      </c>
      <c r="K5" s="87" t="n">
        <f aca="false">IF($D5="","",MAX(0,$F5-$G5-$H5-$I5-$J5))</f>
        <v>13</v>
      </c>
      <c r="L5" s="87" t="n">
        <f aca="false">IF($D5="","",$G5+$H5+$I5+$J5)</f>
        <v>0</v>
      </c>
      <c r="M5" s="90" t="n">
        <f aca="false">IF($D5="","",IFERROR($L5/$F5,0))</f>
        <v>0</v>
      </c>
      <c r="N5" s="90" t="n">
        <f aca="false">IF($D5="","",IFERROR($G5/$L5,0))</f>
        <v>0</v>
      </c>
      <c r="O5" s="87" t="n">
        <f aca="true">IF($D5="","",IFERROR(COUNTIF(INDIRECT("'"&amp;$D5&amp;"'!$E$7:$E$500"),"High"),0))</f>
        <v>2</v>
      </c>
      <c r="P5" s="87" t="n">
        <f aca="true">IF($D5="","",IFERROR(COUNTIF(INDIRECT("'"&amp;$D5&amp;"'!$E$7:$E$500"),"Medium"),0))</f>
        <v>10</v>
      </c>
      <c r="Q5" s="87" t="n">
        <f aca="true">IF($D5="","",IFERROR(COUNTIF(INDIRECT("'"&amp;$D5&amp;"'!$E$7:$E$500"),"Low"),0))</f>
        <v>1</v>
      </c>
      <c r="R5" s="87" t="n">
        <f aca="true">IF($D5="","",IFERROR(COUNTIF(INDIRECT("'"&amp;$D5&amp;"'!$D$7:$D$500"),"Functional"),0))</f>
        <v>13</v>
      </c>
      <c r="S5" s="87" t="n">
        <f aca="true">IF($D5="","",IFERROR(COUNTIF(INDIRECT("'"&amp;$D5&amp;"'!$D$7:$D$500"),"UI"),0))</f>
        <v>0</v>
      </c>
      <c r="T5" s="87" t="n">
        <f aca="true">IF($D5="","",IFERROR(COUNTIF(INDIRECT("'"&amp;$D5&amp;"'!$D$7:$D$500"),"Integration"),0))</f>
        <v>0</v>
      </c>
      <c r="U5" s="87" t="n">
        <f aca="true">IF($D5="","",IFERROR(COUNTIF(INDIRECT("'"&amp;$D5&amp;"'!$D$7:$D$500"),"Database Test Case"),0))</f>
        <v>0</v>
      </c>
      <c r="V5" s="87" t="n">
        <f aca="true">IF($D5="","",IFERROR(COUNTIF(INDIRECT("'"&amp;$D5&amp;"'!$J$7:$J$500"),"AI"),0))</f>
        <v>13</v>
      </c>
      <c r="W5" s="87" t="n">
        <f aca="true">IF($D5="","",IFERROR(COUNTIF(INDIRECT("'"&amp;$D5&amp;"'!$J$7:$J$500"),"QC"),0))</f>
        <v>0</v>
      </c>
      <c r="X5" s="87" t="n">
        <f aca="true">IF($D5="","",IFERROR(COUNTIF(INDIRECT("'"&amp;$D5&amp;"'!$L$7:$L$500"),"Yes"),0))</f>
        <v>0</v>
      </c>
      <c r="Y5" s="87" t="n">
        <f aca="true">IF($D5="","",IFERROR(COUNTIF(INDIRECT("'"&amp;$D5&amp;"'!$AR$7:$AR$500"),"Yes"),0))</f>
        <v>0</v>
      </c>
      <c r="Z5" s="87" t="n">
        <f aca="true">IF($D5="","",IFERROR(COUNTIF(INDIRECT("'"&amp;$D5&amp;"'!$AS$7:$AS$500"),"Pass"),0))</f>
        <v>0</v>
      </c>
      <c r="AA5" s="87" t="n">
        <f aca="true">IF($D5="","",IFERROR(COUNTIF(INDIRECT("'"&amp;$D5&amp;"'!$K$7:$K$500"),"Reviewed"),0))</f>
        <v>0</v>
      </c>
      <c r="AB5" s="91" t="n">
        <f aca="true">IF($D5="","",IFERROR(COUNTIFS(INDIRECT("'"&amp;$D5&amp;"'!$E$7:$E$500"),"High",INDIRECT("'"&amp;$D5&amp;"'!$AT$7:$AT$500"),"?*"),0))</f>
        <v>0</v>
      </c>
      <c r="AC5" s="91" t="n">
        <f aca="true">IF($D5="","",IFERROR(COUNTIFS(INDIRECT("'"&amp;$D5&amp;"'!$E$7:$E$500"),"Medium",INDIRECT("'"&amp;$D5&amp;"'!$AT$7:$AT$500"),"?*"),0))</f>
        <v>0</v>
      </c>
      <c r="AD5" s="91" t="n">
        <f aca="true">IF($D5="","",IFERROR(COUNTIFS(INDIRECT("'"&amp;$D5&amp;"'!$E$7:$E$500"),"Low",INDIRECT("'"&amp;$D5&amp;"'!$AT$7:$AT$500"),"?*"),0))</f>
        <v>0</v>
      </c>
      <c r="AE5" s="92" t="n">
        <f aca="true">IF($D5="","",IFERROR(COUNTIF(INDIRECT("'"&amp;$D5&amp;"'!$P$7:$P$500"),"?*"),0))</f>
        <v>0</v>
      </c>
      <c r="AF5" s="92" t="n">
        <f aca="true">IF($D5="","",IFERROR(COUNTIF(INDIRECT("'"&amp;$D5&amp;"'!$P$7:$P$500"),"Pass"),0))</f>
        <v>0</v>
      </c>
      <c r="AG5" s="92" t="n">
        <f aca="true">IF($D5="","",IFERROR(COUNTIF(INDIRECT("'"&amp;$D5&amp;"'!$P$7:$P$500"),"Fail"),0))</f>
        <v>0</v>
      </c>
      <c r="AH5" s="92" t="n">
        <f aca="true">IF($D5="","",IFERROR(COUNTIF(INDIRECT("'"&amp;$D5&amp;"'!$P$7:$P$500"),"Block"),0))</f>
        <v>0</v>
      </c>
      <c r="AI5" s="92" t="n">
        <f aca="true">IF($D5="","",IFERROR(COUNTIF(INDIRECT("'"&amp;$D5&amp;"'!$P$7:$P$500"),"N/A"),0))</f>
        <v>0</v>
      </c>
      <c r="AJ5" s="92" t="n">
        <f aca="true">IF($D5="","",IFERROR(COUNTIF(INDIRECT("'"&amp;$D5&amp;"'!$V$7:$V$500"),"?*"),0))</f>
        <v>0</v>
      </c>
      <c r="AK5" s="92" t="n">
        <f aca="true">IF($D5="","",IFERROR(COUNTIF(INDIRECT("'"&amp;$D5&amp;"'!$V$7:$V$500"),"Pass"),0))</f>
        <v>0</v>
      </c>
      <c r="AL5" s="92" t="n">
        <f aca="true">IF($D5="","",IFERROR(COUNTIF(INDIRECT("'"&amp;$D5&amp;"'!$V$7:$V$500"),"Fail"),0))</f>
        <v>0</v>
      </c>
      <c r="AM5" s="92" t="n">
        <f aca="true">IF($D5="","",IFERROR(COUNTIF(INDIRECT("'"&amp;$D5&amp;"'!$V$7:$V$500"),"Block"),0))</f>
        <v>0</v>
      </c>
      <c r="AN5" s="92" t="n">
        <f aca="true">IF($D5="","",IFERROR(COUNTIF(INDIRECT("'"&amp;$D5&amp;"'!$V$7:$V$500"),"N/A"),0))</f>
        <v>0</v>
      </c>
      <c r="AO5" s="92" t="n">
        <f aca="true">IF($D5="","",IFERROR(COUNTIF(INDIRECT("'"&amp;$D5&amp;"'!$AB$7:$AB$500"),"?*"),0))</f>
        <v>0</v>
      </c>
      <c r="AP5" s="92" t="n">
        <f aca="true">IF($D5="","",IFERROR(COUNTIF(INDIRECT("'"&amp;$D5&amp;"'!$AB$7:$AB$500"),"Pass"),0))</f>
        <v>0</v>
      </c>
      <c r="AQ5" s="92" t="n">
        <f aca="true">IF($D5="","",IFERROR(COUNTIF(INDIRECT("'"&amp;$D5&amp;"'!$AB$7:$AB$500"),"Fail"),0))</f>
        <v>0</v>
      </c>
      <c r="AR5" s="92" t="n">
        <f aca="true">IF($D5="","",IFERROR(COUNTIF(INDIRECT("'"&amp;$D5&amp;"'!$AB$7:$AB$500"),"Block"),0))</f>
        <v>0</v>
      </c>
      <c r="AS5" s="92" t="n">
        <f aca="true">IF($D5="","",IFERROR(COUNTIF(INDIRECT("'"&amp;$D5&amp;"'!$AB$7:$AB$500"),"N/A"),0))</f>
        <v>0</v>
      </c>
      <c r="AT5" s="92" t="n">
        <f aca="true">IF($D5="","",IFERROR(COUNTIF(INDIRECT("'"&amp;$D5&amp;"'!$AH$7:$AH$500"),"?*"),0))</f>
        <v>0</v>
      </c>
      <c r="AU5" s="92" t="n">
        <f aca="true">IF($D5="","",IFERROR(COUNTIF(INDIRECT("'"&amp;$D5&amp;"'!$AH$7:$AH$500"),"Pass"),0))</f>
        <v>0</v>
      </c>
      <c r="AV5" s="92" t="n">
        <f aca="true">IF($D5="","",IFERROR(COUNTIF(INDIRECT("'"&amp;$D5&amp;"'!$AH$7:$AH$500"),"Fail"),0))</f>
        <v>0</v>
      </c>
      <c r="AW5" s="92" t="n">
        <f aca="true">IF($D5="","",IFERROR(COUNTIF(INDIRECT("'"&amp;$D5&amp;"'!$AH$7:$AH$500"),"Block"),0))</f>
        <v>0</v>
      </c>
      <c r="AX5" s="92" t="n">
        <f aca="true">IF($D5="","",IFERROR(COUNTIF(INDIRECT("'"&amp;$D5&amp;"'!$AH$7:$AH$500"),"N/A"),0))</f>
        <v>0</v>
      </c>
      <c r="AY5" s="92" t="n">
        <f aca="true">IF($D5="","",IFERROR(COUNTIF(INDIRECT("'"&amp;$D5&amp;"'!$AN$7:$AN$500"),"?*"),0))</f>
        <v>0</v>
      </c>
      <c r="AZ5" s="92" t="n">
        <f aca="true">IF($D5="","",IFERROR(COUNTIF(INDIRECT("'"&amp;$D5&amp;"'!$AN$7:$AN$500"),"Pass"),0))</f>
        <v>0</v>
      </c>
      <c r="BA5" s="92" t="n">
        <f aca="true">IF($D5="","",IFERROR(COUNTIF(INDIRECT("'"&amp;$D5&amp;"'!$AN$7:$AN$500"),"Fail"),0))</f>
        <v>0</v>
      </c>
      <c r="BB5" s="92" t="n">
        <f aca="true">IF($D5="","",IFERROR(COUNTIF(INDIRECT("'"&amp;$D5&amp;"'!$AN$7:$AN$500"),"Block"),0))</f>
        <v>0</v>
      </c>
      <c r="BC5" s="1" t="n">
        <f aca="true">IF($D5="","",IFERROR(COUNTIF(INDIRECT("'"&amp;$D5&amp;"'!$AN$7:$AN$500"),"N/A"),0))</f>
        <v>0</v>
      </c>
    </row>
    <row r="6" customFormat="false" ht="21.75" hidden="false" customHeight="true" outlineLevel="0" collapsed="false">
      <c r="B6" s="87" t="n">
        <f aca="false">IF($D6="","",ROW()-3)</f>
        <v>3</v>
      </c>
      <c r="C6" s="88" t="s">
        <v>199</v>
      </c>
      <c r="D6" s="88" t="s">
        <v>200</v>
      </c>
      <c r="E6" s="89" t="s">
        <v>200</v>
      </c>
      <c r="F6" s="87" t="n">
        <f aca="true">IF($D6="","",IFERROR(COUNTIF(INDIRECT("'"&amp;$D6&amp;"'!$A$7:$A$500"),"?*"),0))</f>
        <v>13</v>
      </c>
      <c r="G6" s="87" t="n">
        <f aca="true">IF($D6="","",IFERROR(COUNTIF(INDIRECT("'"&amp;$D6&amp;"'!$AT$7:$AT$500"),"Pass"),0))</f>
        <v>0</v>
      </c>
      <c r="H6" s="87" t="n">
        <f aca="true">IF($D6="","",IFERROR(COUNTIF(INDIRECT("'"&amp;$D6&amp;"'!$AT$7:$AT$500"),"Fail"),0))</f>
        <v>0</v>
      </c>
      <c r="I6" s="87" t="n">
        <f aca="true">IF($D6="","",IFERROR(COUNTIF(INDIRECT("'"&amp;$D6&amp;"'!$AT$7:$AT$500"),"Block"),0))</f>
        <v>0</v>
      </c>
      <c r="J6" s="87" t="n">
        <f aca="true">IF($D6="","",IFERROR(COUNTIF(INDIRECT("'"&amp;$D6&amp;"'!$AT$7:$AT$500"),"N/A"),0))</f>
        <v>0</v>
      </c>
      <c r="K6" s="87" t="n">
        <f aca="false">IF($D6="","",MAX(0,$F6-$G6-$H6-$I6-$J6))</f>
        <v>13</v>
      </c>
      <c r="L6" s="87" t="n">
        <f aca="false">IF($D6="","",$G6+$H6+$I6+$J6)</f>
        <v>0</v>
      </c>
      <c r="M6" s="90" t="n">
        <f aca="false">IF($D6="","",IFERROR($L6/$F6,0))</f>
        <v>0</v>
      </c>
      <c r="N6" s="90" t="n">
        <f aca="false">IF($D6="","",IFERROR($G6/$L6,0))</f>
        <v>0</v>
      </c>
      <c r="O6" s="87" t="n">
        <f aca="true">IF($D6="","",IFERROR(COUNTIF(INDIRECT("'"&amp;$D6&amp;"'!$E$7:$E$500"),"High"),0))</f>
        <v>4</v>
      </c>
      <c r="P6" s="87" t="n">
        <f aca="true">IF($D6="","",IFERROR(COUNTIF(INDIRECT("'"&amp;$D6&amp;"'!$E$7:$E$500"),"Medium"),0))</f>
        <v>7</v>
      </c>
      <c r="Q6" s="87" t="n">
        <f aca="true">IF($D6="","",IFERROR(COUNTIF(INDIRECT("'"&amp;$D6&amp;"'!$E$7:$E$500"),"Low"),0))</f>
        <v>2</v>
      </c>
      <c r="R6" s="87" t="n">
        <f aca="true">IF($D6="","",IFERROR(COUNTIF(INDIRECT("'"&amp;$D6&amp;"'!$D$7:$D$500"),"Functional"),0))</f>
        <v>13</v>
      </c>
      <c r="S6" s="87" t="n">
        <f aca="true">IF($D6="","",IFERROR(COUNTIF(INDIRECT("'"&amp;$D6&amp;"'!$D$7:$D$500"),"UI"),0))</f>
        <v>0</v>
      </c>
      <c r="T6" s="87" t="n">
        <f aca="true">IF($D6="","",IFERROR(COUNTIF(INDIRECT("'"&amp;$D6&amp;"'!$D$7:$D$500"),"Integration"),0))</f>
        <v>0</v>
      </c>
      <c r="U6" s="87" t="n">
        <f aca="true">IF($D6="","",IFERROR(COUNTIF(INDIRECT("'"&amp;$D6&amp;"'!$D$7:$D$500"),"Database Test Case"),0))</f>
        <v>0</v>
      </c>
      <c r="V6" s="87" t="n">
        <f aca="true">IF($D6="","",IFERROR(COUNTIF(INDIRECT("'"&amp;$D6&amp;"'!$J$7:$J$500"),"AI"),0))</f>
        <v>13</v>
      </c>
      <c r="W6" s="87" t="n">
        <f aca="true">IF($D6="","",IFERROR(COUNTIF(INDIRECT("'"&amp;$D6&amp;"'!$J$7:$J$500"),"QC"),0))</f>
        <v>0</v>
      </c>
      <c r="X6" s="87" t="n">
        <f aca="true">IF($D6="","",IFERROR(COUNTIF(INDIRECT("'"&amp;$D6&amp;"'!$L$7:$L$500"),"Yes"),0))</f>
        <v>0</v>
      </c>
      <c r="Y6" s="87" t="n">
        <f aca="true">IF($D6="","",IFERROR(COUNTIF(INDIRECT("'"&amp;$D6&amp;"'!$AR$7:$AR$500"),"Yes"),0))</f>
        <v>0</v>
      </c>
      <c r="Z6" s="87" t="n">
        <f aca="true">IF($D6="","",IFERROR(COUNTIF(INDIRECT("'"&amp;$D6&amp;"'!$AS$7:$AS$500"),"Pass"),0))</f>
        <v>0</v>
      </c>
      <c r="AA6" s="87" t="n">
        <f aca="true">IF($D6="","",IFERROR(COUNTIF(INDIRECT("'"&amp;$D6&amp;"'!$K$7:$K$500"),"Reviewed"),0))</f>
        <v>0</v>
      </c>
      <c r="AB6" s="91" t="n">
        <f aca="true">IF($D6="","",IFERROR(COUNTIFS(INDIRECT("'"&amp;$D6&amp;"'!$E$7:$E$500"),"High",INDIRECT("'"&amp;$D6&amp;"'!$AT$7:$AT$500"),"?*"),0))</f>
        <v>0</v>
      </c>
      <c r="AC6" s="91" t="n">
        <f aca="true">IF($D6="","",IFERROR(COUNTIFS(INDIRECT("'"&amp;$D6&amp;"'!$E$7:$E$500"),"Medium",INDIRECT("'"&amp;$D6&amp;"'!$AT$7:$AT$500"),"?*"),0))</f>
        <v>0</v>
      </c>
      <c r="AD6" s="91" t="n">
        <f aca="true">IF($D6="","",IFERROR(COUNTIFS(INDIRECT("'"&amp;$D6&amp;"'!$E$7:$E$500"),"Low",INDIRECT("'"&amp;$D6&amp;"'!$AT$7:$AT$500"),"?*"),0))</f>
        <v>0</v>
      </c>
      <c r="AE6" s="92" t="n">
        <f aca="true">IF($D6="","",IFERROR(COUNTIF(INDIRECT("'"&amp;$D6&amp;"'!$P$7:$P$500"),"?*"),0))</f>
        <v>0</v>
      </c>
      <c r="AF6" s="92" t="n">
        <f aca="true">IF($D6="","",IFERROR(COUNTIF(INDIRECT("'"&amp;$D6&amp;"'!$P$7:$P$500"),"Pass"),0))</f>
        <v>0</v>
      </c>
      <c r="AG6" s="92" t="n">
        <f aca="true">IF($D6="","",IFERROR(COUNTIF(INDIRECT("'"&amp;$D6&amp;"'!$P$7:$P$500"),"Fail"),0))</f>
        <v>0</v>
      </c>
      <c r="AH6" s="92" t="n">
        <f aca="true">IF($D6="","",IFERROR(COUNTIF(INDIRECT("'"&amp;$D6&amp;"'!$P$7:$P$500"),"Block"),0))</f>
        <v>0</v>
      </c>
      <c r="AI6" s="92" t="n">
        <f aca="true">IF($D6="","",IFERROR(COUNTIF(INDIRECT("'"&amp;$D6&amp;"'!$P$7:$P$500"),"N/A"),0))</f>
        <v>0</v>
      </c>
      <c r="AJ6" s="92" t="n">
        <f aca="true">IF($D6="","",IFERROR(COUNTIF(INDIRECT("'"&amp;$D6&amp;"'!$V$7:$V$500"),"?*"),0))</f>
        <v>0</v>
      </c>
      <c r="AK6" s="92" t="n">
        <f aca="true">IF($D6="","",IFERROR(COUNTIF(INDIRECT("'"&amp;$D6&amp;"'!$V$7:$V$500"),"Pass"),0))</f>
        <v>0</v>
      </c>
      <c r="AL6" s="92" t="n">
        <f aca="true">IF($D6="","",IFERROR(COUNTIF(INDIRECT("'"&amp;$D6&amp;"'!$V$7:$V$500"),"Fail"),0))</f>
        <v>0</v>
      </c>
      <c r="AM6" s="92" t="n">
        <f aca="true">IF($D6="","",IFERROR(COUNTIF(INDIRECT("'"&amp;$D6&amp;"'!$V$7:$V$500"),"Block"),0))</f>
        <v>0</v>
      </c>
      <c r="AN6" s="92" t="n">
        <f aca="true">IF($D6="","",IFERROR(COUNTIF(INDIRECT("'"&amp;$D6&amp;"'!$V$7:$V$500"),"N/A"),0))</f>
        <v>0</v>
      </c>
      <c r="AO6" s="92" t="n">
        <f aca="true">IF($D6="","",IFERROR(COUNTIF(INDIRECT("'"&amp;$D6&amp;"'!$AB$7:$AB$500"),"?*"),0))</f>
        <v>0</v>
      </c>
      <c r="AP6" s="92" t="n">
        <f aca="true">IF($D6="","",IFERROR(COUNTIF(INDIRECT("'"&amp;$D6&amp;"'!$AB$7:$AB$500"),"Pass"),0))</f>
        <v>0</v>
      </c>
      <c r="AQ6" s="92" t="n">
        <f aca="true">IF($D6="","",IFERROR(COUNTIF(INDIRECT("'"&amp;$D6&amp;"'!$AB$7:$AB$500"),"Fail"),0))</f>
        <v>0</v>
      </c>
      <c r="AR6" s="92" t="n">
        <f aca="true">IF($D6="","",IFERROR(COUNTIF(INDIRECT("'"&amp;$D6&amp;"'!$AB$7:$AB$500"),"Block"),0))</f>
        <v>0</v>
      </c>
      <c r="AS6" s="92" t="n">
        <f aca="true">IF($D6="","",IFERROR(COUNTIF(INDIRECT("'"&amp;$D6&amp;"'!$AB$7:$AB$500"),"N/A"),0))</f>
        <v>0</v>
      </c>
      <c r="AT6" s="92" t="n">
        <f aca="true">IF($D6="","",IFERROR(COUNTIF(INDIRECT("'"&amp;$D6&amp;"'!$AH$7:$AH$500"),"?*"),0))</f>
        <v>0</v>
      </c>
      <c r="AU6" s="92" t="n">
        <f aca="true">IF($D6="","",IFERROR(COUNTIF(INDIRECT("'"&amp;$D6&amp;"'!$AH$7:$AH$500"),"Pass"),0))</f>
        <v>0</v>
      </c>
      <c r="AV6" s="92" t="n">
        <f aca="true">IF($D6="","",IFERROR(COUNTIF(INDIRECT("'"&amp;$D6&amp;"'!$AH$7:$AH$500"),"Fail"),0))</f>
        <v>0</v>
      </c>
      <c r="AW6" s="92" t="n">
        <f aca="true">IF($D6="","",IFERROR(COUNTIF(INDIRECT("'"&amp;$D6&amp;"'!$AH$7:$AH$500"),"Block"),0))</f>
        <v>0</v>
      </c>
      <c r="AX6" s="92" t="n">
        <f aca="true">IF($D6="","",IFERROR(COUNTIF(INDIRECT("'"&amp;$D6&amp;"'!$AH$7:$AH$500"),"N/A"),0))</f>
        <v>0</v>
      </c>
      <c r="AY6" s="92" t="n">
        <f aca="true">IF($D6="","",IFERROR(COUNTIF(INDIRECT("'"&amp;$D6&amp;"'!$AN$7:$AN$500"),"?*"),0))</f>
        <v>0</v>
      </c>
      <c r="AZ6" s="92" t="n">
        <f aca="true">IF($D6="","",IFERROR(COUNTIF(INDIRECT("'"&amp;$D6&amp;"'!$AN$7:$AN$500"),"Pass"),0))</f>
        <v>0</v>
      </c>
      <c r="BA6" s="92" t="n">
        <f aca="true">IF($D6="","",IFERROR(COUNTIF(INDIRECT("'"&amp;$D6&amp;"'!$AN$7:$AN$500"),"Fail"),0))</f>
        <v>0</v>
      </c>
      <c r="BB6" s="92" t="n">
        <f aca="true">IF($D6="","",IFERROR(COUNTIF(INDIRECT("'"&amp;$D6&amp;"'!$AN$7:$AN$500"),"Block"),0))</f>
        <v>0</v>
      </c>
      <c r="BC6" s="1" t="n">
        <f aca="true">IF($D6="","",IFERROR(COUNTIF(INDIRECT("'"&amp;$D6&amp;"'!$AN$7:$AN$500"),"N/A"),0))</f>
        <v>0</v>
      </c>
    </row>
    <row r="7" customFormat="false" ht="21.75" hidden="false" customHeight="true" outlineLevel="0" collapsed="false">
      <c r="B7" s="87" t="n">
        <f aca="false">IF($D7="","",ROW()-3)</f>
        <v>4</v>
      </c>
      <c r="C7" s="88" t="s">
        <v>201</v>
      </c>
      <c r="D7" s="88" t="s">
        <v>202</v>
      </c>
      <c r="E7" s="89" t="s">
        <v>202</v>
      </c>
      <c r="F7" s="87" t="n">
        <f aca="true">IF($D7="","",IFERROR(COUNTIF(INDIRECT("'"&amp;$D7&amp;"'!$A$7:$A$500"),"?*"),0))</f>
        <v>51</v>
      </c>
      <c r="G7" s="87" t="n">
        <f aca="true">IF($D7="","",IFERROR(COUNTIF(INDIRECT("'"&amp;$D7&amp;"'!$AT$7:$AT$500"),"Pass"),0))</f>
        <v>0</v>
      </c>
      <c r="H7" s="87" t="n">
        <f aca="true">IF($D7="","",IFERROR(COUNTIF(INDIRECT("'"&amp;$D7&amp;"'!$AT$7:$AT$500"),"Fail"),0))</f>
        <v>0</v>
      </c>
      <c r="I7" s="87" t="n">
        <f aca="true">IF($D7="","",IFERROR(COUNTIF(INDIRECT("'"&amp;$D7&amp;"'!$AT$7:$AT$500"),"Block"),0))</f>
        <v>0</v>
      </c>
      <c r="J7" s="87" t="n">
        <f aca="true">IF($D7="","",IFERROR(COUNTIF(INDIRECT("'"&amp;$D7&amp;"'!$AT$7:$AT$500"),"N/A"),0))</f>
        <v>0</v>
      </c>
      <c r="K7" s="87" t="n">
        <f aca="false">IF($D7="","",MAX(0,$F7-$G7-$H7-$I7-$J7))</f>
        <v>51</v>
      </c>
      <c r="L7" s="87" t="n">
        <f aca="false">IF($D7="","",$G7+$H7+$I7+$J7)</f>
        <v>0</v>
      </c>
      <c r="M7" s="90" t="n">
        <f aca="false">IF($D7="","",IFERROR($L7/$F7,0))</f>
        <v>0</v>
      </c>
      <c r="N7" s="90" t="n">
        <f aca="false">IF($D7="","",IFERROR($G7/$L7,0))</f>
        <v>0</v>
      </c>
      <c r="O7" s="87" t="n">
        <f aca="true">IF($D7="","",IFERROR(COUNTIF(INDIRECT("'"&amp;$D7&amp;"'!$E$7:$E$500"),"High"),0))</f>
        <v>8</v>
      </c>
      <c r="P7" s="87" t="n">
        <f aca="true">IF($D7="","",IFERROR(COUNTIF(INDIRECT("'"&amp;$D7&amp;"'!$E$7:$E$500"),"Medium"),0))</f>
        <v>28</v>
      </c>
      <c r="Q7" s="87" t="n">
        <f aca="true">IF($D7="","",IFERROR(COUNTIF(INDIRECT("'"&amp;$D7&amp;"'!$E$7:$E$500"),"Low"),0))</f>
        <v>15</v>
      </c>
      <c r="R7" s="87" t="n">
        <f aca="true">IF($D7="","",IFERROR(COUNTIF(INDIRECT("'"&amp;$D7&amp;"'!$D$7:$D$500"),"Functional"),0))</f>
        <v>39</v>
      </c>
      <c r="S7" s="87" t="n">
        <f aca="true">IF($D7="","",IFERROR(COUNTIF(INDIRECT("'"&amp;$D7&amp;"'!$D$7:$D$500"),"UI"),0))</f>
        <v>12</v>
      </c>
      <c r="T7" s="87" t="n">
        <f aca="true">IF($D7="","",IFERROR(COUNTIF(INDIRECT("'"&amp;$D7&amp;"'!$D$7:$D$500"),"Integration"),0))</f>
        <v>0</v>
      </c>
      <c r="U7" s="87" t="n">
        <f aca="true">IF($D7="","",IFERROR(COUNTIF(INDIRECT("'"&amp;$D7&amp;"'!$D$7:$D$500"),"Database Test Case"),0))</f>
        <v>0</v>
      </c>
      <c r="V7" s="87" t="n">
        <f aca="true">IF($D7="","",IFERROR(COUNTIF(INDIRECT("'"&amp;$D7&amp;"'!$J$7:$J$500"),"AI"),0))</f>
        <v>51</v>
      </c>
      <c r="W7" s="87" t="n">
        <f aca="true">IF($D7="","",IFERROR(COUNTIF(INDIRECT("'"&amp;$D7&amp;"'!$J$7:$J$500"),"QC"),0))</f>
        <v>0</v>
      </c>
      <c r="X7" s="87" t="n">
        <f aca="true">IF($D7="","",IFERROR(COUNTIF(INDIRECT("'"&amp;$D7&amp;"'!$L$7:$L$500"),"Yes"),0))</f>
        <v>0</v>
      </c>
      <c r="Y7" s="87" t="n">
        <f aca="true">IF($D7="","",IFERROR(COUNTIF(INDIRECT("'"&amp;$D7&amp;"'!$AR$7:$AR$500"),"Yes"),0))</f>
        <v>0</v>
      </c>
      <c r="Z7" s="87" t="n">
        <f aca="true">IF($D7="","",IFERROR(COUNTIF(INDIRECT("'"&amp;$D7&amp;"'!$AS$7:$AS$500"),"Pass"),0))</f>
        <v>0</v>
      </c>
      <c r="AA7" s="87" t="n">
        <f aca="true">IF($D7="","",IFERROR(COUNTIF(INDIRECT("'"&amp;$D7&amp;"'!$K$7:$K$500"),"Reviewed"),0))</f>
        <v>0</v>
      </c>
      <c r="AB7" s="91" t="n">
        <f aca="true">IF($D7="","",IFERROR(COUNTIFS(INDIRECT("'"&amp;$D7&amp;"'!$E$7:$E$500"),"High",INDIRECT("'"&amp;$D7&amp;"'!$AT$7:$AT$500"),"?*"),0))</f>
        <v>0</v>
      </c>
      <c r="AC7" s="91" t="n">
        <f aca="true">IF($D7="","",IFERROR(COUNTIFS(INDIRECT("'"&amp;$D7&amp;"'!$E$7:$E$500"),"Medium",INDIRECT("'"&amp;$D7&amp;"'!$AT$7:$AT$500"),"?*"),0))</f>
        <v>0</v>
      </c>
      <c r="AD7" s="91" t="n">
        <f aca="true">IF($D7="","",IFERROR(COUNTIFS(INDIRECT("'"&amp;$D7&amp;"'!$E$7:$E$500"),"Low",INDIRECT("'"&amp;$D7&amp;"'!$AT$7:$AT$500"),"?*"),0))</f>
        <v>0</v>
      </c>
      <c r="AE7" s="92" t="n">
        <f aca="true">IF($D7="","",IFERROR(COUNTIF(INDIRECT("'"&amp;$D7&amp;"'!$P$7:$P$500"),"?*"),0))</f>
        <v>0</v>
      </c>
      <c r="AF7" s="92" t="n">
        <f aca="true">IF($D7="","",IFERROR(COUNTIF(INDIRECT("'"&amp;$D7&amp;"'!$P$7:$P$500"),"Pass"),0))</f>
        <v>0</v>
      </c>
      <c r="AG7" s="92" t="n">
        <f aca="true">IF($D7="","",IFERROR(COUNTIF(INDIRECT("'"&amp;$D7&amp;"'!$P$7:$P$500"),"Fail"),0))</f>
        <v>0</v>
      </c>
      <c r="AH7" s="92" t="n">
        <f aca="true">IF($D7="","",IFERROR(COUNTIF(INDIRECT("'"&amp;$D7&amp;"'!$P$7:$P$500"),"Block"),0))</f>
        <v>0</v>
      </c>
      <c r="AI7" s="92" t="n">
        <f aca="true">IF($D7="","",IFERROR(COUNTIF(INDIRECT("'"&amp;$D7&amp;"'!$P$7:$P$500"),"N/A"),0))</f>
        <v>0</v>
      </c>
      <c r="AJ7" s="92" t="n">
        <f aca="true">IF($D7="","",IFERROR(COUNTIF(INDIRECT("'"&amp;$D7&amp;"'!$V$7:$V$500"),"?*"),0))</f>
        <v>0</v>
      </c>
      <c r="AK7" s="92" t="n">
        <f aca="true">IF($D7="","",IFERROR(COUNTIF(INDIRECT("'"&amp;$D7&amp;"'!$V$7:$V$500"),"Pass"),0))</f>
        <v>0</v>
      </c>
      <c r="AL7" s="92" t="n">
        <f aca="true">IF($D7="","",IFERROR(COUNTIF(INDIRECT("'"&amp;$D7&amp;"'!$V$7:$V$500"),"Fail"),0))</f>
        <v>0</v>
      </c>
      <c r="AM7" s="92" t="n">
        <f aca="true">IF($D7="","",IFERROR(COUNTIF(INDIRECT("'"&amp;$D7&amp;"'!$V$7:$V$500"),"Block"),0))</f>
        <v>0</v>
      </c>
      <c r="AN7" s="92" t="n">
        <f aca="true">IF($D7="","",IFERROR(COUNTIF(INDIRECT("'"&amp;$D7&amp;"'!$V$7:$V$500"),"N/A"),0))</f>
        <v>0</v>
      </c>
      <c r="AO7" s="92" t="n">
        <f aca="true">IF($D7="","",IFERROR(COUNTIF(INDIRECT("'"&amp;$D7&amp;"'!$AB$7:$AB$500"),"?*"),0))</f>
        <v>0</v>
      </c>
      <c r="AP7" s="92" t="n">
        <f aca="true">IF($D7="","",IFERROR(COUNTIF(INDIRECT("'"&amp;$D7&amp;"'!$AB$7:$AB$500"),"Pass"),0))</f>
        <v>0</v>
      </c>
      <c r="AQ7" s="92" t="n">
        <f aca="true">IF($D7="","",IFERROR(COUNTIF(INDIRECT("'"&amp;$D7&amp;"'!$AB$7:$AB$500"),"Fail"),0))</f>
        <v>0</v>
      </c>
      <c r="AR7" s="92" t="n">
        <f aca="true">IF($D7="","",IFERROR(COUNTIF(INDIRECT("'"&amp;$D7&amp;"'!$AB$7:$AB$500"),"Block"),0))</f>
        <v>0</v>
      </c>
      <c r="AS7" s="92" t="n">
        <f aca="true">IF($D7="","",IFERROR(COUNTIF(INDIRECT("'"&amp;$D7&amp;"'!$AB$7:$AB$500"),"N/A"),0))</f>
        <v>0</v>
      </c>
      <c r="AT7" s="92" t="n">
        <f aca="true">IF($D7="","",IFERROR(COUNTIF(INDIRECT("'"&amp;$D7&amp;"'!$AH$7:$AH$500"),"?*"),0))</f>
        <v>0</v>
      </c>
      <c r="AU7" s="92" t="n">
        <f aca="true">IF($D7="","",IFERROR(COUNTIF(INDIRECT("'"&amp;$D7&amp;"'!$AH$7:$AH$500"),"Pass"),0))</f>
        <v>0</v>
      </c>
      <c r="AV7" s="92" t="n">
        <f aca="true">IF($D7="","",IFERROR(COUNTIF(INDIRECT("'"&amp;$D7&amp;"'!$AH$7:$AH$500"),"Fail"),0))</f>
        <v>0</v>
      </c>
      <c r="AW7" s="92" t="n">
        <f aca="true">IF($D7="","",IFERROR(COUNTIF(INDIRECT("'"&amp;$D7&amp;"'!$AH$7:$AH$500"),"Block"),0))</f>
        <v>0</v>
      </c>
      <c r="AX7" s="92" t="n">
        <f aca="true">IF($D7="","",IFERROR(COUNTIF(INDIRECT("'"&amp;$D7&amp;"'!$AH$7:$AH$500"),"N/A"),0))</f>
        <v>0</v>
      </c>
      <c r="AY7" s="92" t="n">
        <f aca="true">IF($D7="","",IFERROR(COUNTIF(INDIRECT("'"&amp;$D7&amp;"'!$AN$7:$AN$500"),"?*"),0))</f>
        <v>0</v>
      </c>
      <c r="AZ7" s="92" t="n">
        <f aca="true">IF($D7="","",IFERROR(COUNTIF(INDIRECT("'"&amp;$D7&amp;"'!$AN$7:$AN$500"),"Pass"),0))</f>
        <v>0</v>
      </c>
      <c r="BA7" s="92" t="n">
        <f aca="true">IF($D7="","",IFERROR(COUNTIF(INDIRECT("'"&amp;$D7&amp;"'!$AN$7:$AN$500"),"Fail"),0))</f>
        <v>0</v>
      </c>
      <c r="BB7" s="92" t="n">
        <f aca="true">IF($D7="","",IFERROR(COUNTIF(INDIRECT("'"&amp;$D7&amp;"'!$AN$7:$AN$500"),"Block"),0))</f>
        <v>0</v>
      </c>
      <c r="BC7" s="1" t="n">
        <f aca="true">IF($D7="","",IFERROR(COUNTIF(INDIRECT("'"&amp;$D7&amp;"'!$AN$7:$AN$500"),"N/A"),0))</f>
        <v>0</v>
      </c>
    </row>
    <row r="8" customFormat="false" ht="21.75" hidden="false" customHeight="true" outlineLevel="0" collapsed="false">
      <c r="B8" s="87" t="n">
        <f aca="false">IF($D8="","",ROW()-3)</f>
        <v>5</v>
      </c>
      <c r="C8" s="88" t="s">
        <v>203</v>
      </c>
      <c r="D8" s="88" t="s">
        <v>204</v>
      </c>
      <c r="E8" s="89" t="s">
        <v>204</v>
      </c>
      <c r="F8" s="87" t="n">
        <f aca="true">IF($D8="","",IFERROR(COUNTIF(INDIRECT("'"&amp;$D8&amp;"'!$A$7:$A$500"),"?*"),0))</f>
        <v>5</v>
      </c>
      <c r="G8" s="87" t="n">
        <f aca="true">IF($D8="","",IFERROR(COUNTIF(INDIRECT("'"&amp;$D8&amp;"'!$AT$7:$AT$500"),"Pass"),0))</f>
        <v>0</v>
      </c>
      <c r="H8" s="87" t="n">
        <f aca="true">IF($D8="","",IFERROR(COUNTIF(INDIRECT("'"&amp;$D8&amp;"'!$AT$7:$AT$500"),"Fail"),0))</f>
        <v>0</v>
      </c>
      <c r="I8" s="87" t="n">
        <f aca="true">IF($D8="","",IFERROR(COUNTIF(INDIRECT("'"&amp;$D8&amp;"'!$AT$7:$AT$500"),"Block"),0))</f>
        <v>0</v>
      </c>
      <c r="J8" s="87" t="n">
        <f aca="true">IF($D8="","",IFERROR(COUNTIF(INDIRECT("'"&amp;$D8&amp;"'!$AT$7:$AT$500"),"N/A"),0))</f>
        <v>0</v>
      </c>
      <c r="K8" s="87" t="n">
        <f aca="false">IF($D8="","",MAX(0,$F8-$G8-$H8-$I8-$J8))</f>
        <v>5</v>
      </c>
      <c r="L8" s="87" t="n">
        <f aca="false">IF($D8="","",$G8+$H8+$I8+$J8)</f>
        <v>0</v>
      </c>
      <c r="M8" s="90" t="n">
        <f aca="false">IF($D8="","",IFERROR($L8/$F8,0))</f>
        <v>0</v>
      </c>
      <c r="N8" s="90" t="n">
        <f aca="false">IF($D8="","",IFERROR($G8/$L8,0))</f>
        <v>0</v>
      </c>
      <c r="O8" s="87" t="n">
        <f aca="true">IF($D8="","",IFERROR(COUNTIF(INDIRECT("'"&amp;$D8&amp;"'!$E$7:$E$500"),"High"),0))</f>
        <v>0</v>
      </c>
      <c r="P8" s="87" t="n">
        <f aca="true">IF($D8="","",IFERROR(COUNTIF(INDIRECT("'"&amp;$D8&amp;"'!$E$7:$E$500"),"Medium"),0))</f>
        <v>2</v>
      </c>
      <c r="Q8" s="87" t="n">
        <f aca="true">IF($D8="","",IFERROR(COUNTIF(INDIRECT("'"&amp;$D8&amp;"'!$E$7:$E$500"),"Low"),0))</f>
        <v>3</v>
      </c>
      <c r="R8" s="87" t="n">
        <f aca="true">IF($D8="","",IFERROR(COUNTIF(INDIRECT("'"&amp;$D8&amp;"'!$D$7:$D$500"),"Functional"),0))</f>
        <v>0</v>
      </c>
      <c r="S8" s="87" t="n">
        <f aca="true">IF($D8="","",IFERROR(COUNTIF(INDIRECT("'"&amp;$D8&amp;"'!$D$7:$D$500"),"UI"),0))</f>
        <v>5</v>
      </c>
      <c r="T8" s="87" t="n">
        <f aca="true">IF($D8="","",IFERROR(COUNTIF(INDIRECT("'"&amp;$D8&amp;"'!$D$7:$D$500"),"Integration"),0))</f>
        <v>0</v>
      </c>
      <c r="U8" s="87" t="n">
        <f aca="true">IF($D8="","",IFERROR(COUNTIF(INDIRECT("'"&amp;$D8&amp;"'!$D$7:$D$500"),"Database Test Case"),0))</f>
        <v>0</v>
      </c>
      <c r="V8" s="87" t="n">
        <f aca="true">IF($D8="","",IFERROR(COUNTIF(INDIRECT("'"&amp;$D8&amp;"'!$J$7:$J$500"),"AI"),0))</f>
        <v>5</v>
      </c>
      <c r="W8" s="87" t="n">
        <f aca="true">IF($D8="","",IFERROR(COUNTIF(INDIRECT("'"&amp;$D8&amp;"'!$J$7:$J$500"),"QC"),0))</f>
        <v>0</v>
      </c>
      <c r="X8" s="87" t="n">
        <f aca="true">IF($D8="","",IFERROR(COUNTIF(INDIRECT("'"&amp;$D8&amp;"'!$L$7:$L$500"),"Yes"),0))</f>
        <v>0</v>
      </c>
      <c r="Y8" s="87" t="n">
        <f aca="true">IF($D8="","",IFERROR(COUNTIF(INDIRECT("'"&amp;$D8&amp;"'!$AR$7:$AR$500"),"Yes"),0))</f>
        <v>0</v>
      </c>
      <c r="Z8" s="87" t="n">
        <f aca="true">IF($D8="","",IFERROR(COUNTIF(INDIRECT("'"&amp;$D8&amp;"'!$AS$7:$AS$500"),"Pass"),0))</f>
        <v>0</v>
      </c>
      <c r="AA8" s="87" t="n">
        <f aca="true">IF($D8="","",IFERROR(COUNTIF(INDIRECT("'"&amp;$D8&amp;"'!$K$7:$K$500"),"Reviewed"),0))</f>
        <v>0</v>
      </c>
      <c r="AB8" s="91" t="n">
        <f aca="true">IF($D8="","",IFERROR(COUNTIFS(INDIRECT("'"&amp;$D8&amp;"'!$E$7:$E$500"),"High",INDIRECT("'"&amp;$D8&amp;"'!$AT$7:$AT$500"),"?*"),0))</f>
        <v>0</v>
      </c>
      <c r="AC8" s="91" t="n">
        <f aca="true">IF($D8="","",IFERROR(COUNTIFS(INDIRECT("'"&amp;$D8&amp;"'!$E$7:$E$500"),"Medium",INDIRECT("'"&amp;$D8&amp;"'!$AT$7:$AT$500"),"?*"),0))</f>
        <v>0</v>
      </c>
      <c r="AD8" s="91" t="n">
        <f aca="true">IF($D8="","",IFERROR(COUNTIFS(INDIRECT("'"&amp;$D8&amp;"'!$E$7:$E$500"),"Low",INDIRECT("'"&amp;$D8&amp;"'!$AT$7:$AT$500"),"?*"),0))</f>
        <v>0</v>
      </c>
      <c r="AE8" s="92" t="n">
        <f aca="true">IF($D8="","",IFERROR(COUNTIF(INDIRECT("'"&amp;$D8&amp;"'!$P$7:$P$500"),"?*"),0))</f>
        <v>0</v>
      </c>
      <c r="AF8" s="92" t="n">
        <f aca="true">IF($D8="","",IFERROR(COUNTIF(INDIRECT("'"&amp;$D8&amp;"'!$P$7:$P$500"),"Pass"),0))</f>
        <v>0</v>
      </c>
      <c r="AG8" s="92" t="n">
        <f aca="true">IF($D8="","",IFERROR(COUNTIF(INDIRECT("'"&amp;$D8&amp;"'!$P$7:$P$500"),"Fail"),0))</f>
        <v>0</v>
      </c>
      <c r="AH8" s="92" t="n">
        <f aca="true">IF($D8="","",IFERROR(COUNTIF(INDIRECT("'"&amp;$D8&amp;"'!$P$7:$P$500"),"Block"),0))</f>
        <v>0</v>
      </c>
      <c r="AI8" s="92" t="n">
        <f aca="true">IF($D8="","",IFERROR(COUNTIF(INDIRECT("'"&amp;$D8&amp;"'!$P$7:$P$500"),"N/A"),0))</f>
        <v>0</v>
      </c>
      <c r="AJ8" s="92" t="n">
        <f aca="true">IF($D8="","",IFERROR(COUNTIF(INDIRECT("'"&amp;$D8&amp;"'!$V$7:$V$500"),"?*"),0))</f>
        <v>0</v>
      </c>
      <c r="AK8" s="92" t="n">
        <f aca="true">IF($D8="","",IFERROR(COUNTIF(INDIRECT("'"&amp;$D8&amp;"'!$V$7:$V$500"),"Pass"),0))</f>
        <v>0</v>
      </c>
      <c r="AL8" s="92" t="n">
        <f aca="true">IF($D8="","",IFERROR(COUNTIF(INDIRECT("'"&amp;$D8&amp;"'!$V$7:$V$500"),"Fail"),0))</f>
        <v>0</v>
      </c>
      <c r="AM8" s="92" t="n">
        <f aca="true">IF($D8="","",IFERROR(COUNTIF(INDIRECT("'"&amp;$D8&amp;"'!$V$7:$V$500"),"Block"),0))</f>
        <v>0</v>
      </c>
      <c r="AN8" s="92" t="n">
        <f aca="true">IF($D8="","",IFERROR(COUNTIF(INDIRECT("'"&amp;$D8&amp;"'!$V$7:$V$500"),"N/A"),0))</f>
        <v>0</v>
      </c>
      <c r="AO8" s="92" t="n">
        <f aca="true">IF($D8="","",IFERROR(COUNTIF(INDIRECT("'"&amp;$D8&amp;"'!$AB$7:$AB$500"),"?*"),0))</f>
        <v>0</v>
      </c>
      <c r="AP8" s="92" t="n">
        <f aca="true">IF($D8="","",IFERROR(COUNTIF(INDIRECT("'"&amp;$D8&amp;"'!$AB$7:$AB$500"),"Pass"),0))</f>
        <v>0</v>
      </c>
      <c r="AQ8" s="92" t="n">
        <f aca="true">IF($D8="","",IFERROR(COUNTIF(INDIRECT("'"&amp;$D8&amp;"'!$AB$7:$AB$500"),"Fail"),0))</f>
        <v>0</v>
      </c>
      <c r="AR8" s="92" t="n">
        <f aca="true">IF($D8="","",IFERROR(COUNTIF(INDIRECT("'"&amp;$D8&amp;"'!$AB$7:$AB$500"),"Block"),0))</f>
        <v>0</v>
      </c>
      <c r="AS8" s="92" t="n">
        <f aca="true">IF($D8="","",IFERROR(COUNTIF(INDIRECT("'"&amp;$D8&amp;"'!$AB$7:$AB$500"),"N/A"),0))</f>
        <v>0</v>
      </c>
      <c r="AT8" s="92" t="n">
        <f aca="true">IF($D8="","",IFERROR(COUNTIF(INDIRECT("'"&amp;$D8&amp;"'!$AH$7:$AH$500"),"?*"),0))</f>
        <v>0</v>
      </c>
      <c r="AU8" s="92" t="n">
        <f aca="true">IF($D8="","",IFERROR(COUNTIF(INDIRECT("'"&amp;$D8&amp;"'!$AH$7:$AH$500"),"Pass"),0))</f>
        <v>0</v>
      </c>
      <c r="AV8" s="92" t="n">
        <f aca="true">IF($D8="","",IFERROR(COUNTIF(INDIRECT("'"&amp;$D8&amp;"'!$AH$7:$AH$500"),"Fail"),0))</f>
        <v>0</v>
      </c>
      <c r="AW8" s="92" t="n">
        <f aca="true">IF($D8="","",IFERROR(COUNTIF(INDIRECT("'"&amp;$D8&amp;"'!$AH$7:$AH$500"),"Block"),0))</f>
        <v>0</v>
      </c>
      <c r="AX8" s="92" t="n">
        <f aca="true">IF($D8="","",IFERROR(COUNTIF(INDIRECT("'"&amp;$D8&amp;"'!$AH$7:$AH$500"),"N/A"),0))</f>
        <v>0</v>
      </c>
      <c r="AY8" s="92" t="n">
        <f aca="true">IF($D8="","",IFERROR(COUNTIF(INDIRECT("'"&amp;$D8&amp;"'!$AN$7:$AN$500"),"?*"),0))</f>
        <v>0</v>
      </c>
      <c r="AZ8" s="92" t="n">
        <f aca="true">IF($D8="","",IFERROR(COUNTIF(INDIRECT("'"&amp;$D8&amp;"'!$AN$7:$AN$500"),"Pass"),0))</f>
        <v>0</v>
      </c>
      <c r="BA8" s="92" t="n">
        <f aca="true">IF($D8="","",IFERROR(COUNTIF(INDIRECT("'"&amp;$D8&amp;"'!$AN$7:$AN$500"),"Fail"),0))</f>
        <v>0</v>
      </c>
      <c r="BB8" s="92" t="n">
        <f aca="true">IF($D8="","",IFERROR(COUNTIF(INDIRECT("'"&amp;$D8&amp;"'!$AN$7:$AN$500"),"Block"),0))</f>
        <v>0</v>
      </c>
      <c r="BC8" s="1" t="n">
        <f aca="true">IF($D8="","",IFERROR(COUNTIF(INDIRECT("'"&amp;$D8&amp;"'!$AN$7:$AN$500"),"N/A"),0))</f>
        <v>0</v>
      </c>
    </row>
    <row r="9" customFormat="false" ht="15" hidden="false" customHeight="true" outlineLevel="0" collapsed="false">
      <c r="B9" s="87" t="n">
        <f aca="false">IF($D9="","",ROW()-3)</f>
        <v>6</v>
      </c>
      <c r="C9" s="88" t="s">
        <v>205</v>
      </c>
      <c r="D9" s="88" t="s">
        <v>206</v>
      </c>
      <c r="E9" s="89" t="s">
        <v>206</v>
      </c>
      <c r="F9" s="87" t="n">
        <f aca="true">IF($D9="","",IFERROR(COUNTIF(INDIRECT("'"&amp;$D9&amp;"'!$A$7:$A$500"),"?*"),0))</f>
        <v>8</v>
      </c>
      <c r="G9" s="87" t="n">
        <f aca="true">IF($D9="","",IFERROR(COUNTIF(INDIRECT("'"&amp;$D9&amp;"'!$AT$7:$AT$500"),"Pass"),0))</f>
        <v>0</v>
      </c>
      <c r="H9" s="87" t="n">
        <f aca="true">IF($D9="","",IFERROR(COUNTIF(INDIRECT("'"&amp;$D9&amp;"'!$AT$7:$AT$500"),"Fail"),0))</f>
        <v>0</v>
      </c>
      <c r="I9" s="87" t="n">
        <f aca="true">IF($D9="","",IFERROR(COUNTIF(INDIRECT("'"&amp;$D9&amp;"'!$AT$7:$AT$500"),"Block"),0))</f>
        <v>0</v>
      </c>
      <c r="J9" s="87" t="n">
        <f aca="true">IF($D9="","",IFERROR(COUNTIF(INDIRECT("'"&amp;$D9&amp;"'!$AT$7:$AT$500"),"N/A"),0))</f>
        <v>0</v>
      </c>
      <c r="K9" s="87" t="n">
        <f aca="false">IF($D9="","",MAX(0,$F9-$G9-$H9-$I9-$J9))</f>
        <v>8</v>
      </c>
      <c r="L9" s="87" t="n">
        <f aca="false">IF($D9="","",$G9+$H9+$I9+$J9)</f>
        <v>0</v>
      </c>
      <c r="M9" s="90" t="n">
        <f aca="false">IF($D9="","",IFERROR($L9/$F9,0))</f>
        <v>0</v>
      </c>
      <c r="N9" s="90" t="n">
        <f aca="false">IF($D9="","",IFERROR($G9/$L9,0))</f>
        <v>0</v>
      </c>
      <c r="O9" s="87" t="n">
        <f aca="true">IF($D9="","",IFERROR(COUNTIF(INDIRECT("'"&amp;$D9&amp;"'!$E$7:$E$500"),"High"),0))</f>
        <v>0</v>
      </c>
      <c r="P9" s="87" t="n">
        <f aca="true">IF($D9="","",IFERROR(COUNTIF(INDIRECT("'"&amp;$D9&amp;"'!$E$7:$E$500"),"Medium"),0))</f>
        <v>6</v>
      </c>
      <c r="Q9" s="87" t="n">
        <f aca="true">IF($D9="","",IFERROR(COUNTIF(INDIRECT("'"&amp;$D9&amp;"'!$E$7:$E$500"),"Low"),0))</f>
        <v>2</v>
      </c>
      <c r="R9" s="87" t="n">
        <f aca="true">IF($D9="","",IFERROR(COUNTIF(INDIRECT("'"&amp;$D9&amp;"'!$D$7:$D$500"),"Functional"),0))</f>
        <v>5</v>
      </c>
      <c r="S9" s="87" t="n">
        <f aca="true">IF($D9="","",IFERROR(COUNTIF(INDIRECT("'"&amp;$D9&amp;"'!$D$7:$D$500"),"UI"),0))</f>
        <v>3</v>
      </c>
      <c r="T9" s="87" t="n">
        <f aca="true">IF($D9="","",IFERROR(COUNTIF(INDIRECT("'"&amp;$D9&amp;"'!$D$7:$D$500"),"Integration"),0))</f>
        <v>0</v>
      </c>
      <c r="U9" s="87" t="n">
        <f aca="true">IF($D9="","",IFERROR(COUNTIF(INDIRECT("'"&amp;$D9&amp;"'!$D$7:$D$500"),"Database Test Case"),0))</f>
        <v>0</v>
      </c>
      <c r="V9" s="87" t="n">
        <f aca="true">IF($D9="","",IFERROR(COUNTIF(INDIRECT("'"&amp;$D9&amp;"'!$J$7:$J$500"),"AI"),0))</f>
        <v>8</v>
      </c>
      <c r="W9" s="87" t="n">
        <f aca="true">IF($D9="","",IFERROR(COUNTIF(INDIRECT("'"&amp;$D9&amp;"'!$J$7:$J$500"),"QC"),0))</f>
        <v>0</v>
      </c>
      <c r="X9" s="87" t="n">
        <f aca="true">IF($D9="","",IFERROR(COUNTIF(INDIRECT("'"&amp;$D9&amp;"'!$L$7:$L$500"),"Yes"),0))</f>
        <v>0</v>
      </c>
      <c r="Y9" s="87" t="n">
        <f aca="true">IF($D9="","",IFERROR(COUNTIF(INDIRECT("'"&amp;$D9&amp;"'!$AR$7:$AR$500"),"Yes"),0))</f>
        <v>0</v>
      </c>
      <c r="Z9" s="87" t="n">
        <f aca="true">IF($D9="","",IFERROR(COUNTIF(INDIRECT("'"&amp;$D9&amp;"'!$AS$7:$AS$500"),"Pass"),0))</f>
        <v>0</v>
      </c>
      <c r="AA9" s="87" t="n">
        <f aca="true">IF($D9="","",IFERROR(COUNTIF(INDIRECT("'"&amp;$D9&amp;"'!$K$7:$K$500"),"Reviewed"),0))</f>
        <v>0</v>
      </c>
      <c r="AB9" s="91" t="n">
        <f aca="true">IF($D9="","",IFERROR(COUNTIFS(INDIRECT("'"&amp;$D9&amp;"'!$E$7:$E$500"),"High",INDIRECT("'"&amp;$D9&amp;"'!$AT$7:$AT$500"),"?*"),0))</f>
        <v>0</v>
      </c>
      <c r="AC9" s="91" t="n">
        <f aca="true">IF($D9="","",IFERROR(COUNTIFS(INDIRECT("'"&amp;$D9&amp;"'!$E$7:$E$500"),"Medium",INDIRECT("'"&amp;$D9&amp;"'!$AT$7:$AT$500"),"?*"),0))</f>
        <v>0</v>
      </c>
      <c r="AD9" s="91" t="n">
        <f aca="true">IF($D9="","",IFERROR(COUNTIFS(INDIRECT("'"&amp;$D9&amp;"'!$E$7:$E$500"),"Low",INDIRECT("'"&amp;$D9&amp;"'!$AT$7:$AT$500"),"?*"),0))</f>
        <v>0</v>
      </c>
      <c r="AE9" s="92" t="n">
        <f aca="true">IF($D9="","",IFERROR(COUNTIF(INDIRECT("'"&amp;$D9&amp;"'!$P$7:$P$500"),"?*"),0))</f>
        <v>0</v>
      </c>
      <c r="AF9" s="92" t="n">
        <f aca="true">IF($D9="","",IFERROR(COUNTIF(INDIRECT("'"&amp;$D9&amp;"'!$P$7:$P$500"),"Pass"),0))</f>
        <v>0</v>
      </c>
      <c r="AG9" s="92" t="n">
        <f aca="true">IF($D9="","",IFERROR(COUNTIF(INDIRECT("'"&amp;$D9&amp;"'!$P$7:$P$500"),"Fail"),0))</f>
        <v>0</v>
      </c>
      <c r="AH9" s="92" t="n">
        <f aca="true">IF($D9="","",IFERROR(COUNTIF(INDIRECT("'"&amp;$D9&amp;"'!$P$7:$P$500"),"Block"),0))</f>
        <v>0</v>
      </c>
      <c r="AI9" s="92" t="n">
        <f aca="true">IF($D9="","",IFERROR(COUNTIF(INDIRECT("'"&amp;$D9&amp;"'!$P$7:$P$500"),"N/A"),0))</f>
        <v>0</v>
      </c>
      <c r="AJ9" s="92" t="n">
        <f aca="true">IF($D9="","",IFERROR(COUNTIF(INDIRECT("'"&amp;$D9&amp;"'!$V$7:$V$500"),"?*"),0))</f>
        <v>0</v>
      </c>
      <c r="AK9" s="92" t="n">
        <f aca="true">IF($D9="","",IFERROR(COUNTIF(INDIRECT("'"&amp;$D9&amp;"'!$V$7:$V$500"),"Pass"),0))</f>
        <v>0</v>
      </c>
      <c r="AL9" s="92" t="n">
        <f aca="true">IF($D9="","",IFERROR(COUNTIF(INDIRECT("'"&amp;$D9&amp;"'!$V$7:$V$500"),"Fail"),0))</f>
        <v>0</v>
      </c>
      <c r="AM9" s="92" t="n">
        <f aca="true">IF($D9="","",IFERROR(COUNTIF(INDIRECT("'"&amp;$D9&amp;"'!$V$7:$V$500"),"Block"),0))</f>
        <v>0</v>
      </c>
      <c r="AN9" s="92" t="n">
        <f aca="true">IF($D9="","",IFERROR(COUNTIF(INDIRECT("'"&amp;$D9&amp;"'!$V$7:$V$500"),"N/A"),0))</f>
        <v>0</v>
      </c>
      <c r="AO9" s="92" t="n">
        <f aca="true">IF($D9="","",IFERROR(COUNTIF(INDIRECT("'"&amp;$D9&amp;"'!$AB$7:$AB$500"),"?*"),0))</f>
        <v>0</v>
      </c>
      <c r="AP9" s="92" t="n">
        <f aca="true">IF($D9="","",IFERROR(COUNTIF(INDIRECT("'"&amp;$D9&amp;"'!$AB$7:$AB$500"),"Pass"),0))</f>
        <v>0</v>
      </c>
      <c r="AQ9" s="92" t="n">
        <f aca="true">IF($D9="","",IFERROR(COUNTIF(INDIRECT("'"&amp;$D9&amp;"'!$AB$7:$AB$500"),"Fail"),0))</f>
        <v>0</v>
      </c>
      <c r="AR9" s="92" t="n">
        <f aca="true">IF($D9="","",IFERROR(COUNTIF(INDIRECT("'"&amp;$D9&amp;"'!$AB$7:$AB$500"),"Block"),0))</f>
        <v>0</v>
      </c>
      <c r="AS9" s="92" t="n">
        <f aca="true">IF($D9="","",IFERROR(COUNTIF(INDIRECT("'"&amp;$D9&amp;"'!$AB$7:$AB$500"),"N/A"),0))</f>
        <v>0</v>
      </c>
      <c r="AT9" s="92" t="n">
        <f aca="true">IF($D9="","",IFERROR(COUNTIF(INDIRECT("'"&amp;$D9&amp;"'!$AH$7:$AH$500"),"?*"),0))</f>
        <v>0</v>
      </c>
      <c r="AU9" s="92" t="n">
        <f aca="true">IF($D9="","",IFERROR(COUNTIF(INDIRECT("'"&amp;$D9&amp;"'!$AH$7:$AH$500"),"Pass"),0))</f>
        <v>0</v>
      </c>
      <c r="AV9" s="92" t="n">
        <f aca="true">IF($D9="","",IFERROR(COUNTIF(INDIRECT("'"&amp;$D9&amp;"'!$AH$7:$AH$500"),"Fail"),0))</f>
        <v>0</v>
      </c>
      <c r="AW9" s="92" t="n">
        <f aca="true">IF($D9="","",IFERROR(COUNTIF(INDIRECT("'"&amp;$D9&amp;"'!$AH$7:$AH$500"),"Block"),0))</f>
        <v>0</v>
      </c>
      <c r="AX9" s="92" t="n">
        <f aca="true">IF($D9="","",IFERROR(COUNTIF(INDIRECT("'"&amp;$D9&amp;"'!$AH$7:$AH$500"),"N/A"),0))</f>
        <v>0</v>
      </c>
      <c r="AY9" s="92" t="n">
        <f aca="true">IF($D9="","",IFERROR(COUNTIF(INDIRECT("'"&amp;$D9&amp;"'!$AN$7:$AN$500"),"?*"),0))</f>
        <v>0</v>
      </c>
      <c r="AZ9" s="92" t="n">
        <f aca="true">IF($D9="","",IFERROR(COUNTIF(INDIRECT("'"&amp;$D9&amp;"'!$AN$7:$AN$500"),"Pass"),0))</f>
        <v>0</v>
      </c>
      <c r="BA9" s="92" t="n">
        <f aca="true">IF($D9="","",IFERROR(COUNTIF(INDIRECT("'"&amp;$D9&amp;"'!$AN$7:$AN$500"),"Fail"),0))</f>
        <v>0</v>
      </c>
      <c r="BB9" s="92" t="n">
        <f aca="true">IF($D9="","",IFERROR(COUNTIF(INDIRECT("'"&amp;$D9&amp;"'!$AN$7:$AN$500"),"Block"),0))</f>
        <v>0</v>
      </c>
      <c r="BC9" s="1" t="n">
        <f aca="true">IF($D9="","",IFERROR(COUNTIF(INDIRECT("'"&amp;$D9&amp;"'!$AN$7:$AN$500"),"N/A"),0))</f>
        <v>0</v>
      </c>
    </row>
    <row r="10" customFormat="false" ht="15" hidden="false" customHeight="true" outlineLevel="0" collapsed="false">
      <c r="B10" s="87" t="n">
        <f aca="false">IF($D10="","",ROW()-3)</f>
        <v>7</v>
      </c>
      <c r="C10" s="88" t="s">
        <v>207</v>
      </c>
      <c r="D10" s="88" t="s">
        <v>208</v>
      </c>
      <c r="E10" s="89" t="s">
        <v>208</v>
      </c>
      <c r="F10" s="87" t="n">
        <f aca="true">IF($D10="","",IFERROR(COUNTIF(INDIRECT("'"&amp;$D10&amp;"'!$A$7:$A$500"),"?*"),0))</f>
        <v>11</v>
      </c>
      <c r="G10" s="87" t="n">
        <f aca="true">IF($D10="","",IFERROR(COUNTIF(INDIRECT("'"&amp;$D10&amp;"'!$AT$7:$AT$500"),"Pass"),0))</f>
        <v>0</v>
      </c>
      <c r="H10" s="87" t="n">
        <f aca="true">IF($D10="","",IFERROR(COUNTIF(INDIRECT("'"&amp;$D10&amp;"'!$AT$7:$AT$500"),"Fail"),0))</f>
        <v>0</v>
      </c>
      <c r="I10" s="87" t="n">
        <f aca="true">IF($D10="","",IFERROR(COUNTIF(INDIRECT("'"&amp;$D10&amp;"'!$AT$7:$AT$500"),"Block"),0))</f>
        <v>0</v>
      </c>
      <c r="J10" s="87" t="n">
        <f aca="true">IF($D10="","",IFERROR(COUNTIF(INDIRECT("'"&amp;$D10&amp;"'!$AT$7:$AT$500"),"N/A"),0))</f>
        <v>0</v>
      </c>
      <c r="K10" s="87" t="n">
        <f aca="false">IF($D10="","",MAX(0,$F10-$G10-$H10-$I10-$J10))</f>
        <v>11</v>
      </c>
      <c r="L10" s="87" t="n">
        <f aca="false">IF($D10="","",$G10+$H10+$I10+$J10)</f>
        <v>0</v>
      </c>
      <c r="M10" s="90" t="n">
        <f aca="false">IF($D10="","",IFERROR($L10/$F10,0))</f>
        <v>0</v>
      </c>
      <c r="N10" s="90" t="n">
        <f aca="false">IF($D10="","",IFERROR($G10/$L10,0))</f>
        <v>0</v>
      </c>
      <c r="O10" s="87" t="n">
        <f aca="true">IF($D10="","",IFERROR(COUNTIF(INDIRECT("'"&amp;$D10&amp;"'!$E$7:$E$500"),"High"),0))</f>
        <v>0</v>
      </c>
      <c r="P10" s="87" t="n">
        <f aca="true">IF($D10="","",IFERROR(COUNTIF(INDIRECT("'"&amp;$D10&amp;"'!$E$7:$E$500"),"Medium"),0))</f>
        <v>3</v>
      </c>
      <c r="Q10" s="87" t="n">
        <f aca="true">IF($D10="","",IFERROR(COUNTIF(INDIRECT("'"&amp;$D10&amp;"'!$E$7:$E$500"),"Low"),0))</f>
        <v>8</v>
      </c>
      <c r="R10" s="87" t="n">
        <f aca="true">IF($D10="","",IFERROR(COUNTIF(INDIRECT("'"&amp;$D10&amp;"'!$D$7:$D$500"),"Functional"),0))</f>
        <v>8</v>
      </c>
      <c r="S10" s="87" t="n">
        <f aca="true">IF($D10="","",IFERROR(COUNTIF(INDIRECT("'"&amp;$D10&amp;"'!$D$7:$D$500"),"UI"),0))</f>
        <v>3</v>
      </c>
      <c r="T10" s="87" t="n">
        <f aca="true">IF($D10="","",IFERROR(COUNTIF(INDIRECT("'"&amp;$D10&amp;"'!$D$7:$D$500"),"Integration"),0))</f>
        <v>0</v>
      </c>
      <c r="U10" s="87" t="n">
        <f aca="true">IF($D10="","",IFERROR(COUNTIF(INDIRECT("'"&amp;$D10&amp;"'!$D$7:$D$500"),"Database Test Case"),0))</f>
        <v>0</v>
      </c>
      <c r="V10" s="87" t="n">
        <f aca="true">IF($D10="","",IFERROR(COUNTIF(INDIRECT("'"&amp;$D10&amp;"'!$J$7:$J$500"),"AI"),0))</f>
        <v>11</v>
      </c>
      <c r="W10" s="87" t="n">
        <f aca="true">IF($D10="","",IFERROR(COUNTIF(INDIRECT("'"&amp;$D10&amp;"'!$J$7:$J$500"),"QC"),0))</f>
        <v>0</v>
      </c>
      <c r="X10" s="87" t="n">
        <f aca="true">IF($D10="","",IFERROR(COUNTIF(INDIRECT("'"&amp;$D10&amp;"'!$L$7:$L$500"),"Yes"),0))</f>
        <v>0</v>
      </c>
      <c r="Y10" s="87" t="n">
        <f aca="true">IF($D10="","",IFERROR(COUNTIF(INDIRECT("'"&amp;$D10&amp;"'!$AR$7:$AR$500"),"Yes"),0))</f>
        <v>0</v>
      </c>
      <c r="Z10" s="87" t="n">
        <f aca="true">IF($D10="","",IFERROR(COUNTIF(INDIRECT("'"&amp;$D10&amp;"'!$AS$7:$AS$500"),"Pass"),0))</f>
        <v>0</v>
      </c>
      <c r="AA10" s="87" t="n">
        <f aca="true">IF($D10="","",IFERROR(COUNTIF(INDIRECT("'"&amp;$D10&amp;"'!$K$7:$K$500"),"Reviewed"),0))</f>
        <v>0</v>
      </c>
      <c r="AB10" s="91" t="n">
        <f aca="true">IF($D10="","",IFERROR(COUNTIFS(INDIRECT("'"&amp;$D10&amp;"'!$E$7:$E$500"),"High",INDIRECT("'"&amp;$D10&amp;"'!$AT$7:$AT$500"),"?*"),0))</f>
        <v>0</v>
      </c>
      <c r="AC10" s="91" t="n">
        <f aca="true">IF($D10="","",IFERROR(COUNTIFS(INDIRECT("'"&amp;$D10&amp;"'!$E$7:$E$500"),"Medium",INDIRECT("'"&amp;$D10&amp;"'!$AT$7:$AT$500"),"?*"),0))</f>
        <v>0</v>
      </c>
      <c r="AD10" s="91" t="n">
        <f aca="true">IF($D10="","",IFERROR(COUNTIFS(INDIRECT("'"&amp;$D10&amp;"'!$E$7:$E$500"),"Low",INDIRECT("'"&amp;$D10&amp;"'!$AT$7:$AT$500"),"?*"),0))</f>
        <v>0</v>
      </c>
      <c r="AE10" s="92" t="n">
        <f aca="true">IF($D10="","",IFERROR(COUNTIF(INDIRECT("'"&amp;$D10&amp;"'!$P$7:$P$500"),"?*"),0))</f>
        <v>0</v>
      </c>
      <c r="AF10" s="92" t="n">
        <f aca="true">IF($D10="","",IFERROR(COUNTIF(INDIRECT("'"&amp;$D10&amp;"'!$P$7:$P$500"),"Pass"),0))</f>
        <v>0</v>
      </c>
      <c r="AG10" s="92" t="n">
        <f aca="true">IF($D10="","",IFERROR(COUNTIF(INDIRECT("'"&amp;$D10&amp;"'!$P$7:$P$500"),"Fail"),0))</f>
        <v>0</v>
      </c>
      <c r="AH10" s="92" t="n">
        <f aca="true">IF($D10="","",IFERROR(COUNTIF(INDIRECT("'"&amp;$D10&amp;"'!$P$7:$P$500"),"Block"),0))</f>
        <v>0</v>
      </c>
      <c r="AI10" s="92" t="n">
        <f aca="true">IF($D10="","",IFERROR(COUNTIF(INDIRECT("'"&amp;$D10&amp;"'!$P$7:$P$500"),"N/A"),0))</f>
        <v>0</v>
      </c>
      <c r="AJ10" s="92" t="n">
        <f aca="true">IF($D10="","",IFERROR(COUNTIF(INDIRECT("'"&amp;$D10&amp;"'!$V$7:$V$500"),"?*"),0))</f>
        <v>0</v>
      </c>
      <c r="AK10" s="92" t="n">
        <f aca="true">IF($D10="","",IFERROR(COUNTIF(INDIRECT("'"&amp;$D10&amp;"'!$V$7:$V$500"),"Pass"),0))</f>
        <v>0</v>
      </c>
      <c r="AL10" s="92" t="n">
        <f aca="true">IF($D10="","",IFERROR(COUNTIF(INDIRECT("'"&amp;$D10&amp;"'!$V$7:$V$500"),"Fail"),0))</f>
        <v>0</v>
      </c>
      <c r="AM10" s="92" t="n">
        <f aca="true">IF($D10="","",IFERROR(COUNTIF(INDIRECT("'"&amp;$D10&amp;"'!$V$7:$V$500"),"Block"),0))</f>
        <v>0</v>
      </c>
      <c r="AN10" s="92" t="n">
        <f aca="true">IF($D10="","",IFERROR(COUNTIF(INDIRECT("'"&amp;$D10&amp;"'!$V$7:$V$500"),"N/A"),0))</f>
        <v>0</v>
      </c>
      <c r="AO10" s="92" t="n">
        <f aca="true">IF($D10="","",IFERROR(COUNTIF(INDIRECT("'"&amp;$D10&amp;"'!$AB$7:$AB$500"),"?*"),0))</f>
        <v>0</v>
      </c>
      <c r="AP10" s="92" t="n">
        <f aca="true">IF($D10="","",IFERROR(COUNTIF(INDIRECT("'"&amp;$D10&amp;"'!$AB$7:$AB$500"),"Pass"),0))</f>
        <v>0</v>
      </c>
      <c r="AQ10" s="92" t="n">
        <f aca="true">IF($D10="","",IFERROR(COUNTIF(INDIRECT("'"&amp;$D10&amp;"'!$AB$7:$AB$500"),"Fail"),0))</f>
        <v>0</v>
      </c>
      <c r="AR10" s="92" t="n">
        <f aca="true">IF($D10="","",IFERROR(COUNTIF(INDIRECT("'"&amp;$D10&amp;"'!$AB$7:$AB$500"),"Block"),0))</f>
        <v>0</v>
      </c>
      <c r="AS10" s="92" t="n">
        <f aca="true">IF($D10="","",IFERROR(COUNTIF(INDIRECT("'"&amp;$D10&amp;"'!$AB$7:$AB$500"),"N/A"),0))</f>
        <v>0</v>
      </c>
      <c r="AT10" s="92" t="n">
        <f aca="true">IF($D10="","",IFERROR(COUNTIF(INDIRECT("'"&amp;$D10&amp;"'!$AH$7:$AH$500"),"?*"),0))</f>
        <v>0</v>
      </c>
      <c r="AU10" s="92" t="n">
        <f aca="true">IF($D10="","",IFERROR(COUNTIF(INDIRECT("'"&amp;$D10&amp;"'!$AH$7:$AH$500"),"Pass"),0))</f>
        <v>0</v>
      </c>
      <c r="AV10" s="92" t="n">
        <f aca="true">IF($D10="","",IFERROR(COUNTIF(INDIRECT("'"&amp;$D10&amp;"'!$AH$7:$AH$500"),"Fail"),0))</f>
        <v>0</v>
      </c>
      <c r="AW10" s="92" t="n">
        <f aca="true">IF($D10="","",IFERROR(COUNTIF(INDIRECT("'"&amp;$D10&amp;"'!$AH$7:$AH$500"),"Block"),0))</f>
        <v>0</v>
      </c>
      <c r="AX10" s="92" t="n">
        <f aca="true">IF($D10="","",IFERROR(COUNTIF(INDIRECT("'"&amp;$D10&amp;"'!$AH$7:$AH$500"),"N/A"),0))</f>
        <v>0</v>
      </c>
      <c r="AY10" s="92" t="n">
        <f aca="true">IF($D10="","",IFERROR(COUNTIF(INDIRECT("'"&amp;$D10&amp;"'!$AN$7:$AN$500"),"?*"),0))</f>
        <v>0</v>
      </c>
      <c r="AZ10" s="92" t="n">
        <f aca="true">IF($D10="","",IFERROR(COUNTIF(INDIRECT("'"&amp;$D10&amp;"'!$AN$7:$AN$500"),"Pass"),0))</f>
        <v>0</v>
      </c>
      <c r="BA10" s="92" t="n">
        <f aca="true">IF($D10="","",IFERROR(COUNTIF(INDIRECT("'"&amp;$D10&amp;"'!$AN$7:$AN$500"),"Fail"),0))</f>
        <v>0</v>
      </c>
      <c r="BB10" s="92" t="n">
        <f aca="true">IF($D10="","",IFERROR(COUNTIF(INDIRECT("'"&amp;$D10&amp;"'!$AN$7:$AN$500"),"Block"),0))</f>
        <v>0</v>
      </c>
      <c r="BC10" s="1" t="n">
        <f aca="true">IF($D10="","",IFERROR(COUNTIF(INDIRECT("'"&amp;$D10&amp;"'!$AN$7:$AN$500"),"N/A"),0))</f>
        <v>0</v>
      </c>
    </row>
    <row r="11" customFormat="false" ht="15" hidden="false" customHeight="true" outlineLevel="0" collapsed="false">
      <c r="B11" s="87" t="n">
        <f aca="false">IF($D11="","",ROW()-3)</f>
        <v>8</v>
      </c>
      <c r="C11" s="88" t="s">
        <v>209</v>
      </c>
      <c r="D11" s="88" t="s">
        <v>210</v>
      </c>
      <c r="E11" s="89" t="s">
        <v>210</v>
      </c>
      <c r="F11" s="87" t="n">
        <f aca="true">IF($D11="","",IFERROR(COUNTIF(INDIRECT("'"&amp;$D11&amp;"'!$A$7:$A$500"),"?*"),0))</f>
        <v>9</v>
      </c>
      <c r="G11" s="87" t="n">
        <f aca="true">IF($D11="","",IFERROR(COUNTIF(INDIRECT("'"&amp;$D11&amp;"'!$AT$7:$AT$500"),"Pass"),0))</f>
        <v>0</v>
      </c>
      <c r="H11" s="87" t="n">
        <f aca="true">IF($D11="","",IFERROR(COUNTIF(INDIRECT("'"&amp;$D11&amp;"'!$AT$7:$AT$500"),"Fail"),0))</f>
        <v>0</v>
      </c>
      <c r="I11" s="87" t="n">
        <f aca="true">IF($D11="","",IFERROR(COUNTIF(INDIRECT("'"&amp;$D11&amp;"'!$AT$7:$AT$500"),"Block"),0))</f>
        <v>0</v>
      </c>
      <c r="J11" s="87" t="n">
        <f aca="true">IF($D11="","",IFERROR(COUNTIF(INDIRECT("'"&amp;$D11&amp;"'!$AT$7:$AT$500"),"N/A"),0))</f>
        <v>0</v>
      </c>
      <c r="K11" s="87" t="n">
        <f aca="false">IF($D11="","",MAX(0,$F11-$G11-$H11-$I11-$J11))</f>
        <v>9</v>
      </c>
      <c r="L11" s="87" t="n">
        <f aca="false">IF($D11="","",$G11+$H11+$I11+$J11)</f>
        <v>0</v>
      </c>
      <c r="M11" s="90" t="n">
        <f aca="false">IF($D11="","",IFERROR($L11/$F11,0))</f>
        <v>0</v>
      </c>
      <c r="N11" s="90" t="n">
        <f aca="false">IF($D11="","",IFERROR($G11/$L11,0))</f>
        <v>0</v>
      </c>
      <c r="O11" s="87" t="n">
        <f aca="true">IF($D11="","",IFERROR(COUNTIF(INDIRECT("'"&amp;$D11&amp;"'!$E$7:$E$500"),"High"),0))</f>
        <v>1</v>
      </c>
      <c r="P11" s="87" t="n">
        <f aca="true">IF($D11="","",IFERROR(COUNTIF(INDIRECT("'"&amp;$D11&amp;"'!$E$7:$E$500"),"Medium"),0))</f>
        <v>7</v>
      </c>
      <c r="Q11" s="87" t="n">
        <f aca="true">IF($D11="","",IFERROR(COUNTIF(INDIRECT("'"&amp;$D11&amp;"'!$E$7:$E$500"),"Low"),0))</f>
        <v>1</v>
      </c>
      <c r="R11" s="87" t="n">
        <f aca="true">IF($D11="","",IFERROR(COUNTIF(INDIRECT("'"&amp;$D11&amp;"'!$D$7:$D$500"),"Functional"),0))</f>
        <v>9</v>
      </c>
      <c r="S11" s="87" t="n">
        <f aca="true">IF($D11="","",IFERROR(COUNTIF(INDIRECT("'"&amp;$D11&amp;"'!$D$7:$D$500"),"UI"),0))</f>
        <v>0</v>
      </c>
      <c r="T11" s="87" t="n">
        <f aca="true">IF($D11="","",IFERROR(COUNTIF(INDIRECT("'"&amp;$D11&amp;"'!$D$7:$D$500"),"Integration"),0))</f>
        <v>0</v>
      </c>
      <c r="U11" s="87" t="n">
        <f aca="true">IF($D11="","",IFERROR(COUNTIF(INDIRECT("'"&amp;$D11&amp;"'!$D$7:$D$500"),"Database Test Case"),0))</f>
        <v>0</v>
      </c>
      <c r="V11" s="87" t="n">
        <f aca="true">IF($D11="","",IFERROR(COUNTIF(INDIRECT("'"&amp;$D11&amp;"'!$J$7:$J$500"),"AI"),0))</f>
        <v>9</v>
      </c>
      <c r="W11" s="87" t="n">
        <f aca="true">IF($D11="","",IFERROR(COUNTIF(INDIRECT("'"&amp;$D11&amp;"'!$J$7:$J$500"),"QC"),0))</f>
        <v>0</v>
      </c>
      <c r="X11" s="87" t="n">
        <f aca="true">IF($D11="","",IFERROR(COUNTIF(INDIRECT("'"&amp;$D11&amp;"'!$L$7:$L$500"),"Yes"),0))</f>
        <v>0</v>
      </c>
      <c r="Y11" s="87" t="n">
        <f aca="true">IF($D11="","",IFERROR(COUNTIF(INDIRECT("'"&amp;$D11&amp;"'!$AR$7:$AR$500"),"Yes"),0))</f>
        <v>0</v>
      </c>
      <c r="Z11" s="87" t="n">
        <f aca="true">IF($D11="","",IFERROR(COUNTIF(INDIRECT("'"&amp;$D11&amp;"'!$AS$7:$AS$500"),"Pass"),0))</f>
        <v>0</v>
      </c>
      <c r="AA11" s="87" t="n">
        <f aca="true">IF($D11="","",IFERROR(COUNTIF(INDIRECT("'"&amp;$D11&amp;"'!$K$7:$K$500"),"Reviewed"),0))</f>
        <v>0</v>
      </c>
      <c r="AB11" s="91" t="n">
        <f aca="true">IF($D11="","",IFERROR(COUNTIFS(INDIRECT("'"&amp;$D11&amp;"'!$E$7:$E$500"),"High",INDIRECT("'"&amp;$D11&amp;"'!$AT$7:$AT$500"),"?*"),0))</f>
        <v>0</v>
      </c>
      <c r="AC11" s="91" t="n">
        <f aca="true">IF($D11="","",IFERROR(COUNTIFS(INDIRECT("'"&amp;$D11&amp;"'!$E$7:$E$500"),"Medium",INDIRECT("'"&amp;$D11&amp;"'!$AT$7:$AT$500"),"?*"),0))</f>
        <v>0</v>
      </c>
      <c r="AD11" s="91" t="n">
        <f aca="true">IF($D11="","",IFERROR(COUNTIFS(INDIRECT("'"&amp;$D11&amp;"'!$E$7:$E$500"),"Low",INDIRECT("'"&amp;$D11&amp;"'!$AT$7:$AT$500"),"?*"),0))</f>
        <v>0</v>
      </c>
      <c r="AE11" s="92" t="n">
        <f aca="true">IF($D11="","",IFERROR(COUNTIF(INDIRECT("'"&amp;$D11&amp;"'!$P$7:$P$500"),"?*"),0))</f>
        <v>0</v>
      </c>
      <c r="AF11" s="92" t="n">
        <f aca="true">IF($D11="","",IFERROR(COUNTIF(INDIRECT("'"&amp;$D11&amp;"'!$P$7:$P$500"),"Pass"),0))</f>
        <v>0</v>
      </c>
      <c r="AG11" s="92" t="n">
        <f aca="true">IF($D11="","",IFERROR(COUNTIF(INDIRECT("'"&amp;$D11&amp;"'!$P$7:$P$500"),"Fail"),0))</f>
        <v>0</v>
      </c>
      <c r="AH11" s="92" t="n">
        <f aca="true">IF($D11="","",IFERROR(COUNTIF(INDIRECT("'"&amp;$D11&amp;"'!$P$7:$P$500"),"Block"),0))</f>
        <v>0</v>
      </c>
      <c r="AI11" s="92" t="n">
        <f aca="true">IF($D11="","",IFERROR(COUNTIF(INDIRECT("'"&amp;$D11&amp;"'!$P$7:$P$500"),"N/A"),0))</f>
        <v>0</v>
      </c>
      <c r="AJ11" s="92" t="n">
        <f aca="true">IF($D11="","",IFERROR(COUNTIF(INDIRECT("'"&amp;$D11&amp;"'!$V$7:$V$500"),"?*"),0))</f>
        <v>0</v>
      </c>
      <c r="AK11" s="92" t="n">
        <f aca="true">IF($D11="","",IFERROR(COUNTIF(INDIRECT("'"&amp;$D11&amp;"'!$V$7:$V$500"),"Pass"),0))</f>
        <v>0</v>
      </c>
      <c r="AL11" s="92" t="n">
        <f aca="true">IF($D11="","",IFERROR(COUNTIF(INDIRECT("'"&amp;$D11&amp;"'!$V$7:$V$500"),"Fail"),0))</f>
        <v>0</v>
      </c>
      <c r="AM11" s="92" t="n">
        <f aca="true">IF($D11="","",IFERROR(COUNTIF(INDIRECT("'"&amp;$D11&amp;"'!$V$7:$V$500"),"Block"),0))</f>
        <v>0</v>
      </c>
      <c r="AN11" s="92" t="n">
        <f aca="true">IF($D11="","",IFERROR(COUNTIF(INDIRECT("'"&amp;$D11&amp;"'!$V$7:$V$500"),"N/A"),0))</f>
        <v>0</v>
      </c>
      <c r="AO11" s="92" t="n">
        <f aca="true">IF($D11="","",IFERROR(COUNTIF(INDIRECT("'"&amp;$D11&amp;"'!$AB$7:$AB$500"),"?*"),0))</f>
        <v>0</v>
      </c>
      <c r="AP11" s="92" t="n">
        <f aca="true">IF($D11="","",IFERROR(COUNTIF(INDIRECT("'"&amp;$D11&amp;"'!$AB$7:$AB$500"),"Pass"),0))</f>
        <v>0</v>
      </c>
      <c r="AQ11" s="92" t="n">
        <f aca="true">IF($D11="","",IFERROR(COUNTIF(INDIRECT("'"&amp;$D11&amp;"'!$AB$7:$AB$500"),"Fail"),0))</f>
        <v>0</v>
      </c>
      <c r="AR11" s="92" t="n">
        <f aca="true">IF($D11="","",IFERROR(COUNTIF(INDIRECT("'"&amp;$D11&amp;"'!$AB$7:$AB$500"),"Block"),0))</f>
        <v>0</v>
      </c>
      <c r="AS11" s="92" t="n">
        <f aca="true">IF($D11="","",IFERROR(COUNTIF(INDIRECT("'"&amp;$D11&amp;"'!$AB$7:$AB$500"),"N/A"),0))</f>
        <v>0</v>
      </c>
      <c r="AT11" s="92" t="n">
        <f aca="true">IF($D11="","",IFERROR(COUNTIF(INDIRECT("'"&amp;$D11&amp;"'!$AH$7:$AH$500"),"?*"),0))</f>
        <v>0</v>
      </c>
      <c r="AU11" s="92" t="n">
        <f aca="true">IF($D11="","",IFERROR(COUNTIF(INDIRECT("'"&amp;$D11&amp;"'!$AH$7:$AH$500"),"Pass"),0))</f>
        <v>0</v>
      </c>
      <c r="AV11" s="92" t="n">
        <f aca="true">IF($D11="","",IFERROR(COUNTIF(INDIRECT("'"&amp;$D11&amp;"'!$AH$7:$AH$500"),"Fail"),0))</f>
        <v>0</v>
      </c>
      <c r="AW11" s="92" t="n">
        <f aca="true">IF($D11="","",IFERROR(COUNTIF(INDIRECT("'"&amp;$D11&amp;"'!$AH$7:$AH$500"),"Block"),0))</f>
        <v>0</v>
      </c>
      <c r="AX11" s="92" t="n">
        <f aca="true">IF($D11="","",IFERROR(COUNTIF(INDIRECT("'"&amp;$D11&amp;"'!$AH$7:$AH$500"),"N/A"),0))</f>
        <v>0</v>
      </c>
      <c r="AY11" s="92" t="n">
        <f aca="true">IF($D11="","",IFERROR(COUNTIF(INDIRECT("'"&amp;$D11&amp;"'!$AN$7:$AN$500"),"?*"),0))</f>
        <v>0</v>
      </c>
      <c r="AZ11" s="92" t="n">
        <f aca="true">IF($D11="","",IFERROR(COUNTIF(INDIRECT("'"&amp;$D11&amp;"'!$AN$7:$AN$500"),"Pass"),0))</f>
        <v>0</v>
      </c>
      <c r="BA11" s="92" t="n">
        <f aca="true">IF($D11="","",IFERROR(COUNTIF(INDIRECT("'"&amp;$D11&amp;"'!$AN$7:$AN$500"),"Fail"),0))</f>
        <v>0</v>
      </c>
      <c r="BB11" s="92" t="n">
        <f aca="true">IF($D11="","",IFERROR(COUNTIF(INDIRECT("'"&amp;$D11&amp;"'!$AN$7:$AN$500"),"Block"),0))</f>
        <v>0</v>
      </c>
      <c r="BC11" s="1" t="n">
        <f aca="true">IF($D11="","",IFERROR(COUNTIF(INDIRECT("'"&amp;$D11&amp;"'!$AN$7:$AN$500"),"N/A"),0))</f>
        <v>0</v>
      </c>
    </row>
    <row r="12" customFormat="false" ht="21.75" hidden="false" customHeight="true" outlineLevel="0" collapsed="false">
      <c r="B12" s="87" t="n">
        <f aca="false">IF($D12="","",ROW()-3)</f>
        <v>9</v>
      </c>
      <c r="C12" s="88" t="s">
        <v>211</v>
      </c>
      <c r="D12" s="88" t="s">
        <v>212</v>
      </c>
      <c r="E12" s="89" t="s">
        <v>212</v>
      </c>
      <c r="F12" s="87" t="n">
        <f aca="true">IF($D12="","",IFERROR(COUNTIF(INDIRECT("'"&amp;$D12&amp;"'!$A$7:$A$500"),"?*"),0))</f>
        <v>48</v>
      </c>
      <c r="G12" s="87" t="n">
        <f aca="true">IF($D12="","",IFERROR(COUNTIF(INDIRECT("'"&amp;$D12&amp;"'!$AT$7:$AT$500"),"Pass"),0))</f>
        <v>0</v>
      </c>
      <c r="H12" s="87" t="n">
        <f aca="true">IF($D12="","",IFERROR(COUNTIF(INDIRECT("'"&amp;$D12&amp;"'!$AT$7:$AT$500"),"Fail"),0))</f>
        <v>0</v>
      </c>
      <c r="I12" s="87" t="n">
        <f aca="true">IF($D12="","",IFERROR(COUNTIF(INDIRECT("'"&amp;$D12&amp;"'!$AT$7:$AT$500"),"Block"),0))</f>
        <v>0</v>
      </c>
      <c r="J12" s="87" t="n">
        <f aca="true">IF($D12="","",IFERROR(COUNTIF(INDIRECT("'"&amp;$D12&amp;"'!$AT$7:$AT$500"),"N/A"),0))</f>
        <v>0</v>
      </c>
      <c r="K12" s="87" t="n">
        <f aca="false">IF($D12="","",MAX(0,$F12-$G12-$H12-$I12-$J12))</f>
        <v>48</v>
      </c>
      <c r="L12" s="87" t="n">
        <f aca="false">IF($D12="","",$G12+$H12+$I12+$J12)</f>
        <v>0</v>
      </c>
      <c r="M12" s="90" t="n">
        <f aca="false">IF($D12="","",IFERROR($L12/$F12,0))</f>
        <v>0</v>
      </c>
      <c r="N12" s="90" t="n">
        <f aca="false">IF($D12="","",IFERROR($G12/$L12,0))</f>
        <v>0</v>
      </c>
      <c r="O12" s="87" t="n">
        <f aca="true">IF($D12="","",IFERROR(COUNTIF(INDIRECT("'"&amp;$D12&amp;"'!$E$7:$E$500"),"High"),0))</f>
        <v>2</v>
      </c>
      <c r="P12" s="87" t="n">
        <f aca="true">IF($D12="","",IFERROR(COUNTIF(INDIRECT("'"&amp;$D12&amp;"'!$E$7:$E$500"),"Medium"),0))</f>
        <v>37</v>
      </c>
      <c r="Q12" s="87" t="n">
        <f aca="true">IF($D12="","",IFERROR(COUNTIF(INDIRECT("'"&amp;$D12&amp;"'!$E$7:$E$500"),"Low"),0))</f>
        <v>9</v>
      </c>
      <c r="R12" s="87" t="n">
        <f aca="true">IF($D12="","",IFERROR(COUNTIF(INDIRECT("'"&amp;$D12&amp;"'!$D$7:$D$500"),"Functional"),0))</f>
        <v>38</v>
      </c>
      <c r="S12" s="87" t="n">
        <f aca="true">IF($D12="","",IFERROR(COUNTIF(INDIRECT("'"&amp;$D12&amp;"'!$D$7:$D$500"),"UI"),0))</f>
        <v>10</v>
      </c>
      <c r="T12" s="87" t="n">
        <f aca="true">IF($D12="","",IFERROR(COUNTIF(INDIRECT("'"&amp;$D12&amp;"'!$D$7:$D$500"),"Integration"),0))</f>
        <v>0</v>
      </c>
      <c r="U12" s="87" t="n">
        <f aca="true">IF($D12="","",IFERROR(COUNTIF(INDIRECT("'"&amp;$D12&amp;"'!$D$7:$D$500"),"Database Test Case"),0))</f>
        <v>0</v>
      </c>
      <c r="V12" s="87" t="n">
        <f aca="true">IF($D12="","",IFERROR(COUNTIF(INDIRECT("'"&amp;$D12&amp;"'!$J$7:$J$500"),"AI"),0))</f>
        <v>48</v>
      </c>
      <c r="W12" s="87" t="n">
        <f aca="true">IF($D12="","",IFERROR(COUNTIF(INDIRECT("'"&amp;$D12&amp;"'!$J$7:$J$500"),"QC"),0))</f>
        <v>0</v>
      </c>
      <c r="X12" s="87" t="n">
        <f aca="true">IF($D12="","",IFERROR(COUNTIF(INDIRECT("'"&amp;$D12&amp;"'!$L$7:$L$500"),"Yes"),0))</f>
        <v>0</v>
      </c>
      <c r="Y12" s="87" t="n">
        <f aca="true">IF($D12="","",IFERROR(COUNTIF(INDIRECT("'"&amp;$D12&amp;"'!$AR$7:$AR$500"),"Yes"),0))</f>
        <v>0</v>
      </c>
      <c r="Z12" s="87" t="n">
        <f aca="true">IF($D12="","",IFERROR(COUNTIF(INDIRECT("'"&amp;$D12&amp;"'!$AS$7:$AS$500"),"Pass"),0))</f>
        <v>0</v>
      </c>
      <c r="AA12" s="87" t="n">
        <f aca="true">IF($D12="","",IFERROR(COUNTIF(INDIRECT("'"&amp;$D12&amp;"'!$K$7:$K$500"),"Reviewed"),0))</f>
        <v>0</v>
      </c>
      <c r="AB12" s="91" t="n">
        <f aca="true">IF($D12="","",IFERROR(COUNTIFS(INDIRECT("'"&amp;$D12&amp;"'!$E$7:$E$500"),"High",INDIRECT("'"&amp;$D12&amp;"'!$AT$7:$AT$500"),"?*"),0))</f>
        <v>0</v>
      </c>
      <c r="AC12" s="91" t="n">
        <f aca="true">IF($D12="","",IFERROR(COUNTIFS(INDIRECT("'"&amp;$D12&amp;"'!$E$7:$E$500"),"Medium",INDIRECT("'"&amp;$D12&amp;"'!$AT$7:$AT$500"),"?*"),0))</f>
        <v>0</v>
      </c>
      <c r="AD12" s="91" t="n">
        <f aca="true">IF($D12="","",IFERROR(COUNTIFS(INDIRECT("'"&amp;$D12&amp;"'!$E$7:$E$500"),"Low",INDIRECT("'"&amp;$D12&amp;"'!$AT$7:$AT$500"),"?*"),0))</f>
        <v>0</v>
      </c>
      <c r="AE12" s="92" t="n">
        <f aca="true">IF($D12="","",IFERROR(COUNTIF(INDIRECT("'"&amp;$D12&amp;"'!$P$7:$P$500"),"?*"),0))</f>
        <v>0</v>
      </c>
      <c r="AF12" s="92" t="n">
        <f aca="true">IF($D12="","",IFERROR(COUNTIF(INDIRECT("'"&amp;$D12&amp;"'!$P$7:$P$500"),"Pass"),0))</f>
        <v>0</v>
      </c>
      <c r="AG12" s="92" t="n">
        <f aca="true">IF($D12="","",IFERROR(COUNTIF(INDIRECT("'"&amp;$D12&amp;"'!$P$7:$P$500"),"Fail"),0))</f>
        <v>0</v>
      </c>
      <c r="AH12" s="92" t="n">
        <f aca="true">IF($D12="","",IFERROR(COUNTIF(INDIRECT("'"&amp;$D12&amp;"'!$P$7:$P$500"),"Block"),0))</f>
        <v>0</v>
      </c>
      <c r="AI12" s="92" t="n">
        <f aca="true">IF($D12="","",IFERROR(COUNTIF(INDIRECT("'"&amp;$D12&amp;"'!$P$7:$P$500"),"N/A"),0))</f>
        <v>0</v>
      </c>
      <c r="AJ12" s="92" t="n">
        <f aca="true">IF($D12="","",IFERROR(COUNTIF(INDIRECT("'"&amp;$D12&amp;"'!$V$7:$V$500"),"?*"),0))</f>
        <v>0</v>
      </c>
      <c r="AK12" s="92" t="n">
        <f aca="true">IF($D12="","",IFERROR(COUNTIF(INDIRECT("'"&amp;$D12&amp;"'!$V$7:$V$500"),"Pass"),0))</f>
        <v>0</v>
      </c>
      <c r="AL12" s="92" t="n">
        <f aca="true">IF($D12="","",IFERROR(COUNTIF(INDIRECT("'"&amp;$D12&amp;"'!$V$7:$V$500"),"Fail"),0))</f>
        <v>0</v>
      </c>
      <c r="AM12" s="92" t="n">
        <f aca="true">IF($D12="","",IFERROR(COUNTIF(INDIRECT("'"&amp;$D12&amp;"'!$V$7:$V$500"),"Block"),0))</f>
        <v>0</v>
      </c>
      <c r="AN12" s="92" t="n">
        <f aca="true">IF($D12="","",IFERROR(COUNTIF(INDIRECT("'"&amp;$D12&amp;"'!$V$7:$V$500"),"N/A"),0))</f>
        <v>0</v>
      </c>
      <c r="AO12" s="92" t="n">
        <f aca="true">IF($D12="","",IFERROR(COUNTIF(INDIRECT("'"&amp;$D12&amp;"'!$AB$7:$AB$500"),"?*"),0))</f>
        <v>0</v>
      </c>
      <c r="AP12" s="92" t="n">
        <f aca="true">IF($D12="","",IFERROR(COUNTIF(INDIRECT("'"&amp;$D12&amp;"'!$AB$7:$AB$500"),"Pass"),0))</f>
        <v>0</v>
      </c>
      <c r="AQ12" s="92" t="n">
        <f aca="true">IF($D12="","",IFERROR(COUNTIF(INDIRECT("'"&amp;$D12&amp;"'!$AB$7:$AB$500"),"Fail"),0))</f>
        <v>0</v>
      </c>
      <c r="AR12" s="92" t="n">
        <f aca="true">IF($D12="","",IFERROR(COUNTIF(INDIRECT("'"&amp;$D12&amp;"'!$AB$7:$AB$500"),"Block"),0))</f>
        <v>0</v>
      </c>
      <c r="AS12" s="92" t="n">
        <f aca="true">IF($D12="","",IFERROR(COUNTIF(INDIRECT("'"&amp;$D12&amp;"'!$AB$7:$AB$500"),"N/A"),0))</f>
        <v>0</v>
      </c>
      <c r="AT12" s="92" t="n">
        <f aca="true">IF($D12="","",IFERROR(COUNTIF(INDIRECT("'"&amp;$D12&amp;"'!$AH$7:$AH$500"),"?*"),0))</f>
        <v>0</v>
      </c>
      <c r="AU12" s="92" t="n">
        <f aca="true">IF($D12="","",IFERROR(COUNTIF(INDIRECT("'"&amp;$D12&amp;"'!$AH$7:$AH$500"),"Pass"),0))</f>
        <v>0</v>
      </c>
      <c r="AV12" s="92" t="n">
        <f aca="true">IF($D12="","",IFERROR(COUNTIF(INDIRECT("'"&amp;$D12&amp;"'!$AH$7:$AH$500"),"Fail"),0))</f>
        <v>0</v>
      </c>
      <c r="AW12" s="92" t="n">
        <f aca="true">IF($D12="","",IFERROR(COUNTIF(INDIRECT("'"&amp;$D12&amp;"'!$AH$7:$AH$500"),"Block"),0))</f>
        <v>0</v>
      </c>
      <c r="AX12" s="92" t="n">
        <f aca="true">IF($D12="","",IFERROR(COUNTIF(INDIRECT("'"&amp;$D12&amp;"'!$AH$7:$AH$500"),"N/A"),0))</f>
        <v>0</v>
      </c>
      <c r="AY12" s="92" t="n">
        <f aca="true">IF($D12="","",IFERROR(COUNTIF(INDIRECT("'"&amp;$D12&amp;"'!$AN$7:$AN$500"),"?*"),0))</f>
        <v>0</v>
      </c>
      <c r="AZ12" s="92" t="n">
        <f aca="true">IF($D12="","",IFERROR(COUNTIF(INDIRECT("'"&amp;$D12&amp;"'!$AN$7:$AN$500"),"Pass"),0))</f>
        <v>0</v>
      </c>
      <c r="BA12" s="92" t="n">
        <f aca="true">IF($D12="","",IFERROR(COUNTIF(INDIRECT("'"&amp;$D12&amp;"'!$AN$7:$AN$500"),"Fail"),0))</f>
        <v>0</v>
      </c>
      <c r="BB12" s="92" t="n">
        <f aca="true">IF($D12="","",IFERROR(COUNTIF(INDIRECT("'"&amp;$D12&amp;"'!$AN$7:$AN$500"),"Block"),0))</f>
        <v>0</v>
      </c>
      <c r="BC12" s="1" t="n">
        <f aca="true">IF($D12="","",IFERROR(COUNTIF(INDIRECT("'"&amp;$D12&amp;"'!$AN$7:$AN$500"),"N/A"),0))</f>
        <v>0</v>
      </c>
    </row>
    <row r="13" customFormat="false" ht="15" hidden="false" customHeight="true" outlineLevel="0" collapsed="false">
      <c r="B13" s="87" t="n">
        <f aca="false">IF($D13="","",ROW()-3)</f>
        <v>10</v>
      </c>
      <c r="C13" s="88" t="s">
        <v>213</v>
      </c>
      <c r="D13" s="88" t="s">
        <v>214</v>
      </c>
      <c r="E13" s="89" t="s">
        <v>214</v>
      </c>
      <c r="F13" s="87" t="n">
        <f aca="true">IF($D13="","",IFERROR(COUNTIF(INDIRECT("'"&amp;$D13&amp;"'!$A$7:$A$500"),"?*"),0))</f>
        <v>17</v>
      </c>
      <c r="G13" s="87" t="n">
        <f aca="true">IF($D13="","",IFERROR(COUNTIF(INDIRECT("'"&amp;$D13&amp;"'!$AT$7:$AT$500"),"Pass"),0))</f>
        <v>0</v>
      </c>
      <c r="H13" s="87" t="n">
        <f aca="true">IF($D13="","",IFERROR(COUNTIF(INDIRECT("'"&amp;$D13&amp;"'!$AT$7:$AT$500"),"Fail"),0))</f>
        <v>0</v>
      </c>
      <c r="I13" s="87" t="n">
        <f aca="true">IF($D13="","",IFERROR(COUNTIF(INDIRECT("'"&amp;$D13&amp;"'!$AT$7:$AT$500"),"Block"),0))</f>
        <v>0</v>
      </c>
      <c r="J13" s="87" t="n">
        <f aca="true">IF($D13="","",IFERROR(COUNTIF(INDIRECT("'"&amp;$D13&amp;"'!$AT$7:$AT$500"),"N/A"),0))</f>
        <v>0</v>
      </c>
      <c r="K13" s="87" t="n">
        <f aca="false">IF($D13="","",MAX(0,$F13-$G13-$H13-$I13-$J13))</f>
        <v>17</v>
      </c>
      <c r="L13" s="87" t="n">
        <f aca="false">IF($D13="","",$G13+$H13+$I13+$J13)</f>
        <v>0</v>
      </c>
      <c r="M13" s="90" t="n">
        <f aca="false">IF($D13="","",IFERROR($L13/$F13,0))</f>
        <v>0</v>
      </c>
      <c r="N13" s="90" t="n">
        <f aca="false">IF($D13="","",IFERROR($G13/$L13,0))</f>
        <v>0</v>
      </c>
      <c r="O13" s="87" t="n">
        <f aca="true">IF($D13="","",IFERROR(COUNTIF(INDIRECT("'"&amp;$D13&amp;"'!$E$7:$E$500"),"High"),0))</f>
        <v>2</v>
      </c>
      <c r="P13" s="87" t="n">
        <f aca="true">IF($D13="","",IFERROR(COUNTIF(INDIRECT("'"&amp;$D13&amp;"'!$E$7:$E$500"),"Medium"),0))</f>
        <v>9</v>
      </c>
      <c r="Q13" s="87" t="n">
        <f aca="true">IF($D13="","",IFERROR(COUNTIF(INDIRECT("'"&amp;$D13&amp;"'!$E$7:$E$500"),"Low"),0))</f>
        <v>6</v>
      </c>
      <c r="R13" s="87" t="n">
        <f aca="true">IF($D13="","",IFERROR(COUNTIF(INDIRECT("'"&amp;$D13&amp;"'!$D$7:$D$500"),"Functional"),0))</f>
        <v>14</v>
      </c>
      <c r="S13" s="87" t="n">
        <f aca="true">IF($D13="","",IFERROR(COUNTIF(INDIRECT("'"&amp;$D13&amp;"'!$D$7:$D$500"),"UI"),0))</f>
        <v>3</v>
      </c>
      <c r="T13" s="87" t="n">
        <f aca="true">IF($D13="","",IFERROR(COUNTIF(INDIRECT("'"&amp;$D13&amp;"'!$D$7:$D$500"),"Integration"),0))</f>
        <v>0</v>
      </c>
      <c r="U13" s="87" t="n">
        <f aca="true">IF($D13="","",IFERROR(COUNTIF(INDIRECT("'"&amp;$D13&amp;"'!$D$7:$D$500"),"Database Test Case"),0))</f>
        <v>0</v>
      </c>
      <c r="V13" s="87" t="n">
        <f aca="true">IF($D13="","",IFERROR(COUNTIF(INDIRECT("'"&amp;$D13&amp;"'!$J$7:$J$500"),"AI"),0))</f>
        <v>17</v>
      </c>
      <c r="W13" s="87" t="n">
        <f aca="true">IF($D13="","",IFERROR(COUNTIF(INDIRECT("'"&amp;$D13&amp;"'!$J$7:$J$500"),"QC"),0))</f>
        <v>0</v>
      </c>
      <c r="X13" s="87" t="n">
        <f aca="true">IF($D13="","",IFERROR(COUNTIF(INDIRECT("'"&amp;$D13&amp;"'!$L$7:$L$500"),"Yes"),0))</f>
        <v>0</v>
      </c>
      <c r="Y13" s="87" t="n">
        <f aca="true">IF($D13="","",IFERROR(COUNTIF(INDIRECT("'"&amp;$D13&amp;"'!$AR$7:$AR$500"),"Yes"),0))</f>
        <v>0</v>
      </c>
      <c r="Z13" s="87" t="n">
        <f aca="true">IF($D13="","",IFERROR(COUNTIF(INDIRECT("'"&amp;$D13&amp;"'!$AS$7:$AS$500"),"Pass"),0))</f>
        <v>0</v>
      </c>
      <c r="AA13" s="87" t="n">
        <f aca="true">IF($D13="","",IFERROR(COUNTIF(INDIRECT("'"&amp;$D13&amp;"'!$K$7:$K$500"),"Reviewed"),0))</f>
        <v>0</v>
      </c>
      <c r="AB13" s="91" t="n">
        <f aca="true">IF($D13="","",IFERROR(COUNTIFS(INDIRECT("'"&amp;$D13&amp;"'!$E$7:$E$500"),"High",INDIRECT("'"&amp;$D13&amp;"'!$AT$7:$AT$500"),"?*"),0))</f>
        <v>0</v>
      </c>
      <c r="AC13" s="91" t="n">
        <f aca="true">IF($D13="","",IFERROR(COUNTIFS(INDIRECT("'"&amp;$D13&amp;"'!$E$7:$E$500"),"Medium",INDIRECT("'"&amp;$D13&amp;"'!$AT$7:$AT$500"),"?*"),0))</f>
        <v>0</v>
      </c>
      <c r="AD13" s="91" t="n">
        <f aca="true">IF($D13="","",IFERROR(COUNTIFS(INDIRECT("'"&amp;$D13&amp;"'!$E$7:$E$500"),"Low",INDIRECT("'"&amp;$D13&amp;"'!$AT$7:$AT$500"),"?*"),0))</f>
        <v>0</v>
      </c>
      <c r="AE13" s="92" t="n">
        <f aca="true">IF($D13="","",IFERROR(COUNTIF(INDIRECT("'"&amp;$D13&amp;"'!$P$7:$P$500"),"?*"),0))</f>
        <v>0</v>
      </c>
      <c r="AF13" s="92" t="n">
        <f aca="true">IF($D13="","",IFERROR(COUNTIF(INDIRECT("'"&amp;$D13&amp;"'!$P$7:$P$500"),"Pass"),0))</f>
        <v>0</v>
      </c>
      <c r="AG13" s="92" t="n">
        <f aca="true">IF($D13="","",IFERROR(COUNTIF(INDIRECT("'"&amp;$D13&amp;"'!$P$7:$P$500"),"Fail"),0))</f>
        <v>0</v>
      </c>
      <c r="AH13" s="92" t="n">
        <f aca="true">IF($D13="","",IFERROR(COUNTIF(INDIRECT("'"&amp;$D13&amp;"'!$P$7:$P$500"),"Block"),0))</f>
        <v>0</v>
      </c>
      <c r="AI13" s="92" t="n">
        <f aca="true">IF($D13="","",IFERROR(COUNTIF(INDIRECT("'"&amp;$D13&amp;"'!$P$7:$P$500"),"N/A"),0))</f>
        <v>0</v>
      </c>
      <c r="AJ13" s="92" t="n">
        <f aca="true">IF($D13="","",IFERROR(COUNTIF(INDIRECT("'"&amp;$D13&amp;"'!$V$7:$V$500"),"?*"),0))</f>
        <v>0</v>
      </c>
      <c r="AK13" s="92" t="n">
        <f aca="true">IF($D13="","",IFERROR(COUNTIF(INDIRECT("'"&amp;$D13&amp;"'!$V$7:$V$500"),"Pass"),0))</f>
        <v>0</v>
      </c>
      <c r="AL13" s="92" t="n">
        <f aca="true">IF($D13="","",IFERROR(COUNTIF(INDIRECT("'"&amp;$D13&amp;"'!$V$7:$V$500"),"Fail"),0))</f>
        <v>0</v>
      </c>
      <c r="AM13" s="92" t="n">
        <f aca="true">IF($D13="","",IFERROR(COUNTIF(INDIRECT("'"&amp;$D13&amp;"'!$V$7:$V$500"),"Block"),0))</f>
        <v>0</v>
      </c>
      <c r="AN13" s="92" t="n">
        <f aca="true">IF($D13="","",IFERROR(COUNTIF(INDIRECT("'"&amp;$D13&amp;"'!$V$7:$V$500"),"N/A"),0))</f>
        <v>0</v>
      </c>
      <c r="AO13" s="92" t="n">
        <f aca="true">IF($D13="","",IFERROR(COUNTIF(INDIRECT("'"&amp;$D13&amp;"'!$AB$7:$AB$500"),"?*"),0))</f>
        <v>0</v>
      </c>
      <c r="AP13" s="92" t="n">
        <f aca="true">IF($D13="","",IFERROR(COUNTIF(INDIRECT("'"&amp;$D13&amp;"'!$AB$7:$AB$500"),"Pass"),0))</f>
        <v>0</v>
      </c>
      <c r="AQ13" s="92" t="n">
        <f aca="true">IF($D13="","",IFERROR(COUNTIF(INDIRECT("'"&amp;$D13&amp;"'!$AB$7:$AB$500"),"Fail"),0))</f>
        <v>0</v>
      </c>
      <c r="AR13" s="92" t="n">
        <f aca="true">IF($D13="","",IFERROR(COUNTIF(INDIRECT("'"&amp;$D13&amp;"'!$AB$7:$AB$500"),"Block"),0))</f>
        <v>0</v>
      </c>
      <c r="AS13" s="92" t="n">
        <f aca="true">IF($D13="","",IFERROR(COUNTIF(INDIRECT("'"&amp;$D13&amp;"'!$AB$7:$AB$500"),"N/A"),0))</f>
        <v>0</v>
      </c>
      <c r="AT13" s="92" t="n">
        <f aca="true">IF($D13="","",IFERROR(COUNTIF(INDIRECT("'"&amp;$D13&amp;"'!$AH$7:$AH$500"),"?*"),0))</f>
        <v>0</v>
      </c>
      <c r="AU13" s="92" t="n">
        <f aca="true">IF($D13="","",IFERROR(COUNTIF(INDIRECT("'"&amp;$D13&amp;"'!$AH$7:$AH$500"),"Pass"),0))</f>
        <v>0</v>
      </c>
      <c r="AV13" s="92" t="n">
        <f aca="true">IF($D13="","",IFERROR(COUNTIF(INDIRECT("'"&amp;$D13&amp;"'!$AH$7:$AH$500"),"Fail"),0))</f>
        <v>0</v>
      </c>
      <c r="AW13" s="92" t="n">
        <f aca="true">IF($D13="","",IFERROR(COUNTIF(INDIRECT("'"&amp;$D13&amp;"'!$AH$7:$AH$500"),"Block"),0))</f>
        <v>0</v>
      </c>
      <c r="AX13" s="92" t="n">
        <f aca="true">IF($D13="","",IFERROR(COUNTIF(INDIRECT("'"&amp;$D13&amp;"'!$AH$7:$AH$500"),"N/A"),0))</f>
        <v>0</v>
      </c>
      <c r="AY13" s="92" t="n">
        <f aca="true">IF($D13="","",IFERROR(COUNTIF(INDIRECT("'"&amp;$D13&amp;"'!$AN$7:$AN$500"),"?*"),0))</f>
        <v>0</v>
      </c>
      <c r="AZ13" s="92" t="n">
        <f aca="true">IF($D13="","",IFERROR(COUNTIF(INDIRECT("'"&amp;$D13&amp;"'!$AN$7:$AN$500"),"Pass"),0))</f>
        <v>0</v>
      </c>
      <c r="BA13" s="92" t="n">
        <f aca="true">IF($D13="","",IFERROR(COUNTIF(INDIRECT("'"&amp;$D13&amp;"'!$AN$7:$AN$500"),"Fail"),0))</f>
        <v>0</v>
      </c>
      <c r="BB13" s="92" t="n">
        <f aca="true">IF($D13="","",IFERROR(COUNTIF(INDIRECT("'"&amp;$D13&amp;"'!$AN$7:$AN$500"),"Block"),0))</f>
        <v>0</v>
      </c>
      <c r="BC13" s="1" t="n">
        <f aca="true">IF($D13="","",IFERROR(COUNTIF(INDIRECT("'"&amp;$D13&amp;"'!$AN$7:$AN$500"),"N/A"),0))</f>
        <v>0</v>
      </c>
    </row>
    <row r="14" customFormat="false" ht="15" hidden="false" customHeight="true" outlineLevel="0" collapsed="false">
      <c r="B14" s="87" t="n">
        <f aca="false">IF($D14="","",ROW()-3)</f>
        <v>11</v>
      </c>
      <c r="C14" s="88" t="s">
        <v>215</v>
      </c>
      <c r="D14" s="88" t="s">
        <v>216</v>
      </c>
      <c r="E14" s="89" t="s">
        <v>216</v>
      </c>
      <c r="F14" s="87" t="n">
        <f aca="true">IF($D14="","",IFERROR(COUNTIF(INDIRECT("'"&amp;$D14&amp;"'!$A$7:$A$500"),"?*"),0))</f>
        <v>38</v>
      </c>
      <c r="G14" s="87" t="n">
        <f aca="true">IF($D14="","",IFERROR(COUNTIF(INDIRECT("'"&amp;$D14&amp;"'!$AT$7:$AT$500"),"Pass"),0))</f>
        <v>0</v>
      </c>
      <c r="H14" s="87" t="n">
        <f aca="true">IF($D14="","",IFERROR(COUNTIF(INDIRECT("'"&amp;$D14&amp;"'!$AT$7:$AT$500"),"Fail"),0))</f>
        <v>0</v>
      </c>
      <c r="I14" s="87" t="n">
        <f aca="true">IF($D14="","",IFERROR(COUNTIF(INDIRECT("'"&amp;$D14&amp;"'!$AT$7:$AT$500"),"Block"),0))</f>
        <v>0</v>
      </c>
      <c r="J14" s="87" t="n">
        <f aca="true">IF($D14="","",IFERROR(COUNTIF(INDIRECT("'"&amp;$D14&amp;"'!$AT$7:$AT$500"),"N/A"),0))</f>
        <v>0</v>
      </c>
      <c r="K14" s="87" t="n">
        <f aca="false">IF($D14="","",MAX(0,$F14-$G14-$H14-$I14-$J14))</f>
        <v>38</v>
      </c>
      <c r="L14" s="87" t="n">
        <f aca="false">IF($D14="","",$G14+$H14+$I14+$J14)</f>
        <v>0</v>
      </c>
      <c r="M14" s="90" t="n">
        <f aca="false">IF($D14="","",IFERROR($L14/$F14,0))</f>
        <v>0</v>
      </c>
      <c r="N14" s="90" t="n">
        <f aca="false">IF($D14="","",IFERROR($G14/$L14,0))</f>
        <v>0</v>
      </c>
      <c r="O14" s="87" t="n">
        <f aca="true">IF($D14="","",IFERROR(COUNTIF(INDIRECT("'"&amp;$D14&amp;"'!$E$7:$E$500"),"High"),0))</f>
        <v>3</v>
      </c>
      <c r="P14" s="87" t="n">
        <f aca="true">IF($D14="","",IFERROR(COUNTIF(INDIRECT("'"&amp;$D14&amp;"'!$E$7:$E$500"),"Medium"),0))</f>
        <v>30</v>
      </c>
      <c r="Q14" s="87" t="n">
        <f aca="true">IF($D14="","",IFERROR(COUNTIF(INDIRECT("'"&amp;$D14&amp;"'!$E$7:$E$500"),"Low"),0))</f>
        <v>5</v>
      </c>
      <c r="R14" s="87" t="n">
        <f aca="true">IF($D14="","",IFERROR(COUNTIF(INDIRECT("'"&amp;$D14&amp;"'!$D$7:$D$500"),"Functional"),0))</f>
        <v>33</v>
      </c>
      <c r="S14" s="87" t="n">
        <f aca="true">IF($D14="","",IFERROR(COUNTIF(INDIRECT("'"&amp;$D14&amp;"'!$D$7:$D$500"),"UI"),0))</f>
        <v>5</v>
      </c>
      <c r="T14" s="87" t="n">
        <f aca="true">IF($D14="","",IFERROR(COUNTIF(INDIRECT("'"&amp;$D14&amp;"'!$D$7:$D$500"),"Integration"),0))</f>
        <v>0</v>
      </c>
      <c r="U14" s="87" t="n">
        <f aca="true">IF($D14="","",IFERROR(COUNTIF(INDIRECT("'"&amp;$D14&amp;"'!$D$7:$D$500"),"Database Test Case"),0))</f>
        <v>0</v>
      </c>
      <c r="V14" s="87" t="n">
        <f aca="true">IF($D14="","",IFERROR(COUNTIF(INDIRECT("'"&amp;$D14&amp;"'!$J$7:$J$500"),"AI"),0))</f>
        <v>38</v>
      </c>
      <c r="W14" s="87" t="n">
        <f aca="true">IF($D14="","",IFERROR(COUNTIF(INDIRECT("'"&amp;$D14&amp;"'!$J$7:$J$500"),"QC"),0))</f>
        <v>0</v>
      </c>
      <c r="X14" s="87" t="n">
        <f aca="true">IF($D14="","",IFERROR(COUNTIF(INDIRECT("'"&amp;$D14&amp;"'!$L$7:$L$500"),"Yes"),0))</f>
        <v>0</v>
      </c>
      <c r="Y14" s="87" t="n">
        <f aca="true">IF($D14="","",IFERROR(COUNTIF(INDIRECT("'"&amp;$D14&amp;"'!$AR$7:$AR$500"),"Yes"),0))</f>
        <v>0</v>
      </c>
      <c r="Z14" s="87" t="n">
        <f aca="true">IF($D14="","",IFERROR(COUNTIF(INDIRECT("'"&amp;$D14&amp;"'!$AS$7:$AS$500"),"Pass"),0))</f>
        <v>0</v>
      </c>
      <c r="AA14" s="87" t="n">
        <f aca="true">IF($D14="","",IFERROR(COUNTIF(INDIRECT("'"&amp;$D14&amp;"'!$K$7:$K$500"),"Reviewed"),0))</f>
        <v>0</v>
      </c>
      <c r="AB14" s="91" t="n">
        <f aca="true">IF($D14="","",IFERROR(COUNTIFS(INDIRECT("'"&amp;$D14&amp;"'!$E$7:$E$500"),"High",INDIRECT("'"&amp;$D14&amp;"'!$AT$7:$AT$500"),"?*"),0))</f>
        <v>0</v>
      </c>
      <c r="AC14" s="91" t="n">
        <f aca="true">IF($D14="","",IFERROR(COUNTIFS(INDIRECT("'"&amp;$D14&amp;"'!$E$7:$E$500"),"Medium",INDIRECT("'"&amp;$D14&amp;"'!$AT$7:$AT$500"),"?*"),0))</f>
        <v>0</v>
      </c>
      <c r="AD14" s="91" t="n">
        <f aca="true">IF($D14="","",IFERROR(COUNTIFS(INDIRECT("'"&amp;$D14&amp;"'!$E$7:$E$500"),"Low",INDIRECT("'"&amp;$D14&amp;"'!$AT$7:$AT$500"),"?*"),0))</f>
        <v>0</v>
      </c>
      <c r="AE14" s="92" t="n">
        <f aca="true">IF($D14="","",IFERROR(COUNTIF(INDIRECT("'"&amp;$D14&amp;"'!$P$7:$P$500"),"?*"),0))</f>
        <v>0</v>
      </c>
      <c r="AF14" s="92" t="n">
        <f aca="true">IF($D14="","",IFERROR(COUNTIF(INDIRECT("'"&amp;$D14&amp;"'!$P$7:$P$500"),"Pass"),0))</f>
        <v>0</v>
      </c>
      <c r="AG14" s="92" t="n">
        <f aca="true">IF($D14="","",IFERROR(COUNTIF(INDIRECT("'"&amp;$D14&amp;"'!$P$7:$P$500"),"Fail"),0))</f>
        <v>0</v>
      </c>
      <c r="AH14" s="92" t="n">
        <f aca="true">IF($D14="","",IFERROR(COUNTIF(INDIRECT("'"&amp;$D14&amp;"'!$P$7:$P$500"),"Block"),0))</f>
        <v>0</v>
      </c>
      <c r="AI14" s="92" t="n">
        <f aca="true">IF($D14="","",IFERROR(COUNTIF(INDIRECT("'"&amp;$D14&amp;"'!$P$7:$P$500"),"N/A"),0))</f>
        <v>0</v>
      </c>
      <c r="AJ14" s="92" t="n">
        <f aca="true">IF($D14="","",IFERROR(COUNTIF(INDIRECT("'"&amp;$D14&amp;"'!$V$7:$V$500"),"?*"),0))</f>
        <v>0</v>
      </c>
      <c r="AK14" s="92" t="n">
        <f aca="true">IF($D14="","",IFERROR(COUNTIF(INDIRECT("'"&amp;$D14&amp;"'!$V$7:$V$500"),"Pass"),0))</f>
        <v>0</v>
      </c>
      <c r="AL14" s="92" t="n">
        <f aca="true">IF($D14="","",IFERROR(COUNTIF(INDIRECT("'"&amp;$D14&amp;"'!$V$7:$V$500"),"Fail"),0))</f>
        <v>0</v>
      </c>
      <c r="AM14" s="92" t="n">
        <f aca="true">IF($D14="","",IFERROR(COUNTIF(INDIRECT("'"&amp;$D14&amp;"'!$V$7:$V$500"),"Block"),0))</f>
        <v>0</v>
      </c>
      <c r="AN14" s="92" t="n">
        <f aca="true">IF($D14="","",IFERROR(COUNTIF(INDIRECT("'"&amp;$D14&amp;"'!$V$7:$V$500"),"N/A"),0))</f>
        <v>0</v>
      </c>
      <c r="AO14" s="92" t="n">
        <f aca="true">IF($D14="","",IFERROR(COUNTIF(INDIRECT("'"&amp;$D14&amp;"'!$AB$7:$AB$500"),"?*"),0))</f>
        <v>0</v>
      </c>
      <c r="AP14" s="92" t="n">
        <f aca="true">IF($D14="","",IFERROR(COUNTIF(INDIRECT("'"&amp;$D14&amp;"'!$AB$7:$AB$500"),"Pass"),0))</f>
        <v>0</v>
      </c>
      <c r="AQ14" s="92" t="n">
        <f aca="true">IF($D14="","",IFERROR(COUNTIF(INDIRECT("'"&amp;$D14&amp;"'!$AB$7:$AB$500"),"Fail"),0))</f>
        <v>0</v>
      </c>
      <c r="AR14" s="92" t="n">
        <f aca="true">IF($D14="","",IFERROR(COUNTIF(INDIRECT("'"&amp;$D14&amp;"'!$AB$7:$AB$500"),"Block"),0))</f>
        <v>0</v>
      </c>
      <c r="AS14" s="92" t="n">
        <f aca="true">IF($D14="","",IFERROR(COUNTIF(INDIRECT("'"&amp;$D14&amp;"'!$AB$7:$AB$500"),"N/A"),0))</f>
        <v>0</v>
      </c>
      <c r="AT14" s="92" t="n">
        <f aca="true">IF($D14="","",IFERROR(COUNTIF(INDIRECT("'"&amp;$D14&amp;"'!$AH$7:$AH$500"),"?*"),0))</f>
        <v>0</v>
      </c>
      <c r="AU14" s="92" t="n">
        <f aca="true">IF($D14="","",IFERROR(COUNTIF(INDIRECT("'"&amp;$D14&amp;"'!$AH$7:$AH$500"),"Pass"),0))</f>
        <v>0</v>
      </c>
      <c r="AV14" s="92" t="n">
        <f aca="true">IF($D14="","",IFERROR(COUNTIF(INDIRECT("'"&amp;$D14&amp;"'!$AH$7:$AH$500"),"Fail"),0))</f>
        <v>0</v>
      </c>
      <c r="AW14" s="92" t="n">
        <f aca="true">IF($D14="","",IFERROR(COUNTIF(INDIRECT("'"&amp;$D14&amp;"'!$AH$7:$AH$500"),"Block"),0))</f>
        <v>0</v>
      </c>
      <c r="AX14" s="92" t="n">
        <f aca="true">IF($D14="","",IFERROR(COUNTIF(INDIRECT("'"&amp;$D14&amp;"'!$AH$7:$AH$500"),"N/A"),0))</f>
        <v>0</v>
      </c>
      <c r="AY14" s="92" t="n">
        <f aca="true">IF($D14="","",IFERROR(COUNTIF(INDIRECT("'"&amp;$D14&amp;"'!$AN$7:$AN$500"),"?*"),0))</f>
        <v>0</v>
      </c>
      <c r="AZ14" s="92" t="n">
        <f aca="true">IF($D14="","",IFERROR(COUNTIF(INDIRECT("'"&amp;$D14&amp;"'!$AN$7:$AN$500"),"Pass"),0))</f>
        <v>0</v>
      </c>
      <c r="BA14" s="92" t="n">
        <f aca="true">IF($D14="","",IFERROR(COUNTIF(INDIRECT("'"&amp;$D14&amp;"'!$AN$7:$AN$500"),"Fail"),0))</f>
        <v>0</v>
      </c>
      <c r="BB14" s="92" t="n">
        <f aca="true">IF($D14="","",IFERROR(COUNTIF(INDIRECT("'"&amp;$D14&amp;"'!$AN$7:$AN$500"),"Block"),0))</f>
        <v>0</v>
      </c>
      <c r="BC14" s="1" t="n">
        <f aca="true">IF($D14="","",IFERROR(COUNTIF(INDIRECT("'"&amp;$D14&amp;"'!$AN$7:$AN$500"),"N/A"),0))</f>
        <v>0</v>
      </c>
    </row>
    <row r="15" customFormat="false" ht="15" hidden="false" customHeight="true" outlineLevel="0" collapsed="false">
      <c r="B15" s="87" t="str">
        <f aca="false">IF($D15="","",ROW()-3)</f>
        <v/>
      </c>
      <c r="C15" s="88"/>
      <c r="D15" s="88"/>
      <c r="E15" s="89"/>
      <c r="F15" s="87" t="str">
        <f aca="true">IF($D15="","",IFERROR(COUNTIF(INDIRECT("'"&amp;$D15&amp;"'!$A$7:$A$500"),"?*"),0))</f>
        <v/>
      </c>
      <c r="G15" s="87" t="str">
        <f aca="true">IF($D15="","",IFERROR(COUNTIF(INDIRECT("'"&amp;$D15&amp;"'!$AT$7:$AT$500"),"Pass"),0))</f>
        <v/>
      </c>
      <c r="H15" s="87" t="str">
        <f aca="true">IF($D15="","",IFERROR(COUNTIF(INDIRECT("'"&amp;$D15&amp;"'!$AT$7:$AT$500"),"Fail"),0))</f>
        <v/>
      </c>
      <c r="I15" s="87" t="str">
        <f aca="true">IF($D15="","",IFERROR(COUNTIF(INDIRECT("'"&amp;$D15&amp;"'!$AT$7:$AT$500"),"Block"),0))</f>
        <v/>
      </c>
      <c r="J15" s="87" t="str">
        <f aca="true">IF($D15="","",IFERROR(COUNTIF(INDIRECT("'"&amp;$D15&amp;"'!$AT$7:$AT$500"),"N/A"),0))</f>
        <v/>
      </c>
      <c r="K15" s="87" t="str">
        <f aca="false">IF($D15="","",MAX(0,$F15-$G15-$H15-$I15-$J15))</f>
        <v/>
      </c>
      <c r="L15" s="87" t="str">
        <f aca="false">IF($D15="","",$G15+$H15+$I15+$J15)</f>
        <v/>
      </c>
      <c r="M15" s="90" t="str">
        <f aca="false">IF($D15="","",IFERROR($L15/$F15,0))</f>
        <v/>
      </c>
      <c r="N15" s="90" t="str">
        <f aca="false">IF($D15="","",IFERROR($G15/$L15,0))</f>
        <v/>
      </c>
      <c r="O15" s="87" t="str">
        <f aca="true">IF($D15="","",IFERROR(COUNTIF(INDIRECT("'"&amp;$D15&amp;"'!$E$7:$E$500"),"High"),0))</f>
        <v/>
      </c>
      <c r="P15" s="87" t="str">
        <f aca="true">IF($D15="","",IFERROR(COUNTIF(INDIRECT("'"&amp;$D15&amp;"'!$E$7:$E$500"),"Medium"),0))</f>
        <v/>
      </c>
      <c r="Q15" s="87" t="str">
        <f aca="true">IF($D15="","",IFERROR(COUNTIF(INDIRECT("'"&amp;$D15&amp;"'!$E$7:$E$500"),"Low"),0))</f>
        <v/>
      </c>
      <c r="R15" s="87" t="str">
        <f aca="true">IF($D15="","",IFERROR(COUNTIF(INDIRECT("'"&amp;$D15&amp;"'!$D$7:$D$500"),"Functional"),0))</f>
        <v/>
      </c>
      <c r="S15" s="87" t="str">
        <f aca="true">IF($D15="","",IFERROR(COUNTIF(INDIRECT("'"&amp;$D15&amp;"'!$D$7:$D$500"),"UI"),0))</f>
        <v/>
      </c>
      <c r="T15" s="87" t="str">
        <f aca="true">IF($D15="","",IFERROR(COUNTIF(INDIRECT("'"&amp;$D15&amp;"'!$D$7:$D$500"),"Integration"),0))</f>
        <v/>
      </c>
      <c r="U15" s="87" t="str">
        <f aca="true">IF($D15="","",IFERROR(COUNTIF(INDIRECT("'"&amp;$D15&amp;"'!$D$7:$D$500"),"Database Test Case"),0))</f>
        <v/>
      </c>
      <c r="V15" s="87" t="str">
        <f aca="true">IF($D15="","",IFERROR(COUNTIF(INDIRECT("'"&amp;$D15&amp;"'!$J$7:$J$500"),"AI"),0))</f>
        <v/>
      </c>
      <c r="W15" s="87" t="str">
        <f aca="true">IF($D15="","",IFERROR(COUNTIF(INDIRECT("'"&amp;$D15&amp;"'!$J$7:$J$500"),"QC"),0))</f>
        <v/>
      </c>
      <c r="X15" s="87" t="str">
        <f aca="true">IF($D15="","",IFERROR(COUNTIF(INDIRECT("'"&amp;$D15&amp;"'!$L$7:$L$500"),"Yes"),0))</f>
        <v/>
      </c>
      <c r="Y15" s="87" t="str">
        <f aca="true">IF($D15="","",IFERROR(COUNTIF(INDIRECT("'"&amp;$D15&amp;"'!$AR$7:$AR$500"),"Yes"),0))</f>
        <v/>
      </c>
      <c r="Z15" s="87" t="str">
        <f aca="true">IF($D15="","",IFERROR(COUNTIF(INDIRECT("'"&amp;$D15&amp;"'!$AS$7:$AS$500"),"Pass"),0))</f>
        <v/>
      </c>
      <c r="AA15" s="87" t="str">
        <f aca="true">IF($D15="","",IFERROR(COUNTIF(INDIRECT("'"&amp;$D15&amp;"'!$K$7:$K$500"),"Reviewed"),0))</f>
        <v/>
      </c>
      <c r="AB15" s="91" t="str">
        <f aca="true">IF($D15="","",IFERROR(COUNTIFS(INDIRECT("'"&amp;$D15&amp;"'!$E$7:$E$500"),"High",INDIRECT("'"&amp;$D15&amp;"'!$AT$7:$AT$500"),"?*"),0))</f>
        <v/>
      </c>
      <c r="AC15" s="91" t="str">
        <f aca="true">IF($D15="","",IFERROR(COUNTIFS(INDIRECT("'"&amp;$D15&amp;"'!$E$7:$E$500"),"Medium",INDIRECT("'"&amp;$D15&amp;"'!$AT$7:$AT$500"),"?*"),0))</f>
        <v/>
      </c>
      <c r="AD15" s="91" t="str">
        <f aca="true">IF($D15="","",IFERROR(COUNTIFS(INDIRECT("'"&amp;$D15&amp;"'!$E$7:$E$500"),"Low",INDIRECT("'"&amp;$D15&amp;"'!$AT$7:$AT$500"),"?*"),0))</f>
        <v/>
      </c>
      <c r="AE15" s="92" t="str">
        <f aca="true">IF($D15="","",IFERROR(COUNTIF(INDIRECT("'"&amp;$D15&amp;"'!$P$7:$P$500"),"?*"),0))</f>
        <v/>
      </c>
      <c r="AF15" s="92" t="str">
        <f aca="true">IF($D15="","",IFERROR(COUNTIF(INDIRECT("'"&amp;$D15&amp;"'!$P$7:$P$500"),"Pass"),0))</f>
        <v/>
      </c>
      <c r="AG15" s="92" t="str">
        <f aca="true">IF($D15="","",IFERROR(COUNTIF(INDIRECT("'"&amp;$D15&amp;"'!$P$7:$P$500"),"Fail"),0))</f>
        <v/>
      </c>
      <c r="AH15" s="92" t="str">
        <f aca="true">IF($D15="","",IFERROR(COUNTIF(INDIRECT("'"&amp;$D15&amp;"'!$P$7:$P$500"),"Block"),0))</f>
        <v/>
      </c>
      <c r="AI15" s="92" t="str">
        <f aca="true">IF($D15="","",IFERROR(COUNTIF(INDIRECT("'"&amp;$D15&amp;"'!$P$7:$P$500"),"N/A"),0))</f>
        <v/>
      </c>
      <c r="AJ15" s="92" t="str">
        <f aca="true">IF($D15="","",IFERROR(COUNTIF(INDIRECT("'"&amp;$D15&amp;"'!$V$7:$V$500"),"?*"),0))</f>
        <v/>
      </c>
      <c r="AK15" s="92" t="str">
        <f aca="true">IF($D15="","",IFERROR(COUNTIF(INDIRECT("'"&amp;$D15&amp;"'!$V$7:$V$500"),"Pass"),0))</f>
        <v/>
      </c>
      <c r="AL15" s="92" t="str">
        <f aca="true">IF($D15="","",IFERROR(COUNTIF(INDIRECT("'"&amp;$D15&amp;"'!$V$7:$V$500"),"Fail"),0))</f>
        <v/>
      </c>
      <c r="AM15" s="92" t="str">
        <f aca="true">IF($D15="","",IFERROR(COUNTIF(INDIRECT("'"&amp;$D15&amp;"'!$V$7:$V$500"),"Block"),0))</f>
        <v/>
      </c>
      <c r="AN15" s="92" t="str">
        <f aca="true">IF($D15="","",IFERROR(COUNTIF(INDIRECT("'"&amp;$D15&amp;"'!$V$7:$V$500"),"N/A"),0))</f>
        <v/>
      </c>
      <c r="AO15" s="92" t="str">
        <f aca="true">IF($D15="","",IFERROR(COUNTIF(INDIRECT("'"&amp;$D15&amp;"'!$AB$7:$AB$500"),"?*"),0))</f>
        <v/>
      </c>
      <c r="AP15" s="92" t="str">
        <f aca="true">IF($D15="","",IFERROR(COUNTIF(INDIRECT("'"&amp;$D15&amp;"'!$AB$7:$AB$500"),"Pass"),0))</f>
        <v/>
      </c>
      <c r="AQ15" s="92" t="str">
        <f aca="true">IF($D15="","",IFERROR(COUNTIF(INDIRECT("'"&amp;$D15&amp;"'!$AB$7:$AB$500"),"Fail"),0))</f>
        <v/>
      </c>
      <c r="AR15" s="92" t="str">
        <f aca="true">IF($D15="","",IFERROR(COUNTIF(INDIRECT("'"&amp;$D15&amp;"'!$AB$7:$AB$500"),"Block"),0))</f>
        <v/>
      </c>
      <c r="AS15" s="92" t="str">
        <f aca="true">IF($D15="","",IFERROR(COUNTIF(INDIRECT("'"&amp;$D15&amp;"'!$AB$7:$AB$500"),"N/A"),0))</f>
        <v/>
      </c>
      <c r="AT15" s="92" t="str">
        <f aca="true">IF($D15="","",IFERROR(COUNTIF(INDIRECT("'"&amp;$D15&amp;"'!$AH$7:$AH$500"),"?*"),0))</f>
        <v/>
      </c>
      <c r="AU15" s="92" t="str">
        <f aca="true">IF($D15="","",IFERROR(COUNTIF(INDIRECT("'"&amp;$D15&amp;"'!$AH$7:$AH$500"),"Pass"),0))</f>
        <v/>
      </c>
      <c r="AV15" s="92" t="str">
        <f aca="true">IF($D15="","",IFERROR(COUNTIF(INDIRECT("'"&amp;$D15&amp;"'!$AH$7:$AH$500"),"Fail"),0))</f>
        <v/>
      </c>
      <c r="AW15" s="92" t="str">
        <f aca="true">IF($D15="","",IFERROR(COUNTIF(INDIRECT("'"&amp;$D15&amp;"'!$AH$7:$AH$500"),"Block"),0))</f>
        <v/>
      </c>
      <c r="AX15" s="92" t="str">
        <f aca="true">IF($D15="","",IFERROR(COUNTIF(INDIRECT("'"&amp;$D15&amp;"'!$AH$7:$AH$500"),"N/A"),0))</f>
        <v/>
      </c>
      <c r="AY15" s="92" t="str">
        <f aca="true">IF($D15="","",IFERROR(COUNTIF(INDIRECT("'"&amp;$D15&amp;"'!$AN$7:$AN$500"),"?*"),0))</f>
        <v/>
      </c>
      <c r="AZ15" s="92" t="str">
        <f aca="true">IF($D15="","",IFERROR(COUNTIF(INDIRECT("'"&amp;$D15&amp;"'!$AN$7:$AN$500"),"Pass"),0))</f>
        <v/>
      </c>
      <c r="BA15" s="92" t="str">
        <f aca="true">IF($D15="","",IFERROR(COUNTIF(INDIRECT("'"&amp;$D15&amp;"'!$AN$7:$AN$500"),"Fail"),0))</f>
        <v/>
      </c>
      <c r="BB15" s="92" t="str">
        <f aca="true">IF($D15="","",IFERROR(COUNTIF(INDIRECT("'"&amp;$D15&amp;"'!$AN$7:$AN$500"),"Block"),0))</f>
        <v/>
      </c>
      <c r="BC15" s="1" t="str">
        <f aca="true">IF($D15="","",IFERROR(COUNTIF(INDIRECT("'"&amp;$D15&amp;"'!$AN$7:$AN$500"),"N/A"),0))</f>
        <v/>
      </c>
    </row>
    <row r="16" customFormat="false" ht="15" hidden="false" customHeight="true" outlineLevel="0" collapsed="false">
      <c r="B16" s="87" t="str">
        <f aca="false">IF($D16="","",ROW()-3)</f>
        <v/>
      </c>
      <c r="C16" s="88"/>
      <c r="D16" s="88"/>
      <c r="E16" s="89"/>
      <c r="F16" s="87" t="str">
        <f aca="true">IF($D16="","",IFERROR(COUNTIF(INDIRECT("'"&amp;$D16&amp;"'!$A$7:$A$500"),"?*"),0))</f>
        <v/>
      </c>
      <c r="G16" s="87" t="str">
        <f aca="true">IF($D16="","",IFERROR(COUNTIF(INDIRECT("'"&amp;$D16&amp;"'!$AT$7:$AT$500"),"Pass"),0))</f>
        <v/>
      </c>
      <c r="H16" s="87" t="str">
        <f aca="true">IF($D16="","",IFERROR(COUNTIF(INDIRECT("'"&amp;$D16&amp;"'!$AT$7:$AT$500"),"Fail"),0))</f>
        <v/>
      </c>
      <c r="I16" s="87" t="str">
        <f aca="true">IF($D16="","",IFERROR(COUNTIF(INDIRECT("'"&amp;$D16&amp;"'!$AT$7:$AT$500"),"Block"),0))</f>
        <v/>
      </c>
      <c r="J16" s="87" t="str">
        <f aca="true">IF($D16="","",IFERROR(COUNTIF(INDIRECT("'"&amp;$D16&amp;"'!$AT$7:$AT$500"),"N/A"),0))</f>
        <v/>
      </c>
      <c r="K16" s="87" t="str">
        <f aca="false">IF($D16="","",MAX(0,$F16-$G16-$H16-$I16-$J16))</f>
        <v/>
      </c>
      <c r="L16" s="87" t="str">
        <f aca="false">IF($D16="","",$G16+$H16+$I16+$J16)</f>
        <v/>
      </c>
      <c r="M16" s="90" t="str">
        <f aca="false">IF($D16="","",IFERROR($L16/$F16,0))</f>
        <v/>
      </c>
      <c r="N16" s="90" t="str">
        <f aca="false">IF($D16="","",IFERROR($G16/$L16,0))</f>
        <v/>
      </c>
      <c r="O16" s="87" t="str">
        <f aca="true">IF($D16="","",IFERROR(COUNTIF(INDIRECT("'"&amp;$D16&amp;"'!$E$7:$E$500"),"High"),0))</f>
        <v/>
      </c>
      <c r="P16" s="87" t="str">
        <f aca="true">IF($D16="","",IFERROR(COUNTIF(INDIRECT("'"&amp;$D16&amp;"'!$E$7:$E$500"),"Medium"),0))</f>
        <v/>
      </c>
      <c r="Q16" s="87" t="str">
        <f aca="true">IF($D16="","",IFERROR(COUNTIF(INDIRECT("'"&amp;$D16&amp;"'!$E$7:$E$500"),"Low"),0))</f>
        <v/>
      </c>
      <c r="R16" s="87" t="str">
        <f aca="true">IF($D16="","",IFERROR(COUNTIF(INDIRECT("'"&amp;$D16&amp;"'!$D$7:$D$500"),"Functional"),0))</f>
        <v/>
      </c>
      <c r="S16" s="87" t="str">
        <f aca="true">IF($D16="","",IFERROR(COUNTIF(INDIRECT("'"&amp;$D16&amp;"'!$D$7:$D$500"),"UI"),0))</f>
        <v/>
      </c>
      <c r="T16" s="87" t="str">
        <f aca="true">IF($D16="","",IFERROR(COUNTIF(INDIRECT("'"&amp;$D16&amp;"'!$D$7:$D$500"),"Integration"),0))</f>
        <v/>
      </c>
      <c r="U16" s="87" t="str">
        <f aca="true">IF($D16="","",IFERROR(COUNTIF(INDIRECT("'"&amp;$D16&amp;"'!$D$7:$D$500"),"Database Test Case"),0))</f>
        <v/>
      </c>
      <c r="V16" s="87" t="str">
        <f aca="true">IF($D16="","",IFERROR(COUNTIF(INDIRECT("'"&amp;$D16&amp;"'!$J$7:$J$500"),"AI"),0))</f>
        <v/>
      </c>
      <c r="W16" s="87" t="str">
        <f aca="true">IF($D16="","",IFERROR(COUNTIF(INDIRECT("'"&amp;$D16&amp;"'!$J$7:$J$500"),"QC"),0))</f>
        <v/>
      </c>
      <c r="X16" s="87" t="str">
        <f aca="true">IF($D16="","",IFERROR(COUNTIF(INDIRECT("'"&amp;$D16&amp;"'!$L$7:$L$500"),"Yes"),0))</f>
        <v/>
      </c>
      <c r="Y16" s="87" t="str">
        <f aca="true">IF($D16="","",IFERROR(COUNTIF(INDIRECT("'"&amp;$D16&amp;"'!$AR$7:$AR$500"),"Yes"),0))</f>
        <v/>
      </c>
      <c r="Z16" s="87" t="str">
        <f aca="true">IF($D16="","",IFERROR(COUNTIF(INDIRECT("'"&amp;$D16&amp;"'!$AS$7:$AS$500"),"Pass"),0))</f>
        <v/>
      </c>
      <c r="AA16" s="87" t="str">
        <f aca="true">IF($D16="","",IFERROR(COUNTIF(INDIRECT("'"&amp;$D16&amp;"'!$K$7:$K$500"),"Reviewed"),0))</f>
        <v/>
      </c>
      <c r="AB16" s="91" t="str">
        <f aca="true">IF($D16="","",IFERROR(COUNTIFS(INDIRECT("'"&amp;$D16&amp;"'!$E$7:$E$500"),"High",INDIRECT("'"&amp;$D16&amp;"'!$AT$7:$AT$500"),"?*"),0))</f>
        <v/>
      </c>
      <c r="AC16" s="91" t="str">
        <f aca="true">IF($D16="","",IFERROR(COUNTIFS(INDIRECT("'"&amp;$D16&amp;"'!$E$7:$E$500"),"Medium",INDIRECT("'"&amp;$D16&amp;"'!$AT$7:$AT$500"),"?*"),0))</f>
        <v/>
      </c>
      <c r="AD16" s="91" t="str">
        <f aca="true">IF($D16="","",IFERROR(COUNTIFS(INDIRECT("'"&amp;$D16&amp;"'!$E$7:$E$500"),"Low",INDIRECT("'"&amp;$D16&amp;"'!$AT$7:$AT$500"),"?*"),0))</f>
        <v/>
      </c>
      <c r="AE16" s="92" t="str">
        <f aca="true">IF($D16="","",IFERROR(COUNTIF(INDIRECT("'"&amp;$D16&amp;"'!$P$7:$P$500"),"?*"),0))</f>
        <v/>
      </c>
      <c r="AF16" s="92" t="str">
        <f aca="true">IF($D16="","",IFERROR(COUNTIF(INDIRECT("'"&amp;$D16&amp;"'!$P$7:$P$500"),"Pass"),0))</f>
        <v/>
      </c>
      <c r="AG16" s="92" t="str">
        <f aca="true">IF($D16="","",IFERROR(COUNTIF(INDIRECT("'"&amp;$D16&amp;"'!$P$7:$P$500"),"Fail"),0))</f>
        <v/>
      </c>
      <c r="AH16" s="92" t="str">
        <f aca="true">IF($D16="","",IFERROR(COUNTIF(INDIRECT("'"&amp;$D16&amp;"'!$P$7:$P$500"),"Block"),0))</f>
        <v/>
      </c>
      <c r="AI16" s="92" t="str">
        <f aca="true">IF($D16="","",IFERROR(COUNTIF(INDIRECT("'"&amp;$D16&amp;"'!$P$7:$P$500"),"N/A"),0))</f>
        <v/>
      </c>
      <c r="AJ16" s="92" t="str">
        <f aca="true">IF($D16="","",IFERROR(COUNTIF(INDIRECT("'"&amp;$D16&amp;"'!$V$7:$V$500"),"?*"),0))</f>
        <v/>
      </c>
      <c r="AK16" s="92" t="str">
        <f aca="true">IF($D16="","",IFERROR(COUNTIF(INDIRECT("'"&amp;$D16&amp;"'!$V$7:$V$500"),"Pass"),0))</f>
        <v/>
      </c>
      <c r="AL16" s="92" t="str">
        <f aca="true">IF($D16="","",IFERROR(COUNTIF(INDIRECT("'"&amp;$D16&amp;"'!$V$7:$V$500"),"Fail"),0))</f>
        <v/>
      </c>
      <c r="AM16" s="92" t="str">
        <f aca="true">IF($D16="","",IFERROR(COUNTIF(INDIRECT("'"&amp;$D16&amp;"'!$V$7:$V$500"),"Block"),0))</f>
        <v/>
      </c>
      <c r="AN16" s="92" t="str">
        <f aca="true">IF($D16="","",IFERROR(COUNTIF(INDIRECT("'"&amp;$D16&amp;"'!$V$7:$V$500"),"N/A"),0))</f>
        <v/>
      </c>
      <c r="AO16" s="92" t="str">
        <f aca="true">IF($D16="","",IFERROR(COUNTIF(INDIRECT("'"&amp;$D16&amp;"'!$AB$7:$AB$500"),"?*"),0))</f>
        <v/>
      </c>
      <c r="AP16" s="92" t="str">
        <f aca="true">IF($D16="","",IFERROR(COUNTIF(INDIRECT("'"&amp;$D16&amp;"'!$AB$7:$AB$500"),"Pass"),0))</f>
        <v/>
      </c>
      <c r="AQ16" s="92" t="str">
        <f aca="true">IF($D16="","",IFERROR(COUNTIF(INDIRECT("'"&amp;$D16&amp;"'!$AB$7:$AB$500"),"Fail"),0))</f>
        <v/>
      </c>
      <c r="AR16" s="92" t="str">
        <f aca="true">IF($D16="","",IFERROR(COUNTIF(INDIRECT("'"&amp;$D16&amp;"'!$AB$7:$AB$500"),"Block"),0))</f>
        <v/>
      </c>
      <c r="AS16" s="92" t="str">
        <f aca="true">IF($D16="","",IFERROR(COUNTIF(INDIRECT("'"&amp;$D16&amp;"'!$AB$7:$AB$500"),"N/A"),0))</f>
        <v/>
      </c>
      <c r="AT16" s="92" t="str">
        <f aca="true">IF($D16="","",IFERROR(COUNTIF(INDIRECT("'"&amp;$D16&amp;"'!$AH$7:$AH$500"),"?*"),0))</f>
        <v/>
      </c>
      <c r="AU16" s="92" t="str">
        <f aca="true">IF($D16="","",IFERROR(COUNTIF(INDIRECT("'"&amp;$D16&amp;"'!$AH$7:$AH$500"),"Pass"),0))</f>
        <v/>
      </c>
      <c r="AV16" s="92" t="str">
        <f aca="true">IF($D16="","",IFERROR(COUNTIF(INDIRECT("'"&amp;$D16&amp;"'!$AH$7:$AH$500"),"Fail"),0))</f>
        <v/>
      </c>
      <c r="AW16" s="92" t="str">
        <f aca="true">IF($D16="","",IFERROR(COUNTIF(INDIRECT("'"&amp;$D16&amp;"'!$AH$7:$AH$500"),"Block"),0))</f>
        <v/>
      </c>
      <c r="AX16" s="92" t="str">
        <f aca="true">IF($D16="","",IFERROR(COUNTIF(INDIRECT("'"&amp;$D16&amp;"'!$AH$7:$AH$500"),"N/A"),0))</f>
        <v/>
      </c>
      <c r="AY16" s="92" t="str">
        <f aca="true">IF($D16="","",IFERROR(COUNTIF(INDIRECT("'"&amp;$D16&amp;"'!$AN$7:$AN$500"),"?*"),0))</f>
        <v/>
      </c>
      <c r="AZ16" s="92" t="str">
        <f aca="true">IF($D16="","",IFERROR(COUNTIF(INDIRECT("'"&amp;$D16&amp;"'!$AN$7:$AN$500"),"Pass"),0))</f>
        <v/>
      </c>
      <c r="BA16" s="92" t="str">
        <f aca="true">IF($D16="","",IFERROR(COUNTIF(INDIRECT("'"&amp;$D16&amp;"'!$AN$7:$AN$500"),"Fail"),0))</f>
        <v/>
      </c>
      <c r="BB16" s="92" t="str">
        <f aca="true">IF($D16="","",IFERROR(COUNTIF(INDIRECT("'"&amp;$D16&amp;"'!$AN$7:$AN$500"),"Block"),0))</f>
        <v/>
      </c>
      <c r="BC16" s="1" t="str">
        <f aca="true">IF($D16="","",IFERROR(COUNTIF(INDIRECT("'"&amp;$D16&amp;"'!$AN$7:$AN$500"),"N/A"),0))</f>
        <v/>
      </c>
    </row>
    <row r="17" customFormat="false" ht="15" hidden="false" customHeight="true" outlineLevel="0" collapsed="false">
      <c r="B17" s="87" t="str">
        <f aca="false">IF($D17="","",ROW()-3)</f>
        <v/>
      </c>
      <c r="C17" s="88"/>
      <c r="D17" s="88"/>
      <c r="E17" s="89"/>
      <c r="F17" s="87" t="str">
        <f aca="true">IF($D17="","",IFERROR(COUNTIF(INDIRECT("'"&amp;$D17&amp;"'!$A$7:$A$500"),"?*"),0))</f>
        <v/>
      </c>
      <c r="G17" s="87" t="str">
        <f aca="true">IF($D17="","",IFERROR(COUNTIF(INDIRECT("'"&amp;$D17&amp;"'!$AT$7:$AT$500"),"Pass"),0))</f>
        <v/>
      </c>
      <c r="H17" s="87" t="str">
        <f aca="true">IF($D17="","",IFERROR(COUNTIF(INDIRECT("'"&amp;$D17&amp;"'!$AT$7:$AT$500"),"Fail"),0))</f>
        <v/>
      </c>
      <c r="I17" s="87" t="str">
        <f aca="true">IF($D17="","",IFERROR(COUNTIF(INDIRECT("'"&amp;$D17&amp;"'!$AT$7:$AT$500"),"Block"),0))</f>
        <v/>
      </c>
      <c r="J17" s="87" t="str">
        <f aca="true">IF($D17="","",IFERROR(COUNTIF(INDIRECT("'"&amp;$D17&amp;"'!$AT$7:$AT$500"),"N/A"),0))</f>
        <v/>
      </c>
      <c r="K17" s="87" t="str">
        <f aca="false">IF($D17="","",MAX(0,$F17-$G17-$H17-$I17-$J17))</f>
        <v/>
      </c>
      <c r="L17" s="87" t="str">
        <f aca="false">IF($D17="","",$G17+$H17+$I17+$J17)</f>
        <v/>
      </c>
      <c r="M17" s="90" t="str">
        <f aca="false">IF($D17="","",IFERROR($L17/$F17,0))</f>
        <v/>
      </c>
      <c r="N17" s="90" t="str">
        <f aca="false">IF($D17="","",IFERROR($G17/$L17,0))</f>
        <v/>
      </c>
      <c r="O17" s="87" t="str">
        <f aca="true">IF($D17="","",IFERROR(COUNTIF(INDIRECT("'"&amp;$D17&amp;"'!$E$7:$E$500"),"High"),0))</f>
        <v/>
      </c>
      <c r="P17" s="87" t="str">
        <f aca="true">IF($D17="","",IFERROR(COUNTIF(INDIRECT("'"&amp;$D17&amp;"'!$E$7:$E$500"),"Medium"),0))</f>
        <v/>
      </c>
      <c r="Q17" s="87" t="str">
        <f aca="true">IF($D17="","",IFERROR(COUNTIF(INDIRECT("'"&amp;$D17&amp;"'!$E$7:$E$500"),"Low"),0))</f>
        <v/>
      </c>
      <c r="R17" s="87" t="str">
        <f aca="true">IF($D17="","",IFERROR(COUNTIF(INDIRECT("'"&amp;$D17&amp;"'!$D$7:$D$500"),"Functional"),0))</f>
        <v/>
      </c>
      <c r="S17" s="87" t="str">
        <f aca="true">IF($D17="","",IFERROR(COUNTIF(INDIRECT("'"&amp;$D17&amp;"'!$D$7:$D$500"),"UI"),0))</f>
        <v/>
      </c>
      <c r="T17" s="87" t="str">
        <f aca="true">IF($D17="","",IFERROR(COUNTIF(INDIRECT("'"&amp;$D17&amp;"'!$D$7:$D$500"),"Integration"),0))</f>
        <v/>
      </c>
      <c r="U17" s="87" t="str">
        <f aca="true">IF($D17="","",IFERROR(COUNTIF(INDIRECT("'"&amp;$D17&amp;"'!$D$7:$D$500"),"Database Test Case"),0))</f>
        <v/>
      </c>
      <c r="V17" s="87" t="str">
        <f aca="true">IF($D17="","",IFERROR(COUNTIF(INDIRECT("'"&amp;$D17&amp;"'!$J$7:$J$500"),"AI"),0))</f>
        <v/>
      </c>
      <c r="W17" s="87" t="str">
        <f aca="true">IF($D17="","",IFERROR(COUNTIF(INDIRECT("'"&amp;$D17&amp;"'!$J$7:$J$500"),"QC"),0))</f>
        <v/>
      </c>
      <c r="X17" s="87" t="str">
        <f aca="true">IF($D17="","",IFERROR(COUNTIF(INDIRECT("'"&amp;$D17&amp;"'!$L$7:$L$500"),"Yes"),0))</f>
        <v/>
      </c>
      <c r="Y17" s="87" t="str">
        <f aca="true">IF($D17="","",IFERROR(COUNTIF(INDIRECT("'"&amp;$D17&amp;"'!$AR$7:$AR$500"),"Yes"),0))</f>
        <v/>
      </c>
      <c r="Z17" s="87" t="str">
        <f aca="true">IF($D17="","",IFERROR(COUNTIF(INDIRECT("'"&amp;$D17&amp;"'!$AS$7:$AS$500"),"Pass"),0))</f>
        <v/>
      </c>
      <c r="AA17" s="87" t="str">
        <f aca="true">IF($D17="","",IFERROR(COUNTIF(INDIRECT("'"&amp;$D17&amp;"'!$K$7:$K$500"),"Reviewed"),0))</f>
        <v/>
      </c>
      <c r="AB17" s="91" t="str">
        <f aca="true">IF($D17="","",IFERROR(COUNTIFS(INDIRECT("'"&amp;$D17&amp;"'!$E$7:$E$500"),"High",INDIRECT("'"&amp;$D17&amp;"'!$AT$7:$AT$500"),"?*"),0))</f>
        <v/>
      </c>
      <c r="AC17" s="91" t="str">
        <f aca="true">IF($D17="","",IFERROR(COUNTIFS(INDIRECT("'"&amp;$D17&amp;"'!$E$7:$E$500"),"Medium",INDIRECT("'"&amp;$D17&amp;"'!$AT$7:$AT$500"),"?*"),0))</f>
        <v/>
      </c>
      <c r="AD17" s="91" t="str">
        <f aca="true">IF($D17="","",IFERROR(COUNTIFS(INDIRECT("'"&amp;$D17&amp;"'!$E$7:$E$500"),"Low",INDIRECT("'"&amp;$D17&amp;"'!$AT$7:$AT$500"),"?*"),0))</f>
        <v/>
      </c>
      <c r="AE17" s="92" t="str">
        <f aca="true">IF($D17="","",IFERROR(COUNTIF(INDIRECT("'"&amp;$D17&amp;"'!$P$7:$P$500"),"?*"),0))</f>
        <v/>
      </c>
      <c r="AF17" s="92" t="str">
        <f aca="true">IF($D17="","",IFERROR(COUNTIF(INDIRECT("'"&amp;$D17&amp;"'!$P$7:$P$500"),"Pass"),0))</f>
        <v/>
      </c>
      <c r="AG17" s="92" t="str">
        <f aca="true">IF($D17="","",IFERROR(COUNTIF(INDIRECT("'"&amp;$D17&amp;"'!$P$7:$P$500"),"Fail"),0))</f>
        <v/>
      </c>
      <c r="AH17" s="92" t="str">
        <f aca="true">IF($D17="","",IFERROR(COUNTIF(INDIRECT("'"&amp;$D17&amp;"'!$P$7:$P$500"),"Block"),0))</f>
        <v/>
      </c>
      <c r="AI17" s="92" t="str">
        <f aca="true">IF($D17="","",IFERROR(COUNTIF(INDIRECT("'"&amp;$D17&amp;"'!$P$7:$P$500"),"N/A"),0))</f>
        <v/>
      </c>
      <c r="AJ17" s="92" t="str">
        <f aca="true">IF($D17="","",IFERROR(COUNTIF(INDIRECT("'"&amp;$D17&amp;"'!$V$7:$V$500"),"?*"),0))</f>
        <v/>
      </c>
      <c r="AK17" s="92" t="str">
        <f aca="true">IF($D17="","",IFERROR(COUNTIF(INDIRECT("'"&amp;$D17&amp;"'!$V$7:$V$500"),"Pass"),0))</f>
        <v/>
      </c>
      <c r="AL17" s="92" t="str">
        <f aca="true">IF($D17="","",IFERROR(COUNTIF(INDIRECT("'"&amp;$D17&amp;"'!$V$7:$V$500"),"Fail"),0))</f>
        <v/>
      </c>
      <c r="AM17" s="92" t="str">
        <f aca="true">IF($D17="","",IFERROR(COUNTIF(INDIRECT("'"&amp;$D17&amp;"'!$V$7:$V$500"),"Block"),0))</f>
        <v/>
      </c>
      <c r="AN17" s="92" t="str">
        <f aca="true">IF($D17="","",IFERROR(COUNTIF(INDIRECT("'"&amp;$D17&amp;"'!$V$7:$V$500"),"N/A"),0))</f>
        <v/>
      </c>
      <c r="AO17" s="92" t="str">
        <f aca="true">IF($D17="","",IFERROR(COUNTIF(INDIRECT("'"&amp;$D17&amp;"'!$AB$7:$AB$500"),"?*"),0))</f>
        <v/>
      </c>
      <c r="AP17" s="92" t="str">
        <f aca="true">IF($D17="","",IFERROR(COUNTIF(INDIRECT("'"&amp;$D17&amp;"'!$AB$7:$AB$500"),"Pass"),0))</f>
        <v/>
      </c>
      <c r="AQ17" s="92" t="str">
        <f aca="true">IF($D17="","",IFERROR(COUNTIF(INDIRECT("'"&amp;$D17&amp;"'!$AB$7:$AB$500"),"Fail"),0))</f>
        <v/>
      </c>
      <c r="AR17" s="92" t="str">
        <f aca="true">IF($D17="","",IFERROR(COUNTIF(INDIRECT("'"&amp;$D17&amp;"'!$AB$7:$AB$500"),"Block"),0))</f>
        <v/>
      </c>
      <c r="AS17" s="92" t="str">
        <f aca="true">IF($D17="","",IFERROR(COUNTIF(INDIRECT("'"&amp;$D17&amp;"'!$AB$7:$AB$500"),"N/A"),0))</f>
        <v/>
      </c>
      <c r="AT17" s="92" t="str">
        <f aca="true">IF($D17="","",IFERROR(COUNTIF(INDIRECT("'"&amp;$D17&amp;"'!$AH$7:$AH$500"),"?*"),0))</f>
        <v/>
      </c>
      <c r="AU17" s="92" t="str">
        <f aca="true">IF($D17="","",IFERROR(COUNTIF(INDIRECT("'"&amp;$D17&amp;"'!$AH$7:$AH$500"),"Pass"),0))</f>
        <v/>
      </c>
      <c r="AV17" s="92" t="str">
        <f aca="true">IF($D17="","",IFERROR(COUNTIF(INDIRECT("'"&amp;$D17&amp;"'!$AH$7:$AH$500"),"Fail"),0))</f>
        <v/>
      </c>
      <c r="AW17" s="92" t="str">
        <f aca="true">IF($D17="","",IFERROR(COUNTIF(INDIRECT("'"&amp;$D17&amp;"'!$AH$7:$AH$500"),"Block"),0))</f>
        <v/>
      </c>
      <c r="AX17" s="92" t="str">
        <f aca="true">IF($D17="","",IFERROR(COUNTIF(INDIRECT("'"&amp;$D17&amp;"'!$AH$7:$AH$500"),"N/A"),0))</f>
        <v/>
      </c>
      <c r="AY17" s="92" t="str">
        <f aca="true">IF($D17="","",IFERROR(COUNTIF(INDIRECT("'"&amp;$D17&amp;"'!$AN$7:$AN$500"),"?*"),0))</f>
        <v/>
      </c>
      <c r="AZ17" s="92" t="str">
        <f aca="true">IF($D17="","",IFERROR(COUNTIF(INDIRECT("'"&amp;$D17&amp;"'!$AN$7:$AN$500"),"Pass"),0))</f>
        <v/>
      </c>
      <c r="BA17" s="92" t="str">
        <f aca="true">IF($D17="","",IFERROR(COUNTIF(INDIRECT("'"&amp;$D17&amp;"'!$AN$7:$AN$500"),"Fail"),0))</f>
        <v/>
      </c>
      <c r="BB17" s="92" t="str">
        <f aca="true">IF($D17="","",IFERROR(COUNTIF(INDIRECT("'"&amp;$D17&amp;"'!$AN$7:$AN$500"),"Block"),0))</f>
        <v/>
      </c>
      <c r="BC17" s="1" t="str">
        <f aca="true">IF($D17="","",IFERROR(COUNTIF(INDIRECT("'"&amp;$D17&amp;"'!$AN$7:$AN$500"),"N/A"),0))</f>
        <v/>
      </c>
    </row>
    <row r="18" customFormat="false" ht="15" hidden="false" customHeight="true" outlineLevel="0" collapsed="false">
      <c r="B18" s="87" t="str">
        <f aca="false">IF($D18="","",ROW()-3)</f>
        <v/>
      </c>
      <c r="C18" s="88"/>
      <c r="D18" s="88"/>
      <c r="E18" s="89"/>
      <c r="F18" s="87" t="str">
        <f aca="true">IF($D18="","",IFERROR(COUNTIF(INDIRECT("'"&amp;$D18&amp;"'!$A$7:$A$500"),"?*"),0))</f>
        <v/>
      </c>
      <c r="G18" s="87" t="str">
        <f aca="true">IF($D18="","",IFERROR(COUNTIF(INDIRECT("'"&amp;$D18&amp;"'!$AT$7:$AT$500"),"Pass"),0))</f>
        <v/>
      </c>
      <c r="H18" s="87" t="str">
        <f aca="true">IF($D18="","",IFERROR(COUNTIF(INDIRECT("'"&amp;$D18&amp;"'!$AT$7:$AT$500"),"Fail"),0))</f>
        <v/>
      </c>
      <c r="I18" s="87" t="str">
        <f aca="true">IF($D18="","",IFERROR(COUNTIF(INDIRECT("'"&amp;$D18&amp;"'!$AT$7:$AT$500"),"Block"),0))</f>
        <v/>
      </c>
      <c r="J18" s="87" t="str">
        <f aca="true">IF($D18="","",IFERROR(COUNTIF(INDIRECT("'"&amp;$D18&amp;"'!$AT$7:$AT$500"),"N/A"),0))</f>
        <v/>
      </c>
      <c r="K18" s="87" t="str">
        <f aca="false">IF($D18="","",MAX(0,$F18-$G18-$H18-$I18-$J18))</f>
        <v/>
      </c>
      <c r="L18" s="87" t="str">
        <f aca="false">IF($D18="","",$G18+$H18+$I18+$J18)</f>
        <v/>
      </c>
      <c r="M18" s="90" t="str">
        <f aca="false">IF($D18="","",IFERROR($L18/$F18,0))</f>
        <v/>
      </c>
      <c r="N18" s="90" t="str">
        <f aca="false">IF($D18="","",IFERROR($G18/$L18,0))</f>
        <v/>
      </c>
      <c r="O18" s="87" t="str">
        <f aca="true">IF($D18="","",IFERROR(COUNTIF(INDIRECT("'"&amp;$D18&amp;"'!$E$7:$E$500"),"High"),0))</f>
        <v/>
      </c>
      <c r="P18" s="87" t="str">
        <f aca="true">IF($D18="","",IFERROR(COUNTIF(INDIRECT("'"&amp;$D18&amp;"'!$E$7:$E$500"),"Medium"),0))</f>
        <v/>
      </c>
      <c r="Q18" s="87" t="str">
        <f aca="true">IF($D18="","",IFERROR(COUNTIF(INDIRECT("'"&amp;$D18&amp;"'!$E$7:$E$500"),"Low"),0))</f>
        <v/>
      </c>
      <c r="R18" s="87" t="str">
        <f aca="true">IF($D18="","",IFERROR(COUNTIF(INDIRECT("'"&amp;$D18&amp;"'!$D$7:$D$500"),"Functional"),0))</f>
        <v/>
      </c>
      <c r="S18" s="87" t="str">
        <f aca="true">IF($D18="","",IFERROR(COUNTIF(INDIRECT("'"&amp;$D18&amp;"'!$D$7:$D$500"),"UI"),0))</f>
        <v/>
      </c>
      <c r="T18" s="87" t="str">
        <f aca="true">IF($D18="","",IFERROR(COUNTIF(INDIRECT("'"&amp;$D18&amp;"'!$D$7:$D$500"),"Integration"),0))</f>
        <v/>
      </c>
      <c r="U18" s="87" t="str">
        <f aca="true">IF($D18="","",IFERROR(COUNTIF(INDIRECT("'"&amp;$D18&amp;"'!$D$7:$D$500"),"Database Test Case"),0))</f>
        <v/>
      </c>
      <c r="V18" s="87" t="str">
        <f aca="true">IF($D18="","",IFERROR(COUNTIF(INDIRECT("'"&amp;$D18&amp;"'!$J$7:$J$500"),"AI"),0))</f>
        <v/>
      </c>
      <c r="W18" s="87" t="str">
        <f aca="true">IF($D18="","",IFERROR(COUNTIF(INDIRECT("'"&amp;$D18&amp;"'!$J$7:$J$500"),"QC"),0))</f>
        <v/>
      </c>
      <c r="X18" s="87" t="str">
        <f aca="true">IF($D18="","",IFERROR(COUNTIF(INDIRECT("'"&amp;$D18&amp;"'!$L$7:$L$500"),"Yes"),0))</f>
        <v/>
      </c>
      <c r="Y18" s="87" t="str">
        <f aca="true">IF($D18="","",IFERROR(COUNTIF(INDIRECT("'"&amp;$D18&amp;"'!$AR$7:$AR$500"),"Yes"),0))</f>
        <v/>
      </c>
      <c r="Z18" s="87" t="str">
        <f aca="true">IF($D18="","",IFERROR(COUNTIF(INDIRECT("'"&amp;$D18&amp;"'!$AS$7:$AS$500"),"Pass"),0))</f>
        <v/>
      </c>
      <c r="AA18" s="87" t="str">
        <f aca="true">IF($D18="","",IFERROR(COUNTIF(INDIRECT("'"&amp;$D18&amp;"'!$K$7:$K$500"),"Reviewed"),0))</f>
        <v/>
      </c>
      <c r="AB18" s="91" t="str">
        <f aca="true">IF($D18="","",IFERROR(COUNTIFS(INDIRECT("'"&amp;$D18&amp;"'!$E$7:$E$500"),"High",INDIRECT("'"&amp;$D18&amp;"'!$AT$7:$AT$500"),"?*"),0))</f>
        <v/>
      </c>
      <c r="AC18" s="91" t="str">
        <f aca="true">IF($D18="","",IFERROR(COUNTIFS(INDIRECT("'"&amp;$D18&amp;"'!$E$7:$E$500"),"Medium",INDIRECT("'"&amp;$D18&amp;"'!$AT$7:$AT$500"),"?*"),0))</f>
        <v/>
      </c>
      <c r="AD18" s="91" t="str">
        <f aca="true">IF($D18="","",IFERROR(COUNTIFS(INDIRECT("'"&amp;$D18&amp;"'!$E$7:$E$500"),"Low",INDIRECT("'"&amp;$D18&amp;"'!$AT$7:$AT$500"),"?*"),0))</f>
        <v/>
      </c>
      <c r="AE18" s="92" t="str">
        <f aca="true">IF($D18="","",IFERROR(COUNTIF(INDIRECT("'"&amp;$D18&amp;"'!$P$7:$P$500"),"?*"),0))</f>
        <v/>
      </c>
      <c r="AF18" s="92" t="str">
        <f aca="true">IF($D18="","",IFERROR(COUNTIF(INDIRECT("'"&amp;$D18&amp;"'!$P$7:$P$500"),"Pass"),0))</f>
        <v/>
      </c>
      <c r="AG18" s="92" t="str">
        <f aca="true">IF($D18="","",IFERROR(COUNTIF(INDIRECT("'"&amp;$D18&amp;"'!$P$7:$P$500"),"Fail"),0))</f>
        <v/>
      </c>
      <c r="AH18" s="92" t="str">
        <f aca="true">IF($D18="","",IFERROR(COUNTIF(INDIRECT("'"&amp;$D18&amp;"'!$P$7:$P$500"),"Block"),0))</f>
        <v/>
      </c>
      <c r="AI18" s="92" t="str">
        <f aca="true">IF($D18="","",IFERROR(COUNTIF(INDIRECT("'"&amp;$D18&amp;"'!$P$7:$P$500"),"N/A"),0))</f>
        <v/>
      </c>
      <c r="AJ18" s="92" t="str">
        <f aca="true">IF($D18="","",IFERROR(COUNTIF(INDIRECT("'"&amp;$D18&amp;"'!$V$7:$V$500"),"?*"),0))</f>
        <v/>
      </c>
      <c r="AK18" s="92" t="str">
        <f aca="true">IF($D18="","",IFERROR(COUNTIF(INDIRECT("'"&amp;$D18&amp;"'!$V$7:$V$500"),"Pass"),0))</f>
        <v/>
      </c>
      <c r="AL18" s="92" t="str">
        <f aca="true">IF($D18="","",IFERROR(COUNTIF(INDIRECT("'"&amp;$D18&amp;"'!$V$7:$V$500"),"Fail"),0))</f>
        <v/>
      </c>
      <c r="AM18" s="92" t="str">
        <f aca="true">IF($D18="","",IFERROR(COUNTIF(INDIRECT("'"&amp;$D18&amp;"'!$V$7:$V$500"),"Block"),0))</f>
        <v/>
      </c>
      <c r="AN18" s="92" t="str">
        <f aca="true">IF($D18="","",IFERROR(COUNTIF(INDIRECT("'"&amp;$D18&amp;"'!$V$7:$V$500"),"N/A"),0))</f>
        <v/>
      </c>
      <c r="AO18" s="92" t="str">
        <f aca="true">IF($D18="","",IFERROR(COUNTIF(INDIRECT("'"&amp;$D18&amp;"'!$AB$7:$AB$500"),"?*"),0))</f>
        <v/>
      </c>
      <c r="AP18" s="92" t="str">
        <f aca="true">IF($D18="","",IFERROR(COUNTIF(INDIRECT("'"&amp;$D18&amp;"'!$AB$7:$AB$500"),"Pass"),0))</f>
        <v/>
      </c>
      <c r="AQ18" s="92" t="str">
        <f aca="true">IF($D18="","",IFERROR(COUNTIF(INDIRECT("'"&amp;$D18&amp;"'!$AB$7:$AB$500"),"Fail"),0))</f>
        <v/>
      </c>
      <c r="AR18" s="92" t="str">
        <f aca="true">IF($D18="","",IFERROR(COUNTIF(INDIRECT("'"&amp;$D18&amp;"'!$AB$7:$AB$500"),"Block"),0))</f>
        <v/>
      </c>
      <c r="AS18" s="92" t="str">
        <f aca="true">IF($D18="","",IFERROR(COUNTIF(INDIRECT("'"&amp;$D18&amp;"'!$AB$7:$AB$500"),"N/A"),0))</f>
        <v/>
      </c>
      <c r="AT18" s="92" t="str">
        <f aca="true">IF($D18="","",IFERROR(COUNTIF(INDIRECT("'"&amp;$D18&amp;"'!$AH$7:$AH$500"),"?*"),0))</f>
        <v/>
      </c>
      <c r="AU18" s="92" t="str">
        <f aca="true">IF($D18="","",IFERROR(COUNTIF(INDIRECT("'"&amp;$D18&amp;"'!$AH$7:$AH$500"),"Pass"),0))</f>
        <v/>
      </c>
      <c r="AV18" s="92" t="str">
        <f aca="true">IF($D18="","",IFERROR(COUNTIF(INDIRECT("'"&amp;$D18&amp;"'!$AH$7:$AH$500"),"Fail"),0))</f>
        <v/>
      </c>
      <c r="AW18" s="92" t="str">
        <f aca="true">IF($D18="","",IFERROR(COUNTIF(INDIRECT("'"&amp;$D18&amp;"'!$AH$7:$AH$500"),"Block"),0))</f>
        <v/>
      </c>
      <c r="AX18" s="92" t="str">
        <f aca="true">IF($D18="","",IFERROR(COUNTIF(INDIRECT("'"&amp;$D18&amp;"'!$AH$7:$AH$500"),"N/A"),0))</f>
        <v/>
      </c>
      <c r="AY18" s="92" t="str">
        <f aca="true">IF($D18="","",IFERROR(COUNTIF(INDIRECT("'"&amp;$D18&amp;"'!$AN$7:$AN$500"),"?*"),0))</f>
        <v/>
      </c>
      <c r="AZ18" s="92" t="str">
        <f aca="true">IF($D18="","",IFERROR(COUNTIF(INDIRECT("'"&amp;$D18&amp;"'!$AN$7:$AN$500"),"Pass"),0))</f>
        <v/>
      </c>
      <c r="BA18" s="92" t="str">
        <f aca="true">IF($D18="","",IFERROR(COUNTIF(INDIRECT("'"&amp;$D18&amp;"'!$AN$7:$AN$500"),"Fail"),0))</f>
        <v/>
      </c>
      <c r="BB18" s="92" t="str">
        <f aca="true">IF($D18="","",IFERROR(COUNTIF(INDIRECT("'"&amp;$D18&amp;"'!$AN$7:$AN$500"),"Block"),0))</f>
        <v/>
      </c>
      <c r="BC18" s="1" t="str">
        <f aca="true">IF($D18="","",IFERROR(COUNTIF(INDIRECT("'"&amp;$D18&amp;"'!$AN$7:$AN$500"),"N/A"),0))</f>
        <v/>
      </c>
    </row>
    <row r="19" customFormat="false" ht="15" hidden="false" customHeight="true" outlineLevel="0" collapsed="false">
      <c r="B19" s="87" t="str">
        <f aca="false">IF($D19="","",ROW()-3)</f>
        <v/>
      </c>
      <c r="C19" s="88"/>
      <c r="D19" s="88"/>
      <c r="E19" s="89"/>
      <c r="F19" s="87" t="str">
        <f aca="true">IF($D19="","",IFERROR(COUNTIF(INDIRECT("'"&amp;$D19&amp;"'!$A$7:$A$500"),"?*"),0))</f>
        <v/>
      </c>
      <c r="G19" s="87" t="str">
        <f aca="true">IF($D19="","",IFERROR(COUNTIF(INDIRECT("'"&amp;$D19&amp;"'!$AT$7:$AT$500"),"Pass"),0))</f>
        <v/>
      </c>
      <c r="H19" s="87" t="str">
        <f aca="true">IF($D19="","",IFERROR(COUNTIF(INDIRECT("'"&amp;$D19&amp;"'!$AT$7:$AT$500"),"Fail"),0))</f>
        <v/>
      </c>
      <c r="I19" s="87" t="str">
        <f aca="true">IF($D19="","",IFERROR(COUNTIF(INDIRECT("'"&amp;$D19&amp;"'!$AT$7:$AT$500"),"Block"),0))</f>
        <v/>
      </c>
      <c r="J19" s="87" t="str">
        <f aca="true">IF($D19="","",IFERROR(COUNTIF(INDIRECT("'"&amp;$D19&amp;"'!$AT$7:$AT$500"),"N/A"),0))</f>
        <v/>
      </c>
      <c r="K19" s="87" t="str">
        <f aca="false">IF($D19="","",MAX(0,$F19-$G19-$H19-$I19-$J19))</f>
        <v/>
      </c>
      <c r="L19" s="87" t="str">
        <f aca="false">IF($D19="","",$G19+$H19+$I19+$J19)</f>
        <v/>
      </c>
      <c r="M19" s="90" t="str">
        <f aca="false">IF($D19="","",IFERROR($L19/$F19,0))</f>
        <v/>
      </c>
      <c r="N19" s="90" t="str">
        <f aca="false">IF($D19="","",IFERROR($G19/$L19,0))</f>
        <v/>
      </c>
      <c r="O19" s="87" t="str">
        <f aca="true">IF($D19="","",IFERROR(COUNTIF(INDIRECT("'"&amp;$D19&amp;"'!$E$7:$E$500"),"High"),0))</f>
        <v/>
      </c>
      <c r="P19" s="87" t="str">
        <f aca="true">IF($D19="","",IFERROR(COUNTIF(INDIRECT("'"&amp;$D19&amp;"'!$E$7:$E$500"),"Medium"),0))</f>
        <v/>
      </c>
      <c r="Q19" s="87" t="str">
        <f aca="true">IF($D19="","",IFERROR(COUNTIF(INDIRECT("'"&amp;$D19&amp;"'!$E$7:$E$500"),"Low"),0))</f>
        <v/>
      </c>
      <c r="R19" s="87" t="str">
        <f aca="true">IF($D19="","",IFERROR(COUNTIF(INDIRECT("'"&amp;$D19&amp;"'!$D$7:$D$500"),"Functional"),0))</f>
        <v/>
      </c>
      <c r="S19" s="87" t="str">
        <f aca="true">IF($D19="","",IFERROR(COUNTIF(INDIRECT("'"&amp;$D19&amp;"'!$D$7:$D$500"),"UI"),0))</f>
        <v/>
      </c>
      <c r="T19" s="87" t="str">
        <f aca="true">IF($D19="","",IFERROR(COUNTIF(INDIRECT("'"&amp;$D19&amp;"'!$D$7:$D$500"),"Integration"),0))</f>
        <v/>
      </c>
      <c r="U19" s="87" t="str">
        <f aca="true">IF($D19="","",IFERROR(COUNTIF(INDIRECT("'"&amp;$D19&amp;"'!$D$7:$D$500"),"Database Test Case"),0))</f>
        <v/>
      </c>
      <c r="V19" s="87" t="str">
        <f aca="true">IF($D19="","",IFERROR(COUNTIF(INDIRECT("'"&amp;$D19&amp;"'!$J$7:$J$500"),"AI"),0))</f>
        <v/>
      </c>
      <c r="W19" s="87" t="str">
        <f aca="true">IF($D19="","",IFERROR(COUNTIF(INDIRECT("'"&amp;$D19&amp;"'!$J$7:$J$500"),"QC"),0))</f>
        <v/>
      </c>
      <c r="X19" s="87" t="str">
        <f aca="true">IF($D19="","",IFERROR(COUNTIF(INDIRECT("'"&amp;$D19&amp;"'!$L$7:$L$500"),"Yes"),0))</f>
        <v/>
      </c>
      <c r="Y19" s="87" t="str">
        <f aca="true">IF($D19="","",IFERROR(COUNTIF(INDIRECT("'"&amp;$D19&amp;"'!$AR$7:$AR$500"),"Yes"),0))</f>
        <v/>
      </c>
      <c r="Z19" s="87" t="str">
        <f aca="true">IF($D19="","",IFERROR(COUNTIF(INDIRECT("'"&amp;$D19&amp;"'!$AS$7:$AS$500"),"Pass"),0))</f>
        <v/>
      </c>
      <c r="AA19" s="87" t="str">
        <f aca="true">IF($D19="","",IFERROR(COUNTIF(INDIRECT("'"&amp;$D19&amp;"'!$K$7:$K$500"),"Reviewed"),0))</f>
        <v/>
      </c>
      <c r="AB19" s="91" t="str">
        <f aca="true">IF($D19="","",IFERROR(COUNTIFS(INDIRECT("'"&amp;$D19&amp;"'!$E$7:$E$500"),"High",INDIRECT("'"&amp;$D19&amp;"'!$AT$7:$AT$500"),"?*"),0))</f>
        <v/>
      </c>
      <c r="AC19" s="91" t="str">
        <f aca="true">IF($D19="","",IFERROR(COUNTIFS(INDIRECT("'"&amp;$D19&amp;"'!$E$7:$E$500"),"Medium",INDIRECT("'"&amp;$D19&amp;"'!$AT$7:$AT$500"),"?*"),0))</f>
        <v/>
      </c>
      <c r="AD19" s="91" t="str">
        <f aca="true">IF($D19="","",IFERROR(COUNTIFS(INDIRECT("'"&amp;$D19&amp;"'!$E$7:$E$500"),"Low",INDIRECT("'"&amp;$D19&amp;"'!$AT$7:$AT$500"),"?*"),0))</f>
        <v/>
      </c>
      <c r="AE19" s="92" t="str">
        <f aca="true">IF($D19="","",IFERROR(COUNTIF(INDIRECT("'"&amp;$D19&amp;"'!$P$7:$P$500"),"?*"),0))</f>
        <v/>
      </c>
      <c r="AF19" s="92" t="str">
        <f aca="true">IF($D19="","",IFERROR(COUNTIF(INDIRECT("'"&amp;$D19&amp;"'!$P$7:$P$500"),"Pass"),0))</f>
        <v/>
      </c>
      <c r="AG19" s="92" t="str">
        <f aca="true">IF($D19="","",IFERROR(COUNTIF(INDIRECT("'"&amp;$D19&amp;"'!$P$7:$P$500"),"Fail"),0))</f>
        <v/>
      </c>
      <c r="AH19" s="92" t="str">
        <f aca="true">IF($D19="","",IFERROR(COUNTIF(INDIRECT("'"&amp;$D19&amp;"'!$P$7:$P$500"),"Block"),0))</f>
        <v/>
      </c>
      <c r="AI19" s="92" t="str">
        <f aca="true">IF($D19="","",IFERROR(COUNTIF(INDIRECT("'"&amp;$D19&amp;"'!$P$7:$P$500"),"N/A"),0))</f>
        <v/>
      </c>
      <c r="AJ19" s="92" t="str">
        <f aca="true">IF($D19="","",IFERROR(COUNTIF(INDIRECT("'"&amp;$D19&amp;"'!$V$7:$V$500"),"?*"),0))</f>
        <v/>
      </c>
      <c r="AK19" s="92" t="str">
        <f aca="true">IF($D19="","",IFERROR(COUNTIF(INDIRECT("'"&amp;$D19&amp;"'!$V$7:$V$500"),"Pass"),0))</f>
        <v/>
      </c>
      <c r="AL19" s="92" t="str">
        <f aca="true">IF($D19="","",IFERROR(COUNTIF(INDIRECT("'"&amp;$D19&amp;"'!$V$7:$V$500"),"Fail"),0))</f>
        <v/>
      </c>
      <c r="AM19" s="92" t="str">
        <f aca="true">IF($D19="","",IFERROR(COUNTIF(INDIRECT("'"&amp;$D19&amp;"'!$V$7:$V$500"),"Block"),0))</f>
        <v/>
      </c>
      <c r="AN19" s="92" t="str">
        <f aca="true">IF($D19="","",IFERROR(COUNTIF(INDIRECT("'"&amp;$D19&amp;"'!$V$7:$V$500"),"N/A"),0))</f>
        <v/>
      </c>
      <c r="AO19" s="92" t="str">
        <f aca="true">IF($D19="","",IFERROR(COUNTIF(INDIRECT("'"&amp;$D19&amp;"'!$AB$7:$AB$500"),"?*"),0))</f>
        <v/>
      </c>
      <c r="AP19" s="92" t="str">
        <f aca="true">IF($D19="","",IFERROR(COUNTIF(INDIRECT("'"&amp;$D19&amp;"'!$AB$7:$AB$500"),"Pass"),0))</f>
        <v/>
      </c>
      <c r="AQ19" s="92" t="str">
        <f aca="true">IF($D19="","",IFERROR(COUNTIF(INDIRECT("'"&amp;$D19&amp;"'!$AB$7:$AB$500"),"Fail"),0))</f>
        <v/>
      </c>
      <c r="AR19" s="92" t="str">
        <f aca="true">IF($D19="","",IFERROR(COUNTIF(INDIRECT("'"&amp;$D19&amp;"'!$AB$7:$AB$500"),"Block"),0))</f>
        <v/>
      </c>
      <c r="AS19" s="92" t="str">
        <f aca="true">IF($D19="","",IFERROR(COUNTIF(INDIRECT("'"&amp;$D19&amp;"'!$AB$7:$AB$500"),"N/A"),0))</f>
        <v/>
      </c>
      <c r="AT19" s="92" t="str">
        <f aca="true">IF($D19="","",IFERROR(COUNTIF(INDIRECT("'"&amp;$D19&amp;"'!$AH$7:$AH$500"),"?*"),0))</f>
        <v/>
      </c>
      <c r="AU19" s="92" t="str">
        <f aca="true">IF($D19="","",IFERROR(COUNTIF(INDIRECT("'"&amp;$D19&amp;"'!$AH$7:$AH$500"),"Pass"),0))</f>
        <v/>
      </c>
      <c r="AV19" s="92" t="str">
        <f aca="true">IF($D19="","",IFERROR(COUNTIF(INDIRECT("'"&amp;$D19&amp;"'!$AH$7:$AH$500"),"Fail"),0))</f>
        <v/>
      </c>
      <c r="AW19" s="92" t="str">
        <f aca="true">IF($D19="","",IFERROR(COUNTIF(INDIRECT("'"&amp;$D19&amp;"'!$AH$7:$AH$500"),"Block"),0))</f>
        <v/>
      </c>
      <c r="AX19" s="92" t="str">
        <f aca="true">IF($D19="","",IFERROR(COUNTIF(INDIRECT("'"&amp;$D19&amp;"'!$AH$7:$AH$500"),"N/A"),0))</f>
        <v/>
      </c>
      <c r="AY19" s="92" t="str">
        <f aca="true">IF($D19="","",IFERROR(COUNTIF(INDIRECT("'"&amp;$D19&amp;"'!$AN$7:$AN$500"),"?*"),0))</f>
        <v/>
      </c>
      <c r="AZ19" s="92" t="str">
        <f aca="true">IF($D19="","",IFERROR(COUNTIF(INDIRECT("'"&amp;$D19&amp;"'!$AN$7:$AN$500"),"Pass"),0))</f>
        <v/>
      </c>
      <c r="BA19" s="92" t="str">
        <f aca="true">IF($D19="","",IFERROR(COUNTIF(INDIRECT("'"&amp;$D19&amp;"'!$AN$7:$AN$500"),"Fail"),0))</f>
        <v/>
      </c>
      <c r="BB19" s="92" t="str">
        <f aca="true">IF($D19="","",IFERROR(COUNTIF(INDIRECT("'"&amp;$D19&amp;"'!$AN$7:$AN$500"),"Block"),0))</f>
        <v/>
      </c>
      <c r="BC19" s="1" t="str">
        <f aca="true">IF($D19="","",IFERROR(COUNTIF(INDIRECT("'"&amp;$D19&amp;"'!$AN$7:$AN$500"),"N/A"),0))</f>
        <v/>
      </c>
    </row>
    <row r="20" customFormat="false" ht="15" hidden="false" customHeight="true" outlineLevel="0" collapsed="false">
      <c r="B20" s="87" t="str">
        <f aca="false">IF($D20="","",ROW()-3)</f>
        <v/>
      </c>
      <c r="C20" s="88"/>
      <c r="D20" s="88"/>
      <c r="E20" s="89"/>
      <c r="F20" s="87" t="str">
        <f aca="true">IF($D20="","",IFERROR(COUNTIF(INDIRECT("'"&amp;$D20&amp;"'!$A$7:$A$500"),"?*"),0))</f>
        <v/>
      </c>
      <c r="G20" s="87" t="str">
        <f aca="true">IF($D20="","",IFERROR(COUNTIF(INDIRECT("'"&amp;$D20&amp;"'!$AT$7:$AT$500"),"Pass"),0))</f>
        <v/>
      </c>
      <c r="H20" s="87" t="str">
        <f aca="true">IF($D20="","",IFERROR(COUNTIF(INDIRECT("'"&amp;$D20&amp;"'!$AT$7:$AT$500"),"Fail"),0))</f>
        <v/>
      </c>
      <c r="I20" s="87" t="str">
        <f aca="true">IF($D20="","",IFERROR(COUNTIF(INDIRECT("'"&amp;$D20&amp;"'!$AT$7:$AT$500"),"Block"),0))</f>
        <v/>
      </c>
      <c r="J20" s="87" t="str">
        <f aca="true">IF($D20="","",IFERROR(COUNTIF(INDIRECT("'"&amp;$D20&amp;"'!$AT$7:$AT$500"),"N/A"),0))</f>
        <v/>
      </c>
      <c r="K20" s="87" t="str">
        <f aca="false">IF($D20="","",MAX(0,$F20-$G20-$H20-$I20-$J20))</f>
        <v/>
      </c>
      <c r="L20" s="87" t="str">
        <f aca="false">IF($D20="","",$G20+$H20+$I20+$J20)</f>
        <v/>
      </c>
      <c r="M20" s="90" t="str">
        <f aca="false">IF($D20="","",IFERROR($L20/$F20,0))</f>
        <v/>
      </c>
      <c r="N20" s="90" t="str">
        <f aca="false">IF($D20="","",IFERROR($G20/$L20,0))</f>
        <v/>
      </c>
      <c r="O20" s="87" t="str">
        <f aca="true">IF($D20="","",IFERROR(COUNTIF(INDIRECT("'"&amp;$D20&amp;"'!$E$7:$E$500"),"High"),0))</f>
        <v/>
      </c>
      <c r="P20" s="87" t="str">
        <f aca="true">IF($D20="","",IFERROR(COUNTIF(INDIRECT("'"&amp;$D20&amp;"'!$E$7:$E$500"),"Medium"),0))</f>
        <v/>
      </c>
      <c r="Q20" s="87" t="str">
        <f aca="true">IF($D20="","",IFERROR(COUNTIF(INDIRECT("'"&amp;$D20&amp;"'!$E$7:$E$500"),"Low"),0))</f>
        <v/>
      </c>
      <c r="R20" s="87" t="str">
        <f aca="true">IF($D20="","",IFERROR(COUNTIF(INDIRECT("'"&amp;$D20&amp;"'!$D$7:$D$500"),"Functional"),0))</f>
        <v/>
      </c>
      <c r="S20" s="87" t="str">
        <f aca="true">IF($D20="","",IFERROR(COUNTIF(INDIRECT("'"&amp;$D20&amp;"'!$D$7:$D$500"),"UI"),0))</f>
        <v/>
      </c>
      <c r="T20" s="87" t="str">
        <f aca="true">IF($D20="","",IFERROR(COUNTIF(INDIRECT("'"&amp;$D20&amp;"'!$D$7:$D$500"),"Integration"),0))</f>
        <v/>
      </c>
      <c r="U20" s="87" t="str">
        <f aca="true">IF($D20="","",IFERROR(COUNTIF(INDIRECT("'"&amp;$D20&amp;"'!$D$7:$D$500"),"Database Test Case"),0))</f>
        <v/>
      </c>
      <c r="V20" s="87" t="str">
        <f aca="true">IF($D20="","",IFERROR(COUNTIF(INDIRECT("'"&amp;$D20&amp;"'!$J$7:$J$500"),"AI"),0))</f>
        <v/>
      </c>
      <c r="W20" s="87" t="str">
        <f aca="true">IF($D20="","",IFERROR(COUNTIF(INDIRECT("'"&amp;$D20&amp;"'!$J$7:$J$500"),"QC"),0))</f>
        <v/>
      </c>
      <c r="X20" s="87" t="str">
        <f aca="true">IF($D20="","",IFERROR(COUNTIF(INDIRECT("'"&amp;$D20&amp;"'!$L$7:$L$500"),"Yes"),0))</f>
        <v/>
      </c>
      <c r="Y20" s="87" t="str">
        <f aca="true">IF($D20="","",IFERROR(COUNTIF(INDIRECT("'"&amp;$D20&amp;"'!$AR$7:$AR$500"),"Yes"),0))</f>
        <v/>
      </c>
      <c r="Z20" s="87" t="str">
        <f aca="true">IF($D20="","",IFERROR(COUNTIF(INDIRECT("'"&amp;$D20&amp;"'!$AS$7:$AS$500"),"Pass"),0))</f>
        <v/>
      </c>
      <c r="AA20" s="87" t="str">
        <f aca="true">IF($D20="","",IFERROR(COUNTIF(INDIRECT("'"&amp;$D20&amp;"'!$K$7:$K$500"),"Reviewed"),0))</f>
        <v/>
      </c>
      <c r="AB20" s="91" t="str">
        <f aca="true">IF($D20="","",IFERROR(COUNTIFS(INDIRECT("'"&amp;$D20&amp;"'!$E$7:$E$500"),"High",INDIRECT("'"&amp;$D20&amp;"'!$AT$7:$AT$500"),"?*"),0))</f>
        <v/>
      </c>
      <c r="AC20" s="91" t="str">
        <f aca="true">IF($D20="","",IFERROR(COUNTIFS(INDIRECT("'"&amp;$D20&amp;"'!$E$7:$E$500"),"Medium",INDIRECT("'"&amp;$D20&amp;"'!$AT$7:$AT$500"),"?*"),0))</f>
        <v/>
      </c>
      <c r="AD20" s="91" t="str">
        <f aca="true">IF($D20="","",IFERROR(COUNTIFS(INDIRECT("'"&amp;$D20&amp;"'!$E$7:$E$500"),"Low",INDIRECT("'"&amp;$D20&amp;"'!$AT$7:$AT$500"),"?*"),0))</f>
        <v/>
      </c>
      <c r="AE20" s="92" t="str">
        <f aca="true">IF($D20="","",IFERROR(COUNTIF(INDIRECT("'"&amp;$D20&amp;"'!$P$7:$P$500"),"?*"),0))</f>
        <v/>
      </c>
      <c r="AF20" s="92" t="str">
        <f aca="true">IF($D20="","",IFERROR(COUNTIF(INDIRECT("'"&amp;$D20&amp;"'!$P$7:$P$500"),"Pass"),0))</f>
        <v/>
      </c>
      <c r="AG20" s="92" t="str">
        <f aca="true">IF($D20="","",IFERROR(COUNTIF(INDIRECT("'"&amp;$D20&amp;"'!$P$7:$P$500"),"Fail"),0))</f>
        <v/>
      </c>
      <c r="AH20" s="92" t="str">
        <f aca="true">IF($D20="","",IFERROR(COUNTIF(INDIRECT("'"&amp;$D20&amp;"'!$P$7:$P$500"),"Block"),0))</f>
        <v/>
      </c>
      <c r="AI20" s="92" t="str">
        <f aca="true">IF($D20="","",IFERROR(COUNTIF(INDIRECT("'"&amp;$D20&amp;"'!$P$7:$P$500"),"N/A"),0))</f>
        <v/>
      </c>
      <c r="AJ20" s="92" t="str">
        <f aca="true">IF($D20="","",IFERROR(COUNTIF(INDIRECT("'"&amp;$D20&amp;"'!$V$7:$V$500"),"?*"),0))</f>
        <v/>
      </c>
      <c r="AK20" s="92" t="str">
        <f aca="true">IF($D20="","",IFERROR(COUNTIF(INDIRECT("'"&amp;$D20&amp;"'!$V$7:$V$500"),"Pass"),0))</f>
        <v/>
      </c>
      <c r="AL20" s="92" t="str">
        <f aca="true">IF($D20="","",IFERROR(COUNTIF(INDIRECT("'"&amp;$D20&amp;"'!$V$7:$V$500"),"Fail"),0))</f>
        <v/>
      </c>
      <c r="AM20" s="92" t="str">
        <f aca="true">IF($D20="","",IFERROR(COUNTIF(INDIRECT("'"&amp;$D20&amp;"'!$V$7:$V$500"),"Block"),0))</f>
        <v/>
      </c>
      <c r="AN20" s="92" t="str">
        <f aca="true">IF($D20="","",IFERROR(COUNTIF(INDIRECT("'"&amp;$D20&amp;"'!$V$7:$V$500"),"N/A"),0))</f>
        <v/>
      </c>
      <c r="AO20" s="92" t="str">
        <f aca="true">IF($D20="","",IFERROR(COUNTIF(INDIRECT("'"&amp;$D20&amp;"'!$AB$7:$AB$500"),"?*"),0))</f>
        <v/>
      </c>
      <c r="AP20" s="92" t="str">
        <f aca="true">IF($D20="","",IFERROR(COUNTIF(INDIRECT("'"&amp;$D20&amp;"'!$AB$7:$AB$500"),"Pass"),0))</f>
        <v/>
      </c>
      <c r="AQ20" s="92" t="str">
        <f aca="true">IF($D20="","",IFERROR(COUNTIF(INDIRECT("'"&amp;$D20&amp;"'!$AB$7:$AB$500"),"Fail"),0))</f>
        <v/>
      </c>
      <c r="AR20" s="92" t="str">
        <f aca="true">IF($D20="","",IFERROR(COUNTIF(INDIRECT("'"&amp;$D20&amp;"'!$AB$7:$AB$500"),"Block"),0))</f>
        <v/>
      </c>
      <c r="AS20" s="92" t="str">
        <f aca="true">IF($D20="","",IFERROR(COUNTIF(INDIRECT("'"&amp;$D20&amp;"'!$AB$7:$AB$500"),"N/A"),0))</f>
        <v/>
      </c>
      <c r="AT20" s="92" t="str">
        <f aca="true">IF($D20="","",IFERROR(COUNTIF(INDIRECT("'"&amp;$D20&amp;"'!$AH$7:$AH$500"),"?*"),0))</f>
        <v/>
      </c>
      <c r="AU20" s="92" t="str">
        <f aca="true">IF($D20="","",IFERROR(COUNTIF(INDIRECT("'"&amp;$D20&amp;"'!$AH$7:$AH$500"),"Pass"),0))</f>
        <v/>
      </c>
      <c r="AV20" s="92" t="str">
        <f aca="true">IF($D20="","",IFERROR(COUNTIF(INDIRECT("'"&amp;$D20&amp;"'!$AH$7:$AH$500"),"Fail"),0))</f>
        <v/>
      </c>
      <c r="AW20" s="92" t="str">
        <f aca="true">IF($D20="","",IFERROR(COUNTIF(INDIRECT("'"&amp;$D20&amp;"'!$AH$7:$AH$500"),"Block"),0))</f>
        <v/>
      </c>
      <c r="AX20" s="92" t="str">
        <f aca="true">IF($D20="","",IFERROR(COUNTIF(INDIRECT("'"&amp;$D20&amp;"'!$AH$7:$AH$500"),"N/A"),0))</f>
        <v/>
      </c>
      <c r="AY20" s="92" t="str">
        <f aca="true">IF($D20="","",IFERROR(COUNTIF(INDIRECT("'"&amp;$D20&amp;"'!$AN$7:$AN$500"),"?*"),0))</f>
        <v/>
      </c>
      <c r="AZ20" s="92" t="str">
        <f aca="true">IF($D20="","",IFERROR(COUNTIF(INDIRECT("'"&amp;$D20&amp;"'!$AN$7:$AN$500"),"Pass"),0))</f>
        <v/>
      </c>
      <c r="BA20" s="92" t="str">
        <f aca="true">IF($D20="","",IFERROR(COUNTIF(INDIRECT("'"&amp;$D20&amp;"'!$AN$7:$AN$500"),"Fail"),0))</f>
        <v/>
      </c>
      <c r="BB20" s="92" t="str">
        <f aca="true">IF($D20="","",IFERROR(COUNTIF(INDIRECT("'"&amp;$D20&amp;"'!$AN$7:$AN$500"),"Block"),0))</f>
        <v/>
      </c>
      <c r="BC20" s="1" t="str">
        <f aca="true">IF($D20="","",IFERROR(COUNTIF(INDIRECT("'"&amp;$D20&amp;"'!$AN$7:$AN$500"),"N/A"),0))</f>
        <v/>
      </c>
    </row>
    <row r="21" customFormat="false" ht="15.75" hidden="false" customHeight="true" outlineLevel="0" collapsed="false">
      <c r="B21" s="87" t="str">
        <f aca="false">IF($D21="","",ROW()-3)</f>
        <v/>
      </c>
      <c r="C21" s="88"/>
      <c r="D21" s="88"/>
      <c r="E21" s="89"/>
      <c r="F21" s="87" t="str">
        <f aca="true">IF($D21="","",IFERROR(COUNTIF(INDIRECT("'"&amp;$D21&amp;"'!$A$7:$A$500"),"?*"),0))</f>
        <v/>
      </c>
      <c r="G21" s="87" t="str">
        <f aca="true">IF($D21="","",IFERROR(COUNTIF(INDIRECT("'"&amp;$D21&amp;"'!$AT$7:$AT$500"),"Pass"),0))</f>
        <v/>
      </c>
      <c r="H21" s="87" t="str">
        <f aca="true">IF($D21="","",IFERROR(COUNTIF(INDIRECT("'"&amp;$D21&amp;"'!$AT$7:$AT$500"),"Fail"),0))</f>
        <v/>
      </c>
      <c r="I21" s="87" t="str">
        <f aca="true">IF($D21="","",IFERROR(COUNTIF(INDIRECT("'"&amp;$D21&amp;"'!$AT$7:$AT$500"),"Block"),0))</f>
        <v/>
      </c>
      <c r="J21" s="87" t="str">
        <f aca="true">IF($D21="","",IFERROR(COUNTIF(INDIRECT("'"&amp;$D21&amp;"'!$AT$7:$AT$500"),"N/A"),0))</f>
        <v/>
      </c>
      <c r="K21" s="87" t="str">
        <f aca="false">IF($D21="","",MAX(0,$F21-$G21-$H21-$I21-$J21))</f>
        <v/>
      </c>
      <c r="L21" s="87" t="str">
        <f aca="false">IF($D21="","",$G21+$H21+$I21+$J21)</f>
        <v/>
      </c>
      <c r="M21" s="90" t="str">
        <f aca="false">IF($D21="","",IFERROR($L21/$F21,0))</f>
        <v/>
      </c>
      <c r="N21" s="90" t="str">
        <f aca="false">IF($D21="","",IFERROR($G21/$L21,0))</f>
        <v/>
      </c>
      <c r="O21" s="87" t="str">
        <f aca="true">IF($D21="","",IFERROR(COUNTIF(INDIRECT("'"&amp;$D21&amp;"'!$E$7:$E$500"),"High"),0))</f>
        <v/>
      </c>
      <c r="P21" s="87" t="str">
        <f aca="true">IF($D21="","",IFERROR(COUNTIF(INDIRECT("'"&amp;$D21&amp;"'!$E$7:$E$500"),"Medium"),0))</f>
        <v/>
      </c>
      <c r="Q21" s="87" t="str">
        <f aca="true">IF($D21="","",IFERROR(COUNTIF(INDIRECT("'"&amp;$D21&amp;"'!$E$7:$E$500"),"Low"),0))</f>
        <v/>
      </c>
      <c r="R21" s="87" t="str">
        <f aca="true">IF($D21="","",IFERROR(COUNTIF(INDIRECT("'"&amp;$D21&amp;"'!$D$7:$D$500"),"Functional"),0))</f>
        <v/>
      </c>
      <c r="S21" s="87" t="str">
        <f aca="true">IF($D21="","",IFERROR(COUNTIF(INDIRECT("'"&amp;$D21&amp;"'!$D$7:$D$500"),"UI"),0))</f>
        <v/>
      </c>
      <c r="T21" s="87" t="str">
        <f aca="true">IF($D21="","",IFERROR(COUNTIF(INDIRECT("'"&amp;$D21&amp;"'!$D$7:$D$500"),"Integration"),0))</f>
        <v/>
      </c>
      <c r="U21" s="87" t="str">
        <f aca="true">IF($D21="","",IFERROR(COUNTIF(INDIRECT("'"&amp;$D21&amp;"'!$D$7:$D$500"),"Database Test Case"),0))</f>
        <v/>
      </c>
      <c r="V21" s="87" t="str">
        <f aca="true">IF($D21="","",IFERROR(COUNTIF(INDIRECT("'"&amp;$D21&amp;"'!$J$7:$J$500"),"AI"),0))</f>
        <v/>
      </c>
      <c r="W21" s="87" t="str">
        <f aca="true">IF($D21="","",IFERROR(COUNTIF(INDIRECT("'"&amp;$D21&amp;"'!$J$7:$J$500"),"QC"),0))</f>
        <v/>
      </c>
      <c r="X21" s="87" t="str">
        <f aca="true">IF($D21="","",IFERROR(COUNTIF(INDIRECT("'"&amp;$D21&amp;"'!$L$7:$L$500"),"Yes"),0))</f>
        <v/>
      </c>
      <c r="Y21" s="87" t="str">
        <f aca="true">IF($D21="","",IFERROR(COUNTIF(INDIRECT("'"&amp;$D21&amp;"'!$AR$7:$AR$500"),"Yes"),0))</f>
        <v/>
      </c>
      <c r="Z21" s="87" t="str">
        <f aca="true">IF($D21="","",IFERROR(COUNTIF(INDIRECT("'"&amp;$D21&amp;"'!$AS$7:$AS$500"),"Pass"),0))</f>
        <v/>
      </c>
      <c r="AA21" s="87" t="str">
        <f aca="true">IF($D21="","",IFERROR(COUNTIF(INDIRECT("'"&amp;$D21&amp;"'!$K$7:$K$500"),"Reviewed"),0))</f>
        <v/>
      </c>
      <c r="AB21" s="91" t="str">
        <f aca="true">IF($D21="","",IFERROR(COUNTIFS(INDIRECT("'"&amp;$D21&amp;"'!$E$7:$E$500"),"High",INDIRECT("'"&amp;$D21&amp;"'!$AT$7:$AT$500"),"?*"),0))</f>
        <v/>
      </c>
      <c r="AC21" s="91" t="str">
        <f aca="true">IF($D21="","",IFERROR(COUNTIFS(INDIRECT("'"&amp;$D21&amp;"'!$E$7:$E$500"),"Medium",INDIRECT("'"&amp;$D21&amp;"'!$AT$7:$AT$500"),"?*"),0))</f>
        <v/>
      </c>
      <c r="AD21" s="91" t="str">
        <f aca="true">IF($D21="","",IFERROR(COUNTIFS(INDIRECT("'"&amp;$D21&amp;"'!$E$7:$E$500"),"Low",INDIRECT("'"&amp;$D21&amp;"'!$AT$7:$AT$500"),"?*"),0))</f>
        <v/>
      </c>
      <c r="AE21" s="92" t="str">
        <f aca="true">IF($D21="","",IFERROR(COUNTIF(INDIRECT("'"&amp;$D21&amp;"'!$P$7:$P$500"),"?*"),0))</f>
        <v/>
      </c>
      <c r="AF21" s="92" t="str">
        <f aca="true">IF($D21="","",IFERROR(COUNTIF(INDIRECT("'"&amp;$D21&amp;"'!$P$7:$P$500"),"Pass"),0))</f>
        <v/>
      </c>
      <c r="AG21" s="92" t="str">
        <f aca="true">IF($D21="","",IFERROR(COUNTIF(INDIRECT("'"&amp;$D21&amp;"'!$P$7:$P$500"),"Fail"),0))</f>
        <v/>
      </c>
      <c r="AH21" s="92" t="str">
        <f aca="true">IF($D21="","",IFERROR(COUNTIF(INDIRECT("'"&amp;$D21&amp;"'!$P$7:$P$500"),"Block"),0))</f>
        <v/>
      </c>
      <c r="AI21" s="92" t="str">
        <f aca="true">IF($D21="","",IFERROR(COUNTIF(INDIRECT("'"&amp;$D21&amp;"'!$P$7:$P$500"),"N/A"),0))</f>
        <v/>
      </c>
      <c r="AJ21" s="92" t="str">
        <f aca="true">IF($D21="","",IFERROR(COUNTIF(INDIRECT("'"&amp;$D21&amp;"'!$V$7:$V$500"),"?*"),0))</f>
        <v/>
      </c>
      <c r="AK21" s="92" t="str">
        <f aca="true">IF($D21="","",IFERROR(COUNTIF(INDIRECT("'"&amp;$D21&amp;"'!$V$7:$V$500"),"Pass"),0))</f>
        <v/>
      </c>
      <c r="AL21" s="92" t="str">
        <f aca="true">IF($D21="","",IFERROR(COUNTIF(INDIRECT("'"&amp;$D21&amp;"'!$V$7:$V$500"),"Fail"),0))</f>
        <v/>
      </c>
      <c r="AM21" s="92" t="str">
        <f aca="true">IF($D21="","",IFERROR(COUNTIF(INDIRECT("'"&amp;$D21&amp;"'!$V$7:$V$500"),"Block"),0))</f>
        <v/>
      </c>
      <c r="AN21" s="92" t="str">
        <f aca="true">IF($D21="","",IFERROR(COUNTIF(INDIRECT("'"&amp;$D21&amp;"'!$V$7:$V$500"),"N/A"),0))</f>
        <v/>
      </c>
      <c r="AO21" s="92" t="str">
        <f aca="true">IF($D21="","",IFERROR(COUNTIF(INDIRECT("'"&amp;$D21&amp;"'!$AB$7:$AB$500"),"?*"),0))</f>
        <v/>
      </c>
      <c r="AP21" s="92" t="str">
        <f aca="true">IF($D21="","",IFERROR(COUNTIF(INDIRECT("'"&amp;$D21&amp;"'!$AB$7:$AB$500"),"Pass"),0))</f>
        <v/>
      </c>
      <c r="AQ21" s="92" t="str">
        <f aca="true">IF($D21="","",IFERROR(COUNTIF(INDIRECT("'"&amp;$D21&amp;"'!$AB$7:$AB$500"),"Fail"),0))</f>
        <v/>
      </c>
      <c r="AR21" s="92" t="str">
        <f aca="true">IF($D21="","",IFERROR(COUNTIF(INDIRECT("'"&amp;$D21&amp;"'!$AB$7:$AB$500"),"Block"),0))</f>
        <v/>
      </c>
      <c r="AS21" s="92" t="str">
        <f aca="true">IF($D21="","",IFERROR(COUNTIF(INDIRECT("'"&amp;$D21&amp;"'!$AB$7:$AB$500"),"N/A"),0))</f>
        <v/>
      </c>
      <c r="AT21" s="92" t="str">
        <f aca="true">IF($D21="","",IFERROR(COUNTIF(INDIRECT("'"&amp;$D21&amp;"'!$AH$7:$AH$500"),"?*"),0))</f>
        <v/>
      </c>
      <c r="AU21" s="92" t="str">
        <f aca="true">IF($D21="","",IFERROR(COUNTIF(INDIRECT("'"&amp;$D21&amp;"'!$AH$7:$AH$500"),"Pass"),0))</f>
        <v/>
      </c>
      <c r="AV21" s="92" t="str">
        <f aca="true">IF($D21="","",IFERROR(COUNTIF(INDIRECT("'"&amp;$D21&amp;"'!$AH$7:$AH$500"),"Fail"),0))</f>
        <v/>
      </c>
      <c r="AW21" s="92" t="str">
        <f aca="true">IF($D21="","",IFERROR(COUNTIF(INDIRECT("'"&amp;$D21&amp;"'!$AH$7:$AH$500"),"Block"),0))</f>
        <v/>
      </c>
      <c r="AX21" s="92" t="str">
        <f aca="true">IF($D21="","",IFERROR(COUNTIF(INDIRECT("'"&amp;$D21&amp;"'!$AH$7:$AH$500"),"N/A"),0))</f>
        <v/>
      </c>
      <c r="AY21" s="92" t="str">
        <f aca="true">IF($D21="","",IFERROR(COUNTIF(INDIRECT("'"&amp;$D21&amp;"'!$AN$7:$AN$500"),"?*"),0))</f>
        <v/>
      </c>
      <c r="AZ21" s="92" t="str">
        <f aca="true">IF($D21="","",IFERROR(COUNTIF(INDIRECT("'"&amp;$D21&amp;"'!$AN$7:$AN$500"),"Pass"),0))</f>
        <v/>
      </c>
      <c r="BA21" s="92" t="str">
        <f aca="true">IF($D21="","",IFERROR(COUNTIF(INDIRECT("'"&amp;$D21&amp;"'!$AN$7:$AN$500"),"Fail"),0))</f>
        <v/>
      </c>
      <c r="BB21" s="92" t="str">
        <f aca="true">IF($D21="","",IFERROR(COUNTIF(INDIRECT("'"&amp;$D21&amp;"'!$AN$7:$AN$500"),"Block"),0))</f>
        <v/>
      </c>
      <c r="BC21" s="1" t="str">
        <f aca="true">IF($D21="","",IFERROR(COUNTIF(INDIRECT("'"&amp;$D21&amp;"'!$AN$7:$AN$500"),"N/A"),0))</f>
        <v/>
      </c>
    </row>
    <row r="22" customFormat="false" ht="15.75" hidden="false" customHeight="true" outlineLevel="0" collapsed="false">
      <c r="B22" s="87" t="str">
        <f aca="false">IF($D22="","",ROW()-3)</f>
        <v/>
      </c>
      <c r="C22" s="88"/>
      <c r="D22" s="88"/>
      <c r="E22" s="89"/>
      <c r="F22" s="87" t="str">
        <f aca="true">IF($D22="","",IFERROR(COUNTIF(INDIRECT("'"&amp;$D22&amp;"'!$A$7:$A$500"),"?*"),0))</f>
        <v/>
      </c>
      <c r="G22" s="87" t="str">
        <f aca="true">IF($D22="","",IFERROR(COUNTIF(INDIRECT("'"&amp;$D22&amp;"'!$AT$7:$AT$500"),"Pass"),0))</f>
        <v/>
      </c>
      <c r="H22" s="87" t="str">
        <f aca="true">IF($D22="","",IFERROR(COUNTIF(INDIRECT("'"&amp;$D22&amp;"'!$AT$7:$AT$500"),"Fail"),0))</f>
        <v/>
      </c>
      <c r="I22" s="87" t="str">
        <f aca="true">IF($D22="","",IFERROR(COUNTIF(INDIRECT("'"&amp;$D22&amp;"'!$AT$7:$AT$500"),"Block"),0))</f>
        <v/>
      </c>
      <c r="J22" s="87" t="str">
        <f aca="true">IF($D22="","",IFERROR(COUNTIF(INDIRECT("'"&amp;$D22&amp;"'!$AT$7:$AT$500"),"N/A"),0))</f>
        <v/>
      </c>
      <c r="K22" s="87" t="str">
        <f aca="false">IF($D22="","",MAX(0,$F22-$G22-$H22-$I22-$J22))</f>
        <v/>
      </c>
      <c r="L22" s="87" t="str">
        <f aca="false">IF($D22="","",$G22+$H22+$I22+$J22)</f>
        <v/>
      </c>
      <c r="M22" s="90" t="str">
        <f aca="false">IF($D22="","",IFERROR($L22/$F22,0))</f>
        <v/>
      </c>
      <c r="N22" s="90" t="str">
        <f aca="false">IF($D22="","",IFERROR($G22/$L22,0))</f>
        <v/>
      </c>
      <c r="O22" s="87" t="str">
        <f aca="true">IF($D22="","",IFERROR(COUNTIF(INDIRECT("'"&amp;$D22&amp;"'!$E$7:$E$500"),"High"),0))</f>
        <v/>
      </c>
      <c r="P22" s="87" t="str">
        <f aca="true">IF($D22="","",IFERROR(COUNTIF(INDIRECT("'"&amp;$D22&amp;"'!$E$7:$E$500"),"Medium"),0))</f>
        <v/>
      </c>
      <c r="Q22" s="87" t="str">
        <f aca="true">IF($D22="","",IFERROR(COUNTIF(INDIRECT("'"&amp;$D22&amp;"'!$E$7:$E$500"),"Low"),0))</f>
        <v/>
      </c>
      <c r="R22" s="87" t="str">
        <f aca="true">IF($D22="","",IFERROR(COUNTIF(INDIRECT("'"&amp;$D22&amp;"'!$D$7:$D$500"),"Functional"),0))</f>
        <v/>
      </c>
      <c r="S22" s="87" t="str">
        <f aca="true">IF($D22="","",IFERROR(COUNTIF(INDIRECT("'"&amp;$D22&amp;"'!$D$7:$D$500"),"UI"),0))</f>
        <v/>
      </c>
      <c r="T22" s="87" t="str">
        <f aca="true">IF($D22="","",IFERROR(COUNTIF(INDIRECT("'"&amp;$D22&amp;"'!$D$7:$D$500"),"Integration"),0))</f>
        <v/>
      </c>
      <c r="U22" s="87" t="str">
        <f aca="true">IF($D22="","",IFERROR(COUNTIF(INDIRECT("'"&amp;$D22&amp;"'!$D$7:$D$500"),"Database Test Case"),0))</f>
        <v/>
      </c>
      <c r="V22" s="87" t="str">
        <f aca="true">IF($D22="","",IFERROR(COUNTIF(INDIRECT("'"&amp;$D22&amp;"'!$J$7:$J$500"),"AI"),0))</f>
        <v/>
      </c>
      <c r="W22" s="87" t="str">
        <f aca="true">IF($D22="","",IFERROR(COUNTIF(INDIRECT("'"&amp;$D22&amp;"'!$J$7:$J$500"),"QC"),0))</f>
        <v/>
      </c>
      <c r="X22" s="87" t="str">
        <f aca="true">IF($D22="","",IFERROR(COUNTIF(INDIRECT("'"&amp;$D22&amp;"'!$L$7:$L$500"),"Yes"),0))</f>
        <v/>
      </c>
      <c r="Y22" s="87" t="str">
        <f aca="true">IF($D22="","",IFERROR(COUNTIF(INDIRECT("'"&amp;$D22&amp;"'!$AR$7:$AR$500"),"Yes"),0))</f>
        <v/>
      </c>
      <c r="Z22" s="87" t="str">
        <f aca="true">IF($D22="","",IFERROR(COUNTIF(INDIRECT("'"&amp;$D22&amp;"'!$AS$7:$AS$500"),"Pass"),0))</f>
        <v/>
      </c>
      <c r="AA22" s="87" t="str">
        <f aca="true">IF($D22="","",IFERROR(COUNTIF(INDIRECT("'"&amp;$D22&amp;"'!$K$7:$K$500"),"Reviewed"),0))</f>
        <v/>
      </c>
      <c r="AB22" s="91" t="str">
        <f aca="true">IF($D22="","",IFERROR(COUNTIFS(INDIRECT("'"&amp;$D22&amp;"'!$E$7:$E$500"),"High",INDIRECT("'"&amp;$D22&amp;"'!$AT$7:$AT$500"),"?*"),0))</f>
        <v/>
      </c>
      <c r="AC22" s="91" t="str">
        <f aca="true">IF($D22="","",IFERROR(COUNTIFS(INDIRECT("'"&amp;$D22&amp;"'!$E$7:$E$500"),"Medium",INDIRECT("'"&amp;$D22&amp;"'!$AT$7:$AT$500"),"?*"),0))</f>
        <v/>
      </c>
      <c r="AD22" s="91" t="str">
        <f aca="true">IF($D22="","",IFERROR(COUNTIFS(INDIRECT("'"&amp;$D22&amp;"'!$E$7:$E$500"),"Low",INDIRECT("'"&amp;$D22&amp;"'!$AT$7:$AT$500"),"?*"),0))</f>
        <v/>
      </c>
      <c r="AE22" s="92" t="str">
        <f aca="true">IF($D22="","",IFERROR(COUNTIF(INDIRECT("'"&amp;$D22&amp;"'!$P$7:$P$500"),"?*"),0))</f>
        <v/>
      </c>
      <c r="AF22" s="92" t="str">
        <f aca="true">IF($D22="","",IFERROR(COUNTIF(INDIRECT("'"&amp;$D22&amp;"'!$P$7:$P$500"),"Pass"),0))</f>
        <v/>
      </c>
      <c r="AG22" s="92" t="str">
        <f aca="true">IF($D22="","",IFERROR(COUNTIF(INDIRECT("'"&amp;$D22&amp;"'!$P$7:$P$500"),"Fail"),0))</f>
        <v/>
      </c>
      <c r="AH22" s="92" t="str">
        <f aca="true">IF($D22="","",IFERROR(COUNTIF(INDIRECT("'"&amp;$D22&amp;"'!$P$7:$P$500"),"Block"),0))</f>
        <v/>
      </c>
      <c r="AI22" s="92" t="str">
        <f aca="true">IF($D22="","",IFERROR(COUNTIF(INDIRECT("'"&amp;$D22&amp;"'!$P$7:$P$500"),"N/A"),0))</f>
        <v/>
      </c>
      <c r="AJ22" s="92" t="str">
        <f aca="true">IF($D22="","",IFERROR(COUNTIF(INDIRECT("'"&amp;$D22&amp;"'!$V$7:$V$500"),"?*"),0))</f>
        <v/>
      </c>
      <c r="AK22" s="92" t="str">
        <f aca="true">IF($D22="","",IFERROR(COUNTIF(INDIRECT("'"&amp;$D22&amp;"'!$V$7:$V$500"),"Pass"),0))</f>
        <v/>
      </c>
      <c r="AL22" s="92" t="str">
        <f aca="true">IF($D22="","",IFERROR(COUNTIF(INDIRECT("'"&amp;$D22&amp;"'!$V$7:$V$500"),"Fail"),0))</f>
        <v/>
      </c>
      <c r="AM22" s="92" t="str">
        <f aca="true">IF($D22="","",IFERROR(COUNTIF(INDIRECT("'"&amp;$D22&amp;"'!$V$7:$V$500"),"Block"),0))</f>
        <v/>
      </c>
      <c r="AN22" s="92" t="str">
        <f aca="true">IF($D22="","",IFERROR(COUNTIF(INDIRECT("'"&amp;$D22&amp;"'!$V$7:$V$500"),"N/A"),0))</f>
        <v/>
      </c>
      <c r="AO22" s="92" t="str">
        <f aca="true">IF($D22="","",IFERROR(COUNTIF(INDIRECT("'"&amp;$D22&amp;"'!$AB$7:$AB$500"),"?*"),0))</f>
        <v/>
      </c>
      <c r="AP22" s="92" t="str">
        <f aca="true">IF($D22="","",IFERROR(COUNTIF(INDIRECT("'"&amp;$D22&amp;"'!$AB$7:$AB$500"),"Pass"),0))</f>
        <v/>
      </c>
      <c r="AQ22" s="92" t="str">
        <f aca="true">IF($D22="","",IFERROR(COUNTIF(INDIRECT("'"&amp;$D22&amp;"'!$AB$7:$AB$500"),"Fail"),0))</f>
        <v/>
      </c>
      <c r="AR22" s="92" t="str">
        <f aca="true">IF($D22="","",IFERROR(COUNTIF(INDIRECT("'"&amp;$D22&amp;"'!$AB$7:$AB$500"),"Block"),0))</f>
        <v/>
      </c>
      <c r="AS22" s="92" t="str">
        <f aca="true">IF($D22="","",IFERROR(COUNTIF(INDIRECT("'"&amp;$D22&amp;"'!$AB$7:$AB$500"),"N/A"),0))</f>
        <v/>
      </c>
      <c r="AT22" s="92" t="str">
        <f aca="true">IF($D22="","",IFERROR(COUNTIF(INDIRECT("'"&amp;$D22&amp;"'!$AH$7:$AH$500"),"?*"),0))</f>
        <v/>
      </c>
      <c r="AU22" s="92" t="str">
        <f aca="true">IF($D22="","",IFERROR(COUNTIF(INDIRECT("'"&amp;$D22&amp;"'!$AH$7:$AH$500"),"Pass"),0))</f>
        <v/>
      </c>
      <c r="AV22" s="92" t="str">
        <f aca="true">IF($D22="","",IFERROR(COUNTIF(INDIRECT("'"&amp;$D22&amp;"'!$AH$7:$AH$500"),"Fail"),0))</f>
        <v/>
      </c>
      <c r="AW22" s="92" t="str">
        <f aca="true">IF($D22="","",IFERROR(COUNTIF(INDIRECT("'"&amp;$D22&amp;"'!$AH$7:$AH$500"),"Block"),0))</f>
        <v/>
      </c>
      <c r="AX22" s="92" t="str">
        <f aca="true">IF($D22="","",IFERROR(COUNTIF(INDIRECT("'"&amp;$D22&amp;"'!$AH$7:$AH$500"),"N/A"),0))</f>
        <v/>
      </c>
      <c r="AY22" s="92" t="str">
        <f aca="true">IF($D22="","",IFERROR(COUNTIF(INDIRECT("'"&amp;$D22&amp;"'!$AN$7:$AN$500"),"?*"),0))</f>
        <v/>
      </c>
      <c r="AZ22" s="92" t="str">
        <f aca="true">IF($D22="","",IFERROR(COUNTIF(INDIRECT("'"&amp;$D22&amp;"'!$AN$7:$AN$500"),"Pass"),0))</f>
        <v/>
      </c>
      <c r="BA22" s="92" t="str">
        <f aca="true">IF($D22="","",IFERROR(COUNTIF(INDIRECT("'"&amp;$D22&amp;"'!$AN$7:$AN$500"),"Fail"),0))</f>
        <v/>
      </c>
      <c r="BB22" s="92" t="str">
        <f aca="true">IF($D22="","",IFERROR(COUNTIF(INDIRECT("'"&amp;$D22&amp;"'!$AN$7:$AN$500"),"Block"),0))</f>
        <v/>
      </c>
      <c r="BC22" s="1" t="str">
        <f aca="true">IF($D22="","",IFERROR(COUNTIF(INDIRECT("'"&amp;$D22&amp;"'!$AN$7:$AN$500"),"N/A"),0))</f>
        <v/>
      </c>
    </row>
    <row r="23" customFormat="false" ht="15.75" hidden="false" customHeight="true" outlineLevel="0" collapsed="false">
      <c r="B23" s="87" t="str">
        <f aca="false">IF($D23="","",ROW()-3)</f>
        <v/>
      </c>
      <c r="C23" s="88"/>
      <c r="D23" s="88"/>
      <c r="E23" s="89"/>
      <c r="F23" s="87" t="str">
        <f aca="true">IF($D23="","",IFERROR(COUNTIF(INDIRECT("'"&amp;$D23&amp;"'!$A$7:$A$500"),"?*"),0))</f>
        <v/>
      </c>
      <c r="G23" s="87" t="str">
        <f aca="true">IF($D23="","",IFERROR(COUNTIF(INDIRECT("'"&amp;$D23&amp;"'!$AT$7:$AT$500"),"Pass"),0))</f>
        <v/>
      </c>
      <c r="H23" s="87" t="str">
        <f aca="true">IF($D23="","",IFERROR(COUNTIF(INDIRECT("'"&amp;$D23&amp;"'!$AT$7:$AT$500"),"Fail"),0))</f>
        <v/>
      </c>
      <c r="I23" s="87" t="str">
        <f aca="true">IF($D23="","",IFERROR(COUNTIF(INDIRECT("'"&amp;$D23&amp;"'!$AT$7:$AT$500"),"Block"),0))</f>
        <v/>
      </c>
      <c r="J23" s="87" t="str">
        <f aca="true">IF($D23="","",IFERROR(COUNTIF(INDIRECT("'"&amp;$D23&amp;"'!$AT$7:$AT$500"),"N/A"),0))</f>
        <v/>
      </c>
      <c r="K23" s="87" t="str">
        <f aca="false">IF($D23="","",MAX(0,$F23-$G23-$H23-$I23-$J23))</f>
        <v/>
      </c>
      <c r="L23" s="87" t="str">
        <f aca="false">IF($D23="","",$G23+$H23+$I23+$J23)</f>
        <v/>
      </c>
      <c r="M23" s="90" t="str">
        <f aca="false">IF($D23="","",IFERROR($L23/$F23,0))</f>
        <v/>
      </c>
      <c r="N23" s="90" t="str">
        <f aca="false">IF($D23="","",IFERROR($G23/$L23,0))</f>
        <v/>
      </c>
      <c r="O23" s="87" t="str">
        <f aca="true">IF($D23="","",IFERROR(COUNTIF(INDIRECT("'"&amp;$D23&amp;"'!$E$7:$E$500"),"High"),0))</f>
        <v/>
      </c>
      <c r="P23" s="87" t="str">
        <f aca="true">IF($D23="","",IFERROR(COUNTIF(INDIRECT("'"&amp;$D23&amp;"'!$E$7:$E$500"),"Medium"),0))</f>
        <v/>
      </c>
      <c r="Q23" s="87" t="str">
        <f aca="true">IF($D23="","",IFERROR(COUNTIF(INDIRECT("'"&amp;$D23&amp;"'!$E$7:$E$500"),"Low"),0))</f>
        <v/>
      </c>
      <c r="R23" s="87" t="str">
        <f aca="true">IF($D23="","",IFERROR(COUNTIF(INDIRECT("'"&amp;$D23&amp;"'!$D$7:$D$500"),"Functional"),0))</f>
        <v/>
      </c>
      <c r="S23" s="87" t="str">
        <f aca="true">IF($D23="","",IFERROR(COUNTIF(INDIRECT("'"&amp;$D23&amp;"'!$D$7:$D$500"),"UI"),0))</f>
        <v/>
      </c>
      <c r="T23" s="87" t="str">
        <f aca="true">IF($D23="","",IFERROR(COUNTIF(INDIRECT("'"&amp;$D23&amp;"'!$D$7:$D$500"),"Integration"),0))</f>
        <v/>
      </c>
      <c r="U23" s="87" t="str">
        <f aca="true">IF($D23="","",IFERROR(COUNTIF(INDIRECT("'"&amp;$D23&amp;"'!$D$7:$D$500"),"Database Test Case"),0))</f>
        <v/>
      </c>
      <c r="V23" s="87" t="str">
        <f aca="true">IF($D23="","",IFERROR(COUNTIF(INDIRECT("'"&amp;$D23&amp;"'!$J$7:$J$500"),"AI"),0))</f>
        <v/>
      </c>
      <c r="W23" s="87" t="str">
        <f aca="true">IF($D23="","",IFERROR(COUNTIF(INDIRECT("'"&amp;$D23&amp;"'!$J$7:$J$500"),"QC"),0))</f>
        <v/>
      </c>
      <c r="X23" s="87" t="str">
        <f aca="true">IF($D23="","",IFERROR(COUNTIF(INDIRECT("'"&amp;$D23&amp;"'!$L$7:$L$500"),"Yes"),0))</f>
        <v/>
      </c>
      <c r="Y23" s="87" t="str">
        <f aca="true">IF($D23="","",IFERROR(COUNTIF(INDIRECT("'"&amp;$D23&amp;"'!$AR$7:$AR$500"),"Yes"),0))</f>
        <v/>
      </c>
      <c r="Z23" s="87" t="str">
        <f aca="true">IF($D23="","",IFERROR(COUNTIF(INDIRECT("'"&amp;$D23&amp;"'!$AS$7:$AS$500"),"Pass"),0))</f>
        <v/>
      </c>
      <c r="AA23" s="87" t="str">
        <f aca="true">IF($D23="","",IFERROR(COUNTIF(INDIRECT("'"&amp;$D23&amp;"'!$K$7:$K$500"),"Reviewed"),0))</f>
        <v/>
      </c>
      <c r="AB23" s="91" t="str">
        <f aca="true">IF($D23="","",IFERROR(COUNTIFS(INDIRECT("'"&amp;$D23&amp;"'!$E$7:$E$500"),"High",INDIRECT("'"&amp;$D23&amp;"'!$AT$7:$AT$500"),"?*"),0))</f>
        <v/>
      </c>
      <c r="AC23" s="91" t="str">
        <f aca="true">IF($D23="","",IFERROR(COUNTIFS(INDIRECT("'"&amp;$D23&amp;"'!$E$7:$E$500"),"Medium",INDIRECT("'"&amp;$D23&amp;"'!$AT$7:$AT$500"),"?*"),0))</f>
        <v/>
      </c>
      <c r="AD23" s="91" t="str">
        <f aca="true">IF($D23="","",IFERROR(COUNTIFS(INDIRECT("'"&amp;$D23&amp;"'!$E$7:$E$500"),"Low",INDIRECT("'"&amp;$D23&amp;"'!$AT$7:$AT$500"),"?*"),0))</f>
        <v/>
      </c>
      <c r="AE23" s="92" t="str">
        <f aca="true">IF($D23="","",IFERROR(COUNTIF(INDIRECT("'"&amp;$D23&amp;"'!$P$7:$P$500"),"?*"),0))</f>
        <v/>
      </c>
      <c r="AF23" s="92" t="str">
        <f aca="true">IF($D23="","",IFERROR(COUNTIF(INDIRECT("'"&amp;$D23&amp;"'!$P$7:$P$500"),"Pass"),0))</f>
        <v/>
      </c>
      <c r="AG23" s="92" t="str">
        <f aca="true">IF($D23="","",IFERROR(COUNTIF(INDIRECT("'"&amp;$D23&amp;"'!$P$7:$P$500"),"Fail"),0))</f>
        <v/>
      </c>
      <c r="AH23" s="92" t="str">
        <f aca="true">IF($D23="","",IFERROR(COUNTIF(INDIRECT("'"&amp;$D23&amp;"'!$P$7:$P$500"),"Block"),0))</f>
        <v/>
      </c>
      <c r="AI23" s="92" t="str">
        <f aca="true">IF($D23="","",IFERROR(COUNTIF(INDIRECT("'"&amp;$D23&amp;"'!$P$7:$P$500"),"N/A"),0))</f>
        <v/>
      </c>
      <c r="AJ23" s="92" t="str">
        <f aca="true">IF($D23="","",IFERROR(COUNTIF(INDIRECT("'"&amp;$D23&amp;"'!$V$7:$V$500"),"?*"),0))</f>
        <v/>
      </c>
      <c r="AK23" s="92" t="str">
        <f aca="true">IF($D23="","",IFERROR(COUNTIF(INDIRECT("'"&amp;$D23&amp;"'!$V$7:$V$500"),"Pass"),0))</f>
        <v/>
      </c>
      <c r="AL23" s="92" t="str">
        <f aca="true">IF($D23="","",IFERROR(COUNTIF(INDIRECT("'"&amp;$D23&amp;"'!$V$7:$V$500"),"Fail"),0))</f>
        <v/>
      </c>
      <c r="AM23" s="92" t="str">
        <f aca="true">IF($D23="","",IFERROR(COUNTIF(INDIRECT("'"&amp;$D23&amp;"'!$V$7:$V$500"),"Block"),0))</f>
        <v/>
      </c>
      <c r="AN23" s="92" t="str">
        <f aca="true">IF($D23="","",IFERROR(COUNTIF(INDIRECT("'"&amp;$D23&amp;"'!$V$7:$V$500"),"N/A"),0))</f>
        <v/>
      </c>
      <c r="AO23" s="92" t="str">
        <f aca="true">IF($D23="","",IFERROR(COUNTIF(INDIRECT("'"&amp;$D23&amp;"'!$AB$7:$AB$500"),"?*"),0))</f>
        <v/>
      </c>
      <c r="AP23" s="92" t="str">
        <f aca="true">IF($D23="","",IFERROR(COUNTIF(INDIRECT("'"&amp;$D23&amp;"'!$AB$7:$AB$500"),"Pass"),0))</f>
        <v/>
      </c>
      <c r="AQ23" s="92" t="str">
        <f aca="true">IF($D23="","",IFERROR(COUNTIF(INDIRECT("'"&amp;$D23&amp;"'!$AB$7:$AB$500"),"Fail"),0))</f>
        <v/>
      </c>
      <c r="AR23" s="92" t="str">
        <f aca="true">IF($D23="","",IFERROR(COUNTIF(INDIRECT("'"&amp;$D23&amp;"'!$AB$7:$AB$500"),"Block"),0))</f>
        <v/>
      </c>
      <c r="AS23" s="92" t="str">
        <f aca="true">IF($D23="","",IFERROR(COUNTIF(INDIRECT("'"&amp;$D23&amp;"'!$AB$7:$AB$500"),"N/A"),0))</f>
        <v/>
      </c>
      <c r="AT23" s="92" t="str">
        <f aca="true">IF($D23="","",IFERROR(COUNTIF(INDIRECT("'"&amp;$D23&amp;"'!$AH$7:$AH$500"),"?*"),0))</f>
        <v/>
      </c>
      <c r="AU23" s="92" t="str">
        <f aca="true">IF($D23="","",IFERROR(COUNTIF(INDIRECT("'"&amp;$D23&amp;"'!$AH$7:$AH$500"),"Pass"),0))</f>
        <v/>
      </c>
      <c r="AV23" s="92" t="str">
        <f aca="true">IF($D23="","",IFERROR(COUNTIF(INDIRECT("'"&amp;$D23&amp;"'!$AH$7:$AH$500"),"Fail"),0))</f>
        <v/>
      </c>
      <c r="AW23" s="92" t="str">
        <f aca="true">IF($D23="","",IFERROR(COUNTIF(INDIRECT("'"&amp;$D23&amp;"'!$AH$7:$AH$500"),"Block"),0))</f>
        <v/>
      </c>
      <c r="AX23" s="92" t="str">
        <f aca="true">IF($D23="","",IFERROR(COUNTIF(INDIRECT("'"&amp;$D23&amp;"'!$AH$7:$AH$500"),"N/A"),0))</f>
        <v/>
      </c>
      <c r="AY23" s="92" t="str">
        <f aca="true">IF($D23="","",IFERROR(COUNTIF(INDIRECT("'"&amp;$D23&amp;"'!$AN$7:$AN$500"),"?*"),0))</f>
        <v/>
      </c>
      <c r="AZ23" s="92" t="str">
        <f aca="true">IF($D23="","",IFERROR(COUNTIF(INDIRECT("'"&amp;$D23&amp;"'!$AN$7:$AN$500"),"Pass"),0))</f>
        <v/>
      </c>
      <c r="BA23" s="92" t="str">
        <f aca="true">IF($D23="","",IFERROR(COUNTIF(INDIRECT("'"&amp;$D23&amp;"'!$AN$7:$AN$500"),"Fail"),0))</f>
        <v/>
      </c>
      <c r="BB23" s="92" t="str">
        <f aca="true">IF($D23="","",IFERROR(COUNTIF(INDIRECT("'"&amp;$D23&amp;"'!$AN$7:$AN$500"),"Block"),0))</f>
        <v/>
      </c>
      <c r="BC23" s="1" t="str">
        <f aca="true">IF($D23="","",IFERROR(COUNTIF(INDIRECT("'"&amp;$D23&amp;"'!$AN$7:$AN$500"),"N/A"),0))</f>
        <v/>
      </c>
    </row>
    <row r="24" customFormat="false" ht="15.75" hidden="false" customHeight="true" outlineLevel="0" collapsed="false">
      <c r="B24" s="87" t="str">
        <f aca="false">IF($D24="","",ROW()-3)</f>
        <v/>
      </c>
      <c r="C24" s="88"/>
      <c r="D24" s="88"/>
      <c r="E24" s="89"/>
      <c r="F24" s="87" t="str">
        <f aca="true">IF($D24="","",IFERROR(COUNTIF(INDIRECT("'"&amp;$D24&amp;"'!$A$7:$A$500"),"?*"),0))</f>
        <v/>
      </c>
      <c r="G24" s="87" t="str">
        <f aca="true">IF($D24="","",IFERROR(COUNTIF(INDIRECT("'"&amp;$D24&amp;"'!$AT$7:$AT$500"),"Pass"),0))</f>
        <v/>
      </c>
      <c r="H24" s="87" t="str">
        <f aca="true">IF($D24="","",IFERROR(COUNTIF(INDIRECT("'"&amp;$D24&amp;"'!$AT$7:$AT$500"),"Fail"),0))</f>
        <v/>
      </c>
      <c r="I24" s="87" t="str">
        <f aca="true">IF($D24="","",IFERROR(COUNTIF(INDIRECT("'"&amp;$D24&amp;"'!$AT$7:$AT$500"),"Block"),0))</f>
        <v/>
      </c>
      <c r="J24" s="87" t="str">
        <f aca="true">IF($D24="","",IFERROR(COUNTIF(INDIRECT("'"&amp;$D24&amp;"'!$AT$7:$AT$500"),"N/A"),0))</f>
        <v/>
      </c>
      <c r="K24" s="87" t="str">
        <f aca="false">IF($D24="","",MAX(0,$F24-$G24-$H24-$I24-$J24))</f>
        <v/>
      </c>
      <c r="L24" s="87" t="str">
        <f aca="false">IF($D24="","",$G24+$H24+$I24+$J24)</f>
        <v/>
      </c>
      <c r="M24" s="90" t="str">
        <f aca="false">IF($D24="","",IFERROR($L24/$F24,0))</f>
        <v/>
      </c>
      <c r="N24" s="90" t="str">
        <f aca="false">IF($D24="","",IFERROR($G24/$L24,0))</f>
        <v/>
      </c>
      <c r="O24" s="87" t="str">
        <f aca="true">IF($D24="","",IFERROR(COUNTIF(INDIRECT("'"&amp;$D24&amp;"'!$E$7:$E$500"),"High"),0))</f>
        <v/>
      </c>
      <c r="P24" s="87" t="str">
        <f aca="true">IF($D24="","",IFERROR(COUNTIF(INDIRECT("'"&amp;$D24&amp;"'!$E$7:$E$500"),"Medium"),0))</f>
        <v/>
      </c>
      <c r="Q24" s="87" t="str">
        <f aca="true">IF($D24="","",IFERROR(COUNTIF(INDIRECT("'"&amp;$D24&amp;"'!$E$7:$E$500"),"Low"),0))</f>
        <v/>
      </c>
      <c r="R24" s="87" t="str">
        <f aca="true">IF($D24="","",IFERROR(COUNTIF(INDIRECT("'"&amp;$D24&amp;"'!$D$7:$D$500"),"Functional"),0))</f>
        <v/>
      </c>
      <c r="S24" s="87" t="str">
        <f aca="true">IF($D24="","",IFERROR(COUNTIF(INDIRECT("'"&amp;$D24&amp;"'!$D$7:$D$500"),"UI"),0))</f>
        <v/>
      </c>
      <c r="T24" s="87" t="str">
        <f aca="true">IF($D24="","",IFERROR(COUNTIF(INDIRECT("'"&amp;$D24&amp;"'!$D$7:$D$500"),"Integration"),0))</f>
        <v/>
      </c>
      <c r="U24" s="87" t="str">
        <f aca="true">IF($D24="","",IFERROR(COUNTIF(INDIRECT("'"&amp;$D24&amp;"'!$D$7:$D$500"),"Database Test Case"),0))</f>
        <v/>
      </c>
      <c r="V24" s="87" t="str">
        <f aca="true">IF($D24="","",IFERROR(COUNTIF(INDIRECT("'"&amp;$D24&amp;"'!$J$7:$J$500"),"AI"),0))</f>
        <v/>
      </c>
      <c r="W24" s="87" t="str">
        <f aca="true">IF($D24="","",IFERROR(COUNTIF(INDIRECT("'"&amp;$D24&amp;"'!$J$7:$J$500"),"QC"),0))</f>
        <v/>
      </c>
      <c r="X24" s="87" t="str">
        <f aca="true">IF($D24="","",IFERROR(COUNTIF(INDIRECT("'"&amp;$D24&amp;"'!$L$7:$L$500"),"Yes"),0))</f>
        <v/>
      </c>
      <c r="Y24" s="87" t="str">
        <f aca="true">IF($D24="","",IFERROR(COUNTIF(INDIRECT("'"&amp;$D24&amp;"'!$AR$7:$AR$500"),"Yes"),0))</f>
        <v/>
      </c>
      <c r="Z24" s="87" t="str">
        <f aca="true">IF($D24="","",IFERROR(COUNTIF(INDIRECT("'"&amp;$D24&amp;"'!$AS$7:$AS$500"),"Pass"),0))</f>
        <v/>
      </c>
      <c r="AA24" s="87" t="str">
        <f aca="true">IF($D24="","",IFERROR(COUNTIF(INDIRECT("'"&amp;$D24&amp;"'!$K$7:$K$500"),"Reviewed"),0))</f>
        <v/>
      </c>
      <c r="AB24" s="91" t="str">
        <f aca="true">IF($D24="","",IFERROR(COUNTIFS(INDIRECT("'"&amp;$D24&amp;"'!$E$7:$E$500"),"High",INDIRECT("'"&amp;$D24&amp;"'!$AT$7:$AT$500"),"?*"),0))</f>
        <v/>
      </c>
      <c r="AC24" s="91" t="str">
        <f aca="true">IF($D24="","",IFERROR(COUNTIFS(INDIRECT("'"&amp;$D24&amp;"'!$E$7:$E$500"),"Medium",INDIRECT("'"&amp;$D24&amp;"'!$AT$7:$AT$500"),"?*"),0))</f>
        <v/>
      </c>
      <c r="AD24" s="91" t="str">
        <f aca="true">IF($D24="","",IFERROR(COUNTIFS(INDIRECT("'"&amp;$D24&amp;"'!$E$7:$E$500"),"Low",INDIRECT("'"&amp;$D24&amp;"'!$AT$7:$AT$500"),"?*"),0))</f>
        <v/>
      </c>
      <c r="AE24" s="92" t="str">
        <f aca="true">IF($D24="","",IFERROR(COUNTIF(INDIRECT("'"&amp;$D24&amp;"'!$P$7:$P$500"),"?*"),0))</f>
        <v/>
      </c>
      <c r="AF24" s="92" t="str">
        <f aca="true">IF($D24="","",IFERROR(COUNTIF(INDIRECT("'"&amp;$D24&amp;"'!$P$7:$P$500"),"Pass"),0))</f>
        <v/>
      </c>
      <c r="AG24" s="92" t="str">
        <f aca="true">IF($D24="","",IFERROR(COUNTIF(INDIRECT("'"&amp;$D24&amp;"'!$P$7:$P$500"),"Fail"),0))</f>
        <v/>
      </c>
      <c r="AH24" s="92" t="str">
        <f aca="true">IF($D24="","",IFERROR(COUNTIF(INDIRECT("'"&amp;$D24&amp;"'!$P$7:$P$500"),"Block"),0))</f>
        <v/>
      </c>
      <c r="AI24" s="92" t="str">
        <f aca="true">IF($D24="","",IFERROR(COUNTIF(INDIRECT("'"&amp;$D24&amp;"'!$P$7:$P$500"),"N/A"),0))</f>
        <v/>
      </c>
      <c r="AJ24" s="92" t="str">
        <f aca="true">IF($D24="","",IFERROR(COUNTIF(INDIRECT("'"&amp;$D24&amp;"'!$V$7:$V$500"),"?*"),0))</f>
        <v/>
      </c>
      <c r="AK24" s="92" t="str">
        <f aca="true">IF($D24="","",IFERROR(COUNTIF(INDIRECT("'"&amp;$D24&amp;"'!$V$7:$V$500"),"Pass"),0))</f>
        <v/>
      </c>
      <c r="AL24" s="92" t="str">
        <f aca="true">IF($D24="","",IFERROR(COUNTIF(INDIRECT("'"&amp;$D24&amp;"'!$V$7:$V$500"),"Fail"),0))</f>
        <v/>
      </c>
      <c r="AM24" s="92" t="str">
        <f aca="true">IF($D24="","",IFERROR(COUNTIF(INDIRECT("'"&amp;$D24&amp;"'!$V$7:$V$500"),"Block"),0))</f>
        <v/>
      </c>
      <c r="AN24" s="92" t="str">
        <f aca="true">IF($D24="","",IFERROR(COUNTIF(INDIRECT("'"&amp;$D24&amp;"'!$V$7:$V$500"),"N/A"),0))</f>
        <v/>
      </c>
      <c r="AO24" s="92" t="str">
        <f aca="true">IF($D24="","",IFERROR(COUNTIF(INDIRECT("'"&amp;$D24&amp;"'!$AB$7:$AB$500"),"?*"),0))</f>
        <v/>
      </c>
      <c r="AP24" s="92" t="str">
        <f aca="true">IF($D24="","",IFERROR(COUNTIF(INDIRECT("'"&amp;$D24&amp;"'!$AB$7:$AB$500"),"Pass"),0))</f>
        <v/>
      </c>
      <c r="AQ24" s="92" t="str">
        <f aca="true">IF($D24="","",IFERROR(COUNTIF(INDIRECT("'"&amp;$D24&amp;"'!$AB$7:$AB$500"),"Fail"),0))</f>
        <v/>
      </c>
      <c r="AR24" s="92" t="str">
        <f aca="true">IF($D24="","",IFERROR(COUNTIF(INDIRECT("'"&amp;$D24&amp;"'!$AB$7:$AB$500"),"Block"),0))</f>
        <v/>
      </c>
      <c r="AS24" s="92" t="str">
        <f aca="true">IF($D24="","",IFERROR(COUNTIF(INDIRECT("'"&amp;$D24&amp;"'!$AB$7:$AB$500"),"N/A"),0))</f>
        <v/>
      </c>
      <c r="AT24" s="92" t="str">
        <f aca="true">IF($D24="","",IFERROR(COUNTIF(INDIRECT("'"&amp;$D24&amp;"'!$AH$7:$AH$500"),"?*"),0))</f>
        <v/>
      </c>
      <c r="AU24" s="92" t="str">
        <f aca="true">IF($D24="","",IFERROR(COUNTIF(INDIRECT("'"&amp;$D24&amp;"'!$AH$7:$AH$500"),"Pass"),0))</f>
        <v/>
      </c>
      <c r="AV24" s="92" t="str">
        <f aca="true">IF($D24="","",IFERROR(COUNTIF(INDIRECT("'"&amp;$D24&amp;"'!$AH$7:$AH$500"),"Fail"),0))</f>
        <v/>
      </c>
      <c r="AW24" s="92" t="str">
        <f aca="true">IF($D24="","",IFERROR(COUNTIF(INDIRECT("'"&amp;$D24&amp;"'!$AH$7:$AH$500"),"Block"),0))</f>
        <v/>
      </c>
      <c r="AX24" s="92" t="str">
        <f aca="true">IF($D24="","",IFERROR(COUNTIF(INDIRECT("'"&amp;$D24&amp;"'!$AH$7:$AH$500"),"N/A"),0))</f>
        <v/>
      </c>
      <c r="AY24" s="92" t="str">
        <f aca="true">IF($D24="","",IFERROR(COUNTIF(INDIRECT("'"&amp;$D24&amp;"'!$AN$7:$AN$500"),"?*"),0))</f>
        <v/>
      </c>
      <c r="AZ24" s="92" t="str">
        <f aca="true">IF($D24="","",IFERROR(COUNTIF(INDIRECT("'"&amp;$D24&amp;"'!$AN$7:$AN$500"),"Pass"),0))</f>
        <v/>
      </c>
      <c r="BA24" s="92" t="str">
        <f aca="true">IF($D24="","",IFERROR(COUNTIF(INDIRECT("'"&amp;$D24&amp;"'!$AN$7:$AN$500"),"Fail"),0))</f>
        <v/>
      </c>
      <c r="BB24" s="92" t="str">
        <f aca="true">IF($D24="","",IFERROR(COUNTIF(INDIRECT("'"&amp;$D24&amp;"'!$AN$7:$AN$500"),"Block"),0))</f>
        <v/>
      </c>
      <c r="BC24" s="1" t="str">
        <f aca="true">IF($D24="","",IFERROR(COUNTIF(INDIRECT("'"&amp;$D24&amp;"'!$AN$7:$AN$500"),"N/A"),0))</f>
        <v/>
      </c>
    </row>
    <row r="25" customFormat="false" ht="15.75" hidden="false" customHeight="true" outlineLevel="0" collapsed="false">
      <c r="B25" s="87" t="str">
        <f aca="false">IF($D25="","",ROW()-3)</f>
        <v/>
      </c>
      <c r="C25" s="88"/>
      <c r="D25" s="88"/>
      <c r="E25" s="89"/>
      <c r="F25" s="87" t="str">
        <f aca="true">IF($D25="","",IFERROR(COUNTIF(INDIRECT("'"&amp;$D25&amp;"'!$A$7:$A$500"),"?*"),0))</f>
        <v/>
      </c>
      <c r="G25" s="87" t="str">
        <f aca="true">IF($D25="","",IFERROR(COUNTIF(INDIRECT("'"&amp;$D25&amp;"'!$AT$7:$AT$500"),"Pass"),0))</f>
        <v/>
      </c>
      <c r="H25" s="87" t="str">
        <f aca="true">IF($D25="","",IFERROR(COUNTIF(INDIRECT("'"&amp;$D25&amp;"'!$AT$7:$AT$500"),"Fail"),0))</f>
        <v/>
      </c>
      <c r="I25" s="87" t="str">
        <f aca="true">IF($D25="","",IFERROR(COUNTIF(INDIRECT("'"&amp;$D25&amp;"'!$AT$7:$AT$500"),"Block"),0))</f>
        <v/>
      </c>
      <c r="J25" s="87" t="str">
        <f aca="true">IF($D25="","",IFERROR(COUNTIF(INDIRECT("'"&amp;$D25&amp;"'!$AT$7:$AT$500"),"N/A"),0))</f>
        <v/>
      </c>
      <c r="K25" s="87" t="str">
        <f aca="false">IF($D25="","",MAX(0,$F25-$G25-$H25-$I25-$J25))</f>
        <v/>
      </c>
      <c r="L25" s="87" t="str">
        <f aca="false">IF($D25="","",$G25+$H25+$I25+$J25)</f>
        <v/>
      </c>
      <c r="M25" s="90" t="str">
        <f aca="false">IF($D25="","",IFERROR($L25/$F25,0))</f>
        <v/>
      </c>
      <c r="N25" s="90" t="str">
        <f aca="false">IF($D25="","",IFERROR($G25/$L25,0))</f>
        <v/>
      </c>
      <c r="O25" s="87" t="str">
        <f aca="true">IF($D25="","",IFERROR(COUNTIF(INDIRECT("'"&amp;$D25&amp;"'!$E$7:$E$500"),"High"),0))</f>
        <v/>
      </c>
      <c r="P25" s="87" t="str">
        <f aca="true">IF($D25="","",IFERROR(COUNTIF(INDIRECT("'"&amp;$D25&amp;"'!$E$7:$E$500"),"Medium"),0))</f>
        <v/>
      </c>
      <c r="Q25" s="87" t="str">
        <f aca="true">IF($D25="","",IFERROR(COUNTIF(INDIRECT("'"&amp;$D25&amp;"'!$E$7:$E$500"),"Low"),0))</f>
        <v/>
      </c>
      <c r="R25" s="87" t="str">
        <f aca="true">IF($D25="","",IFERROR(COUNTIF(INDIRECT("'"&amp;$D25&amp;"'!$D$7:$D$500"),"Functional"),0))</f>
        <v/>
      </c>
      <c r="S25" s="87" t="str">
        <f aca="true">IF($D25="","",IFERROR(COUNTIF(INDIRECT("'"&amp;$D25&amp;"'!$D$7:$D$500"),"UI"),0))</f>
        <v/>
      </c>
      <c r="T25" s="87" t="str">
        <f aca="true">IF($D25="","",IFERROR(COUNTIF(INDIRECT("'"&amp;$D25&amp;"'!$D$7:$D$500"),"Integration"),0))</f>
        <v/>
      </c>
      <c r="U25" s="87" t="str">
        <f aca="true">IF($D25="","",IFERROR(COUNTIF(INDIRECT("'"&amp;$D25&amp;"'!$D$7:$D$500"),"Database Test Case"),0))</f>
        <v/>
      </c>
      <c r="V25" s="87" t="str">
        <f aca="true">IF($D25="","",IFERROR(COUNTIF(INDIRECT("'"&amp;$D25&amp;"'!$J$7:$J$500"),"AI"),0))</f>
        <v/>
      </c>
      <c r="W25" s="87" t="str">
        <f aca="true">IF($D25="","",IFERROR(COUNTIF(INDIRECT("'"&amp;$D25&amp;"'!$J$7:$J$500"),"QC"),0))</f>
        <v/>
      </c>
      <c r="X25" s="87" t="str">
        <f aca="true">IF($D25="","",IFERROR(COUNTIF(INDIRECT("'"&amp;$D25&amp;"'!$L$7:$L$500"),"Yes"),0))</f>
        <v/>
      </c>
      <c r="Y25" s="87" t="str">
        <f aca="true">IF($D25="","",IFERROR(COUNTIF(INDIRECT("'"&amp;$D25&amp;"'!$AR$7:$AR$500"),"Yes"),0))</f>
        <v/>
      </c>
      <c r="Z25" s="87" t="str">
        <f aca="true">IF($D25="","",IFERROR(COUNTIF(INDIRECT("'"&amp;$D25&amp;"'!$AS$7:$AS$500"),"Pass"),0))</f>
        <v/>
      </c>
      <c r="AA25" s="87" t="str">
        <f aca="true">IF($D25="","",IFERROR(COUNTIF(INDIRECT("'"&amp;$D25&amp;"'!$K$7:$K$500"),"Reviewed"),0))</f>
        <v/>
      </c>
      <c r="AB25" s="91" t="str">
        <f aca="true">IF($D25="","",IFERROR(COUNTIFS(INDIRECT("'"&amp;$D25&amp;"'!$E$7:$E$500"),"High",INDIRECT("'"&amp;$D25&amp;"'!$AT$7:$AT$500"),"?*"),0))</f>
        <v/>
      </c>
      <c r="AC25" s="91" t="str">
        <f aca="true">IF($D25="","",IFERROR(COUNTIFS(INDIRECT("'"&amp;$D25&amp;"'!$E$7:$E$500"),"Medium",INDIRECT("'"&amp;$D25&amp;"'!$AT$7:$AT$500"),"?*"),0))</f>
        <v/>
      </c>
      <c r="AD25" s="91" t="str">
        <f aca="true">IF($D25="","",IFERROR(COUNTIFS(INDIRECT("'"&amp;$D25&amp;"'!$E$7:$E$500"),"Low",INDIRECT("'"&amp;$D25&amp;"'!$AT$7:$AT$500"),"?*"),0))</f>
        <v/>
      </c>
      <c r="AE25" s="92" t="str">
        <f aca="true">IF($D25="","",IFERROR(COUNTIF(INDIRECT("'"&amp;$D25&amp;"'!$P$7:$P$500"),"?*"),0))</f>
        <v/>
      </c>
      <c r="AF25" s="92" t="str">
        <f aca="true">IF($D25="","",IFERROR(COUNTIF(INDIRECT("'"&amp;$D25&amp;"'!$P$7:$P$500"),"Pass"),0))</f>
        <v/>
      </c>
      <c r="AG25" s="92" t="str">
        <f aca="true">IF($D25="","",IFERROR(COUNTIF(INDIRECT("'"&amp;$D25&amp;"'!$P$7:$P$500"),"Fail"),0))</f>
        <v/>
      </c>
      <c r="AH25" s="92" t="str">
        <f aca="true">IF($D25="","",IFERROR(COUNTIF(INDIRECT("'"&amp;$D25&amp;"'!$P$7:$P$500"),"Block"),0))</f>
        <v/>
      </c>
      <c r="AI25" s="92" t="str">
        <f aca="true">IF($D25="","",IFERROR(COUNTIF(INDIRECT("'"&amp;$D25&amp;"'!$P$7:$P$500"),"N/A"),0))</f>
        <v/>
      </c>
      <c r="AJ25" s="92" t="str">
        <f aca="true">IF($D25="","",IFERROR(COUNTIF(INDIRECT("'"&amp;$D25&amp;"'!$V$7:$V$500"),"?*"),0))</f>
        <v/>
      </c>
      <c r="AK25" s="92" t="str">
        <f aca="true">IF($D25="","",IFERROR(COUNTIF(INDIRECT("'"&amp;$D25&amp;"'!$V$7:$V$500"),"Pass"),0))</f>
        <v/>
      </c>
      <c r="AL25" s="92" t="str">
        <f aca="true">IF($D25="","",IFERROR(COUNTIF(INDIRECT("'"&amp;$D25&amp;"'!$V$7:$V$500"),"Fail"),0))</f>
        <v/>
      </c>
      <c r="AM25" s="92" t="str">
        <f aca="true">IF($D25="","",IFERROR(COUNTIF(INDIRECT("'"&amp;$D25&amp;"'!$V$7:$V$500"),"Block"),0))</f>
        <v/>
      </c>
      <c r="AN25" s="92" t="str">
        <f aca="true">IF($D25="","",IFERROR(COUNTIF(INDIRECT("'"&amp;$D25&amp;"'!$V$7:$V$500"),"N/A"),0))</f>
        <v/>
      </c>
      <c r="AO25" s="92" t="str">
        <f aca="true">IF($D25="","",IFERROR(COUNTIF(INDIRECT("'"&amp;$D25&amp;"'!$AB$7:$AB$500"),"?*"),0))</f>
        <v/>
      </c>
      <c r="AP25" s="92" t="str">
        <f aca="true">IF($D25="","",IFERROR(COUNTIF(INDIRECT("'"&amp;$D25&amp;"'!$AB$7:$AB$500"),"Pass"),0))</f>
        <v/>
      </c>
      <c r="AQ25" s="92" t="str">
        <f aca="true">IF($D25="","",IFERROR(COUNTIF(INDIRECT("'"&amp;$D25&amp;"'!$AB$7:$AB$500"),"Fail"),0))</f>
        <v/>
      </c>
      <c r="AR25" s="92" t="str">
        <f aca="true">IF($D25="","",IFERROR(COUNTIF(INDIRECT("'"&amp;$D25&amp;"'!$AB$7:$AB$500"),"Block"),0))</f>
        <v/>
      </c>
      <c r="AS25" s="92" t="str">
        <f aca="true">IF($D25="","",IFERROR(COUNTIF(INDIRECT("'"&amp;$D25&amp;"'!$AB$7:$AB$500"),"N/A"),0))</f>
        <v/>
      </c>
      <c r="AT25" s="92" t="str">
        <f aca="true">IF($D25="","",IFERROR(COUNTIF(INDIRECT("'"&amp;$D25&amp;"'!$AH$7:$AH$500"),"?*"),0))</f>
        <v/>
      </c>
      <c r="AU25" s="92" t="str">
        <f aca="true">IF($D25="","",IFERROR(COUNTIF(INDIRECT("'"&amp;$D25&amp;"'!$AH$7:$AH$500"),"Pass"),0))</f>
        <v/>
      </c>
      <c r="AV25" s="92" t="str">
        <f aca="true">IF($D25="","",IFERROR(COUNTIF(INDIRECT("'"&amp;$D25&amp;"'!$AH$7:$AH$500"),"Fail"),0))</f>
        <v/>
      </c>
      <c r="AW25" s="92" t="str">
        <f aca="true">IF($D25="","",IFERROR(COUNTIF(INDIRECT("'"&amp;$D25&amp;"'!$AH$7:$AH$500"),"Block"),0))</f>
        <v/>
      </c>
      <c r="AX25" s="92" t="str">
        <f aca="true">IF($D25="","",IFERROR(COUNTIF(INDIRECT("'"&amp;$D25&amp;"'!$AH$7:$AH$500"),"N/A"),0))</f>
        <v/>
      </c>
      <c r="AY25" s="92" t="str">
        <f aca="true">IF($D25="","",IFERROR(COUNTIF(INDIRECT("'"&amp;$D25&amp;"'!$AN$7:$AN$500"),"?*"),0))</f>
        <v/>
      </c>
      <c r="AZ25" s="92" t="str">
        <f aca="true">IF($D25="","",IFERROR(COUNTIF(INDIRECT("'"&amp;$D25&amp;"'!$AN$7:$AN$500"),"Pass"),0))</f>
        <v/>
      </c>
      <c r="BA25" s="92" t="str">
        <f aca="true">IF($D25="","",IFERROR(COUNTIF(INDIRECT("'"&amp;$D25&amp;"'!$AN$7:$AN$500"),"Fail"),0))</f>
        <v/>
      </c>
      <c r="BB25" s="92" t="str">
        <f aca="true">IF($D25="","",IFERROR(COUNTIF(INDIRECT("'"&amp;$D25&amp;"'!$AN$7:$AN$500"),"Block"),0))</f>
        <v/>
      </c>
      <c r="BC25" s="1" t="str">
        <f aca="true">IF($D25="","",IFERROR(COUNTIF(INDIRECT("'"&amp;$D25&amp;"'!$AN$7:$AN$500"),"N/A"),0))</f>
        <v/>
      </c>
    </row>
    <row r="26" customFormat="false" ht="15.75" hidden="false" customHeight="true" outlineLevel="0" collapsed="false">
      <c r="B26" s="87" t="str">
        <f aca="false">IF($D26="","",ROW()-3)</f>
        <v/>
      </c>
      <c r="C26" s="88"/>
      <c r="D26" s="88"/>
      <c r="E26" s="89"/>
      <c r="F26" s="87" t="str">
        <f aca="true">IF($D26="","",IFERROR(COUNTIF(INDIRECT("'"&amp;$D26&amp;"'!$A$7:$A$500"),"?*"),0))</f>
        <v/>
      </c>
      <c r="G26" s="87" t="str">
        <f aca="true">IF($D26="","",IFERROR(COUNTIF(INDIRECT("'"&amp;$D26&amp;"'!$AT$7:$AT$500"),"Pass"),0))</f>
        <v/>
      </c>
      <c r="H26" s="87" t="str">
        <f aca="true">IF($D26="","",IFERROR(COUNTIF(INDIRECT("'"&amp;$D26&amp;"'!$AT$7:$AT$500"),"Fail"),0))</f>
        <v/>
      </c>
      <c r="I26" s="87" t="str">
        <f aca="true">IF($D26="","",IFERROR(COUNTIF(INDIRECT("'"&amp;$D26&amp;"'!$AT$7:$AT$500"),"Block"),0))</f>
        <v/>
      </c>
      <c r="J26" s="87" t="str">
        <f aca="true">IF($D26="","",IFERROR(COUNTIF(INDIRECT("'"&amp;$D26&amp;"'!$AT$7:$AT$500"),"N/A"),0))</f>
        <v/>
      </c>
      <c r="K26" s="87" t="str">
        <f aca="false">IF($D26="","",MAX(0,$F26-$G26-$H26-$I26-$J26))</f>
        <v/>
      </c>
      <c r="L26" s="87" t="str">
        <f aca="false">IF($D26="","",$G26+$H26+$I26+$J26)</f>
        <v/>
      </c>
      <c r="M26" s="90" t="str">
        <f aca="false">IF($D26="","",IFERROR($L26/$F26,0))</f>
        <v/>
      </c>
      <c r="N26" s="90" t="str">
        <f aca="false">IF($D26="","",IFERROR($G26/$L26,0))</f>
        <v/>
      </c>
      <c r="O26" s="87" t="str">
        <f aca="true">IF($D26="","",IFERROR(COUNTIF(INDIRECT("'"&amp;$D26&amp;"'!$E$7:$E$500"),"High"),0))</f>
        <v/>
      </c>
      <c r="P26" s="87" t="str">
        <f aca="true">IF($D26="","",IFERROR(COUNTIF(INDIRECT("'"&amp;$D26&amp;"'!$E$7:$E$500"),"Medium"),0))</f>
        <v/>
      </c>
      <c r="Q26" s="87" t="str">
        <f aca="true">IF($D26="","",IFERROR(COUNTIF(INDIRECT("'"&amp;$D26&amp;"'!$E$7:$E$500"),"Low"),0))</f>
        <v/>
      </c>
      <c r="R26" s="87" t="str">
        <f aca="true">IF($D26="","",IFERROR(COUNTIF(INDIRECT("'"&amp;$D26&amp;"'!$D$7:$D$500"),"Functional"),0))</f>
        <v/>
      </c>
      <c r="S26" s="87" t="str">
        <f aca="true">IF($D26="","",IFERROR(COUNTIF(INDIRECT("'"&amp;$D26&amp;"'!$D$7:$D$500"),"UI"),0))</f>
        <v/>
      </c>
      <c r="T26" s="87" t="str">
        <f aca="true">IF($D26="","",IFERROR(COUNTIF(INDIRECT("'"&amp;$D26&amp;"'!$D$7:$D$500"),"Integration"),0))</f>
        <v/>
      </c>
      <c r="U26" s="87" t="str">
        <f aca="true">IF($D26="","",IFERROR(COUNTIF(INDIRECT("'"&amp;$D26&amp;"'!$D$7:$D$500"),"Database Test Case"),0))</f>
        <v/>
      </c>
      <c r="V26" s="87" t="str">
        <f aca="true">IF($D26="","",IFERROR(COUNTIF(INDIRECT("'"&amp;$D26&amp;"'!$J$7:$J$500"),"AI"),0))</f>
        <v/>
      </c>
      <c r="W26" s="87" t="str">
        <f aca="true">IF($D26="","",IFERROR(COUNTIF(INDIRECT("'"&amp;$D26&amp;"'!$J$7:$J$500"),"QC"),0))</f>
        <v/>
      </c>
      <c r="X26" s="87" t="str">
        <f aca="true">IF($D26="","",IFERROR(COUNTIF(INDIRECT("'"&amp;$D26&amp;"'!$L$7:$L$500"),"Yes"),0))</f>
        <v/>
      </c>
      <c r="Y26" s="87" t="str">
        <f aca="true">IF($D26="","",IFERROR(COUNTIF(INDIRECT("'"&amp;$D26&amp;"'!$AR$7:$AR$500"),"Yes"),0))</f>
        <v/>
      </c>
      <c r="Z26" s="87" t="str">
        <f aca="true">IF($D26="","",IFERROR(COUNTIF(INDIRECT("'"&amp;$D26&amp;"'!$AS$7:$AS$500"),"Pass"),0))</f>
        <v/>
      </c>
      <c r="AA26" s="87" t="str">
        <f aca="true">IF($D26="","",IFERROR(COUNTIF(INDIRECT("'"&amp;$D26&amp;"'!$K$7:$K$500"),"Reviewed"),0))</f>
        <v/>
      </c>
      <c r="AB26" s="91" t="str">
        <f aca="true">IF($D26="","",IFERROR(COUNTIFS(INDIRECT("'"&amp;$D26&amp;"'!$E$7:$E$500"),"High",INDIRECT("'"&amp;$D26&amp;"'!$AT$7:$AT$500"),"?*"),0))</f>
        <v/>
      </c>
      <c r="AC26" s="91" t="str">
        <f aca="true">IF($D26="","",IFERROR(COUNTIFS(INDIRECT("'"&amp;$D26&amp;"'!$E$7:$E$500"),"Medium",INDIRECT("'"&amp;$D26&amp;"'!$AT$7:$AT$500"),"?*"),0))</f>
        <v/>
      </c>
      <c r="AD26" s="91" t="str">
        <f aca="true">IF($D26="","",IFERROR(COUNTIFS(INDIRECT("'"&amp;$D26&amp;"'!$E$7:$E$500"),"Low",INDIRECT("'"&amp;$D26&amp;"'!$AT$7:$AT$500"),"?*"),0))</f>
        <v/>
      </c>
      <c r="AE26" s="92" t="str">
        <f aca="true">IF($D26="","",IFERROR(COUNTIF(INDIRECT("'"&amp;$D26&amp;"'!$P$7:$P$500"),"?*"),0))</f>
        <v/>
      </c>
      <c r="AF26" s="92" t="str">
        <f aca="true">IF($D26="","",IFERROR(COUNTIF(INDIRECT("'"&amp;$D26&amp;"'!$P$7:$P$500"),"Pass"),0))</f>
        <v/>
      </c>
      <c r="AG26" s="92" t="str">
        <f aca="true">IF($D26="","",IFERROR(COUNTIF(INDIRECT("'"&amp;$D26&amp;"'!$P$7:$P$500"),"Fail"),0))</f>
        <v/>
      </c>
      <c r="AH26" s="92" t="str">
        <f aca="true">IF($D26="","",IFERROR(COUNTIF(INDIRECT("'"&amp;$D26&amp;"'!$P$7:$P$500"),"Block"),0))</f>
        <v/>
      </c>
      <c r="AI26" s="92" t="str">
        <f aca="true">IF($D26="","",IFERROR(COUNTIF(INDIRECT("'"&amp;$D26&amp;"'!$P$7:$P$500"),"N/A"),0))</f>
        <v/>
      </c>
      <c r="AJ26" s="92" t="str">
        <f aca="true">IF($D26="","",IFERROR(COUNTIF(INDIRECT("'"&amp;$D26&amp;"'!$V$7:$V$500"),"?*"),0))</f>
        <v/>
      </c>
      <c r="AK26" s="92" t="str">
        <f aca="true">IF($D26="","",IFERROR(COUNTIF(INDIRECT("'"&amp;$D26&amp;"'!$V$7:$V$500"),"Pass"),0))</f>
        <v/>
      </c>
      <c r="AL26" s="92" t="str">
        <f aca="true">IF($D26="","",IFERROR(COUNTIF(INDIRECT("'"&amp;$D26&amp;"'!$V$7:$V$500"),"Fail"),0))</f>
        <v/>
      </c>
      <c r="AM26" s="92" t="str">
        <f aca="true">IF($D26="","",IFERROR(COUNTIF(INDIRECT("'"&amp;$D26&amp;"'!$V$7:$V$500"),"Block"),0))</f>
        <v/>
      </c>
      <c r="AN26" s="92" t="str">
        <f aca="true">IF($D26="","",IFERROR(COUNTIF(INDIRECT("'"&amp;$D26&amp;"'!$V$7:$V$500"),"N/A"),0))</f>
        <v/>
      </c>
      <c r="AO26" s="92" t="str">
        <f aca="true">IF($D26="","",IFERROR(COUNTIF(INDIRECT("'"&amp;$D26&amp;"'!$AB$7:$AB$500"),"?*"),0))</f>
        <v/>
      </c>
      <c r="AP26" s="92" t="str">
        <f aca="true">IF($D26="","",IFERROR(COUNTIF(INDIRECT("'"&amp;$D26&amp;"'!$AB$7:$AB$500"),"Pass"),0))</f>
        <v/>
      </c>
      <c r="AQ26" s="92" t="str">
        <f aca="true">IF($D26="","",IFERROR(COUNTIF(INDIRECT("'"&amp;$D26&amp;"'!$AB$7:$AB$500"),"Fail"),0))</f>
        <v/>
      </c>
      <c r="AR26" s="92" t="str">
        <f aca="true">IF($D26="","",IFERROR(COUNTIF(INDIRECT("'"&amp;$D26&amp;"'!$AB$7:$AB$500"),"Block"),0))</f>
        <v/>
      </c>
      <c r="AS26" s="92" t="str">
        <f aca="true">IF($D26="","",IFERROR(COUNTIF(INDIRECT("'"&amp;$D26&amp;"'!$AB$7:$AB$500"),"N/A"),0))</f>
        <v/>
      </c>
      <c r="AT26" s="92" t="str">
        <f aca="true">IF($D26="","",IFERROR(COUNTIF(INDIRECT("'"&amp;$D26&amp;"'!$AH$7:$AH$500"),"?*"),0))</f>
        <v/>
      </c>
      <c r="AU26" s="92" t="str">
        <f aca="true">IF($D26="","",IFERROR(COUNTIF(INDIRECT("'"&amp;$D26&amp;"'!$AH$7:$AH$500"),"Pass"),0))</f>
        <v/>
      </c>
      <c r="AV26" s="92" t="str">
        <f aca="true">IF($D26="","",IFERROR(COUNTIF(INDIRECT("'"&amp;$D26&amp;"'!$AH$7:$AH$500"),"Fail"),0))</f>
        <v/>
      </c>
      <c r="AW26" s="92" t="str">
        <f aca="true">IF($D26="","",IFERROR(COUNTIF(INDIRECT("'"&amp;$D26&amp;"'!$AH$7:$AH$500"),"Block"),0))</f>
        <v/>
      </c>
      <c r="AX26" s="92" t="str">
        <f aca="true">IF($D26="","",IFERROR(COUNTIF(INDIRECT("'"&amp;$D26&amp;"'!$AH$7:$AH$500"),"N/A"),0))</f>
        <v/>
      </c>
      <c r="AY26" s="92" t="str">
        <f aca="true">IF($D26="","",IFERROR(COUNTIF(INDIRECT("'"&amp;$D26&amp;"'!$AN$7:$AN$500"),"?*"),0))</f>
        <v/>
      </c>
      <c r="AZ26" s="92" t="str">
        <f aca="true">IF($D26="","",IFERROR(COUNTIF(INDIRECT("'"&amp;$D26&amp;"'!$AN$7:$AN$500"),"Pass"),0))</f>
        <v/>
      </c>
      <c r="BA26" s="92" t="str">
        <f aca="true">IF($D26="","",IFERROR(COUNTIF(INDIRECT("'"&amp;$D26&amp;"'!$AN$7:$AN$500"),"Fail"),0))</f>
        <v/>
      </c>
      <c r="BB26" s="92" t="str">
        <f aca="true">IF($D26="","",IFERROR(COUNTIF(INDIRECT("'"&amp;$D26&amp;"'!$AN$7:$AN$500"),"Block"),0))</f>
        <v/>
      </c>
      <c r="BC26" s="1" t="str">
        <f aca="true">IF($D26="","",IFERROR(COUNTIF(INDIRECT("'"&amp;$D26&amp;"'!$AN$7:$AN$500"),"N/A"),0))</f>
        <v/>
      </c>
    </row>
    <row r="27" customFormat="false" ht="15.75" hidden="false" customHeight="true" outlineLevel="0" collapsed="false">
      <c r="B27" s="87" t="str">
        <f aca="false">IF($D27="","",ROW()-3)</f>
        <v/>
      </c>
      <c r="C27" s="88"/>
      <c r="D27" s="88"/>
      <c r="E27" s="89"/>
      <c r="F27" s="87" t="str">
        <f aca="true">IF($D27="","",IFERROR(COUNTIF(INDIRECT("'"&amp;$D27&amp;"'!$A$7:$A$500"),"?*"),0))</f>
        <v/>
      </c>
      <c r="G27" s="87" t="str">
        <f aca="true">IF($D27="","",IFERROR(COUNTIF(INDIRECT("'"&amp;$D27&amp;"'!$AT$7:$AT$500"),"Pass"),0))</f>
        <v/>
      </c>
      <c r="H27" s="87" t="str">
        <f aca="true">IF($D27="","",IFERROR(COUNTIF(INDIRECT("'"&amp;$D27&amp;"'!$AT$7:$AT$500"),"Fail"),0))</f>
        <v/>
      </c>
      <c r="I27" s="87" t="str">
        <f aca="true">IF($D27="","",IFERROR(COUNTIF(INDIRECT("'"&amp;$D27&amp;"'!$AT$7:$AT$500"),"Block"),0))</f>
        <v/>
      </c>
      <c r="J27" s="87" t="str">
        <f aca="true">IF($D27="","",IFERROR(COUNTIF(INDIRECT("'"&amp;$D27&amp;"'!$AT$7:$AT$500"),"N/A"),0))</f>
        <v/>
      </c>
      <c r="K27" s="87" t="str">
        <f aca="false">IF($D27="","",MAX(0,$F27-$G27-$H27-$I27-$J27))</f>
        <v/>
      </c>
      <c r="L27" s="87" t="str">
        <f aca="false">IF($D27="","",$G27+$H27+$I27+$J27)</f>
        <v/>
      </c>
      <c r="M27" s="90" t="str">
        <f aca="false">IF($D27="","",IFERROR($L27/$F27,0))</f>
        <v/>
      </c>
      <c r="N27" s="90" t="str">
        <f aca="false">IF($D27="","",IFERROR($G27/$L27,0))</f>
        <v/>
      </c>
      <c r="O27" s="87" t="str">
        <f aca="true">IF($D27="","",IFERROR(COUNTIF(INDIRECT("'"&amp;$D27&amp;"'!$E$7:$E$500"),"High"),0))</f>
        <v/>
      </c>
      <c r="P27" s="87" t="str">
        <f aca="true">IF($D27="","",IFERROR(COUNTIF(INDIRECT("'"&amp;$D27&amp;"'!$E$7:$E$500"),"Medium"),0))</f>
        <v/>
      </c>
      <c r="Q27" s="87" t="str">
        <f aca="true">IF($D27="","",IFERROR(COUNTIF(INDIRECT("'"&amp;$D27&amp;"'!$E$7:$E$500"),"Low"),0))</f>
        <v/>
      </c>
      <c r="R27" s="87" t="str">
        <f aca="true">IF($D27="","",IFERROR(COUNTIF(INDIRECT("'"&amp;$D27&amp;"'!$D$7:$D$500"),"Functional"),0))</f>
        <v/>
      </c>
      <c r="S27" s="87" t="str">
        <f aca="true">IF($D27="","",IFERROR(COUNTIF(INDIRECT("'"&amp;$D27&amp;"'!$D$7:$D$500"),"UI"),0))</f>
        <v/>
      </c>
      <c r="T27" s="87" t="str">
        <f aca="true">IF($D27="","",IFERROR(COUNTIF(INDIRECT("'"&amp;$D27&amp;"'!$D$7:$D$500"),"Integration"),0))</f>
        <v/>
      </c>
      <c r="U27" s="87" t="str">
        <f aca="true">IF($D27="","",IFERROR(COUNTIF(INDIRECT("'"&amp;$D27&amp;"'!$D$7:$D$500"),"Database Test Case"),0))</f>
        <v/>
      </c>
      <c r="V27" s="87" t="str">
        <f aca="true">IF($D27="","",IFERROR(COUNTIF(INDIRECT("'"&amp;$D27&amp;"'!$J$7:$J$500"),"AI"),0))</f>
        <v/>
      </c>
      <c r="W27" s="87" t="str">
        <f aca="true">IF($D27="","",IFERROR(COUNTIF(INDIRECT("'"&amp;$D27&amp;"'!$J$7:$J$500"),"QC"),0))</f>
        <v/>
      </c>
      <c r="X27" s="87" t="str">
        <f aca="true">IF($D27="","",IFERROR(COUNTIF(INDIRECT("'"&amp;$D27&amp;"'!$L$7:$L$500"),"Yes"),0))</f>
        <v/>
      </c>
      <c r="Y27" s="87" t="str">
        <f aca="true">IF($D27="","",IFERROR(COUNTIF(INDIRECT("'"&amp;$D27&amp;"'!$AR$7:$AR$500"),"Yes"),0))</f>
        <v/>
      </c>
      <c r="Z27" s="87" t="str">
        <f aca="true">IF($D27="","",IFERROR(COUNTIF(INDIRECT("'"&amp;$D27&amp;"'!$AS$7:$AS$500"),"Pass"),0))</f>
        <v/>
      </c>
      <c r="AA27" s="87" t="str">
        <f aca="true">IF($D27="","",IFERROR(COUNTIF(INDIRECT("'"&amp;$D27&amp;"'!$K$7:$K$500"),"Reviewed"),0))</f>
        <v/>
      </c>
      <c r="AB27" s="91" t="str">
        <f aca="true">IF($D27="","",IFERROR(COUNTIFS(INDIRECT("'"&amp;$D27&amp;"'!$E$7:$E$500"),"High",INDIRECT("'"&amp;$D27&amp;"'!$AT$7:$AT$500"),"?*"),0))</f>
        <v/>
      </c>
      <c r="AC27" s="91" t="str">
        <f aca="true">IF($D27="","",IFERROR(COUNTIFS(INDIRECT("'"&amp;$D27&amp;"'!$E$7:$E$500"),"Medium",INDIRECT("'"&amp;$D27&amp;"'!$AT$7:$AT$500"),"?*"),0))</f>
        <v/>
      </c>
      <c r="AD27" s="91" t="str">
        <f aca="true">IF($D27="","",IFERROR(COUNTIFS(INDIRECT("'"&amp;$D27&amp;"'!$E$7:$E$500"),"Low",INDIRECT("'"&amp;$D27&amp;"'!$AT$7:$AT$500"),"?*"),0))</f>
        <v/>
      </c>
      <c r="AE27" s="92" t="str">
        <f aca="true">IF($D27="","",IFERROR(COUNTIF(INDIRECT("'"&amp;$D27&amp;"'!$P$7:$P$500"),"?*"),0))</f>
        <v/>
      </c>
      <c r="AF27" s="92" t="str">
        <f aca="true">IF($D27="","",IFERROR(COUNTIF(INDIRECT("'"&amp;$D27&amp;"'!$P$7:$P$500"),"Pass"),0))</f>
        <v/>
      </c>
      <c r="AG27" s="92" t="str">
        <f aca="true">IF($D27="","",IFERROR(COUNTIF(INDIRECT("'"&amp;$D27&amp;"'!$P$7:$P$500"),"Fail"),0))</f>
        <v/>
      </c>
      <c r="AH27" s="92" t="str">
        <f aca="true">IF($D27="","",IFERROR(COUNTIF(INDIRECT("'"&amp;$D27&amp;"'!$P$7:$P$500"),"Block"),0))</f>
        <v/>
      </c>
      <c r="AI27" s="92" t="str">
        <f aca="true">IF($D27="","",IFERROR(COUNTIF(INDIRECT("'"&amp;$D27&amp;"'!$P$7:$P$500"),"N/A"),0))</f>
        <v/>
      </c>
      <c r="AJ27" s="92" t="str">
        <f aca="true">IF($D27="","",IFERROR(COUNTIF(INDIRECT("'"&amp;$D27&amp;"'!$V$7:$V$500"),"?*"),0))</f>
        <v/>
      </c>
      <c r="AK27" s="92" t="str">
        <f aca="true">IF($D27="","",IFERROR(COUNTIF(INDIRECT("'"&amp;$D27&amp;"'!$V$7:$V$500"),"Pass"),0))</f>
        <v/>
      </c>
      <c r="AL27" s="92" t="str">
        <f aca="true">IF($D27="","",IFERROR(COUNTIF(INDIRECT("'"&amp;$D27&amp;"'!$V$7:$V$500"),"Fail"),0))</f>
        <v/>
      </c>
      <c r="AM27" s="92" t="str">
        <f aca="true">IF($D27="","",IFERROR(COUNTIF(INDIRECT("'"&amp;$D27&amp;"'!$V$7:$V$500"),"Block"),0))</f>
        <v/>
      </c>
      <c r="AN27" s="92" t="str">
        <f aca="true">IF($D27="","",IFERROR(COUNTIF(INDIRECT("'"&amp;$D27&amp;"'!$V$7:$V$500"),"N/A"),0))</f>
        <v/>
      </c>
      <c r="AO27" s="92" t="str">
        <f aca="true">IF($D27="","",IFERROR(COUNTIF(INDIRECT("'"&amp;$D27&amp;"'!$AB$7:$AB$500"),"?*"),0))</f>
        <v/>
      </c>
      <c r="AP27" s="92" t="str">
        <f aca="true">IF($D27="","",IFERROR(COUNTIF(INDIRECT("'"&amp;$D27&amp;"'!$AB$7:$AB$500"),"Pass"),0))</f>
        <v/>
      </c>
      <c r="AQ27" s="92" t="str">
        <f aca="true">IF($D27="","",IFERROR(COUNTIF(INDIRECT("'"&amp;$D27&amp;"'!$AB$7:$AB$500"),"Fail"),0))</f>
        <v/>
      </c>
      <c r="AR27" s="92" t="str">
        <f aca="true">IF($D27="","",IFERROR(COUNTIF(INDIRECT("'"&amp;$D27&amp;"'!$AB$7:$AB$500"),"Block"),0))</f>
        <v/>
      </c>
      <c r="AS27" s="92" t="str">
        <f aca="true">IF($D27="","",IFERROR(COUNTIF(INDIRECT("'"&amp;$D27&amp;"'!$AB$7:$AB$500"),"N/A"),0))</f>
        <v/>
      </c>
      <c r="AT27" s="92" t="str">
        <f aca="true">IF($D27="","",IFERROR(COUNTIF(INDIRECT("'"&amp;$D27&amp;"'!$AH$7:$AH$500"),"?*"),0))</f>
        <v/>
      </c>
      <c r="AU27" s="92" t="str">
        <f aca="true">IF($D27="","",IFERROR(COUNTIF(INDIRECT("'"&amp;$D27&amp;"'!$AH$7:$AH$500"),"Pass"),0))</f>
        <v/>
      </c>
      <c r="AV27" s="92" t="str">
        <f aca="true">IF($D27="","",IFERROR(COUNTIF(INDIRECT("'"&amp;$D27&amp;"'!$AH$7:$AH$500"),"Fail"),0))</f>
        <v/>
      </c>
      <c r="AW27" s="92" t="str">
        <f aca="true">IF($D27="","",IFERROR(COUNTIF(INDIRECT("'"&amp;$D27&amp;"'!$AH$7:$AH$500"),"Block"),0))</f>
        <v/>
      </c>
      <c r="AX27" s="92" t="str">
        <f aca="true">IF($D27="","",IFERROR(COUNTIF(INDIRECT("'"&amp;$D27&amp;"'!$AH$7:$AH$500"),"N/A"),0))</f>
        <v/>
      </c>
      <c r="AY27" s="92" t="str">
        <f aca="true">IF($D27="","",IFERROR(COUNTIF(INDIRECT("'"&amp;$D27&amp;"'!$AN$7:$AN$500"),"?*"),0))</f>
        <v/>
      </c>
      <c r="AZ27" s="92" t="str">
        <f aca="true">IF($D27="","",IFERROR(COUNTIF(INDIRECT("'"&amp;$D27&amp;"'!$AN$7:$AN$500"),"Pass"),0))</f>
        <v/>
      </c>
      <c r="BA27" s="92" t="str">
        <f aca="true">IF($D27="","",IFERROR(COUNTIF(INDIRECT("'"&amp;$D27&amp;"'!$AN$7:$AN$500"),"Fail"),0))</f>
        <v/>
      </c>
      <c r="BB27" s="92" t="str">
        <f aca="true">IF($D27="","",IFERROR(COUNTIF(INDIRECT("'"&amp;$D27&amp;"'!$AN$7:$AN$500"),"Block"),0))</f>
        <v/>
      </c>
      <c r="BC27" s="1" t="str">
        <f aca="true">IF($D27="","",IFERROR(COUNTIF(INDIRECT("'"&amp;$D27&amp;"'!$AN$7:$AN$500"),"N/A"),0))</f>
        <v/>
      </c>
    </row>
    <row r="28" customFormat="false" ht="15.75" hidden="false" customHeight="true" outlineLevel="0" collapsed="false">
      <c r="B28" s="87" t="str">
        <f aca="false">IF($D28="","",ROW()-3)</f>
        <v/>
      </c>
      <c r="C28" s="88"/>
      <c r="D28" s="88"/>
      <c r="E28" s="89"/>
      <c r="F28" s="87" t="str">
        <f aca="true">IF($D28="","",IFERROR(COUNTIF(INDIRECT("'"&amp;$D28&amp;"'!$A$7:$A$500"),"?*"),0))</f>
        <v/>
      </c>
      <c r="G28" s="87" t="str">
        <f aca="true">IF($D28="","",IFERROR(COUNTIF(INDIRECT("'"&amp;$D28&amp;"'!$AT$7:$AT$500"),"Pass"),0))</f>
        <v/>
      </c>
      <c r="H28" s="87" t="str">
        <f aca="true">IF($D28="","",IFERROR(COUNTIF(INDIRECT("'"&amp;$D28&amp;"'!$AT$7:$AT$500"),"Fail"),0))</f>
        <v/>
      </c>
      <c r="I28" s="87" t="str">
        <f aca="true">IF($D28="","",IFERROR(COUNTIF(INDIRECT("'"&amp;$D28&amp;"'!$AT$7:$AT$500"),"Block"),0))</f>
        <v/>
      </c>
      <c r="J28" s="87" t="str">
        <f aca="true">IF($D28="","",IFERROR(COUNTIF(INDIRECT("'"&amp;$D28&amp;"'!$AT$7:$AT$500"),"N/A"),0))</f>
        <v/>
      </c>
      <c r="K28" s="87" t="str">
        <f aca="false">IF($D28="","",MAX(0,$F28-$G28-$H28-$I28-$J28))</f>
        <v/>
      </c>
      <c r="L28" s="87" t="str">
        <f aca="false">IF($D28="","",$G28+$H28+$I28+$J28)</f>
        <v/>
      </c>
      <c r="M28" s="90" t="str">
        <f aca="false">IF($D28="","",IFERROR($L28/$F28,0))</f>
        <v/>
      </c>
      <c r="N28" s="90" t="str">
        <f aca="false">IF($D28="","",IFERROR($G28/$L28,0))</f>
        <v/>
      </c>
      <c r="O28" s="87" t="str">
        <f aca="true">IF($D28="","",IFERROR(COUNTIF(INDIRECT("'"&amp;$D28&amp;"'!$E$7:$E$500"),"High"),0))</f>
        <v/>
      </c>
      <c r="P28" s="87" t="str">
        <f aca="true">IF($D28="","",IFERROR(COUNTIF(INDIRECT("'"&amp;$D28&amp;"'!$E$7:$E$500"),"Medium"),0))</f>
        <v/>
      </c>
      <c r="Q28" s="87" t="str">
        <f aca="true">IF($D28="","",IFERROR(COUNTIF(INDIRECT("'"&amp;$D28&amp;"'!$E$7:$E$500"),"Low"),0))</f>
        <v/>
      </c>
      <c r="R28" s="87" t="str">
        <f aca="true">IF($D28="","",IFERROR(COUNTIF(INDIRECT("'"&amp;$D28&amp;"'!$D$7:$D$500"),"Functional"),0))</f>
        <v/>
      </c>
      <c r="S28" s="87" t="str">
        <f aca="true">IF($D28="","",IFERROR(COUNTIF(INDIRECT("'"&amp;$D28&amp;"'!$D$7:$D$500"),"UI"),0))</f>
        <v/>
      </c>
      <c r="T28" s="87" t="str">
        <f aca="true">IF($D28="","",IFERROR(COUNTIF(INDIRECT("'"&amp;$D28&amp;"'!$D$7:$D$500"),"Integration"),0))</f>
        <v/>
      </c>
      <c r="U28" s="87" t="str">
        <f aca="true">IF($D28="","",IFERROR(COUNTIF(INDIRECT("'"&amp;$D28&amp;"'!$D$7:$D$500"),"Database Test Case"),0))</f>
        <v/>
      </c>
      <c r="V28" s="87" t="str">
        <f aca="true">IF($D28="","",IFERROR(COUNTIF(INDIRECT("'"&amp;$D28&amp;"'!$J$7:$J$500"),"AI"),0))</f>
        <v/>
      </c>
      <c r="W28" s="87" t="str">
        <f aca="true">IF($D28="","",IFERROR(COUNTIF(INDIRECT("'"&amp;$D28&amp;"'!$J$7:$J$500"),"QC"),0))</f>
        <v/>
      </c>
      <c r="X28" s="87" t="str">
        <f aca="true">IF($D28="","",IFERROR(COUNTIF(INDIRECT("'"&amp;$D28&amp;"'!$L$7:$L$500"),"Yes"),0))</f>
        <v/>
      </c>
      <c r="Y28" s="87" t="str">
        <f aca="true">IF($D28="","",IFERROR(COUNTIF(INDIRECT("'"&amp;$D28&amp;"'!$AR$7:$AR$500"),"Yes"),0))</f>
        <v/>
      </c>
      <c r="Z28" s="87" t="str">
        <f aca="true">IF($D28="","",IFERROR(COUNTIF(INDIRECT("'"&amp;$D28&amp;"'!$AS$7:$AS$500"),"Pass"),0))</f>
        <v/>
      </c>
      <c r="AA28" s="87" t="str">
        <f aca="true">IF($D28="","",IFERROR(COUNTIF(INDIRECT("'"&amp;$D28&amp;"'!$K$7:$K$500"),"Reviewed"),0))</f>
        <v/>
      </c>
      <c r="AB28" s="91" t="str">
        <f aca="true">IF($D28="","",IFERROR(COUNTIFS(INDIRECT("'"&amp;$D28&amp;"'!$E$7:$E$500"),"High",INDIRECT("'"&amp;$D28&amp;"'!$AT$7:$AT$500"),"?*"),0))</f>
        <v/>
      </c>
      <c r="AC28" s="91" t="str">
        <f aca="true">IF($D28="","",IFERROR(COUNTIFS(INDIRECT("'"&amp;$D28&amp;"'!$E$7:$E$500"),"Medium",INDIRECT("'"&amp;$D28&amp;"'!$AT$7:$AT$500"),"?*"),0))</f>
        <v/>
      </c>
      <c r="AD28" s="91" t="str">
        <f aca="true">IF($D28="","",IFERROR(COUNTIFS(INDIRECT("'"&amp;$D28&amp;"'!$E$7:$E$500"),"Low",INDIRECT("'"&amp;$D28&amp;"'!$AT$7:$AT$500"),"?*"),0))</f>
        <v/>
      </c>
      <c r="AE28" s="92" t="str">
        <f aca="true">IF($D28="","",IFERROR(COUNTIF(INDIRECT("'"&amp;$D28&amp;"'!$P$7:$P$500"),"?*"),0))</f>
        <v/>
      </c>
      <c r="AF28" s="92" t="str">
        <f aca="true">IF($D28="","",IFERROR(COUNTIF(INDIRECT("'"&amp;$D28&amp;"'!$P$7:$P$500"),"Pass"),0))</f>
        <v/>
      </c>
      <c r="AG28" s="92" t="str">
        <f aca="true">IF($D28="","",IFERROR(COUNTIF(INDIRECT("'"&amp;$D28&amp;"'!$P$7:$P$500"),"Fail"),0))</f>
        <v/>
      </c>
      <c r="AH28" s="92" t="str">
        <f aca="true">IF($D28="","",IFERROR(COUNTIF(INDIRECT("'"&amp;$D28&amp;"'!$P$7:$P$500"),"Block"),0))</f>
        <v/>
      </c>
      <c r="AI28" s="92" t="str">
        <f aca="true">IF($D28="","",IFERROR(COUNTIF(INDIRECT("'"&amp;$D28&amp;"'!$P$7:$P$500"),"N/A"),0))</f>
        <v/>
      </c>
      <c r="AJ28" s="92" t="str">
        <f aca="true">IF($D28="","",IFERROR(COUNTIF(INDIRECT("'"&amp;$D28&amp;"'!$V$7:$V$500"),"?*"),0))</f>
        <v/>
      </c>
      <c r="AK28" s="92" t="str">
        <f aca="true">IF($D28="","",IFERROR(COUNTIF(INDIRECT("'"&amp;$D28&amp;"'!$V$7:$V$500"),"Pass"),0))</f>
        <v/>
      </c>
      <c r="AL28" s="92" t="str">
        <f aca="true">IF($D28="","",IFERROR(COUNTIF(INDIRECT("'"&amp;$D28&amp;"'!$V$7:$V$500"),"Fail"),0))</f>
        <v/>
      </c>
      <c r="AM28" s="92" t="str">
        <f aca="true">IF($D28="","",IFERROR(COUNTIF(INDIRECT("'"&amp;$D28&amp;"'!$V$7:$V$500"),"Block"),0))</f>
        <v/>
      </c>
      <c r="AN28" s="92" t="str">
        <f aca="true">IF($D28="","",IFERROR(COUNTIF(INDIRECT("'"&amp;$D28&amp;"'!$V$7:$V$500"),"N/A"),0))</f>
        <v/>
      </c>
      <c r="AO28" s="92" t="str">
        <f aca="true">IF($D28="","",IFERROR(COUNTIF(INDIRECT("'"&amp;$D28&amp;"'!$AB$7:$AB$500"),"?*"),0))</f>
        <v/>
      </c>
      <c r="AP28" s="92" t="str">
        <f aca="true">IF($D28="","",IFERROR(COUNTIF(INDIRECT("'"&amp;$D28&amp;"'!$AB$7:$AB$500"),"Pass"),0))</f>
        <v/>
      </c>
      <c r="AQ28" s="92" t="str">
        <f aca="true">IF($D28="","",IFERROR(COUNTIF(INDIRECT("'"&amp;$D28&amp;"'!$AB$7:$AB$500"),"Fail"),0))</f>
        <v/>
      </c>
      <c r="AR28" s="92" t="str">
        <f aca="true">IF($D28="","",IFERROR(COUNTIF(INDIRECT("'"&amp;$D28&amp;"'!$AB$7:$AB$500"),"Block"),0))</f>
        <v/>
      </c>
      <c r="AS28" s="92" t="str">
        <f aca="true">IF($D28="","",IFERROR(COUNTIF(INDIRECT("'"&amp;$D28&amp;"'!$AB$7:$AB$500"),"N/A"),0))</f>
        <v/>
      </c>
      <c r="AT28" s="92" t="str">
        <f aca="true">IF($D28="","",IFERROR(COUNTIF(INDIRECT("'"&amp;$D28&amp;"'!$AH$7:$AH$500"),"?*"),0))</f>
        <v/>
      </c>
      <c r="AU28" s="92" t="str">
        <f aca="true">IF($D28="","",IFERROR(COUNTIF(INDIRECT("'"&amp;$D28&amp;"'!$AH$7:$AH$500"),"Pass"),0))</f>
        <v/>
      </c>
      <c r="AV28" s="92" t="str">
        <f aca="true">IF($D28="","",IFERROR(COUNTIF(INDIRECT("'"&amp;$D28&amp;"'!$AH$7:$AH$500"),"Fail"),0))</f>
        <v/>
      </c>
      <c r="AW28" s="92" t="str">
        <f aca="true">IF($D28="","",IFERROR(COUNTIF(INDIRECT("'"&amp;$D28&amp;"'!$AH$7:$AH$500"),"Block"),0))</f>
        <v/>
      </c>
      <c r="AX28" s="92" t="str">
        <f aca="true">IF($D28="","",IFERROR(COUNTIF(INDIRECT("'"&amp;$D28&amp;"'!$AH$7:$AH$500"),"N/A"),0))</f>
        <v/>
      </c>
      <c r="AY28" s="92" t="str">
        <f aca="true">IF($D28="","",IFERROR(COUNTIF(INDIRECT("'"&amp;$D28&amp;"'!$AN$7:$AN$500"),"?*"),0))</f>
        <v/>
      </c>
      <c r="AZ28" s="92" t="str">
        <f aca="true">IF($D28="","",IFERROR(COUNTIF(INDIRECT("'"&amp;$D28&amp;"'!$AN$7:$AN$500"),"Pass"),0))</f>
        <v/>
      </c>
      <c r="BA28" s="92" t="str">
        <f aca="true">IF($D28="","",IFERROR(COUNTIF(INDIRECT("'"&amp;$D28&amp;"'!$AN$7:$AN$500"),"Fail"),0))</f>
        <v/>
      </c>
      <c r="BB28" s="92" t="str">
        <f aca="true">IF($D28="","",IFERROR(COUNTIF(INDIRECT("'"&amp;$D28&amp;"'!$AN$7:$AN$500"),"Block"),0))</f>
        <v/>
      </c>
      <c r="BC28" s="1" t="str">
        <f aca="true">IF($D28="","",IFERROR(COUNTIF(INDIRECT("'"&amp;$D28&amp;"'!$AN$7:$AN$500"),"N/A"),0))</f>
        <v/>
      </c>
    </row>
    <row r="29" customFormat="false" ht="15.75" hidden="false" customHeight="true" outlineLevel="0" collapsed="false">
      <c r="B29" s="87" t="str">
        <f aca="false">IF($D29="","",ROW()-3)</f>
        <v/>
      </c>
      <c r="C29" s="88"/>
      <c r="D29" s="88"/>
      <c r="E29" s="89"/>
      <c r="F29" s="87" t="str">
        <f aca="true">IF($D29="","",IFERROR(COUNTIF(INDIRECT("'"&amp;$D29&amp;"'!$A$7:$A$500"),"?*"),0))</f>
        <v/>
      </c>
      <c r="G29" s="87" t="str">
        <f aca="true">IF($D29="","",IFERROR(COUNTIF(INDIRECT("'"&amp;$D29&amp;"'!$AT$7:$AT$500"),"Pass"),0))</f>
        <v/>
      </c>
      <c r="H29" s="87" t="str">
        <f aca="true">IF($D29="","",IFERROR(COUNTIF(INDIRECT("'"&amp;$D29&amp;"'!$AT$7:$AT$500"),"Fail"),0))</f>
        <v/>
      </c>
      <c r="I29" s="87" t="str">
        <f aca="true">IF($D29="","",IFERROR(COUNTIF(INDIRECT("'"&amp;$D29&amp;"'!$AT$7:$AT$500"),"Block"),0))</f>
        <v/>
      </c>
      <c r="J29" s="87" t="str">
        <f aca="true">IF($D29="","",IFERROR(COUNTIF(INDIRECT("'"&amp;$D29&amp;"'!$AT$7:$AT$500"),"N/A"),0))</f>
        <v/>
      </c>
      <c r="K29" s="87" t="str">
        <f aca="false">IF($D29="","",MAX(0,$F29-$G29-$H29-$I29-$J29))</f>
        <v/>
      </c>
      <c r="L29" s="87" t="str">
        <f aca="false">IF($D29="","",$G29+$H29+$I29+$J29)</f>
        <v/>
      </c>
      <c r="M29" s="90" t="str">
        <f aca="false">IF($D29="","",IFERROR($L29/$F29,0))</f>
        <v/>
      </c>
      <c r="N29" s="90" t="str">
        <f aca="false">IF($D29="","",IFERROR($G29/$L29,0))</f>
        <v/>
      </c>
      <c r="O29" s="87" t="str">
        <f aca="true">IF($D29="","",IFERROR(COUNTIF(INDIRECT("'"&amp;$D29&amp;"'!$E$7:$E$500"),"High"),0))</f>
        <v/>
      </c>
      <c r="P29" s="87" t="str">
        <f aca="true">IF($D29="","",IFERROR(COUNTIF(INDIRECT("'"&amp;$D29&amp;"'!$E$7:$E$500"),"Medium"),0))</f>
        <v/>
      </c>
      <c r="Q29" s="87" t="str">
        <f aca="true">IF($D29="","",IFERROR(COUNTIF(INDIRECT("'"&amp;$D29&amp;"'!$E$7:$E$500"),"Low"),0))</f>
        <v/>
      </c>
      <c r="R29" s="87" t="str">
        <f aca="true">IF($D29="","",IFERROR(COUNTIF(INDIRECT("'"&amp;$D29&amp;"'!$D$7:$D$500"),"Functional"),0))</f>
        <v/>
      </c>
      <c r="S29" s="87" t="str">
        <f aca="true">IF($D29="","",IFERROR(COUNTIF(INDIRECT("'"&amp;$D29&amp;"'!$D$7:$D$500"),"UI"),0))</f>
        <v/>
      </c>
      <c r="T29" s="87" t="str">
        <f aca="true">IF($D29="","",IFERROR(COUNTIF(INDIRECT("'"&amp;$D29&amp;"'!$D$7:$D$500"),"Integration"),0))</f>
        <v/>
      </c>
      <c r="U29" s="87" t="str">
        <f aca="true">IF($D29="","",IFERROR(COUNTIF(INDIRECT("'"&amp;$D29&amp;"'!$D$7:$D$500"),"Database Test Case"),0))</f>
        <v/>
      </c>
      <c r="V29" s="87" t="str">
        <f aca="true">IF($D29="","",IFERROR(COUNTIF(INDIRECT("'"&amp;$D29&amp;"'!$J$7:$J$500"),"AI"),0))</f>
        <v/>
      </c>
      <c r="W29" s="87" t="str">
        <f aca="true">IF($D29="","",IFERROR(COUNTIF(INDIRECT("'"&amp;$D29&amp;"'!$J$7:$J$500"),"QC"),0))</f>
        <v/>
      </c>
      <c r="X29" s="87" t="str">
        <f aca="true">IF($D29="","",IFERROR(COUNTIF(INDIRECT("'"&amp;$D29&amp;"'!$L$7:$L$500"),"Yes"),0))</f>
        <v/>
      </c>
      <c r="Y29" s="87" t="str">
        <f aca="true">IF($D29="","",IFERROR(COUNTIF(INDIRECT("'"&amp;$D29&amp;"'!$AR$7:$AR$500"),"Yes"),0))</f>
        <v/>
      </c>
      <c r="Z29" s="87" t="str">
        <f aca="true">IF($D29="","",IFERROR(COUNTIF(INDIRECT("'"&amp;$D29&amp;"'!$AS$7:$AS$500"),"Pass"),0))</f>
        <v/>
      </c>
      <c r="AA29" s="87" t="str">
        <f aca="true">IF($D29="","",IFERROR(COUNTIF(INDIRECT("'"&amp;$D29&amp;"'!$K$7:$K$500"),"Reviewed"),0))</f>
        <v/>
      </c>
      <c r="AB29" s="91" t="str">
        <f aca="true">IF($D29="","",IFERROR(COUNTIFS(INDIRECT("'"&amp;$D29&amp;"'!$E$7:$E$500"),"High",INDIRECT("'"&amp;$D29&amp;"'!$AT$7:$AT$500"),"?*"),0))</f>
        <v/>
      </c>
      <c r="AC29" s="91" t="str">
        <f aca="true">IF($D29="","",IFERROR(COUNTIFS(INDIRECT("'"&amp;$D29&amp;"'!$E$7:$E$500"),"Medium",INDIRECT("'"&amp;$D29&amp;"'!$AT$7:$AT$500"),"?*"),0))</f>
        <v/>
      </c>
      <c r="AD29" s="91" t="str">
        <f aca="true">IF($D29="","",IFERROR(COUNTIFS(INDIRECT("'"&amp;$D29&amp;"'!$E$7:$E$500"),"Low",INDIRECT("'"&amp;$D29&amp;"'!$AT$7:$AT$500"),"?*"),0))</f>
        <v/>
      </c>
      <c r="AE29" s="92" t="str">
        <f aca="true">IF($D29="","",IFERROR(COUNTIF(INDIRECT("'"&amp;$D29&amp;"'!$P$7:$P$500"),"?*"),0))</f>
        <v/>
      </c>
      <c r="AF29" s="92" t="str">
        <f aca="true">IF($D29="","",IFERROR(COUNTIF(INDIRECT("'"&amp;$D29&amp;"'!$P$7:$P$500"),"Pass"),0))</f>
        <v/>
      </c>
      <c r="AG29" s="92" t="str">
        <f aca="true">IF($D29="","",IFERROR(COUNTIF(INDIRECT("'"&amp;$D29&amp;"'!$P$7:$P$500"),"Fail"),0))</f>
        <v/>
      </c>
      <c r="AH29" s="92" t="str">
        <f aca="true">IF($D29="","",IFERROR(COUNTIF(INDIRECT("'"&amp;$D29&amp;"'!$P$7:$P$500"),"Block"),0))</f>
        <v/>
      </c>
      <c r="AI29" s="92" t="str">
        <f aca="true">IF($D29="","",IFERROR(COUNTIF(INDIRECT("'"&amp;$D29&amp;"'!$P$7:$P$500"),"N/A"),0))</f>
        <v/>
      </c>
      <c r="AJ29" s="92" t="str">
        <f aca="true">IF($D29="","",IFERROR(COUNTIF(INDIRECT("'"&amp;$D29&amp;"'!$V$7:$V$500"),"?*"),0))</f>
        <v/>
      </c>
      <c r="AK29" s="92" t="str">
        <f aca="true">IF($D29="","",IFERROR(COUNTIF(INDIRECT("'"&amp;$D29&amp;"'!$V$7:$V$500"),"Pass"),0))</f>
        <v/>
      </c>
      <c r="AL29" s="92" t="str">
        <f aca="true">IF($D29="","",IFERROR(COUNTIF(INDIRECT("'"&amp;$D29&amp;"'!$V$7:$V$500"),"Fail"),0))</f>
        <v/>
      </c>
      <c r="AM29" s="92" t="str">
        <f aca="true">IF($D29="","",IFERROR(COUNTIF(INDIRECT("'"&amp;$D29&amp;"'!$V$7:$V$500"),"Block"),0))</f>
        <v/>
      </c>
      <c r="AN29" s="92" t="str">
        <f aca="true">IF($D29="","",IFERROR(COUNTIF(INDIRECT("'"&amp;$D29&amp;"'!$V$7:$V$500"),"N/A"),0))</f>
        <v/>
      </c>
      <c r="AO29" s="92" t="str">
        <f aca="true">IF($D29="","",IFERROR(COUNTIF(INDIRECT("'"&amp;$D29&amp;"'!$AB$7:$AB$500"),"?*"),0))</f>
        <v/>
      </c>
      <c r="AP29" s="92" t="str">
        <f aca="true">IF($D29="","",IFERROR(COUNTIF(INDIRECT("'"&amp;$D29&amp;"'!$AB$7:$AB$500"),"Pass"),0))</f>
        <v/>
      </c>
      <c r="AQ29" s="92" t="str">
        <f aca="true">IF($D29="","",IFERROR(COUNTIF(INDIRECT("'"&amp;$D29&amp;"'!$AB$7:$AB$500"),"Fail"),0))</f>
        <v/>
      </c>
      <c r="AR29" s="92" t="str">
        <f aca="true">IF($D29="","",IFERROR(COUNTIF(INDIRECT("'"&amp;$D29&amp;"'!$AB$7:$AB$500"),"Block"),0))</f>
        <v/>
      </c>
      <c r="AS29" s="92" t="str">
        <f aca="true">IF($D29="","",IFERROR(COUNTIF(INDIRECT("'"&amp;$D29&amp;"'!$AB$7:$AB$500"),"N/A"),0))</f>
        <v/>
      </c>
      <c r="AT29" s="92" t="str">
        <f aca="true">IF($D29="","",IFERROR(COUNTIF(INDIRECT("'"&amp;$D29&amp;"'!$AH$7:$AH$500"),"?*"),0))</f>
        <v/>
      </c>
      <c r="AU29" s="92" t="str">
        <f aca="true">IF($D29="","",IFERROR(COUNTIF(INDIRECT("'"&amp;$D29&amp;"'!$AH$7:$AH$500"),"Pass"),0))</f>
        <v/>
      </c>
      <c r="AV29" s="92" t="str">
        <f aca="true">IF($D29="","",IFERROR(COUNTIF(INDIRECT("'"&amp;$D29&amp;"'!$AH$7:$AH$500"),"Fail"),0))</f>
        <v/>
      </c>
      <c r="AW29" s="92" t="str">
        <f aca="true">IF($D29="","",IFERROR(COUNTIF(INDIRECT("'"&amp;$D29&amp;"'!$AH$7:$AH$500"),"Block"),0))</f>
        <v/>
      </c>
      <c r="AX29" s="92" t="str">
        <f aca="true">IF($D29="","",IFERROR(COUNTIF(INDIRECT("'"&amp;$D29&amp;"'!$AH$7:$AH$500"),"N/A"),0))</f>
        <v/>
      </c>
      <c r="AY29" s="92" t="str">
        <f aca="true">IF($D29="","",IFERROR(COUNTIF(INDIRECT("'"&amp;$D29&amp;"'!$AN$7:$AN$500"),"?*"),0))</f>
        <v/>
      </c>
      <c r="AZ29" s="92" t="str">
        <f aca="true">IF($D29="","",IFERROR(COUNTIF(INDIRECT("'"&amp;$D29&amp;"'!$AN$7:$AN$500"),"Pass"),0))</f>
        <v/>
      </c>
      <c r="BA29" s="92" t="str">
        <f aca="true">IF($D29="","",IFERROR(COUNTIF(INDIRECT("'"&amp;$D29&amp;"'!$AN$7:$AN$500"),"Fail"),0))</f>
        <v/>
      </c>
      <c r="BB29" s="92" t="str">
        <f aca="true">IF($D29="","",IFERROR(COUNTIF(INDIRECT("'"&amp;$D29&amp;"'!$AN$7:$AN$500"),"Block"),0))</f>
        <v/>
      </c>
      <c r="BC29" s="1" t="str">
        <f aca="true">IF($D29="","",IFERROR(COUNTIF(INDIRECT("'"&amp;$D29&amp;"'!$AN$7:$AN$500"),"N/A"),0))</f>
        <v/>
      </c>
    </row>
    <row r="30" customFormat="false" ht="15.75" hidden="false" customHeight="true" outlineLevel="0" collapsed="false">
      <c r="B30" s="87" t="str">
        <f aca="false">IF($D30="","",ROW()-3)</f>
        <v/>
      </c>
      <c r="C30" s="88"/>
      <c r="D30" s="88"/>
      <c r="E30" s="89"/>
      <c r="F30" s="87" t="str">
        <f aca="true">IF($D30="","",IFERROR(COUNTIF(INDIRECT("'"&amp;$D30&amp;"'!$A$7:$A$500"),"?*"),0))</f>
        <v/>
      </c>
      <c r="G30" s="87" t="str">
        <f aca="true">IF($D30="","",IFERROR(COUNTIF(INDIRECT("'"&amp;$D30&amp;"'!$AT$7:$AT$500"),"Pass"),0))</f>
        <v/>
      </c>
      <c r="H30" s="87" t="str">
        <f aca="true">IF($D30="","",IFERROR(COUNTIF(INDIRECT("'"&amp;$D30&amp;"'!$AT$7:$AT$500"),"Fail"),0))</f>
        <v/>
      </c>
      <c r="I30" s="87" t="str">
        <f aca="true">IF($D30="","",IFERROR(COUNTIF(INDIRECT("'"&amp;$D30&amp;"'!$AT$7:$AT$500"),"Block"),0))</f>
        <v/>
      </c>
      <c r="J30" s="87" t="str">
        <f aca="true">IF($D30="","",IFERROR(COUNTIF(INDIRECT("'"&amp;$D30&amp;"'!$AT$7:$AT$500"),"N/A"),0))</f>
        <v/>
      </c>
      <c r="K30" s="87" t="str">
        <f aca="false">IF($D30="","",MAX(0,$F30-$G30-$H30-$I30-$J30))</f>
        <v/>
      </c>
      <c r="L30" s="87" t="str">
        <f aca="false">IF($D30="","",$G30+$H30+$I30+$J30)</f>
        <v/>
      </c>
      <c r="M30" s="90" t="str">
        <f aca="false">IF($D30="","",IFERROR($L30/$F30,0))</f>
        <v/>
      </c>
      <c r="N30" s="90" t="str">
        <f aca="false">IF($D30="","",IFERROR($G30/$L30,0))</f>
        <v/>
      </c>
      <c r="O30" s="87" t="str">
        <f aca="true">IF($D30="","",IFERROR(COUNTIF(INDIRECT("'"&amp;$D30&amp;"'!$E$7:$E$500"),"High"),0))</f>
        <v/>
      </c>
      <c r="P30" s="87" t="str">
        <f aca="true">IF($D30="","",IFERROR(COUNTIF(INDIRECT("'"&amp;$D30&amp;"'!$E$7:$E$500"),"Medium"),0))</f>
        <v/>
      </c>
      <c r="Q30" s="87" t="str">
        <f aca="true">IF($D30="","",IFERROR(COUNTIF(INDIRECT("'"&amp;$D30&amp;"'!$E$7:$E$500"),"Low"),0))</f>
        <v/>
      </c>
      <c r="R30" s="87" t="str">
        <f aca="true">IF($D30="","",IFERROR(COUNTIF(INDIRECT("'"&amp;$D30&amp;"'!$D$7:$D$500"),"Functional"),0))</f>
        <v/>
      </c>
      <c r="S30" s="87" t="str">
        <f aca="true">IF($D30="","",IFERROR(COUNTIF(INDIRECT("'"&amp;$D30&amp;"'!$D$7:$D$500"),"UI"),0))</f>
        <v/>
      </c>
      <c r="T30" s="87" t="str">
        <f aca="true">IF($D30="","",IFERROR(COUNTIF(INDIRECT("'"&amp;$D30&amp;"'!$D$7:$D$500"),"Integration"),0))</f>
        <v/>
      </c>
      <c r="U30" s="87" t="str">
        <f aca="true">IF($D30="","",IFERROR(COUNTIF(INDIRECT("'"&amp;$D30&amp;"'!$D$7:$D$500"),"Database Test Case"),0))</f>
        <v/>
      </c>
      <c r="V30" s="87" t="str">
        <f aca="true">IF($D30="","",IFERROR(COUNTIF(INDIRECT("'"&amp;$D30&amp;"'!$J$7:$J$500"),"AI"),0))</f>
        <v/>
      </c>
      <c r="W30" s="87" t="str">
        <f aca="true">IF($D30="","",IFERROR(COUNTIF(INDIRECT("'"&amp;$D30&amp;"'!$J$7:$J$500"),"QC"),0))</f>
        <v/>
      </c>
      <c r="X30" s="87" t="str">
        <f aca="true">IF($D30="","",IFERROR(COUNTIF(INDIRECT("'"&amp;$D30&amp;"'!$L$7:$L$500"),"Yes"),0))</f>
        <v/>
      </c>
      <c r="Y30" s="87" t="str">
        <f aca="true">IF($D30="","",IFERROR(COUNTIF(INDIRECT("'"&amp;$D30&amp;"'!$AR$7:$AR$500"),"Yes"),0))</f>
        <v/>
      </c>
      <c r="Z30" s="87" t="str">
        <f aca="true">IF($D30="","",IFERROR(COUNTIF(INDIRECT("'"&amp;$D30&amp;"'!$AS$7:$AS$500"),"Pass"),0))</f>
        <v/>
      </c>
      <c r="AA30" s="87" t="str">
        <f aca="true">IF($D30="","",IFERROR(COUNTIF(INDIRECT("'"&amp;$D30&amp;"'!$K$7:$K$500"),"Reviewed"),0))</f>
        <v/>
      </c>
      <c r="AB30" s="91" t="str">
        <f aca="true">IF($D30="","",IFERROR(COUNTIFS(INDIRECT("'"&amp;$D30&amp;"'!$E$7:$E$500"),"High",INDIRECT("'"&amp;$D30&amp;"'!$AT$7:$AT$500"),"?*"),0))</f>
        <v/>
      </c>
      <c r="AC30" s="91" t="str">
        <f aca="true">IF($D30="","",IFERROR(COUNTIFS(INDIRECT("'"&amp;$D30&amp;"'!$E$7:$E$500"),"Medium",INDIRECT("'"&amp;$D30&amp;"'!$AT$7:$AT$500"),"?*"),0))</f>
        <v/>
      </c>
      <c r="AD30" s="91" t="str">
        <f aca="true">IF($D30="","",IFERROR(COUNTIFS(INDIRECT("'"&amp;$D30&amp;"'!$E$7:$E$500"),"Low",INDIRECT("'"&amp;$D30&amp;"'!$AT$7:$AT$500"),"?*"),0))</f>
        <v/>
      </c>
      <c r="AE30" s="92" t="str">
        <f aca="true">IF($D30="","",IFERROR(COUNTIF(INDIRECT("'"&amp;$D30&amp;"'!$P$7:$P$500"),"?*"),0))</f>
        <v/>
      </c>
      <c r="AF30" s="92" t="str">
        <f aca="true">IF($D30="","",IFERROR(COUNTIF(INDIRECT("'"&amp;$D30&amp;"'!$P$7:$P$500"),"Pass"),0))</f>
        <v/>
      </c>
      <c r="AG30" s="92" t="str">
        <f aca="true">IF($D30="","",IFERROR(COUNTIF(INDIRECT("'"&amp;$D30&amp;"'!$P$7:$P$500"),"Fail"),0))</f>
        <v/>
      </c>
      <c r="AH30" s="92" t="str">
        <f aca="true">IF($D30="","",IFERROR(COUNTIF(INDIRECT("'"&amp;$D30&amp;"'!$P$7:$P$500"),"Block"),0))</f>
        <v/>
      </c>
      <c r="AI30" s="92" t="str">
        <f aca="true">IF($D30="","",IFERROR(COUNTIF(INDIRECT("'"&amp;$D30&amp;"'!$P$7:$P$500"),"N/A"),0))</f>
        <v/>
      </c>
      <c r="AJ30" s="92" t="str">
        <f aca="true">IF($D30="","",IFERROR(COUNTIF(INDIRECT("'"&amp;$D30&amp;"'!$V$7:$V$500"),"?*"),0))</f>
        <v/>
      </c>
      <c r="AK30" s="92" t="str">
        <f aca="true">IF($D30="","",IFERROR(COUNTIF(INDIRECT("'"&amp;$D30&amp;"'!$V$7:$V$500"),"Pass"),0))</f>
        <v/>
      </c>
      <c r="AL30" s="92" t="str">
        <f aca="true">IF($D30="","",IFERROR(COUNTIF(INDIRECT("'"&amp;$D30&amp;"'!$V$7:$V$500"),"Fail"),0))</f>
        <v/>
      </c>
      <c r="AM30" s="92" t="str">
        <f aca="true">IF($D30="","",IFERROR(COUNTIF(INDIRECT("'"&amp;$D30&amp;"'!$V$7:$V$500"),"Block"),0))</f>
        <v/>
      </c>
      <c r="AN30" s="92" t="str">
        <f aca="true">IF($D30="","",IFERROR(COUNTIF(INDIRECT("'"&amp;$D30&amp;"'!$V$7:$V$500"),"N/A"),0))</f>
        <v/>
      </c>
      <c r="AO30" s="92" t="str">
        <f aca="true">IF($D30="","",IFERROR(COUNTIF(INDIRECT("'"&amp;$D30&amp;"'!$AB$7:$AB$500"),"?*"),0))</f>
        <v/>
      </c>
      <c r="AP30" s="92" t="str">
        <f aca="true">IF($D30="","",IFERROR(COUNTIF(INDIRECT("'"&amp;$D30&amp;"'!$AB$7:$AB$500"),"Pass"),0))</f>
        <v/>
      </c>
      <c r="AQ30" s="92" t="str">
        <f aca="true">IF($D30="","",IFERROR(COUNTIF(INDIRECT("'"&amp;$D30&amp;"'!$AB$7:$AB$500"),"Fail"),0))</f>
        <v/>
      </c>
      <c r="AR30" s="92" t="str">
        <f aca="true">IF($D30="","",IFERROR(COUNTIF(INDIRECT("'"&amp;$D30&amp;"'!$AB$7:$AB$500"),"Block"),0))</f>
        <v/>
      </c>
      <c r="AS30" s="92" t="str">
        <f aca="true">IF($D30="","",IFERROR(COUNTIF(INDIRECT("'"&amp;$D30&amp;"'!$AB$7:$AB$500"),"N/A"),0))</f>
        <v/>
      </c>
      <c r="AT30" s="92" t="str">
        <f aca="true">IF($D30="","",IFERROR(COUNTIF(INDIRECT("'"&amp;$D30&amp;"'!$AH$7:$AH$500"),"?*"),0))</f>
        <v/>
      </c>
      <c r="AU30" s="92" t="str">
        <f aca="true">IF($D30="","",IFERROR(COUNTIF(INDIRECT("'"&amp;$D30&amp;"'!$AH$7:$AH$500"),"Pass"),0))</f>
        <v/>
      </c>
      <c r="AV30" s="92" t="str">
        <f aca="true">IF($D30="","",IFERROR(COUNTIF(INDIRECT("'"&amp;$D30&amp;"'!$AH$7:$AH$500"),"Fail"),0))</f>
        <v/>
      </c>
      <c r="AW30" s="92" t="str">
        <f aca="true">IF($D30="","",IFERROR(COUNTIF(INDIRECT("'"&amp;$D30&amp;"'!$AH$7:$AH$500"),"Block"),0))</f>
        <v/>
      </c>
      <c r="AX30" s="92" t="str">
        <f aca="true">IF($D30="","",IFERROR(COUNTIF(INDIRECT("'"&amp;$D30&amp;"'!$AH$7:$AH$500"),"N/A"),0))</f>
        <v/>
      </c>
      <c r="AY30" s="92" t="str">
        <f aca="true">IF($D30="","",IFERROR(COUNTIF(INDIRECT("'"&amp;$D30&amp;"'!$AN$7:$AN$500"),"?*"),0))</f>
        <v/>
      </c>
      <c r="AZ30" s="92" t="str">
        <f aca="true">IF($D30="","",IFERROR(COUNTIF(INDIRECT("'"&amp;$D30&amp;"'!$AN$7:$AN$500"),"Pass"),0))</f>
        <v/>
      </c>
      <c r="BA30" s="92" t="str">
        <f aca="true">IF($D30="","",IFERROR(COUNTIF(INDIRECT("'"&amp;$D30&amp;"'!$AN$7:$AN$500"),"Fail"),0))</f>
        <v/>
      </c>
      <c r="BB30" s="92" t="str">
        <f aca="true">IF($D30="","",IFERROR(COUNTIF(INDIRECT("'"&amp;$D30&amp;"'!$AN$7:$AN$500"),"Block"),0))</f>
        <v/>
      </c>
      <c r="BC30" s="1" t="str">
        <f aca="true">IF($D30="","",IFERROR(COUNTIF(INDIRECT("'"&amp;$D30&amp;"'!$AN$7:$AN$500"),"N/A"),0))</f>
        <v/>
      </c>
    </row>
    <row r="31" customFormat="false" ht="15.75" hidden="false" customHeight="true" outlineLevel="0" collapsed="false">
      <c r="B31" s="87" t="str">
        <f aca="false">IF($D31="","",ROW()-3)</f>
        <v/>
      </c>
      <c r="C31" s="88"/>
      <c r="D31" s="88"/>
      <c r="E31" s="89"/>
      <c r="F31" s="87" t="str">
        <f aca="true">IF($D31="","",IFERROR(COUNTIF(INDIRECT("'"&amp;$D31&amp;"'!$A$7:$A$500"),"?*"),0))</f>
        <v/>
      </c>
      <c r="G31" s="87" t="str">
        <f aca="true">IF($D31="","",IFERROR(COUNTIF(INDIRECT("'"&amp;$D31&amp;"'!$AT$7:$AT$500"),"Pass"),0))</f>
        <v/>
      </c>
      <c r="H31" s="87" t="str">
        <f aca="true">IF($D31="","",IFERROR(COUNTIF(INDIRECT("'"&amp;$D31&amp;"'!$AT$7:$AT$500"),"Fail"),0))</f>
        <v/>
      </c>
      <c r="I31" s="87" t="str">
        <f aca="true">IF($D31="","",IFERROR(COUNTIF(INDIRECT("'"&amp;$D31&amp;"'!$AT$7:$AT$500"),"Block"),0))</f>
        <v/>
      </c>
      <c r="J31" s="87" t="str">
        <f aca="true">IF($D31="","",IFERROR(COUNTIF(INDIRECT("'"&amp;$D31&amp;"'!$AT$7:$AT$500"),"N/A"),0))</f>
        <v/>
      </c>
      <c r="K31" s="87" t="str">
        <f aca="false">IF($D31="","",MAX(0,$F31-$G31-$H31-$I31-$J31))</f>
        <v/>
      </c>
      <c r="L31" s="87" t="str">
        <f aca="false">IF($D31="","",$G31+$H31+$I31+$J31)</f>
        <v/>
      </c>
      <c r="M31" s="90" t="str">
        <f aca="false">IF($D31="","",IFERROR($L31/$F31,0))</f>
        <v/>
      </c>
      <c r="N31" s="90" t="str">
        <f aca="false">IF($D31="","",IFERROR($G31/$L31,0))</f>
        <v/>
      </c>
      <c r="O31" s="87" t="str">
        <f aca="true">IF($D31="","",IFERROR(COUNTIF(INDIRECT("'"&amp;$D31&amp;"'!$E$7:$E$500"),"High"),0))</f>
        <v/>
      </c>
      <c r="P31" s="87" t="str">
        <f aca="true">IF($D31="","",IFERROR(COUNTIF(INDIRECT("'"&amp;$D31&amp;"'!$E$7:$E$500"),"Medium"),0))</f>
        <v/>
      </c>
      <c r="Q31" s="87" t="str">
        <f aca="true">IF($D31="","",IFERROR(COUNTIF(INDIRECT("'"&amp;$D31&amp;"'!$E$7:$E$500"),"Low"),0))</f>
        <v/>
      </c>
      <c r="R31" s="87" t="str">
        <f aca="true">IF($D31="","",IFERROR(COUNTIF(INDIRECT("'"&amp;$D31&amp;"'!$D$7:$D$500"),"Functional"),0))</f>
        <v/>
      </c>
      <c r="S31" s="87" t="str">
        <f aca="true">IF($D31="","",IFERROR(COUNTIF(INDIRECT("'"&amp;$D31&amp;"'!$D$7:$D$500"),"UI"),0))</f>
        <v/>
      </c>
      <c r="T31" s="87" t="str">
        <f aca="true">IF($D31="","",IFERROR(COUNTIF(INDIRECT("'"&amp;$D31&amp;"'!$D$7:$D$500"),"Integration"),0))</f>
        <v/>
      </c>
      <c r="U31" s="87" t="str">
        <f aca="true">IF($D31="","",IFERROR(COUNTIF(INDIRECT("'"&amp;$D31&amp;"'!$D$7:$D$500"),"Database Test Case"),0))</f>
        <v/>
      </c>
      <c r="V31" s="87" t="str">
        <f aca="true">IF($D31="","",IFERROR(COUNTIF(INDIRECT("'"&amp;$D31&amp;"'!$J$7:$J$500"),"AI"),0))</f>
        <v/>
      </c>
      <c r="W31" s="87" t="str">
        <f aca="true">IF($D31="","",IFERROR(COUNTIF(INDIRECT("'"&amp;$D31&amp;"'!$J$7:$J$500"),"QC"),0))</f>
        <v/>
      </c>
      <c r="X31" s="87" t="str">
        <f aca="true">IF($D31="","",IFERROR(COUNTIF(INDIRECT("'"&amp;$D31&amp;"'!$L$7:$L$500"),"Yes"),0))</f>
        <v/>
      </c>
      <c r="Y31" s="87" t="str">
        <f aca="true">IF($D31="","",IFERROR(COUNTIF(INDIRECT("'"&amp;$D31&amp;"'!$AR$7:$AR$500"),"Yes"),0))</f>
        <v/>
      </c>
      <c r="Z31" s="87" t="str">
        <f aca="true">IF($D31="","",IFERROR(COUNTIF(INDIRECT("'"&amp;$D31&amp;"'!$AS$7:$AS$500"),"Pass"),0))</f>
        <v/>
      </c>
      <c r="AA31" s="87" t="str">
        <f aca="true">IF($D31="","",IFERROR(COUNTIF(INDIRECT("'"&amp;$D31&amp;"'!$K$7:$K$500"),"Reviewed"),0))</f>
        <v/>
      </c>
      <c r="AB31" s="91" t="str">
        <f aca="true">IF($D31="","",IFERROR(COUNTIFS(INDIRECT("'"&amp;$D31&amp;"'!$E$7:$E$500"),"High",INDIRECT("'"&amp;$D31&amp;"'!$AT$7:$AT$500"),"?*"),0))</f>
        <v/>
      </c>
      <c r="AC31" s="91" t="str">
        <f aca="true">IF($D31="","",IFERROR(COUNTIFS(INDIRECT("'"&amp;$D31&amp;"'!$E$7:$E$500"),"Medium",INDIRECT("'"&amp;$D31&amp;"'!$AT$7:$AT$500"),"?*"),0))</f>
        <v/>
      </c>
      <c r="AD31" s="91" t="str">
        <f aca="true">IF($D31="","",IFERROR(COUNTIFS(INDIRECT("'"&amp;$D31&amp;"'!$E$7:$E$500"),"Low",INDIRECT("'"&amp;$D31&amp;"'!$AT$7:$AT$500"),"?*"),0))</f>
        <v/>
      </c>
      <c r="AE31" s="92" t="str">
        <f aca="true">IF($D31="","",IFERROR(COUNTIF(INDIRECT("'"&amp;$D31&amp;"'!$P$7:$P$500"),"?*"),0))</f>
        <v/>
      </c>
      <c r="AF31" s="92" t="str">
        <f aca="true">IF($D31="","",IFERROR(COUNTIF(INDIRECT("'"&amp;$D31&amp;"'!$P$7:$P$500"),"Pass"),0))</f>
        <v/>
      </c>
      <c r="AG31" s="92" t="str">
        <f aca="true">IF($D31="","",IFERROR(COUNTIF(INDIRECT("'"&amp;$D31&amp;"'!$P$7:$P$500"),"Fail"),0))</f>
        <v/>
      </c>
      <c r="AH31" s="92" t="str">
        <f aca="true">IF($D31="","",IFERROR(COUNTIF(INDIRECT("'"&amp;$D31&amp;"'!$P$7:$P$500"),"Block"),0))</f>
        <v/>
      </c>
      <c r="AI31" s="92" t="str">
        <f aca="true">IF($D31="","",IFERROR(COUNTIF(INDIRECT("'"&amp;$D31&amp;"'!$P$7:$P$500"),"N/A"),0))</f>
        <v/>
      </c>
      <c r="AJ31" s="92" t="str">
        <f aca="true">IF($D31="","",IFERROR(COUNTIF(INDIRECT("'"&amp;$D31&amp;"'!$V$7:$V$500"),"?*"),0))</f>
        <v/>
      </c>
      <c r="AK31" s="92" t="str">
        <f aca="true">IF($D31="","",IFERROR(COUNTIF(INDIRECT("'"&amp;$D31&amp;"'!$V$7:$V$500"),"Pass"),0))</f>
        <v/>
      </c>
      <c r="AL31" s="92" t="str">
        <f aca="true">IF($D31="","",IFERROR(COUNTIF(INDIRECT("'"&amp;$D31&amp;"'!$V$7:$V$500"),"Fail"),0))</f>
        <v/>
      </c>
      <c r="AM31" s="92" t="str">
        <f aca="true">IF($D31="","",IFERROR(COUNTIF(INDIRECT("'"&amp;$D31&amp;"'!$V$7:$V$500"),"Block"),0))</f>
        <v/>
      </c>
      <c r="AN31" s="92" t="str">
        <f aca="true">IF($D31="","",IFERROR(COUNTIF(INDIRECT("'"&amp;$D31&amp;"'!$V$7:$V$500"),"N/A"),0))</f>
        <v/>
      </c>
      <c r="AO31" s="92" t="str">
        <f aca="true">IF($D31="","",IFERROR(COUNTIF(INDIRECT("'"&amp;$D31&amp;"'!$AB$7:$AB$500"),"?*"),0))</f>
        <v/>
      </c>
      <c r="AP31" s="92" t="str">
        <f aca="true">IF($D31="","",IFERROR(COUNTIF(INDIRECT("'"&amp;$D31&amp;"'!$AB$7:$AB$500"),"Pass"),0))</f>
        <v/>
      </c>
      <c r="AQ31" s="92" t="str">
        <f aca="true">IF($D31="","",IFERROR(COUNTIF(INDIRECT("'"&amp;$D31&amp;"'!$AB$7:$AB$500"),"Fail"),0))</f>
        <v/>
      </c>
      <c r="AR31" s="92" t="str">
        <f aca="true">IF($D31="","",IFERROR(COUNTIF(INDIRECT("'"&amp;$D31&amp;"'!$AB$7:$AB$500"),"Block"),0))</f>
        <v/>
      </c>
      <c r="AS31" s="92" t="str">
        <f aca="true">IF($D31="","",IFERROR(COUNTIF(INDIRECT("'"&amp;$D31&amp;"'!$AB$7:$AB$500"),"N/A"),0))</f>
        <v/>
      </c>
      <c r="AT31" s="92" t="str">
        <f aca="true">IF($D31="","",IFERROR(COUNTIF(INDIRECT("'"&amp;$D31&amp;"'!$AH$7:$AH$500"),"?*"),0))</f>
        <v/>
      </c>
      <c r="AU31" s="92" t="str">
        <f aca="true">IF($D31="","",IFERROR(COUNTIF(INDIRECT("'"&amp;$D31&amp;"'!$AH$7:$AH$500"),"Pass"),0))</f>
        <v/>
      </c>
      <c r="AV31" s="92" t="str">
        <f aca="true">IF($D31="","",IFERROR(COUNTIF(INDIRECT("'"&amp;$D31&amp;"'!$AH$7:$AH$500"),"Fail"),0))</f>
        <v/>
      </c>
      <c r="AW31" s="92" t="str">
        <f aca="true">IF($D31="","",IFERROR(COUNTIF(INDIRECT("'"&amp;$D31&amp;"'!$AH$7:$AH$500"),"Block"),0))</f>
        <v/>
      </c>
      <c r="AX31" s="92" t="str">
        <f aca="true">IF($D31="","",IFERROR(COUNTIF(INDIRECT("'"&amp;$D31&amp;"'!$AH$7:$AH$500"),"N/A"),0))</f>
        <v/>
      </c>
      <c r="AY31" s="92" t="str">
        <f aca="true">IF($D31="","",IFERROR(COUNTIF(INDIRECT("'"&amp;$D31&amp;"'!$AN$7:$AN$500"),"?*"),0))</f>
        <v/>
      </c>
      <c r="AZ31" s="92" t="str">
        <f aca="true">IF($D31="","",IFERROR(COUNTIF(INDIRECT("'"&amp;$D31&amp;"'!$AN$7:$AN$500"),"Pass"),0))</f>
        <v/>
      </c>
      <c r="BA31" s="92" t="str">
        <f aca="true">IF($D31="","",IFERROR(COUNTIF(INDIRECT("'"&amp;$D31&amp;"'!$AN$7:$AN$500"),"Fail"),0))</f>
        <v/>
      </c>
      <c r="BB31" s="92" t="str">
        <f aca="true">IF($D31="","",IFERROR(COUNTIF(INDIRECT("'"&amp;$D31&amp;"'!$AN$7:$AN$500"),"Block"),0))</f>
        <v/>
      </c>
      <c r="BC31" s="1" t="str">
        <f aca="true">IF($D31="","",IFERROR(COUNTIF(INDIRECT("'"&amp;$D31&amp;"'!$AN$7:$AN$500"),"N/A"),0))</f>
        <v/>
      </c>
    </row>
    <row r="32" customFormat="false" ht="15.75" hidden="false" customHeight="true" outlineLevel="0" collapsed="false">
      <c r="B32" s="87" t="str">
        <f aca="false">IF($D32="","",ROW()-3)</f>
        <v/>
      </c>
      <c r="C32" s="88"/>
      <c r="D32" s="88"/>
      <c r="E32" s="89"/>
      <c r="F32" s="87" t="str">
        <f aca="true">IF($D32="","",IFERROR(COUNTIF(INDIRECT("'"&amp;$D32&amp;"'!$A$7:$A$500"),"?*"),0))</f>
        <v/>
      </c>
      <c r="G32" s="87" t="str">
        <f aca="true">IF($D32="","",IFERROR(COUNTIF(INDIRECT("'"&amp;$D32&amp;"'!$AT$7:$AT$500"),"Pass"),0))</f>
        <v/>
      </c>
      <c r="H32" s="87" t="str">
        <f aca="true">IF($D32="","",IFERROR(COUNTIF(INDIRECT("'"&amp;$D32&amp;"'!$AT$7:$AT$500"),"Fail"),0))</f>
        <v/>
      </c>
      <c r="I32" s="87" t="str">
        <f aca="true">IF($D32="","",IFERROR(COUNTIF(INDIRECT("'"&amp;$D32&amp;"'!$AT$7:$AT$500"),"Block"),0))</f>
        <v/>
      </c>
      <c r="J32" s="87" t="str">
        <f aca="true">IF($D32="","",IFERROR(COUNTIF(INDIRECT("'"&amp;$D32&amp;"'!$AT$7:$AT$500"),"N/A"),0))</f>
        <v/>
      </c>
      <c r="K32" s="87" t="str">
        <f aca="false">IF($D32="","",MAX(0,$F32-$G32-$H32-$I32-$J32))</f>
        <v/>
      </c>
      <c r="L32" s="87" t="str">
        <f aca="false">IF($D32="","",$G32+$H32+$I32+$J32)</f>
        <v/>
      </c>
      <c r="M32" s="90" t="str">
        <f aca="false">IF($D32="","",IFERROR($L32/$F32,0))</f>
        <v/>
      </c>
      <c r="N32" s="90" t="str">
        <f aca="false">IF($D32="","",IFERROR($G32/$L32,0))</f>
        <v/>
      </c>
      <c r="O32" s="87" t="str">
        <f aca="true">IF($D32="","",IFERROR(COUNTIF(INDIRECT("'"&amp;$D32&amp;"'!$E$7:$E$500"),"High"),0))</f>
        <v/>
      </c>
      <c r="P32" s="87" t="str">
        <f aca="true">IF($D32="","",IFERROR(COUNTIF(INDIRECT("'"&amp;$D32&amp;"'!$E$7:$E$500"),"Medium"),0))</f>
        <v/>
      </c>
      <c r="Q32" s="87" t="str">
        <f aca="true">IF($D32="","",IFERROR(COUNTIF(INDIRECT("'"&amp;$D32&amp;"'!$E$7:$E$500"),"Low"),0))</f>
        <v/>
      </c>
      <c r="R32" s="87" t="str">
        <f aca="true">IF($D32="","",IFERROR(COUNTIF(INDIRECT("'"&amp;$D32&amp;"'!$D$7:$D$500"),"Functional"),0))</f>
        <v/>
      </c>
      <c r="S32" s="87" t="str">
        <f aca="true">IF($D32="","",IFERROR(COUNTIF(INDIRECT("'"&amp;$D32&amp;"'!$D$7:$D$500"),"UI"),0))</f>
        <v/>
      </c>
      <c r="T32" s="87" t="str">
        <f aca="true">IF($D32="","",IFERROR(COUNTIF(INDIRECT("'"&amp;$D32&amp;"'!$D$7:$D$500"),"Integration"),0))</f>
        <v/>
      </c>
      <c r="U32" s="87" t="str">
        <f aca="true">IF($D32="","",IFERROR(COUNTIF(INDIRECT("'"&amp;$D32&amp;"'!$D$7:$D$500"),"Database Test Case"),0))</f>
        <v/>
      </c>
      <c r="V32" s="87" t="str">
        <f aca="true">IF($D32="","",IFERROR(COUNTIF(INDIRECT("'"&amp;$D32&amp;"'!$J$7:$J$500"),"AI"),0))</f>
        <v/>
      </c>
      <c r="W32" s="87" t="str">
        <f aca="true">IF($D32="","",IFERROR(COUNTIF(INDIRECT("'"&amp;$D32&amp;"'!$J$7:$J$500"),"QC"),0))</f>
        <v/>
      </c>
      <c r="X32" s="87" t="str">
        <f aca="true">IF($D32="","",IFERROR(COUNTIF(INDIRECT("'"&amp;$D32&amp;"'!$L$7:$L$500"),"Yes"),0))</f>
        <v/>
      </c>
      <c r="Y32" s="87" t="str">
        <f aca="true">IF($D32="","",IFERROR(COUNTIF(INDIRECT("'"&amp;$D32&amp;"'!$AR$7:$AR$500"),"Yes"),0))</f>
        <v/>
      </c>
      <c r="Z32" s="87" t="str">
        <f aca="true">IF($D32="","",IFERROR(COUNTIF(INDIRECT("'"&amp;$D32&amp;"'!$AS$7:$AS$500"),"Pass"),0))</f>
        <v/>
      </c>
      <c r="AA32" s="87" t="str">
        <f aca="true">IF($D32="","",IFERROR(COUNTIF(INDIRECT("'"&amp;$D32&amp;"'!$K$7:$K$500"),"Reviewed"),0))</f>
        <v/>
      </c>
      <c r="AB32" s="91" t="str">
        <f aca="true">IF($D32="","",IFERROR(COUNTIFS(INDIRECT("'"&amp;$D32&amp;"'!$E$7:$E$500"),"High",INDIRECT("'"&amp;$D32&amp;"'!$AT$7:$AT$500"),"?*"),0))</f>
        <v/>
      </c>
      <c r="AC32" s="91" t="str">
        <f aca="true">IF($D32="","",IFERROR(COUNTIFS(INDIRECT("'"&amp;$D32&amp;"'!$E$7:$E$500"),"Medium",INDIRECT("'"&amp;$D32&amp;"'!$AT$7:$AT$500"),"?*"),0))</f>
        <v/>
      </c>
      <c r="AD32" s="91" t="str">
        <f aca="true">IF($D32="","",IFERROR(COUNTIFS(INDIRECT("'"&amp;$D32&amp;"'!$E$7:$E$500"),"Low",INDIRECT("'"&amp;$D32&amp;"'!$AT$7:$AT$500"),"?*"),0))</f>
        <v/>
      </c>
      <c r="AE32" s="92" t="str">
        <f aca="true">IF($D32="","",IFERROR(COUNTIF(INDIRECT("'"&amp;$D32&amp;"'!$P$7:$P$500"),"?*"),0))</f>
        <v/>
      </c>
      <c r="AF32" s="92" t="str">
        <f aca="true">IF($D32="","",IFERROR(COUNTIF(INDIRECT("'"&amp;$D32&amp;"'!$P$7:$P$500"),"Pass"),0))</f>
        <v/>
      </c>
      <c r="AG32" s="92" t="str">
        <f aca="true">IF($D32="","",IFERROR(COUNTIF(INDIRECT("'"&amp;$D32&amp;"'!$P$7:$P$500"),"Fail"),0))</f>
        <v/>
      </c>
      <c r="AH32" s="92" t="str">
        <f aca="true">IF($D32="","",IFERROR(COUNTIF(INDIRECT("'"&amp;$D32&amp;"'!$P$7:$P$500"),"Block"),0))</f>
        <v/>
      </c>
      <c r="AI32" s="92" t="str">
        <f aca="true">IF($D32="","",IFERROR(COUNTIF(INDIRECT("'"&amp;$D32&amp;"'!$P$7:$P$500"),"N/A"),0))</f>
        <v/>
      </c>
      <c r="AJ32" s="92" t="str">
        <f aca="true">IF($D32="","",IFERROR(COUNTIF(INDIRECT("'"&amp;$D32&amp;"'!$V$7:$V$500"),"?*"),0))</f>
        <v/>
      </c>
      <c r="AK32" s="92" t="str">
        <f aca="true">IF($D32="","",IFERROR(COUNTIF(INDIRECT("'"&amp;$D32&amp;"'!$V$7:$V$500"),"Pass"),0))</f>
        <v/>
      </c>
      <c r="AL32" s="92" t="str">
        <f aca="true">IF($D32="","",IFERROR(COUNTIF(INDIRECT("'"&amp;$D32&amp;"'!$V$7:$V$500"),"Fail"),0))</f>
        <v/>
      </c>
      <c r="AM32" s="92" t="str">
        <f aca="true">IF($D32="","",IFERROR(COUNTIF(INDIRECT("'"&amp;$D32&amp;"'!$V$7:$V$500"),"Block"),0))</f>
        <v/>
      </c>
      <c r="AN32" s="92" t="str">
        <f aca="true">IF($D32="","",IFERROR(COUNTIF(INDIRECT("'"&amp;$D32&amp;"'!$V$7:$V$500"),"N/A"),0))</f>
        <v/>
      </c>
      <c r="AO32" s="92" t="str">
        <f aca="true">IF($D32="","",IFERROR(COUNTIF(INDIRECT("'"&amp;$D32&amp;"'!$AB$7:$AB$500"),"?*"),0))</f>
        <v/>
      </c>
      <c r="AP32" s="92" t="str">
        <f aca="true">IF($D32="","",IFERROR(COUNTIF(INDIRECT("'"&amp;$D32&amp;"'!$AB$7:$AB$500"),"Pass"),0))</f>
        <v/>
      </c>
      <c r="AQ32" s="92" t="str">
        <f aca="true">IF($D32="","",IFERROR(COUNTIF(INDIRECT("'"&amp;$D32&amp;"'!$AB$7:$AB$500"),"Fail"),0))</f>
        <v/>
      </c>
      <c r="AR32" s="92" t="str">
        <f aca="true">IF($D32="","",IFERROR(COUNTIF(INDIRECT("'"&amp;$D32&amp;"'!$AB$7:$AB$500"),"Block"),0))</f>
        <v/>
      </c>
      <c r="AS32" s="92" t="str">
        <f aca="true">IF($D32="","",IFERROR(COUNTIF(INDIRECT("'"&amp;$D32&amp;"'!$AB$7:$AB$500"),"N/A"),0))</f>
        <v/>
      </c>
      <c r="AT32" s="92" t="str">
        <f aca="true">IF($D32="","",IFERROR(COUNTIF(INDIRECT("'"&amp;$D32&amp;"'!$AH$7:$AH$500"),"?*"),0))</f>
        <v/>
      </c>
      <c r="AU32" s="92" t="str">
        <f aca="true">IF($D32="","",IFERROR(COUNTIF(INDIRECT("'"&amp;$D32&amp;"'!$AH$7:$AH$500"),"Pass"),0))</f>
        <v/>
      </c>
      <c r="AV32" s="92" t="str">
        <f aca="true">IF($D32="","",IFERROR(COUNTIF(INDIRECT("'"&amp;$D32&amp;"'!$AH$7:$AH$500"),"Fail"),0))</f>
        <v/>
      </c>
      <c r="AW32" s="92" t="str">
        <f aca="true">IF($D32="","",IFERROR(COUNTIF(INDIRECT("'"&amp;$D32&amp;"'!$AH$7:$AH$500"),"Block"),0))</f>
        <v/>
      </c>
      <c r="AX32" s="92" t="str">
        <f aca="true">IF($D32="","",IFERROR(COUNTIF(INDIRECT("'"&amp;$D32&amp;"'!$AH$7:$AH$500"),"N/A"),0))</f>
        <v/>
      </c>
      <c r="AY32" s="92" t="str">
        <f aca="true">IF($D32="","",IFERROR(COUNTIF(INDIRECT("'"&amp;$D32&amp;"'!$AN$7:$AN$500"),"?*"),0))</f>
        <v/>
      </c>
      <c r="AZ32" s="92" t="str">
        <f aca="true">IF($D32="","",IFERROR(COUNTIF(INDIRECT("'"&amp;$D32&amp;"'!$AN$7:$AN$500"),"Pass"),0))</f>
        <v/>
      </c>
      <c r="BA32" s="92" t="str">
        <f aca="true">IF($D32="","",IFERROR(COUNTIF(INDIRECT("'"&amp;$D32&amp;"'!$AN$7:$AN$500"),"Fail"),0))</f>
        <v/>
      </c>
      <c r="BB32" s="92" t="str">
        <f aca="true">IF($D32="","",IFERROR(COUNTIF(INDIRECT("'"&amp;$D32&amp;"'!$AN$7:$AN$500"),"Block"),0))</f>
        <v/>
      </c>
      <c r="BC32" s="1" t="str">
        <f aca="true">IF($D32="","",IFERROR(COUNTIF(INDIRECT("'"&amp;$D32&amp;"'!$AN$7:$AN$500"),"N/A"),0))</f>
        <v/>
      </c>
    </row>
    <row r="33" customFormat="false" ht="15.75" hidden="false" customHeight="true" outlineLevel="0" collapsed="false">
      <c r="B33" s="87" t="str">
        <f aca="false">IF($D33="","",ROW()-3)</f>
        <v/>
      </c>
      <c r="C33" s="88"/>
      <c r="D33" s="88"/>
      <c r="E33" s="89"/>
      <c r="F33" s="87" t="str">
        <f aca="true">IF($D33="","",IFERROR(COUNTIF(INDIRECT("'"&amp;$D33&amp;"'!$A$7:$A$500"),"?*"),0))</f>
        <v/>
      </c>
      <c r="G33" s="87" t="str">
        <f aca="true">IF($D33="","",IFERROR(COUNTIF(INDIRECT("'"&amp;$D33&amp;"'!$AT$7:$AT$500"),"Pass"),0))</f>
        <v/>
      </c>
      <c r="H33" s="87" t="str">
        <f aca="true">IF($D33="","",IFERROR(COUNTIF(INDIRECT("'"&amp;$D33&amp;"'!$AT$7:$AT$500"),"Fail"),0))</f>
        <v/>
      </c>
      <c r="I33" s="87" t="str">
        <f aca="true">IF($D33="","",IFERROR(COUNTIF(INDIRECT("'"&amp;$D33&amp;"'!$AT$7:$AT$500"),"Block"),0))</f>
        <v/>
      </c>
      <c r="J33" s="87" t="str">
        <f aca="true">IF($D33="","",IFERROR(COUNTIF(INDIRECT("'"&amp;$D33&amp;"'!$AT$7:$AT$500"),"N/A"),0))</f>
        <v/>
      </c>
      <c r="K33" s="87" t="str">
        <f aca="false">IF($D33="","",MAX(0,$F33-$G33-$H33-$I33-$J33))</f>
        <v/>
      </c>
      <c r="L33" s="87" t="str">
        <f aca="false">IF($D33="","",$G33+$H33+$I33+$J33)</f>
        <v/>
      </c>
      <c r="M33" s="90" t="str">
        <f aca="false">IF($D33="","",IFERROR($L33/$F33,0))</f>
        <v/>
      </c>
      <c r="N33" s="90" t="str">
        <f aca="false">IF($D33="","",IFERROR($G33/$L33,0))</f>
        <v/>
      </c>
      <c r="O33" s="87" t="str">
        <f aca="true">IF($D33="","",IFERROR(COUNTIF(INDIRECT("'"&amp;$D33&amp;"'!$E$7:$E$500"),"High"),0))</f>
        <v/>
      </c>
      <c r="P33" s="87" t="str">
        <f aca="true">IF($D33="","",IFERROR(COUNTIF(INDIRECT("'"&amp;$D33&amp;"'!$E$7:$E$500"),"Medium"),0))</f>
        <v/>
      </c>
      <c r="Q33" s="87" t="str">
        <f aca="true">IF($D33="","",IFERROR(COUNTIF(INDIRECT("'"&amp;$D33&amp;"'!$E$7:$E$500"),"Low"),0))</f>
        <v/>
      </c>
      <c r="R33" s="87" t="str">
        <f aca="true">IF($D33="","",IFERROR(COUNTIF(INDIRECT("'"&amp;$D33&amp;"'!$D$7:$D$500"),"Functional"),0))</f>
        <v/>
      </c>
      <c r="S33" s="87" t="str">
        <f aca="true">IF($D33="","",IFERROR(COUNTIF(INDIRECT("'"&amp;$D33&amp;"'!$D$7:$D$500"),"UI"),0))</f>
        <v/>
      </c>
      <c r="T33" s="87" t="str">
        <f aca="true">IF($D33="","",IFERROR(COUNTIF(INDIRECT("'"&amp;$D33&amp;"'!$D$7:$D$500"),"Integration"),0))</f>
        <v/>
      </c>
      <c r="U33" s="87" t="str">
        <f aca="true">IF($D33="","",IFERROR(COUNTIF(INDIRECT("'"&amp;$D33&amp;"'!$D$7:$D$500"),"Database Test Case"),0))</f>
        <v/>
      </c>
      <c r="V33" s="87" t="str">
        <f aca="true">IF($D33="","",IFERROR(COUNTIF(INDIRECT("'"&amp;$D33&amp;"'!$J$7:$J$500"),"AI"),0))</f>
        <v/>
      </c>
      <c r="W33" s="87" t="str">
        <f aca="true">IF($D33="","",IFERROR(COUNTIF(INDIRECT("'"&amp;$D33&amp;"'!$J$7:$J$500"),"QC"),0))</f>
        <v/>
      </c>
      <c r="X33" s="87" t="str">
        <f aca="true">IF($D33="","",IFERROR(COUNTIF(INDIRECT("'"&amp;$D33&amp;"'!$L$7:$L$500"),"Yes"),0))</f>
        <v/>
      </c>
      <c r="Y33" s="87" t="str">
        <f aca="true">IF($D33="","",IFERROR(COUNTIF(INDIRECT("'"&amp;$D33&amp;"'!$AR$7:$AR$500"),"Yes"),0))</f>
        <v/>
      </c>
      <c r="Z33" s="87" t="str">
        <f aca="true">IF($D33="","",IFERROR(COUNTIF(INDIRECT("'"&amp;$D33&amp;"'!$AS$7:$AS$500"),"Pass"),0))</f>
        <v/>
      </c>
      <c r="AA33" s="87" t="str">
        <f aca="true">IF($D33="","",IFERROR(COUNTIF(INDIRECT("'"&amp;$D33&amp;"'!$K$7:$K$500"),"Reviewed"),0))</f>
        <v/>
      </c>
      <c r="AB33" s="91" t="str">
        <f aca="true">IF($D33="","",IFERROR(COUNTIFS(INDIRECT("'"&amp;$D33&amp;"'!$E$7:$E$500"),"High",INDIRECT("'"&amp;$D33&amp;"'!$AT$7:$AT$500"),"?*"),0))</f>
        <v/>
      </c>
      <c r="AC33" s="91" t="str">
        <f aca="true">IF($D33="","",IFERROR(COUNTIFS(INDIRECT("'"&amp;$D33&amp;"'!$E$7:$E$500"),"Medium",INDIRECT("'"&amp;$D33&amp;"'!$AT$7:$AT$500"),"?*"),0))</f>
        <v/>
      </c>
      <c r="AD33" s="91" t="str">
        <f aca="true">IF($D33="","",IFERROR(COUNTIFS(INDIRECT("'"&amp;$D33&amp;"'!$E$7:$E$500"),"Low",INDIRECT("'"&amp;$D33&amp;"'!$AT$7:$AT$500"),"?*"),0))</f>
        <v/>
      </c>
      <c r="AE33" s="92" t="str">
        <f aca="true">IF($D33="","",IFERROR(COUNTIF(INDIRECT("'"&amp;$D33&amp;"'!$P$7:$P$500"),"?*"),0))</f>
        <v/>
      </c>
      <c r="AF33" s="92" t="str">
        <f aca="true">IF($D33="","",IFERROR(COUNTIF(INDIRECT("'"&amp;$D33&amp;"'!$P$7:$P$500"),"Pass"),0))</f>
        <v/>
      </c>
      <c r="AG33" s="92" t="str">
        <f aca="true">IF($D33="","",IFERROR(COUNTIF(INDIRECT("'"&amp;$D33&amp;"'!$P$7:$P$500"),"Fail"),0))</f>
        <v/>
      </c>
      <c r="AH33" s="92" t="str">
        <f aca="true">IF($D33="","",IFERROR(COUNTIF(INDIRECT("'"&amp;$D33&amp;"'!$P$7:$P$500"),"Block"),0))</f>
        <v/>
      </c>
      <c r="AI33" s="92" t="str">
        <f aca="true">IF($D33="","",IFERROR(COUNTIF(INDIRECT("'"&amp;$D33&amp;"'!$P$7:$P$500"),"N/A"),0))</f>
        <v/>
      </c>
      <c r="AJ33" s="92" t="str">
        <f aca="true">IF($D33="","",IFERROR(COUNTIF(INDIRECT("'"&amp;$D33&amp;"'!$V$7:$V$500"),"?*"),0))</f>
        <v/>
      </c>
      <c r="AK33" s="92" t="str">
        <f aca="true">IF($D33="","",IFERROR(COUNTIF(INDIRECT("'"&amp;$D33&amp;"'!$V$7:$V$500"),"Pass"),0))</f>
        <v/>
      </c>
      <c r="AL33" s="92" t="str">
        <f aca="true">IF($D33="","",IFERROR(COUNTIF(INDIRECT("'"&amp;$D33&amp;"'!$V$7:$V$500"),"Fail"),0))</f>
        <v/>
      </c>
      <c r="AM33" s="92" t="str">
        <f aca="true">IF($D33="","",IFERROR(COUNTIF(INDIRECT("'"&amp;$D33&amp;"'!$V$7:$V$500"),"Block"),0))</f>
        <v/>
      </c>
      <c r="AN33" s="92" t="str">
        <f aca="true">IF($D33="","",IFERROR(COUNTIF(INDIRECT("'"&amp;$D33&amp;"'!$V$7:$V$500"),"N/A"),0))</f>
        <v/>
      </c>
      <c r="AO33" s="92" t="str">
        <f aca="true">IF($D33="","",IFERROR(COUNTIF(INDIRECT("'"&amp;$D33&amp;"'!$AB$7:$AB$500"),"?*"),0))</f>
        <v/>
      </c>
      <c r="AP33" s="92" t="str">
        <f aca="true">IF($D33="","",IFERROR(COUNTIF(INDIRECT("'"&amp;$D33&amp;"'!$AB$7:$AB$500"),"Pass"),0))</f>
        <v/>
      </c>
      <c r="AQ33" s="92" t="str">
        <f aca="true">IF($D33="","",IFERROR(COUNTIF(INDIRECT("'"&amp;$D33&amp;"'!$AB$7:$AB$500"),"Fail"),0))</f>
        <v/>
      </c>
      <c r="AR33" s="92" t="str">
        <f aca="true">IF($D33="","",IFERROR(COUNTIF(INDIRECT("'"&amp;$D33&amp;"'!$AB$7:$AB$500"),"Block"),0))</f>
        <v/>
      </c>
      <c r="AS33" s="92" t="str">
        <f aca="true">IF($D33="","",IFERROR(COUNTIF(INDIRECT("'"&amp;$D33&amp;"'!$AB$7:$AB$500"),"N/A"),0))</f>
        <v/>
      </c>
      <c r="AT33" s="92" t="str">
        <f aca="true">IF($D33="","",IFERROR(COUNTIF(INDIRECT("'"&amp;$D33&amp;"'!$AH$7:$AH$500"),"?*"),0))</f>
        <v/>
      </c>
      <c r="AU33" s="92" t="str">
        <f aca="true">IF($D33="","",IFERROR(COUNTIF(INDIRECT("'"&amp;$D33&amp;"'!$AH$7:$AH$500"),"Pass"),0))</f>
        <v/>
      </c>
      <c r="AV33" s="92" t="str">
        <f aca="true">IF($D33="","",IFERROR(COUNTIF(INDIRECT("'"&amp;$D33&amp;"'!$AH$7:$AH$500"),"Fail"),0))</f>
        <v/>
      </c>
      <c r="AW33" s="92" t="str">
        <f aca="true">IF($D33="","",IFERROR(COUNTIF(INDIRECT("'"&amp;$D33&amp;"'!$AH$7:$AH$500"),"Block"),0))</f>
        <v/>
      </c>
      <c r="AX33" s="92" t="str">
        <f aca="true">IF($D33="","",IFERROR(COUNTIF(INDIRECT("'"&amp;$D33&amp;"'!$AH$7:$AH$500"),"N/A"),0))</f>
        <v/>
      </c>
      <c r="AY33" s="92" t="str">
        <f aca="true">IF($D33="","",IFERROR(COUNTIF(INDIRECT("'"&amp;$D33&amp;"'!$AN$7:$AN$500"),"?*"),0))</f>
        <v/>
      </c>
      <c r="AZ33" s="92" t="str">
        <f aca="true">IF($D33="","",IFERROR(COUNTIF(INDIRECT("'"&amp;$D33&amp;"'!$AN$7:$AN$500"),"Pass"),0))</f>
        <v/>
      </c>
      <c r="BA33" s="92" t="str">
        <f aca="true">IF($D33="","",IFERROR(COUNTIF(INDIRECT("'"&amp;$D33&amp;"'!$AN$7:$AN$500"),"Fail"),0))</f>
        <v/>
      </c>
      <c r="BB33" s="92" t="str">
        <f aca="true">IF($D33="","",IFERROR(COUNTIF(INDIRECT("'"&amp;$D33&amp;"'!$AN$7:$AN$500"),"Block"),0))</f>
        <v/>
      </c>
      <c r="BC33" s="1" t="str">
        <f aca="true">IF($D33="","",IFERROR(COUNTIF(INDIRECT("'"&amp;$D33&amp;"'!$AN$7:$AN$500"),"N/A"),0))</f>
        <v/>
      </c>
    </row>
    <row r="34" customFormat="false" ht="15.75" hidden="false" customHeight="true" outlineLevel="0" collapsed="false">
      <c r="B34" s="93" t="s">
        <v>217</v>
      </c>
      <c r="C34" s="93"/>
      <c r="D34" s="93" t="str">
        <f aca="false">COUNTIF($D$4:$D$33,"?*")&amp;" sheet"</f>
        <v>11 sheet</v>
      </c>
      <c r="E34" s="94"/>
      <c r="F34" s="93" t="n">
        <f aca="false">SUM(F4:F33)</f>
        <v>223</v>
      </c>
      <c r="G34" s="93" t="n">
        <f aca="false">SUM(G4:G33)</f>
        <v>0</v>
      </c>
      <c r="H34" s="93" t="n">
        <f aca="false">SUM(H4:H33)</f>
        <v>0</v>
      </c>
      <c r="I34" s="93" t="n">
        <f aca="false">SUM(I4:I33)</f>
        <v>0</v>
      </c>
      <c r="J34" s="93" t="n">
        <f aca="false">SUM(J4:J33)</f>
        <v>0</v>
      </c>
      <c r="K34" s="93" t="n">
        <f aca="false">SUM(K4:K33)</f>
        <v>223</v>
      </c>
      <c r="L34" s="93" t="n">
        <f aca="false">SUM(L4:L33)</f>
        <v>0</v>
      </c>
      <c r="M34" s="95" t="n">
        <f aca="false">IFERROR($L34/$F34,0)</f>
        <v>0</v>
      </c>
      <c r="N34" s="95" t="n">
        <f aca="false">IFERROR($G34/$L34,0)</f>
        <v>0</v>
      </c>
      <c r="O34" s="93" t="n">
        <f aca="false">SUM(O4:O33)</f>
        <v>22</v>
      </c>
      <c r="P34" s="93" t="n">
        <f aca="false">SUM(P4:P33)</f>
        <v>145</v>
      </c>
      <c r="Q34" s="93" t="n">
        <f aca="false">SUM(Q4:Q33)</f>
        <v>56</v>
      </c>
      <c r="R34" s="93" t="n">
        <f aca="false">SUM(R4:R33)</f>
        <v>175</v>
      </c>
      <c r="S34" s="93" t="n">
        <f aca="false">SUM(S4:S33)</f>
        <v>48</v>
      </c>
      <c r="T34" s="93" t="n">
        <f aca="false">SUM(T4:T33)</f>
        <v>0</v>
      </c>
      <c r="U34" s="93" t="n">
        <f aca="false">SUM(U4:U33)</f>
        <v>0</v>
      </c>
      <c r="V34" s="93" t="n">
        <f aca="false">SUM(V4:V33)</f>
        <v>223</v>
      </c>
      <c r="W34" s="93" t="n">
        <f aca="false">SUM(W4:W33)</f>
        <v>0</v>
      </c>
      <c r="X34" s="93" t="n">
        <f aca="false">SUM(X4:X33)</f>
        <v>0</v>
      </c>
      <c r="Y34" s="93" t="n">
        <f aca="false">SUM(Y4:Y33)</f>
        <v>0</v>
      </c>
      <c r="Z34" s="93" t="n">
        <f aca="false">SUM(Z4:Z33)</f>
        <v>0</v>
      </c>
      <c r="AA34" s="93" t="n">
        <f aca="false">SUM(AA4:AA33)</f>
        <v>0</v>
      </c>
      <c r="AB34" s="96" t="n">
        <f aca="false">SUM(AB4:AB33)</f>
        <v>0</v>
      </c>
      <c r="AC34" s="96" t="n">
        <f aca="false">SUM(AC4:AC33)</f>
        <v>0</v>
      </c>
      <c r="AD34" s="96" t="n">
        <f aca="false">SUM(AD4:AD33)</f>
        <v>0</v>
      </c>
      <c r="AE34" s="97" t="n">
        <f aca="false">SUM(AE4:AE33)</f>
        <v>0</v>
      </c>
      <c r="AF34" s="97" t="n">
        <f aca="false">SUM(AF4:AF33)</f>
        <v>0</v>
      </c>
      <c r="AG34" s="97" t="n">
        <f aca="false">SUM(AG4:AG33)</f>
        <v>0</v>
      </c>
      <c r="AH34" s="97" t="n">
        <f aca="false">SUM(AH4:AH33)</f>
        <v>0</v>
      </c>
      <c r="AI34" s="97" t="n">
        <f aca="false">SUM(AI4:AI33)</f>
        <v>0</v>
      </c>
      <c r="AJ34" s="97" t="n">
        <f aca="false">SUM(AJ4:AJ33)</f>
        <v>0</v>
      </c>
      <c r="AK34" s="97" t="n">
        <f aca="false">SUM(AK4:AK33)</f>
        <v>0</v>
      </c>
      <c r="AL34" s="97" t="n">
        <f aca="false">SUM(AL4:AL33)</f>
        <v>0</v>
      </c>
      <c r="AM34" s="97" t="n">
        <f aca="false">SUM(AM4:AM33)</f>
        <v>0</v>
      </c>
      <c r="AN34" s="97" t="n">
        <f aca="false">SUM(AN4:AN33)</f>
        <v>0</v>
      </c>
      <c r="AO34" s="97" t="n">
        <f aca="false">SUM(AO4:AO33)</f>
        <v>0</v>
      </c>
      <c r="AP34" s="97" t="n">
        <f aca="false">SUM(AP4:AP33)</f>
        <v>0</v>
      </c>
      <c r="AQ34" s="97" t="n">
        <f aca="false">SUM(AQ4:AQ33)</f>
        <v>0</v>
      </c>
      <c r="AR34" s="97" t="n">
        <f aca="false">SUM(AR4:AR33)</f>
        <v>0</v>
      </c>
      <c r="AS34" s="97" t="n">
        <f aca="false">SUM(AS4:AS33)</f>
        <v>0</v>
      </c>
      <c r="AT34" s="97" t="n">
        <f aca="false">SUM(AT4:AT33)</f>
        <v>0</v>
      </c>
      <c r="AU34" s="97" t="n">
        <f aca="false">SUM(AU4:AU33)</f>
        <v>0</v>
      </c>
      <c r="AV34" s="97" t="n">
        <f aca="false">SUM(AV4:AV33)</f>
        <v>0</v>
      </c>
      <c r="AW34" s="97" t="n">
        <f aca="false">SUM(AW4:AW33)</f>
        <v>0</v>
      </c>
      <c r="AX34" s="97" t="n">
        <f aca="false">SUM(AX4:AX33)</f>
        <v>0</v>
      </c>
      <c r="AY34" s="97" t="n">
        <f aca="false">SUM(AY4:AY33)</f>
        <v>0</v>
      </c>
      <c r="AZ34" s="97" t="n">
        <f aca="false">SUM(AZ4:AZ33)</f>
        <v>0</v>
      </c>
      <c r="BA34" s="97" t="n">
        <f aca="false">SUM(BA4:BA33)</f>
        <v>0</v>
      </c>
      <c r="BB34" s="97" t="n">
        <f aca="false">SUM(BB4:BB33)</f>
        <v>0</v>
      </c>
      <c r="BC34" s="98" t="n">
        <f aca="false">SUM(BC4:BC33)</f>
        <v>0</v>
      </c>
    </row>
    <row r="35" customFormat="false" ht="15.75" hidden="false" customHeight="true" outlineLevel="0" collapsed="false"/>
    <row r="36" customFormat="false" ht="15" hidden="false" customHeight="true" outlineLevel="0" collapsed="false">
      <c r="B36" s="99" t="s">
        <v>218</v>
      </c>
      <c r="C36" s="99"/>
      <c r="D36" s="99"/>
      <c r="E36" s="99"/>
      <c r="F36" s="99"/>
      <c r="G36" s="99"/>
      <c r="H36" s="99"/>
      <c r="I36" s="99"/>
      <c r="J36" s="99"/>
      <c r="K36" s="99"/>
      <c r="L36" s="99"/>
      <c r="M36" s="99"/>
      <c r="N36" s="99"/>
    </row>
    <row r="37" customFormat="false" ht="15" hidden="false" customHeight="true" outlineLevel="0" collapsed="false">
      <c r="B37" s="100" t="s">
        <v>219</v>
      </c>
      <c r="C37" s="100"/>
      <c r="D37" s="100"/>
      <c r="E37" s="100"/>
      <c r="F37" s="100"/>
      <c r="G37" s="100"/>
      <c r="H37" s="100"/>
      <c r="I37" s="100"/>
      <c r="J37" s="100"/>
      <c r="K37" s="100"/>
      <c r="L37" s="100"/>
      <c r="M37" s="100"/>
      <c r="N37" s="100"/>
    </row>
    <row r="38" customFormat="false" ht="15" hidden="false" customHeight="true" outlineLevel="0" collapsed="false">
      <c r="B38" s="100" t="s">
        <v>220</v>
      </c>
      <c r="C38" s="100"/>
      <c r="D38" s="100"/>
      <c r="E38" s="100"/>
      <c r="F38" s="100"/>
      <c r="G38" s="100"/>
      <c r="H38" s="100"/>
      <c r="I38" s="100"/>
      <c r="J38" s="100"/>
      <c r="K38" s="100"/>
      <c r="L38" s="100"/>
      <c r="M38" s="100"/>
      <c r="N38" s="100"/>
    </row>
    <row r="39" customFormat="false" ht="15" hidden="false" customHeight="true" outlineLevel="0" collapsed="false">
      <c r="B39" s="100" t="s">
        <v>221</v>
      </c>
      <c r="C39" s="100"/>
      <c r="D39" s="100"/>
      <c r="E39" s="100"/>
      <c r="F39" s="100"/>
      <c r="G39" s="100"/>
      <c r="H39" s="100"/>
      <c r="I39" s="100"/>
      <c r="J39" s="100"/>
      <c r="K39" s="100"/>
      <c r="L39" s="100"/>
      <c r="M39" s="100"/>
      <c r="N39" s="100"/>
    </row>
    <row r="40" customFormat="false" ht="15" hidden="false" customHeight="true" outlineLevel="0" collapsed="false">
      <c r="B40" s="100" t="s">
        <v>222</v>
      </c>
      <c r="C40" s="100"/>
      <c r="D40" s="100"/>
      <c r="E40" s="100"/>
      <c r="F40" s="100"/>
      <c r="G40" s="100"/>
      <c r="H40" s="100"/>
      <c r="I40" s="100"/>
      <c r="J40" s="100"/>
      <c r="K40" s="100"/>
      <c r="L40" s="100"/>
      <c r="M40" s="100"/>
      <c r="N40" s="100"/>
    </row>
    <row r="41" customFormat="false" ht="15.75" hidden="false" customHeight="true" outlineLevel="0" collapsed="false">
      <c r="B41" s="100" t="s">
        <v>223</v>
      </c>
      <c r="C41" s="100"/>
      <c r="D41" s="100"/>
      <c r="E41" s="100"/>
      <c r="F41" s="100"/>
      <c r="G41" s="100"/>
      <c r="H41" s="100"/>
      <c r="I41" s="100"/>
      <c r="J41" s="100"/>
      <c r="K41" s="100"/>
      <c r="L41" s="100"/>
      <c r="M41" s="100"/>
      <c r="N41" s="100"/>
    </row>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4">
    <mergeCell ref="B1:AA1"/>
    <mergeCell ref="C2:E2"/>
    <mergeCell ref="F2:N2"/>
    <mergeCell ref="O2:Q2"/>
    <mergeCell ref="R2:U2"/>
    <mergeCell ref="V2:AA2"/>
    <mergeCell ref="AB2:AD2"/>
    <mergeCell ref="AE2:BC2"/>
    <mergeCell ref="B36:N36"/>
    <mergeCell ref="B37:N37"/>
    <mergeCell ref="B38:N38"/>
    <mergeCell ref="B39:N39"/>
    <mergeCell ref="B40:N40"/>
    <mergeCell ref="B41:N4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2:Z1001"/>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Q22" activeCellId="0" sqref="Q22"/>
    </sheetView>
  </sheetViews>
  <sheetFormatPr defaultColWidth="14.43359375" defaultRowHeight="15" customHeight="true" zeroHeight="false" outlineLevelRow="0" outlineLevelCol="0"/>
  <cols>
    <col collapsed="false" customWidth="true" hidden="false" outlineLevel="0" max="1" min="1" style="1" width="2.43"/>
    <col collapsed="false" customWidth="true" hidden="false" outlineLevel="0" max="2" min="2" style="1" width="14"/>
    <col collapsed="false" customWidth="true" hidden="false" outlineLevel="0" max="3" min="3" style="1" width="26"/>
    <col collapsed="false" customWidth="true" hidden="false" outlineLevel="0" max="9" min="4" style="1" width="13"/>
    <col collapsed="false" customWidth="true" hidden="false" outlineLevel="0" max="11" min="10" style="1" width="11"/>
    <col collapsed="false" customWidth="true" hidden="false" outlineLevel="0" max="12" min="12" style="1" width="34"/>
    <col collapsed="false" customWidth="true" hidden="false" outlineLevel="0" max="15" min="13" style="1" width="9"/>
  </cols>
  <sheetData>
    <row r="2" customFormat="false" ht="24.75" hidden="false" customHeight="true" outlineLevel="0" collapsed="false">
      <c r="B2" s="101" t="s">
        <v>224</v>
      </c>
      <c r="F2" s="102" t="s">
        <v>225</v>
      </c>
      <c r="G2" s="102"/>
      <c r="H2" s="102"/>
      <c r="I2" s="102"/>
      <c r="J2" s="102"/>
    </row>
    <row r="3" customFormat="false" ht="19.5" hidden="false" customHeight="true" outlineLevel="0" collapsed="false">
      <c r="B3" s="103" t="s">
        <v>94</v>
      </c>
      <c r="C3" s="38" t="str">
        <f aca="false">Summary!$C$6</f>
        <v>FoxEco</v>
      </c>
      <c r="D3" s="38"/>
      <c r="F3" s="104" t="s">
        <v>226</v>
      </c>
      <c r="G3" s="104"/>
      <c r="H3" s="104"/>
      <c r="I3" s="105" t="n">
        <f aca="false">I21</f>
        <v>0</v>
      </c>
      <c r="J3" s="105"/>
    </row>
    <row r="4" customFormat="false" ht="19.5" hidden="false" customHeight="true" outlineLevel="0" collapsed="false">
      <c r="B4" s="103" t="s">
        <v>82</v>
      </c>
      <c r="C4" s="38" t="str">
        <f aca="false">Summary!$C$8</f>
        <v>v1.1</v>
      </c>
      <c r="D4" s="38"/>
      <c r="F4" s="106" t="s">
        <v>227</v>
      </c>
      <c r="G4" s="106"/>
      <c r="H4" s="106"/>
      <c r="I4" s="105" t="n">
        <f aca="false">C102+C103</f>
        <v>0</v>
      </c>
      <c r="J4" s="105"/>
    </row>
    <row r="5" customFormat="false" ht="19.5" hidden="false" customHeight="true" outlineLevel="0" collapsed="false">
      <c r="B5" s="103" t="s">
        <v>97</v>
      </c>
      <c r="C5" s="38" t="n">
        <f aca="false">Summary!$C$9</f>
        <v>0</v>
      </c>
      <c r="D5" s="38"/>
      <c r="F5" s="107" t="s">
        <v>228</v>
      </c>
      <c r="G5" s="107"/>
      <c r="H5" s="107"/>
      <c r="I5" s="108" t="n">
        <f aca="false">IFERROR(((COUNTIFS('Bug Data'!$D:$D,"Done")+COUNTIFS('Bug Data'!$D:$D,"Closed")+COUNTIFS('Bug Data'!$D:$D,"Resolved"))+(COUNTIFS('Bug Data'!$D:$D,"Cancel")+COUNTIFS('Bug Data'!$D:$D,"Cancelled")+COUNTIFS('Bug Data'!$D:$D,"Canceled")))/COUNTIF('Bug Data'!$D$2:$D$250,"?*"),0)</f>
        <v>0</v>
      </c>
      <c r="J5" s="108"/>
    </row>
    <row r="6" customFormat="false" ht="19.5" hidden="false" customHeight="true" outlineLevel="0" collapsed="false">
      <c r="B6" s="103" t="s">
        <v>229</v>
      </c>
      <c r="C6" s="38" t="str">
        <f aca="false">TEXT(Summary!$C$10,"DD/MM/YYYY")&amp;"  →  "&amp;TEXT(Summary!$C$11,"DD/MM/YYYY")</f>
        <v>18/09/2026  →  25/09/2026</v>
      </c>
      <c r="D6" s="38"/>
      <c r="F6" s="109" t="s">
        <v>230</v>
      </c>
      <c r="G6" s="109"/>
      <c r="H6" s="109"/>
      <c r="I6" s="108" t="n">
        <f aca="false">IFERROR(Dashboard!$L$34/Dashboard!$F$34,0)</f>
        <v>0</v>
      </c>
      <c r="J6" s="108"/>
    </row>
    <row r="7" customFormat="false" ht="19.5" hidden="false" customHeight="true" outlineLevel="0" collapsed="false">
      <c r="B7" s="110" t="s">
        <v>231</v>
      </c>
      <c r="C7" s="110"/>
      <c r="D7" s="110"/>
      <c r="F7" s="111" t="s">
        <v>232</v>
      </c>
      <c r="G7" s="111"/>
      <c r="H7" s="111"/>
      <c r="I7" s="108" t="n">
        <f aca="false">D205</f>
        <v>0</v>
      </c>
      <c r="J7" s="108"/>
    </row>
    <row r="8" customFormat="false" ht="19.5" hidden="false" customHeight="true" outlineLevel="0" collapsed="false">
      <c r="B8" s="110"/>
      <c r="C8" s="110"/>
      <c r="D8" s="110"/>
      <c r="F8" s="112" t="s">
        <v>233</v>
      </c>
      <c r="G8" s="112"/>
      <c r="H8" s="112"/>
      <c r="I8" s="108" t="n">
        <f aca="false">D209</f>
        <v>0</v>
      </c>
      <c r="J8" s="108"/>
    </row>
    <row r="9" customFormat="false" ht="19.5" hidden="false" customHeight="true" outlineLevel="0" collapsed="false">
      <c r="B9" s="110"/>
      <c r="C9" s="110"/>
      <c r="D9" s="110"/>
      <c r="F9" s="113" t="s">
        <v>234</v>
      </c>
      <c r="G9" s="113"/>
      <c r="H9" s="113"/>
      <c r="I9" s="108" t="n">
        <f aca="false">IFERROR(C85/C90,0)</f>
        <v>0</v>
      </c>
      <c r="J9" s="108"/>
    </row>
    <row r="10" customFormat="false" ht="19.5" hidden="false" customHeight="true" outlineLevel="0" collapsed="false">
      <c r="F10" s="106" t="s">
        <v>235</v>
      </c>
      <c r="G10" s="106"/>
      <c r="H10" s="106"/>
      <c r="I10" s="105" t="n">
        <f aca="false">(COUNTIFS('Bug Data'!$D:$D,"?*",'Bug Data'!$L:$L,20)-(COUNTIFS('Bug Data'!$D:$D,"Done",'Bug Data'!$L:$L,20)+COUNTIFS('Bug Data'!$D:$D,"Closed",'Bug Data'!$L:$L,20)+COUNTIFS('Bug Data'!$D:$D,"Resolved",'Bug Data'!$L:$L,20))-(COUNTIFS('Bug Data'!$D:$D,"Cancel",'Bug Data'!$L:$L,20)+COUNTIFS('Bug Data'!$D:$D,"Cancelled",'Bug Data'!$L:$L,20)+COUNTIFS('Bug Data'!$D:$D,"Canceled",'Bug Data'!$L:$L,20)))+(COUNTIFS('Bug Data'!$D:$D,"?*",'Bug Data'!$L:$L,10)-(COUNTIFS('Bug Data'!$D:$D,"Done",'Bug Data'!$L:$L,10)+COUNTIFS('Bug Data'!$D:$D,"Closed",'Bug Data'!$L:$L,10)+COUNTIFS('Bug Data'!$D:$D,"Resolved",'Bug Data'!$L:$L,10))-(COUNTIFS('Bug Data'!$D:$D,"Cancel",'Bug Data'!$L:$L,10)+COUNTIFS('Bug Data'!$D:$D,"Cancelled",'Bug Data'!$L:$L,10)+COUNTIFS('Bug Data'!$D:$D,"Canceled",'Bug Data'!$L:$L,10)))</f>
        <v>0</v>
      </c>
      <c r="J10" s="105"/>
    </row>
    <row r="11" customFormat="false" ht="18.75" hidden="false" customHeight="true" outlineLevel="0" collapsed="false">
      <c r="B11" s="101" t="s">
        <v>236</v>
      </c>
      <c r="F11" s="114" t="s">
        <v>237</v>
      </c>
      <c r="G11" s="114"/>
      <c r="H11" s="114"/>
      <c r="I11" s="114"/>
      <c r="J11" s="114"/>
    </row>
    <row r="13" customFormat="false" ht="17.25" hidden="false" customHeight="true" outlineLevel="0" collapsed="false">
      <c r="B13" s="115" t="s">
        <v>238</v>
      </c>
      <c r="C13" s="115"/>
      <c r="D13" s="115"/>
      <c r="E13" s="115"/>
      <c r="F13" s="115"/>
      <c r="G13" s="115"/>
      <c r="H13" s="115"/>
      <c r="I13" s="115"/>
    </row>
    <row r="15" customFormat="false" ht="15.75" hidden="false" customHeight="true" outlineLevel="0" collapsed="false">
      <c r="B15" s="116" t="s">
        <v>239</v>
      </c>
    </row>
    <row r="16" customFormat="false" ht="15" hidden="false" customHeight="true" outlineLevel="0" collapsed="false">
      <c r="B16" s="117" t="s">
        <v>240</v>
      </c>
      <c r="C16" s="117"/>
      <c r="D16" s="117"/>
      <c r="E16" s="117"/>
      <c r="F16" s="117"/>
      <c r="G16" s="117"/>
      <c r="H16" s="117"/>
      <c r="I16" s="117"/>
    </row>
    <row r="17" customFormat="false" ht="15" hidden="false" customHeight="true" outlineLevel="0" collapsed="false">
      <c r="B17" s="118" t="s">
        <v>241</v>
      </c>
      <c r="C17" s="118" t="s">
        <v>242</v>
      </c>
      <c r="D17" s="118" t="s">
        <v>243</v>
      </c>
      <c r="E17" s="118" t="s">
        <v>244</v>
      </c>
      <c r="F17" s="118" t="s">
        <v>245</v>
      </c>
      <c r="G17" s="118" t="s">
        <v>246</v>
      </c>
      <c r="H17" s="118" t="s">
        <v>247</v>
      </c>
      <c r="I17" s="118" t="s">
        <v>248</v>
      </c>
    </row>
    <row r="18" customFormat="false" ht="15" hidden="false" customHeight="true" outlineLevel="0" collapsed="false">
      <c r="B18" s="103" t="s">
        <v>249</v>
      </c>
      <c r="C18" s="119" t="n">
        <f aca="false">COUNTIFS('Bug Data'!$D:$D,"To Do",'Bug Data'!$N:$N,$B18)+COUNTIFS('Bug Data'!$D:$D,"Todo",'Bug Data'!$N:$N,$B18)</f>
        <v>0</v>
      </c>
      <c r="D18" s="119" t="n">
        <f aca="false">COUNTIFS('Bug Data'!$D:$D,"In Progress",'Bug Data'!$N:$N,$B18)</f>
        <v>0</v>
      </c>
      <c r="E18" s="119" t="n">
        <f aca="false">COUNTIFS('Bug Data'!$D:$D,"In Review",'Bug Data'!$N:$N,$B18)</f>
        <v>0</v>
      </c>
      <c r="F18" s="119" t="n">
        <f aca="false">COUNTIFS('Bug Data'!$D:$D,"Pending",'Bug Data'!$N:$N,$B18)</f>
        <v>0</v>
      </c>
      <c r="G18" s="119" t="n">
        <f aca="false">COUNTIFS('Bug Data'!$D:$D,"Cancel",'Bug Data'!$N:$N,$B18)+COUNTIFS('Bug Data'!$D:$D,"Cancelled",'Bug Data'!$N:$N,$B18)+COUNTIFS('Bug Data'!$D:$D,"Canceled",'Bug Data'!$N:$N,$B18)</f>
        <v>0</v>
      </c>
      <c r="H18" s="119" t="n">
        <f aca="false">COUNTIFS('Bug Data'!$D:$D,"Done",'Bug Data'!$N:$N,$B18)+COUNTIFS('Bug Data'!$D:$D,"Closed",'Bug Data'!$N:$N,$B18)+COUNTIFS('Bug Data'!$D:$D,"Resolved",'Bug Data'!$N:$N,$B18)</f>
        <v>0</v>
      </c>
      <c r="I18" s="120" t="n">
        <f aca="false">SUM(C18:H18)</f>
        <v>0</v>
      </c>
    </row>
    <row r="19" customFormat="false" ht="15" hidden="false" customHeight="true" outlineLevel="0" collapsed="false">
      <c r="B19" s="103" t="s">
        <v>133</v>
      </c>
      <c r="C19" s="119" t="n">
        <f aca="false">COUNTIFS('Bug Data'!$D:$D,"To Do",'Bug Data'!$N:$N,$B19)+COUNTIFS('Bug Data'!$D:$D,"Todo",'Bug Data'!$N:$N,$B19)</f>
        <v>0</v>
      </c>
      <c r="D19" s="119" t="n">
        <f aca="false">COUNTIFS('Bug Data'!$D:$D,"In Progress",'Bug Data'!$N:$N,$B19)</f>
        <v>0</v>
      </c>
      <c r="E19" s="119" t="n">
        <f aca="false">COUNTIFS('Bug Data'!$D:$D,"In Review",'Bug Data'!$N:$N,$B19)</f>
        <v>0</v>
      </c>
      <c r="F19" s="119" t="n">
        <f aca="false">COUNTIFS('Bug Data'!$D:$D,"Pending",'Bug Data'!$N:$N,$B19)</f>
        <v>0</v>
      </c>
      <c r="G19" s="119" t="n">
        <f aca="false">COUNTIFS('Bug Data'!$D:$D,"Cancel",'Bug Data'!$N:$N,$B19)+COUNTIFS('Bug Data'!$D:$D,"Cancelled",'Bug Data'!$N:$N,$B19)+COUNTIFS('Bug Data'!$D:$D,"Canceled",'Bug Data'!$N:$N,$B19)</f>
        <v>0</v>
      </c>
      <c r="H19" s="119" t="n">
        <f aca="false">COUNTIFS('Bug Data'!$D:$D,"Done",'Bug Data'!$N:$N,$B19)+COUNTIFS('Bug Data'!$D:$D,"Closed",'Bug Data'!$N:$N,$B19)+COUNTIFS('Bug Data'!$D:$D,"Resolved",'Bug Data'!$N:$N,$B19)</f>
        <v>0</v>
      </c>
      <c r="I19" s="120" t="n">
        <f aca="false">SUM(C19:H19)</f>
        <v>0</v>
      </c>
    </row>
    <row r="20" customFormat="false" ht="15" hidden="false" customHeight="true" outlineLevel="0" collapsed="false">
      <c r="B20" s="103" t="s">
        <v>250</v>
      </c>
      <c r="C20" s="119" t="n">
        <f aca="false">COUNTIFS('Bug Data'!$D:$D,"To Do",'Bug Data'!$N:$N,$B20)+COUNTIFS('Bug Data'!$D:$D,"Todo",'Bug Data'!$N:$N,$B20)</f>
        <v>0</v>
      </c>
      <c r="D20" s="119" t="n">
        <f aca="false">COUNTIFS('Bug Data'!$D:$D,"In Progress",'Bug Data'!$N:$N,$B20)</f>
        <v>0</v>
      </c>
      <c r="E20" s="119" t="n">
        <f aca="false">COUNTIFS('Bug Data'!$D:$D,"In Review",'Bug Data'!$N:$N,$B20)</f>
        <v>0</v>
      </c>
      <c r="F20" s="119" t="n">
        <f aca="false">COUNTIFS('Bug Data'!$D:$D,"Pending",'Bug Data'!$N:$N,$B20)</f>
        <v>0</v>
      </c>
      <c r="G20" s="119" t="n">
        <f aca="false">COUNTIFS('Bug Data'!$D:$D,"Cancel",'Bug Data'!$N:$N,$B20)+COUNTIFS('Bug Data'!$D:$D,"Cancelled",'Bug Data'!$N:$N,$B20)+COUNTIFS('Bug Data'!$D:$D,"Canceled",'Bug Data'!$N:$N,$B20)</f>
        <v>0</v>
      </c>
      <c r="H20" s="119" t="n">
        <f aca="false">COUNTIFS('Bug Data'!$D:$D,"Done",'Bug Data'!$N:$N,$B20)+COUNTIFS('Bug Data'!$D:$D,"Closed",'Bug Data'!$N:$N,$B20)+COUNTIFS('Bug Data'!$D:$D,"Resolved",'Bug Data'!$N:$N,$B20)</f>
        <v>0</v>
      </c>
      <c r="I20" s="120" t="n">
        <f aca="false">SUM(C20:H20)</f>
        <v>0</v>
      </c>
    </row>
    <row r="21" customFormat="false" ht="15.75" hidden="false" customHeight="true" outlineLevel="0" collapsed="false">
      <c r="B21" s="36" t="s">
        <v>248</v>
      </c>
      <c r="C21" s="121" t="n">
        <f aca="false">SUM(C18:C20)</f>
        <v>0</v>
      </c>
      <c r="D21" s="121" t="n">
        <f aca="false">SUM(D18:D20)</f>
        <v>0</v>
      </c>
      <c r="E21" s="121" t="n">
        <f aca="false">SUM(E18:E20)</f>
        <v>0</v>
      </c>
      <c r="F21" s="121" t="n">
        <f aca="false">SUM(F18:F20)</f>
        <v>0</v>
      </c>
      <c r="G21" s="121" t="n">
        <f aca="false">SUM(G18:G20)</f>
        <v>0</v>
      </c>
      <c r="H21" s="121" t="n">
        <f aca="false">SUM(H18:H20)</f>
        <v>0</v>
      </c>
      <c r="I21" s="121" t="n">
        <f aca="false">SUM(I18:I20)</f>
        <v>0</v>
      </c>
    </row>
    <row r="22" customFormat="false" ht="31.5" hidden="false" customHeight="true" outlineLevel="0" collapsed="false">
      <c r="B22" s="122" t="s">
        <v>251</v>
      </c>
      <c r="C22" s="122"/>
      <c r="D22" s="122"/>
      <c r="E22" s="122"/>
      <c r="F22" s="122"/>
      <c r="G22" s="122"/>
      <c r="H22" s="122"/>
      <c r="I22" s="122"/>
    </row>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c r="B40" s="116" t="s">
        <v>252</v>
      </c>
    </row>
    <row r="41" customFormat="false" ht="15.75" hidden="false" customHeight="true" outlineLevel="0" collapsed="false">
      <c r="B41" s="117" t="s">
        <v>253</v>
      </c>
      <c r="C41" s="117"/>
      <c r="D41" s="117"/>
      <c r="E41" s="117"/>
      <c r="F41" s="117"/>
      <c r="G41" s="117"/>
      <c r="H41" s="117"/>
      <c r="I41" s="117"/>
      <c r="J41" s="117"/>
      <c r="K41" s="117"/>
    </row>
    <row r="42" customFormat="false" ht="15.75" hidden="false" customHeight="true" outlineLevel="0" collapsed="false">
      <c r="B42" s="118" t="s">
        <v>254</v>
      </c>
      <c r="C42" s="118" t="s">
        <v>255</v>
      </c>
      <c r="D42" s="118" t="s">
        <v>242</v>
      </c>
      <c r="E42" s="118" t="s">
        <v>243</v>
      </c>
      <c r="F42" s="118" t="s">
        <v>244</v>
      </c>
      <c r="G42" s="118" t="s">
        <v>245</v>
      </c>
      <c r="H42" s="118" t="s">
        <v>246</v>
      </c>
      <c r="I42" s="118" t="s">
        <v>247</v>
      </c>
      <c r="J42" s="118" t="s">
        <v>248</v>
      </c>
      <c r="K42" s="118" t="s">
        <v>256</v>
      </c>
    </row>
    <row r="43" customFormat="false" ht="15.75" hidden="false" customHeight="true" outlineLevel="0" collapsed="false">
      <c r="B43" s="123" t="s">
        <v>195</v>
      </c>
      <c r="C43" s="53" t="s">
        <v>196</v>
      </c>
      <c r="D43" s="51" t="n">
        <f aca="false">COUNTIFS('Bug Data'!$D:$D,"To Do",'Bug Data'!$M:$M,$C43)+COUNTIFS('Bug Data'!$D:$D,"Todo",'Bug Data'!$M:$M,$C43)</f>
        <v>0</v>
      </c>
      <c r="E43" s="51" t="n">
        <f aca="false">COUNTIFS('Bug Data'!$D:$D,"In Progress",'Bug Data'!$M:$M,$C43)</f>
        <v>0</v>
      </c>
      <c r="F43" s="51" t="n">
        <f aca="false">COUNTIFS('Bug Data'!$D:$D,"In Review",'Bug Data'!$M:$M,$C43)</f>
        <v>0</v>
      </c>
      <c r="G43" s="51" t="n">
        <f aca="false">COUNTIFS('Bug Data'!$D:$D,"Pending",'Bug Data'!$M:$M,$C43)</f>
        <v>0</v>
      </c>
      <c r="H43" s="51" t="n">
        <f aca="false">COUNTIFS('Bug Data'!$D:$D,"Cancel",'Bug Data'!$M:$M,$C43)+COUNTIFS('Bug Data'!$D:$D,"Cancelled",'Bug Data'!$M:$M,$C43)+COUNTIFS('Bug Data'!$D:$D,"Canceled",'Bug Data'!$M:$M,$C43)</f>
        <v>0</v>
      </c>
      <c r="I43" s="51" t="n">
        <f aca="false">COUNTIFS('Bug Data'!$D:$D,"Done",'Bug Data'!$M:$M,$C43)+COUNTIFS('Bug Data'!$D:$D,"Closed",'Bug Data'!$M:$M,$C43)+COUNTIFS('Bug Data'!$D:$D,"Resolved",'Bug Data'!$M:$M,$C43)</f>
        <v>0</v>
      </c>
      <c r="J43" s="124" t="n">
        <f aca="false">SUM(D43:I43)</f>
        <v>0</v>
      </c>
      <c r="K43" s="52" t="n">
        <f aca="false">IFERROR(J43/$J$53,0)</f>
        <v>0</v>
      </c>
    </row>
    <row r="44" customFormat="false" ht="15.75" hidden="false" customHeight="true" outlineLevel="0" collapsed="false">
      <c r="B44" s="123" t="s">
        <v>197</v>
      </c>
      <c r="C44" s="53" t="s">
        <v>198</v>
      </c>
      <c r="D44" s="51" t="n">
        <f aca="false">COUNTIFS('Bug Data'!$D:$D,"To Do",'Bug Data'!$M:$M,$C44)+COUNTIFS('Bug Data'!$D:$D,"Todo",'Bug Data'!$M:$M,$C44)</f>
        <v>0</v>
      </c>
      <c r="E44" s="51" t="n">
        <f aca="false">COUNTIFS('Bug Data'!$D:$D,"In Progress",'Bug Data'!$M:$M,$C44)</f>
        <v>0</v>
      </c>
      <c r="F44" s="51" t="n">
        <f aca="false">COUNTIFS('Bug Data'!$D:$D,"In Review",'Bug Data'!$M:$M,$C44)</f>
        <v>0</v>
      </c>
      <c r="G44" s="51" t="n">
        <f aca="false">COUNTIFS('Bug Data'!$D:$D,"Pending",'Bug Data'!$M:$M,$C44)</f>
        <v>0</v>
      </c>
      <c r="H44" s="51" t="n">
        <f aca="false">COUNTIFS('Bug Data'!$D:$D,"Cancel",'Bug Data'!$M:$M,$C44)+COUNTIFS('Bug Data'!$D:$D,"Cancelled",'Bug Data'!$M:$M,$C44)+COUNTIFS('Bug Data'!$D:$D,"Canceled",'Bug Data'!$M:$M,$C44)</f>
        <v>0</v>
      </c>
      <c r="I44" s="51" t="n">
        <f aca="false">COUNTIFS('Bug Data'!$D:$D,"Done",'Bug Data'!$M:$M,$C44)+COUNTIFS('Bug Data'!$D:$D,"Closed",'Bug Data'!$M:$M,$C44)+COUNTIFS('Bug Data'!$D:$D,"Resolved",'Bug Data'!$M:$M,$C44)</f>
        <v>0</v>
      </c>
      <c r="J44" s="124" t="n">
        <f aca="false">SUM(D44:I44)</f>
        <v>0</v>
      </c>
      <c r="K44" s="52" t="n">
        <f aca="false">IFERROR(J44/$J$53,0)</f>
        <v>0</v>
      </c>
    </row>
    <row r="45" customFormat="false" ht="15.75" hidden="false" customHeight="true" outlineLevel="0" collapsed="false">
      <c r="B45" s="123" t="s">
        <v>199</v>
      </c>
      <c r="C45" s="53" t="s">
        <v>200</v>
      </c>
      <c r="D45" s="51" t="n">
        <f aca="false">COUNTIFS('Bug Data'!$D:$D,"To Do",'Bug Data'!$M:$M,$C45)+COUNTIFS('Bug Data'!$D:$D,"Todo",'Bug Data'!$M:$M,$C45)</f>
        <v>0</v>
      </c>
      <c r="E45" s="51" t="n">
        <f aca="false">COUNTIFS('Bug Data'!$D:$D,"In Progress",'Bug Data'!$M:$M,$C45)</f>
        <v>0</v>
      </c>
      <c r="F45" s="51" t="n">
        <f aca="false">COUNTIFS('Bug Data'!$D:$D,"In Review",'Bug Data'!$M:$M,$C45)</f>
        <v>0</v>
      </c>
      <c r="G45" s="51" t="n">
        <f aca="false">COUNTIFS('Bug Data'!$D:$D,"Pending",'Bug Data'!$M:$M,$C45)</f>
        <v>0</v>
      </c>
      <c r="H45" s="51" t="n">
        <f aca="false">COUNTIFS('Bug Data'!$D:$D,"Cancel",'Bug Data'!$M:$M,$C45)+COUNTIFS('Bug Data'!$D:$D,"Cancelled",'Bug Data'!$M:$M,$C45)+COUNTIFS('Bug Data'!$D:$D,"Canceled",'Bug Data'!$M:$M,$C45)</f>
        <v>0</v>
      </c>
      <c r="I45" s="51" t="n">
        <f aca="false">COUNTIFS('Bug Data'!$D:$D,"Done",'Bug Data'!$M:$M,$C45)+COUNTIFS('Bug Data'!$D:$D,"Closed",'Bug Data'!$M:$M,$C45)+COUNTIFS('Bug Data'!$D:$D,"Resolved",'Bug Data'!$M:$M,$C45)</f>
        <v>0</v>
      </c>
      <c r="J45" s="124" t="n">
        <f aca="false">SUM(D45:I45)</f>
        <v>0</v>
      </c>
      <c r="K45" s="52" t="n">
        <f aca="false">IFERROR(J45/$J$53,0)</f>
        <v>0</v>
      </c>
    </row>
    <row r="46" customFormat="false" ht="15.75" hidden="false" customHeight="true" outlineLevel="0" collapsed="false">
      <c r="B46" s="123" t="s">
        <v>201</v>
      </c>
      <c r="C46" s="53" t="s">
        <v>202</v>
      </c>
      <c r="D46" s="51" t="n">
        <f aca="false">COUNTIFS('Bug Data'!$D:$D,"To Do",'Bug Data'!$M:$M,$C46)+COUNTIFS('Bug Data'!$D:$D,"Todo",'Bug Data'!$M:$M,$C46)</f>
        <v>0</v>
      </c>
      <c r="E46" s="51" t="n">
        <f aca="false">COUNTIFS('Bug Data'!$D:$D,"In Progress",'Bug Data'!$M:$M,$C46)</f>
        <v>0</v>
      </c>
      <c r="F46" s="51" t="n">
        <f aca="false">COUNTIFS('Bug Data'!$D:$D,"In Review",'Bug Data'!$M:$M,$C46)</f>
        <v>0</v>
      </c>
      <c r="G46" s="51" t="n">
        <f aca="false">COUNTIFS('Bug Data'!$D:$D,"Pending",'Bug Data'!$M:$M,$C46)</f>
        <v>0</v>
      </c>
      <c r="H46" s="51" t="n">
        <f aca="false">COUNTIFS('Bug Data'!$D:$D,"Cancel",'Bug Data'!$M:$M,$C46)+COUNTIFS('Bug Data'!$D:$D,"Cancelled",'Bug Data'!$M:$M,$C46)+COUNTIFS('Bug Data'!$D:$D,"Canceled",'Bug Data'!$M:$M,$C46)</f>
        <v>0</v>
      </c>
      <c r="I46" s="51" t="n">
        <f aca="false">COUNTIFS('Bug Data'!$D:$D,"Done",'Bug Data'!$M:$M,$C46)+COUNTIFS('Bug Data'!$D:$D,"Closed",'Bug Data'!$M:$M,$C46)+COUNTIFS('Bug Data'!$D:$D,"Resolved",'Bug Data'!$M:$M,$C46)</f>
        <v>0</v>
      </c>
      <c r="J46" s="124" t="n">
        <f aca="false">SUM(D46:I46)</f>
        <v>0</v>
      </c>
      <c r="K46" s="52" t="n">
        <f aca="false">IFERROR(J46/$J$53,0)</f>
        <v>0</v>
      </c>
    </row>
    <row r="47" customFormat="false" ht="15.75" hidden="false" customHeight="true" outlineLevel="0" collapsed="false">
      <c r="B47" s="123" t="s">
        <v>203</v>
      </c>
      <c r="C47" s="53" t="s">
        <v>204</v>
      </c>
      <c r="D47" s="51" t="n">
        <f aca="false">COUNTIFS('Bug Data'!$D:$D,"To Do",'Bug Data'!$M:$M,$C47)+COUNTIFS('Bug Data'!$D:$D,"Todo",'Bug Data'!$M:$M,$C47)</f>
        <v>0</v>
      </c>
      <c r="E47" s="51" t="n">
        <f aca="false">COUNTIFS('Bug Data'!$D:$D,"In Progress",'Bug Data'!$M:$M,$C47)</f>
        <v>0</v>
      </c>
      <c r="F47" s="51" t="n">
        <f aca="false">COUNTIFS('Bug Data'!$D:$D,"In Review",'Bug Data'!$M:$M,$C47)</f>
        <v>0</v>
      </c>
      <c r="G47" s="51" t="n">
        <f aca="false">COUNTIFS('Bug Data'!$D:$D,"Pending",'Bug Data'!$M:$M,$C47)</f>
        <v>0</v>
      </c>
      <c r="H47" s="51" t="n">
        <f aca="false">COUNTIFS('Bug Data'!$D:$D,"Cancel",'Bug Data'!$M:$M,$C47)+COUNTIFS('Bug Data'!$D:$D,"Cancelled",'Bug Data'!$M:$M,$C47)+COUNTIFS('Bug Data'!$D:$D,"Canceled",'Bug Data'!$M:$M,$C47)</f>
        <v>0</v>
      </c>
      <c r="I47" s="51" t="n">
        <f aca="false">COUNTIFS('Bug Data'!$D:$D,"Done",'Bug Data'!$M:$M,$C47)+COUNTIFS('Bug Data'!$D:$D,"Closed",'Bug Data'!$M:$M,$C47)+COUNTIFS('Bug Data'!$D:$D,"Resolved",'Bug Data'!$M:$M,$C47)</f>
        <v>0</v>
      </c>
      <c r="J47" s="124" t="n">
        <f aca="false">SUM(D47:I47)</f>
        <v>0</v>
      </c>
      <c r="K47" s="52" t="n">
        <f aca="false">IFERROR(J47/$J$53,0)</f>
        <v>0</v>
      </c>
    </row>
    <row r="48" customFormat="false" ht="15.75" hidden="false" customHeight="true" outlineLevel="0" collapsed="false">
      <c r="B48" s="123" t="s">
        <v>205</v>
      </c>
      <c r="C48" s="53" t="s">
        <v>206</v>
      </c>
      <c r="D48" s="51" t="n">
        <f aca="false">COUNTIFS('Bug Data'!$D:$D,"To Do",'Bug Data'!$M:$M,$C48)+COUNTIFS('Bug Data'!$D:$D,"Todo",'Bug Data'!$M:$M,$C48)</f>
        <v>0</v>
      </c>
      <c r="E48" s="51" t="n">
        <f aca="false">COUNTIFS('Bug Data'!$D:$D,"In Progress",'Bug Data'!$M:$M,$C48)</f>
        <v>0</v>
      </c>
      <c r="F48" s="51" t="n">
        <f aca="false">COUNTIFS('Bug Data'!$D:$D,"In Review",'Bug Data'!$M:$M,$C48)</f>
        <v>0</v>
      </c>
      <c r="G48" s="51" t="n">
        <f aca="false">COUNTIFS('Bug Data'!$D:$D,"Pending",'Bug Data'!$M:$M,$C48)</f>
        <v>0</v>
      </c>
      <c r="H48" s="51" t="n">
        <f aca="false">COUNTIFS('Bug Data'!$D:$D,"Cancel",'Bug Data'!$M:$M,$C48)+COUNTIFS('Bug Data'!$D:$D,"Cancelled",'Bug Data'!$M:$M,$C48)+COUNTIFS('Bug Data'!$D:$D,"Canceled",'Bug Data'!$M:$M,$C48)</f>
        <v>0</v>
      </c>
      <c r="I48" s="51" t="n">
        <f aca="false">COUNTIFS('Bug Data'!$D:$D,"Done",'Bug Data'!$M:$M,$C48)+COUNTIFS('Bug Data'!$D:$D,"Closed",'Bug Data'!$M:$M,$C48)+COUNTIFS('Bug Data'!$D:$D,"Resolved",'Bug Data'!$M:$M,$C48)</f>
        <v>0</v>
      </c>
      <c r="J48" s="124" t="n">
        <f aca="false">SUM(D48:I48)</f>
        <v>0</v>
      </c>
      <c r="K48" s="52" t="n">
        <f aca="false">IFERROR(J48/$J$53,0)</f>
        <v>0</v>
      </c>
    </row>
    <row r="49" customFormat="false" ht="15.75" hidden="false" customHeight="true" outlineLevel="0" collapsed="false">
      <c r="B49" s="123" t="s">
        <v>207</v>
      </c>
      <c r="C49" s="53" t="s">
        <v>208</v>
      </c>
      <c r="D49" s="51" t="n">
        <f aca="false">COUNTIFS('Bug Data'!$D:$D,"To Do",'Bug Data'!$M:$M,$C49)+COUNTIFS('Bug Data'!$D:$D,"Todo",'Bug Data'!$M:$M,$C49)</f>
        <v>0</v>
      </c>
      <c r="E49" s="51" t="n">
        <f aca="false">COUNTIFS('Bug Data'!$D:$D,"In Progress",'Bug Data'!$M:$M,$C49)</f>
        <v>0</v>
      </c>
      <c r="F49" s="51" t="n">
        <f aca="false">COUNTIFS('Bug Data'!$D:$D,"In Review",'Bug Data'!$M:$M,$C49)</f>
        <v>0</v>
      </c>
      <c r="G49" s="51" t="n">
        <f aca="false">COUNTIFS('Bug Data'!$D:$D,"Pending",'Bug Data'!$M:$M,$C49)</f>
        <v>0</v>
      </c>
      <c r="H49" s="51" t="n">
        <f aca="false">COUNTIFS('Bug Data'!$D:$D,"Cancel",'Bug Data'!$M:$M,$C49)+COUNTIFS('Bug Data'!$D:$D,"Cancelled",'Bug Data'!$M:$M,$C49)+COUNTIFS('Bug Data'!$D:$D,"Canceled",'Bug Data'!$M:$M,$C49)</f>
        <v>0</v>
      </c>
      <c r="I49" s="51" t="n">
        <f aca="false">COUNTIFS('Bug Data'!$D:$D,"Done",'Bug Data'!$M:$M,$C49)+COUNTIFS('Bug Data'!$D:$D,"Closed",'Bug Data'!$M:$M,$C49)+COUNTIFS('Bug Data'!$D:$D,"Resolved",'Bug Data'!$M:$M,$C49)</f>
        <v>0</v>
      </c>
      <c r="J49" s="124" t="n">
        <f aca="false">SUM(D49:I49)</f>
        <v>0</v>
      </c>
      <c r="K49" s="52" t="n">
        <f aca="false">IFERROR(J49/$J$53,0)</f>
        <v>0</v>
      </c>
    </row>
    <row r="50" customFormat="false" ht="15.75" hidden="false" customHeight="true" outlineLevel="0" collapsed="false">
      <c r="B50" s="123" t="s">
        <v>209</v>
      </c>
      <c r="C50" s="53" t="s">
        <v>210</v>
      </c>
      <c r="D50" s="51" t="n">
        <f aca="false">COUNTIFS('Bug Data'!$D:$D,"To Do",'Bug Data'!$M:$M,$C50)+COUNTIFS('Bug Data'!$D:$D,"Todo",'Bug Data'!$M:$M,$C50)</f>
        <v>0</v>
      </c>
      <c r="E50" s="51" t="n">
        <f aca="false">COUNTIFS('Bug Data'!$D:$D,"In Progress",'Bug Data'!$M:$M,$C50)</f>
        <v>0</v>
      </c>
      <c r="F50" s="51" t="n">
        <f aca="false">COUNTIFS('Bug Data'!$D:$D,"In Review",'Bug Data'!$M:$M,$C50)</f>
        <v>0</v>
      </c>
      <c r="G50" s="51" t="n">
        <f aca="false">COUNTIFS('Bug Data'!$D:$D,"Pending",'Bug Data'!$M:$M,$C50)</f>
        <v>0</v>
      </c>
      <c r="H50" s="51" t="n">
        <f aca="false">COUNTIFS('Bug Data'!$D:$D,"Cancel",'Bug Data'!$M:$M,$C50)+COUNTIFS('Bug Data'!$D:$D,"Cancelled",'Bug Data'!$M:$M,$C50)+COUNTIFS('Bug Data'!$D:$D,"Canceled",'Bug Data'!$M:$M,$C50)</f>
        <v>0</v>
      </c>
      <c r="I50" s="51" t="n">
        <f aca="false">COUNTIFS('Bug Data'!$D:$D,"Done",'Bug Data'!$M:$M,$C50)+COUNTIFS('Bug Data'!$D:$D,"Closed",'Bug Data'!$M:$M,$C50)+COUNTIFS('Bug Data'!$D:$D,"Resolved",'Bug Data'!$M:$M,$C50)</f>
        <v>0</v>
      </c>
      <c r="J50" s="124" t="n">
        <f aca="false">SUM(D50:I50)</f>
        <v>0</v>
      </c>
      <c r="K50" s="52" t="n">
        <f aca="false">IFERROR(J50/$J$53,0)</f>
        <v>0</v>
      </c>
    </row>
    <row r="51" customFormat="false" ht="15.75" hidden="false" customHeight="true" outlineLevel="0" collapsed="false">
      <c r="B51" s="123" t="s">
        <v>211</v>
      </c>
      <c r="C51" s="53" t="s">
        <v>212</v>
      </c>
      <c r="D51" s="51" t="n">
        <f aca="false">COUNTIFS('Bug Data'!$D:$D,"To Do",'Bug Data'!$M:$M,$C51)+COUNTIFS('Bug Data'!$D:$D,"Todo",'Bug Data'!$M:$M,$C51)</f>
        <v>0</v>
      </c>
      <c r="E51" s="51" t="n">
        <f aca="false">COUNTIFS('Bug Data'!$D:$D,"In Progress",'Bug Data'!$M:$M,$C51)</f>
        <v>0</v>
      </c>
      <c r="F51" s="51" t="n">
        <f aca="false">COUNTIFS('Bug Data'!$D:$D,"In Review",'Bug Data'!$M:$M,$C51)</f>
        <v>0</v>
      </c>
      <c r="G51" s="51" t="n">
        <f aca="false">COUNTIFS('Bug Data'!$D:$D,"Pending",'Bug Data'!$M:$M,$C51)</f>
        <v>0</v>
      </c>
      <c r="H51" s="51" t="n">
        <f aca="false">COUNTIFS('Bug Data'!$D:$D,"Cancel",'Bug Data'!$M:$M,$C51)+COUNTIFS('Bug Data'!$D:$D,"Cancelled",'Bug Data'!$M:$M,$C51)+COUNTIFS('Bug Data'!$D:$D,"Canceled",'Bug Data'!$M:$M,$C51)</f>
        <v>0</v>
      </c>
      <c r="I51" s="51" t="n">
        <f aca="false">COUNTIFS('Bug Data'!$D:$D,"Done",'Bug Data'!$M:$M,$C51)+COUNTIFS('Bug Data'!$D:$D,"Closed",'Bug Data'!$M:$M,$C51)+COUNTIFS('Bug Data'!$D:$D,"Resolved",'Bug Data'!$M:$M,$C51)</f>
        <v>0</v>
      </c>
      <c r="J51" s="124" t="n">
        <f aca="false">SUM(D51:I51)</f>
        <v>0</v>
      </c>
      <c r="K51" s="52" t="n">
        <f aca="false">IFERROR(J51/$J$53,0)</f>
        <v>0</v>
      </c>
    </row>
    <row r="52" customFormat="false" ht="15.75" hidden="false" customHeight="true" outlineLevel="0" collapsed="false">
      <c r="B52" s="123" t="s">
        <v>257</v>
      </c>
      <c r="C52" s="53" t="s">
        <v>258</v>
      </c>
      <c r="D52" s="51" t="n">
        <f aca="false">COUNTIFS('Bug Data'!$D:$D,"To Do")+COUNTIFS('Bug Data'!$D:$D,"Todo")-SUM(D43:D51)</f>
        <v>0</v>
      </c>
      <c r="E52" s="51" t="n">
        <f aca="false">COUNTIFS('Bug Data'!$D:$D,"In Progress")-SUM(E43:E51)</f>
        <v>0</v>
      </c>
      <c r="F52" s="51" t="n">
        <f aca="false">COUNTIFS('Bug Data'!$D:$D,"In Review")-SUM(F43:F51)</f>
        <v>0</v>
      </c>
      <c r="G52" s="51" t="n">
        <f aca="false">COUNTIFS('Bug Data'!$D:$D,"Pending")-SUM(G43:G51)</f>
        <v>0</v>
      </c>
      <c r="H52" s="51" t="n">
        <f aca="false">COUNTIFS('Bug Data'!$D:$D,"Cancel")+COUNTIFS('Bug Data'!$D:$D,"Cancelled")+COUNTIFS('Bug Data'!$D:$D,"Canceled")-SUM(H43:H51)</f>
        <v>0</v>
      </c>
      <c r="I52" s="51" t="n">
        <f aca="false">COUNTIFS('Bug Data'!$D:$D,"Done")+COUNTIFS('Bug Data'!$D:$D,"Closed")+COUNTIFS('Bug Data'!$D:$D,"Resolved")-SUM(I43:I51)</f>
        <v>0</v>
      </c>
      <c r="J52" s="124" t="n">
        <f aca="false">SUM(D52:I52)</f>
        <v>0</v>
      </c>
      <c r="K52" s="52" t="n">
        <f aca="false">IFERROR(J52/$J$53,0)</f>
        <v>0</v>
      </c>
    </row>
    <row r="53" customFormat="false" ht="15.75" hidden="false" customHeight="true" outlineLevel="0" collapsed="false">
      <c r="B53" s="125" t="s">
        <v>248</v>
      </c>
      <c r="C53" s="126"/>
      <c r="D53" s="42" t="n">
        <f aca="false">SUM(D43:D52)</f>
        <v>0</v>
      </c>
      <c r="E53" s="42" t="n">
        <f aca="false">SUM(E43:E52)</f>
        <v>0</v>
      </c>
      <c r="F53" s="42" t="n">
        <f aca="false">SUM(F43:F52)</f>
        <v>0</v>
      </c>
      <c r="G53" s="42" t="n">
        <f aca="false">SUM(G43:G52)</f>
        <v>0</v>
      </c>
      <c r="H53" s="42" t="n">
        <f aca="false">SUM(H43:H52)</f>
        <v>0</v>
      </c>
      <c r="I53" s="42" t="n">
        <f aca="false">SUM(I43:I52)</f>
        <v>0</v>
      </c>
      <c r="J53" s="42" t="n">
        <f aca="false">SUM(J43:J52)</f>
        <v>0</v>
      </c>
      <c r="K53" s="55" t="n">
        <f aca="false">IFERROR(J53/J53,0)</f>
        <v>0</v>
      </c>
    </row>
    <row r="54" customFormat="false" ht="15.75" hidden="false" customHeight="true" outlineLevel="0" collapsed="false"/>
    <row r="55" customFormat="false" ht="31.5" hidden="false" customHeight="true" outlineLevel="0" collapsed="false">
      <c r="B55" s="127" t="s">
        <v>259</v>
      </c>
      <c r="C55" s="127"/>
      <c r="D55" s="127"/>
      <c r="E55" s="127"/>
      <c r="F55" s="127"/>
      <c r="G55" s="127"/>
      <c r="H55" s="127"/>
      <c r="I55" s="127"/>
      <c r="J55" s="127"/>
      <c r="K55" s="127"/>
    </row>
    <row r="56" customFormat="false" ht="15.75" hidden="false" customHeight="true" outlineLevel="0" collapsed="false"/>
    <row r="57" customFormat="false" ht="15.75" hidden="false" customHeight="true" outlineLevel="0" collapsed="false">
      <c r="B57" s="116" t="s">
        <v>260</v>
      </c>
    </row>
    <row r="58" customFormat="false" ht="15.75" hidden="false" customHeight="true" outlineLevel="0" collapsed="false">
      <c r="B58" s="117" t="s">
        <v>261</v>
      </c>
      <c r="C58" s="117"/>
      <c r="D58" s="117"/>
      <c r="E58" s="117"/>
      <c r="F58" s="117"/>
      <c r="G58" s="117"/>
    </row>
    <row r="59" customFormat="false" ht="15.75" hidden="false" customHeight="true" outlineLevel="0" collapsed="false">
      <c r="B59" s="118" t="s">
        <v>254</v>
      </c>
      <c r="C59" s="118" t="s">
        <v>255</v>
      </c>
      <c r="D59" s="118" t="s">
        <v>262</v>
      </c>
      <c r="E59" s="118" t="s">
        <v>263</v>
      </c>
      <c r="F59" s="118" t="s">
        <v>264</v>
      </c>
      <c r="G59" s="118" t="s">
        <v>265</v>
      </c>
    </row>
    <row r="60" customFormat="false" ht="15.75" hidden="false" customHeight="true" outlineLevel="0" collapsed="false">
      <c r="B60" s="128" t="str">
        <f aca="false">IF(Dashboard!$D4="","",Dashboard!$C4)</f>
        <v>TC_01</v>
      </c>
      <c r="C60" s="38" t="str">
        <f aca="false">IF(Dashboard!$D4="","",Dashboard!$E4)</f>
        <v>Hoạt động (Đơn của tôi)</v>
      </c>
      <c r="D60" s="119" t="n">
        <f aca="false">IF(Dashboard!$D4="","",Dashboard!$F4)</f>
        <v>10</v>
      </c>
      <c r="E60" s="119" t="n">
        <f aca="false">IF(Dashboard!$D4="","",Dashboard!$L4)</f>
        <v>0</v>
      </c>
      <c r="F60" s="129" t="n">
        <f aca="false">IFERROR(E60/D60,0)</f>
        <v>0</v>
      </c>
      <c r="G60" s="38"/>
    </row>
    <row r="61" customFormat="false" ht="15.75" hidden="false" customHeight="true" outlineLevel="0" collapsed="false">
      <c r="B61" s="128" t="str">
        <f aca="false">IF(Dashboard!$D5="","",Dashboard!$C5)</f>
        <v>TC_02</v>
      </c>
      <c r="C61" s="38" t="str">
        <f aca="false">IF(Dashboard!$D5="","",Dashboard!$E5)</f>
        <v>Ghép nối</v>
      </c>
      <c r="D61" s="119" t="n">
        <f aca="false">IF(Dashboard!$D5="","",Dashboard!$F5)</f>
        <v>13</v>
      </c>
      <c r="E61" s="119" t="n">
        <f aca="false">IF(Dashboard!$D5="","",Dashboard!$L5)</f>
        <v>0</v>
      </c>
      <c r="F61" s="129" t="n">
        <f aca="false">IFERROR(E61/D61,0)</f>
        <v>0</v>
      </c>
      <c r="G61" s="38"/>
    </row>
    <row r="62" customFormat="false" ht="15.75" hidden="false" customHeight="true" outlineLevel="0" collapsed="false">
      <c r="B62" s="128" t="str">
        <f aca="false">IF(Dashboard!$D6="","",Dashboard!$C6)</f>
        <v>TC_03</v>
      </c>
      <c r="C62" s="38" t="str">
        <f aca="false">IF(Dashboard!$D6="","",Dashboard!$E6)</f>
        <v>Huỷ đơn - Huỷ nhận đơn</v>
      </c>
      <c r="D62" s="119" t="n">
        <f aca="false">IF(Dashboard!$D6="","",Dashboard!$F6)</f>
        <v>13</v>
      </c>
      <c r="E62" s="119" t="n">
        <f aca="false">IF(Dashboard!$D6="","",Dashboard!$L6)</f>
        <v>0</v>
      </c>
      <c r="F62" s="129" t="n">
        <f aca="false">IFERROR(E62/D62,0)</f>
        <v>0</v>
      </c>
      <c r="G62" s="38"/>
    </row>
    <row r="63" customFormat="false" ht="15.75" hidden="false" customHeight="true" outlineLevel="0" collapsed="false">
      <c r="B63" s="128" t="str">
        <f aca="false">IF(Dashboard!$D7="","",Dashboard!$C7)</f>
        <v>TC_04</v>
      </c>
      <c r="C63" s="38" t="str">
        <f aca="false">IF(Dashboard!$D7="","",Dashboard!$E7)</f>
        <v>Giao nhận &amp; Theo dõi đơn</v>
      </c>
      <c r="D63" s="119" t="n">
        <f aca="false">IF(Dashboard!$D7="","",Dashboard!$F7)</f>
        <v>51</v>
      </c>
      <c r="E63" s="119" t="n">
        <f aca="false">IF(Dashboard!$D7="","",Dashboard!$L7)</f>
        <v>0</v>
      </c>
      <c r="F63" s="129" t="n">
        <f aca="false">IFERROR(E63/D63,0)</f>
        <v>0</v>
      </c>
      <c r="G63" s="38"/>
    </row>
    <row r="64" customFormat="false" ht="24" hidden="false" customHeight="true" outlineLevel="0" collapsed="false">
      <c r="B64" s="128" t="str">
        <f aca="false">IF(Dashboard!$D8="","",Dashboard!$C8)</f>
        <v>TC_05</v>
      </c>
      <c r="C64" s="38" t="str">
        <f aca="false">IF(Dashboard!$D8="","",Dashboard!$E8)</f>
        <v>Bảng tin &amp; Chi tiết tin</v>
      </c>
      <c r="D64" s="119" t="n">
        <f aca="false">IF(Dashboard!$D8="","",Dashboard!$F8)</f>
        <v>5</v>
      </c>
      <c r="E64" s="119" t="n">
        <f aca="false">IF(Dashboard!$D8="","",Dashboard!$L8)</f>
        <v>0</v>
      </c>
      <c r="F64" s="129" t="n">
        <f aca="false">IFERROR(E64/D64,0)</f>
        <v>0</v>
      </c>
      <c r="G64" s="38"/>
    </row>
    <row r="65" customFormat="false" ht="15.75" hidden="false" customHeight="true" outlineLevel="0" collapsed="false">
      <c r="B65" s="128" t="str">
        <f aca="false">IF(Dashboard!$D9="","",Dashboard!$C9)</f>
        <v>TC_06</v>
      </c>
      <c r="C65" s="38" t="str">
        <f aca="false">IF(Dashboard!$D9="","",Dashboard!$E9)</f>
        <v>Quà cảm ơn</v>
      </c>
      <c r="D65" s="119" t="n">
        <f aca="false">IF(Dashboard!$D9="","",Dashboard!$F9)</f>
        <v>8</v>
      </c>
      <c r="E65" s="119" t="n">
        <f aca="false">IF(Dashboard!$D9="","",Dashboard!$L9)</f>
        <v>0</v>
      </c>
      <c r="F65" s="129" t="n">
        <f aca="false">IFERROR(E65/D65,0)</f>
        <v>0</v>
      </c>
      <c r="G65" s="38"/>
      <c r="H65" s="130"/>
      <c r="I65" s="130"/>
    </row>
    <row r="66" customFormat="false" ht="15.75" hidden="false" customHeight="true" outlineLevel="0" collapsed="false">
      <c r="B66" s="128" t="str">
        <f aca="false">IF(Dashboard!$D10="","",Dashboard!$C10)</f>
        <v>TC_07</v>
      </c>
      <c r="C66" s="38" t="str">
        <f aca="false">IF(Dashboard!$D10="","",Dashboard!$E10)</f>
        <v>Trang chủ</v>
      </c>
      <c r="D66" s="119" t="n">
        <f aca="false">IF(Dashboard!$D10="","",Dashboard!$F10)</f>
        <v>11</v>
      </c>
      <c r="E66" s="119" t="n">
        <f aca="false">IF(Dashboard!$D10="","",Dashboard!$L10)</f>
        <v>0</v>
      </c>
      <c r="F66" s="129" t="n">
        <f aca="false">IFERROR(E66/D66,0)</f>
        <v>0</v>
      </c>
      <c r="G66" s="38"/>
    </row>
    <row r="67" customFormat="false" ht="15.75" hidden="false" customHeight="true" outlineLevel="0" collapsed="false">
      <c r="B67" s="128" t="str">
        <f aca="false">IF(Dashboard!$D11="","",Dashboard!$C11)</f>
        <v>TC_08</v>
      </c>
      <c r="C67" s="38" t="str">
        <f aca="false">IF(Dashboard!$D11="","",Dashboard!$E11)</f>
        <v>Thông báo</v>
      </c>
      <c r="D67" s="119" t="n">
        <f aca="false">IF(Dashboard!$D11="","",Dashboard!$F11)</f>
        <v>9</v>
      </c>
      <c r="E67" s="119" t="n">
        <f aca="false">IF(Dashboard!$D11="","",Dashboard!$L11)</f>
        <v>0</v>
      </c>
      <c r="F67" s="129" t="n">
        <f aca="false">IFERROR(E67/D67,0)</f>
        <v>0</v>
      </c>
      <c r="G67" s="38"/>
    </row>
    <row r="68" customFormat="false" ht="15.75" hidden="false" customHeight="true" outlineLevel="0" collapsed="false">
      <c r="B68" s="128" t="str">
        <f aca="false">IF(Dashboard!$D12="","",Dashboard!$C12)</f>
        <v>TC_09</v>
      </c>
      <c r="C68" s="38" t="str">
        <f aca="false">IF(Dashboard!$D12="","",Dashboard!$E12)</f>
        <v>Đăng tin &amp; Quản lý tin</v>
      </c>
      <c r="D68" s="119" t="n">
        <f aca="false">IF(Dashboard!$D12="","",Dashboard!$F12)</f>
        <v>48</v>
      </c>
      <c r="E68" s="119" t="n">
        <f aca="false">IF(Dashboard!$D12="","",Dashboard!$L12)</f>
        <v>0</v>
      </c>
      <c r="F68" s="129" t="n">
        <f aca="false">IFERROR(E68/D68,0)</f>
        <v>0</v>
      </c>
      <c r="G68" s="38"/>
    </row>
    <row r="69" customFormat="false" ht="15.75" hidden="false" customHeight="true" outlineLevel="0" collapsed="false">
      <c r="B69" s="128" t="str">
        <f aca="false">IF(Dashboard!$D13="","",Dashboard!$C13)</f>
        <v>TC_10</v>
      </c>
      <c r="C69" s="38" t="str">
        <f aca="false">IF(Dashboard!$D13="","",Dashboard!$E13)</f>
        <v>Trust &amp; Safety</v>
      </c>
      <c r="D69" s="119" t="n">
        <f aca="false">IF(Dashboard!$D13="","",Dashboard!$F13)</f>
        <v>17</v>
      </c>
      <c r="E69" s="119" t="n">
        <f aca="false">IF(Dashboard!$D13="","",Dashboard!$L13)</f>
        <v>0</v>
      </c>
      <c r="F69" s="129" t="n">
        <f aca="false">IFERROR(E69/D69,0)</f>
        <v>0</v>
      </c>
      <c r="G69" s="38"/>
    </row>
    <row r="70" customFormat="false" ht="15.75" hidden="false" customHeight="true" outlineLevel="0" collapsed="false">
      <c r="B70" s="128" t="str">
        <f aca="false">IF(Dashboard!$D14="","",Dashboard!$C14)</f>
        <v>TC_11</v>
      </c>
      <c r="C70" s="38" t="str">
        <f aca="false">IF(Dashboard!$D14="","",Dashboard!$E14)</f>
        <v>Tài khoản &amp; Hồ sơ</v>
      </c>
      <c r="D70" s="119" t="n">
        <f aca="false">IF(Dashboard!$D14="","",Dashboard!$F14)</f>
        <v>38</v>
      </c>
      <c r="E70" s="119" t="n">
        <f aca="false">IF(Dashboard!$D14="","",Dashboard!$L14)</f>
        <v>0</v>
      </c>
      <c r="F70" s="129" t="n">
        <f aca="false">IFERROR(E70/D70,0)</f>
        <v>0</v>
      </c>
      <c r="G70" s="38"/>
    </row>
    <row r="71" customFormat="false" ht="15.75" hidden="false" customHeight="true" outlineLevel="0" collapsed="false">
      <c r="B71" s="118" t="s">
        <v>248</v>
      </c>
      <c r="C71" s="131"/>
      <c r="D71" s="121" t="n">
        <f aca="false">Dashboard!$F$34</f>
        <v>223</v>
      </c>
      <c r="E71" s="121" t="n">
        <f aca="false">Dashboard!$L$34</f>
        <v>0</v>
      </c>
      <c r="F71" s="132" t="n">
        <f aca="false">IFERROR(E71/D71,0)</f>
        <v>0</v>
      </c>
      <c r="G71" s="131"/>
    </row>
    <row r="72" customFormat="false" ht="15.75" hidden="false" customHeight="true" outlineLevel="0" collapsed="false">
      <c r="B72" s="133" t="s">
        <v>266</v>
      </c>
      <c r="C72" s="133"/>
      <c r="D72" s="133"/>
      <c r="E72" s="133"/>
      <c r="F72" s="133"/>
      <c r="G72" s="133"/>
    </row>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c r="B82" s="116" t="s">
        <v>267</v>
      </c>
    </row>
    <row r="83" customFormat="false" ht="15.75" hidden="false" customHeight="true" outlineLevel="0" collapsed="false">
      <c r="B83" s="117" t="s">
        <v>268</v>
      </c>
      <c r="C83" s="117"/>
      <c r="D83" s="117"/>
    </row>
    <row r="84" customFormat="false" ht="15.75" hidden="false" customHeight="true" outlineLevel="0" collapsed="false">
      <c r="B84" s="118" t="s">
        <v>21</v>
      </c>
      <c r="C84" s="118" t="s">
        <v>119</v>
      </c>
      <c r="D84" s="118" t="s">
        <v>256</v>
      </c>
    </row>
    <row r="85" customFormat="false" ht="15.75" hidden="false" customHeight="true" outlineLevel="0" collapsed="false">
      <c r="B85" s="103" t="s">
        <v>23</v>
      </c>
      <c r="C85" s="119" t="n">
        <f aca="false">Dashboard!$G$34</f>
        <v>0</v>
      </c>
      <c r="D85" s="129" t="n">
        <f aca="false">IFERROR(C85/$C$90,0)</f>
        <v>0</v>
      </c>
    </row>
    <row r="86" customFormat="false" ht="15.75" hidden="false" customHeight="true" outlineLevel="0" collapsed="false">
      <c r="B86" s="103" t="s">
        <v>25</v>
      </c>
      <c r="C86" s="119" t="n">
        <f aca="false">Dashboard!$H$34</f>
        <v>0</v>
      </c>
      <c r="D86" s="129" t="n">
        <f aca="false">IFERROR(C86/$C$90,0)</f>
        <v>0</v>
      </c>
    </row>
    <row r="87" customFormat="false" ht="15.75" hidden="false" customHeight="true" outlineLevel="0" collapsed="false">
      <c r="B87" s="103" t="s">
        <v>27</v>
      </c>
      <c r="C87" s="119" t="n">
        <f aca="false">Dashboard!$I$34</f>
        <v>0</v>
      </c>
      <c r="D87" s="129" t="n">
        <f aca="false">IFERROR(C87/$C$90,0)</f>
        <v>0</v>
      </c>
    </row>
    <row r="88" customFormat="false" ht="15.75" hidden="false" customHeight="true" outlineLevel="0" collapsed="false">
      <c r="B88" s="103" t="s">
        <v>29</v>
      </c>
      <c r="C88" s="119" t="n">
        <f aca="false">Dashboard!$J$34</f>
        <v>0</v>
      </c>
      <c r="D88" s="129" t="n">
        <f aca="false">IFERROR(C88/$C$90,0)</f>
        <v>0</v>
      </c>
    </row>
    <row r="89" customFormat="false" ht="26.25" hidden="false" customHeight="true" outlineLevel="0" collapsed="false">
      <c r="B89" s="103" t="s">
        <v>269</v>
      </c>
      <c r="C89" s="119" t="n">
        <f aca="false">Dashboard!$K$34</f>
        <v>223</v>
      </c>
      <c r="D89" s="129" t="n">
        <f aca="false">IFERROR(C89/$C$90,0)</f>
        <v>1</v>
      </c>
    </row>
    <row r="90" customFormat="false" ht="15.75" hidden="false" customHeight="true" outlineLevel="0" collapsed="false">
      <c r="B90" s="36" t="s">
        <v>248</v>
      </c>
      <c r="C90" s="121" t="n">
        <f aca="false">SUM(C85:C89)</f>
        <v>223</v>
      </c>
      <c r="D90" s="132" t="n">
        <f aca="false">IFERROR(SUM(D85:D89),0)</f>
        <v>1</v>
      </c>
    </row>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c r="A98" s="134"/>
      <c r="B98" s="134"/>
      <c r="C98" s="134"/>
      <c r="D98" s="134"/>
      <c r="E98" s="134"/>
      <c r="F98" s="134"/>
      <c r="G98" s="134"/>
      <c r="H98" s="134"/>
      <c r="I98" s="134"/>
      <c r="J98" s="134"/>
      <c r="K98" s="134"/>
      <c r="L98" s="134"/>
      <c r="M98" s="134"/>
      <c r="N98" s="134"/>
      <c r="O98" s="134"/>
      <c r="P98" s="134"/>
      <c r="Q98" s="134"/>
      <c r="R98" s="134"/>
      <c r="S98" s="134"/>
      <c r="T98" s="134"/>
      <c r="U98" s="134"/>
      <c r="V98" s="134"/>
      <c r="W98" s="134"/>
      <c r="X98" s="134"/>
      <c r="Y98" s="134"/>
      <c r="Z98" s="134"/>
    </row>
    <row r="99" customFormat="false" ht="15.75" hidden="false" customHeight="true" outlineLevel="0" collapsed="false">
      <c r="B99" s="116" t="s">
        <v>270</v>
      </c>
    </row>
    <row r="100" customFormat="false" ht="15.75" hidden="false" customHeight="true" outlineLevel="0" collapsed="false">
      <c r="B100" s="117" t="s">
        <v>271</v>
      </c>
      <c r="C100" s="117"/>
      <c r="D100" s="117"/>
      <c r="E100" s="117"/>
    </row>
    <row r="101" customFormat="false" ht="15.75" hidden="false" customHeight="true" outlineLevel="0" collapsed="false">
      <c r="B101" s="118" t="s">
        <v>272</v>
      </c>
      <c r="C101" s="118" t="s">
        <v>119</v>
      </c>
      <c r="D101" s="118" t="s">
        <v>273</v>
      </c>
      <c r="E101" s="118" t="s">
        <v>256</v>
      </c>
    </row>
    <row r="102" customFormat="false" ht="15.75" hidden="false" customHeight="true" outlineLevel="0" collapsed="false">
      <c r="B102" s="103" t="s">
        <v>274</v>
      </c>
      <c r="C102" s="119" t="n">
        <f aca="false">COUNTIF('Bug Data'!$L:$L,20)</f>
        <v>0</v>
      </c>
      <c r="D102" s="128" t="n">
        <v>20</v>
      </c>
      <c r="E102" s="129" t="n">
        <f aca="false">IFERROR(C102/$C$107,0)</f>
        <v>0</v>
      </c>
    </row>
    <row r="103" customFormat="false" ht="15.75" hidden="false" customHeight="true" outlineLevel="0" collapsed="false">
      <c r="B103" s="103" t="s">
        <v>275</v>
      </c>
      <c r="C103" s="119" t="n">
        <f aca="false">COUNTIF('Bug Data'!$L:$L,10)</f>
        <v>0</v>
      </c>
      <c r="D103" s="128" t="n">
        <v>10</v>
      </c>
      <c r="E103" s="129" t="n">
        <f aca="false">IFERROR(C103/$C$107,0)</f>
        <v>0</v>
      </c>
    </row>
    <row r="104" customFormat="false" ht="15.75" hidden="false" customHeight="true" outlineLevel="0" collapsed="false">
      <c r="B104" s="103" t="s">
        <v>276</v>
      </c>
      <c r="C104" s="119" t="n">
        <f aca="false">COUNTIF('Bug Data'!$L:$L,5)</f>
        <v>0</v>
      </c>
      <c r="D104" s="128" t="n">
        <v>5</v>
      </c>
      <c r="E104" s="129" t="n">
        <f aca="false">IFERROR(C104/$C$107,0)</f>
        <v>0</v>
      </c>
    </row>
    <row r="105" customFormat="false" ht="15.75" hidden="false" customHeight="true" outlineLevel="0" collapsed="false">
      <c r="B105" s="103" t="s">
        <v>277</v>
      </c>
      <c r="C105" s="119" t="n">
        <f aca="false">COUNTIF('Bug Data'!$L:$L,2)</f>
        <v>0</v>
      </c>
      <c r="D105" s="128" t="n">
        <v>2</v>
      </c>
      <c r="E105" s="129" t="n">
        <f aca="false">IFERROR(C105/$C$107,0)</f>
        <v>0</v>
      </c>
    </row>
    <row r="106" customFormat="false" ht="15.75" hidden="false" customHeight="true" outlineLevel="0" collapsed="false">
      <c r="B106" s="103" t="s">
        <v>278</v>
      </c>
      <c r="C106" s="119" t="n">
        <f aca="false">COUNTIF('Bug Data'!$L:$L,0)</f>
        <v>0</v>
      </c>
      <c r="D106" s="128" t="n">
        <v>0</v>
      </c>
      <c r="E106" s="129" t="n">
        <f aca="false">IFERROR(C106/$C$107,0)</f>
        <v>0</v>
      </c>
    </row>
    <row r="107" customFormat="false" ht="15.75" hidden="false" customHeight="true" outlineLevel="0" collapsed="false">
      <c r="B107" s="36" t="s">
        <v>248</v>
      </c>
      <c r="C107" s="121" t="n">
        <f aca="false">SUM(C102:C106)</f>
        <v>0</v>
      </c>
      <c r="D107" s="131"/>
      <c r="E107" s="132" t="n">
        <f aca="false">IFERROR(SUM(E102:E106),0)</f>
        <v>0</v>
      </c>
    </row>
    <row r="108" customFormat="false" ht="15.75" hidden="false" customHeight="true" outlineLevel="0" collapsed="false">
      <c r="B108" s="40" t="s">
        <v>279</v>
      </c>
      <c r="C108" s="40"/>
      <c r="D108" s="40"/>
      <c r="E108" s="40"/>
    </row>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c r="B116" s="115" t="s">
        <v>280</v>
      </c>
      <c r="C116" s="115"/>
      <c r="D116" s="115"/>
      <c r="E116" s="115"/>
      <c r="F116" s="115"/>
      <c r="G116" s="115"/>
      <c r="H116" s="115"/>
      <c r="I116" s="115"/>
    </row>
    <row r="117" customFormat="false" ht="15.75" hidden="false" customHeight="true" outlineLevel="0" collapsed="false"/>
    <row r="118" customFormat="false" ht="15.75" hidden="false" customHeight="true" outlineLevel="0" collapsed="false">
      <c r="B118" s="116" t="s">
        <v>281</v>
      </c>
    </row>
    <row r="119" customFormat="false" ht="15.75" hidden="false" customHeight="true" outlineLevel="0" collapsed="false">
      <c r="B119" s="117" t="s">
        <v>282</v>
      </c>
      <c r="C119" s="117"/>
      <c r="D119" s="117"/>
    </row>
    <row r="120" customFormat="false" ht="15.75" hidden="false" customHeight="true" outlineLevel="0" collapsed="false">
      <c r="B120" s="118" t="s">
        <v>283</v>
      </c>
      <c r="C120" s="118" t="s">
        <v>119</v>
      </c>
      <c r="D120" s="118" t="s">
        <v>256</v>
      </c>
    </row>
    <row r="121" customFormat="false" ht="15.75" hidden="false" customHeight="true" outlineLevel="0" collapsed="false">
      <c r="B121" s="103" t="s">
        <v>284</v>
      </c>
      <c r="C121" s="119" t="n">
        <f aca="false">COUNTIF('Bug Data'!$O:$O,$B121)</f>
        <v>0</v>
      </c>
      <c r="D121" s="129" t="n">
        <f aca="false">IFERROR(C121/$C$124,0)</f>
        <v>0</v>
      </c>
    </row>
    <row r="122" customFormat="false" ht="15.75" hidden="false" customHeight="true" outlineLevel="0" collapsed="false">
      <c r="B122" s="103" t="s">
        <v>285</v>
      </c>
      <c r="C122" s="119" t="n">
        <f aca="false">COUNTIF('Bug Data'!$O:$O,$B122)</f>
        <v>0</v>
      </c>
      <c r="D122" s="129" t="n">
        <f aca="false">IFERROR(C122/$C$124,0)</f>
        <v>0</v>
      </c>
    </row>
    <row r="123" customFormat="false" ht="15.75" hidden="false" customHeight="true" outlineLevel="0" collapsed="false">
      <c r="B123" s="103" t="s">
        <v>286</v>
      </c>
      <c r="C123" s="119" t="n">
        <f aca="false">COUNTIFS('Bug Data'!$A:$A, "&lt;&gt;", 'Bug Data'!$O:$O, "")</f>
        <v>0</v>
      </c>
      <c r="D123" s="129" t="n">
        <f aca="false">IFERROR(C123/$C$124,0)</f>
        <v>0</v>
      </c>
    </row>
    <row r="124" customFormat="false" ht="15.75" hidden="false" customHeight="true" outlineLevel="0" collapsed="false">
      <c r="B124" s="36" t="s">
        <v>248</v>
      </c>
      <c r="C124" s="121" t="n">
        <f aca="false">SUM(C121:C123)</f>
        <v>0</v>
      </c>
      <c r="D124" s="132" t="n">
        <f aca="false">IFERROR(SUM(D121:D123),0)</f>
        <v>0</v>
      </c>
    </row>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c r="B135" s="116" t="s">
        <v>287</v>
      </c>
    </row>
    <row r="136" customFormat="false" ht="15.75" hidden="false" customHeight="true" outlineLevel="0" collapsed="false">
      <c r="B136" s="117" t="s">
        <v>288</v>
      </c>
      <c r="C136" s="117"/>
      <c r="D136" s="117"/>
      <c r="E136" s="117"/>
    </row>
    <row r="137" customFormat="false" ht="15.75" hidden="false" customHeight="true" outlineLevel="0" collapsed="false">
      <c r="B137" s="118" t="s">
        <v>289</v>
      </c>
      <c r="C137" s="118" t="s">
        <v>290</v>
      </c>
      <c r="D137" s="118"/>
      <c r="E137" s="118" t="s">
        <v>119</v>
      </c>
    </row>
    <row r="138" customFormat="false" ht="15.75" hidden="false" customHeight="true" outlineLevel="0" collapsed="false">
      <c r="B138" s="135" t="s">
        <v>291</v>
      </c>
      <c r="C138" s="38" t="s">
        <v>292</v>
      </c>
      <c r="D138" s="38"/>
      <c r="E138" s="119" t="n">
        <f aca="false">COUNTIF('Bug Data'!$P:$P,$B138&amp;" "&amp;$C138)</f>
        <v>0</v>
      </c>
    </row>
    <row r="139" customFormat="false" ht="15.75" hidden="false" customHeight="true" outlineLevel="0" collapsed="false">
      <c r="B139" s="135" t="s">
        <v>293</v>
      </c>
      <c r="C139" s="38" t="s">
        <v>294</v>
      </c>
      <c r="D139" s="38"/>
      <c r="E139" s="119" t="n">
        <f aca="false">COUNTIF('Bug Data'!$P:$P,$B139&amp;" "&amp;$C139)</f>
        <v>0</v>
      </c>
    </row>
    <row r="140" customFormat="false" ht="15.75" hidden="false" customHeight="true" outlineLevel="0" collapsed="false">
      <c r="B140" s="135" t="s">
        <v>295</v>
      </c>
      <c r="C140" s="38" t="s">
        <v>296</v>
      </c>
      <c r="D140" s="38"/>
      <c r="E140" s="119" t="n">
        <f aca="false">COUNTIF('Bug Data'!$P:$P,$B140&amp;" "&amp;$C140)</f>
        <v>0</v>
      </c>
    </row>
    <row r="141" customFormat="false" ht="15.75" hidden="false" customHeight="true" outlineLevel="0" collapsed="false">
      <c r="B141" s="135" t="s">
        <v>297</v>
      </c>
      <c r="C141" s="38" t="s">
        <v>298</v>
      </c>
      <c r="D141" s="38"/>
      <c r="E141" s="119" t="n">
        <f aca="false">COUNTIF('Bug Data'!$P:$P,$B141&amp;" "&amp;$C141)</f>
        <v>0</v>
      </c>
    </row>
    <row r="142" customFormat="false" ht="15.75" hidden="false" customHeight="true" outlineLevel="0" collapsed="false">
      <c r="B142" s="135" t="s">
        <v>299</v>
      </c>
      <c r="C142" s="38" t="s">
        <v>300</v>
      </c>
      <c r="D142" s="38"/>
      <c r="E142" s="119" t="n">
        <f aca="false">COUNTIF('Bug Data'!$P:$P,$B142&amp;" "&amp;$C142)</f>
        <v>0</v>
      </c>
    </row>
    <row r="143" customFormat="false" ht="15.75" hidden="false" customHeight="true" outlineLevel="0" collapsed="false">
      <c r="B143" s="135" t="s">
        <v>301</v>
      </c>
      <c r="C143" s="38" t="s">
        <v>302</v>
      </c>
      <c r="D143" s="38"/>
      <c r="E143" s="119" t="n">
        <f aca="false">COUNTIF('Bug Data'!$P:$P,$B143&amp;" "&amp;$C143)</f>
        <v>0</v>
      </c>
    </row>
    <row r="144" customFormat="false" ht="15.75" hidden="false" customHeight="true" outlineLevel="0" collapsed="false">
      <c r="B144" s="135" t="s">
        <v>303</v>
      </c>
      <c r="C144" s="38" t="s">
        <v>304</v>
      </c>
      <c r="D144" s="38"/>
      <c r="E144" s="119" t="n">
        <f aca="false">COUNTIF('Bug Data'!$P:$P,$B144&amp;" "&amp;$C144)</f>
        <v>0</v>
      </c>
    </row>
    <row r="145" customFormat="false" ht="15.75" hidden="false" customHeight="true" outlineLevel="0" collapsed="false">
      <c r="B145" s="135" t="s">
        <v>305</v>
      </c>
      <c r="C145" s="38" t="s">
        <v>306</v>
      </c>
      <c r="D145" s="38"/>
      <c r="E145" s="119" t="n">
        <f aca="false">COUNTIF('Bug Data'!$P:$P,$B145&amp;" "&amp;$C145)</f>
        <v>0</v>
      </c>
    </row>
    <row r="146" customFormat="false" ht="15.75" hidden="false" customHeight="true" outlineLevel="0" collapsed="false">
      <c r="B146" s="135" t="s">
        <v>307</v>
      </c>
      <c r="C146" s="38" t="s">
        <v>308</v>
      </c>
      <c r="D146" s="38"/>
      <c r="E146" s="119" t="n">
        <f aca="false">COUNTIF('Bug Data'!$P:$P,$B146&amp;" "&amp;$C146)</f>
        <v>0</v>
      </c>
    </row>
    <row r="147" customFormat="false" ht="15.75" hidden="false" customHeight="true" outlineLevel="0" collapsed="false">
      <c r="B147" s="135" t="s">
        <v>309</v>
      </c>
      <c r="C147" s="38" t="s">
        <v>310</v>
      </c>
      <c r="D147" s="38"/>
      <c r="E147" s="119" t="n">
        <f aca="false">COUNTIF('Bug Data'!$P:$P,$B147&amp;" "&amp;$C147)</f>
        <v>0</v>
      </c>
    </row>
    <row r="148" customFormat="false" ht="15.75" hidden="false" customHeight="true" outlineLevel="0" collapsed="false">
      <c r="B148" s="135" t="s">
        <v>248</v>
      </c>
      <c r="C148" s="38"/>
      <c r="D148" s="38"/>
      <c r="E148" s="119" t="n">
        <f aca="false">SUM(E138:E147)</f>
        <v>0</v>
      </c>
    </row>
    <row r="149" customFormat="false" ht="15.75" hidden="false" customHeight="true" outlineLevel="0" collapsed="false"/>
    <row r="150" customFormat="false" ht="15.75" hidden="false" customHeight="true" outlineLevel="0" collapsed="false"/>
    <row r="151" customFormat="false" ht="15.75" hidden="false" customHeight="true" outlineLevel="0" collapsed="false">
      <c r="B151" s="116" t="s">
        <v>311</v>
      </c>
    </row>
    <row r="152" customFormat="false" ht="15.75" hidden="false" customHeight="true" outlineLevel="0" collapsed="false">
      <c r="B152" s="117" t="s">
        <v>312</v>
      </c>
      <c r="C152" s="117"/>
    </row>
    <row r="153" customFormat="false" ht="15.75" hidden="false" customHeight="true" outlineLevel="0" collapsed="false">
      <c r="B153" s="118" t="s">
        <v>313</v>
      </c>
      <c r="C153" s="118" t="s">
        <v>314</v>
      </c>
    </row>
    <row r="154" customFormat="false" ht="15.75" hidden="false" customHeight="true" outlineLevel="0" collapsed="false">
      <c r="B154" s="103" t="s">
        <v>315</v>
      </c>
      <c r="C154" s="119" t="n">
        <f aca="false">COUNTIF('Bug Data'!$Q:$Q,$B154)</f>
        <v>0</v>
      </c>
    </row>
    <row r="155" customFormat="false" ht="15.75" hidden="false" customHeight="true" outlineLevel="0" collapsed="false">
      <c r="B155" s="103" t="s">
        <v>316</v>
      </c>
      <c r="C155" s="119" t="n">
        <f aca="false">COUNTIF('Bug Data'!$Q:$Q,$B155)</f>
        <v>0</v>
      </c>
    </row>
    <row r="156" customFormat="false" ht="15.75" hidden="false" customHeight="true" outlineLevel="0" collapsed="false">
      <c r="B156" s="103" t="s">
        <v>317</v>
      </c>
      <c r="C156" s="119" t="n">
        <f aca="false">COUNTIF('Bug Data'!$Q:$Q,$B156)</f>
        <v>0</v>
      </c>
    </row>
    <row r="157" customFormat="false" ht="15.75" hidden="false" customHeight="true" outlineLevel="0" collapsed="false">
      <c r="B157" s="103" t="s">
        <v>318</v>
      </c>
      <c r="C157" s="119" t="n">
        <f aca="false">COUNTIF('Bug Data'!$Q:$Q,$B157)</f>
        <v>0</v>
      </c>
    </row>
    <row r="158" customFormat="false" ht="15.75" hidden="false" customHeight="true" outlineLevel="0" collapsed="false">
      <c r="B158" s="103" t="s">
        <v>319</v>
      </c>
      <c r="C158" s="119" t="n">
        <f aca="false">COUNTIF('Bug Data'!$Q:$Q,$B158)</f>
        <v>0</v>
      </c>
    </row>
    <row r="159" customFormat="false" ht="15.75" hidden="false" customHeight="true" outlineLevel="0" collapsed="false">
      <c r="B159" s="103" t="s">
        <v>320</v>
      </c>
      <c r="C159" s="119" t="n">
        <f aca="false">COUNTIF('Bug Data'!$Q:$Q,$B159)</f>
        <v>0</v>
      </c>
    </row>
    <row r="160" customFormat="false" ht="15.75" hidden="false" customHeight="true" outlineLevel="0" collapsed="false">
      <c r="B160" s="36" t="s">
        <v>248</v>
      </c>
      <c r="C160" s="121" t="n">
        <f aca="false">SUM(C154:C159)</f>
        <v>0</v>
      </c>
    </row>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c r="B167" s="116" t="s">
        <v>321</v>
      </c>
    </row>
    <row r="168" customFormat="false" ht="15.75" hidden="false" customHeight="true" outlineLevel="0" collapsed="false">
      <c r="B168" s="117" t="s">
        <v>322</v>
      </c>
      <c r="C168" s="117"/>
    </row>
    <row r="169" customFormat="false" ht="15.75" hidden="false" customHeight="true" outlineLevel="0" collapsed="false">
      <c r="B169" s="118" t="s">
        <v>313</v>
      </c>
      <c r="C169" s="118" t="s">
        <v>314</v>
      </c>
    </row>
    <row r="170" customFormat="false" ht="15.75" hidden="false" customHeight="true" outlineLevel="0" collapsed="false">
      <c r="B170" s="103" t="s">
        <v>323</v>
      </c>
      <c r="C170" s="119" t="n">
        <f aca="false">COUNTIF('Bug Data'!$R:$R,$B170)</f>
        <v>0</v>
      </c>
    </row>
    <row r="171" customFormat="false" ht="15.75" hidden="false" customHeight="true" outlineLevel="0" collapsed="false">
      <c r="B171" s="103" t="s">
        <v>324</v>
      </c>
      <c r="C171" s="119" t="n">
        <f aca="false">COUNTIF('Bug Data'!$R:$R,$B171)</f>
        <v>0</v>
      </c>
    </row>
    <row r="172" customFormat="false" ht="15.75" hidden="false" customHeight="true" outlineLevel="0" collapsed="false">
      <c r="B172" s="103" t="s">
        <v>325</v>
      </c>
      <c r="C172" s="119" t="n">
        <f aca="false">COUNTIF('Bug Data'!$R:$R,$B172)</f>
        <v>0</v>
      </c>
    </row>
    <row r="173" customFormat="false" ht="15.75" hidden="false" customHeight="true" outlineLevel="0" collapsed="false">
      <c r="B173" s="103" t="s">
        <v>326</v>
      </c>
      <c r="C173" s="119" t="n">
        <f aca="false">COUNTIF('Bug Data'!$R:$R,$B173)</f>
        <v>0</v>
      </c>
    </row>
    <row r="174" customFormat="false" ht="15.75" hidden="false" customHeight="true" outlineLevel="0" collapsed="false">
      <c r="B174" s="103" t="s">
        <v>327</v>
      </c>
      <c r="C174" s="119" t="n">
        <f aca="false">COUNTIF('Bug Data'!$R:$R,$B174)</f>
        <v>0</v>
      </c>
    </row>
    <row r="175" customFormat="false" ht="15.75" hidden="false" customHeight="true" outlineLevel="0" collapsed="false">
      <c r="B175" s="36" t="s">
        <v>248</v>
      </c>
      <c r="C175" s="121" t="n">
        <f aca="false">SUM(C170:C174)</f>
        <v>0</v>
      </c>
    </row>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c r="B183" s="116" t="s">
        <v>328</v>
      </c>
    </row>
    <row r="184" customFormat="false" ht="15.75" hidden="false" customHeight="true" outlineLevel="0" collapsed="false">
      <c r="B184" s="117" t="s">
        <v>329</v>
      </c>
      <c r="C184" s="117"/>
    </row>
    <row r="185" customFormat="false" ht="15.75" hidden="false" customHeight="true" outlineLevel="0" collapsed="false">
      <c r="B185" s="118" t="s">
        <v>330</v>
      </c>
      <c r="C185" s="118" t="s">
        <v>314</v>
      </c>
    </row>
    <row r="186" customFormat="false" ht="15.75" hidden="false" customHeight="true" outlineLevel="0" collapsed="false">
      <c r="B186" s="103" t="s">
        <v>331</v>
      </c>
      <c r="C186" s="119" t="n">
        <f aca="false">COUNTIFS('Bug Data'!$S:$S,"&gt;="&amp;1,'Bug Data'!$S:$S,"&lt;="&amp;2)</f>
        <v>0</v>
      </c>
    </row>
    <row r="187" customFormat="false" ht="15.75" hidden="false" customHeight="true" outlineLevel="0" collapsed="false">
      <c r="B187" s="103" t="s">
        <v>332</v>
      </c>
      <c r="C187" s="119" t="n">
        <f aca="false">COUNTIFS('Bug Data'!$S:$S,"&gt;="&amp;3,'Bug Data'!$S:$S,"&lt;="&amp;5)</f>
        <v>0</v>
      </c>
    </row>
    <row r="188" customFormat="false" ht="15.75" hidden="false" customHeight="true" outlineLevel="0" collapsed="false">
      <c r="B188" s="103" t="s">
        <v>333</v>
      </c>
      <c r="C188" s="119" t="n">
        <f aca="false">COUNTIFS('Bug Data'!$S:$S,"&gt;="&amp;6,'Bug Data'!$S:$S,"&lt;="&amp;7)</f>
        <v>0</v>
      </c>
    </row>
    <row r="189" customFormat="false" ht="15.75" hidden="false" customHeight="true" outlineLevel="0" collapsed="false">
      <c r="B189" s="103" t="s">
        <v>334</v>
      </c>
      <c r="C189" s="119" t="n">
        <f aca="false">COUNTIFS('Bug Data'!$S:$S,"&gt;="&amp;8,'Bug Data'!$S:$S,"&lt;="&amp;10)</f>
        <v>0</v>
      </c>
    </row>
    <row r="190" customFormat="false" ht="15.75" hidden="false" customHeight="true" outlineLevel="0" collapsed="false">
      <c r="B190" s="36" t="s">
        <v>248</v>
      </c>
      <c r="C190" s="121" t="n">
        <f aca="false">SUM(C186:C189)</f>
        <v>0</v>
      </c>
    </row>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c r="B199" s="116" t="s">
        <v>335</v>
      </c>
    </row>
    <row r="200" customFormat="false" ht="15.75" hidden="false" customHeight="true" outlineLevel="0" collapsed="false">
      <c r="B200" s="136" t="s">
        <v>336</v>
      </c>
      <c r="C200" s="136"/>
      <c r="D200" s="136"/>
    </row>
    <row r="201" customFormat="false" ht="15.75" hidden="false" customHeight="true" outlineLevel="0" collapsed="false">
      <c r="B201" s="113" t="s">
        <v>118</v>
      </c>
      <c r="C201" s="137" t="s">
        <v>119</v>
      </c>
      <c r="D201" s="137" t="s">
        <v>120</v>
      </c>
    </row>
    <row r="202" customFormat="false" ht="15.75" hidden="false" customHeight="true" outlineLevel="0" collapsed="false">
      <c r="B202" s="138" t="s">
        <v>107</v>
      </c>
      <c r="C202" s="51" t="n">
        <f aca="false">Summary!$C$17</f>
        <v>223</v>
      </c>
      <c r="D202" s="139" t="n">
        <v>1</v>
      </c>
    </row>
    <row r="203" customFormat="false" ht="15.75" hidden="false" customHeight="true" outlineLevel="0" collapsed="false">
      <c r="B203" s="138" t="s">
        <v>337</v>
      </c>
      <c r="C203" s="51" t="n">
        <f aca="false">Summary!$C$44</f>
        <v>223</v>
      </c>
      <c r="D203" s="140" t="n">
        <f aca="false">IFERROR(C203/$C$202,0)</f>
        <v>1</v>
      </c>
    </row>
    <row r="204" customFormat="false" ht="15.75" hidden="false" customHeight="true" outlineLevel="0" collapsed="false">
      <c r="B204" s="138" t="s">
        <v>338</v>
      </c>
      <c r="C204" s="51" t="n">
        <f aca="false">Summary!$C$45</f>
        <v>0</v>
      </c>
      <c r="D204" s="52" t="n">
        <f aca="false">IFERROR(C204/$C$202,0)</f>
        <v>0</v>
      </c>
    </row>
    <row r="205" customFormat="false" ht="15.75" hidden="false" customHeight="true" outlineLevel="0" collapsed="false">
      <c r="B205" s="138" t="s">
        <v>339</v>
      </c>
      <c r="C205" s="51" t="n">
        <f aca="false">Summary!$C$46</f>
        <v>0</v>
      </c>
      <c r="D205" s="140" t="n">
        <f aca="false">IFERROR(C205/$C$202,0)</f>
        <v>0</v>
      </c>
    </row>
    <row r="206" customFormat="false" ht="15.75" hidden="false" customHeight="true" outlineLevel="0" collapsed="false">
      <c r="B206" s="138" t="s">
        <v>340</v>
      </c>
      <c r="C206" s="51" t="n">
        <f aca="false">Summary!$C$47</f>
        <v>0</v>
      </c>
      <c r="D206" s="140" t="n">
        <f aca="false">IFERROR(C206/$C$202,0)</f>
        <v>0</v>
      </c>
    </row>
    <row r="207" customFormat="false" ht="15.75" hidden="false" customHeight="true" outlineLevel="0" collapsed="false">
      <c r="B207" s="138" t="s">
        <v>341</v>
      </c>
      <c r="C207" s="51" t="n">
        <f aca="false">Summary!$C$49</f>
        <v>0</v>
      </c>
      <c r="D207" s="52" t="n">
        <f aca="false">IFERROR(C207/$C$202,0)</f>
        <v>0</v>
      </c>
    </row>
    <row r="208" customFormat="false" ht="15.75" hidden="false" customHeight="true" outlineLevel="0" collapsed="false">
      <c r="B208" s="138" t="s">
        <v>125</v>
      </c>
      <c r="C208" s="51" t="n">
        <f aca="false">Summary!$C$48</f>
        <v>0</v>
      </c>
      <c r="D208" s="140" t="n">
        <f aca="false">IFERROR(C208/$C$202,0)</f>
        <v>0</v>
      </c>
    </row>
    <row r="209" customFormat="false" ht="15.75" hidden="false" customHeight="true" outlineLevel="0" collapsed="false">
      <c r="B209" s="138" t="s">
        <v>342</v>
      </c>
      <c r="C209" s="141" t="n">
        <v>0</v>
      </c>
      <c r="D209" s="140" t="n">
        <f aca="false">IFERROR(C209/COUNTIF('Bug Data'!$D$2:$D$250,"?*"),0)</f>
        <v>0</v>
      </c>
    </row>
    <row r="210" customFormat="false" ht="15.75" hidden="false" customHeight="true" outlineLevel="0" collapsed="false">
      <c r="B210" s="142"/>
      <c r="D210" s="143"/>
    </row>
    <row r="211" customFormat="false" ht="15.75" hidden="false" customHeight="true" outlineLevel="0" collapsed="false">
      <c r="B211" s="144" t="s">
        <v>343</v>
      </c>
      <c r="C211" s="144"/>
      <c r="D211" s="144"/>
    </row>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c r="B217" s="145" t="s">
        <v>344</v>
      </c>
      <c r="C217" s="145"/>
      <c r="D217" s="145"/>
      <c r="E217" s="145"/>
      <c r="F217" s="145"/>
      <c r="G217" s="145"/>
      <c r="H217" s="145"/>
      <c r="I217" s="145"/>
      <c r="J217" s="145"/>
      <c r="K217" s="145"/>
      <c r="L217" s="145"/>
    </row>
    <row r="218" customFormat="false" ht="15.75" hidden="false" customHeight="true" outlineLevel="0" collapsed="false">
      <c r="B218" s="62" t="s">
        <v>345</v>
      </c>
      <c r="C218" s="62"/>
      <c r="D218" s="62"/>
      <c r="E218" s="62"/>
      <c r="F218" s="62"/>
      <c r="G218" s="62"/>
      <c r="H218" s="62"/>
      <c r="I218" s="62"/>
      <c r="J218" s="62"/>
      <c r="K218" s="62"/>
      <c r="L218" s="62"/>
    </row>
    <row r="219" customFormat="false" ht="15.75" hidden="false" customHeight="true" outlineLevel="0" collapsed="false">
      <c r="B219" s="146" t="s">
        <v>346</v>
      </c>
      <c r="C219" s="146"/>
      <c r="D219" s="146"/>
      <c r="E219" s="146"/>
      <c r="F219" s="146"/>
      <c r="G219" s="146"/>
      <c r="H219" s="146"/>
      <c r="I219" s="146"/>
      <c r="J219" s="146"/>
      <c r="K219" s="146"/>
      <c r="L219" s="146"/>
    </row>
    <row r="220" customFormat="false" ht="31.5" hidden="false" customHeight="true" outlineLevel="0" collapsed="false">
      <c r="B220" s="147" t="s">
        <v>347</v>
      </c>
      <c r="C220" s="148" t="s">
        <v>348</v>
      </c>
      <c r="D220" s="148" t="s">
        <v>262</v>
      </c>
      <c r="E220" s="148" t="s">
        <v>155</v>
      </c>
      <c r="F220" s="149" t="s">
        <v>23</v>
      </c>
      <c r="G220" s="149" t="s">
        <v>25</v>
      </c>
      <c r="H220" s="147" t="s">
        <v>27</v>
      </c>
      <c r="I220" s="147" t="s">
        <v>29</v>
      </c>
      <c r="J220" s="147" t="s">
        <v>349</v>
      </c>
      <c r="K220" s="147" t="s">
        <v>350</v>
      </c>
      <c r="L220" s="147" t="s">
        <v>351</v>
      </c>
    </row>
    <row r="221" customFormat="false" ht="30" hidden="false" customHeight="true" outlineLevel="0" collapsed="false">
      <c r="B221" s="150" t="s">
        <v>352</v>
      </c>
      <c r="C221" s="151"/>
      <c r="D221" s="152" t="n">
        <f aca="false">Dashboard!$F$34</f>
        <v>223</v>
      </c>
      <c r="E221" s="152" t="n">
        <f aca="false">Dashboard!$AE$34</f>
        <v>0</v>
      </c>
      <c r="F221" s="152" t="n">
        <f aca="false">Dashboard!$AF$34</f>
        <v>0</v>
      </c>
      <c r="G221" s="152" t="n">
        <f aca="false">Dashboard!$AG$34</f>
        <v>0</v>
      </c>
      <c r="H221" s="152" t="n">
        <f aca="false">Dashboard!$AH$34</f>
        <v>0</v>
      </c>
      <c r="I221" s="152" t="n">
        <f aca="false">Dashboard!$AI$34</f>
        <v>0</v>
      </c>
      <c r="J221" s="153" t="str">
        <f aca="false">IFERROR(IF(E221=0,"",E221/D221),"")</f>
        <v/>
      </c>
      <c r="K221" s="153" t="str">
        <f aca="false">IFERROR(IF(E221=0,"",F221/E221),"")</f>
        <v/>
      </c>
      <c r="L221" s="151" t="s">
        <v>353</v>
      </c>
    </row>
    <row r="222" customFormat="false" ht="30" hidden="false" customHeight="true" outlineLevel="0" collapsed="false">
      <c r="B222" s="150" t="s">
        <v>354</v>
      </c>
      <c r="C222" s="151"/>
      <c r="D222" s="152" t="n">
        <f aca="false">Dashboard!$F$34</f>
        <v>223</v>
      </c>
      <c r="E222" s="152" t="n">
        <f aca="false">Dashboard!$AJ$34</f>
        <v>0</v>
      </c>
      <c r="F222" s="152" t="n">
        <f aca="false">Dashboard!$AK$34</f>
        <v>0</v>
      </c>
      <c r="G222" s="152" t="n">
        <f aca="false">Dashboard!$AL$34</f>
        <v>0</v>
      </c>
      <c r="H222" s="152" t="n">
        <f aca="false">Dashboard!$AM$34</f>
        <v>0</v>
      </c>
      <c r="I222" s="152" t="n">
        <f aca="false">Dashboard!$AN$34</f>
        <v>0</v>
      </c>
      <c r="J222" s="153" t="str">
        <f aca="false">IFERROR(IF(E222=0,"",E222/D222),"")</f>
        <v/>
      </c>
      <c r="K222" s="153" t="str">
        <f aca="false">IFERROR(IF(E222=0,"",F222/E222),"")</f>
        <v/>
      </c>
      <c r="L222" s="151"/>
    </row>
    <row r="223" customFormat="false" ht="30" hidden="false" customHeight="true" outlineLevel="0" collapsed="false">
      <c r="B223" s="150" t="s">
        <v>355</v>
      </c>
      <c r="C223" s="151"/>
      <c r="D223" s="152" t="n">
        <f aca="false">Dashboard!$F$34</f>
        <v>223</v>
      </c>
      <c r="E223" s="152" t="n">
        <f aca="false">Dashboard!$AO$34</f>
        <v>0</v>
      </c>
      <c r="F223" s="152" t="n">
        <f aca="false">Dashboard!$AP$34</f>
        <v>0</v>
      </c>
      <c r="G223" s="152" t="n">
        <f aca="false">Dashboard!$AQ$34</f>
        <v>0</v>
      </c>
      <c r="H223" s="152" t="n">
        <f aca="false">Dashboard!$AR$34</f>
        <v>0</v>
      </c>
      <c r="I223" s="152" t="n">
        <f aca="false">Dashboard!$AS$34</f>
        <v>0</v>
      </c>
      <c r="J223" s="153" t="str">
        <f aca="false">IFERROR(IF(E223=0,"",E223/D223),"")</f>
        <v/>
      </c>
      <c r="K223" s="153" t="str">
        <f aca="false">IFERROR(IF(E223=0,"",F223/E223),"")</f>
        <v/>
      </c>
      <c r="L223" s="151"/>
    </row>
    <row r="224" customFormat="false" ht="30" hidden="false" customHeight="true" outlineLevel="0" collapsed="false">
      <c r="B224" s="150" t="s">
        <v>356</v>
      </c>
      <c r="C224" s="151"/>
      <c r="D224" s="152" t="n">
        <f aca="false">Dashboard!$F$34</f>
        <v>223</v>
      </c>
      <c r="E224" s="152" t="n">
        <f aca="false">Dashboard!$AT$34</f>
        <v>0</v>
      </c>
      <c r="F224" s="152" t="n">
        <f aca="false">Dashboard!$AU$34</f>
        <v>0</v>
      </c>
      <c r="G224" s="152" t="n">
        <f aca="false">Dashboard!$AV$34</f>
        <v>0</v>
      </c>
      <c r="H224" s="152" t="n">
        <f aca="false">Dashboard!$AW$34</f>
        <v>0</v>
      </c>
      <c r="I224" s="152" t="n">
        <f aca="false">Dashboard!$AX$34</f>
        <v>0</v>
      </c>
      <c r="J224" s="153" t="str">
        <f aca="false">IFERROR(IF(E224=0,"",E224/D224),"")</f>
        <v/>
      </c>
      <c r="K224" s="153" t="str">
        <f aca="false">IFERROR(IF(E224=0,"",F224/E224),"")</f>
        <v/>
      </c>
      <c r="L224" s="151"/>
    </row>
    <row r="225" customFormat="false" ht="30" hidden="false" customHeight="true" outlineLevel="0" collapsed="false">
      <c r="B225" s="150" t="s">
        <v>357</v>
      </c>
      <c r="C225" s="151"/>
      <c r="D225" s="152" t="n">
        <f aca="false">Dashboard!$F$34</f>
        <v>223</v>
      </c>
      <c r="E225" s="152" t="n">
        <f aca="false">Dashboard!$AY$34</f>
        <v>0</v>
      </c>
      <c r="F225" s="152" t="n">
        <f aca="false">Dashboard!$AZ$34</f>
        <v>0</v>
      </c>
      <c r="G225" s="152" t="n">
        <f aca="false">Dashboard!$BA$34</f>
        <v>0</v>
      </c>
      <c r="H225" s="152" t="n">
        <f aca="false">Dashboard!$BB$34</f>
        <v>0</v>
      </c>
      <c r="I225" s="152" t="n">
        <f aca="false">Dashboard!$BC$34</f>
        <v>0</v>
      </c>
      <c r="J225" s="153" t="str">
        <f aca="false">IFERROR(IF(E225=0,"",E225/D225),"")</f>
        <v/>
      </c>
      <c r="K225" s="153" t="str">
        <f aca="false">IFERROR(IF(E225=0,"",F225/E225),"")</f>
        <v/>
      </c>
      <c r="L225" s="151"/>
    </row>
    <row r="226" customFormat="false" ht="30" hidden="false" customHeight="true" outlineLevel="0" collapsed="false">
      <c r="B226" s="154" t="s">
        <v>358</v>
      </c>
      <c r="C226" s="155" t="str">
        <f aca="false">IF(OR(Summary!$C$10="",Summary!$C$11=""),"",TEXT(Summary!$C$10,"DD/MM/YYYY")&amp;"  →  "&amp;TEXT(Summary!$C$11,"DD/MM/YYYY"))</f>
        <v>18/09/2026  →  25/09/2026</v>
      </c>
      <c r="D226" s="155" t="n">
        <f aca="false">Dashboard!$F$34</f>
        <v>223</v>
      </c>
      <c r="E226" s="155" t="n">
        <f aca="false">Dashboard!$L$34</f>
        <v>0</v>
      </c>
      <c r="F226" s="155" t="n">
        <f aca="false">Dashboard!$G$34</f>
        <v>0</v>
      </c>
      <c r="G226" s="155" t="n">
        <f aca="false">Dashboard!$H$34</f>
        <v>0</v>
      </c>
      <c r="H226" s="155" t="n">
        <f aca="false">Dashboard!$I$34</f>
        <v>0</v>
      </c>
      <c r="I226" s="155" t="n">
        <f aca="false">Dashboard!$J$34</f>
        <v>0</v>
      </c>
      <c r="J226" s="156" t="n">
        <f aca="false">IFERROR(E226/D226,0)</f>
        <v>0</v>
      </c>
      <c r="K226" s="156" t="n">
        <f aca="false">IFERROR(F226/E226,0)</f>
        <v>0</v>
      </c>
      <c r="L226" s="155" t="s">
        <v>353</v>
      </c>
    </row>
    <row r="227" customFormat="false" ht="15.75" hidden="false" customHeight="true" outlineLevel="0" collapsed="false">
      <c r="B227" s="157"/>
      <c r="C227" s="158"/>
      <c r="D227" s="158"/>
      <c r="E227" s="158"/>
      <c r="F227" s="159"/>
      <c r="G227" s="159"/>
      <c r="H227" s="22"/>
      <c r="I227" s="22"/>
      <c r="J227" s="22"/>
      <c r="K227" s="22"/>
    </row>
    <row r="228" customFormat="false" ht="15.75" hidden="false" customHeight="true" outlineLevel="0" collapsed="false">
      <c r="B228" s="146" t="s">
        <v>359</v>
      </c>
      <c r="C228" s="146"/>
      <c r="D228" s="146"/>
      <c r="E228" s="22"/>
      <c r="F228" s="22"/>
      <c r="G228" s="22"/>
      <c r="H228" s="22"/>
      <c r="I228" s="22"/>
      <c r="J228" s="22"/>
      <c r="K228" s="22"/>
    </row>
    <row r="229" customFormat="false" ht="15.75" hidden="false" customHeight="true" outlineLevel="0" collapsed="false">
      <c r="B229" s="147" t="s">
        <v>347</v>
      </c>
      <c r="C229" s="147" t="s">
        <v>360</v>
      </c>
      <c r="D229" s="147" t="s">
        <v>361</v>
      </c>
      <c r="E229" s="22"/>
      <c r="F229" s="22"/>
      <c r="G229" s="22"/>
      <c r="H229" s="22"/>
      <c r="I229" s="22"/>
      <c r="J229" s="22"/>
      <c r="K229" s="22"/>
    </row>
    <row r="230" customFormat="false" ht="15.75" hidden="false" customHeight="true" outlineLevel="0" collapsed="false">
      <c r="B230" s="160" t="n">
        <v>1</v>
      </c>
      <c r="C230" s="161" t="n">
        <f aca="false">COUNTIF('Bug Data'!$T:$T,$B230)</f>
        <v>0</v>
      </c>
      <c r="D230" s="161" t="n">
        <f aca="false">COUNTIF('Bug Data'!$U:$U,$B230)</f>
        <v>0</v>
      </c>
      <c r="E230" s="22"/>
      <c r="F230" s="22"/>
      <c r="G230" s="22"/>
      <c r="H230" s="22"/>
      <c r="I230" s="22"/>
      <c r="J230" s="22"/>
      <c r="K230" s="22"/>
    </row>
    <row r="231" customFormat="false" ht="15.75" hidden="false" customHeight="true" outlineLevel="0" collapsed="false">
      <c r="B231" s="160" t="n">
        <v>2</v>
      </c>
      <c r="C231" s="161" t="n">
        <f aca="false">COUNTIF('Bug Data'!$T:$T,$B231)</f>
        <v>0</v>
      </c>
      <c r="D231" s="161" t="n">
        <f aca="false">COUNTIF('Bug Data'!$U:$U,$B231)</f>
        <v>0</v>
      </c>
      <c r="E231" s="22"/>
      <c r="F231" s="22"/>
      <c r="G231" s="22"/>
      <c r="H231" s="22"/>
      <c r="I231" s="22"/>
      <c r="J231" s="22"/>
      <c r="K231" s="22"/>
    </row>
    <row r="232" customFormat="false" ht="15.75" hidden="false" customHeight="true" outlineLevel="0" collapsed="false">
      <c r="B232" s="160" t="n">
        <v>3</v>
      </c>
      <c r="C232" s="161" t="n">
        <f aca="false">COUNTIF('Bug Data'!$T:$T,$B232)</f>
        <v>0</v>
      </c>
      <c r="D232" s="161" t="n">
        <f aca="false">COUNTIF('Bug Data'!$U:$U,$B232)</f>
        <v>0</v>
      </c>
      <c r="E232" s="22"/>
      <c r="F232" s="22"/>
      <c r="G232" s="22"/>
      <c r="H232" s="22"/>
      <c r="I232" s="22"/>
      <c r="J232" s="22"/>
      <c r="K232" s="22"/>
    </row>
    <row r="233" customFormat="false" ht="15.75" hidden="false" customHeight="true" outlineLevel="0" collapsed="false">
      <c r="B233" s="162" t="n">
        <v>4</v>
      </c>
      <c r="C233" s="152" t="n">
        <f aca="false">COUNTIF('Bug Data'!$T:$T,$B233)</f>
        <v>0</v>
      </c>
      <c r="D233" s="161" t="n">
        <f aca="false">COUNTIF('Bug Data'!$U:$U,$B233)</f>
        <v>0</v>
      </c>
      <c r="E233" s="22"/>
      <c r="F233" s="22"/>
      <c r="G233" s="22"/>
      <c r="H233" s="22"/>
      <c r="I233" s="22"/>
      <c r="J233" s="22"/>
      <c r="K233" s="22"/>
    </row>
    <row r="234" customFormat="false" ht="15.75" hidden="false" customHeight="true" outlineLevel="0" collapsed="false">
      <c r="B234" s="162" t="n">
        <v>5</v>
      </c>
      <c r="C234" s="152" t="n">
        <f aca="false">COUNTIF('Bug Data'!$T:$T,$B234)</f>
        <v>0</v>
      </c>
      <c r="D234" s="161" t="n">
        <f aca="false">COUNTIF('Bug Data'!$U:$U,$B234)</f>
        <v>0</v>
      </c>
      <c r="E234" s="22"/>
      <c r="F234" s="22"/>
      <c r="G234" s="22"/>
      <c r="H234" s="22"/>
      <c r="I234" s="22"/>
      <c r="J234" s="22"/>
      <c r="K234" s="22"/>
    </row>
    <row r="235" customFormat="false" ht="15.75" hidden="false" customHeight="true" outlineLevel="0" collapsed="false">
      <c r="B235" s="163" t="s">
        <v>248</v>
      </c>
      <c r="C235" s="163" t="n">
        <f aca="false">SUM(C230:C234)</f>
        <v>0</v>
      </c>
      <c r="D235" s="164" t="n">
        <f aca="false">SUM(D230:D234)</f>
        <v>0</v>
      </c>
      <c r="E235" s="22"/>
      <c r="F235" s="22"/>
      <c r="G235" s="22"/>
      <c r="H235" s="22"/>
      <c r="I235" s="22"/>
      <c r="J235" s="22"/>
      <c r="K235" s="22"/>
    </row>
    <row r="236" customFormat="false" ht="15.75" hidden="false" customHeight="true" outlineLevel="0" collapsed="false">
      <c r="B236" s="165" t="s">
        <v>362</v>
      </c>
      <c r="C236" s="165"/>
      <c r="D236" s="165"/>
      <c r="E236" s="165"/>
      <c r="F236" s="165"/>
      <c r="G236" s="165"/>
      <c r="H236" s="165"/>
      <c r="I236" s="165"/>
      <c r="J236" s="165"/>
      <c r="K236" s="165"/>
    </row>
    <row r="237" customFormat="false" ht="15.75" hidden="false" customHeight="true" outlineLevel="0" collapsed="false">
      <c r="B237" s="158"/>
      <c r="C237" s="158"/>
      <c r="D237" s="22"/>
      <c r="E237" s="22"/>
      <c r="F237" s="22"/>
      <c r="G237" s="22"/>
      <c r="H237" s="22"/>
      <c r="I237" s="22"/>
      <c r="J237" s="22"/>
      <c r="K237" s="22"/>
    </row>
    <row r="238" customFormat="false" ht="15.75" hidden="false" customHeight="true" outlineLevel="0" collapsed="false">
      <c r="B238" s="158"/>
      <c r="C238" s="158"/>
      <c r="D238" s="22"/>
      <c r="E238" s="22"/>
      <c r="F238" s="22"/>
      <c r="G238" s="22"/>
      <c r="H238" s="22"/>
      <c r="I238" s="22"/>
      <c r="J238" s="22"/>
      <c r="K238" s="22"/>
    </row>
    <row r="239" customFormat="false" ht="15.75" hidden="false" customHeight="true" outlineLevel="0" collapsed="false">
      <c r="B239" s="158"/>
      <c r="C239" s="158"/>
      <c r="D239" s="22"/>
      <c r="E239" s="22"/>
      <c r="F239" s="22"/>
      <c r="G239" s="22"/>
      <c r="H239" s="22"/>
      <c r="I239" s="22"/>
      <c r="J239" s="22"/>
      <c r="K239" s="22"/>
    </row>
    <row r="240" customFormat="false" ht="15.75" hidden="false" customHeight="true" outlineLevel="0" collapsed="false">
      <c r="B240" s="158"/>
      <c r="C240" s="158"/>
      <c r="D240" s="22"/>
      <c r="E240" s="22"/>
      <c r="F240" s="22"/>
      <c r="G240" s="22"/>
      <c r="H240" s="22"/>
      <c r="I240" s="22"/>
      <c r="J240" s="22"/>
      <c r="K240" s="22"/>
    </row>
    <row r="241" customFormat="false" ht="15.75" hidden="false" customHeight="true" outlineLevel="0" collapsed="false">
      <c r="B241" s="166"/>
      <c r="C241" s="158"/>
      <c r="D241" s="22"/>
      <c r="E241" s="22"/>
      <c r="F241" s="22"/>
      <c r="G241" s="22"/>
      <c r="H241" s="22"/>
      <c r="I241" s="22"/>
      <c r="J241" s="22"/>
      <c r="K241" s="22"/>
    </row>
    <row r="242" customFormat="false" ht="15.75" hidden="false" customHeight="true" outlineLevel="0" collapsed="false">
      <c r="B242" s="167"/>
      <c r="C242" s="22"/>
      <c r="D242" s="22"/>
      <c r="E242" s="22"/>
      <c r="F242" s="22"/>
      <c r="G242" s="22"/>
      <c r="H242" s="22"/>
      <c r="I242" s="22"/>
      <c r="J242" s="22"/>
      <c r="K242" s="22"/>
    </row>
    <row r="243" customFormat="false" ht="15.75" hidden="false" customHeight="true" outlineLevel="0" collapsed="false">
      <c r="B243" s="22"/>
      <c r="C243" s="22"/>
      <c r="D243" s="22"/>
      <c r="E243" s="22"/>
      <c r="F243" s="22"/>
      <c r="G243" s="22"/>
      <c r="H243" s="22"/>
      <c r="I243" s="22"/>
      <c r="J243" s="22"/>
      <c r="K243" s="22"/>
    </row>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sheetData>
  <mergeCells count="57">
    <mergeCell ref="F2:J2"/>
    <mergeCell ref="C3:D3"/>
    <mergeCell ref="F3:H3"/>
    <mergeCell ref="I3:J3"/>
    <mergeCell ref="C4:D4"/>
    <mergeCell ref="F4:H4"/>
    <mergeCell ref="I4:J4"/>
    <mergeCell ref="C5:D5"/>
    <mergeCell ref="F5:H5"/>
    <mergeCell ref="I5:J5"/>
    <mergeCell ref="C6:D6"/>
    <mergeCell ref="F6:H6"/>
    <mergeCell ref="I6:J6"/>
    <mergeCell ref="B7:D9"/>
    <mergeCell ref="F7:H7"/>
    <mergeCell ref="I7:J7"/>
    <mergeCell ref="F8:H8"/>
    <mergeCell ref="I8:J8"/>
    <mergeCell ref="F9:H9"/>
    <mergeCell ref="I9:J9"/>
    <mergeCell ref="F10:H10"/>
    <mergeCell ref="I10:J10"/>
    <mergeCell ref="F11:J11"/>
    <mergeCell ref="B13:I13"/>
    <mergeCell ref="B16:I16"/>
    <mergeCell ref="B22:I22"/>
    <mergeCell ref="B41:K41"/>
    <mergeCell ref="B55:K55"/>
    <mergeCell ref="B58:G58"/>
    <mergeCell ref="B72:G72"/>
    <mergeCell ref="B83:D83"/>
    <mergeCell ref="B100:E100"/>
    <mergeCell ref="B108:E108"/>
    <mergeCell ref="B116:I116"/>
    <mergeCell ref="B119:D119"/>
    <mergeCell ref="B136:E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B152:C152"/>
    <mergeCell ref="B168:C168"/>
    <mergeCell ref="B184:C184"/>
    <mergeCell ref="B200:D200"/>
    <mergeCell ref="B211:D211"/>
    <mergeCell ref="B217:L217"/>
    <mergeCell ref="B218:L218"/>
    <mergeCell ref="B219:L219"/>
    <mergeCell ref="B228:D22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1000"/>
  <sheetViews>
    <sheetView showFormulas="false" showGridLines="false" showRowColHeaders="true" showZeros="true" rightToLeft="false" tabSelected="true" showOutlineSymbols="true" defaultGridColor="true" view="normal" topLeftCell="A1" colorId="64" zoomScale="75" zoomScaleNormal="75" zoomScalePageLayoutView="100" workbookViewId="0">
      <selection pane="topLeft" activeCell="K35" activeCellId="0" sqref="K35"/>
    </sheetView>
  </sheetViews>
  <sheetFormatPr defaultColWidth="14.43359375" defaultRowHeight="15" customHeight="true" zeroHeight="false" outlineLevelRow="0" outlineLevelCol="0"/>
  <cols>
    <col collapsed="false" customWidth="true" hidden="false" outlineLevel="0" max="1" min="1" style="1" width="12"/>
    <col collapsed="false" customWidth="true" hidden="false" outlineLevel="0" max="2" min="2" style="1" width="9"/>
    <col collapsed="false" customWidth="true" hidden="false" outlineLevel="0" max="3" min="3" style="1" width="40"/>
    <col collapsed="false" customWidth="true" hidden="false" outlineLevel="0" max="4" min="4" style="1" width="14"/>
    <col collapsed="false" customWidth="true" hidden="false" outlineLevel="0" max="10" min="5" style="1" width="12"/>
    <col collapsed="false" customWidth="true" hidden="false" outlineLevel="0" max="11" min="11" style="1" width="10"/>
    <col collapsed="false" customWidth="true" hidden="false" outlineLevel="0" max="12" min="12" style="1" width="9"/>
    <col collapsed="false" customWidth="true" hidden="false" outlineLevel="0" max="13" min="13" style="1" width="13"/>
    <col collapsed="false" customWidth="true" hidden="false" outlineLevel="0" max="14" min="14" style="1" width="10"/>
    <col collapsed="false" customWidth="true" hidden="false" outlineLevel="0" max="16" min="16" style="1" width="46"/>
    <col collapsed="false" customWidth="true" hidden="false" outlineLevel="0" max="17" min="17" style="1" width="13"/>
    <col collapsed="false" customWidth="true" hidden="false" outlineLevel="0" max="18" min="18" style="1" width="15"/>
    <col collapsed="false" customWidth="true" hidden="false" outlineLevel="0" max="19" min="19" style="1" width="13"/>
    <col collapsed="false" customWidth="true" hidden="false" outlineLevel="0" max="20" min="20" style="1" width="8"/>
    <col collapsed="false" customWidth="true" hidden="false" outlineLevel="0" max="21" min="21" style="1" width="14"/>
    <col collapsed="false" customWidth="true" hidden="false" outlineLevel="0" max="24" min="24" style="1" width="3"/>
    <col collapsed="false" customWidth="true" hidden="false" outlineLevel="0" max="25" min="25" style="1" width="60"/>
    <col collapsed="false" customWidth="true" hidden="false" outlineLevel="0" max="26" min="26" style="1" width="3"/>
    <col collapsed="false" customWidth="true" hidden="false" outlineLevel="0" max="27" min="27" style="1" width="66"/>
  </cols>
  <sheetData>
    <row r="1" customFormat="false" ht="27.75" hidden="false" customHeight="true" outlineLevel="0" collapsed="false">
      <c r="A1" s="168" t="s">
        <v>363</v>
      </c>
      <c r="B1" s="168" t="s">
        <v>364</v>
      </c>
      <c r="C1" s="168" t="s">
        <v>365</v>
      </c>
      <c r="D1" s="168" t="s">
        <v>366</v>
      </c>
      <c r="E1" s="168" t="s">
        <v>367</v>
      </c>
      <c r="F1" s="168" t="s">
        <v>368</v>
      </c>
      <c r="G1" s="168" t="s">
        <v>369</v>
      </c>
      <c r="H1" s="168" t="s">
        <v>370</v>
      </c>
      <c r="I1" s="168" t="s">
        <v>371</v>
      </c>
      <c r="J1" s="168" t="s">
        <v>372</v>
      </c>
      <c r="K1" s="168" t="s">
        <v>97</v>
      </c>
      <c r="L1" s="169" t="s">
        <v>373</v>
      </c>
      <c r="M1" s="169" t="s">
        <v>374</v>
      </c>
      <c r="N1" s="169" t="s">
        <v>132</v>
      </c>
      <c r="O1" s="169" t="s">
        <v>283</v>
      </c>
      <c r="P1" s="169" t="s">
        <v>375</v>
      </c>
      <c r="Q1" s="169" t="s">
        <v>376</v>
      </c>
      <c r="R1" s="169" t="s">
        <v>322</v>
      </c>
      <c r="S1" s="169" t="s">
        <v>377</v>
      </c>
      <c r="T1" s="169" t="s">
        <v>347</v>
      </c>
      <c r="U1" s="169" t="s">
        <v>378</v>
      </c>
      <c r="Y1" s="170" t="s">
        <v>379</v>
      </c>
      <c r="AA1" s="171" t="s">
        <v>380</v>
      </c>
    </row>
    <row r="2" customFormat="false" ht="15.75" hidden="false" customHeight="true" outlineLevel="0" collapsed="false">
      <c r="A2" s="128"/>
      <c r="B2" s="128"/>
      <c r="C2" s="38"/>
      <c r="D2" s="128"/>
      <c r="E2" s="128"/>
      <c r="F2" s="128"/>
      <c r="G2" s="128"/>
      <c r="H2" s="128"/>
      <c r="I2" s="128"/>
      <c r="J2" s="128"/>
      <c r="K2" s="128"/>
      <c r="L2" s="128"/>
      <c r="M2" s="128"/>
      <c r="N2" s="128"/>
      <c r="O2" s="128"/>
      <c r="P2" s="38"/>
      <c r="Q2" s="128"/>
      <c r="R2" s="128"/>
      <c r="S2" s="128"/>
      <c r="T2" s="128"/>
      <c r="U2" s="128"/>
      <c r="Y2" s="172" t="s">
        <v>381</v>
      </c>
      <c r="AA2" s="172" t="s">
        <v>382</v>
      </c>
    </row>
    <row r="3" customFormat="false" ht="15.75" hidden="false" customHeight="true" outlineLevel="0" collapsed="false">
      <c r="A3" s="128"/>
      <c r="B3" s="128"/>
      <c r="C3" s="38"/>
      <c r="D3" s="128"/>
      <c r="E3" s="128"/>
      <c r="F3" s="128"/>
      <c r="G3" s="128"/>
      <c r="H3" s="128"/>
      <c r="I3" s="128"/>
      <c r="J3" s="128"/>
      <c r="K3" s="128"/>
      <c r="L3" s="128"/>
      <c r="M3" s="128"/>
      <c r="N3" s="128"/>
      <c r="O3" s="128"/>
      <c r="P3" s="38"/>
      <c r="Q3" s="128"/>
      <c r="R3" s="128"/>
      <c r="S3" s="128"/>
      <c r="T3" s="128"/>
      <c r="U3" s="128"/>
      <c r="Y3" s="172" t="s">
        <v>383</v>
      </c>
      <c r="AA3" s="172" t="s">
        <v>384</v>
      </c>
    </row>
    <row r="4" customFormat="false" ht="15.75" hidden="false" customHeight="true" outlineLevel="0" collapsed="false">
      <c r="A4" s="128"/>
      <c r="B4" s="128"/>
      <c r="C4" s="38"/>
      <c r="D4" s="128"/>
      <c r="E4" s="128"/>
      <c r="F4" s="128"/>
      <c r="G4" s="128"/>
      <c r="H4" s="128"/>
      <c r="I4" s="128"/>
      <c r="J4" s="128"/>
      <c r="K4" s="128"/>
      <c r="L4" s="128"/>
      <c r="M4" s="128"/>
      <c r="N4" s="128"/>
      <c r="O4" s="128"/>
      <c r="P4" s="38"/>
      <c r="Q4" s="128"/>
      <c r="R4" s="128"/>
      <c r="S4" s="128"/>
      <c r="T4" s="128"/>
      <c r="U4" s="128"/>
      <c r="Y4" s="172" t="s">
        <v>385</v>
      </c>
      <c r="AA4" s="172" t="s">
        <v>386</v>
      </c>
    </row>
    <row r="5" customFormat="false" ht="15.75" hidden="false" customHeight="true" outlineLevel="0" collapsed="false">
      <c r="A5" s="128"/>
      <c r="B5" s="128"/>
      <c r="C5" s="38"/>
      <c r="D5" s="128"/>
      <c r="E5" s="128"/>
      <c r="F5" s="128"/>
      <c r="G5" s="128"/>
      <c r="H5" s="128"/>
      <c r="I5" s="128"/>
      <c r="J5" s="128"/>
      <c r="K5" s="128"/>
      <c r="L5" s="128"/>
      <c r="M5" s="128"/>
      <c r="N5" s="128"/>
      <c r="O5" s="128"/>
      <c r="P5" s="38"/>
      <c r="Q5" s="128"/>
      <c r="R5" s="128"/>
      <c r="S5" s="128"/>
      <c r="T5" s="128"/>
      <c r="U5" s="128"/>
      <c r="Y5" s="172" t="s">
        <v>387</v>
      </c>
      <c r="AA5" s="172" t="s">
        <v>388</v>
      </c>
    </row>
    <row r="6" customFormat="false" ht="15.75" hidden="false" customHeight="true" outlineLevel="0" collapsed="false">
      <c r="A6" s="128"/>
      <c r="B6" s="128"/>
      <c r="C6" s="38"/>
      <c r="D6" s="128"/>
      <c r="E6" s="128"/>
      <c r="F6" s="128"/>
      <c r="G6" s="128"/>
      <c r="H6" s="128"/>
      <c r="I6" s="128"/>
      <c r="J6" s="128"/>
      <c r="K6" s="128"/>
      <c r="L6" s="128"/>
      <c r="M6" s="128"/>
      <c r="N6" s="128"/>
      <c r="O6" s="128"/>
      <c r="P6" s="38"/>
      <c r="Q6" s="128"/>
      <c r="R6" s="128"/>
      <c r="S6" s="128"/>
      <c r="T6" s="128"/>
      <c r="U6" s="128"/>
      <c r="Y6" s="172" t="s">
        <v>389</v>
      </c>
      <c r="AA6" s="172" t="s">
        <v>390</v>
      </c>
    </row>
    <row r="7" customFormat="false" ht="15.75" hidden="false" customHeight="true" outlineLevel="0" collapsed="false">
      <c r="A7" s="128"/>
      <c r="B7" s="128"/>
      <c r="C7" s="38"/>
      <c r="D7" s="128"/>
      <c r="E7" s="128"/>
      <c r="F7" s="128"/>
      <c r="G7" s="128"/>
      <c r="H7" s="128"/>
      <c r="I7" s="128"/>
      <c r="J7" s="128"/>
      <c r="K7" s="128"/>
      <c r="L7" s="128"/>
      <c r="M7" s="128"/>
      <c r="N7" s="128"/>
      <c r="O7" s="128"/>
      <c r="P7" s="38"/>
      <c r="Q7" s="128"/>
      <c r="R7" s="128"/>
      <c r="S7" s="128"/>
      <c r="T7" s="128"/>
      <c r="U7" s="128"/>
      <c r="Y7" s="172" t="s">
        <v>391</v>
      </c>
      <c r="AA7" s="172" t="s">
        <v>392</v>
      </c>
    </row>
    <row r="8" customFormat="false" ht="15.75" hidden="false" customHeight="true" outlineLevel="0" collapsed="false">
      <c r="A8" s="128"/>
      <c r="B8" s="128"/>
      <c r="C8" s="38"/>
      <c r="D8" s="128"/>
      <c r="E8" s="128"/>
      <c r="F8" s="128"/>
      <c r="G8" s="128"/>
      <c r="H8" s="128"/>
      <c r="I8" s="128"/>
      <c r="J8" s="128"/>
      <c r="K8" s="128"/>
      <c r="L8" s="128"/>
      <c r="M8" s="128"/>
      <c r="N8" s="128"/>
      <c r="O8" s="128"/>
      <c r="P8" s="38"/>
      <c r="Q8" s="128"/>
      <c r="R8" s="128"/>
      <c r="S8" s="128"/>
      <c r="T8" s="128"/>
      <c r="U8" s="128"/>
      <c r="Y8" s="172" t="s">
        <v>393</v>
      </c>
      <c r="AA8" s="172" t="s">
        <v>394</v>
      </c>
    </row>
    <row r="9" customFormat="false" ht="15.75" hidden="false" customHeight="true" outlineLevel="0" collapsed="false">
      <c r="A9" s="128"/>
      <c r="B9" s="128"/>
      <c r="C9" s="38"/>
      <c r="D9" s="128"/>
      <c r="E9" s="128"/>
      <c r="F9" s="128"/>
      <c r="G9" s="128"/>
      <c r="H9" s="128"/>
      <c r="I9" s="128"/>
      <c r="J9" s="128"/>
      <c r="K9" s="128"/>
      <c r="L9" s="128"/>
      <c r="M9" s="128"/>
      <c r="N9" s="128"/>
      <c r="O9" s="128"/>
      <c r="P9" s="38"/>
      <c r="Q9" s="128"/>
      <c r="R9" s="128"/>
      <c r="S9" s="128"/>
      <c r="T9" s="128"/>
      <c r="U9" s="128"/>
      <c r="Y9" s="172" t="s">
        <v>395</v>
      </c>
      <c r="AA9" s="172" t="s">
        <v>396</v>
      </c>
    </row>
    <row r="10" customFormat="false" ht="15.75" hidden="false" customHeight="true" outlineLevel="0" collapsed="false">
      <c r="A10" s="128"/>
      <c r="B10" s="128"/>
      <c r="C10" s="38"/>
      <c r="D10" s="128"/>
      <c r="E10" s="128"/>
      <c r="F10" s="128"/>
      <c r="G10" s="128"/>
      <c r="H10" s="128"/>
      <c r="I10" s="128"/>
      <c r="J10" s="128"/>
      <c r="K10" s="128"/>
      <c r="L10" s="128"/>
      <c r="M10" s="128"/>
      <c r="N10" s="128"/>
      <c r="O10" s="128"/>
      <c r="P10" s="38"/>
      <c r="Q10" s="128"/>
      <c r="R10" s="128"/>
      <c r="S10" s="128"/>
      <c r="T10" s="128"/>
      <c r="U10" s="128"/>
      <c r="Y10" s="172" t="s">
        <v>397</v>
      </c>
      <c r="AA10" s="172" t="s">
        <v>398</v>
      </c>
    </row>
    <row r="11" customFormat="false" ht="15.75" hidden="false" customHeight="true" outlineLevel="0" collapsed="false">
      <c r="A11" s="128"/>
      <c r="B11" s="128"/>
      <c r="C11" s="38"/>
      <c r="D11" s="128"/>
      <c r="E11" s="128"/>
      <c r="F11" s="128"/>
      <c r="G11" s="128"/>
      <c r="H11" s="128"/>
      <c r="I11" s="128"/>
      <c r="J11" s="128"/>
      <c r="K11" s="128"/>
      <c r="L11" s="128"/>
      <c r="M11" s="128"/>
      <c r="N11" s="128"/>
      <c r="O11" s="128"/>
      <c r="P11" s="38"/>
      <c r="Q11" s="128"/>
      <c r="R11" s="128"/>
      <c r="S11" s="128"/>
      <c r="T11" s="128"/>
      <c r="U11" s="128"/>
      <c r="Y11" s="172" t="s">
        <v>399</v>
      </c>
      <c r="AA11" s="172" t="s">
        <v>400</v>
      </c>
    </row>
    <row r="12" customFormat="false" ht="15.75" hidden="false" customHeight="true" outlineLevel="0" collapsed="false">
      <c r="A12" s="128"/>
      <c r="B12" s="128"/>
      <c r="C12" s="38"/>
      <c r="D12" s="128"/>
      <c r="E12" s="128"/>
      <c r="F12" s="128"/>
      <c r="G12" s="128"/>
      <c r="H12" s="128"/>
      <c r="I12" s="128"/>
      <c r="J12" s="128"/>
      <c r="K12" s="128"/>
      <c r="L12" s="128"/>
      <c r="M12" s="128"/>
      <c r="N12" s="128"/>
      <c r="O12" s="128"/>
      <c r="P12" s="38"/>
      <c r="Q12" s="128"/>
      <c r="R12" s="128"/>
      <c r="S12" s="128"/>
      <c r="T12" s="128"/>
      <c r="U12" s="128"/>
      <c r="AA12" s="172" t="s">
        <v>401</v>
      </c>
    </row>
    <row r="13" customFormat="false" ht="15.75" hidden="false" customHeight="true" outlineLevel="0" collapsed="false">
      <c r="A13" s="128"/>
      <c r="B13" s="128"/>
      <c r="C13" s="38"/>
      <c r="D13" s="128"/>
      <c r="E13" s="128"/>
      <c r="F13" s="128"/>
      <c r="G13" s="128"/>
      <c r="H13" s="128"/>
      <c r="I13" s="128"/>
      <c r="J13" s="128"/>
      <c r="K13" s="128"/>
      <c r="L13" s="128"/>
      <c r="M13" s="128"/>
      <c r="N13" s="128"/>
      <c r="O13" s="128"/>
      <c r="P13" s="38"/>
      <c r="Q13" s="128"/>
      <c r="R13" s="128"/>
      <c r="S13" s="128"/>
      <c r="T13" s="128"/>
      <c r="U13" s="128"/>
      <c r="AA13" s="172" t="s">
        <v>402</v>
      </c>
    </row>
    <row r="14" customFormat="false" ht="15.75" hidden="false" customHeight="true" outlineLevel="0" collapsed="false">
      <c r="A14" s="128"/>
      <c r="B14" s="128"/>
      <c r="C14" s="38"/>
      <c r="D14" s="128"/>
      <c r="E14" s="128"/>
      <c r="F14" s="128"/>
      <c r="G14" s="128"/>
      <c r="H14" s="128"/>
      <c r="I14" s="128"/>
      <c r="J14" s="128"/>
      <c r="K14" s="128"/>
      <c r="L14" s="128"/>
      <c r="M14" s="128"/>
      <c r="N14" s="128"/>
      <c r="O14" s="128"/>
      <c r="P14" s="38"/>
      <c r="Q14" s="128"/>
      <c r="R14" s="128"/>
      <c r="S14" s="128"/>
      <c r="T14" s="128"/>
      <c r="U14" s="128"/>
    </row>
    <row r="15" customFormat="false" ht="15" hidden="false" customHeight="true" outlineLevel="0" collapsed="false">
      <c r="O15" s="1"/>
    </row>
    <row r="16" customFormat="false" ht="15" hidden="false" customHeight="true" outlineLevel="0" collapsed="false">
      <c r="O16" s="1"/>
    </row>
    <row r="17" customFormat="false" ht="15" hidden="false" customHeight="true" outlineLevel="0" collapsed="false">
      <c r="O17" s="1"/>
    </row>
    <row r="18" customFormat="false" ht="15" hidden="false" customHeight="true" outlineLevel="0" collapsed="false">
      <c r="O18" s="1"/>
    </row>
    <row r="19" customFormat="false" ht="15" hidden="false" customHeight="true" outlineLevel="0" collapsed="false">
      <c r="O19" s="1"/>
    </row>
    <row r="20" customFormat="false" ht="15" hidden="false" customHeight="true" outlineLevel="0" collapsed="false">
      <c r="O20" s="1"/>
    </row>
    <row r="21" customFormat="false" ht="15.75" hidden="false" customHeight="true" outlineLevel="0" collapsed="false">
      <c r="O21" s="1"/>
    </row>
    <row r="22" customFormat="false" ht="15.75" hidden="false" customHeight="true" outlineLevel="0" collapsed="false">
      <c r="O22" s="1"/>
    </row>
    <row r="23" customFormat="false" ht="15.75" hidden="false" customHeight="true" outlineLevel="0" collapsed="false">
      <c r="O23" s="1"/>
    </row>
    <row r="24" customFormat="false" ht="15.75" hidden="false" customHeight="true" outlineLevel="0" collapsed="false">
      <c r="O24" s="1"/>
    </row>
    <row r="25" customFormat="false" ht="15.75" hidden="false" customHeight="true" outlineLevel="0" collapsed="false">
      <c r="O25" s="1"/>
    </row>
    <row r="26" customFormat="false" ht="15.75" hidden="false" customHeight="true" outlineLevel="0" collapsed="false">
      <c r="O26" s="1"/>
    </row>
    <row r="27" customFormat="false" ht="15.75" hidden="false" customHeight="true" outlineLevel="0" collapsed="false">
      <c r="O27" s="1"/>
    </row>
    <row r="28" customFormat="false" ht="15.75" hidden="false" customHeight="true" outlineLevel="0" collapsed="false">
      <c r="O28" s="1"/>
    </row>
    <row r="29" customFormat="false" ht="15.75" hidden="false" customHeight="true" outlineLevel="0" collapsed="false">
      <c r="O29" s="1"/>
    </row>
    <row r="30" customFormat="false" ht="15.75" hidden="false" customHeight="true" outlineLevel="0" collapsed="false">
      <c r="O30" s="1"/>
    </row>
    <row r="31" customFormat="false" ht="15.75" hidden="false" customHeight="true" outlineLevel="0" collapsed="false">
      <c r="O31" s="1"/>
    </row>
    <row r="32" customFormat="false" ht="15.75" hidden="false" customHeight="true" outlineLevel="0" collapsed="false">
      <c r="O32" s="1"/>
    </row>
    <row r="33" customFormat="false" ht="15.75" hidden="false" customHeight="true" outlineLevel="0" collapsed="false">
      <c r="O33" s="1"/>
    </row>
    <row r="34" customFormat="false" ht="15.75" hidden="false" customHeight="true" outlineLevel="0" collapsed="false">
      <c r="O34" s="1"/>
    </row>
    <row r="35" customFormat="false" ht="15.75" hidden="false" customHeight="true" outlineLevel="0" collapsed="false">
      <c r="O35" s="1"/>
    </row>
    <row r="36" customFormat="false" ht="15.75" hidden="false" customHeight="true" outlineLevel="0" collapsed="false">
      <c r="O36" s="1"/>
    </row>
    <row r="37" customFormat="false" ht="15.75" hidden="false" customHeight="true" outlineLevel="0" collapsed="false">
      <c r="O37" s="1"/>
    </row>
    <row r="38" customFormat="false" ht="15.75" hidden="false" customHeight="true" outlineLevel="0" collapsed="false">
      <c r="O38" s="1"/>
    </row>
    <row r="39" customFormat="false" ht="15.75" hidden="false" customHeight="true" outlineLevel="0" collapsed="false">
      <c r="O39" s="1"/>
    </row>
    <row r="40" customFormat="false" ht="15.75" hidden="false" customHeight="true" outlineLevel="0" collapsed="false">
      <c r="O40" s="1"/>
    </row>
    <row r="41" customFormat="false" ht="15.75" hidden="false" customHeight="true" outlineLevel="0" collapsed="false">
      <c r="O41" s="1"/>
    </row>
    <row r="42" customFormat="false" ht="15.75" hidden="false" customHeight="true" outlineLevel="0" collapsed="false">
      <c r="O42" s="1"/>
    </row>
    <row r="43" customFormat="false" ht="15.75" hidden="false" customHeight="true" outlineLevel="0" collapsed="false">
      <c r="O43" s="1"/>
    </row>
    <row r="44" customFormat="false" ht="15.75" hidden="false" customHeight="true" outlineLevel="0" collapsed="false">
      <c r="O44" s="1"/>
    </row>
    <row r="45" customFormat="false" ht="15.75" hidden="false" customHeight="true" outlineLevel="0" collapsed="false">
      <c r="O45" s="1"/>
    </row>
    <row r="46" customFormat="false" ht="15.75" hidden="false" customHeight="true" outlineLevel="0" collapsed="false">
      <c r="O46" s="1"/>
    </row>
    <row r="47" customFormat="false" ht="15.75" hidden="false" customHeight="true" outlineLevel="0" collapsed="false">
      <c r="O47" s="1"/>
    </row>
    <row r="48" customFormat="false" ht="15.75" hidden="false" customHeight="true" outlineLevel="0" collapsed="false">
      <c r="O48" s="1"/>
    </row>
    <row r="49" customFormat="false" ht="15.75" hidden="false" customHeight="true" outlineLevel="0" collapsed="false">
      <c r="O49" s="1"/>
    </row>
    <row r="50" customFormat="false" ht="15.75" hidden="false" customHeight="true" outlineLevel="0" collapsed="false">
      <c r="O50" s="1"/>
    </row>
    <row r="51" customFormat="false" ht="15.75" hidden="false" customHeight="true" outlineLevel="0" collapsed="false">
      <c r="O51" s="1"/>
    </row>
    <row r="52" customFormat="false" ht="15.75" hidden="false" customHeight="true" outlineLevel="0" collapsed="false">
      <c r="O52" s="1"/>
    </row>
    <row r="53" customFormat="false" ht="15.75" hidden="false" customHeight="true" outlineLevel="0" collapsed="false">
      <c r="O53" s="1"/>
    </row>
    <row r="54" customFormat="false" ht="15.75" hidden="false" customHeight="true" outlineLevel="0" collapsed="false">
      <c r="O54" s="1"/>
    </row>
    <row r="55" customFormat="false" ht="15.75" hidden="false" customHeight="true" outlineLevel="0" collapsed="false">
      <c r="O55" s="1"/>
    </row>
    <row r="56" customFormat="false" ht="15.75" hidden="false" customHeight="true" outlineLevel="0" collapsed="false">
      <c r="O56" s="1"/>
    </row>
    <row r="57" customFormat="false" ht="15.75" hidden="false" customHeight="true" outlineLevel="0" collapsed="false">
      <c r="O57" s="1"/>
    </row>
    <row r="58" customFormat="false" ht="15.75" hidden="false" customHeight="true" outlineLevel="0" collapsed="false">
      <c r="O58" s="1"/>
    </row>
    <row r="59" customFormat="false" ht="15.75" hidden="false" customHeight="true" outlineLevel="0" collapsed="false">
      <c r="O59" s="1"/>
    </row>
    <row r="60" customFormat="false" ht="15.75" hidden="false" customHeight="true" outlineLevel="0" collapsed="false">
      <c r="O60" s="1"/>
    </row>
    <row r="61" customFormat="false" ht="15.75" hidden="false" customHeight="true" outlineLevel="0" collapsed="false">
      <c r="O61" s="1"/>
    </row>
    <row r="62" customFormat="false" ht="15.75" hidden="false" customHeight="true" outlineLevel="0" collapsed="false">
      <c r="O62" s="1"/>
    </row>
    <row r="63" customFormat="false" ht="15.75" hidden="false" customHeight="true" outlineLevel="0" collapsed="false">
      <c r="O63" s="1"/>
    </row>
    <row r="64" customFormat="false" ht="15.75" hidden="false" customHeight="true" outlineLevel="0" collapsed="false">
      <c r="O64" s="1"/>
    </row>
    <row r="65" customFormat="false" ht="15.75" hidden="false" customHeight="true" outlineLevel="0" collapsed="false">
      <c r="O65" s="1"/>
    </row>
    <row r="66" customFormat="false" ht="15.75" hidden="false" customHeight="true" outlineLevel="0" collapsed="false">
      <c r="O66" s="1"/>
    </row>
    <row r="67" customFormat="false" ht="15.75" hidden="false" customHeight="true" outlineLevel="0" collapsed="false">
      <c r="O67" s="1"/>
    </row>
    <row r="68" customFormat="false" ht="15.75" hidden="false" customHeight="true" outlineLevel="0" collapsed="false">
      <c r="O68" s="1"/>
    </row>
    <row r="69" customFormat="false" ht="15.75" hidden="false" customHeight="true" outlineLevel="0" collapsed="false">
      <c r="O69" s="1"/>
    </row>
    <row r="70" customFormat="false" ht="15.75" hidden="false" customHeight="true" outlineLevel="0" collapsed="false">
      <c r="O70" s="1"/>
    </row>
    <row r="71" customFormat="false" ht="15.75" hidden="false" customHeight="true" outlineLevel="0" collapsed="false">
      <c r="O71" s="1"/>
    </row>
    <row r="72" customFormat="false" ht="15.75" hidden="false" customHeight="true" outlineLevel="0" collapsed="false">
      <c r="O72" s="1"/>
    </row>
    <row r="73" customFormat="false" ht="15.75" hidden="false" customHeight="true" outlineLevel="0" collapsed="false">
      <c r="O73" s="1"/>
    </row>
    <row r="74" customFormat="false" ht="15.75" hidden="false" customHeight="true" outlineLevel="0" collapsed="false">
      <c r="O74" s="1"/>
    </row>
    <row r="75" customFormat="false" ht="15.75" hidden="false" customHeight="true" outlineLevel="0" collapsed="false">
      <c r="O75" s="1"/>
    </row>
    <row r="76" customFormat="false" ht="15.75" hidden="false" customHeight="true" outlineLevel="0" collapsed="false">
      <c r="O76" s="1"/>
    </row>
    <row r="77" customFormat="false" ht="15.75" hidden="false" customHeight="true" outlineLevel="0" collapsed="false">
      <c r="O77" s="1"/>
    </row>
    <row r="78" customFormat="false" ht="15.75" hidden="false" customHeight="true" outlineLevel="0" collapsed="false">
      <c r="O78" s="1"/>
    </row>
    <row r="79" customFormat="false" ht="15.75" hidden="false" customHeight="true" outlineLevel="0" collapsed="false">
      <c r="O79" s="1"/>
    </row>
    <row r="80" customFormat="false" ht="15.75" hidden="false" customHeight="true" outlineLevel="0" collapsed="false">
      <c r="O80" s="1"/>
    </row>
    <row r="81" customFormat="false" ht="15.75" hidden="false" customHeight="true" outlineLevel="0" collapsed="false">
      <c r="O81" s="1"/>
    </row>
    <row r="82" customFormat="false" ht="15.75" hidden="false" customHeight="true" outlineLevel="0" collapsed="false">
      <c r="O82" s="1"/>
    </row>
    <row r="83" customFormat="false" ht="15.75" hidden="false" customHeight="true" outlineLevel="0" collapsed="false">
      <c r="O83" s="1"/>
    </row>
    <row r="84" customFormat="false" ht="15.75" hidden="false" customHeight="true" outlineLevel="0" collapsed="false">
      <c r="O84" s="1"/>
    </row>
    <row r="85" customFormat="false" ht="15.75" hidden="false" customHeight="true" outlineLevel="0" collapsed="false">
      <c r="O85" s="1"/>
    </row>
    <row r="86" customFormat="false" ht="15.75" hidden="false" customHeight="true" outlineLevel="0" collapsed="false">
      <c r="O86" s="1"/>
    </row>
    <row r="87" customFormat="false" ht="15.75" hidden="false" customHeight="true" outlineLevel="0" collapsed="false">
      <c r="O87" s="1"/>
    </row>
    <row r="88" customFormat="false" ht="15.75" hidden="false" customHeight="true" outlineLevel="0" collapsed="false">
      <c r="O88" s="1"/>
    </row>
    <row r="89" customFormat="false" ht="15.75" hidden="false" customHeight="true" outlineLevel="0" collapsed="false">
      <c r="O89" s="1"/>
    </row>
    <row r="90" customFormat="false" ht="15.75" hidden="false" customHeight="true" outlineLevel="0" collapsed="false">
      <c r="O90" s="1"/>
    </row>
    <row r="91" customFormat="false" ht="15.75" hidden="false" customHeight="true" outlineLevel="0" collapsed="false">
      <c r="O91" s="1"/>
    </row>
    <row r="92" customFormat="false" ht="15.75" hidden="false" customHeight="true" outlineLevel="0" collapsed="false">
      <c r="O92" s="1"/>
    </row>
    <row r="93" customFormat="false" ht="15.75" hidden="false" customHeight="true" outlineLevel="0" collapsed="false">
      <c r="O93" s="1"/>
    </row>
    <row r="94" customFormat="false" ht="15.75" hidden="false" customHeight="true" outlineLevel="0" collapsed="false">
      <c r="O94" s="1"/>
    </row>
    <row r="95" customFormat="false" ht="15.75" hidden="false" customHeight="true" outlineLevel="0" collapsed="false">
      <c r="O95" s="1"/>
    </row>
    <row r="96" customFormat="false" ht="15.75" hidden="false" customHeight="true" outlineLevel="0" collapsed="false">
      <c r="O96" s="1"/>
    </row>
    <row r="97" customFormat="false" ht="15.75" hidden="false" customHeight="true" outlineLevel="0" collapsed="false">
      <c r="O97" s="1"/>
    </row>
    <row r="98" customFormat="false" ht="15.75" hidden="false" customHeight="true" outlineLevel="0" collapsed="false">
      <c r="O98" s="1"/>
    </row>
    <row r="99" customFormat="false" ht="15.75" hidden="false" customHeight="true" outlineLevel="0" collapsed="false">
      <c r="O99" s="1"/>
    </row>
    <row r="100" customFormat="false" ht="15.75" hidden="false" customHeight="true" outlineLevel="0" collapsed="false">
      <c r="O100" s="1"/>
    </row>
    <row r="101" customFormat="false" ht="15.75" hidden="false" customHeight="true" outlineLevel="0" collapsed="false">
      <c r="O101" s="1"/>
    </row>
    <row r="102" customFormat="false" ht="15.75" hidden="false" customHeight="true" outlineLevel="0" collapsed="false">
      <c r="O102" s="1"/>
    </row>
    <row r="103" customFormat="false" ht="15.75" hidden="false" customHeight="true" outlineLevel="0" collapsed="false">
      <c r="O103" s="1"/>
    </row>
    <row r="104" customFormat="false" ht="15.75" hidden="false" customHeight="true" outlineLevel="0" collapsed="false">
      <c r="O104" s="1"/>
    </row>
    <row r="105" customFormat="false" ht="15.75" hidden="false" customHeight="true" outlineLevel="0" collapsed="false">
      <c r="O105" s="1"/>
    </row>
    <row r="106" customFormat="false" ht="15.75" hidden="false" customHeight="true" outlineLevel="0" collapsed="false">
      <c r="O106" s="1"/>
    </row>
    <row r="107" customFormat="false" ht="15.75" hidden="false" customHeight="true" outlineLevel="0" collapsed="false">
      <c r="O107" s="1"/>
    </row>
    <row r="108" customFormat="false" ht="15.75" hidden="false" customHeight="true" outlineLevel="0" collapsed="false">
      <c r="O108" s="1"/>
    </row>
    <row r="109" customFormat="false" ht="15.75" hidden="false" customHeight="true" outlineLevel="0" collapsed="false">
      <c r="O109" s="1"/>
    </row>
    <row r="110" customFormat="false" ht="15.75" hidden="false" customHeight="true" outlineLevel="0" collapsed="false">
      <c r="O110" s="1"/>
    </row>
    <row r="111" customFormat="false" ht="15.75" hidden="false" customHeight="true" outlineLevel="0" collapsed="false">
      <c r="O111" s="1"/>
    </row>
    <row r="112" customFormat="false" ht="15.75" hidden="false" customHeight="true" outlineLevel="0" collapsed="false">
      <c r="O112" s="1"/>
    </row>
    <row r="113" customFormat="false" ht="15.75" hidden="false" customHeight="true" outlineLevel="0" collapsed="false">
      <c r="O113" s="1"/>
    </row>
    <row r="114" customFormat="false" ht="15.75" hidden="false" customHeight="true" outlineLevel="0" collapsed="false">
      <c r="O114" s="1"/>
    </row>
    <row r="115" customFormat="false" ht="15.75" hidden="false" customHeight="true" outlineLevel="0" collapsed="false">
      <c r="O115" s="1"/>
    </row>
    <row r="116" customFormat="false" ht="15.75" hidden="false" customHeight="true" outlineLevel="0" collapsed="false">
      <c r="O116" s="1"/>
    </row>
    <row r="117" customFormat="false" ht="15.75" hidden="false" customHeight="true" outlineLevel="0" collapsed="false">
      <c r="O117" s="1"/>
    </row>
    <row r="118" customFormat="false" ht="15.75" hidden="false" customHeight="true" outlineLevel="0" collapsed="false">
      <c r="O118" s="1"/>
    </row>
    <row r="119" customFormat="false" ht="15.75" hidden="false" customHeight="true" outlineLevel="0" collapsed="false">
      <c r="O119" s="1"/>
    </row>
    <row r="120" customFormat="false" ht="15.75" hidden="false" customHeight="true" outlineLevel="0" collapsed="false">
      <c r="O120" s="1"/>
    </row>
    <row r="121" customFormat="false" ht="15.75" hidden="false" customHeight="true" outlineLevel="0" collapsed="false">
      <c r="O121" s="1"/>
    </row>
    <row r="122" customFormat="false" ht="15.75" hidden="false" customHeight="true" outlineLevel="0" collapsed="false">
      <c r="O122" s="1"/>
    </row>
    <row r="123" customFormat="false" ht="15.75" hidden="false" customHeight="true" outlineLevel="0" collapsed="false">
      <c r="O123" s="1"/>
    </row>
    <row r="124" customFormat="false" ht="15.75" hidden="false" customHeight="true" outlineLevel="0" collapsed="false">
      <c r="O124" s="1"/>
    </row>
    <row r="125" customFormat="false" ht="15.75" hidden="false" customHeight="true" outlineLevel="0" collapsed="false">
      <c r="O125" s="1"/>
    </row>
    <row r="126" customFormat="false" ht="15.75" hidden="false" customHeight="true" outlineLevel="0" collapsed="false">
      <c r="O126" s="1"/>
    </row>
    <row r="127" customFormat="false" ht="15.75" hidden="false" customHeight="true" outlineLevel="0" collapsed="false">
      <c r="O127" s="1"/>
    </row>
    <row r="128" customFormat="false" ht="15.75" hidden="false" customHeight="true" outlineLevel="0" collapsed="false">
      <c r="O128" s="1"/>
    </row>
    <row r="129" customFormat="false" ht="15.75" hidden="false" customHeight="true" outlineLevel="0" collapsed="false">
      <c r="O129" s="1"/>
    </row>
    <row r="130" customFormat="false" ht="15.75" hidden="false" customHeight="true" outlineLevel="0" collapsed="false">
      <c r="O130" s="1"/>
    </row>
    <row r="131" customFormat="false" ht="15.75" hidden="false" customHeight="true" outlineLevel="0" collapsed="false">
      <c r="O131" s="1"/>
    </row>
    <row r="132" customFormat="false" ht="15.75" hidden="false" customHeight="true" outlineLevel="0" collapsed="false">
      <c r="O132" s="1"/>
    </row>
    <row r="133" customFormat="false" ht="15.75" hidden="false" customHeight="true" outlineLevel="0" collapsed="false">
      <c r="O133" s="1"/>
    </row>
    <row r="134" customFormat="false" ht="15.75" hidden="false" customHeight="true" outlineLevel="0" collapsed="false">
      <c r="O134" s="1"/>
    </row>
    <row r="135" customFormat="false" ht="15.75" hidden="false" customHeight="true" outlineLevel="0" collapsed="false">
      <c r="O135" s="1"/>
    </row>
    <row r="136" customFormat="false" ht="15.75" hidden="false" customHeight="true" outlineLevel="0" collapsed="false">
      <c r="O136" s="1"/>
    </row>
    <row r="137" customFormat="false" ht="15.75" hidden="false" customHeight="true" outlineLevel="0" collapsed="false">
      <c r="O137" s="1"/>
    </row>
    <row r="138" customFormat="false" ht="15.75" hidden="false" customHeight="true" outlineLevel="0" collapsed="false">
      <c r="O138" s="1"/>
    </row>
    <row r="139" customFormat="false" ht="15.75" hidden="false" customHeight="true" outlineLevel="0" collapsed="false">
      <c r="O139" s="1"/>
    </row>
    <row r="140" customFormat="false" ht="15.75" hidden="false" customHeight="true" outlineLevel="0" collapsed="false">
      <c r="O140" s="1"/>
    </row>
    <row r="141" customFormat="false" ht="15.75" hidden="false" customHeight="true" outlineLevel="0" collapsed="false">
      <c r="O141" s="1"/>
    </row>
    <row r="142" customFormat="false" ht="15.75" hidden="false" customHeight="true" outlineLevel="0" collapsed="false">
      <c r="O142" s="1"/>
    </row>
    <row r="143" customFormat="false" ht="15.75" hidden="false" customHeight="true" outlineLevel="0" collapsed="false">
      <c r="O143" s="1"/>
    </row>
    <row r="144" customFormat="false" ht="15.75" hidden="false" customHeight="true" outlineLevel="0" collapsed="false">
      <c r="O144" s="1"/>
    </row>
    <row r="145" customFormat="false" ht="15.75" hidden="false" customHeight="true" outlineLevel="0" collapsed="false">
      <c r="O145" s="1"/>
    </row>
    <row r="146" customFormat="false" ht="15.75" hidden="false" customHeight="true" outlineLevel="0" collapsed="false">
      <c r="O146" s="1"/>
    </row>
    <row r="147" customFormat="false" ht="15.75" hidden="false" customHeight="true" outlineLevel="0" collapsed="false">
      <c r="O147" s="1"/>
    </row>
    <row r="148" customFormat="false" ht="15.75" hidden="false" customHeight="true" outlineLevel="0" collapsed="false">
      <c r="O148" s="1"/>
    </row>
    <row r="149" customFormat="false" ht="15.75" hidden="false" customHeight="true" outlineLevel="0" collapsed="false">
      <c r="O149" s="1"/>
    </row>
    <row r="150" customFormat="false" ht="15.75" hidden="false" customHeight="true" outlineLevel="0" collapsed="false">
      <c r="O150" s="1"/>
    </row>
    <row r="151" customFormat="false" ht="15.75" hidden="false" customHeight="true" outlineLevel="0" collapsed="false">
      <c r="O151" s="1"/>
    </row>
    <row r="152" customFormat="false" ht="15.75" hidden="false" customHeight="true" outlineLevel="0" collapsed="false">
      <c r="O152" s="1"/>
    </row>
    <row r="153" customFormat="false" ht="15.75" hidden="false" customHeight="true" outlineLevel="0" collapsed="false">
      <c r="O153" s="1"/>
    </row>
    <row r="154" customFormat="false" ht="15.75" hidden="false" customHeight="true" outlineLevel="0" collapsed="false">
      <c r="O154" s="1"/>
    </row>
    <row r="155" customFormat="false" ht="15.75" hidden="false" customHeight="true" outlineLevel="0" collapsed="false">
      <c r="O155" s="1"/>
    </row>
    <row r="156" customFormat="false" ht="15.75" hidden="false" customHeight="true" outlineLevel="0" collapsed="false">
      <c r="O156" s="1"/>
    </row>
    <row r="157" customFormat="false" ht="15.75" hidden="false" customHeight="true" outlineLevel="0" collapsed="false">
      <c r="O157" s="1"/>
    </row>
    <row r="158" customFormat="false" ht="15.75" hidden="false" customHeight="true" outlineLevel="0" collapsed="false">
      <c r="O158" s="1"/>
    </row>
    <row r="159" customFormat="false" ht="15.75" hidden="false" customHeight="true" outlineLevel="0" collapsed="false">
      <c r="O159" s="1"/>
    </row>
    <row r="160" customFormat="false" ht="15.75" hidden="false" customHeight="true" outlineLevel="0" collapsed="false">
      <c r="O160" s="1"/>
    </row>
    <row r="161" customFormat="false" ht="15.75" hidden="false" customHeight="true" outlineLevel="0" collapsed="false">
      <c r="O161" s="1"/>
    </row>
    <row r="162" customFormat="false" ht="15.75" hidden="false" customHeight="true" outlineLevel="0" collapsed="false">
      <c r="O162" s="1"/>
    </row>
    <row r="163" customFormat="false" ht="15.75" hidden="false" customHeight="true" outlineLevel="0" collapsed="false">
      <c r="O163" s="1"/>
    </row>
    <row r="164" customFormat="false" ht="15.75" hidden="false" customHeight="true" outlineLevel="0" collapsed="false">
      <c r="O164" s="1"/>
    </row>
    <row r="165" customFormat="false" ht="15.75" hidden="false" customHeight="true" outlineLevel="0" collapsed="false">
      <c r="O165" s="1"/>
    </row>
    <row r="166" customFormat="false" ht="15.75" hidden="false" customHeight="true" outlineLevel="0" collapsed="false">
      <c r="O166" s="1"/>
    </row>
    <row r="167" customFormat="false" ht="15.75" hidden="false" customHeight="true" outlineLevel="0" collapsed="false">
      <c r="O167" s="1"/>
    </row>
    <row r="168" customFormat="false" ht="15.75" hidden="false" customHeight="true" outlineLevel="0" collapsed="false">
      <c r="O168" s="1"/>
    </row>
    <row r="169" customFormat="false" ht="15.75" hidden="false" customHeight="true" outlineLevel="0" collapsed="false">
      <c r="O169" s="1"/>
    </row>
    <row r="170" customFormat="false" ht="15.75" hidden="false" customHeight="true" outlineLevel="0" collapsed="false">
      <c r="O170" s="1"/>
    </row>
    <row r="171" customFormat="false" ht="15.75" hidden="false" customHeight="true" outlineLevel="0" collapsed="false">
      <c r="O171" s="1"/>
    </row>
    <row r="172" customFormat="false" ht="15.75" hidden="false" customHeight="true" outlineLevel="0" collapsed="false">
      <c r="O172" s="1"/>
    </row>
    <row r="173" customFormat="false" ht="15.75" hidden="false" customHeight="true" outlineLevel="0" collapsed="false">
      <c r="O173" s="1"/>
    </row>
    <row r="174" customFormat="false" ht="15.75" hidden="false" customHeight="true" outlineLevel="0" collapsed="false">
      <c r="O174" s="1"/>
    </row>
    <row r="175" customFormat="false" ht="15.75" hidden="false" customHeight="true" outlineLevel="0" collapsed="false">
      <c r="O175" s="1"/>
    </row>
    <row r="176" customFormat="false" ht="15.75" hidden="false" customHeight="true" outlineLevel="0" collapsed="false">
      <c r="O176" s="1"/>
    </row>
    <row r="177" customFormat="false" ht="15.75" hidden="false" customHeight="true" outlineLevel="0" collapsed="false">
      <c r="O177" s="1"/>
    </row>
    <row r="178" customFormat="false" ht="15.75" hidden="false" customHeight="true" outlineLevel="0" collapsed="false">
      <c r="O178" s="1"/>
    </row>
    <row r="179" customFormat="false" ht="15.75" hidden="false" customHeight="true" outlineLevel="0" collapsed="false">
      <c r="O179" s="1"/>
    </row>
    <row r="180" customFormat="false" ht="15.75" hidden="false" customHeight="true" outlineLevel="0" collapsed="false">
      <c r="O180" s="1"/>
    </row>
    <row r="181" customFormat="false" ht="15.75" hidden="false" customHeight="true" outlineLevel="0" collapsed="false">
      <c r="O181" s="1"/>
    </row>
    <row r="182" customFormat="false" ht="15.75" hidden="false" customHeight="true" outlineLevel="0" collapsed="false">
      <c r="O182" s="1"/>
    </row>
    <row r="183" customFormat="false" ht="15.75" hidden="false" customHeight="true" outlineLevel="0" collapsed="false">
      <c r="O183" s="1"/>
    </row>
    <row r="184" customFormat="false" ht="15.75" hidden="false" customHeight="true" outlineLevel="0" collapsed="false">
      <c r="O184" s="1"/>
    </row>
    <row r="185" customFormat="false" ht="15.75" hidden="false" customHeight="true" outlineLevel="0" collapsed="false">
      <c r="O185" s="1"/>
    </row>
    <row r="186" customFormat="false" ht="15.75" hidden="false" customHeight="true" outlineLevel="0" collapsed="false">
      <c r="O186" s="1"/>
    </row>
    <row r="187" customFormat="false" ht="15.75" hidden="false" customHeight="true" outlineLevel="0" collapsed="false">
      <c r="O187" s="1"/>
    </row>
    <row r="188" customFormat="false" ht="15.75" hidden="false" customHeight="true" outlineLevel="0" collapsed="false">
      <c r="O188" s="1"/>
    </row>
    <row r="189" customFormat="false" ht="15.75" hidden="false" customHeight="true" outlineLevel="0" collapsed="false">
      <c r="O189" s="1"/>
    </row>
    <row r="190" customFormat="false" ht="15.75" hidden="false" customHeight="true" outlineLevel="0" collapsed="false">
      <c r="O190" s="1"/>
    </row>
    <row r="191" customFormat="false" ht="15.75" hidden="false" customHeight="true" outlineLevel="0" collapsed="false">
      <c r="O191" s="1"/>
    </row>
    <row r="192" customFormat="false" ht="15.75" hidden="false" customHeight="true" outlineLevel="0" collapsed="false">
      <c r="O192" s="1"/>
    </row>
    <row r="193" customFormat="false" ht="15.75" hidden="false" customHeight="true" outlineLevel="0" collapsed="false">
      <c r="O193" s="1"/>
    </row>
    <row r="194" customFormat="false" ht="15.75" hidden="false" customHeight="true" outlineLevel="0" collapsed="false">
      <c r="O194" s="1"/>
    </row>
    <row r="195" customFormat="false" ht="15.75" hidden="false" customHeight="true" outlineLevel="0" collapsed="false">
      <c r="O195" s="1"/>
    </row>
    <row r="196" customFormat="false" ht="15.75" hidden="false" customHeight="true" outlineLevel="0" collapsed="false">
      <c r="O196" s="1"/>
    </row>
    <row r="197" customFormat="false" ht="15.75" hidden="false" customHeight="true" outlineLevel="0" collapsed="false">
      <c r="O197" s="1"/>
    </row>
    <row r="198" customFormat="false" ht="15.75" hidden="false" customHeight="true" outlineLevel="0" collapsed="false">
      <c r="O198" s="1"/>
    </row>
    <row r="199" customFormat="false" ht="15.75" hidden="false" customHeight="true" outlineLevel="0" collapsed="false">
      <c r="O199" s="1"/>
    </row>
    <row r="200" customFormat="false" ht="15.75" hidden="false" customHeight="true" outlineLevel="0" collapsed="false">
      <c r="O200" s="1"/>
    </row>
    <row r="201" customFormat="false" ht="15.75" hidden="false" customHeight="true" outlineLevel="0" collapsed="false">
      <c r="O201" s="1"/>
    </row>
    <row r="202" customFormat="false" ht="15.75" hidden="false" customHeight="true" outlineLevel="0" collapsed="false">
      <c r="O202" s="1"/>
    </row>
    <row r="203" customFormat="false" ht="15.75" hidden="false" customHeight="true" outlineLevel="0" collapsed="false">
      <c r="O203" s="1"/>
    </row>
    <row r="204" customFormat="false" ht="15.75" hidden="false" customHeight="true" outlineLevel="0" collapsed="false">
      <c r="O204" s="1"/>
    </row>
    <row r="205" customFormat="false" ht="15.75" hidden="false" customHeight="true" outlineLevel="0" collapsed="false">
      <c r="O205" s="1"/>
    </row>
    <row r="206" customFormat="false" ht="15.75" hidden="false" customHeight="true" outlineLevel="0" collapsed="false">
      <c r="O206" s="1"/>
    </row>
    <row r="207" customFormat="false" ht="15.75" hidden="false" customHeight="true" outlineLevel="0" collapsed="false">
      <c r="O207" s="1"/>
    </row>
    <row r="208" customFormat="false" ht="15.75" hidden="false" customHeight="true" outlineLevel="0" collapsed="false">
      <c r="O208" s="1"/>
    </row>
    <row r="209" customFormat="false" ht="15.75" hidden="false" customHeight="true" outlineLevel="0" collapsed="false">
      <c r="O209" s="1"/>
    </row>
    <row r="210" customFormat="false" ht="15.75" hidden="false" customHeight="true" outlineLevel="0" collapsed="false">
      <c r="O210" s="1"/>
    </row>
    <row r="211" customFormat="false" ht="15.75" hidden="false" customHeight="true" outlineLevel="0" collapsed="false">
      <c r="O211" s="1"/>
    </row>
    <row r="212" customFormat="false" ht="15.75" hidden="false" customHeight="true" outlineLevel="0" collapsed="false">
      <c r="O212" s="1"/>
    </row>
    <row r="213" customFormat="false" ht="15.75" hidden="false" customHeight="true" outlineLevel="0" collapsed="false">
      <c r="O213" s="1"/>
    </row>
    <row r="214" customFormat="false" ht="15.75" hidden="false" customHeight="true" outlineLevel="0" collapsed="false">
      <c r="O214" s="1"/>
    </row>
    <row r="215" customFormat="false" ht="15.75" hidden="false" customHeight="true" outlineLevel="0" collapsed="false">
      <c r="O215" s="1"/>
    </row>
    <row r="216" customFormat="false" ht="15.75" hidden="false" customHeight="true" outlineLevel="0" collapsed="false">
      <c r="O216" s="1"/>
    </row>
    <row r="217" customFormat="false" ht="15.75" hidden="false" customHeight="true" outlineLevel="0" collapsed="false">
      <c r="O217" s="1"/>
    </row>
    <row r="218" customFormat="false" ht="15.75" hidden="false" customHeight="true" outlineLevel="0" collapsed="false">
      <c r="O218" s="1"/>
    </row>
    <row r="219" customFormat="false" ht="15.75" hidden="false" customHeight="true" outlineLevel="0" collapsed="false">
      <c r="O219" s="1"/>
    </row>
    <row r="220" customFormat="false" ht="15.75" hidden="false" customHeight="true" outlineLevel="0" collapsed="false">
      <c r="O220" s="1"/>
    </row>
    <row r="221" customFormat="false" ht="15.75" hidden="false" customHeight="true" outlineLevel="0" collapsed="false">
      <c r="O221" s="1"/>
    </row>
    <row r="222" customFormat="false" ht="15.75" hidden="false" customHeight="true" outlineLevel="0" collapsed="false">
      <c r="O222" s="1"/>
    </row>
    <row r="223" customFormat="false" ht="15.75" hidden="false" customHeight="true" outlineLevel="0" collapsed="false">
      <c r="O223" s="1"/>
    </row>
    <row r="224" customFormat="false" ht="15.75" hidden="false" customHeight="true" outlineLevel="0" collapsed="false">
      <c r="O224" s="1"/>
    </row>
    <row r="225" customFormat="false" ht="15.75" hidden="false" customHeight="true" outlineLevel="0" collapsed="false">
      <c r="O225" s="1"/>
    </row>
    <row r="226" customFormat="false" ht="15.75" hidden="false" customHeight="true" outlineLevel="0" collapsed="false">
      <c r="O226" s="1"/>
    </row>
    <row r="227" customFormat="false" ht="15.75" hidden="false" customHeight="true" outlineLevel="0" collapsed="false">
      <c r="O227" s="1"/>
    </row>
    <row r="228" customFormat="false" ht="15.75" hidden="false" customHeight="true" outlineLevel="0" collapsed="false">
      <c r="O228" s="1"/>
    </row>
    <row r="229" customFormat="false" ht="15.75" hidden="false" customHeight="true" outlineLevel="0" collapsed="false">
      <c r="O229" s="1"/>
    </row>
    <row r="230" customFormat="false" ht="15.75" hidden="false" customHeight="true" outlineLevel="0" collapsed="false">
      <c r="O230" s="1"/>
    </row>
    <row r="231" customFormat="false" ht="15.75" hidden="false" customHeight="true" outlineLevel="0" collapsed="false">
      <c r="O231" s="1"/>
    </row>
    <row r="232" customFormat="false" ht="15.75" hidden="false" customHeight="true" outlineLevel="0" collapsed="false">
      <c r="O232" s="1"/>
    </row>
    <row r="233" customFormat="false" ht="15.75" hidden="false" customHeight="true" outlineLevel="0" collapsed="false">
      <c r="O233" s="1"/>
    </row>
    <row r="234" customFormat="false" ht="15.75" hidden="false" customHeight="true" outlineLevel="0" collapsed="false">
      <c r="O234" s="1"/>
    </row>
    <row r="235" customFormat="false" ht="15.75" hidden="false" customHeight="true" outlineLevel="0" collapsed="false">
      <c r="O235" s="1"/>
    </row>
    <row r="236" customFormat="false" ht="15.75" hidden="false" customHeight="true" outlineLevel="0" collapsed="false">
      <c r="O236" s="1"/>
    </row>
    <row r="237" customFormat="false" ht="15.75" hidden="false" customHeight="true" outlineLevel="0" collapsed="false">
      <c r="O237" s="1"/>
    </row>
    <row r="238" customFormat="false" ht="15.75" hidden="false" customHeight="true" outlineLevel="0" collapsed="false">
      <c r="O238" s="1"/>
    </row>
    <row r="239" customFormat="false" ht="15.75" hidden="false" customHeight="true" outlineLevel="0" collapsed="false">
      <c r="O239" s="1"/>
    </row>
    <row r="240" customFormat="false" ht="15.75" hidden="false" customHeight="true" outlineLevel="0" collapsed="false">
      <c r="O240" s="1"/>
    </row>
    <row r="241" customFormat="false" ht="15.75" hidden="false" customHeight="true" outlineLevel="0" collapsed="false">
      <c r="O241" s="1"/>
    </row>
    <row r="242" customFormat="false" ht="15.75" hidden="false" customHeight="true" outlineLevel="0" collapsed="false">
      <c r="O242" s="1"/>
    </row>
    <row r="243" customFormat="false" ht="15.75" hidden="false" customHeight="true" outlineLevel="0" collapsed="false">
      <c r="O243" s="1"/>
    </row>
    <row r="244" customFormat="false" ht="15.75" hidden="false" customHeight="true" outlineLevel="0" collapsed="false">
      <c r="O244" s="1"/>
    </row>
    <row r="245" customFormat="false" ht="15.75" hidden="false" customHeight="true" outlineLevel="0" collapsed="false">
      <c r="O245" s="1"/>
    </row>
    <row r="246" customFormat="false" ht="15.75" hidden="false" customHeight="true" outlineLevel="0" collapsed="false">
      <c r="O246" s="1"/>
    </row>
    <row r="247" customFormat="false" ht="15.75" hidden="false" customHeight="true" outlineLevel="0" collapsed="false">
      <c r="O247" s="1"/>
    </row>
    <row r="248" customFormat="false" ht="15.75" hidden="false" customHeight="true" outlineLevel="0" collapsed="false">
      <c r="O248" s="1"/>
    </row>
    <row r="249" customFormat="false" ht="15.75" hidden="false" customHeight="true" outlineLevel="0" collapsed="false">
      <c r="O249" s="1"/>
    </row>
    <row r="250" customFormat="false" ht="15.75" hidden="false" customHeight="true" outlineLevel="0" collapsed="false">
      <c r="O250" s="1"/>
    </row>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dataValidations count="10">
    <dataValidation allowBlank="true" errorStyle="stop" operator="between" showDropDown="false" showErrorMessage="false" showInputMessage="false" sqref="T2:U250" type="list">
      <formula1>"1,2,3,4,5"</formula1>
      <formula2>0</formula2>
    </dataValidation>
    <dataValidation allowBlank="true" errorStyle="stop" operator="between" showDropDown="false" showErrorMessage="false" showInputMessage="false" sqref="Q2:Q250" type="list">
      <formula1>"Data,Interface,Logic,Requirement,Server,Other"</formula1>
      <formula2>0</formula2>
    </dataValidation>
    <dataValidation allowBlank="true" errorStyle="stop" operator="between" showDropDown="false" showErrorMessage="false" showInputMessage="false" sqref="P2:P250" type="list">
      <formula1>$Y$2:$Y$11</formula1>
      <formula2>0</formula2>
    </dataValidation>
    <dataValidation allowBlank="true" errorStyle="stop" operator="between" showDropDown="false" showErrorMessage="false" showInputMessage="false" sqref="B2:B250" type="list">
      <formula1>"Bug,Story,Task,Sub-task"</formula1>
      <formula2>0</formula2>
    </dataValidation>
    <dataValidation allowBlank="true" errorStyle="stop" operator="between" showDropDown="false" showErrorMessage="false" showInputMessage="false" sqref="O2:O250" type="list">
      <formula1>"Fixed,Won't fix"</formula1>
      <formula2>0</formula2>
    </dataValidation>
    <dataValidation allowBlank="true" errorStyle="stop" operator="between" showDropDown="false" showErrorMessage="false" showInputMessage="false" sqref="R2:R250" type="list">
      <formula1>"Functionality,Performance,Security,Serviceability,Usability"</formula1>
      <formula2>0</formula2>
    </dataValidation>
    <dataValidation allowBlank="true" errorStyle="stop" operator="between" showDropDown="false" showErrorMessage="false" showInputMessage="false" sqref="N2:N250" type="list">
      <formula1>"Web,App,Web,App"</formula1>
      <formula2>0</formula2>
    </dataValidation>
    <dataValidation allowBlank="true" errorStyle="stop" operator="between" showDropDown="false" showErrorMessage="false" showInputMessage="false" sqref="E2:E250" type="list">
      <formula1>"Highest,High,Medium,Low,Lowest"</formula1>
      <formula2>0</formula2>
    </dataValidation>
    <dataValidation allowBlank="true" errorStyle="stop" operator="between" showDropDown="false" showErrorMessage="false" showInputMessage="false" sqref="L2:L250" type="list">
      <formula1>"20,10,5,2"</formula1>
      <formula2>0</formula2>
    </dataValidation>
    <dataValidation allowBlank="true" errorStyle="stop" operator="between" showDropDown="false" showErrorMessage="false" showInputMessage="false" sqref="D2:D250" type="list">
      <formula1>"To Do,In Progress,In review,Pending,Done,Cancel"</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AF1000"/>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0" ySplit="5" topLeftCell="A30" activePane="bottomLeft" state="frozen"/>
      <selection pane="topLeft" activeCell="A1" activeCellId="0" sqref="A1"/>
      <selection pane="bottomLeft" activeCell="W16" activeCellId="0" sqref="W16"/>
    </sheetView>
  </sheetViews>
  <sheetFormatPr defaultColWidth="14.43359375" defaultRowHeight="15" customHeight="true" zeroHeight="false" outlineLevelRow="0" outlineLevelCol="0"/>
  <cols>
    <col collapsed="false" customWidth="true" hidden="false" outlineLevel="0" max="1" min="1" style="1" width="3"/>
    <col collapsed="false" customWidth="true" hidden="false" outlineLevel="0" max="2" min="2" style="1" width="14"/>
    <col collapsed="false" customWidth="true" hidden="false" outlineLevel="0" max="3" min="3" style="1" width="42"/>
    <col collapsed="false" customWidth="true" hidden="false" outlineLevel="0" max="4" min="4" style="1" width="15"/>
    <col collapsed="false" customWidth="true" hidden="false" outlineLevel="0" max="5" min="5" style="1" width="8"/>
    <col collapsed="false" customWidth="true" hidden="false" outlineLevel="0" max="6" min="6" style="1" width="9"/>
    <col collapsed="false" customWidth="true" hidden="false" outlineLevel="0" max="10" min="7" style="1" width="7"/>
    <col collapsed="false" customWidth="true" hidden="false" outlineLevel="0" max="11" min="11" style="1" width="9"/>
    <col collapsed="false" customWidth="true" hidden="false" outlineLevel="0" max="12" min="12" style="1" width="20"/>
    <col collapsed="false" customWidth="true" hidden="true" outlineLevel="0" max="28" min="28" style="1" width="13"/>
    <col collapsed="false" customWidth="true" hidden="true" outlineLevel="0" max="32" min="30" style="1" width="13"/>
  </cols>
  <sheetData>
    <row r="2" customFormat="false" ht="18" hidden="false" customHeight="true" outlineLevel="0" collapsed="false">
      <c r="B2" s="173" t="s">
        <v>403</v>
      </c>
    </row>
    <row r="3" customFormat="false" ht="15" hidden="false" customHeight="true" outlineLevel="0" collapsed="false">
      <c r="B3" s="174" t="s">
        <v>404</v>
      </c>
      <c r="C3" s="174"/>
      <c r="D3" s="174"/>
      <c r="E3" s="174"/>
      <c r="F3" s="174"/>
      <c r="G3" s="174"/>
      <c r="H3" s="174"/>
      <c r="I3" s="174"/>
      <c r="J3" s="174"/>
      <c r="K3" s="174"/>
      <c r="L3" s="174"/>
    </row>
    <row r="5" customFormat="false" ht="15" hidden="false" customHeight="true" outlineLevel="0" collapsed="false">
      <c r="B5" s="58" t="s">
        <v>405</v>
      </c>
      <c r="C5" s="58" t="s">
        <v>406</v>
      </c>
      <c r="D5" s="58" t="s">
        <v>407</v>
      </c>
      <c r="E5" s="58" t="s">
        <v>115</v>
      </c>
      <c r="F5" s="58" t="s">
        <v>112</v>
      </c>
      <c r="G5" s="58" t="s">
        <v>23</v>
      </c>
      <c r="H5" s="58" t="s">
        <v>25</v>
      </c>
      <c r="I5" s="58" t="s">
        <v>27</v>
      </c>
      <c r="J5" s="58" t="s">
        <v>29</v>
      </c>
      <c r="K5" s="58" t="s">
        <v>408</v>
      </c>
      <c r="L5" s="58" t="s">
        <v>21</v>
      </c>
    </row>
    <row r="6" customFormat="false" ht="45.75" hidden="false" customHeight="true" outlineLevel="0" collapsed="false">
      <c r="B6" s="175" t="s">
        <v>409</v>
      </c>
      <c r="C6" s="176" t="s">
        <v>410</v>
      </c>
      <c r="D6" s="123" t="s">
        <v>411</v>
      </c>
      <c r="E6" s="51" t="n">
        <f aca="false">SUMPRODUCT(--ISNUMBER(SEARCH(", "&amp;$B6&amp;", ",", "&amp;'Hoạt động (Đơn của tôi)'!$B$7:$B$500&amp;", ")))+SUMPRODUCT(--ISNUMBER(SEARCH(", "&amp;$B6&amp;", ",", "&amp;'Ghép nối'!$B$7:$B$500&amp;", ")))+SUMPRODUCT(--ISNUMBER(SEARCH(", "&amp;$B6&amp;", ",", "&amp;'Huỷ đơn - Huỷ nhận đơn'!$B$7:$B$500&amp;", ")))+SUMPRODUCT(--ISNUMBER(SEARCH(", "&amp;$B6&amp;", ",", "&amp;'Giao nhận &amp; Theo dõi đơn'!$B$7:$B$500&amp;", ")))+SUMPRODUCT(--ISNUMBER(SEARCH(", "&amp;$B6&amp;", ",", "&amp;'Bảng tin &amp; Chi tiết tin'!$B$7:$B$500&amp;", ")))+SUMPRODUCT(--ISNUMBER(SEARCH(", "&amp;$B6&amp;", ",", "&amp;'Quà cảm ơn'!$B$7:$B$500&amp;", ")))+SUMPRODUCT(--ISNUMBER(SEARCH(", "&amp;$B6&amp;", ",", "&amp;'Trang chủ'!$B$7:$B$500&amp;", ")))+SUMPRODUCT(--ISNUMBER(SEARCH(", "&amp;$B6&amp;", ",", "&amp;'Thông báo'!$B$7:$B$500&amp;", ")))+SUMPRODUCT(--ISNUMBER(SEARCH(", "&amp;$B6&amp;", ",", "&amp;'Đăng tin &amp; Quản lý tin'!$B$7:$B$500&amp;", ")))+SUMPRODUCT(--ISNUMBER(SEARCH(", "&amp;$B6&amp;", ",", "&amp;'Trust &amp; Safety'!$B$7:$B$500&amp;", ")))+SUMPRODUCT(--ISNUMBER(SEARCH(", "&amp;$B6&amp;", ",", "&amp;'Tài khoản &amp; Hồ sơ'!$B$7:$B$500&amp;", ")))</f>
        <v>1</v>
      </c>
      <c r="F6" s="51" t="n">
        <f aca="false">SUMPRODUCT(--ISNUMBER(SEARCH(", "&amp;$B6&amp;", ",", "&amp;'Hoạt động (Đơn của tôi)'!$B$7:$B$500&amp;", ")),--('Hoạt động (Đơn của tôi)'!$AT$7:$AT$500&lt;&gt;""))+SUMPRODUCT(--ISNUMBER(SEARCH(", "&amp;$B6&amp;", ",", "&amp;'Ghép nối'!$B$7:$B$500&amp;", ")),--('Ghép nối'!$AT$7:$AT$500&lt;&gt;""))+SUMPRODUCT(--ISNUMBER(SEARCH(", "&amp;$B6&amp;", ",", "&amp;'Huỷ đơn - Huỷ nhận đơn'!$B$7:$B$500&amp;", ")),--('Huỷ đơn - Huỷ nhận đơn'!$AT$7:$AT$500&lt;&gt;""))+SUMPRODUCT(--ISNUMBER(SEARCH(", "&amp;$B6&amp;", ",", "&amp;'Giao nhận &amp; Theo dõi đơn'!$B$7:$B$500&amp;", ")),--('Giao nhận &amp; Theo dõi đơn'!$AT$7:$AT$500&lt;&gt;""))+SUMPRODUCT(--ISNUMBER(SEARCH(", "&amp;$B6&amp;", ",", "&amp;'Bảng tin &amp; Chi tiết tin'!$B$7:$B$500&amp;", ")),--('Bảng tin &amp; Chi tiết tin'!$AT$7:$AT$500&lt;&gt;""))+SUMPRODUCT(--ISNUMBER(SEARCH(", "&amp;$B6&amp;", ",", "&amp;'Quà cảm ơn'!$B$7:$B$500&amp;", ")),--('Quà cảm ơn'!$AT$7:$AT$500&lt;&gt;""))+SUMPRODUCT(--ISNUMBER(SEARCH(", "&amp;$B6&amp;", ",", "&amp;'Trang chủ'!$B$7:$B$500&amp;", ")),--('Trang chủ'!$AT$7:$AT$500&lt;&gt;""))+SUMPRODUCT(--ISNUMBER(SEARCH(", "&amp;$B6&amp;", ",", "&amp;'Thông báo'!$B$7:$B$500&amp;", ")),--('Thông báo'!$AT$7:$AT$500&lt;&gt;""))+SUMPRODUCT(--ISNUMBER(SEARCH(", "&amp;$B6&amp;", ",", "&amp;'Đăng tin &amp; Quản lý tin'!$B$7:$B$500&amp;", ")),--('Đăng tin &amp; Quản lý tin'!$AT$7:$AT$500&lt;&gt;""))+SUMPRODUCT(--ISNUMBER(SEARCH(", "&amp;$B6&amp;", ",", "&amp;'Trust &amp; Safety'!$B$7:$B$500&amp;", ")),--('Trust &amp; Safety'!$AT$7:$AT$500&lt;&gt;""))+SUMPRODUCT(--ISNUMBER(SEARCH(", "&amp;$B6&amp;", ",", "&amp;'Tài khoản &amp; Hồ sơ'!$B$7:$B$500&amp;", ")),--('Tài khoản &amp; Hồ sơ'!$AT$7:$AT$500&lt;&gt;""))</f>
        <v>0</v>
      </c>
      <c r="G6" s="51" t="n">
        <f aca="false">SUMPRODUCT(--ISNUMBER(SEARCH(", "&amp;$B6&amp;", ",", "&amp;'Hoạt động (Đơn của tôi)'!$B$7:$B$500&amp;", ")),--('Hoạt động (Đơn của tôi)'!$AT$7:$AT$500="Pass"))+SUMPRODUCT(--ISNUMBER(SEARCH(", "&amp;$B6&amp;", ",", "&amp;'Ghép nối'!$B$7:$B$500&amp;", ")),--('Ghép nối'!$AT$7:$AT$500="Pass"))+SUMPRODUCT(--ISNUMBER(SEARCH(", "&amp;$B6&amp;", ",", "&amp;'Huỷ đơn - Huỷ nhận đơn'!$B$7:$B$500&amp;", ")),--('Huỷ đơn - Huỷ nhận đơn'!$AT$7:$AT$500="Pass"))+SUMPRODUCT(--ISNUMBER(SEARCH(", "&amp;$B6&amp;", ",", "&amp;'Giao nhận &amp; Theo dõi đơn'!$B$7:$B$500&amp;", ")),--('Giao nhận &amp; Theo dõi đơn'!$AT$7:$AT$500="Pass"))+SUMPRODUCT(--ISNUMBER(SEARCH(", "&amp;$B6&amp;", ",", "&amp;'Bảng tin &amp; Chi tiết tin'!$B$7:$B$500&amp;", ")),--('Bảng tin &amp; Chi tiết tin'!$AT$7:$AT$500="Pass"))+SUMPRODUCT(--ISNUMBER(SEARCH(", "&amp;$B6&amp;", ",", "&amp;'Quà cảm ơn'!$B$7:$B$500&amp;", ")),--('Quà cảm ơn'!$AT$7:$AT$500="Pass"))+SUMPRODUCT(--ISNUMBER(SEARCH(", "&amp;$B6&amp;", ",", "&amp;'Trang chủ'!$B$7:$B$500&amp;", ")),--('Trang chủ'!$AT$7:$AT$500="Pass"))+SUMPRODUCT(--ISNUMBER(SEARCH(", "&amp;$B6&amp;", ",", "&amp;'Thông báo'!$B$7:$B$500&amp;", ")),--('Thông báo'!$AT$7:$AT$500="Pass"))+SUMPRODUCT(--ISNUMBER(SEARCH(", "&amp;$B6&amp;", ",", "&amp;'Đăng tin &amp; Quản lý tin'!$B$7:$B$500&amp;", ")),--('Đăng tin &amp; Quản lý tin'!$AT$7:$AT$500="Pass"))+SUMPRODUCT(--ISNUMBER(SEARCH(", "&amp;$B6&amp;", ",", "&amp;'Trust &amp; Safety'!$B$7:$B$500&amp;", ")),--('Trust &amp; Safety'!$AT$7:$AT$500="Pass"))+SUMPRODUCT(--ISNUMBER(SEARCH(", "&amp;$B6&amp;", ",", "&amp;'Tài khoản &amp; Hồ sơ'!$B$7:$B$500&amp;", ")),--('Tài khoản &amp; Hồ sơ'!$AT$7:$AT$500="Pass"))</f>
        <v>0</v>
      </c>
      <c r="H6" s="51" t="n">
        <f aca="false">SUMPRODUCT(--ISNUMBER(SEARCH(", "&amp;$B6&amp;", ",", "&amp;'Hoạt động (Đơn của tôi)'!$B$7:$B$500&amp;", ")),--('Hoạt động (Đơn của tôi)'!$AT$7:$AT$500="Fail"))+SUMPRODUCT(--ISNUMBER(SEARCH(", "&amp;$B6&amp;", ",", "&amp;'Ghép nối'!$B$7:$B$500&amp;", ")),--('Ghép nối'!$AT$7:$AT$500="Fail"))+SUMPRODUCT(--ISNUMBER(SEARCH(", "&amp;$B6&amp;", ",", "&amp;'Huỷ đơn - Huỷ nhận đơn'!$B$7:$B$500&amp;", ")),--('Huỷ đơn - Huỷ nhận đơn'!$AT$7:$AT$500="Fail"))+SUMPRODUCT(--ISNUMBER(SEARCH(", "&amp;$B6&amp;", ",", "&amp;'Giao nhận &amp; Theo dõi đơn'!$B$7:$B$500&amp;", ")),--('Giao nhận &amp; Theo dõi đơn'!$AT$7:$AT$500="Fail"))+SUMPRODUCT(--ISNUMBER(SEARCH(", "&amp;$B6&amp;", ",", "&amp;'Bảng tin &amp; Chi tiết tin'!$B$7:$B$500&amp;", ")),--('Bảng tin &amp; Chi tiết tin'!$AT$7:$AT$500="Fail"))+SUMPRODUCT(--ISNUMBER(SEARCH(", "&amp;$B6&amp;", ",", "&amp;'Quà cảm ơn'!$B$7:$B$500&amp;", ")),--('Quà cảm ơn'!$AT$7:$AT$500="Fail"))+SUMPRODUCT(--ISNUMBER(SEARCH(", "&amp;$B6&amp;", ",", "&amp;'Trang chủ'!$B$7:$B$500&amp;", ")),--('Trang chủ'!$AT$7:$AT$500="Fail"))+SUMPRODUCT(--ISNUMBER(SEARCH(", "&amp;$B6&amp;", ",", "&amp;'Thông báo'!$B$7:$B$500&amp;", ")),--('Thông báo'!$AT$7:$AT$500="Fail"))+SUMPRODUCT(--ISNUMBER(SEARCH(", "&amp;$B6&amp;", ",", "&amp;'Đăng tin &amp; Quản lý tin'!$B$7:$B$500&amp;", ")),--('Đăng tin &amp; Quản lý tin'!$AT$7:$AT$500="Fail"))+SUMPRODUCT(--ISNUMBER(SEARCH(", "&amp;$B6&amp;", ",", "&amp;'Trust &amp; Safety'!$B$7:$B$500&amp;", ")),--('Trust &amp; Safety'!$AT$7:$AT$500="Fail"))+SUMPRODUCT(--ISNUMBER(SEARCH(", "&amp;$B6&amp;", ",", "&amp;'Tài khoản &amp; Hồ sơ'!$B$7:$B$500&amp;", ")),--('Tài khoản &amp; Hồ sơ'!$AT$7:$AT$500="Fail"))</f>
        <v>0</v>
      </c>
      <c r="I6" s="51" t="n">
        <f aca="false">SUMPRODUCT(--ISNUMBER(SEARCH(", "&amp;$B6&amp;", ",", "&amp;'Hoạt động (Đơn của tôi)'!$B$7:$B$500&amp;", ")),--('Hoạt động (Đơn của tôi)'!$AT$7:$AT$500="Block"))+SUMPRODUCT(--ISNUMBER(SEARCH(", "&amp;$B6&amp;", ",", "&amp;'Ghép nối'!$B$7:$B$500&amp;", ")),--('Ghép nối'!$AT$7:$AT$500="Block"))+SUMPRODUCT(--ISNUMBER(SEARCH(", "&amp;$B6&amp;", ",", "&amp;'Huỷ đơn - Huỷ nhận đơn'!$B$7:$B$500&amp;", ")),--('Huỷ đơn - Huỷ nhận đơn'!$AT$7:$AT$500="Block"))+SUMPRODUCT(--ISNUMBER(SEARCH(", "&amp;$B6&amp;", ",", "&amp;'Giao nhận &amp; Theo dõi đơn'!$B$7:$B$500&amp;", ")),--('Giao nhận &amp; Theo dõi đơn'!$AT$7:$AT$500="Block"))+SUMPRODUCT(--ISNUMBER(SEARCH(", "&amp;$B6&amp;", ",", "&amp;'Bảng tin &amp; Chi tiết tin'!$B$7:$B$500&amp;", ")),--('Bảng tin &amp; Chi tiết tin'!$AT$7:$AT$500="Block"))+SUMPRODUCT(--ISNUMBER(SEARCH(", "&amp;$B6&amp;", ",", "&amp;'Quà cảm ơn'!$B$7:$B$500&amp;", ")),--('Quà cảm ơn'!$AT$7:$AT$500="Block"))+SUMPRODUCT(--ISNUMBER(SEARCH(", "&amp;$B6&amp;", ",", "&amp;'Trang chủ'!$B$7:$B$500&amp;", ")),--('Trang chủ'!$AT$7:$AT$500="Block"))+SUMPRODUCT(--ISNUMBER(SEARCH(", "&amp;$B6&amp;", ",", "&amp;'Thông báo'!$B$7:$B$500&amp;", ")),--('Thông báo'!$AT$7:$AT$500="Block"))+SUMPRODUCT(--ISNUMBER(SEARCH(", "&amp;$B6&amp;", ",", "&amp;'Đăng tin &amp; Quản lý tin'!$B$7:$B$500&amp;", ")),--('Đăng tin &amp; Quản lý tin'!$AT$7:$AT$500="Block"))+SUMPRODUCT(--ISNUMBER(SEARCH(", "&amp;$B6&amp;", ",", "&amp;'Trust &amp; Safety'!$B$7:$B$500&amp;", ")),--('Trust &amp; Safety'!$AT$7:$AT$500="Block"))+SUMPRODUCT(--ISNUMBER(SEARCH(", "&amp;$B6&amp;", ",", "&amp;'Tài khoản &amp; Hồ sơ'!$B$7:$B$500&amp;", ")),--('Tài khoản &amp; Hồ sơ'!$AT$7:$AT$500="Block"))</f>
        <v>0</v>
      </c>
      <c r="J6" s="51" t="n">
        <f aca="false">SUMPRODUCT(--ISNUMBER(SEARCH(", "&amp;$B6&amp;", ",", "&amp;'Hoạt động (Đơn của tôi)'!$B$7:$B$500&amp;", ")),--('Hoạt động (Đơn của tôi)'!$AT$7:$AT$500="N/A"))+SUMPRODUCT(--ISNUMBER(SEARCH(", "&amp;$B6&amp;", ",", "&amp;'Ghép nối'!$B$7:$B$500&amp;", ")),--('Ghép nối'!$AT$7:$AT$500="N/A"))+SUMPRODUCT(--ISNUMBER(SEARCH(", "&amp;$B6&amp;", ",", "&amp;'Huỷ đơn - Huỷ nhận đơn'!$B$7:$B$500&amp;", ")),--('Huỷ đơn - Huỷ nhận đơn'!$AT$7:$AT$500="N/A"))+SUMPRODUCT(--ISNUMBER(SEARCH(", "&amp;$B6&amp;", ",", "&amp;'Giao nhận &amp; Theo dõi đơn'!$B$7:$B$500&amp;", ")),--('Giao nhận &amp; Theo dõi đơn'!$AT$7:$AT$500="N/A"))+SUMPRODUCT(--ISNUMBER(SEARCH(", "&amp;$B6&amp;", ",", "&amp;'Bảng tin &amp; Chi tiết tin'!$B$7:$B$500&amp;", ")),--('Bảng tin &amp; Chi tiết tin'!$AT$7:$AT$500="N/A"))+SUMPRODUCT(--ISNUMBER(SEARCH(", "&amp;$B6&amp;", ",", "&amp;'Quà cảm ơn'!$B$7:$B$500&amp;", ")),--('Quà cảm ơn'!$AT$7:$AT$500="N/A"))+SUMPRODUCT(--ISNUMBER(SEARCH(", "&amp;$B6&amp;", ",", "&amp;'Trang chủ'!$B$7:$B$500&amp;", ")),--('Trang chủ'!$AT$7:$AT$500="N/A"))+SUMPRODUCT(--ISNUMBER(SEARCH(", "&amp;$B6&amp;", ",", "&amp;'Thông báo'!$B$7:$B$500&amp;", ")),--('Thông báo'!$AT$7:$AT$500="N/A"))+SUMPRODUCT(--ISNUMBER(SEARCH(", "&amp;$B6&amp;", ",", "&amp;'Đăng tin &amp; Quản lý tin'!$B$7:$B$500&amp;", ")),--('Đăng tin &amp; Quản lý tin'!$AT$7:$AT$500="N/A"))+SUMPRODUCT(--ISNUMBER(SEARCH(", "&amp;$B6&amp;", ",", "&amp;'Trust &amp; Safety'!$B$7:$B$500&amp;", ")),--('Trust &amp; Safety'!$AT$7:$AT$500="N/A"))+SUMPRODUCT(--ISNUMBER(SEARCH(", "&amp;$B6&amp;", ",", "&amp;'Tài khoản &amp; Hồ sơ'!$B$7:$B$500&amp;", ")),--('Tài khoản &amp; Hồ sơ'!$AT$7:$AT$500="N/A"))</f>
        <v>0</v>
      </c>
      <c r="K6" s="52" t="n">
        <f aca="false">IFERROR(F6/E6,0)</f>
        <v>0</v>
      </c>
      <c r="L6" s="123" t="str">
        <f aca="false">IF(E6=0,"Chưa có TC (gap)",IF(H6&gt;0,"Có lỗi (Fail)",IF(I6&gt;0,"Bị block",IF(F6&lt;E6,"Đang test",IF(G6=0,"Không áp dụng (N/A)","Đã test xong")))))</f>
        <v>Đang test</v>
      </c>
      <c r="AB6" s="1" t="s">
        <v>412</v>
      </c>
      <c r="AD6" s="1" t="s">
        <v>412</v>
      </c>
      <c r="AE6" s="1" t="n">
        <f aca="false">SUMIF($AB$6:$AB$77,$AD6,$E$6:$E$77)</f>
        <v>10</v>
      </c>
      <c r="AF6" s="1" t="n">
        <f aca="false">SUMIF($AB$6:$AB$77,$AD6,$F$6:$F$77)</f>
        <v>0</v>
      </c>
    </row>
    <row r="7" customFormat="false" ht="34.5" hidden="false" customHeight="true" outlineLevel="0" collapsed="false">
      <c r="B7" s="175" t="s">
        <v>413</v>
      </c>
      <c r="C7" s="176" t="s">
        <v>414</v>
      </c>
      <c r="D7" s="123" t="s">
        <v>415</v>
      </c>
      <c r="E7" s="51" t="n">
        <f aca="false">SUMPRODUCT(--ISNUMBER(SEARCH(", "&amp;$B7&amp;", ",", "&amp;'Hoạt động (Đơn của tôi)'!$B$7:$B$500&amp;", ")))+SUMPRODUCT(--ISNUMBER(SEARCH(", "&amp;$B7&amp;", ",", "&amp;'Ghép nối'!$B$7:$B$500&amp;", ")))+SUMPRODUCT(--ISNUMBER(SEARCH(", "&amp;$B7&amp;", ",", "&amp;'Huỷ đơn - Huỷ nhận đơn'!$B$7:$B$500&amp;", ")))+SUMPRODUCT(--ISNUMBER(SEARCH(", "&amp;$B7&amp;", ",", "&amp;'Giao nhận &amp; Theo dõi đơn'!$B$7:$B$500&amp;", ")))+SUMPRODUCT(--ISNUMBER(SEARCH(", "&amp;$B7&amp;", ",", "&amp;'Bảng tin &amp; Chi tiết tin'!$B$7:$B$500&amp;", ")))+SUMPRODUCT(--ISNUMBER(SEARCH(", "&amp;$B7&amp;", ",", "&amp;'Quà cảm ơn'!$B$7:$B$500&amp;", ")))+SUMPRODUCT(--ISNUMBER(SEARCH(", "&amp;$B7&amp;", ",", "&amp;'Trang chủ'!$B$7:$B$500&amp;", ")))+SUMPRODUCT(--ISNUMBER(SEARCH(", "&amp;$B7&amp;", ",", "&amp;'Thông báo'!$B$7:$B$500&amp;", ")))+SUMPRODUCT(--ISNUMBER(SEARCH(", "&amp;$B7&amp;", ",", "&amp;'Đăng tin &amp; Quản lý tin'!$B$7:$B$500&amp;", ")))+SUMPRODUCT(--ISNUMBER(SEARCH(", "&amp;$B7&amp;", ",", "&amp;'Trust &amp; Safety'!$B$7:$B$500&amp;", ")))+SUMPRODUCT(--ISNUMBER(SEARCH(", "&amp;$B7&amp;", ",", "&amp;'Tài khoản &amp; Hồ sơ'!$B$7:$B$500&amp;", ")))</f>
        <v>2</v>
      </c>
      <c r="F7" s="51" t="n">
        <f aca="false">SUMPRODUCT(--ISNUMBER(SEARCH(", "&amp;$B7&amp;", ",", "&amp;'Hoạt động (Đơn của tôi)'!$B$7:$B$500&amp;", ")),--('Hoạt động (Đơn của tôi)'!$AT$7:$AT$500&lt;&gt;""))+SUMPRODUCT(--ISNUMBER(SEARCH(", "&amp;$B7&amp;", ",", "&amp;'Ghép nối'!$B$7:$B$500&amp;", ")),--('Ghép nối'!$AT$7:$AT$500&lt;&gt;""))+SUMPRODUCT(--ISNUMBER(SEARCH(", "&amp;$B7&amp;", ",", "&amp;'Huỷ đơn - Huỷ nhận đơn'!$B$7:$B$500&amp;", ")),--('Huỷ đơn - Huỷ nhận đơn'!$AT$7:$AT$500&lt;&gt;""))+SUMPRODUCT(--ISNUMBER(SEARCH(", "&amp;$B7&amp;", ",", "&amp;'Giao nhận &amp; Theo dõi đơn'!$B$7:$B$500&amp;", ")),--('Giao nhận &amp; Theo dõi đơn'!$AT$7:$AT$500&lt;&gt;""))+SUMPRODUCT(--ISNUMBER(SEARCH(", "&amp;$B7&amp;", ",", "&amp;'Bảng tin &amp; Chi tiết tin'!$B$7:$B$500&amp;", ")),--('Bảng tin &amp; Chi tiết tin'!$AT$7:$AT$500&lt;&gt;""))+SUMPRODUCT(--ISNUMBER(SEARCH(", "&amp;$B7&amp;", ",", "&amp;'Quà cảm ơn'!$B$7:$B$500&amp;", ")),--('Quà cảm ơn'!$AT$7:$AT$500&lt;&gt;""))+SUMPRODUCT(--ISNUMBER(SEARCH(", "&amp;$B7&amp;", ",", "&amp;'Trang chủ'!$B$7:$B$500&amp;", ")),--('Trang chủ'!$AT$7:$AT$500&lt;&gt;""))+SUMPRODUCT(--ISNUMBER(SEARCH(", "&amp;$B7&amp;", ",", "&amp;'Thông báo'!$B$7:$B$500&amp;", ")),--('Thông báo'!$AT$7:$AT$500&lt;&gt;""))+SUMPRODUCT(--ISNUMBER(SEARCH(", "&amp;$B7&amp;", ",", "&amp;'Đăng tin &amp; Quản lý tin'!$B$7:$B$500&amp;", ")),--('Đăng tin &amp; Quản lý tin'!$AT$7:$AT$500&lt;&gt;""))+SUMPRODUCT(--ISNUMBER(SEARCH(", "&amp;$B7&amp;", ",", "&amp;'Trust &amp; Safety'!$B$7:$B$500&amp;", ")),--('Trust &amp; Safety'!$AT$7:$AT$500&lt;&gt;""))+SUMPRODUCT(--ISNUMBER(SEARCH(", "&amp;$B7&amp;", ",", "&amp;'Tài khoản &amp; Hồ sơ'!$B$7:$B$500&amp;", ")),--('Tài khoản &amp; Hồ sơ'!$AT$7:$AT$500&lt;&gt;""))</f>
        <v>0</v>
      </c>
      <c r="G7" s="51" t="n">
        <f aca="false">SUMPRODUCT(--ISNUMBER(SEARCH(", "&amp;$B7&amp;", ",", "&amp;'Hoạt động (Đơn của tôi)'!$B$7:$B$500&amp;", ")),--('Hoạt động (Đơn của tôi)'!$AT$7:$AT$500="Pass"))+SUMPRODUCT(--ISNUMBER(SEARCH(", "&amp;$B7&amp;", ",", "&amp;'Ghép nối'!$B$7:$B$500&amp;", ")),--('Ghép nối'!$AT$7:$AT$500="Pass"))+SUMPRODUCT(--ISNUMBER(SEARCH(", "&amp;$B7&amp;", ",", "&amp;'Huỷ đơn - Huỷ nhận đơn'!$B$7:$B$500&amp;", ")),--('Huỷ đơn - Huỷ nhận đơn'!$AT$7:$AT$500="Pass"))+SUMPRODUCT(--ISNUMBER(SEARCH(", "&amp;$B7&amp;", ",", "&amp;'Giao nhận &amp; Theo dõi đơn'!$B$7:$B$500&amp;", ")),--('Giao nhận &amp; Theo dõi đơn'!$AT$7:$AT$500="Pass"))+SUMPRODUCT(--ISNUMBER(SEARCH(", "&amp;$B7&amp;", ",", "&amp;'Bảng tin &amp; Chi tiết tin'!$B$7:$B$500&amp;", ")),--('Bảng tin &amp; Chi tiết tin'!$AT$7:$AT$500="Pass"))+SUMPRODUCT(--ISNUMBER(SEARCH(", "&amp;$B7&amp;", ",", "&amp;'Quà cảm ơn'!$B$7:$B$500&amp;", ")),--('Quà cảm ơn'!$AT$7:$AT$500="Pass"))+SUMPRODUCT(--ISNUMBER(SEARCH(", "&amp;$B7&amp;", ",", "&amp;'Trang chủ'!$B$7:$B$500&amp;", ")),--('Trang chủ'!$AT$7:$AT$500="Pass"))+SUMPRODUCT(--ISNUMBER(SEARCH(", "&amp;$B7&amp;", ",", "&amp;'Thông báo'!$B$7:$B$500&amp;", ")),--('Thông báo'!$AT$7:$AT$500="Pass"))+SUMPRODUCT(--ISNUMBER(SEARCH(", "&amp;$B7&amp;", ",", "&amp;'Đăng tin &amp; Quản lý tin'!$B$7:$B$500&amp;", ")),--('Đăng tin &amp; Quản lý tin'!$AT$7:$AT$500="Pass"))+SUMPRODUCT(--ISNUMBER(SEARCH(", "&amp;$B7&amp;", ",", "&amp;'Trust &amp; Safety'!$B$7:$B$500&amp;", ")),--('Trust &amp; Safety'!$AT$7:$AT$500="Pass"))+SUMPRODUCT(--ISNUMBER(SEARCH(", "&amp;$B7&amp;", ",", "&amp;'Tài khoản &amp; Hồ sơ'!$B$7:$B$500&amp;", ")),--('Tài khoản &amp; Hồ sơ'!$AT$7:$AT$500="Pass"))</f>
        <v>0</v>
      </c>
      <c r="H7" s="51" t="n">
        <f aca="false">SUMPRODUCT(--ISNUMBER(SEARCH(", "&amp;$B7&amp;", ",", "&amp;'Hoạt động (Đơn của tôi)'!$B$7:$B$500&amp;", ")),--('Hoạt động (Đơn của tôi)'!$AT$7:$AT$500="Fail"))+SUMPRODUCT(--ISNUMBER(SEARCH(", "&amp;$B7&amp;", ",", "&amp;'Ghép nối'!$B$7:$B$500&amp;", ")),--('Ghép nối'!$AT$7:$AT$500="Fail"))+SUMPRODUCT(--ISNUMBER(SEARCH(", "&amp;$B7&amp;", ",", "&amp;'Huỷ đơn - Huỷ nhận đơn'!$B$7:$B$500&amp;", ")),--('Huỷ đơn - Huỷ nhận đơn'!$AT$7:$AT$500="Fail"))+SUMPRODUCT(--ISNUMBER(SEARCH(", "&amp;$B7&amp;", ",", "&amp;'Giao nhận &amp; Theo dõi đơn'!$B$7:$B$500&amp;", ")),--('Giao nhận &amp; Theo dõi đơn'!$AT$7:$AT$500="Fail"))+SUMPRODUCT(--ISNUMBER(SEARCH(", "&amp;$B7&amp;", ",", "&amp;'Bảng tin &amp; Chi tiết tin'!$B$7:$B$500&amp;", ")),--('Bảng tin &amp; Chi tiết tin'!$AT$7:$AT$500="Fail"))+SUMPRODUCT(--ISNUMBER(SEARCH(", "&amp;$B7&amp;", ",", "&amp;'Quà cảm ơn'!$B$7:$B$500&amp;", ")),--('Quà cảm ơn'!$AT$7:$AT$500="Fail"))+SUMPRODUCT(--ISNUMBER(SEARCH(", "&amp;$B7&amp;", ",", "&amp;'Trang chủ'!$B$7:$B$500&amp;", ")),--('Trang chủ'!$AT$7:$AT$500="Fail"))+SUMPRODUCT(--ISNUMBER(SEARCH(", "&amp;$B7&amp;", ",", "&amp;'Thông báo'!$B$7:$B$500&amp;", ")),--('Thông báo'!$AT$7:$AT$500="Fail"))+SUMPRODUCT(--ISNUMBER(SEARCH(", "&amp;$B7&amp;", ",", "&amp;'Đăng tin &amp; Quản lý tin'!$B$7:$B$500&amp;", ")),--('Đăng tin &amp; Quản lý tin'!$AT$7:$AT$500="Fail"))+SUMPRODUCT(--ISNUMBER(SEARCH(", "&amp;$B7&amp;", ",", "&amp;'Trust &amp; Safety'!$B$7:$B$500&amp;", ")),--('Trust &amp; Safety'!$AT$7:$AT$500="Fail"))+SUMPRODUCT(--ISNUMBER(SEARCH(", "&amp;$B7&amp;", ",", "&amp;'Tài khoản &amp; Hồ sơ'!$B$7:$B$500&amp;", ")),--('Tài khoản &amp; Hồ sơ'!$AT$7:$AT$500="Fail"))</f>
        <v>0</v>
      </c>
      <c r="I7" s="51" t="n">
        <f aca="false">SUMPRODUCT(--ISNUMBER(SEARCH(", "&amp;$B7&amp;", ",", "&amp;'Hoạt động (Đơn của tôi)'!$B$7:$B$500&amp;", ")),--('Hoạt động (Đơn của tôi)'!$AT$7:$AT$500="Block"))+SUMPRODUCT(--ISNUMBER(SEARCH(", "&amp;$B7&amp;", ",", "&amp;'Ghép nối'!$B$7:$B$500&amp;", ")),--('Ghép nối'!$AT$7:$AT$500="Block"))+SUMPRODUCT(--ISNUMBER(SEARCH(", "&amp;$B7&amp;", ",", "&amp;'Huỷ đơn - Huỷ nhận đơn'!$B$7:$B$500&amp;", ")),--('Huỷ đơn - Huỷ nhận đơn'!$AT$7:$AT$500="Block"))+SUMPRODUCT(--ISNUMBER(SEARCH(", "&amp;$B7&amp;", ",", "&amp;'Giao nhận &amp; Theo dõi đơn'!$B$7:$B$500&amp;", ")),--('Giao nhận &amp; Theo dõi đơn'!$AT$7:$AT$500="Block"))+SUMPRODUCT(--ISNUMBER(SEARCH(", "&amp;$B7&amp;", ",", "&amp;'Bảng tin &amp; Chi tiết tin'!$B$7:$B$500&amp;", ")),--('Bảng tin &amp; Chi tiết tin'!$AT$7:$AT$500="Block"))+SUMPRODUCT(--ISNUMBER(SEARCH(", "&amp;$B7&amp;", ",", "&amp;'Quà cảm ơn'!$B$7:$B$500&amp;", ")),--('Quà cảm ơn'!$AT$7:$AT$500="Block"))+SUMPRODUCT(--ISNUMBER(SEARCH(", "&amp;$B7&amp;", ",", "&amp;'Trang chủ'!$B$7:$B$500&amp;", ")),--('Trang chủ'!$AT$7:$AT$500="Block"))+SUMPRODUCT(--ISNUMBER(SEARCH(", "&amp;$B7&amp;", ",", "&amp;'Thông báo'!$B$7:$B$500&amp;", ")),--('Thông báo'!$AT$7:$AT$500="Block"))+SUMPRODUCT(--ISNUMBER(SEARCH(", "&amp;$B7&amp;", ",", "&amp;'Đăng tin &amp; Quản lý tin'!$B$7:$B$500&amp;", ")),--('Đăng tin &amp; Quản lý tin'!$AT$7:$AT$500="Block"))+SUMPRODUCT(--ISNUMBER(SEARCH(", "&amp;$B7&amp;", ",", "&amp;'Trust &amp; Safety'!$B$7:$B$500&amp;", ")),--('Trust &amp; Safety'!$AT$7:$AT$500="Block"))+SUMPRODUCT(--ISNUMBER(SEARCH(", "&amp;$B7&amp;", ",", "&amp;'Tài khoản &amp; Hồ sơ'!$B$7:$B$500&amp;", ")),--('Tài khoản &amp; Hồ sơ'!$AT$7:$AT$500="Block"))</f>
        <v>0</v>
      </c>
      <c r="J7" s="51" t="n">
        <f aca="false">SUMPRODUCT(--ISNUMBER(SEARCH(", "&amp;$B7&amp;", ",", "&amp;'Hoạt động (Đơn của tôi)'!$B$7:$B$500&amp;", ")),--('Hoạt động (Đơn của tôi)'!$AT$7:$AT$500="N/A"))+SUMPRODUCT(--ISNUMBER(SEARCH(", "&amp;$B7&amp;", ",", "&amp;'Ghép nối'!$B$7:$B$500&amp;", ")),--('Ghép nối'!$AT$7:$AT$500="N/A"))+SUMPRODUCT(--ISNUMBER(SEARCH(", "&amp;$B7&amp;", ",", "&amp;'Huỷ đơn - Huỷ nhận đơn'!$B$7:$B$500&amp;", ")),--('Huỷ đơn - Huỷ nhận đơn'!$AT$7:$AT$500="N/A"))+SUMPRODUCT(--ISNUMBER(SEARCH(", "&amp;$B7&amp;", ",", "&amp;'Giao nhận &amp; Theo dõi đơn'!$B$7:$B$500&amp;", ")),--('Giao nhận &amp; Theo dõi đơn'!$AT$7:$AT$500="N/A"))+SUMPRODUCT(--ISNUMBER(SEARCH(", "&amp;$B7&amp;", ",", "&amp;'Bảng tin &amp; Chi tiết tin'!$B$7:$B$500&amp;", ")),--('Bảng tin &amp; Chi tiết tin'!$AT$7:$AT$500="N/A"))+SUMPRODUCT(--ISNUMBER(SEARCH(", "&amp;$B7&amp;", ",", "&amp;'Quà cảm ơn'!$B$7:$B$500&amp;", ")),--('Quà cảm ơn'!$AT$7:$AT$500="N/A"))+SUMPRODUCT(--ISNUMBER(SEARCH(", "&amp;$B7&amp;", ",", "&amp;'Trang chủ'!$B$7:$B$500&amp;", ")),--('Trang chủ'!$AT$7:$AT$500="N/A"))+SUMPRODUCT(--ISNUMBER(SEARCH(", "&amp;$B7&amp;", ",", "&amp;'Thông báo'!$B$7:$B$500&amp;", ")),--('Thông báo'!$AT$7:$AT$500="N/A"))+SUMPRODUCT(--ISNUMBER(SEARCH(", "&amp;$B7&amp;", ",", "&amp;'Đăng tin &amp; Quản lý tin'!$B$7:$B$500&amp;", ")),--('Đăng tin &amp; Quản lý tin'!$AT$7:$AT$500="N/A"))+SUMPRODUCT(--ISNUMBER(SEARCH(", "&amp;$B7&amp;", ",", "&amp;'Trust &amp; Safety'!$B$7:$B$500&amp;", ")),--('Trust &amp; Safety'!$AT$7:$AT$500="N/A"))+SUMPRODUCT(--ISNUMBER(SEARCH(", "&amp;$B7&amp;", ",", "&amp;'Tài khoản &amp; Hồ sơ'!$B$7:$B$500&amp;", ")),--('Tài khoản &amp; Hồ sơ'!$AT$7:$AT$500="N/A"))</f>
        <v>0</v>
      </c>
      <c r="K7" s="52" t="n">
        <f aca="false">IFERROR(F7/E7,0)</f>
        <v>0</v>
      </c>
      <c r="L7" s="123" t="str">
        <f aca="false">IF(E7=0,"Chưa có TC (gap)",IF(H7&gt;0,"Có lỗi (Fail)",IF(I7&gt;0,"Bị block",IF(F7&lt;E7,"Đang test",IF(G7=0,"Không áp dụng (N/A)","Đã test xong")))))</f>
        <v>Đang test</v>
      </c>
      <c r="AB7" s="1" t="s">
        <v>412</v>
      </c>
      <c r="AD7" s="1" t="s">
        <v>416</v>
      </c>
      <c r="AE7" s="1" t="n">
        <f aca="false">SUMIF($AB$6:$AB$77,$AD7,$E$6:$E$77)</f>
        <v>13</v>
      </c>
      <c r="AF7" s="1" t="n">
        <f aca="false">SUMIF($AB$6:$AB$77,$AD7,$F$6:$F$77)</f>
        <v>0</v>
      </c>
    </row>
    <row r="8" customFormat="false" ht="45.75" hidden="false" customHeight="true" outlineLevel="0" collapsed="false">
      <c r="B8" s="175" t="s">
        <v>417</v>
      </c>
      <c r="C8" s="176" t="s">
        <v>418</v>
      </c>
      <c r="D8" s="123" t="s">
        <v>419</v>
      </c>
      <c r="E8" s="51" t="n">
        <f aca="false">SUMPRODUCT(--ISNUMBER(SEARCH(", "&amp;$B8&amp;", ",", "&amp;'Hoạt động (Đơn của tôi)'!$B$7:$B$500&amp;", ")))+SUMPRODUCT(--ISNUMBER(SEARCH(", "&amp;$B8&amp;", ",", "&amp;'Ghép nối'!$B$7:$B$500&amp;", ")))+SUMPRODUCT(--ISNUMBER(SEARCH(", "&amp;$B8&amp;", ",", "&amp;'Huỷ đơn - Huỷ nhận đơn'!$B$7:$B$500&amp;", ")))+SUMPRODUCT(--ISNUMBER(SEARCH(", "&amp;$B8&amp;", ",", "&amp;'Giao nhận &amp; Theo dõi đơn'!$B$7:$B$500&amp;", ")))+SUMPRODUCT(--ISNUMBER(SEARCH(", "&amp;$B8&amp;", ",", "&amp;'Bảng tin &amp; Chi tiết tin'!$B$7:$B$500&amp;", ")))+SUMPRODUCT(--ISNUMBER(SEARCH(", "&amp;$B8&amp;", ",", "&amp;'Quà cảm ơn'!$B$7:$B$500&amp;", ")))+SUMPRODUCT(--ISNUMBER(SEARCH(", "&amp;$B8&amp;", ",", "&amp;'Trang chủ'!$B$7:$B$500&amp;", ")))+SUMPRODUCT(--ISNUMBER(SEARCH(", "&amp;$B8&amp;", ",", "&amp;'Thông báo'!$B$7:$B$500&amp;", ")))+SUMPRODUCT(--ISNUMBER(SEARCH(", "&amp;$B8&amp;", ",", "&amp;'Đăng tin &amp; Quản lý tin'!$B$7:$B$500&amp;", ")))+SUMPRODUCT(--ISNUMBER(SEARCH(", "&amp;$B8&amp;", ",", "&amp;'Trust &amp; Safety'!$B$7:$B$500&amp;", ")))+SUMPRODUCT(--ISNUMBER(SEARCH(", "&amp;$B8&amp;", ",", "&amp;'Tài khoản &amp; Hồ sơ'!$B$7:$B$500&amp;", ")))</f>
        <v>1</v>
      </c>
      <c r="F8" s="51" t="n">
        <f aca="false">SUMPRODUCT(--ISNUMBER(SEARCH(", "&amp;$B8&amp;", ",", "&amp;'Hoạt động (Đơn của tôi)'!$B$7:$B$500&amp;", ")),--('Hoạt động (Đơn của tôi)'!$AT$7:$AT$500&lt;&gt;""))+SUMPRODUCT(--ISNUMBER(SEARCH(", "&amp;$B8&amp;", ",", "&amp;'Ghép nối'!$B$7:$B$500&amp;", ")),--('Ghép nối'!$AT$7:$AT$500&lt;&gt;""))+SUMPRODUCT(--ISNUMBER(SEARCH(", "&amp;$B8&amp;", ",", "&amp;'Huỷ đơn - Huỷ nhận đơn'!$B$7:$B$500&amp;", ")),--('Huỷ đơn - Huỷ nhận đơn'!$AT$7:$AT$500&lt;&gt;""))+SUMPRODUCT(--ISNUMBER(SEARCH(", "&amp;$B8&amp;", ",", "&amp;'Giao nhận &amp; Theo dõi đơn'!$B$7:$B$500&amp;", ")),--('Giao nhận &amp; Theo dõi đơn'!$AT$7:$AT$500&lt;&gt;""))+SUMPRODUCT(--ISNUMBER(SEARCH(", "&amp;$B8&amp;", ",", "&amp;'Bảng tin &amp; Chi tiết tin'!$B$7:$B$500&amp;", ")),--('Bảng tin &amp; Chi tiết tin'!$AT$7:$AT$500&lt;&gt;""))+SUMPRODUCT(--ISNUMBER(SEARCH(", "&amp;$B8&amp;", ",", "&amp;'Quà cảm ơn'!$B$7:$B$500&amp;", ")),--('Quà cảm ơn'!$AT$7:$AT$500&lt;&gt;""))+SUMPRODUCT(--ISNUMBER(SEARCH(", "&amp;$B8&amp;", ",", "&amp;'Trang chủ'!$B$7:$B$500&amp;", ")),--('Trang chủ'!$AT$7:$AT$500&lt;&gt;""))+SUMPRODUCT(--ISNUMBER(SEARCH(", "&amp;$B8&amp;", ",", "&amp;'Thông báo'!$B$7:$B$500&amp;", ")),--('Thông báo'!$AT$7:$AT$500&lt;&gt;""))+SUMPRODUCT(--ISNUMBER(SEARCH(", "&amp;$B8&amp;", ",", "&amp;'Đăng tin &amp; Quản lý tin'!$B$7:$B$500&amp;", ")),--('Đăng tin &amp; Quản lý tin'!$AT$7:$AT$500&lt;&gt;""))+SUMPRODUCT(--ISNUMBER(SEARCH(", "&amp;$B8&amp;", ",", "&amp;'Trust &amp; Safety'!$B$7:$B$500&amp;", ")),--('Trust &amp; Safety'!$AT$7:$AT$500&lt;&gt;""))+SUMPRODUCT(--ISNUMBER(SEARCH(", "&amp;$B8&amp;", ",", "&amp;'Tài khoản &amp; Hồ sơ'!$B$7:$B$500&amp;", ")),--('Tài khoản &amp; Hồ sơ'!$AT$7:$AT$500&lt;&gt;""))</f>
        <v>0</v>
      </c>
      <c r="G8" s="51" t="n">
        <f aca="false">SUMPRODUCT(--ISNUMBER(SEARCH(", "&amp;$B8&amp;", ",", "&amp;'Hoạt động (Đơn của tôi)'!$B$7:$B$500&amp;", ")),--('Hoạt động (Đơn của tôi)'!$AT$7:$AT$500="Pass"))+SUMPRODUCT(--ISNUMBER(SEARCH(", "&amp;$B8&amp;", ",", "&amp;'Ghép nối'!$B$7:$B$500&amp;", ")),--('Ghép nối'!$AT$7:$AT$500="Pass"))+SUMPRODUCT(--ISNUMBER(SEARCH(", "&amp;$B8&amp;", ",", "&amp;'Huỷ đơn - Huỷ nhận đơn'!$B$7:$B$500&amp;", ")),--('Huỷ đơn - Huỷ nhận đơn'!$AT$7:$AT$500="Pass"))+SUMPRODUCT(--ISNUMBER(SEARCH(", "&amp;$B8&amp;", ",", "&amp;'Giao nhận &amp; Theo dõi đơn'!$B$7:$B$500&amp;", ")),--('Giao nhận &amp; Theo dõi đơn'!$AT$7:$AT$500="Pass"))+SUMPRODUCT(--ISNUMBER(SEARCH(", "&amp;$B8&amp;", ",", "&amp;'Bảng tin &amp; Chi tiết tin'!$B$7:$B$500&amp;", ")),--('Bảng tin &amp; Chi tiết tin'!$AT$7:$AT$500="Pass"))+SUMPRODUCT(--ISNUMBER(SEARCH(", "&amp;$B8&amp;", ",", "&amp;'Quà cảm ơn'!$B$7:$B$500&amp;", ")),--('Quà cảm ơn'!$AT$7:$AT$500="Pass"))+SUMPRODUCT(--ISNUMBER(SEARCH(", "&amp;$B8&amp;", ",", "&amp;'Trang chủ'!$B$7:$B$500&amp;", ")),--('Trang chủ'!$AT$7:$AT$500="Pass"))+SUMPRODUCT(--ISNUMBER(SEARCH(", "&amp;$B8&amp;", ",", "&amp;'Thông báo'!$B$7:$B$500&amp;", ")),--('Thông báo'!$AT$7:$AT$500="Pass"))+SUMPRODUCT(--ISNUMBER(SEARCH(", "&amp;$B8&amp;", ",", "&amp;'Đăng tin &amp; Quản lý tin'!$B$7:$B$500&amp;", ")),--('Đăng tin &amp; Quản lý tin'!$AT$7:$AT$500="Pass"))+SUMPRODUCT(--ISNUMBER(SEARCH(", "&amp;$B8&amp;", ",", "&amp;'Trust &amp; Safety'!$B$7:$B$500&amp;", ")),--('Trust &amp; Safety'!$AT$7:$AT$500="Pass"))+SUMPRODUCT(--ISNUMBER(SEARCH(", "&amp;$B8&amp;", ",", "&amp;'Tài khoản &amp; Hồ sơ'!$B$7:$B$500&amp;", ")),--('Tài khoản &amp; Hồ sơ'!$AT$7:$AT$500="Pass"))</f>
        <v>0</v>
      </c>
      <c r="H8" s="51" t="n">
        <f aca="false">SUMPRODUCT(--ISNUMBER(SEARCH(", "&amp;$B8&amp;", ",", "&amp;'Hoạt động (Đơn của tôi)'!$B$7:$B$500&amp;", ")),--('Hoạt động (Đơn của tôi)'!$AT$7:$AT$500="Fail"))+SUMPRODUCT(--ISNUMBER(SEARCH(", "&amp;$B8&amp;", ",", "&amp;'Ghép nối'!$B$7:$B$500&amp;", ")),--('Ghép nối'!$AT$7:$AT$500="Fail"))+SUMPRODUCT(--ISNUMBER(SEARCH(", "&amp;$B8&amp;", ",", "&amp;'Huỷ đơn - Huỷ nhận đơn'!$B$7:$B$500&amp;", ")),--('Huỷ đơn - Huỷ nhận đơn'!$AT$7:$AT$500="Fail"))+SUMPRODUCT(--ISNUMBER(SEARCH(", "&amp;$B8&amp;", ",", "&amp;'Giao nhận &amp; Theo dõi đơn'!$B$7:$B$500&amp;", ")),--('Giao nhận &amp; Theo dõi đơn'!$AT$7:$AT$500="Fail"))+SUMPRODUCT(--ISNUMBER(SEARCH(", "&amp;$B8&amp;", ",", "&amp;'Bảng tin &amp; Chi tiết tin'!$B$7:$B$500&amp;", ")),--('Bảng tin &amp; Chi tiết tin'!$AT$7:$AT$500="Fail"))+SUMPRODUCT(--ISNUMBER(SEARCH(", "&amp;$B8&amp;", ",", "&amp;'Quà cảm ơn'!$B$7:$B$500&amp;", ")),--('Quà cảm ơn'!$AT$7:$AT$500="Fail"))+SUMPRODUCT(--ISNUMBER(SEARCH(", "&amp;$B8&amp;", ",", "&amp;'Trang chủ'!$B$7:$B$500&amp;", ")),--('Trang chủ'!$AT$7:$AT$500="Fail"))+SUMPRODUCT(--ISNUMBER(SEARCH(", "&amp;$B8&amp;", ",", "&amp;'Thông báo'!$B$7:$B$500&amp;", ")),--('Thông báo'!$AT$7:$AT$500="Fail"))+SUMPRODUCT(--ISNUMBER(SEARCH(", "&amp;$B8&amp;", ",", "&amp;'Đăng tin &amp; Quản lý tin'!$B$7:$B$500&amp;", ")),--('Đăng tin &amp; Quản lý tin'!$AT$7:$AT$500="Fail"))+SUMPRODUCT(--ISNUMBER(SEARCH(", "&amp;$B8&amp;", ",", "&amp;'Trust &amp; Safety'!$B$7:$B$500&amp;", ")),--('Trust &amp; Safety'!$AT$7:$AT$500="Fail"))+SUMPRODUCT(--ISNUMBER(SEARCH(", "&amp;$B8&amp;", ",", "&amp;'Tài khoản &amp; Hồ sơ'!$B$7:$B$500&amp;", ")),--('Tài khoản &amp; Hồ sơ'!$AT$7:$AT$500="Fail"))</f>
        <v>0</v>
      </c>
      <c r="I8" s="51" t="n">
        <f aca="false">SUMPRODUCT(--ISNUMBER(SEARCH(", "&amp;$B8&amp;", ",", "&amp;'Hoạt động (Đơn của tôi)'!$B$7:$B$500&amp;", ")),--('Hoạt động (Đơn của tôi)'!$AT$7:$AT$500="Block"))+SUMPRODUCT(--ISNUMBER(SEARCH(", "&amp;$B8&amp;", ",", "&amp;'Ghép nối'!$B$7:$B$500&amp;", ")),--('Ghép nối'!$AT$7:$AT$500="Block"))+SUMPRODUCT(--ISNUMBER(SEARCH(", "&amp;$B8&amp;", ",", "&amp;'Huỷ đơn - Huỷ nhận đơn'!$B$7:$B$500&amp;", ")),--('Huỷ đơn - Huỷ nhận đơn'!$AT$7:$AT$500="Block"))+SUMPRODUCT(--ISNUMBER(SEARCH(", "&amp;$B8&amp;", ",", "&amp;'Giao nhận &amp; Theo dõi đơn'!$B$7:$B$500&amp;", ")),--('Giao nhận &amp; Theo dõi đơn'!$AT$7:$AT$500="Block"))+SUMPRODUCT(--ISNUMBER(SEARCH(", "&amp;$B8&amp;", ",", "&amp;'Bảng tin &amp; Chi tiết tin'!$B$7:$B$500&amp;", ")),--('Bảng tin &amp; Chi tiết tin'!$AT$7:$AT$500="Block"))+SUMPRODUCT(--ISNUMBER(SEARCH(", "&amp;$B8&amp;", ",", "&amp;'Quà cảm ơn'!$B$7:$B$500&amp;", ")),--('Quà cảm ơn'!$AT$7:$AT$500="Block"))+SUMPRODUCT(--ISNUMBER(SEARCH(", "&amp;$B8&amp;", ",", "&amp;'Trang chủ'!$B$7:$B$500&amp;", ")),--('Trang chủ'!$AT$7:$AT$500="Block"))+SUMPRODUCT(--ISNUMBER(SEARCH(", "&amp;$B8&amp;", ",", "&amp;'Thông báo'!$B$7:$B$500&amp;", ")),--('Thông báo'!$AT$7:$AT$500="Block"))+SUMPRODUCT(--ISNUMBER(SEARCH(", "&amp;$B8&amp;", ",", "&amp;'Đăng tin &amp; Quản lý tin'!$B$7:$B$500&amp;", ")),--('Đăng tin &amp; Quản lý tin'!$AT$7:$AT$500="Block"))+SUMPRODUCT(--ISNUMBER(SEARCH(", "&amp;$B8&amp;", ",", "&amp;'Trust &amp; Safety'!$B$7:$B$500&amp;", ")),--('Trust &amp; Safety'!$AT$7:$AT$500="Block"))+SUMPRODUCT(--ISNUMBER(SEARCH(", "&amp;$B8&amp;", ",", "&amp;'Tài khoản &amp; Hồ sơ'!$B$7:$B$500&amp;", ")),--('Tài khoản &amp; Hồ sơ'!$AT$7:$AT$500="Block"))</f>
        <v>0</v>
      </c>
      <c r="J8" s="51" t="n">
        <f aca="false">SUMPRODUCT(--ISNUMBER(SEARCH(", "&amp;$B8&amp;", ",", "&amp;'Hoạt động (Đơn của tôi)'!$B$7:$B$500&amp;", ")),--('Hoạt động (Đơn của tôi)'!$AT$7:$AT$500="N/A"))+SUMPRODUCT(--ISNUMBER(SEARCH(", "&amp;$B8&amp;", ",", "&amp;'Ghép nối'!$B$7:$B$500&amp;", ")),--('Ghép nối'!$AT$7:$AT$500="N/A"))+SUMPRODUCT(--ISNUMBER(SEARCH(", "&amp;$B8&amp;", ",", "&amp;'Huỷ đơn - Huỷ nhận đơn'!$B$7:$B$500&amp;", ")),--('Huỷ đơn - Huỷ nhận đơn'!$AT$7:$AT$500="N/A"))+SUMPRODUCT(--ISNUMBER(SEARCH(", "&amp;$B8&amp;", ",", "&amp;'Giao nhận &amp; Theo dõi đơn'!$B$7:$B$500&amp;", ")),--('Giao nhận &amp; Theo dõi đơn'!$AT$7:$AT$500="N/A"))+SUMPRODUCT(--ISNUMBER(SEARCH(", "&amp;$B8&amp;", ",", "&amp;'Bảng tin &amp; Chi tiết tin'!$B$7:$B$500&amp;", ")),--('Bảng tin &amp; Chi tiết tin'!$AT$7:$AT$500="N/A"))+SUMPRODUCT(--ISNUMBER(SEARCH(", "&amp;$B8&amp;", ",", "&amp;'Quà cảm ơn'!$B$7:$B$500&amp;", ")),--('Quà cảm ơn'!$AT$7:$AT$500="N/A"))+SUMPRODUCT(--ISNUMBER(SEARCH(", "&amp;$B8&amp;", ",", "&amp;'Trang chủ'!$B$7:$B$500&amp;", ")),--('Trang chủ'!$AT$7:$AT$500="N/A"))+SUMPRODUCT(--ISNUMBER(SEARCH(", "&amp;$B8&amp;", ",", "&amp;'Thông báo'!$B$7:$B$500&amp;", ")),--('Thông báo'!$AT$7:$AT$500="N/A"))+SUMPRODUCT(--ISNUMBER(SEARCH(", "&amp;$B8&amp;", ",", "&amp;'Đăng tin &amp; Quản lý tin'!$B$7:$B$500&amp;", ")),--('Đăng tin &amp; Quản lý tin'!$AT$7:$AT$500="N/A"))+SUMPRODUCT(--ISNUMBER(SEARCH(", "&amp;$B8&amp;", ",", "&amp;'Trust &amp; Safety'!$B$7:$B$500&amp;", ")),--('Trust &amp; Safety'!$AT$7:$AT$500="N/A"))+SUMPRODUCT(--ISNUMBER(SEARCH(", "&amp;$B8&amp;", ",", "&amp;'Tài khoản &amp; Hồ sơ'!$B$7:$B$500&amp;", ")),--('Tài khoản &amp; Hồ sơ'!$AT$7:$AT$500="N/A"))</f>
        <v>0</v>
      </c>
      <c r="K8" s="52" t="n">
        <f aca="false">IFERROR(F8/E8,0)</f>
        <v>0</v>
      </c>
      <c r="L8" s="123" t="str">
        <f aca="false">IF(E8=0,"Chưa có TC (gap)",IF(H8&gt;0,"Có lỗi (Fail)",IF(I8&gt;0,"Bị block",IF(F8&lt;E8,"Đang test",IF(G8=0,"Không áp dụng (N/A)","Đã test xong")))))</f>
        <v>Đang test</v>
      </c>
      <c r="AB8" s="1" t="s">
        <v>412</v>
      </c>
      <c r="AD8" s="1" t="s">
        <v>420</v>
      </c>
      <c r="AE8" s="1" t="n">
        <f aca="false">SUMIF($AB$6:$AB$77,$AD8,$E$6:$E$77)</f>
        <v>16</v>
      </c>
      <c r="AF8" s="1" t="n">
        <f aca="false">SUMIF($AB$6:$AB$77,$AD8,$F$6:$F$77)</f>
        <v>0</v>
      </c>
    </row>
    <row r="9" customFormat="false" ht="79.5" hidden="false" customHeight="true" outlineLevel="0" collapsed="false">
      <c r="B9" s="175" t="s">
        <v>421</v>
      </c>
      <c r="C9" s="176" t="s">
        <v>422</v>
      </c>
      <c r="D9" s="123" t="s">
        <v>423</v>
      </c>
      <c r="E9" s="51" t="n">
        <f aca="false">SUMPRODUCT(--ISNUMBER(SEARCH(", "&amp;$B9&amp;", ",", "&amp;'Hoạt động (Đơn của tôi)'!$B$7:$B$500&amp;", ")))+SUMPRODUCT(--ISNUMBER(SEARCH(", "&amp;$B9&amp;", ",", "&amp;'Ghép nối'!$B$7:$B$500&amp;", ")))+SUMPRODUCT(--ISNUMBER(SEARCH(", "&amp;$B9&amp;", ",", "&amp;'Huỷ đơn - Huỷ nhận đơn'!$B$7:$B$500&amp;", ")))+SUMPRODUCT(--ISNUMBER(SEARCH(", "&amp;$B9&amp;", ",", "&amp;'Giao nhận &amp; Theo dõi đơn'!$B$7:$B$500&amp;", ")))+SUMPRODUCT(--ISNUMBER(SEARCH(", "&amp;$B9&amp;", ",", "&amp;'Bảng tin &amp; Chi tiết tin'!$B$7:$B$500&amp;", ")))+SUMPRODUCT(--ISNUMBER(SEARCH(", "&amp;$B9&amp;", ",", "&amp;'Quà cảm ơn'!$B$7:$B$500&amp;", ")))+SUMPRODUCT(--ISNUMBER(SEARCH(", "&amp;$B9&amp;", ",", "&amp;'Trang chủ'!$B$7:$B$500&amp;", ")))+SUMPRODUCT(--ISNUMBER(SEARCH(", "&amp;$B9&amp;", ",", "&amp;'Thông báo'!$B$7:$B$500&amp;", ")))+SUMPRODUCT(--ISNUMBER(SEARCH(", "&amp;$B9&amp;", ",", "&amp;'Đăng tin &amp; Quản lý tin'!$B$7:$B$500&amp;", ")))+SUMPRODUCT(--ISNUMBER(SEARCH(", "&amp;$B9&amp;", ",", "&amp;'Trust &amp; Safety'!$B$7:$B$500&amp;", ")))+SUMPRODUCT(--ISNUMBER(SEARCH(", "&amp;$B9&amp;", ",", "&amp;'Tài khoản &amp; Hồ sơ'!$B$7:$B$500&amp;", ")))</f>
        <v>2</v>
      </c>
      <c r="F9" s="51" t="n">
        <f aca="false">SUMPRODUCT(--ISNUMBER(SEARCH(", "&amp;$B9&amp;", ",", "&amp;'Hoạt động (Đơn của tôi)'!$B$7:$B$500&amp;", ")),--('Hoạt động (Đơn của tôi)'!$AT$7:$AT$500&lt;&gt;""))+SUMPRODUCT(--ISNUMBER(SEARCH(", "&amp;$B9&amp;", ",", "&amp;'Ghép nối'!$B$7:$B$500&amp;", ")),--('Ghép nối'!$AT$7:$AT$500&lt;&gt;""))+SUMPRODUCT(--ISNUMBER(SEARCH(", "&amp;$B9&amp;", ",", "&amp;'Huỷ đơn - Huỷ nhận đơn'!$B$7:$B$500&amp;", ")),--('Huỷ đơn - Huỷ nhận đơn'!$AT$7:$AT$500&lt;&gt;""))+SUMPRODUCT(--ISNUMBER(SEARCH(", "&amp;$B9&amp;", ",", "&amp;'Giao nhận &amp; Theo dõi đơn'!$B$7:$B$500&amp;", ")),--('Giao nhận &amp; Theo dõi đơn'!$AT$7:$AT$500&lt;&gt;""))+SUMPRODUCT(--ISNUMBER(SEARCH(", "&amp;$B9&amp;", ",", "&amp;'Bảng tin &amp; Chi tiết tin'!$B$7:$B$500&amp;", ")),--('Bảng tin &amp; Chi tiết tin'!$AT$7:$AT$500&lt;&gt;""))+SUMPRODUCT(--ISNUMBER(SEARCH(", "&amp;$B9&amp;", ",", "&amp;'Quà cảm ơn'!$B$7:$B$500&amp;", ")),--('Quà cảm ơn'!$AT$7:$AT$500&lt;&gt;""))+SUMPRODUCT(--ISNUMBER(SEARCH(", "&amp;$B9&amp;", ",", "&amp;'Trang chủ'!$B$7:$B$500&amp;", ")),--('Trang chủ'!$AT$7:$AT$500&lt;&gt;""))+SUMPRODUCT(--ISNUMBER(SEARCH(", "&amp;$B9&amp;", ",", "&amp;'Thông báo'!$B$7:$B$500&amp;", ")),--('Thông báo'!$AT$7:$AT$500&lt;&gt;""))+SUMPRODUCT(--ISNUMBER(SEARCH(", "&amp;$B9&amp;", ",", "&amp;'Đăng tin &amp; Quản lý tin'!$B$7:$B$500&amp;", ")),--('Đăng tin &amp; Quản lý tin'!$AT$7:$AT$500&lt;&gt;""))+SUMPRODUCT(--ISNUMBER(SEARCH(", "&amp;$B9&amp;", ",", "&amp;'Trust &amp; Safety'!$B$7:$B$500&amp;", ")),--('Trust &amp; Safety'!$AT$7:$AT$500&lt;&gt;""))+SUMPRODUCT(--ISNUMBER(SEARCH(", "&amp;$B9&amp;", ",", "&amp;'Tài khoản &amp; Hồ sơ'!$B$7:$B$500&amp;", ")),--('Tài khoản &amp; Hồ sơ'!$AT$7:$AT$500&lt;&gt;""))</f>
        <v>0</v>
      </c>
      <c r="G9" s="51" t="n">
        <f aca="false">SUMPRODUCT(--ISNUMBER(SEARCH(", "&amp;$B9&amp;", ",", "&amp;'Hoạt động (Đơn của tôi)'!$B$7:$B$500&amp;", ")),--('Hoạt động (Đơn của tôi)'!$AT$7:$AT$500="Pass"))+SUMPRODUCT(--ISNUMBER(SEARCH(", "&amp;$B9&amp;", ",", "&amp;'Ghép nối'!$B$7:$B$500&amp;", ")),--('Ghép nối'!$AT$7:$AT$500="Pass"))+SUMPRODUCT(--ISNUMBER(SEARCH(", "&amp;$B9&amp;", ",", "&amp;'Huỷ đơn - Huỷ nhận đơn'!$B$7:$B$500&amp;", ")),--('Huỷ đơn - Huỷ nhận đơn'!$AT$7:$AT$500="Pass"))+SUMPRODUCT(--ISNUMBER(SEARCH(", "&amp;$B9&amp;", ",", "&amp;'Giao nhận &amp; Theo dõi đơn'!$B$7:$B$500&amp;", ")),--('Giao nhận &amp; Theo dõi đơn'!$AT$7:$AT$500="Pass"))+SUMPRODUCT(--ISNUMBER(SEARCH(", "&amp;$B9&amp;", ",", "&amp;'Bảng tin &amp; Chi tiết tin'!$B$7:$B$500&amp;", ")),--('Bảng tin &amp; Chi tiết tin'!$AT$7:$AT$500="Pass"))+SUMPRODUCT(--ISNUMBER(SEARCH(", "&amp;$B9&amp;", ",", "&amp;'Quà cảm ơn'!$B$7:$B$500&amp;", ")),--('Quà cảm ơn'!$AT$7:$AT$500="Pass"))+SUMPRODUCT(--ISNUMBER(SEARCH(", "&amp;$B9&amp;", ",", "&amp;'Trang chủ'!$B$7:$B$500&amp;", ")),--('Trang chủ'!$AT$7:$AT$500="Pass"))+SUMPRODUCT(--ISNUMBER(SEARCH(", "&amp;$B9&amp;", ",", "&amp;'Thông báo'!$B$7:$B$500&amp;", ")),--('Thông báo'!$AT$7:$AT$500="Pass"))+SUMPRODUCT(--ISNUMBER(SEARCH(", "&amp;$B9&amp;", ",", "&amp;'Đăng tin &amp; Quản lý tin'!$B$7:$B$500&amp;", ")),--('Đăng tin &amp; Quản lý tin'!$AT$7:$AT$500="Pass"))+SUMPRODUCT(--ISNUMBER(SEARCH(", "&amp;$B9&amp;", ",", "&amp;'Trust &amp; Safety'!$B$7:$B$500&amp;", ")),--('Trust &amp; Safety'!$AT$7:$AT$500="Pass"))+SUMPRODUCT(--ISNUMBER(SEARCH(", "&amp;$B9&amp;", ",", "&amp;'Tài khoản &amp; Hồ sơ'!$B$7:$B$500&amp;", ")),--('Tài khoản &amp; Hồ sơ'!$AT$7:$AT$500="Pass"))</f>
        <v>0</v>
      </c>
      <c r="H9" s="51" t="n">
        <f aca="false">SUMPRODUCT(--ISNUMBER(SEARCH(", "&amp;$B9&amp;", ",", "&amp;'Hoạt động (Đơn của tôi)'!$B$7:$B$500&amp;", ")),--('Hoạt động (Đơn của tôi)'!$AT$7:$AT$500="Fail"))+SUMPRODUCT(--ISNUMBER(SEARCH(", "&amp;$B9&amp;", ",", "&amp;'Ghép nối'!$B$7:$B$500&amp;", ")),--('Ghép nối'!$AT$7:$AT$500="Fail"))+SUMPRODUCT(--ISNUMBER(SEARCH(", "&amp;$B9&amp;", ",", "&amp;'Huỷ đơn - Huỷ nhận đơn'!$B$7:$B$500&amp;", ")),--('Huỷ đơn - Huỷ nhận đơn'!$AT$7:$AT$500="Fail"))+SUMPRODUCT(--ISNUMBER(SEARCH(", "&amp;$B9&amp;", ",", "&amp;'Giao nhận &amp; Theo dõi đơn'!$B$7:$B$500&amp;", ")),--('Giao nhận &amp; Theo dõi đơn'!$AT$7:$AT$500="Fail"))+SUMPRODUCT(--ISNUMBER(SEARCH(", "&amp;$B9&amp;", ",", "&amp;'Bảng tin &amp; Chi tiết tin'!$B$7:$B$500&amp;", ")),--('Bảng tin &amp; Chi tiết tin'!$AT$7:$AT$500="Fail"))+SUMPRODUCT(--ISNUMBER(SEARCH(", "&amp;$B9&amp;", ",", "&amp;'Quà cảm ơn'!$B$7:$B$500&amp;", ")),--('Quà cảm ơn'!$AT$7:$AT$500="Fail"))+SUMPRODUCT(--ISNUMBER(SEARCH(", "&amp;$B9&amp;", ",", "&amp;'Trang chủ'!$B$7:$B$500&amp;", ")),--('Trang chủ'!$AT$7:$AT$500="Fail"))+SUMPRODUCT(--ISNUMBER(SEARCH(", "&amp;$B9&amp;", ",", "&amp;'Thông báo'!$B$7:$B$500&amp;", ")),--('Thông báo'!$AT$7:$AT$500="Fail"))+SUMPRODUCT(--ISNUMBER(SEARCH(", "&amp;$B9&amp;", ",", "&amp;'Đăng tin &amp; Quản lý tin'!$B$7:$B$500&amp;", ")),--('Đăng tin &amp; Quản lý tin'!$AT$7:$AT$500="Fail"))+SUMPRODUCT(--ISNUMBER(SEARCH(", "&amp;$B9&amp;", ",", "&amp;'Trust &amp; Safety'!$B$7:$B$500&amp;", ")),--('Trust &amp; Safety'!$AT$7:$AT$500="Fail"))+SUMPRODUCT(--ISNUMBER(SEARCH(", "&amp;$B9&amp;", ",", "&amp;'Tài khoản &amp; Hồ sơ'!$B$7:$B$500&amp;", ")),--('Tài khoản &amp; Hồ sơ'!$AT$7:$AT$500="Fail"))</f>
        <v>0</v>
      </c>
      <c r="I9" s="51" t="n">
        <f aca="false">SUMPRODUCT(--ISNUMBER(SEARCH(", "&amp;$B9&amp;", ",", "&amp;'Hoạt động (Đơn của tôi)'!$B$7:$B$500&amp;", ")),--('Hoạt động (Đơn của tôi)'!$AT$7:$AT$500="Block"))+SUMPRODUCT(--ISNUMBER(SEARCH(", "&amp;$B9&amp;", ",", "&amp;'Ghép nối'!$B$7:$B$500&amp;", ")),--('Ghép nối'!$AT$7:$AT$500="Block"))+SUMPRODUCT(--ISNUMBER(SEARCH(", "&amp;$B9&amp;", ",", "&amp;'Huỷ đơn - Huỷ nhận đơn'!$B$7:$B$500&amp;", ")),--('Huỷ đơn - Huỷ nhận đơn'!$AT$7:$AT$500="Block"))+SUMPRODUCT(--ISNUMBER(SEARCH(", "&amp;$B9&amp;", ",", "&amp;'Giao nhận &amp; Theo dõi đơn'!$B$7:$B$500&amp;", ")),--('Giao nhận &amp; Theo dõi đơn'!$AT$7:$AT$500="Block"))+SUMPRODUCT(--ISNUMBER(SEARCH(", "&amp;$B9&amp;", ",", "&amp;'Bảng tin &amp; Chi tiết tin'!$B$7:$B$500&amp;", ")),--('Bảng tin &amp; Chi tiết tin'!$AT$7:$AT$500="Block"))+SUMPRODUCT(--ISNUMBER(SEARCH(", "&amp;$B9&amp;", ",", "&amp;'Quà cảm ơn'!$B$7:$B$500&amp;", ")),--('Quà cảm ơn'!$AT$7:$AT$500="Block"))+SUMPRODUCT(--ISNUMBER(SEARCH(", "&amp;$B9&amp;", ",", "&amp;'Trang chủ'!$B$7:$B$500&amp;", ")),--('Trang chủ'!$AT$7:$AT$500="Block"))+SUMPRODUCT(--ISNUMBER(SEARCH(", "&amp;$B9&amp;", ",", "&amp;'Thông báo'!$B$7:$B$500&amp;", ")),--('Thông báo'!$AT$7:$AT$500="Block"))+SUMPRODUCT(--ISNUMBER(SEARCH(", "&amp;$B9&amp;", ",", "&amp;'Đăng tin &amp; Quản lý tin'!$B$7:$B$500&amp;", ")),--('Đăng tin &amp; Quản lý tin'!$AT$7:$AT$500="Block"))+SUMPRODUCT(--ISNUMBER(SEARCH(", "&amp;$B9&amp;", ",", "&amp;'Trust &amp; Safety'!$B$7:$B$500&amp;", ")),--('Trust &amp; Safety'!$AT$7:$AT$500="Block"))+SUMPRODUCT(--ISNUMBER(SEARCH(", "&amp;$B9&amp;", ",", "&amp;'Tài khoản &amp; Hồ sơ'!$B$7:$B$500&amp;", ")),--('Tài khoản &amp; Hồ sơ'!$AT$7:$AT$500="Block"))</f>
        <v>0</v>
      </c>
      <c r="J9" s="51" t="n">
        <f aca="false">SUMPRODUCT(--ISNUMBER(SEARCH(", "&amp;$B9&amp;", ",", "&amp;'Hoạt động (Đơn của tôi)'!$B$7:$B$500&amp;", ")),--('Hoạt động (Đơn của tôi)'!$AT$7:$AT$500="N/A"))+SUMPRODUCT(--ISNUMBER(SEARCH(", "&amp;$B9&amp;", ",", "&amp;'Ghép nối'!$B$7:$B$500&amp;", ")),--('Ghép nối'!$AT$7:$AT$500="N/A"))+SUMPRODUCT(--ISNUMBER(SEARCH(", "&amp;$B9&amp;", ",", "&amp;'Huỷ đơn - Huỷ nhận đơn'!$B$7:$B$500&amp;", ")),--('Huỷ đơn - Huỷ nhận đơn'!$AT$7:$AT$500="N/A"))+SUMPRODUCT(--ISNUMBER(SEARCH(", "&amp;$B9&amp;", ",", "&amp;'Giao nhận &amp; Theo dõi đơn'!$B$7:$B$500&amp;", ")),--('Giao nhận &amp; Theo dõi đơn'!$AT$7:$AT$500="N/A"))+SUMPRODUCT(--ISNUMBER(SEARCH(", "&amp;$B9&amp;", ",", "&amp;'Bảng tin &amp; Chi tiết tin'!$B$7:$B$500&amp;", ")),--('Bảng tin &amp; Chi tiết tin'!$AT$7:$AT$500="N/A"))+SUMPRODUCT(--ISNUMBER(SEARCH(", "&amp;$B9&amp;", ",", "&amp;'Quà cảm ơn'!$B$7:$B$500&amp;", ")),--('Quà cảm ơn'!$AT$7:$AT$500="N/A"))+SUMPRODUCT(--ISNUMBER(SEARCH(", "&amp;$B9&amp;", ",", "&amp;'Trang chủ'!$B$7:$B$500&amp;", ")),--('Trang chủ'!$AT$7:$AT$500="N/A"))+SUMPRODUCT(--ISNUMBER(SEARCH(", "&amp;$B9&amp;", ",", "&amp;'Thông báo'!$B$7:$B$500&amp;", ")),--('Thông báo'!$AT$7:$AT$500="N/A"))+SUMPRODUCT(--ISNUMBER(SEARCH(", "&amp;$B9&amp;", ",", "&amp;'Đăng tin &amp; Quản lý tin'!$B$7:$B$500&amp;", ")),--('Đăng tin &amp; Quản lý tin'!$AT$7:$AT$500="N/A"))+SUMPRODUCT(--ISNUMBER(SEARCH(", "&amp;$B9&amp;", ",", "&amp;'Trust &amp; Safety'!$B$7:$B$500&amp;", ")),--('Trust &amp; Safety'!$AT$7:$AT$500="N/A"))+SUMPRODUCT(--ISNUMBER(SEARCH(", "&amp;$B9&amp;", ",", "&amp;'Tài khoản &amp; Hồ sơ'!$B$7:$B$500&amp;", ")),--('Tài khoản &amp; Hồ sơ'!$AT$7:$AT$500="N/A"))</f>
        <v>0</v>
      </c>
      <c r="K9" s="52" t="n">
        <f aca="false">IFERROR(F9/E9,0)</f>
        <v>0</v>
      </c>
      <c r="L9" s="123" t="str">
        <f aca="false">IF(E9=0,"Chưa có TC (gap)",IF(H9&gt;0,"Có lỗi (Fail)",IF(I9&gt;0,"Bị block",IF(F9&lt;E9,"Đang test",IF(G9=0,"Không áp dụng (N/A)","Đã test xong")))))</f>
        <v>Đang test</v>
      </c>
      <c r="AB9" s="1" t="s">
        <v>412</v>
      </c>
      <c r="AD9" s="1" t="s">
        <v>424</v>
      </c>
      <c r="AE9" s="1" t="n">
        <f aca="false">SUMIF($AB$6:$AB$77,$AD9,$E$6:$E$77)</f>
        <v>51</v>
      </c>
      <c r="AF9" s="1" t="n">
        <f aca="false">SUMIF($AB$6:$AB$77,$AD9,$F$6:$F$77)</f>
        <v>0</v>
      </c>
    </row>
    <row r="10" customFormat="false" ht="34.5" hidden="false" customHeight="true" outlineLevel="0" collapsed="false">
      <c r="B10" s="175" t="s">
        <v>425</v>
      </c>
      <c r="C10" s="176" t="s">
        <v>426</v>
      </c>
      <c r="D10" s="123" t="s">
        <v>427</v>
      </c>
      <c r="E10" s="51" t="n">
        <f aca="false">SUMPRODUCT(--ISNUMBER(SEARCH(", "&amp;$B10&amp;", ",", "&amp;'Hoạt động (Đơn của tôi)'!$B$7:$B$500&amp;", ")))+SUMPRODUCT(--ISNUMBER(SEARCH(", "&amp;$B10&amp;", ",", "&amp;'Ghép nối'!$B$7:$B$500&amp;", ")))+SUMPRODUCT(--ISNUMBER(SEARCH(", "&amp;$B10&amp;", ",", "&amp;'Huỷ đơn - Huỷ nhận đơn'!$B$7:$B$500&amp;", ")))+SUMPRODUCT(--ISNUMBER(SEARCH(", "&amp;$B10&amp;", ",", "&amp;'Giao nhận &amp; Theo dõi đơn'!$B$7:$B$500&amp;", ")))+SUMPRODUCT(--ISNUMBER(SEARCH(", "&amp;$B10&amp;", ",", "&amp;'Bảng tin &amp; Chi tiết tin'!$B$7:$B$500&amp;", ")))+SUMPRODUCT(--ISNUMBER(SEARCH(", "&amp;$B10&amp;", ",", "&amp;'Quà cảm ơn'!$B$7:$B$500&amp;", ")))+SUMPRODUCT(--ISNUMBER(SEARCH(", "&amp;$B10&amp;", ",", "&amp;'Trang chủ'!$B$7:$B$500&amp;", ")))+SUMPRODUCT(--ISNUMBER(SEARCH(", "&amp;$B10&amp;", ",", "&amp;'Thông báo'!$B$7:$B$500&amp;", ")))+SUMPRODUCT(--ISNUMBER(SEARCH(", "&amp;$B10&amp;", ",", "&amp;'Đăng tin &amp; Quản lý tin'!$B$7:$B$500&amp;", ")))+SUMPRODUCT(--ISNUMBER(SEARCH(", "&amp;$B10&amp;", ",", "&amp;'Trust &amp; Safety'!$B$7:$B$500&amp;", ")))+SUMPRODUCT(--ISNUMBER(SEARCH(", "&amp;$B10&amp;", ",", "&amp;'Tài khoản &amp; Hồ sơ'!$B$7:$B$500&amp;", ")))</f>
        <v>1</v>
      </c>
      <c r="F10" s="51" t="n">
        <f aca="false">SUMPRODUCT(--ISNUMBER(SEARCH(", "&amp;$B10&amp;", ",", "&amp;'Hoạt động (Đơn của tôi)'!$B$7:$B$500&amp;", ")),--('Hoạt động (Đơn của tôi)'!$AT$7:$AT$500&lt;&gt;""))+SUMPRODUCT(--ISNUMBER(SEARCH(", "&amp;$B10&amp;", ",", "&amp;'Ghép nối'!$B$7:$B$500&amp;", ")),--('Ghép nối'!$AT$7:$AT$500&lt;&gt;""))+SUMPRODUCT(--ISNUMBER(SEARCH(", "&amp;$B10&amp;", ",", "&amp;'Huỷ đơn - Huỷ nhận đơn'!$B$7:$B$500&amp;", ")),--('Huỷ đơn - Huỷ nhận đơn'!$AT$7:$AT$500&lt;&gt;""))+SUMPRODUCT(--ISNUMBER(SEARCH(", "&amp;$B10&amp;", ",", "&amp;'Giao nhận &amp; Theo dõi đơn'!$B$7:$B$500&amp;", ")),--('Giao nhận &amp; Theo dõi đơn'!$AT$7:$AT$500&lt;&gt;""))+SUMPRODUCT(--ISNUMBER(SEARCH(", "&amp;$B10&amp;", ",", "&amp;'Bảng tin &amp; Chi tiết tin'!$B$7:$B$500&amp;", ")),--('Bảng tin &amp; Chi tiết tin'!$AT$7:$AT$500&lt;&gt;""))+SUMPRODUCT(--ISNUMBER(SEARCH(", "&amp;$B10&amp;", ",", "&amp;'Quà cảm ơn'!$B$7:$B$500&amp;", ")),--('Quà cảm ơn'!$AT$7:$AT$500&lt;&gt;""))+SUMPRODUCT(--ISNUMBER(SEARCH(", "&amp;$B10&amp;", ",", "&amp;'Trang chủ'!$B$7:$B$500&amp;", ")),--('Trang chủ'!$AT$7:$AT$500&lt;&gt;""))+SUMPRODUCT(--ISNUMBER(SEARCH(", "&amp;$B10&amp;", ",", "&amp;'Thông báo'!$B$7:$B$500&amp;", ")),--('Thông báo'!$AT$7:$AT$500&lt;&gt;""))+SUMPRODUCT(--ISNUMBER(SEARCH(", "&amp;$B10&amp;", ",", "&amp;'Đăng tin &amp; Quản lý tin'!$B$7:$B$500&amp;", ")),--('Đăng tin &amp; Quản lý tin'!$AT$7:$AT$500&lt;&gt;""))+SUMPRODUCT(--ISNUMBER(SEARCH(", "&amp;$B10&amp;", ",", "&amp;'Trust &amp; Safety'!$B$7:$B$500&amp;", ")),--('Trust &amp; Safety'!$AT$7:$AT$500&lt;&gt;""))+SUMPRODUCT(--ISNUMBER(SEARCH(", "&amp;$B10&amp;", ",", "&amp;'Tài khoản &amp; Hồ sơ'!$B$7:$B$500&amp;", ")),--('Tài khoản &amp; Hồ sơ'!$AT$7:$AT$500&lt;&gt;""))</f>
        <v>0</v>
      </c>
      <c r="G10" s="51" t="n">
        <f aca="false">SUMPRODUCT(--ISNUMBER(SEARCH(", "&amp;$B10&amp;", ",", "&amp;'Hoạt động (Đơn của tôi)'!$B$7:$B$500&amp;", ")),--('Hoạt động (Đơn của tôi)'!$AT$7:$AT$500="Pass"))+SUMPRODUCT(--ISNUMBER(SEARCH(", "&amp;$B10&amp;", ",", "&amp;'Ghép nối'!$B$7:$B$500&amp;", ")),--('Ghép nối'!$AT$7:$AT$500="Pass"))+SUMPRODUCT(--ISNUMBER(SEARCH(", "&amp;$B10&amp;", ",", "&amp;'Huỷ đơn - Huỷ nhận đơn'!$B$7:$B$500&amp;", ")),--('Huỷ đơn - Huỷ nhận đơn'!$AT$7:$AT$500="Pass"))+SUMPRODUCT(--ISNUMBER(SEARCH(", "&amp;$B10&amp;", ",", "&amp;'Giao nhận &amp; Theo dõi đơn'!$B$7:$B$500&amp;", ")),--('Giao nhận &amp; Theo dõi đơn'!$AT$7:$AT$500="Pass"))+SUMPRODUCT(--ISNUMBER(SEARCH(", "&amp;$B10&amp;", ",", "&amp;'Bảng tin &amp; Chi tiết tin'!$B$7:$B$500&amp;", ")),--('Bảng tin &amp; Chi tiết tin'!$AT$7:$AT$500="Pass"))+SUMPRODUCT(--ISNUMBER(SEARCH(", "&amp;$B10&amp;", ",", "&amp;'Quà cảm ơn'!$B$7:$B$500&amp;", ")),--('Quà cảm ơn'!$AT$7:$AT$500="Pass"))+SUMPRODUCT(--ISNUMBER(SEARCH(", "&amp;$B10&amp;", ",", "&amp;'Trang chủ'!$B$7:$B$500&amp;", ")),--('Trang chủ'!$AT$7:$AT$500="Pass"))+SUMPRODUCT(--ISNUMBER(SEARCH(", "&amp;$B10&amp;", ",", "&amp;'Thông báo'!$B$7:$B$500&amp;", ")),--('Thông báo'!$AT$7:$AT$500="Pass"))+SUMPRODUCT(--ISNUMBER(SEARCH(", "&amp;$B10&amp;", ",", "&amp;'Đăng tin &amp; Quản lý tin'!$B$7:$B$500&amp;", ")),--('Đăng tin &amp; Quản lý tin'!$AT$7:$AT$500="Pass"))+SUMPRODUCT(--ISNUMBER(SEARCH(", "&amp;$B10&amp;", ",", "&amp;'Trust &amp; Safety'!$B$7:$B$500&amp;", ")),--('Trust &amp; Safety'!$AT$7:$AT$500="Pass"))+SUMPRODUCT(--ISNUMBER(SEARCH(", "&amp;$B10&amp;", ",", "&amp;'Tài khoản &amp; Hồ sơ'!$B$7:$B$500&amp;", ")),--('Tài khoản &amp; Hồ sơ'!$AT$7:$AT$500="Pass"))</f>
        <v>0</v>
      </c>
      <c r="H10" s="51" t="n">
        <f aca="false">SUMPRODUCT(--ISNUMBER(SEARCH(", "&amp;$B10&amp;", ",", "&amp;'Hoạt động (Đơn của tôi)'!$B$7:$B$500&amp;", ")),--('Hoạt động (Đơn của tôi)'!$AT$7:$AT$500="Fail"))+SUMPRODUCT(--ISNUMBER(SEARCH(", "&amp;$B10&amp;", ",", "&amp;'Ghép nối'!$B$7:$B$500&amp;", ")),--('Ghép nối'!$AT$7:$AT$500="Fail"))+SUMPRODUCT(--ISNUMBER(SEARCH(", "&amp;$B10&amp;", ",", "&amp;'Huỷ đơn - Huỷ nhận đơn'!$B$7:$B$500&amp;", ")),--('Huỷ đơn - Huỷ nhận đơn'!$AT$7:$AT$500="Fail"))+SUMPRODUCT(--ISNUMBER(SEARCH(", "&amp;$B10&amp;", ",", "&amp;'Giao nhận &amp; Theo dõi đơn'!$B$7:$B$500&amp;", ")),--('Giao nhận &amp; Theo dõi đơn'!$AT$7:$AT$500="Fail"))+SUMPRODUCT(--ISNUMBER(SEARCH(", "&amp;$B10&amp;", ",", "&amp;'Bảng tin &amp; Chi tiết tin'!$B$7:$B$500&amp;", ")),--('Bảng tin &amp; Chi tiết tin'!$AT$7:$AT$500="Fail"))+SUMPRODUCT(--ISNUMBER(SEARCH(", "&amp;$B10&amp;", ",", "&amp;'Quà cảm ơn'!$B$7:$B$500&amp;", ")),--('Quà cảm ơn'!$AT$7:$AT$500="Fail"))+SUMPRODUCT(--ISNUMBER(SEARCH(", "&amp;$B10&amp;", ",", "&amp;'Trang chủ'!$B$7:$B$500&amp;", ")),--('Trang chủ'!$AT$7:$AT$500="Fail"))+SUMPRODUCT(--ISNUMBER(SEARCH(", "&amp;$B10&amp;", ",", "&amp;'Thông báo'!$B$7:$B$500&amp;", ")),--('Thông báo'!$AT$7:$AT$500="Fail"))+SUMPRODUCT(--ISNUMBER(SEARCH(", "&amp;$B10&amp;", ",", "&amp;'Đăng tin &amp; Quản lý tin'!$B$7:$B$500&amp;", ")),--('Đăng tin &amp; Quản lý tin'!$AT$7:$AT$500="Fail"))+SUMPRODUCT(--ISNUMBER(SEARCH(", "&amp;$B10&amp;", ",", "&amp;'Trust &amp; Safety'!$B$7:$B$500&amp;", ")),--('Trust &amp; Safety'!$AT$7:$AT$500="Fail"))+SUMPRODUCT(--ISNUMBER(SEARCH(", "&amp;$B10&amp;", ",", "&amp;'Tài khoản &amp; Hồ sơ'!$B$7:$B$500&amp;", ")),--('Tài khoản &amp; Hồ sơ'!$AT$7:$AT$500="Fail"))</f>
        <v>0</v>
      </c>
      <c r="I10" s="51" t="n">
        <f aca="false">SUMPRODUCT(--ISNUMBER(SEARCH(", "&amp;$B10&amp;", ",", "&amp;'Hoạt động (Đơn của tôi)'!$B$7:$B$500&amp;", ")),--('Hoạt động (Đơn của tôi)'!$AT$7:$AT$500="Block"))+SUMPRODUCT(--ISNUMBER(SEARCH(", "&amp;$B10&amp;", ",", "&amp;'Ghép nối'!$B$7:$B$500&amp;", ")),--('Ghép nối'!$AT$7:$AT$500="Block"))+SUMPRODUCT(--ISNUMBER(SEARCH(", "&amp;$B10&amp;", ",", "&amp;'Huỷ đơn - Huỷ nhận đơn'!$B$7:$B$500&amp;", ")),--('Huỷ đơn - Huỷ nhận đơn'!$AT$7:$AT$500="Block"))+SUMPRODUCT(--ISNUMBER(SEARCH(", "&amp;$B10&amp;", ",", "&amp;'Giao nhận &amp; Theo dõi đơn'!$B$7:$B$500&amp;", ")),--('Giao nhận &amp; Theo dõi đơn'!$AT$7:$AT$500="Block"))+SUMPRODUCT(--ISNUMBER(SEARCH(", "&amp;$B10&amp;", ",", "&amp;'Bảng tin &amp; Chi tiết tin'!$B$7:$B$500&amp;", ")),--('Bảng tin &amp; Chi tiết tin'!$AT$7:$AT$500="Block"))+SUMPRODUCT(--ISNUMBER(SEARCH(", "&amp;$B10&amp;", ",", "&amp;'Quà cảm ơn'!$B$7:$B$500&amp;", ")),--('Quà cảm ơn'!$AT$7:$AT$500="Block"))+SUMPRODUCT(--ISNUMBER(SEARCH(", "&amp;$B10&amp;", ",", "&amp;'Trang chủ'!$B$7:$B$500&amp;", ")),--('Trang chủ'!$AT$7:$AT$500="Block"))+SUMPRODUCT(--ISNUMBER(SEARCH(", "&amp;$B10&amp;", ",", "&amp;'Thông báo'!$B$7:$B$500&amp;", ")),--('Thông báo'!$AT$7:$AT$500="Block"))+SUMPRODUCT(--ISNUMBER(SEARCH(", "&amp;$B10&amp;", ",", "&amp;'Đăng tin &amp; Quản lý tin'!$B$7:$B$500&amp;", ")),--('Đăng tin &amp; Quản lý tin'!$AT$7:$AT$500="Block"))+SUMPRODUCT(--ISNUMBER(SEARCH(", "&amp;$B10&amp;", ",", "&amp;'Trust &amp; Safety'!$B$7:$B$500&amp;", ")),--('Trust &amp; Safety'!$AT$7:$AT$500="Block"))+SUMPRODUCT(--ISNUMBER(SEARCH(", "&amp;$B10&amp;", ",", "&amp;'Tài khoản &amp; Hồ sơ'!$B$7:$B$500&amp;", ")),--('Tài khoản &amp; Hồ sơ'!$AT$7:$AT$500="Block"))</f>
        <v>0</v>
      </c>
      <c r="J10" s="51" t="n">
        <f aca="false">SUMPRODUCT(--ISNUMBER(SEARCH(", "&amp;$B10&amp;", ",", "&amp;'Hoạt động (Đơn của tôi)'!$B$7:$B$500&amp;", ")),--('Hoạt động (Đơn của tôi)'!$AT$7:$AT$500="N/A"))+SUMPRODUCT(--ISNUMBER(SEARCH(", "&amp;$B10&amp;", ",", "&amp;'Ghép nối'!$B$7:$B$500&amp;", ")),--('Ghép nối'!$AT$7:$AT$500="N/A"))+SUMPRODUCT(--ISNUMBER(SEARCH(", "&amp;$B10&amp;", ",", "&amp;'Huỷ đơn - Huỷ nhận đơn'!$B$7:$B$500&amp;", ")),--('Huỷ đơn - Huỷ nhận đơn'!$AT$7:$AT$500="N/A"))+SUMPRODUCT(--ISNUMBER(SEARCH(", "&amp;$B10&amp;", ",", "&amp;'Giao nhận &amp; Theo dõi đơn'!$B$7:$B$500&amp;", ")),--('Giao nhận &amp; Theo dõi đơn'!$AT$7:$AT$500="N/A"))+SUMPRODUCT(--ISNUMBER(SEARCH(", "&amp;$B10&amp;", ",", "&amp;'Bảng tin &amp; Chi tiết tin'!$B$7:$B$500&amp;", ")),--('Bảng tin &amp; Chi tiết tin'!$AT$7:$AT$500="N/A"))+SUMPRODUCT(--ISNUMBER(SEARCH(", "&amp;$B10&amp;", ",", "&amp;'Quà cảm ơn'!$B$7:$B$500&amp;", ")),--('Quà cảm ơn'!$AT$7:$AT$500="N/A"))+SUMPRODUCT(--ISNUMBER(SEARCH(", "&amp;$B10&amp;", ",", "&amp;'Trang chủ'!$B$7:$B$500&amp;", ")),--('Trang chủ'!$AT$7:$AT$500="N/A"))+SUMPRODUCT(--ISNUMBER(SEARCH(", "&amp;$B10&amp;", ",", "&amp;'Thông báo'!$B$7:$B$500&amp;", ")),--('Thông báo'!$AT$7:$AT$500="N/A"))+SUMPRODUCT(--ISNUMBER(SEARCH(", "&amp;$B10&amp;", ",", "&amp;'Đăng tin &amp; Quản lý tin'!$B$7:$B$500&amp;", ")),--('Đăng tin &amp; Quản lý tin'!$AT$7:$AT$500="N/A"))+SUMPRODUCT(--ISNUMBER(SEARCH(", "&amp;$B10&amp;", ",", "&amp;'Trust &amp; Safety'!$B$7:$B$500&amp;", ")),--('Trust &amp; Safety'!$AT$7:$AT$500="N/A"))+SUMPRODUCT(--ISNUMBER(SEARCH(", "&amp;$B10&amp;", ",", "&amp;'Tài khoản &amp; Hồ sơ'!$B$7:$B$500&amp;", ")),--('Tài khoản &amp; Hồ sơ'!$AT$7:$AT$500="N/A"))</f>
        <v>0</v>
      </c>
      <c r="K10" s="52" t="n">
        <f aca="false">IFERROR(F10/E10,0)</f>
        <v>0</v>
      </c>
      <c r="L10" s="123" t="str">
        <f aca="false">IF(E10=0,"Chưa có TC (gap)",IF(H10&gt;0,"Có lỗi (Fail)",IF(I10&gt;0,"Bị block",IF(F10&lt;E10,"Đang test",IF(G10=0,"Không áp dụng (N/A)","Đã test xong")))))</f>
        <v>Đang test</v>
      </c>
      <c r="AB10" s="1" t="s">
        <v>412</v>
      </c>
      <c r="AD10" s="1" t="s">
        <v>428</v>
      </c>
      <c r="AE10" s="1" t="n">
        <f aca="false">SUMIF($AB$6:$AB$77,$AD10,$E$6:$E$77)</f>
        <v>5</v>
      </c>
      <c r="AF10" s="1" t="n">
        <f aca="false">SUMIF($AB$6:$AB$77,$AD10,$F$6:$F$77)</f>
        <v>0</v>
      </c>
    </row>
    <row r="11" customFormat="false" ht="90.75" hidden="false" customHeight="true" outlineLevel="0" collapsed="false">
      <c r="B11" s="175" t="s">
        <v>429</v>
      </c>
      <c r="C11" s="176" t="s">
        <v>430</v>
      </c>
      <c r="D11" s="123" t="s">
        <v>431</v>
      </c>
      <c r="E11" s="51" t="n">
        <f aca="false">SUMPRODUCT(--ISNUMBER(SEARCH(", "&amp;$B11&amp;", ",", "&amp;'Hoạt động (Đơn của tôi)'!$B$7:$B$500&amp;", ")))+SUMPRODUCT(--ISNUMBER(SEARCH(", "&amp;$B11&amp;", ",", "&amp;'Ghép nối'!$B$7:$B$500&amp;", ")))+SUMPRODUCT(--ISNUMBER(SEARCH(", "&amp;$B11&amp;", ",", "&amp;'Huỷ đơn - Huỷ nhận đơn'!$B$7:$B$500&amp;", ")))+SUMPRODUCT(--ISNUMBER(SEARCH(", "&amp;$B11&amp;", ",", "&amp;'Giao nhận &amp; Theo dõi đơn'!$B$7:$B$500&amp;", ")))+SUMPRODUCT(--ISNUMBER(SEARCH(", "&amp;$B11&amp;", ",", "&amp;'Bảng tin &amp; Chi tiết tin'!$B$7:$B$500&amp;", ")))+SUMPRODUCT(--ISNUMBER(SEARCH(", "&amp;$B11&amp;", ",", "&amp;'Quà cảm ơn'!$B$7:$B$500&amp;", ")))+SUMPRODUCT(--ISNUMBER(SEARCH(", "&amp;$B11&amp;", ",", "&amp;'Trang chủ'!$B$7:$B$500&amp;", ")))+SUMPRODUCT(--ISNUMBER(SEARCH(", "&amp;$B11&amp;", ",", "&amp;'Thông báo'!$B$7:$B$500&amp;", ")))+SUMPRODUCT(--ISNUMBER(SEARCH(", "&amp;$B11&amp;", ",", "&amp;'Đăng tin &amp; Quản lý tin'!$B$7:$B$500&amp;", ")))+SUMPRODUCT(--ISNUMBER(SEARCH(", "&amp;$B11&amp;", ",", "&amp;'Trust &amp; Safety'!$B$7:$B$500&amp;", ")))+SUMPRODUCT(--ISNUMBER(SEARCH(", "&amp;$B11&amp;", ",", "&amp;'Tài khoản &amp; Hồ sơ'!$B$7:$B$500&amp;", ")))</f>
        <v>3</v>
      </c>
      <c r="F11" s="51" t="n">
        <f aca="false">SUMPRODUCT(--ISNUMBER(SEARCH(", "&amp;$B11&amp;", ",", "&amp;'Hoạt động (Đơn của tôi)'!$B$7:$B$500&amp;", ")),--('Hoạt động (Đơn của tôi)'!$AT$7:$AT$500&lt;&gt;""))+SUMPRODUCT(--ISNUMBER(SEARCH(", "&amp;$B11&amp;", ",", "&amp;'Ghép nối'!$B$7:$B$500&amp;", ")),--('Ghép nối'!$AT$7:$AT$500&lt;&gt;""))+SUMPRODUCT(--ISNUMBER(SEARCH(", "&amp;$B11&amp;", ",", "&amp;'Huỷ đơn - Huỷ nhận đơn'!$B$7:$B$500&amp;", ")),--('Huỷ đơn - Huỷ nhận đơn'!$AT$7:$AT$500&lt;&gt;""))+SUMPRODUCT(--ISNUMBER(SEARCH(", "&amp;$B11&amp;", ",", "&amp;'Giao nhận &amp; Theo dõi đơn'!$B$7:$B$500&amp;", ")),--('Giao nhận &amp; Theo dõi đơn'!$AT$7:$AT$500&lt;&gt;""))+SUMPRODUCT(--ISNUMBER(SEARCH(", "&amp;$B11&amp;", ",", "&amp;'Bảng tin &amp; Chi tiết tin'!$B$7:$B$500&amp;", ")),--('Bảng tin &amp; Chi tiết tin'!$AT$7:$AT$500&lt;&gt;""))+SUMPRODUCT(--ISNUMBER(SEARCH(", "&amp;$B11&amp;", ",", "&amp;'Quà cảm ơn'!$B$7:$B$500&amp;", ")),--('Quà cảm ơn'!$AT$7:$AT$500&lt;&gt;""))+SUMPRODUCT(--ISNUMBER(SEARCH(", "&amp;$B11&amp;", ",", "&amp;'Trang chủ'!$B$7:$B$500&amp;", ")),--('Trang chủ'!$AT$7:$AT$500&lt;&gt;""))+SUMPRODUCT(--ISNUMBER(SEARCH(", "&amp;$B11&amp;", ",", "&amp;'Thông báo'!$B$7:$B$500&amp;", ")),--('Thông báo'!$AT$7:$AT$500&lt;&gt;""))+SUMPRODUCT(--ISNUMBER(SEARCH(", "&amp;$B11&amp;", ",", "&amp;'Đăng tin &amp; Quản lý tin'!$B$7:$B$500&amp;", ")),--('Đăng tin &amp; Quản lý tin'!$AT$7:$AT$500&lt;&gt;""))+SUMPRODUCT(--ISNUMBER(SEARCH(", "&amp;$B11&amp;", ",", "&amp;'Trust &amp; Safety'!$B$7:$B$500&amp;", ")),--('Trust &amp; Safety'!$AT$7:$AT$500&lt;&gt;""))+SUMPRODUCT(--ISNUMBER(SEARCH(", "&amp;$B11&amp;", ",", "&amp;'Tài khoản &amp; Hồ sơ'!$B$7:$B$500&amp;", ")),--('Tài khoản &amp; Hồ sơ'!$AT$7:$AT$500&lt;&gt;""))</f>
        <v>0</v>
      </c>
      <c r="G11" s="51" t="n">
        <f aca="false">SUMPRODUCT(--ISNUMBER(SEARCH(", "&amp;$B11&amp;", ",", "&amp;'Hoạt động (Đơn của tôi)'!$B$7:$B$500&amp;", ")),--('Hoạt động (Đơn của tôi)'!$AT$7:$AT$500="Pass"))+SUMPRODUCT(--ISNUMBER(SEARCH(", "&amp;$B11&amp;", ",", "&amp;'Ghép nối'!$B$7:$B$500&amp;", ")),--('Ghép nối'!$AT$7:$AT$500="Pass"))+SUMPRODUCT(--ISNUMBER(SEARCH(", "&amp;$B11&amp;", ",", "&amp;'Huỷ đơn - Huỷ nhận đơn'!$B$7:$B$500&amp;", ")),--('Huỷ đơn - Huỷ nhận đơn'!$AT$7:$AT$500="Pass"))+SUMPRODUCT(--ISNUMBER(SEARCH(", "&amp;$B11&amp;", ",", "&amp;'Giao nhận &amp; Theo dõi đơn'!$B$7:$B$500&amp;", ")),--('Giao nhận &amp; Theo dõi đơn'!$AT$7:$AT$500="Pass"))+SUMPRODUCT(--ISNUMBER(SEARCH(", "&amp;$B11&amp;", ",", "&amp;'Bảng tin &amp; Chi tiết tin'!$B$7:$B$500&amp;", ")),--('Bảng tin &amp; Chi tiết tin'!$AT$7:$AT$500="Pass"))+SUMPRODUCT(--ISNUMBER(SEARCH(", "&amp;$B11&amp;", ",", "&amp;'Quà cảm ơn'!$B$7:$B$500&amp;", ")),--('Quà cảm ơn'!$AT$7:$AT$500="Pass"))+SUMPRODUCT(--ISNUMBER(SEARCH(", "&amp;$B11&amp;", ",", "&amp;'Trang chủ'!$B$7:$B$500&amp;", ")),--('Trang chủ'!$AT$7:$AT$500="Pass"))+SUMPRODUCT(--ISNUMBER(SEARCH(", "&amp;$B11&amp;", ",", "&amp;'Thông báo'!$B$7:$B$500&amp;", ")),--('Thông báo'!$AT$7:$AT$500="Pass"))+SUMPRODUCT(--ISNUMBER(SEARCH(", "&amp;$B11&amp;", ",", "&amp;'Đăng tin &amp; Quản lý tin'!$B$7:$B$500&amp;", ")),--('Đăng tin &amp; Quản lý tin'!$AT$7:$AT$500="Pass"))+SUMPRODUCT(--ISNUMBER(SEARCH(", "&amp;$B11&amp;", ",", "&amp;'Trust &amp; Safety'!$B$7:$B$500&amp;", ")),--('Trust &amp; Safety'!$AT$7:$AT$500="Pass"))+SUMPRODUCT(--ISNUMBER(SEARCH(", "&amp;$B11&amp;", ",", "&amp;'Tài khoản &amp; Hồ sơ'!$B$7:$B$500&amp;", ")),--('Tài khoản &amp; Hồ sơ'!$AT$7:$AT$500="Pass"))</f>
        <v>0</v>
      </c>
      <c r="H11" s="51" t="n">
        <f aca="false">SUMPRODUCT(--ISNUMBER(SEARCH(", "&amp;$B11&amp;", ",", "&amp;'Hoạt động (Đơn của tôi)'!$B$7:$B$500&amp;", ")),--('Hoạt động (Đơn của tôi)'!$AT$7:$AT$500="Fail"))+SUMPRODUCT(--ISNUMBER(SEARCH(", "&amp;$B11&amp;", ",", "&amp;'Ghép nối'!$B$7:$B$500&amp;", ")),--('Ghép nối'!$AT$7:$AT$500="Fail"))+SUMPRODUCT(--ISNUMBER(SEARCH(", "&amp;$B11&amp;", ",", "&amp;'Huỷ đơn - Huỷ nhận đơn'!$B$7:$B$500&amp;", ")),--('Huỷ đơn - Huỷ nhận đơn'!$AT$7:$AT$500="Fail"))+SUMPRODUCT(--ISNUMBER(SEARCH(", "&amp;$B11&amp;", ",", "&amp;'Giao nhận &amp; Theo dõi đơn'!$B$7:$B$500&amp;", ")),--('Giao nhận &amp; Theo dõi đơn'!$AT$7:$AT$500="Fail"))+SUMPRODUCT(--ISNUMBER(SEARCH(", "&amp;$B11&amp;", ",", "&amp;'Bảng tin &amp; Chi tiết tin'!$B$7:$B$500&amp;", ")),--('Bảng tin &amp; Chi tiết tin'!$AT$7:$AT$500="Fail"))+SUMPRODUCT(--ISNUMBER(SEARCH(", "&amp;$B11&amp;", ",", "&amp;'Quà cảm ơn'!$B$7:$B$500&amp;", ")),--('Quà cảm ơn'!$AT$7:$AT$500="Fail"))+SUMPRODUCT(--ISNUMBER(SEARCH(", "&amp;$B11&amp;", ",", "&amp;'Trang chủ'!$B$7:$B$500&amp;", ")),--('Trang chủ'!$AT$7:$AT$500="Fail"))+SUMPRODUCT(--ISNUMBER(SEARCH(", "&amp;$B11&amp;", ",", "&amp;'Thông báo'!$B$7:$B$500&amp;", ")),--('Thông báo'!$AT$7:$AT$500="Fail"))+SUMPRODUCT(--ISNUMBER(SEARCH(", "&amp;$B11&amp;", ",", "&amp;'Đăng tin &amp; Quản lý tin'!$B$7:$B$500&amp;", ")),--('Đăng tin &amp; Quản lý tin'!$AT$7:$AT$500="Fail"))+SUMPRODUCT(--ISNUMBER(SEARCH(", "&amp;$B11&amp;", ",", "&amp;'Trust &amp; Safety'!$B$7:$B$500&amp;", ")),--('Trust &amp; Safety'!$AT$7:$AT$500="Fail"))+SUMPRODUCT(--ISNUMBER(SEARCH(", "&amp;$B11&amp;", ",", "&amp;'Tài khoản &amp; Hồ sơ'!$B$7:$B$500&amp;", ")),--('Tài khoản &amp; Hồ sơ'!$AT$7:$AT$500="Fail"))</f>
        <v>0</v>
      </c>
      <c r="I11" s="51" t="n">
        <f aca="false">SUMPRODUCT(--ISNUMBER(SEARCH(", "&amp;$B11&amp;", ",", "&amp;'Hoạt động (Đơn của tôi)'!$B$7:$B$500&amp;", ")),--('Hoạt động (Đơn của tôi)'!$AT$7:$AT$500="Block"))+SUMPRODUCT(--ISNUMBER(SEARCH(", "&amp;$B11&amp;", ",", "&amp;'Ghép nối'!$B$7:$B$500&amp;", ")),--('Ghép nối'!$AT$7:$AT$500="Block"))+SUMPRODUCT(--ISNUMBER(SEARCH(", "&amp;$B11&amp;", ",", "&amp;'Huỷ đơn - Huỷ nhận đơn'!$B$7:$B$500&amp;", ")),--('Huỷ đơn - Huỷ nhận đơn'!$AT$7:$AT$500="Block"))+SUMPRODUCT(--ISNUMBER(SEARCH(", "&amp;$B11&amp;", ",", "&amp;'Giao nhận &amp; Theo dõi đơn'!$B$7:$B$500&amp;", ")),--('Giao nhận &amp; Theo dõi đơn'!$AT$7:$AT$500="Block"))+SUMPRODUCT(--ISNUMBER(SEARCH(", "&amp;$B11&amp;", ",", "&amp;'Bảng tin &amp; Chi tiết tin'!$B$7:$B$500&amp;", ")),--('Bảng tin &amp; Chi tiết tin'!$AT$7:$AT$500="Block"))+SUMPRODUCT(--ISNUMBER(SEARCH(", "&amp;$B11&amp;", ",", "&amp;'Quà cảm ơn'!$B$7:$B$500&amp;", ")),--('Quà cảm ơn'!$AT$7:$AT$500="Block"))+SUMPRODUCT(--ISNUMBER(SEARCH(", "&amp;$B11&amp;", ",", "&amp;'Trang chủ'!$B$7:$B$500&amp;", ")),--('Trang chủ'!$AT$7:$AT$500="Block"))+SUMPRODUCT(--ISNUMBER(SEARCH(", "&amp;$B11&amp;", ",", "&amp;'Thông báo'!$B$7:$B$500&amp;", ")),--('Thông báo'!$AT$7:$AT$500="Block"))+SUMPRODUCT(--ISNUMBER(SEARCH(", "&amp;$B11&amp;", ",", "&amp;'Đăng tin &amp; Quản lý tin'!$B$7:$B$500&amp;", ")),--('Đăng tin &amp; Quản lý tin'!$AT$7:$AT$500="Block"))+SUMPRODUCT(--ISNUMBER(SEARCH(", "&amp;$B11&amp;", ",", "&amp;'Trust &amp; Safety'!$B$7:$B$500&amp;", ")),--('Trust &amp; Safety'!$AT$7:$AT$500="Block"))+SUMPRODUCT(--ISNUMBER(SEARCH(", "&amp;$B11&amp;", ",", "&amp;'Tài khoản &amp; Hồ sơ'!$B$7:$B$500&amp;", ")),--('Tài khoản &amp; Hồ sơ'!$AT$7:$AT$500="Block"))</f>
        <v>0</v>
      </c>
      <c r="J11" s="51" t="n">
        <f aca="false">SUMPRODUCT(--ISNUMBER(SEARCH(", "&amp;$B11&amp;", ",", "&amp;'Hoạt động (Đơn của tôi)'!$B$7:$B$500&amp;", ")),--('Hoạt động (Đơn của tôi)'!$AT$7:$AT$500="N/A"))+SUMPRODUCT(--ISNUMBER(SEARCH(", "&amp;$B11&amp;", ",", "&amp;'Ghép nối'!$B$7:$B$500&amp;", ")),--('Ghép nối'!$AT$7:$AT$500="N/A"))+SUMPRODUCT(--ISNUMBER(SEARCH(", "&amp;$B11&amp;", ",", "&amp;'Huỷ đơn - Huỷ nhận đơn'!$B$7:$B$500&amp;", ")),--('Huỷ đơn - Huỷ nhận đơn'!$AT$7:$AT$500="N/A"))+SUMPRODUCT(--ISNUMBER(SEARCH(", "&amp;$B11&amp;", ",", "&amp;'Giao nhận &amp; Theo dõi đơn'!$B$7:$B$500&amp;", ")),--('Giao nhận &amp; Theo dõi đơn'!$AT$7:$AT$500="N/A"))+SUMPRODUCT(--ISNUMBER(SEARCH(", "&amp;$B11&amp;", ",", "&amp;'Bảng tin &amp; Chi tiết tin'!$B$7:$B$500&amp;", ")),--('Bảng tin &amp; Chi tiết tin'!$AT$7:$AT$500="N/A"))+SUMPRODUCT(--ISNUMBER(SEARCH(", "&amp;$B11&amp;", ",", "&amp;'Quà cảm ơn'!$B$7:$B$500&amp;", ")),--('Quà cảm ơn'!$AT$7:$AT$500="N/A"))+SUMPRODUCT(--ISNUMBER(SEARCH(", "&amp;$B11&amp;", ",", "&amp;'Trang chủ'!$B$7:$B$500&amp;", ")),--('Trang chủ'!$AT$7:$AT$500="N/A"))+SUMPRODUCT(--ISNUMBER(SEARCH(", "&amp;$B11&amp;", ",", "&amp;'Thông báo'!$B$7:$B$500&amp;", ")),--('Thông báo'!$AT$7:$AT$500="N/A"))+SUMPRODUCT(--ISNUMBER(SEARCH(", "&amp;$B11&amp;", ",", "&amp;'Đăng tin &amp; Quản lý tin'!$B$7:$B$500&amp;", ")),--('Đăng tin &amp; Quản lý tin'!$AT$7:$AT$500="N/A"))+SUMPRODUCT(--ISNUMBER(SEARCH(", "&amp;$B11&amp;", ",", "&amp;'Trust &amp; Safety'!$B$7:$B$500&amp;", ")),--('Trust &amp; Safety'!$AT$7:$AT$500="N/A"))+SUMPRODUCT(--ISNUMBER(SEARCH(", "&amp;$B11&amp;", ",", "&amp;'Tài khoản &amp; Hồ sơ'!$B$7:$B$500&amp;", ")),--('Tài khoản &amp; Hồ sơ'!$AT$7:$AT$500="N/A"))</f>
        <v>0</v>
      </c>
      <c r="K11" s="52" t="n">
        <f aca="false">IFERROR(F11/E11,0)</f>
        <v>0</v>
      </c>
      <c r="L11" s="123" t="str">
        <f aca="false">IF(E11=0,"Chưa có TC (gap)",IF(H11&gt;0,"Có lỗi (Fail)",IF(I11&gt;0,"Bị block",IF(F11&lt;E11,"Đang test",IF(G11=0,"Không áp dụng (N/A)","Đã test xong")))))</f>
        <v>Đang test</v>
      </c>
      <c r="AB11" s="1" t="s">
        <v>412</v>
      </c>
      <c r="AD11" s="1" t="s">
        <v>432</v>
      </c>
      <c r="AE11" s="1" t="n">
        <f aca="false">SUMIF($AB$6:$AB$77,$AD11,$E$6:$E$77)</f>
        <v>8</v>
      </c>
      <c r="AF11" s="1" t="n">
        <f aca="false">SUMIF($AB$6:$AB$77,$AD11,$F$6:$F$77)</f>
        <v>0</v>
      </c>
    </row>
    <row r="12" customFormat="false" ht="90.75" hidden="false" customHeight="true" outlineLevel="0" collapsed="false">
      <c r="B12" s="175" t="s">
        <v>433</v>
      </c>
      <c r="C12" s="176" t="s">
        <v>434</v>
      </c>
      <c r="D12" s="123" t="s">
        <v>435</v>
      </c>
      <c r="E12" s="51" t="n">
        <f aca="false">SUMPRODUCT(--ISNUMBER(SEARCH(", "&amp;$B12&amp;", ",", "&amp;'Hoạt động (Đơn của tôi)'!$B$7:$B$500&amp;", ")))+SUMPRODUCT(--ISNUMBER(SEARCH(", "&amp;$B12&amp;", ",", "&amp;'Ghép nối'!$B$7:$B$500&amp;", ")))+SUMPRODUCT(--ISNUMBER(SEARCH(", "&amp;$B12&amp;", ",", "&amp;'Huỷ đơn - Huỷ nhận đơn'!$B$7:$B$500&amp;", ")))+SUMPRODUCT(--ISNUMBER(SEARCH(", "&amp;$B12&amp;", ",", "&amp;'Giao nhận &amp; Theo dõi đơn'!$B$7:$B$500&amp;", ")))+SUMPRODUCT(--ISNUMBER(SEARCH(", "&amp;$B12&amp;", ",", "&amp;'Bảng tin &amp; Chi tiết tin'!$B$7:$B$500&amp;", ")))+SUMPRODUCT(--ISNUMBER(SEARCH(", "&amp;$B12&amp;", ",", "&amp;'Quà cảm ơn'!$B$7:$B$500&amp;", ")))+SUMPRODUCT(--ISNUMBER(SEARCH(", "&amp;$B12&amp;", ",", "&amp;'Trang chủ'!$B$7:$B$500&amp;", ")))+SUMPRODUCT(--ISNUMBER(SEARCH(", "&amp;$B12&amp;", ",", "&amp;'Thông báo'!$B$7:$B$500&amp;", ")))+SUMPRODUCT(--ISNUMBER(SEARCH(", "&amp;$B12&amp;", ",", "&amp;'Đăng tin &amp; Quản lý tin'!$B$7:$B$500&amp;", ")))+SUMPRODUCT(--ISNUMBER(SEARCH(", "&amp;$B12&amp;", ",", "&amp;'Trust &amp; Safety'!$B$7:$B$500&amp;", ")))+SUMPRODUCT(--ISNUMBER(SEARCH(", "&amp;$B12&amp;", ",", "&amp;'Tài khoản &amp; Hồ sơ'!$B$7:$B$500&amp;", ")))</f>
        <v>2</v>
      </c>
      <c r="F12" s="51" t="n">
        <f aca="false">SUMPRODUCT(--ISNUMBER(SEARCH(", "&amp;$B12&amp;", ",", "&amp;'Hoạt động (Đơn của tôi)'!$B$7:$B$500&amp;", ")),--('Hoạt động (Đơn của tôi)'!$AT$7:$AT$500&lt;&gt;""))+SUMPRODUCT(--ISNUMBER(SEARCH(", "&amp;$B12&amp;", ",", "&amp;'Ghép nối'!$B$7:$B$500&amp;", ")),--('Ghép nối'!$AT$7:$AT$500&lt;&gt;""))+SUMPRODUCT(--ISNUMBER(SEARCH(", "&amp;$B12&amp;", ",", "&amp;'Huỷ đơn - Huỷ nhận đơn'!$B$7:$B$500&amp;", ")),--('Huỷ đơn - Huỷ nhận đơn'!$AT$7:$AT$500&lt;&gt;""))+SUMPRODUCT(--ISNUMBER(SEARCH(", "&amp;$B12&amp;", ",", "&amp;'Giao nhận &amp; Theo dõi đơn'!$B$7:$B$500&amp;", ")),--('Giao nhận &amp; Theo dõi đơn'!$AT$7:$AT$500&lt;&gt;""))+SUMPRODUCT(--ISNUMBER(SEARCH(", "&amp;$B12&amp;", ",", "&amp;'Bảng tin &amp; Chi tiết tin'!$B$7:$B$500&amp;", ")),--('Bảng tin &amp; Chi tiết tin'!$AT$7:$AT$500&lt;&gt;""))+SUMPRODUCT(--ISNUMBER(SEARCH(", "&amp;$B12&amp;", ",", "&amp;'Quà cảm ơn'!$B$7:$B$500&amp;", ")),--('Quà cảm ơn'!$AT$7:$AT$500&lt;&gt;""))+SUMPRODUCT(--ISNUMBER(SEARCH(", "&amp;$B12&amp;", ",", "&amp;'Trang chủ'!$B$7:$B$500&amp;", ")),--('Trang chủ'!$AT$7:$AT$500&lt;&gt;""))+SUMPRODUCT(--ISNUMBER(SEARCH(", "&amp;$B12&amp;", ",", "&amp;'Thông báo'!$B$7:$B$500&amp;", ")),--('Thông báo'!$AT$7:$AT$500&lt;&gt;""))+SUMPRODUCT(--ISNUMBER(SEARCH(", "&amp;$B12&amp;", ",", "&amp;'Đăng tin &amp; Quản lý tin'!$B$7:$B$500&amp;", ")),--('Đăng tin &amp; Quản lý tin'!$AT$7:$AT$500&lt;&gt;""))+SUMPRODUCT(--ISNUMBER(SEARCH(", "&amp;$B12&amp;", ",", "&amp;'Trust &amp; Safety'!$B$7:$B$500&amp;", ")),--('Trust &amp; Safety'!$AT$7:$AT$500&lt;&gt;""))+SUMPRODUCT(--ISNUMBER(SEARCH(", "&amp;$B12&amp;", ",", "&amp;'Tài khoản &amp; Hồ sơ'!$B$7:$B$500&amp;", ")),--('Tài khoản &amp; Hồ sơ'!$AT$7:$AT$500&lt;&gt;""))</f>
        <v>0</v>
      </c>
      <c r="G12" s="51" t="n">
        <f aca="false">SUMPRODUCT(--ISNUMBER(SEARCH(", "&amp;$B12&amp;", ",", "&amp;'Hoạt động (Đơn của tôi)'!$B$7:$B$500&amp;", ")),--('Hoạt động (Đơn của tôi)'!$AT$7:$AT$500="Pass"))+SUMPRODUCT(--ISNUMBER(SEARCH(", "&amp;$B12&amp;", ",", "&amp;'Ghép nối'!$B$7:$B$500&amp;", ")),--('Ghép nối'!$AT$7:$AT$500="Pass"))+SUMPRODUCT(--ISNUMBER(SEARCH(", "&amp;$B12&amp;", ",", "&amp;'Huỷ đơn - Huỷ nhận đơn'!$B$7:$B$500&amp;", ")),--('Huỷ đơn - Huỷ nhận đơn'!$AT$7:$AT$500="Pass"))+SUMPRODUCT(--ISNUMBER(SEARCH(", "&amp;$B12&amp;", ",", "&amp;'Giao nhận &amp; Theo dõi đơn'!$B$7:$B$500&amp;", ")),--('Giao nhận &amp; Theo dõi đơn'!$AT$7:$AT$500="Pass"))+SUMPRODUCT(--ISNUMBER(SEARCH(", "&amp;$B12&amp;", ",", "&amp;'Bảng tin &amp; Chi tiết tin'!$B$7:$B$500&amp;", ")),--('Bảng tin &amp; Chi tiết tin'!$AT$7:$AT$500="Pass"))+SUMPRODUCT(--ISNUMBER(SEARCH(", "&amp;$B12&amp;", ",", "&amp;'Quà cảm ơn'!$B$7:$B$500&amp;", ")),--('Quà cảm ơn'!$AT$7:$AT$500="Pass"))+SUMPRODUCT(--ISNUMBER(SEARCH(", "&amp;$B12&amp;", ",", "&amp;'Trang chủ'!$B$7:$B$500&amp;", ")),--('Trang chủ'!$AT$7:$AT$500="Pass"))+SUMPRODUCT(--ISNUMBER(SEARCH(", "&amp;$B12&amp;", ",", "&amp;'Thông báo'!$B$7:$B$500&amp;", ")),--('Thông báo'!$AT$7:$AT$500="Pass"))+SUMPRODUCT(--ISNUMBER(SEARCH(", "&amp;$B12&amp;", ",", "&amp;'Đăng tin &amp; Quản lý tin'!$B$7:$B$500&amp;", ")),--('Đăng tin &amp; Quản lý tin'!$AT$7:$AT$500="Pass"))+SUMPRODUCT(--ISNUMBER(SEARCH(", "&amp;$B12&amp;", ",", "&amp;'Trust &amp; Safety'!$B$7:$B$500&amp;", ")),--('Trust &amp; Safety'!$AT$7:$AT$500="Pass"))+SUMPRODUCT(--ISNUMBER(SEARCH(", "&amp;$B12&amp;", ",", "&amp;'Tài khoản &amp; Hồ sơ'!$B$7:$B$500&amp;", ")),--('Tài khoản &amp; Hồ sơ'!$AT$7:$AT$500="Pass"))</f>
        <v>0</v>
      </c>
      <c r="H12" s="51" t="n">
        <f aca="false">SUMPRODUCT(--ISNUMBER(SEARCH(", "&amp;$B12&amp;", ",", "&amp;'Hoạt động (Đơn của tôi)'!$B$7:$B$500&amp;", ")),--('Hoạt động (Đơn của tôi)'!$AT$7:$AT$500="Fail"))+SUMPRODUCT(--ISNUMBER(SEARCH(", "&amp;$B12&amp;", ",", "&amp;'Ghép nối'!$B$7:$B$500&amp;", ")),--('Ghép nối'!$AT$7:$AT$500="Fail"))+SUMPRODUCT(--ISNUMBER(SEARCH(", "&amp;$B12&amp;", ",", "&amp;'Huỷ đơn - Huỷ nhận đơn'!$B$7:$B$500&amp;", ")),--('Huỷ đơn - Huỷ nhận đơn'!$AT$7:$AT$500="Fail"))+SUMPRODUCT(--ISNUMBER(SEARCH(", "&amp;$B12&amp;", ",", "&amp;'Giao nhận &amp; Theo dõi đơn'!$B$7:$B$500&amp;", ")),--('Giao nhận &amp; Theo dõi đơn'!$AT$7:$AT$500="Fail"))+SUMPRODUCT(--ISNUMBER(SEARCH(", "&amp;$B12&amp;", ",", "&amp;'Bảng tin &amp; Chi tiết tin'!$B$7:$B$500&amp;", ")),--('Bảng tin &amp; Chi tiết tin'!$AT$7:$AT$500="Fail"))+SUMPRODUCT(--ISNUMBER(SEARCH(", "&amp;$B12&amp;", ",", "&amp;'Quà cảm ơn'!$B$7:$B$500&amp;", ")),--('Quà cảm ơn'!$AT$7:$AT$500="Fail"))+SUMPRODUCT(--ISNUMBER(SEARCH(", "&amp;$B12&amp;", ",", "&amp;'Trang chủ'!$B$7:$B$500&amp;", ")),--('Trang chủ'!$AT$7:$AT$500="Fail"))+SUMPRODUCT(--ISNUMBER(SEARCH(", "&amp;$B12&amp;", ",", "&amp;'Thông báo'!$B$7:$B$500&amp;", ")),--('Thông báo'!$AT$7:$AT$500="Fail"))+SUMPRODUCT(--ISNUMBER(SEARCH(", "&amp;$B12&amp;", ",", "&amp;'Đăng tin &amp; Quản lý tin'!$B$7:$B$500&amp;", ")),--('Đăng tin &amp; Quản lý tin'!$AT$7:$AT$500="Fail"))+SUMPRODUCT(--ISNUMBER(SEARCH(", "&amp;$B12&amp;", ",", "&amp;'Trust &amp; Safety'!$B$7:$B$500&amp;", ")),--('Trust &amp; Safety'!$AT$7:$AT$500="Fail"))+SUMPRODUCT(--ISNUMBER(SEARCH(", "&amp;$B12&amp;", ",", "&amp;'Tài khoản &amp; Hồ sơ'!$B$7:$B$500&amp;", ")),--('Tài khoản &amp; Hồ sơ'!$AT$7:$AT$500="Fail"))</f>
        <v>0</v>
      </c>
      <c r="I12" s="51" t="n">
        <f aca="false">SUMPRODUCT(--ISNUMBER(SEARCH(", "&amp;$B12&amp;", ",", "&amp;'Hoạt động (Đơn của tôi)'!$B$7:$B$500&amp;", ")),--('Hoạt động (Đơn của tôi)'!$AT$7:$AT$500="Block"))+SUMPRODUCT(--ISNUMBER(SEARCH(", "&amp;$B12&amp;", ",", "&amp;'Ghép nối'!$B$7:$B$500&amp;", ")),--('Ghép nối'!$AT$7:$AT$500="Block"))+SUMPRODUCT(--ISNUMBER(SEARCH(", "&amp;$B12&amp;", ",", "&amp;'Huỷ đơn - Huỷ nhận đơn'!$B$7:$B$500&amp;", ")),--('Huỷ đơn - Huỷ nhận đơn'!$AT$7:$AT$500="Block"))+SUMPRODUCT(--ISNUMBER(SEARCH(", "&amp;$B12&amp;", ",", "&amp;'Giao nhận &amp; Theo dõi đơn'!$B$7:$B$500&amp;", ")),--('Giao nhận &amp; Theo dõi đơn'!$AT$7:$AT$500="Block"))+SUMPRODUCT(--ISNUMBER(SEARCH(", "&amp;$B12&amp;", ",", "&amp;'Bảng tin &amp; Chi tiết tin'!$B$7:$B$500&amp;", ")),--('Bảng tin &amp; Chi tiết tin'!$AT$7:$AT$500="Block"))+SUMPRODUCT(--ISNUMBER(SEARCH(", "&amp;$B12&amp;", ",", "&amp;'Quà cảm ơn'!$B$7:$B$500&amp;", ")),--('Quà cảm ơn'!$AT$7:$AT$500="Block"))+SUMPRODUCT(--ISNUMBER(SEARCH(", "&amp;$B12&amp;", ",", "&amp;'Trang chủ'!$B$7:$B$500&amp;", ")),--('Trang chủ'!$AT$7:$AT$500="Block"))+SUMPRODUCT(--ISNUMBER(SEARCH(", "&amp;$B12&amp;", ",", "&amp;'Thông báo'!$B$7:$B$500&amp;", ")),--('Thông báo'!$AT$7:$AT$500="Block"))+SUMPRODUCT(--ISNUMBER(SEARCH(", "&amp;$B12&amp;", ",", "&amp;'Đăng tin &amp; Quản lý tin'!$B$7:$B$500&amp;", ")),--('Đăng tin &amp; Quản lý tin'!$AT$7:$AT$500="Block"))+SUMPRODUCT(--ISNUMBER(SEARCH(", "&amp;$B12&amp;", ",", "&amp;'Trust &amp; Safety'!$B$7:$B$500&amp;", ")),--('Trust &amp; Safety'!$AT$7:$AT$500="Block"))+SUMPRODUCT(--ISNUMBER(SEARCH(", "&amp;$B12&amp;", ",", "&amp;'Tài khoản &amp; Hồ sơ'!$B$7:$B$500&amp;", ")),--('Tài khoản &amp; Hồ sơ'!$AT$7:$AT$500="Block"))</f>
        <v>0</v>
      </c>
      <c r="J12" s="51" t="n">
        <f aca="false">SUMPRODUCT(--ISNUMBER(SEARCH(", "&amp;$B12&amp;", ",", "&amp;'Hoạt động (Đơn của tôi)'!$B$7:$B$500&amp;", ")),--('Hoạt động (Đơn của tôi)'!$AT$7:$AT$500="N/A"))+SUMPRODUCT(--ISNUMBER(SEARCH(", "&amp;$B12&amp;", ",", "&amp;'Ghép nối'!$B$7:$B$500&amp;", ")),--('Ghép nối'!$AT$7:$AT$500="N/A"))+SUMPRODUCT(--ISNUMBER(SEARCH(", "&amp;$B12&amp;", ",", "&amp;'Huỷ đơn - Huỷ nhận đơn'!$B$7:$B$500&amp;", ")),--('Huỷ đơn - Huỷ nhận đơn'!$AT$7:$AT$500="N/A"))+SUMPRODUCT(--ISNUMBER(SEARCH(", "&amp;$B12&amp;", ",", "&amp;'Giao nhận &amp; Theo dõi đơn'!$B$7:$B$500&amp;", ")),--('Giao nhận &amp; Theo dõi đơn'!$AT$7:$AT$500="N/A"))+SUMPRODUCT(--ISNUMBER(SEARCH(", "&amp;$B12&amp;", ",", "&amp;'Bảng tin &amp; Chi tiết tin'!$B$7:$B$500&amp;", ")),--('Bảng tin &amp; Chi tiết tin'!$AT$7:$AT$500="N/A"))+SUMPRODUCT(--ISNUMBER(SEARCH(", "&amp;$B12&amp;", ",", "&amp;'Quà cảm ơn'!$B$7:$B$500&amp;", ")),--('Quà cảm ơn'!$AT$7:$AT$500="N/A"))+SUMPRODUCT(--ISNUMBER(SEARCH(", "&amp;$B12&amp;", ",", "&amp;'Trang chủ'!$B$7:$B$500&amp;", ")),--('Trang chủ'!$AT$7:$AT$500="N/A"))+SUMPRODUCT(--ISNUMBER(SEARCH(", "&amp;$B12&amp;", ",", "&amp;'Thông báo'!$B$7:$B$500&amp;", ")),--('Thông báo'!$AT$7:$AT$500="N/A"))+SUMPRODUCT(--ISNUMBER(SEARCH(", "&amp;$B12&amp;", ",", "&amp;'Đăng tin &amp; Quản lý tin'!$B$7:$B$500&amp;", ")),--('Đăng tin &amp; Quản lý tin'!$AT$7:$AT$500="N/A"))+SUMPRODUCT(--ISNUMBER(SEARCH(", "&amp;$B12&amp;", ",", "&amp;'Trust &amp; Safety'!$B$7:$B$500&amp;", ")),--('Trust &amp; Safety'!$AT$7:$AT$500="N/A"))+SUMPRODUCT(--ISNUMBER(SEARCH(", "&amp;$B12&amp;", ",", "&amp;'Tài khoản &amp; Hồ sơ'!$B$7:$B$500&amp;", ")),--('Tài khoản &amp; Hồ sơ'!$AT$7:$AT$500="N/A"))</f>
        <v>0</v>
      </c>
      <c r="K12" s="52" t="n">
        <f aca="false">IFERROR(F12/E12,0)</f>
        <v>0</v>
      </c>
      <c r="L12" s="123" t="str">
        <f aca="false">IF(E12=0,"Chưa có TC (gap)",IF(H12&gt;0,"Có lỗi (Fail)",IF(I12&gt;0,"Bị block",IF(F12&lt;E12,"Đang test",IF(G12=0,"Không áp dụng (N/A)","Đã test xong")))))</f>
        <v>Đang test</v>
      </c>
      <c r="AB12" s="1" t="s">
        <v>416</v>
      </c>
      <c r="AD12" s="1" t="s">
        <v>436</v>
      </c>
      <c r="AE12" s="1" t="n">
        <f aca="false">SUMIF($AB$6:$AB$77,$AD12,$E$6:$E$77)</f>
        <v>12</v>
      </c>
      <c r="AF12" s="1" t="n">
        <f aca="false">SUMIF($AB$6:$AB$77,$AD12,$F$6:$F$77)</f>
        <v>0</v>
      </c>
    </row>
    <row r="13" customFormat="false" ht="34.5" hidden="false" customHeight="true" outlineLevel="0" collapsed="false">
      <c r="B13" s="175" t="s">
        <v>437</v>
      </c>
      <c r="C13" s="176" t="s">
        <v>438</v>
      </c>
      <c r="D13" s="123" t="s">
        <v>439</v>
      </c>
      <c r="E13" s="51" t="n">
        <f aca="false">SUMPRODUCT(--ISNUMBER(SEARCH(", "&amp;$B13&amp;", ",", "&amp;'Hoạt động (Đơn của tôi)'!$B$7:$B$500&amp;", ")))+SUMPRODUCT(--ISNUMBER(SEARCH(", "&amp;$B13&amp;", ",", "&amp;'Ghép nối'!$B$7:$B$500&amp;", ")))+SUMPRODUCT(--ISNUMBER(SEARCH(", "&amp;$B13&amp;", ",", "&amp;'Huỷ đơn - Huỷ nhận đơn'!$B$7:$B$500&amp;", ")))+SUMPRODUCT(--ISNUMBER(SEARCH(", "&amp;$B13&amp;", ",", "&amp;'Giao nhận &amp; Theo dõi đơn'!$B$7:$B$500&amp;", ")))+SUMPRODUCT(--ISNUMBER(SEARCH(", "&amp;$B13&amp;", ",", "&amp;'Bảng tin &amp; Chi tiết tin'!$B$7:$B$500&amp;", ")))+SUMPRODUCT(--ISNUMBER(SEARCH(", "&amp;$B13&amp;", ",", "&amp;'Quà cảm ơn'!$B$7:$B$500&amp;", ")))+SUMPRODUCT(--ISNUMBER(SEARCH(", "&amp;$B13&amp;", ",", "&amp;'Trang chủ'!$B$7:$B$500&amp;", ")))+SUMPRODUCT(--ISNUMBER(SEARCH(", "&amp;$B13&amp;", ",", "&amp;'Thông báo'!$B$7:$B$500&amp;", ")))+SUMPRODUCT(--ISNUMBER(SEARCH(", "&amp;$B13&amp;", ",", "&amp;'Đăng tin &amp; Quản lý tin'!$B$7:$B$500&amp;", ")))+SUMPRODUCT(--ISNUMBER(SEARCH(", "&amp;$B13&amp;", ",", "&amp;'Trust &amp; Safety'!$B$7:$B$500&amp;", ")))+SUMPRODUCT(--ISNUMBER(SEARCH(", "&amp;$B13&amp;", ",", "&amp;'Tài khoản &amp; Hồ sơ'!$B$7:$B$500&amp;", ")))</f>
        <v>1</v>
      </c>
      <c r="F13" s="51" t="n">
        <f aca="false">SUMPRODUCT(--ISNUMBER(SEARCH(", "&amp;$B13&amp;", ",", "&amp;'Hoạt động (Đơn của tôi)'!$B$7:$B$500&amp;", ")),--('Hoạt động (Đơn của tôi)'!$AT$7:$AT$500&lt;&gt;""))+SUMPRODUCT(--ISNUMBER(SEARCH(", "&amp;$B13&amp;", ",", "&amp;'Ghép nối'!$B$7:$B$500&amp;", ")),--('Ghép nối'!$AT$7:$AT$500&lt;&gt;""))+SUMPRODUCT(--ISNUMBER(SEARCH(", "&amp;$B13&amp;", ",", "&amp;'Huỷ đơn - Huỷ nhận đơn'!$B$7:$B$500&amp;", ")),--('Huỷ đơn - Huỷ nhận đơn'!$AT$7:$AT$500&lt;&gt;""))+SUMPRODUCT(--ISNUMBER(SEARCH(", "&amp;$B13&amp;", ",", "&amp;'Giao nhận &amp; Theo dõi đơn'!$B$7:$B$500&amp;", ")),--('Giao nhận &amp; Theo dõi đơn'!$AT$7:$AT$500&lt;&gt;""))+SUMPRODUCT(--ISNUMBER(SEARCH(", "&amp;$B13&amp;", ",", "&amp;'Bảng tin &amp; Chi tiết tin'!$B$7:$B$500&amp;", ")),--('Bảng tin &amp; Chi tiết tin'!$AT$7:$AT$500&lt;&gt;""))+SUMPRODUCT(--ISNUMBER(SEARCH(", "&amp;$B13&amp;", ",", "&amp;'Quà cảm ơn'!$B$7:$B$500&amp;", ")),--('Quà cảm ơn'!$AT$7:$AT$500&lt;&gt;""))+SUMPRODUCT(--ISNUMBER(SEARCH(", "&amp;$B13&amp;", ",", "&amp;'Trang chủ'!$B$7:$B$500&amp;", ")),--('Trang chủ'!$AT$7:$AT$500&lt;&gt;""))+SUMPRODUCT(--ISNUMBER(SEARCH(", "&amp;$B13&amp;", ",", "&amp;'Thông báo'!$B$7:$B$500&amp;", ")),--('Thông báo'!$AT$7:$AT$500&lt;&gt;""))+SUMPRODUCT(--ISNUMBER(SEARCH(", "&amp;$B13&amp;", ",", "&amp;'Đăng tin &amp; Quản lý tin'!$B$7:$B$500&amp;", ")),--('Đăng tin &amp; Quản lý tin'!$AT$7:$AT$500&lt;&gt;""))+SUMPRODUCT(--ISNUMBER(SEARCH(", "&amp;$B13&amp;", ",", "&amp;'Trust &amp; Safety'!$B$7:$B$500&amp;", ")),--('Trust &amp; Safety'!$AT$7:$AT$500&lt;&gt;""))+SUMPRODUCT(--ISNUMBER(SEARCH(", "&amp;$B13&amp;", ",", "&amp;'Tài khoản &amp; Hồ sơ'!$B$7:$B$500&amp;", ")),--('Tài khoản &amp; Hồ sơ'!$AT$7:$AT$500&lt;&gt;""))</f>
        <v>0</v>
      </c>
      <c r="G13" s="51" t="n">
        <f aca="false">SUMPRODUCT(--ISNUMBER(SEARCH(", "&amp;$B13&amp;", ",", "&amp;'Hoạt động (Đơn của tôi)'!$B$7:$B$500&amp;", ")),--('Hoạt động (Đơn của tôi)'!$AT$7:$AT$500="Pass"))+SUMPRODUCT(--ISNUMBER(SEARCH(", "&amp;$B13&amp;", ",", "&amp;'Ghép nối'!$B$7:$B$500&amp;", ")),--('Ghép nối'!$AT$7:$AT$500="Pass"))+SUMPRODUCT(--ISNUMBER(SEARCH(", "&amp;$B13&amp;", ",", "&amp;'Huỷ đơn - Huỷ nhận đơn'!$B$7:$B$500&amp;", ")),--('Huỷ đơn - Huỷ nhận đơn'!$AT$7:$AT$500="Pass"))+SUMPRODUCT(--ISNUMBER(SEARCH(", "&amp;$B13&amp;", ",", "&amp;'Giao nhận &amp; Theo dõi đơn'!$B$7:$B$500&amp;", ")),--('Giao nhận &amp; Theo dõi đơn'!$AT$7:$AT$500="Pass"))+SUMPRODUCT(--ISNUMBER(SEARCH(", "&amp;$B13&amp;", ",", "&amp;'Bảng tin &amp; Chi tiết tin'!$B$7:$B$500&amp;", ")),--('Bảng tin &amp; Chi tiết tin'!$AT$7:$AT$500="Pass"))+SUMPRODUCT(--ISNUMBER(SEARCH(", "&amp;$B13&amp;", ",", "&amp;'Quà cảm ơn'!$B$7:$B$500&amp;", ")),--('Quà cảm ơn'!$AT$7:$AT$500="Pass"))+SUMPRODUCT(--ISNUMBER(SEARCH(", "&amp;$B13&amp;", ",", "&amp;'Trang chủ'!$B$7:$B$500&amp;", ")),--('Trang chủ'!$AT$7:$AT$500="Pass"))+SUMPRODUCT(--ISNUMBER(SEARCH(", "&amp;$B13&amp;", ",", "&amp;'Thông báo'!$B$7:$B$500&amp;", ")),--('Thông báo'!$AT$7:$AT$500="Pass"))+SUMPRODUCT(--ISNUMBER(SEARCH(", "&amp;$B13&amp;", ",", "&amp;'Đăng tin &amp; Quản lý tin'!$B$7:$B$500&amp;", ")),--('Đăng tin &amp; Quản lý tin'!$AT$7:$AT$500="Pass"))+SUMPRODUCT(--ISNUMBER(SEARCH(", "&amp;$B13&amp;", ",", "&amp;'Trust &amp; Safety'!$B$7:$B$500&amp;", ")),--('Trust &amp; Safety'!$AT$7:$AT$500="Pass"))+SUMPRODUCT(--ISNUMBER(SEARCH(", "&amp;$B13&amp;", ",", "&amp;'Tài khoản &amp; Hồ sơ'!$B$7:$B$500&amp;", ")),--('Tài khoản &amp; Hồ sơ'!$AT$7:$AT$500="Pass"))</f>
        <v>0</v>
      </c>
      <c r="H13" s="51" t="n">
        <f aca="false">SUMPRODUCT(--ISNUMBER(SEARCH(", "&amp;$B13&amp;", ",", "&amp;'Hoạt động (Đơn của tôi)'!$B$7:$B$500&amp;", ")),--('Hoạt động (Đơn của tôi)'!$AT$7:$AT$500="Fail"))+SUMPRODUCT(--ISNUMBER(SEARCH(", "&amp;$B13&amp;", ",", "&amp;'Ghép nối'!$B$7:$B$500&amp;", ")),--('Ghép nối'!$AT$7:$AT$500="Fail"))+SUMPRODUCT(--ISNUMBER(SEARCH(", "&amp;$B13&amp;", ",", "&amp;'Huỷ đơn - Huỷ nhận đơn'!$B$7:$B$500&amp;", ")),--('Huỷ đơn - Huỷ nhận đơn'!$AT$7:$AT$500="Fail"))+SUMPRODUCT(--ISNUMBER(SEARCH(", "&amp;$B13&amp;", ",", "&amp;'Giao nhận &amp; Theo dõi đơn'!$B$7:$B$500&amp;", ")),--('Giao nhận &amp; Theo dõi đơn'!$AT$7:$AT$500="Fail"))+SUMPRODUCT(--ISNUMBER(SEARCH(", "&amp;$B13&amp;", ",", "&amp;'Bảng tin &amp; Chi tiết tin'!$B$7:$B$500&amp;", ")),--('Bảng tin &amp; Chi tiết tin'!$AT$7:$AT$500="Fail"))+SUMPRODUCT(--ISNUMBER(SEARCH(", "&amp;$B13&amp;", ",", "&amp;'Quà cảm ơn'!$B$7:$B$500&amp;", ")),--('Quà cảm ơn'!$AT$7:$AT$500="Fail"))+SUMPRODUCT(--ISNUMBER(SEARCH(", "&amp;$B13&amp;", ",", "&amp;'Trang chủ'!$B$7:$B$500&amp;", ")),--('Trang chủ'!$AT$7:$AT$500="Fail"))+SUMPRODUCT(--ISNUMBER(SEARCH(", "&amp;$B13&amp;", ",", "&amp;'Thông báo'!$B$7:$B$500&amp;", ")),--('Thông báo'!$AT$7:$AT$500="Fail"))+SUMPRODUCT(--ISNUMBER(SEARCH(", "&amp;$B13&amp;", ",", "&amp;'Đăng tin &amp; Quản lý tin'!$B$7:$B$500&amp;", ")),--('Đăng tin &amp; Quản lý tin'!$AT$7:$AT$500="Fail"))+SUMPRODUCT(--ISNUMBER(SEARCH(", "&amp;$B13&amp;", ",", "&amp;'Trust &amp; Safety'!$B$7:$B$500&amp;", ")),--('Trust &amp; Safety'!$AT$7:$AT$500="Fail"))+SUMPRODUCT(--ISNUMBER(SEARCH(", "&amp;$B13&amp;", ",", "&amp;'Tài khoản &amp; Hồ sơ'!$B$7:$B$500&amp;", ")),--('Tài khoản &amp; Hồ sơ'!$AT$7:$AT$500="Fail"))</f>
        <v>0</v>
      </c>
      <c r="I13" s="51" t="n">
        <f aca="false">SUMPRODUCT(--ISNUMBER(SEARCH(", "&amp;$B13&amp;", ",", "&amp;'Hoạt động (Đơn của tôi)'!$B$7:$B$500&amp;", ")),--('Hoạt động (Đơn của tôi)'!$AT$7:$AT$500="Block"))+SUMPRODUCT(--ISNUMBER(SEARCH(", "&amp;$B13&amp;", ",", "&amp;'Ghép nối'!$B$7:$B$500&amp;", ")),--('Ghép nối'!$AT$7:$AT$500="Block"))+SUMPRODUCT(--ISNUMBER(SEARCH(", "&amp;$B13&amp;", ",", "&amp;'Huỷ đơn - Huỷ nhận đơn'!$B$7:$B$500&amp;", ")),--('Huỷ đơn - Huỷ nhận đơn'!$AT$7:$AT$500="Block"))+SUMPRODUCT(--ISNUMBER(SEARCH(", "&amp;$B13&amp;", ",", "&amp;'Giao nhận &amp; Theo dõi đơn'!$B$7:$B$500&amp;", ")),--('Giao nhận &amp; Theo dõi đơn'!$AT$7:$AT$500="Block"))+SUMPRODUCT(--ISNUMBER(SEARCH(", "&amp;$B13&amp;", ",", "&amp;'Bảng tin &amp; Chi tiết tin'!$B$7:$B$500&amp;", ")),--('Bảng tin &amp; Chi tiết tin'!$AT$7:$AT$500="Block"))+SUMPRODUCT(--ISNUMBER(SEARCH(", "&amp;$B13&amp;", ",", "&amp;'Quà cảm ơn'!$B$7:$B$500&amp;", ")),--('Quà cảm ơn'!$AT$7:$AT$500="Block"))+SUMPRODUCT(--ISNUMBER(SEARCH(", "&amp;$B13&amp;", ",", "&amp;'Trang chủ'!$B$7:$B$500&amp;", ")),--('Trang chủ'!$AT$7:$AT$500="Block"))+SUMPRODUCT(--ISNUMBER(SEARCH(", "&amp;$B13&amp;", ",", "&amp;'Thông báo'!$B$7:$B$500&amp;", ")),--('Thông báo'!$AT$7:$AT$500="Block"))+SUMPRODUCT(--ISNUMBER(SEARCH(", "&amp;$B13&amp;", ",", "&amp;'Đăng tin &amp; Quản lý tin'!$B$7:$B$500&amp;", ")),--('Đăng tin &amp; Quản lý tin'!$AT$7:$AT$500="Block"))+SUMPRODUCT(--ISNUMBER(SEARCH(", "&amp;$B13&amp;", ",", "&amp;'Trust &amp; Safety'!$B$7:$B$500&amp;", ")),--('Trust &amp; Safety'!$AT$7:$AT$500="Block"))+SUMPRODUCT(--ISNUMBER(SEARCH(", "&amp;$B13&amp;", ",", "&amp;'Tài khoản &amp; Hồ sơ'!$B$7:$B$500&amp;", ")),--('Tài khoản &amp; Hồ sơ'!$AT$7:$AT$500="Block"))</f>
        <v>0</v>
      </c>
      <c r="J13" s="51" t="n">
        <f aca="false">SUMPRODUCT(--ISNUMBER(SEARCH(", "&amp;$B13&amp;", ",", "&amp;'Hoạt động (Đơn của tôi)'!$B$7:$B$500&amp;", ")),--('Hoạt động (Đơn của tôi)'!$AT$7:$AT$500="N/A"))+SUMPRODUCT(--ISNUMBER(SEARCH(", "&amp;$B13&amp;", ",", "&amp;'Ghép nối'!$B$7:$B$500&amp;", ")),--('Ghép nối'!$AT$7:$AT$500="N/A"))+SUMPRODUCT(--ISNUMBER(SEARCH(", "&amp;$B13&amp;", ",", "&amp;'Huỷ đơn - Huỷ nhận đơn'!$B$7:$B$500&amp;", ")),--('Huỷ đơn - Huỷ nhận đơn'!$AT$7:$AT$500="N/A"))+SUMPRODUCT(--ISNUMBER(SEARCH(", "&amp;$B13&amp;", ",", "&amp;'Giao nhận &amp; Theo dõi đơn'!$B$7:$B$500&amp;", ")),--('Giao nhận &amp; Theo dõi đơn'!$AT$7:$AT$500="N/A"))+SUMPRODUCT(--ISNUMBER(SEARCH(", "&amp;$B13&amp;", ",", "&amp;'Bảng tin &amp; Chi tiết tin'!$B$7:$B$500&amp;", ")),--('Bảng tin &amp; Chi tiết tin'!$AT$7:$AT$500="N/A"))+SUMPRODUCT(--ISNUMBER(SEARCH(", "&amp;$B13&amp;", ",", "&amp;'Quà cảm ơn'!$B$7:$B$500&amp;", ")),--('Quà cảm ơn'!$AT$7:$AT$500="N/A"))+SUMPRODUCT(--ISNUMBER(SEARCH(", "&amp;$B13&amp;", ",", "&amp;'Trang chủ'!$B$7:$B$500&amp;", ")),--('Trang chủ'!$AT$7:$AT$500="N/A"))+SUMPRODUCT(--ISNUMBER(SEARCH(", "&amp;$B13&amp;", ",", "&amp;'Thông báo'!$B$7:$B$500&amp;", ")),--('Thông báo'!$AT$7:$AT$500="N/A"))+SUMPRODUCT(--ISNUMBER(SEARCH(", "&amp;$B13&amp;", ",", "&amp;'Đăng tin &amp; Quản lý tin'!$B$7:$B$500&amp;", ")),--('Đăng tin &amp; Quản lý tin'!$AT$7:$AT$500="N/A"))+SUMPRODUCT(--ISNUMBER(SEARCH(", "&amp;$B13&amp;", ",", "&amp;'Trust &amp; Safety'!$B$7:$B$500&amp;", ")),--('Trust &amp; Safety'!$AT$7:$AT$500="N/A"))+SUMPRODUCT(--ISNUMBER(SEARCH(", "&amp;$B13&amp;", ",", "&amp;'Tài khoản &amp; Hồ sơ'!$B$7:$B$500&amp;", ")),--('Tài khoản &amp; Hồ sơ'!$AT$7:$AT$500="N/A"))</f>
        <v>0</v>
      </c>
      <c r="K13" s="52" t="n">
        <f aca="false">IFERROR(F13/E13,0)</f>
        <v>0</v>
      </c>
      <c r="L13" s="123" t="str">
        <f aca="false">IF(E13=0,"Chưa có TC (gap)",IF(H13&gt;0,"Có lỗi (Fail)",IF(I13&gt;0,"Bị block",IF(F13&lt;E13,"Đang test",IF(G13=0,"Không áp dụng (N/A)","Đã test xong")))))</f>
        <v>Đang test</v>
      </c>
      <c r="AB13" s="1" t="s">
        <v>416</v>
      </c>
      <c r="AD13" s="1" t="s">
        <v>440</v>
      </c>
      <c r="AE13" s="1" t="n">
        <f aca="false">SUMIF($AB$6:$AB$77,$AD13,$E$6:$E$77)</f>
        <v>9</v>
      </c>
      <c r="AF13" s="1" t="n">
        <f aca="false">SUMIF($AB$6:$AB$77,$AD13,$F$6:$F$77)</f>
        <v>0</v>
      </c>
    </row>
    <row r="14" customFormat="false" ht="79.5" hidden="false" customHeight="true" outlineLevel="0" collapsed="false">
      <c r="B14" s="175" t="s">
        <v>441</v>
      </c>
      <c r="C14" s="176" t="s">
        <v>442</v>
      </c>
      <c r="D14" s="123" t="s">
        <v>443</v>
      </c>
      <c r="E14" s="51" t="n">
        <f aca="false">SUMPRODUCT(--ISNUMBER(SEARCH(", "&amp;$B14&amp;", ",", "&amp;'Hoạt động (Đơn của tôi)'!$B$7:$B$500&amp;", ")))+SUMPRODUCT(--ISNUMBER(SEARCH(", "&amp;$B14&amp;", ",", "&amp;'Ghép nối'!$B$7:$B$500&amp;", ")))+SUMPRODUCT(--ISNUMBER(SEARCH(", "&amp;$B14&amp;", ",", "&amp;'Huỷ đơn - Huỷ nhận đơn'!$B$7:$B$500&amp;", ")))+SUMPRODUCT(--ISNUMBER(SEARCH(", "&amp;$B14&amp;", ",", "&amp;'Giao nhận &amp; Theo dõi đơn'!$B$7:$B$500&amp;", ")))+SUMPRODUCT(--ISNUMBER(SEARCH(", "&amp;$B14&amp;", ",", "&amp;'Bảng tin &amp; Chi tiết tin'!$B$7:$B$500&amp;", ")))+SUMPRODUCT(--ISNUMBER(SEARCH(", "&amp;$B14&amp;", ",", "&amp;'Quà cảm ơn'!$B$7:$B$500&amp;", ")))+SUMPRODUCT(--ISNUMBER(SEARCH(", "&amp;$B14&amp;", ",", "&amp;'Trang chủ'!$B$7:$B$500&amp;", ")))+SUMPRODUCT(--ISNUMBER(SEARCH(", "&amp;$B14&amp;", ",", "&amp;'Thông báo'!$B$7:$B$500&amp;", ")))+SUMPRODUCT(--ISNUMBER(SEARCH(", "&amp;$B14&amp;", ",", "&amp;'Đăng tin &amp; Quản lý tin'!$B$7:$B$500&amp;", ")))+SUMPRODUCT(--ISNUMBER(SEARCH(", "&amp;$B14&amp;", ",", "&amp;'Trust &amp; Safety'!$B$7:$B$500&amp;", ")))+SUMPRODUCT(--ISNUMBER(SEARCH(", "&amp;$B14&amp;", ",", "&amp;'Tài khoản &amp; Hồ sơ'!$B$7:$B$500&amp;", ")))</f>
        <v>4</v>
      </c>
      <c r="F14" s="51" t="n">
        <f aca="false">SUMPRODUCT(--ISNUMBER(SEARCH(", "&amp;$B14&amp;", ",", "&amp;'Hoạt động (Đơn của tôi)'!$B$7:$B$500&amp;", ")),--('Hoạt động (Đơn của tôi)'!$AT$7:$AT$500&lt;&gt;""))+SUMPRODUCT(--ISNUMBER(SEARCH(", "&amp;$B14&amp;", ",", "&amp;'Ghép nối'!$B$7:$B$500&amp;", ")),--('Ghép nối'!$AT$7:$AT$500&lt;&gt;""))+SUMPRODUCT(--ISNUMBER(SEARCH(", "&amp;$B14&amp;", ",", "&amp;'Huỷ đơn - Huỷ nhận đơn'!$B$7:$B$500&amp;", ")),--('Huỷ đơn - Huỷ nhận đơn'!$AT$7:$AT$500&lt;&gt;""))+SUMPRODUCT(--ISNUMBER(SEARCH(", "&amp;$B14&amp;", ",", "&amp;'Giao nhận &amp; Theo dõi đơn'!$B$7:$B$500&amp;", ")),--('Giao nhận &amp; Theo dõi đơn'!$AT$7:$AT$500&lt;&gt;""))+SUMPRODUCT(--ISNUMBER(SEARCH(", "&amp;$B14&amp;", ",", "&amp;'Bảng tin &amp; Chi tiết tin'!$B$7:$B$500&amp;", ")),--('Bảng tin &amp; Chi tiết tin'!$AT$7:$AT$500&lt;&gt;""))+SUMPRODUCT(--ISNUMBER(SEARCH(", "&amp;$B14&amp;", ",", "&amp;'Quà cảm ơn'!$B$7:$B$500&amp;", ")),--('Quà cảm ơn'!$AT$7:$AT$500&lt;&gt;""))+SUMPRODUCT(--ISNUMBER(SEARCH(", "&amp;$B14&amp;", ",", "&amp;'Trang chủ'!$B$7:$B$500&amp;", ")),--('Trang chủ'!$AT$7:$AT$500&lt;&gt;""))+SUMPRODUCT(--ISNUMBER(SEARCH(", "&amp;$B14&amp;", ",", "&amp;'Thông báo'!$B$7:$B$500&amp;", ")),--('Thông báo'!$AT$7:$AT$500&lt;&gt;""))+SUMPRODUCT(--ISNUMBER(SEARCH(", "&amp;$B14&amp;", ",", "&amp;'Đăng tin &amp; Quản lý tin'!$B$7:$B$500&amp;", ")),--('Đăng tin &amp; Quản lý tin'!$AT$7:$AT$500&lt;&gt;""))+SUMPRODUCT(--ISNUMBER(SEARCH(", "&amp;$B14&amp;", ",", "&amp;'Trust &amp; Safety'!$B$7:$B$500&amp;", ")),--('Trust &amp; Safety'!$AT$7:$AT$500&lt;&gt;""))+SUMPRODUCT(--ISNUMBER(SEARCH(", "&amp;$B14&amp;", ",", "&amp;'Tài khoản &amp; Hồ sơ'!$B$7:$B$500&amp;", ")),--('Tài khoản &amp; Hồ sơ'!$AT$7:$AT$500&lt;&gt;""))</f>
        <v>0</v>
      </c>
      <c r="G14" s="51" t="n">
        <f aca="false">SUMPRODUCT(--ISNUMBER(SEARCH(", "&amp;$B14&amp;", ",", "&amp;'Hoạt động (Đơn của tôi)'!$B$7:$B$500&amp;", ")),--('Hoạt động (Đơn của tôi)'!$AT$7:$AT$500="Pass"))+SUMPRODUCT(--ISNUMBER(SEARCH(", "&amp;$B14&amp;", ",", "&amp;'Ghép nối'!$B$7:$B$500&amp;", ")),--('Ghép nối'!$AT$7:$AT$500="Pass"))+SUMPRODUCT(--ISNUMBER(SEARCH(", "&amp;$B14&amp;", ",", "&amp;'Huỷ đơn - Huỷ nhận đơn'!$B$7:$B$500&amp;", ")),--('Huỷ đơn - Huỷ nhận đơn'!$AT$7:$AT$500="Pass"))+SUMPRODUCT(--ISNUMBER(SEARCH(", "&amp;$B14&amp;", ",", "&amp;'Giao nhận &amp; Theo dõi đơn'!$B$7:$B$500&amp;", ")),--('Giao nhận &amp; Theo dõi đơn'!$AT$7:$AT$500="Pass"))+SUMPRODUCT(--ISNUMBER(SEARCH(", "&amp;$B14&amp;", ",", "&amp;'Bảng tin &amp; Chi tiết tin'!$B$7:$B$500&amp;", ")),--('Bảng tin &amp; Chi tiết tin'!$AT$7:$AT$500="Pass"))+SUMPRODUCT(--ISNUMBER(SEARCH(", "&amp;$B14&amp;", ",", "&amp;'Quà cảm ơn'!$B$7:$B$500&amp;", ")),--('Quà cảm ơn'!$AT$7:$AT$500="Pass"))+SUMPRODUCT(--ISNUMBER(SEARCH(", "&amp;$B14&amp;", ",", "&amp;'Trang chủ'!$B$7:$B$500&amp;", ")),--('Trang chủ'!$AT$7:$AT$500="Pass"))+SUMPRODUCT(--ISNUMBER(SEARCH(", "&amp;$B14&amp;", ",", "&amp;'Thông báo'!$B$7:$B$500&amp;", ")),--('Thông báo'!$AT$7:$AT$500="Pass"))+SUMPRODUCT(--ISNUMBER(SEARCH(", "&amp;$B14&amp;", ",", "&amp;'Đăng tin &amp; Quản lý tin'!$B$7:$B$500&amp;", ")),--('Đăng tin &amp; Quản lý tin'!$AT$7:$AT$500="Pass"))+SUMPRODUCT(--ISNUMBER(SEARCH(", "&amp;$B14&amp;", ",", "&amp;'Trust &amp; Safety'!$B$7:$B$500&amp;", ")),--('Trust &amp; Safety'!$AT$7:$AT$500="Pass"))+SUMPRODUCT(--ISNUMBER(SEARCH(", "&amp;$B14&amp;", ",", "&amp;'Tài khoản &amp; Hồ sơ'!$B$7:$B$500&amp;", ")),--('Tài khoản &amp; Hồ sơ'!$AT$7:$AT$500="Pass"))</f>
        <v>0</v>
      </c>
      <c r="H14" s="51" t="n">
        <f aca="false">SUMPRODUCT(--ISNUMBER(SEARCH(", "&amp;$B14&amp;", ",", "&amp;'Hoạt động (Đơn của tôi)'!$B$7:$B$500&amp;", ")),--('Hoạt động (Đơn của tôi)'!$AT$7:$AT$500="Fail"))+SUMPRODUCT(--ISNUMBER(SEARCH(", "&amp;$B14&amp;", ",", "&amp;'Ghép nối'!$B$7:$B$500&amp;", ")),--('Ghép nối'!$AT$7:$AT$500="Fail"))+SUMPRODUCT(--ISNUMBER(SEARCH(", "&amp;$B14&amp;", ",", "&amp;'Huỷ đơn - Huỷ nhận đơn'!$B$7:$B$500&amp;", ")),--('Huỷ đơn - Huỷ nhận đơn'!$AT$7:$AT$500="Fail"))+SUMPRODUCT(--ISNUMBER(SEARCH(", "&amp;$B14&amp;", ",", "&amp;'Giao nhận &amp; Theo dõi đơn'!$B$7:$B$500&amp;", ")),--('Giao nhận &amp; Theo dõi đơn'!$AT$7:$AT$500="Fail"))+SUMPRODUCT(--ISNUMBER(SEARCH(", "&amp;$B14&amp;", ",", "&amp;'Bảng tin &amp; Chi tiết tin'!$B$7:$B$500&amp;", ")),--('Bảng tin &amp; Chi tiết tin'!$AT$7:$AT$500="Fail"))+SUMPRODUCT(--ISNUMBER(SEARCH(", "&amp;$B14&amp;", ",", "&amp;'Quà cảm ơn'!$B$7:$B$500&amp;", ")),--('Quà cảm ơn'!$AT$7:$AT$500="Fail"))+SUMPRODUCT(--ISNUMBER(SEARCH(", "&amp;$B14&amp;", ",", "&amp;'Trang chủ'!$B$7:$B$500&amp;", ")),--('Trang chủ'!$AT$7:$AT$500="Fail"))+SUMPRODUCT(--ISNUMBER(SEARCH(", "&amp;$B14&amp;", ",", "&amp;'Thông báo'!$B$7:$B$500&amp;", ")),--('Thông báo'!$AT$7:$AT$500="Fail"))+SUMPRODUCT(--ISNUMBER(SEARCH(", "&amp;$B14&amp;", ",", "&amp;'Đăng tin &amp; Quản lý tin'!$B$7:$B$500&amp;", ")),--('Đăng tin &amp; Quản lý tin'!$AT$7:$AT$500="Fail"))+SUMPRODUCT(--ISNUMBER(SEARCH(", "&amp;$B14&amp;", ",", "&amp;'Trust &amp; Safety'!$B$7:$B$500&amp;", ")),--('Trust &amp; Safety'!$AT$7:$AT$500="Fail"))+SUMPRODUCT(--ISNUMBER(SEARCH(", "&amp;$B14&amp;", ",", "&amp;'Tài khoản &amp; Hồ sơ'!$B$7:$B$500&amp;", ")),--('Tài khoản &amp; Hồ sơ'!$AT$7:$AT$500="Fail"))</f>
        <v>0</v>
      </c>
      <c r="I14" s="51" t="n">
        <f aca="false">SUMPRODUCT(--ISNUMBER(SEARCH(", "&amp;$B14&amp;", ",", "&amp;'Hoạt động (Đơn của tôi)'!$B$7:$B$500&amp;", ")),--('Hoạt động (Đơn của tôi)'!$AT$7:$AT$500="Block"))+SUMPRODUCT(--ISNUMBER(SEARCH(", "&amp;$B14&amp;", ",", "&amp;'Ghép nối'!$B$7:$B$500&amp;", ")),--('Ghép nối'!$AT$7:$AT$500="Block"))+SUMPRODUCT(--ISNUMBER(SEARCH(", "&amp;$B14&amp;", ",", "&amp;'Huỷ đơn - Huỷ nhận đơn'!$B$7:$B$500&amp;", ")),--('Huỷ đơn - Huỷ nhận đơn'!$AT$7:$AT$500="Block"))+SUMPRODUCT(--ISNUMBER(SEARCH(", "&amp;$B14&amp;", ",", "&amp;'Giao nhận &amp; Theo dõi đơn'!$B$7:$B$500&amp;", ")),--('Giao nhận &amp; Theo dõi đơn'!$AT$7:$AT$500="Block"))+SUMPRODUCT(--ISNUMBER(SEARCH(", "&amp;$B14&amp;", ",", "&amp;'Bảng tin &amp; Chi tiết tin'!$B$7:$B$500&amp;", ")),--('Bảng tin &amp; Chi tiết tin'!$AT$7:$AT$500="Block"))+SUMPRODUCT(--ISNUMBER(SEARCH(", "&amp;$B14&amp;", ",", "&amp;'Quà cảm ơn'!$B$7:$B$500&amp;", ")),--('Quà cảm ơn'!$AT$7:$AT$500="Block"))+SUMPRODUCT(--ISNUMBER(SEARCH(", "&amp;$B14&amp;", ",", "&amp;'Trang chủ'!$B$7:$B$500&amp;", ")),--('Trang chủ'!$AT$7:$AT$500="Block"))+SUMPRODUCT(--ISNUMBER(SEARCH(", "&amp;$B14&amp;", ",", "&amp;'Thông báo'!$B$7:$B$500&amp;", ")),--('Thông báo'!$AT$7:$AT$500="Block"))+SUMPRODUCT(--ISNUMBER(SEARCH(", "&amp;$B14&amp;", ",", "&amp;'Đăng tin &amp; Quản lý tin'!$B$7:$B$500&amp;", ")),--('Đăng tin &amp; Quản lý tin'!$AT$7:$AT$500="Block"))+SUMPRODUCT(--ISNUMBER(SEARCH(", "&amp;$B14&amp;", ",", "&amp;'Trust &amp; Safety'!$B$7:$B$500&amp;", ")),--('Trust &amp; Safety'!$AT$7:$AT$500="Block"))+SUMPRODUCT(--ISNUMBER(SEARCH(", "&amp;$B14&amp;", ",", "&amp;'Tài khoản &amp; Hồ sơ'!$B$7:$B$500&amp;", ")),--('Tài khoản &amp; Hồ sơ'!$AT$7:$AT$500="Block"))</f>
        <v>0</v>
      </c>
      <c r="J14" s="51" t="n">
        <f aca="false">SUMPRODUCT(--ISNUMBER(SEARCH(", "&amp;$B14&amp;", ",", "&amp;'Hoạt động (Đơn của tôi)'!$B$7:$B$500&amp;", ")),--('Hoạt động (Đơn của tôi)'!$AT$7:$AT$500="N/A"))+SUMPRODUCT(--ISNUMBER(SEARCH(", "&amp;$B14&amp;", ",", "&amp;'Ghép nối'!$B$7:$B$500&amp;", ")),--('Ghép nối'!$AT$7:$AT$500="N/A"))+SUMPRODUCT(--ISNUMBER(SEARCH(", "&amp;$B14&amp;", ",", "&amp;'Huỷ đơn - Huỷ nhận đơn'!$B$7:$B$500&amp;", ")),--('Huỷ đơn - Huỷ nhận đơn'!$AT$7:$AT$500="N/A"))+SUMPRODUCT(--ISNUMBER(SEARCH(", "&amp;$B14&amp;", ",", "&amp;'Giao nhận &amp; Theo dõi đơn'!$B$7:$B$500&amp;", ")),--('Giao nhận &amp; Theo dõi đơn'!$AT$7:$AT$500="N/A"))+SUMPRODUCT(--ISNUMBER(SEARCH(", "&amp;$B14&amp;", ",", "&amp;'Bảng tin &amp; Chi tiết tin'!$B$7:$B$500&amp;", ")),--('Bảng tin &amp; Chi tiết tin'!$AT$7:$AT$500="N/A"))+SUMPRODUCT(--ISNUMBER(SEARCH(", "&amp;$B14&amp;", ",", "&amp;'Quà cảm ơn'!$B$7:$B$500&amp;", ")),--('Quà cảm ơn'!$AT$7:$AT$500="N/A"))+SUMPRODUCT(--ISNUMBER(SEARCH(", "&amp;$B14&amp;", ",", "&amp;'Trang chủ'!$B$7:$B$500&amp;", ")),--('Trang chủ'!$AT$7:$AT$500="N/A"))+SUMPRODUCT(--ISNUMBER(SEARCH(", "&amp;$B14&amp;", ",", "&amp;'Thông báo'!$B$7:$B$500&amp;", ")),--('Thông báo'!$AT$7:$AT$500="N/A"))+SUMPRODUCT(--ISNUMBER(SEARCH(", "&amp;$B14&amp;", ",", "&amp;'Đăng tin &amp; Quản lý tin'!$B$7:$B$500&amp;", ")),--('Đăng tin &amp; Quản lý tin'!$AT$7:$AT$500="N/A"))+SUMPRODUCT(--ISNUMBER(SEARCH(", "&amp;$B14&amp;", ",", "&amp;'Trust &amp; Safety'!$B$7:$B$500&amp;", ")),--('Trust &amp; Safety'!$AT$7:$AT$500="N/A"))+SUMPRODUCT(--ISNUMBER(SEARCH(", "&amp;$B14&amp;", ",", "&amp;'Tài khoản &amp; Hồ sơ'!$B$7:$B$500&amp;", ")),--('Tài khoản &amp; Hồ sơ'!$AT$7:$AT$500="N/A"))</f>
        <v>0</v>
      </c>
      <c r="K14" s="52" t="n">
        <f aca="false">IFERROR(F14/E14,0)</f>
        <v>0</v>
      </c>
      <c r="L14" s="123" t="str">
        <f aca="false">IF(E14=0,"Chưa có TC (gap)",IF(H14&gt;0,"Có lỗi (Fail)",IF(I14&gt;0,"Bị block",IF(F14&lt;E14,"Đang test",IF(G14=0,"Không áp dụng (N/A)","Đã test xong")))))</f>
        <v>Đang test</v>
      </c>
      <c r="AB14" s="1" t="s">
        <v>416</v>
      </c>
      <c r="AD14" s="1" t="s">
        <v>444</v>
      </c>
      <c r="AE14" s="1" t="n">
        <f aca="false">SUMIF($AB$6:$AB$77,$AD14,$E$6:$E$77)</f>
        <v>50</v>
      </c>
      <c r="AF14" s="1" t="n">
        <f aca="false">SUMIF($AB$6:$AB$77,$AD14,$F$6:$F$77)</f>
        <v>0</v>
      </c>
    </row>
    <row r="15" customFormat="false" ht="68.25" hidden="false" customHeight="true" outlineLevel="0" collapsed="false">
      <c r="B15" s="175" t="s">
        <v>445</v>
      </c>
      <c r="C15" s="176" t="s">
        <v>446</v>
      </c>
      <c r="D15" s="123" t="s">
        <v>447</v>
      </c>
      <c r="E15" s="51" t="n">
        <f aca="false">SUMPRODUCT(--ISNUMBER(SEARCH(", "&amp;$B15&amp;", ",", "&amp;'Hoạt động (Đơn của tôi)'!$B$7:$B$500&amp;", ")))+SUMPRODUCT(--ISNUMBER(SEARCH(", "&amp;$B15&amp;", ",", "&amp;'Ghép nối'!$B$7:$B$500&amp;", ")))+SUMPRODUCT(--ISNUMBER(SEARCH(", "&amp;$B15&amp;", ",", "&amp;'Huỷ đơn - Huỷ nhận đơn'!$B$7:$B$500&amp;", ")))+SUMPRODUCT(--ISNUMBER(SEARCH(", "&amp;$B15&amp;", ",", "&amp;'Giao nhận &amp; Theo dõi đơn'!$B$7:$B$500&amp;", ")))+SUMPRODUCT(--ISNUMBER(SEARCH(", "&amp;$B15&amp;", ",", "&amp;'Bảng tin &amp; Chi tiết tin'!$B$7:$B$500&amp;", ")))+SUMPRODUCT(--ISNUMBER(SEARCH(", "&amp;$B15&amp;", ",", "&amp;'Quà cảm ơn'!$B$7:$B$500&amp;", ")))+SUMPRODUCT(--ISNUMBER(SEARCH(", "&amp;$B15&amp;", ",", "&amp;'Trang chủ'!$B$7:$B$500&amp;", ")))+SUMPRODUCT(--ISNUMBER(SEARCH(", "&amp;$B15&amp;", ",", "&amp;'Thông báo'!$B$7:$B$500&amp;", ")))+SUMPRODUCT(--ISNUMBER(SEARCH(", "&amp;$B15&amp;", ",", "&amp;'Đăng tin &amp; Quản lý tin'!$B$7:$B$500&amp;", ")))+SUMPRODUCT(--ISNUMBER(SEARCH(", "&amp;$B15&amp;", ",", "&amp;'Trust &amp; Safety'!$B$7:$B$500&amp;", ")))+SUMPRODUCT(--ISNUMBER(SEARCH(", "&amp;$B15&amp;", ",", "&amp;'Tài khoản &amp; Hồ sơ'!$B$7:$B$500&amp;", ")))</f>
        <v>4</v>
      </c>
      <c r="F15" s="51" t="n">
        <f aca="false">SUMPRODUCT(--ISNUMBER(SEARCH(", "&amp;$B15&amp;", ",", "&amp;'Hoạt động (Đơn của tôi)'!$B$7:$B$500&amp;", ")),--('Hoạt động (Đơn của tôi)'!$AT$7:$AT$500&lt;&gt;""))+SUMPRODUCT(--ISNUMBER(SEARCH(", "&amp;$B15&amp;", ",", "&amp;'Ghép nối'!$B$7:$B$500&amp;", ")),--('Ghép nối'!$AT$7:$AT$500&lt;&gt;""))+SUMPRODUCT(--ISNUMBER(SEARCH(", "&amp;$B15&amp;", ",", "&amp;'Huỷ đơn - Huỷ nhận đơn'!$B$7:$B$500&amp;", ")),--('Huỷ đơn - Huỷ nhận đơn'!$AT$7:$AT$500&lt;&gt;""))+SUMPRODUCT(--ISNUMBER(SEARCH(", "&amp;$B15&amp;", ",", "&amp;'Giao nhận &amp; Theo dõi đơn'!$B$7:$B$500&amp;", ")),--('Giao nhận &amp; Theo dõi đơn'!$AT$7:$AT$500&lt;&gt;""))+SUMPRODUCT(--ISNUMBER(SEARCH(", "&amp;$B15&amp;", ",", "&amp;'Bảng tin &amp; Chi tiết tin'!$B$7:$B$500&amp;", ")),--('Bảng tin &amp; Chi tiết tin'!$AT$7:$AT$500&lt;&gt;""))+SUMPRODUCT(--ISNUMBER(SEARCH(", "&amp;$B15&amp;", ",", "&amp;'Quà cảm ơn'!$B$7:$B$500&amp;", ")),--('Quà cảm ơn'!$AT$7:$AT$500&lt;&gt;""))+SUMPRODUCT(--ISNUMBER(SEARCH(", "&amp;$B15&amp;", ",", "&amp;'Trang chủ'!$B$7:$B$500&amp;", ")),--('Trang chủ'!$AT$7:$AT$500&lt;&gt;""))+SUMPRODUCT(--ISNUMBER(SEARCH(", "&amp;$B15&amp;", ",", "&amp;'Thông báo'!$B$7:$B$500&amp;", ")),--('Thông báo'!$AT$7:$AT$500&lt;&gt;""))+SUMPRODUCT(--ISNUMBER(SEARCH(", "&amp;$B15&amp;", ",", "&amp;'Đăng tin &amp; Quản lý tin'!$B$7:$B$500&amp;", ")),--('Đăng tin &amp; Quản lý tin'!$AT$7:$AT$500&lt;&gt;""))+SUMPRODUCT(--ISNUMBER(SEARCH(", "&amp;$B15&amp;", ",", "&amp;'Trust &amp; Safety'!$B$7:$B$500&amp;", ")),--('Trust &amp; Safety'!$AT$7:$AT$500&lt;&gt;""))+SUMPRODUCT(--ISNUMBER(SEARCH(", "&amp;$B15&amp;", ",", "&amp;'Tài khoản &amp; Hồ sơ'!$B$7:$B$500&amp;", ")),--('Tài khoản &amp; Hồ sơ'!$AT$7:$AT$500&lt;&gt;""))</f>
        <v>0</v>
      </c>
      <c r="G15" s="51" t="n">
        <f aca="false">SUMPRODUCT(--ISNUMBER(SEARCH(", "&amp;$B15&amp;", ",", "&amp;'Hoạt động (Đơn của tôi)'!$B$7:$B$500&amp;", ")),--('Hoạt động (Đơn của tôi)'!$AT$7:$AT$500="Pass"))+SUMPRODUCT(--ISNUMBER(SEARCH(", "&amp;$B15&amp;", ",", "&amp;'Ghép nối'!$B$7:$B$500&amp;", ")),--('Ghép nối'!$AT$7:$AT$500="Pass"))+SUMPRODUCT(--ISNUMBER(SEARCH(", "&amp;$B15&amp;", ",", "&amp;'Huỷ đơn - Huỷ nhận đơn'!$B$7:$B$500&amp;", ")),--('Huỷ đơn - Huỷ nhận đơn'!$AT$7:$AT$500="Pass"))+SUMPRODUCT(--ISNUMBER(SEARCH(", "&amp;$B15&amp;", ",", "&amp;'Giao nhận &amp; Theo dõi đơn'!$B$7:$B$500&amp;", ")),--('Giao nhận &amp; Theo dõi đơn'!$AT$7:$AT$500="Pass"))+SUMPRODUCT(--ISNUMBER(SEARCH(", "&amp;$B15&amp;", ",", "&amp;'Bảng tin &amp; Chi tiết tin'!$B$7:$B$500&amp;", ")),--('Bảng tin &amp; Chi tiết tin'!$AT$7:$AT$500="Pass"))+SUMPRODUCT(--ISNUMBER(SEARCH(", "&amp;$B15&amp;", ",", "&amp;'Quà cảm ơn'!$B$7:$B$500&amp;", ")),--('Quà cảm ơn'!$AT$7:$AT$500="Pass"))+SUMPRODUCT(--ISNUMBER(SEARCH(", "&amp;$B15&amp;", ",", "&amp;'Trang chủ'!$B$7:$B$500&amp;", ")),--('Trang chủ'!$AT$7:$AT$500="Pass"))+SUMPRODUCT(--ISNUMBER(SEARCH(", "&amp;$B15&amp;", ",", "&amp;'Thông báo'!$B$7:$B$500&amp;", ")),--('Thông báo'!$AT$7:$AT$500="Pass"))+SUMPRODUCT(--ISNUMBER(SEARCH(", "&amp;$B15&amp;", ",", "&amp;'Đăng tin &amp; Quản lý tin'!$B$7:$B$500&amp;", ")),--('Đăng tin &amp; Quản lý tin'!$AT$7:$AT$500="Pass"))+SUMPRODUCT(--ISNUMBER(SEARCH(", "&amp;$B15&amp;", ",", "&amp;'Trust &amp; Safety'!$B$7:$B$500&amp;", ")),--('Trust &amp; Safety'!$AT$7:$AT$500="Pass"))+SUMPRODUCT(--ISNUMBER(SEARCH(", "&amp;$B15&amp;", ",", "&amp;'Tài khoản &amp; Hồ sơ'!$B$7:$B$500&amp;", ")),--('Tài khoản &amp; Hồ sơ'!$AT$7:$AT$500="Pass"))</f>
        <v>0</v>
      </c>
      <c r="H15" s="51" t="n">
        <f aca="false">SUMPRODUCT(--ISNUMBER(SEARCH(", "&amp;$B15&amp;", ",", "&amp;'Hoạt động (Đơn của tôi)'!$B$7:$B$500&amp;", ")),--('Hoạt động (Đơn của tôi)'!$AT$7:$AT$500="Fail"))+SUMPRODUCT(--ISNUMBER(SEARCH(", "&amp;$B15&amp;", ",", "&amp;'Ghép nối'!$B$7:$B$500&amp;", ")),--('Ghép nối'!$AT$7:$AT$500="Fail"))+SUMPRODUCT(--ISNUMBER(SEARCH(", "&amp;$B15&amp;", ",", "&amp;'Huỷ đơn - Huỷ nhận đơn'!$B$7:$B$500&amp;", ")),--('Huỷ đơn - Huỷ nhận đơn'!$AT$7:$AT$500="Fail"))+SUMPRODUCT(--ISNUMBER(SEARCH(", "&amp;$B15&amp;", ",", "&amp;'Giao nhận &amp; Theo dõi đơn'!$B$7:$B$500&amp;", ")),--('Giao nhận &amp; Theo dõi đơn'!$AT$7:$AT$500="Fail"))+SUMPRODUCT(--ISNUMBER(SEARCH(", "&amp;$B15&amp;", ",", "&amp;'Bảng tin &amp; Chi tiết tin'!$B$7:$B$500&amp;", ")),--('Bảng tin &amp; Chi tiết tin'!$AT$7:$AT$500="Fail"))+SUMPRODUCT(--ISNUMBER(SEARCH(", "&amp;$B15&amp;", ",", "&amp;'Quà cảm ơn'!$B$7:$B$500&amp;", ")),--('Quà cảm ơn'!$AT$7:$AT$500="Fail"))+SUMPRODUCT(--ISNUMBER(SEARCH(", "&amp;$B15&amp;", ",", "&amp;'Trang chủ'!$B$7:$B$500&amp;", ")),--('Trang chủ'!$AT$7:$AT$500="Fail"))+SUMPRODUCT(--ISNUMBER(SEARCH(", "&amp;$B15&amp;", ",", "&amp;'Thông báo'!$B$7:$B$500&amp;", ")),--('Thông báo'!$AT$7:$AT$500="Fail"))+SUMPRODUCT(--ISNUMBER(SEARCH(", "&amp;$B15&amp;", ",", "&amp;'Đăng tin &amp; Quản lý tin'!$B$7:$B$500&amp;", ")),--('Đăng tin &amp; Quản lý tin'!$AT$7:$AT$500="Fail"))+SUMPRODUCT(--ISNUMBER(SEARCH(", "&amp;$B15&amp;", ",", "&amp;'Trust &amp; Safety'!$B$7:$B$500&amp;", ")),--('Trust &amp; Safety'!$AT$7:$AT$500="Fail"))+SUMPRODUCT(--ISNUMBER(SEARCH(", "&amp;$B15&amp;", ",", "&amp;'Tài khoản &amp; Hồ sơ'!$B$7:$B$500&amp;", ")),--('Tài khoản &amp; Hồ sơ'!$AT$7:$AT$500="Fail"))</f>
        <v>0</v>
      </c>
      <c r="I15" s="51" t="n">
        <f aca="false">SUMPRODUCT(--ISNUMBER(SEARCH(", "&amp;$B15&amp;", ",", "&amp;'Hoạt động (Đơn của tôi)'!$B$7:$B$500&amp;", ")),--('Hoạt động (Đơn của tôi)'!$AT$7:$AT$500="Block"))+SUMPRODUCT(--ISNUMBER(SEARCH(", "&amp;$B15&amp;", ",", "&amp;'Ghép nối'!$B$7:$B$500&amp;", ")),--('Ghép nối'!$AT$7:$AT$500="Block"))+SUMPRODUCT(--ISNUMBER(SEARCH(", "&amp;$B15&amp;", ",", "&amp;'Huỷ đơn - Huỷ nhận đơn'!$B$7:$B$500&amp;", ")),--('Huỷ đơn - Huỷ nhận đơn'!$AT$7:$AT$500="Block"))+SUMPRODUCT(--ISNUMBER(SEARCH(", "&amp;$B15&amp;", ",", "&amp;'Giao nhận &amp; Theo dõi đơn'!$B$7:$B$500&amp;", ")),--('Giao nhận &amp; Theo dõi đơn'!$AT$7:$AT$500="Block"))+SUMPRODUCT(--ISNUMBER(SEARCH(", "&amp;$B15&amp;", ",", "&amp;'Bảng tin &amp; Chi tiết tin'!$B$7:$B$500&amp;", ")),--('Bảng tin &amp; Chi tiết tin'!$AT$7:$AT$500="Block"))+SUMPRODUCT(--ISNUMBER(SEARCH(", "&amp;$B15&amp;", ",", "&amp;'Quà cảm ơn'!$B$7:$B$500&amp;", ")),--('Quà cảm ơn'!$AT$7:$AT$500="Block"))+SUMPRODUCT(--ISNUMBER(SEARCH(", "&amp;$B15&amp;", ",", "&amp;'Trang chủ'!$B$7:$B$500&amp;", ")),--('Trang chủ'!$AT$7:$AT$500="Block"))+SUMPRODUCT(--ISNUMBER(SEARCH(", "&amp;$B15&amp;", ",", "&amp;'Thông báo'!$B$7:$B$500&amp;", ")),--('Thông báo'!$AT$7:$AT$500="Block"))+SUMPRODUCT(--ISNUMBER(SEARCH(", "&amp;$B15&amp;", ",", "&amp;'Đăng tin &amp; Quản lý tin'!$B$7:$B$500&amp;", ")),--('Đăng tin &amp; Quản lý tin'!$AT$7:$AT$500="Block"))+SUMPRODUCT(--ISNUMBER(SEARCH(", "&amp;$B15&amp;", ",", "&amp;'Trust &amp; Safety'!$B$7:$B$500&amp;", ")),--('Trust &amp; Safety'!$AT$7:$AT$500="Block"))+SUMPRODUCT(--ISNUMBER(SEARCH(", "&amp;$B15&amp;", ",", "&amp;'Tài khoản &amp; Hồ sơ'!$B$7:$B$500&amp;", ")),--('Tài khoản &amp; Hồ sơ'!$AT$7:$AT$500="Block"))</f>
        <v>0</v>
      </c>
      <c r="J15" s="51" t="n">
        <f aca="false">SUMPRODUCT(--ISNUMBER(SEARCH(", "&amp;$B15&amp;", ",", "&amp;'Hoạt động (Đơn của tôi)'!$B$7:$B$500&amp;", ")),--('Hoạt động (Đơn của tôi)'!$AT$7:$AT$500="N/A"))+SUMPRODUCT(--ISNUMBER(SEARCH(", "&amp;$B15&amp;", ",", "&amp;'Ghép nối'!$B$7:$B$500&amp;", ")),--('Ghép nối'!$AT$7:$AT$500="N/A"))+SUMPRODUCT(--ISNUMBER(SEARCH(", "&amp;$B15&amp;", ",", "&amp;'Huỷ đơn - Huỷ nhận đơn'!$B$7:$B$500&amp;", ")),--('Huỷ đơn - Huỷ nhận đơn'!$AT$7:$AT$500="N/A"))+SUMPRODUCT(--ISNUMBER(SEARCH(", "&amp;$B15&amp;", ",", "&amp;'Giao nhận &amp; Theo dõi đơn'!$B$7:$B$500&amp;", ")),--('Giao nhận &amp; Theo dõi đơn'!$AT$7:$AT$500="N/A"))+SUMPRODUCT(--ISNUMBER(SEARCH(", "&amp;$B15&amp;", ",", "&amp;'Bảng tin &amp; Chi tiết tin'!$B$7:$B$500&amp;", ")),--('Bảng tin &amp; Chi tiết tin'!$AT$7:$AT$500="N/A"))+SUMPRODUCT(--ISNUMBER(SEARCH(", "&amp;$B15&amp;", ",", "&amp;'Quà cảm ơn'!$B$7:$B$500&amp;", ")),--('Quà cảm ơn'!$AT$7:$AT$500="N/A"))+SUMPRODUCT(--ISNUMBER(SEARCH(", "&amp;$B15&amp;", ",", "&amp;'Trang chủ'!$B$7:$B$500&amp;", ")),--('Trang chủ'!$AT$7:$AT$500="N/A"))+SUMPRODUCT(--ISNUMBER(SEARCH(", "&amp;$B15&amp;", ",", "&amp;'Thông báo'!$B$7:$B$500&amp;", ")),--('Thông báo'!$AT$7:$AT$500="N/A"))+SUMPRODUCT(--ISNUMBER(SEARCH(", "&amp;$B15&amp;", ",", "&amp;'Đăng tin &amp; Quản lý tin'!$B$7:$B$500&amp;", ")),--('Đăng tin &amp; Quản lý tin'!$AT$7:$AT$500="N/A"))+SUMPRODUCT(--ISNUMBER(SEARCH(", "&amp;$B15&amp;", ",", "&amp;'Trust &amp; Safety'!$B$7:$B$500&amp;", ")),--('Trust &amp; Safety'!$AT$7:$AT$500="N/A"))+SUMPRODUCT(--ISNUMBER(SEARCH(", "&amp;$B15&amp;", ",", "&amp;'Tài khoản &amp; Hồ sơ'!$B$7:$B$500&amp;", ")),--('Tài khoản &amp; Hồ sơ'!$AT$7:$AT$500="N/A"))</f>
        <v>0</v>
      </c>
      <c r="K15" s="52" t="n">
        <f aca="false">IFERROR(F15/E15,0)</f>
        <v>0</v>
      </c>
      <c r="L15" s="123" t="str">
        <f aca="false">IF(E15=0,"Chưa có TC (gap)",IF(H15&gt;0,"Có lỗi (Fail)",IF(I15&gt;0,"Bị block",IF(F15&lt;E15,"Đang test",IF(G15=0,"Không áp dụng (N/A)","Đã test xong")))))</f>
        <v>Đang test</v>
      </c>
      <c r="AB15" s="1" t="s">
        <v>416</v>
      </c>
      <c r="AD15" s="1" t="s">
        <v>448</v>
      </c>
      <c r="AE15" s="1" t="n">
        <f aca="false">SUMIF($AB$6:$AB$77,$AD15,$E$6:$E$77)</f>
        <v>17</v>
      </c>
      <c r="AF15" s="1" t="n">
        <f aca="false">SUMIF($AB$6:$AB$77,$AD15,$F$6:$F$77)</f>
        <v>0</v>
      </c>
    </row>
    <row r="16" customFormat="false" ht="57" hidden="false" customHeight="true" outlineLevel="0" collapsed="false">
      <c r="B16" s="175" t="s">
        <v>449</v>
      </c>
      <c r="C16" s="176" t="s">
        <v>450</v>
      </c>
      <c r="D16" s="123" t="s">
        <v>451</v>
      </c>
      <c r="E16" s="51" t="n">
        <f aca="false">SUMPRODUCT(--ISNUMBER(SEARCH(", "&amp;$B16&amp;", ",", "&amp;'Hoạt động (Đơn của tôi)'!$B$7:$B$500&amp;", ")))+SUMPRODUCT(--ISNUMBER(SEARCH(", "&amp;$B16&amp;", ",", "&amp;'Ghép nối'!$B$7:$B$500&amp;", ")))+SUMPRODUCT(--ISNUMBER(SEARCH(", "&amp;$B16&amp;", ",", "&amp;'Huỷ đơn - Huỷ nhận đơn'!$B$7:$B$500&amp;", ")))+SUMPRODUCT(--ISNUMBER(SEARCH(", "&amp;$B16&amp;", ",", "&amp;'Giao nhận &amp; Theo dõi đơn'!$B$7:$B$500&amp;", ")))+SUMPRODUCT(--ISNUMBER(SEARCH(", "&amp;$B16&amp;", ",", "&amp;'Bảng tin &amp; Chi tiết tin'!$B$7:$B$500&amp;", ")))+SUMPRODUCT(--ISNUMBER(SEARCH(", "&amp;$B16&amp;", ",", "&amp;'Quà cảm ơn'!$B$7:$B$500&amp;", ")))+SUMPRODUCT(--ISNUMBER(SEARCH(", "&amp;$B16&amp;", ",", "&amp;'Trang chủ'!$B$7:$B$500&amp;", ")))+SUMPRODUCT(--ISNUMBER(SEARCH(", "&amp;$B16&amp;", ",", "&amp;'Thông báo'!$B$7:$B$500&amp;", ")))+SUMPRODUCT(--ISNUMBER(SEARCH(", "&amp;$B16&amp;", ",", "&amp;'Đăng tin &amp; Quản lý tin'!$B$7:$B$500&amp;", ")))+SUMPRODUCT(--ISNUMBER(SEARCH(", "&amp;$B16&amp;", ",", "&amp;'Trust &amp; Safety'!$B$7:$B$500&amp;", ")))+SUMPRODUCT(--ISNUMBER(SEARCH(", "&amp;$B16&amp;", ",", "&amp;'Tài khoản &amp; Hồ sơ'!$B$7:$B$500&amp;", ")))</f>
        <v>1</v>
      </c>
      <c r="F16" s="51" t="n">
        <f aca="false">SUMPRODUCT(--ISNUMBER(SEARCH(", "&amp;$B16&amp;", ",", "&amp;'Hoạt động (Đơn của tôi)'!$B$7:$B$500&amp;", ")),--('Hoạt động (Đơn của tôi)'!$AT$7:$AT$500&lt;&gt;""))+SUMPRODUCT(--ISNUMBER(SEARCH(", "&amp;$B16&amp;", ",", "&amp;'Ghép nối'!$B$7:$B$500&amp;", ")),--('Ghép nối'!$AT$7:$AT$500&lt;&gt;""))+SUMPRODUCT(--ISNUMBER(SEARCH(", "&amp;$B16&amp;", ",", "&amp;'Huỷ đơn - Huỷ nhận đơn'!$B$7:$B$500&amp;", ")),--('Huỷ đơn - Huỷ nhận đơn'!$AT$7:$AT$500&lt;&gt;""))+SUMPRODUCT(--ISNUMBER(SEARCH(", "&amp;$B16&amp;", ",", "&amp;'Giao nhận &amp; Theo dõi đơn'!$B$7:$B$500&amp;", ")),--('Giao nhận &amp; Theo dõi đơn'!$AT$7:$AT$500&lt;&gt;""))+SUMPRODUCT(--ISNUMBER(SEARCH(", "&amp;$B16&amp;", ",", "&amp;'Bảng tin &amp; Chi tiết tin'!$B$7:$B$500&amp;", ")),--('Bảng tin &amp; Chi tiết tin'!$AT$7:$AT$500&lt;&gt;""))+SUMPRODUCT(--ISNUMBER(SEARCH(", "&amp;$B16&amp;", ",", "&amp;'Quà cảm ơn'!$B$7:$B$500&amp;", ")),--('Quà cảm ơn'!$AT$7:$AT$500&lt;&gt;""))+SUMPRODUCT(--ISNUMBER(SEARCH(", "&amp;$B16&amp;", ",", "&amp;'Trang chủ'!$B$7:$B$500&amp;", ")),--('Trang chủ'!$AT$7:$AT$500&lt;&gt;""))+SUMPRODUCT(--ISNUMBER(SEARCH(", "&amp;$B16&amp;", ",", "&amp;'Thông báo'!$B$7:$B$500&amp;", ")),--('Thông báo'!$AT$7:$AT$500&lt;&gt;""))+SUMPRODUCT(--ISNUMBER(SEARCH(", "&amp;$B16&amp;", ",", "&amp;'Đăng tin &amp; Quản lý tin'!$B$7:$B$500&amp;", ")),--('Đăng tin &amp; Quản lý tin'!$AT$7:$AT$500&lt;&gt;""))+SUMPRODUCT(--ISNUMBER(SEARCH(", "&amp;$B16&amp;", ",", "&amp;'Trust &amp; Safety'!$B$7:$B$500&amp;", ")),--('Trust &amp; Safety'!$AT$7:$AT$500&lt;&gt;""))+SUMPRODUCT(--ISNUMBER(SEARCH(", "&amp;$B16&amp;", ",", "&amp;'Tài khoản &amp; Hồ sơ'!$B$7:$B$500&amp;", ")),--('Tài khoản &amp; Hồ sơ'!$AT$7:$AT$500&lt;&gt;""))</f>
        <v>0</v>
      </c>
      <c r="G16" s="51" t="n">
        <f aca="false">SUMPRODUCT(--ISNUMBER(SEARCH(", "&amp;$B16&amp;", ",", "&amp;'Hoạt động (Đơn của tôi)'!$B$7:$B$500&amp;", ")),--('Hoạt động (Đơn của tôi)'!$AT$7:$AT$500="Pass"))+SUMPRODUCT(--ISNUMBER(SEARCH(", "&amp;$B16&amp;", ",", "&amp;'Ghép nối'!$B$7:$B$500&amp;", ")),--('Ghép nối'!$AT$7:$AT$500="Pass"))+SUMPRODUCT(--ISNUMBER(SEARCH(", "&amp;$B16&amp;", ",", "&amp;'Huỷ đơn - Huỷ nhận đơn'!$B$7:$B$500&amp;", ")),--('Huỷ đơn - Huỷ nhận đơn'!$AT$7:$AT$500="Pass"))+SUMPRODUCT(--ISNUMBER(SEARCH(", "&amp;$B16&amp;", ",", "&amp;'Giao nhận &amp; Theo dõi đơn'!$B$7:$B$500&amp;", ")),--('Giao nhận &amp; Theo dõi đơn'!$AT$7:$AT$500="Pass"))+SUMPRODUCT(--ISNUMBER(SEARCH(", "&amp;$B16&amp;", ",", "&amp;'Bảng tin &amp; Chi tiết tin'!$B$7:$B$500&amp;", ")),--('Bảng tin &amp; Chi tiết tin'!$AT$7:$AT$500="Pass"))+SUMPRODUCT(--ISNUMBER(SEARCH(", "&amp;$B16&amp;", ",", "&amp;'Quà cảm ơn'!$B$7:$B$500&amp;", ")),--('Quà cảm ơn'!$AT$7:$AT$500="Pass"))+SUMPRODUCT(--ISNUMBER(SEARCH(", "&amp;$B16&amp;", ",", "&amp;'Trang chủ'!$B$7:$B$500&amp;", ")),--('Trang chủ'!$AT$7:$AT$500="Pass"))+SUMPRODUCT(--ISNUMBER(SEARCH(", "&amp;$B16&amp;", ",", "&amp;'Thông báo'!$B$7:$B$500&amp;", ")),--('Thông báo'!$AT$7:$AT$500="Pass"))+SUMPRODUCT(--ISNUMBER(SEARCH(", "&amp;$B16&amp;", ",", "&amp;'Đăng tin &amp; Quản lý tin'!$B$7:$B$500&amp;", ")),--('Đăng tin &amp; Quản lý tin'!$AT$7:$AT$500="Pass"))+SUMPRODUCT(--ISNUMBER(SEARCH(", "&amp;$B16&amp;", ",", "&amp;'Trust &amp; Safety'!$B$7:$B$500&amp;", ")),--('Trust &amp; Safety'!$AT$7:$AT$500="Pass"))+SUMPRODUCT(--ISNUMBER(SEARCH(", "&amp;$B16&amp;", ",", "&amp;'Tài khoản &amp; Hồ sơ'!$B$7:$B$500&amp;", ")),--('Tài khoản &amp; Hồ sơ'!$AT$7:$AT$500="Pass"))</f>
        <v>0</v>
      </c>
      <c r="H16" s="51" t="n">
        <f aca="false">SUMPRODUCT(--ISNUMBER(SEARCH(", "&amp;$B16&amp;", ",", "&amp;'Hoạt động (Đơn của tôi)'!$B$7:$B$500&amp;", ")),--('Hoạt động (Đơn của tôi)'!$AT$7:$AT$500="Fail"))+SUMPRODUCT(--ISNUMBER(SEARCH(", "&amp;$B16&amp;", ",", "&amp;'Ghép nối'!$B$7:$B$500&amp;", ")),--('Ghép nối'!$AT$7:$AT$500="Fail"))+SUMPRODUCT(--ISNUMBER(SEARCH(", "&amp;$B16&amp;", ",", "&amp;'Huỷ đơn - Huỷ nhận đơn'!$B$7:$B$500&amp;", ")),--('Huỷ đơn - Huỷ nhận đơn'!$AT$7:$AT$500="Fail"))+SUMPRODUCT(--ISNUMBER(SEARCH(", "&amp;$B16&amp;", ",", "&amp;'Giao nhận &amp; Theo dõi đơn'!$B$7:$B$500&amp;", ")),--('Giao nhận &amp; Theo dõi đơn'!$AT$7:$AT$500="Fail"))+SUMPRODUCT(--ISNUMBER(SEARCH(", "&amp;$B16&amp;", ",", "&amp;'Bảng tin &amp; Chi tiết tin'!$B$7:$B$500&amp;", ")),--('Bảng tin &amp; Chi tiết tin'!$AT$7:$AT$500="Fail"))+SUMPRODUCT(--ISNUMBER(SEARCH(", "&amp;$B16&amp;", ",", "&amp;'Quà cảm ơn'!$B$7:$B$500&amp;", ")),--('Quà cảm ơn'!$AT$7:$AT$500="Fail"))+SUMPRODUCT(--ISNUMBER(SEARCH(", "&amp;$B16&amp;", ",", "&amp;'Trang chủ'!$B$7:$B$500&amp;", ")),--('Trang chủ'!$AT$7:$AT$500="Fail"))+SUMPRODUCT(--ISNUMBER(SEARCH(", "&amp;$B16&amp;", ",", "&amp;'Thông báo'!$B$7:$B$500&amp;", ")),--('Thông báo'!$AT$7:$AT$500="Fail"))+SUMPRODUCT(--ISNUMBER(SEARCH(", "&amp;$B16&amp;", ",", "&amp;'Đăng tin &amp; Quản lý tin'!$B$7:$B$500&amp;", ")),--('Đăng tin &amp; Quản lý tin'!$AT$7:$AT$500="Fail"))+SUMPRODUCT(--ISNUMBER(SEARCH(", "&amp;$B16&amp;", ",", "&amp;'Trust &amp; Safety'!$B$7:$B$500&amp;", ")),--('Trust &amp; Safety'!$AT$7:$AT$500="Fail"))+SUMPRODUCT(--ISNUMBER(SEARCH(", "&amp;$B16&amp;", ",", "&amp;'Tài khoản &amp; Hồ sơ'!$B$7:$B$500&amp;", ")),--('Tài khoản &amp; Hồ sơ'!$AT$7:$AT$500="Fail"))</f>
        <v>0</v>
      </c>
      <c r="I16" s="51" t="n">
        <f aca="false">SUMPRODUCT(--ISNUMBER(SEARCH(", "&amp;$B16&amp;", ",", "&amp;'Hoạt động (Đơn của tôi)'!$B$7:$B$500&amp;", ")),--('Hoạt động (Đơn của tôi)'!$AT$7:$AT$500="Block"))+SUMPRODUCT(--ISNUMBER(SEARCH(", "&amp;$B16&amp;", ",", "&amp;'Ghép nối'!$B$7:$B$500&amp;", ")),--('Ghép nối'!$AT$7:$AT$500="Block"))+SUMPRODUCT(--ISNUMBER(SEARCH(", "&amp;$B16&amp;", ",", "&amp;'Huỷ đơn - Huỷ nhận đơn'!$B$7:$B$500&amp;", ")),--('Huỷ đơn - Huỷ nhận đơn'!$AT$7:$AT$500="Block"))+SUMPRODUCT(--ISNUMBER(SEARCH(", "&amp;$B16&amp;", ",", "&amp;'Giao nhận &amp; Theo dõi đơn'!$B$7:$B$500&amp;", ")),--('Giao nhận &amp; Theo dõi đơn'!$AT$7:$AT$500="Block"))+SUMPRODUCT(--ISNUMBER(SEARCH(", "&amp;$B16&amp;", ",", "&amp;'Bảng tin &amp; Chi tiết tin'!$B$7:$B$500&amp;", ")),--('Bảng tin &amp; Chi tiết tin'!$AT$7:$AT$500="Block"))+SUMPRODUCT(--ISNUMBER(SEARCH(", "&amp;$B16&amp;", ",", "&amp;'Quà cảm ơn'!$B$7:$B$500&amp;", ")),--('Quà cảm ơn'!$AT$7:$AT$500="Block"))+SUMPRODUCT(--ISNUMBER(SEARCH(", "&amp;$B16&amp;", ",", "&amp;'Trang chủ'!$B$7:$B$500&amp;", ")),--('Trang chủ'!$AT$7:$AT$500="Block"))+SUMPRODUCT(--ISNUMBER(SEARCH(", "&amp;$B16&amp;", ",", "&amp;'Thông báo'!$B$7:$B$500&amp;", ")),--('Thông báo'!$AT$7:$AT$500="Block"))+SUMPRODUCT(--ISNUMBER(SEARCH(", "&amp;$B16&amp;", ",", "&amp;'Đăng tin &amp; Quản lý tin'!$B$7:$B$500&amp;", ")),--('Đăng tin &amp; Quản lý tin'!$AT$7:$AT$500="Block"))+SUMPRODUCT(--ISNUMBER(SEARCH(", "&amp;$B16&amp;", ",", "&amp;'Trust &amp; Safety'!$B$7:$B$500&amp;", ")),--('Trust &amp; Safety'!$AT$7:$AT$500="Block"))+SUMPRODUCT(--ISNUMBER(SEARCH(", "&amp;$B16&amp;", ",", "&amp;'Tài khoản &amp; Hồ sơ'!$B$7:$B$500&amp;", ")),--('Tài khoản &amp; Hồ sơ'!$AT$7:$AT$500="Block"))</f>
        <v>0</v>
      </c>
      <c r="J16" s="51" t="n">
        <f aca="false">SUMPRODUCT(--ISNUMBER(SEARCH(", "&amp;$B16&amp;", ",", "&amp;'Hoạt động (Đơn của tôi)'!$B$7:$B$500&amp;", ")),--('Hoạt động (Đơn của tôi)'!$AT$7:$AT$500="N/A"))+SUMPRODUCT(--ISNUMBER(SEARCH(", "&amp;$B16&amp;", ",", "&amp;'Ghép nối'!$B$7:$B$500&amp;", ")),--('Ghép nối'!$AT$7:$AT$500="N/A"))+SUMPRODUCT(--ISNUMBER(SEARCH(", "&amp;$B16&amp;", ",", "&amp;'Huỷ đơn - Huỷ nhận đơn'!$B$7:$B$500&amp;", ")),--('Huỷ đơn - Huỷ nhận đơn'!$AT$7:$AT$500="N/A"))+SUMPRODUCT(--ISNUMBER(SEARCH(", "&amp;$B16&amp;", ",", "&amp;'Giao nhận &amp; Theo dõi đơn'!$B$7:$B$500&amp;", ")),--('Giao nhận &amp; Theo dõi đơn'!$AT$7:$AT$500="N/A"))+SUMPRODUCT(--ISNUMBER(SEARCH(", "&amp;$B16&amp;", ",", "&amp;'Bảng tin &amp; Chi tiết tin'!$B$7:$B$500&amp;", ")),--('Bảng tin &amp; Chi tiết tin'!$AT$7:$AT$500="N/A"))+SUMPRODUCT(--ISNUMBER(SEARCH(", "&amp;$B16&amp;", ",", "&amp;'Quà cảm ơn'!$B$7:$B$500&amp;", ")),--('Quà cảm ơn'!$AT$7:$AT$500="N/A"))+SUMPRODUCT(--ISNUMBER(SEARCH(", "&amp;$B16&amp;", ",", "&amp;'Trang chủ'!$B$7:$B$500&amp;", ")),--('Trang chủ'!$AT$7:$AT$500="N/A"))+SUMPRODUCT(--ISNUMBER(SEARCH(", "&amp;$B16&amp;", ",", "&amp;'Thông báo'!$B$7:$B$500&amp;", ")),--('Thông báo'!$AT$7:$AT$500="N/A"))+SUMPRODUCT(--ISNUMBER(SEARCH(", "&amp;$B16&amp;", ",", "&amp;'Đăng tin &amp; Quản lý tin'!$B$7:$B$500&amp;", ")),--('Đăng tin &amp; Quản lý tin'!$AT$7:$AT$500="N/A"))+SUMPRODUCT(--ISNUMBER(SEARCH(", "&amp;$B16&amp;", ",", "&amp;'Trust &amp; Safety'!$B$7:$B$500&amp;", ")),--('Trust &amp; Safety'!$AT$7:$AT$500="N/A"))+SUMPRODUCT(--ISNUMBER(SEARCH(", "&amp;$B16&amp;", ",", "&amp;'Tài khoản &amp; Hồ sơ'!$B$7:$B$500&amp;", ")),--('Tài khoản &amp; Hồ sơ'!$AT$7:$AT$500="N/A"))</f>
        <v>0</v>
      </c>
      <c r="K16" s="52" t="n">
        <f aca="false">IFERROR(F16/E16,0)</f>
        <v>0</v>
      </c>
      <c r="L16" s="123" t="str">
        <f aca="false">IF(E16=0,"Chưa có TC (gap)",IF(H16&gt;0,"Có lỗi (Fail)",IF(I16&gt;0,"Bị block",IF(F16&lt;E16,"Đang test",IF(G16=0,"Không áp dụng (N/A)","Đã test xong")))))</f>
        <v>Đang test</v>
      </c>
      <c r="AB16" s="1" t="s">
        <v>416</v>
      </c>
      <c r="AD16" s="1" t="s">
        <v>452</v>
      </c>
      <c r="AE16" s="1" t="n">
        <f aca="false">SUMIF($AB$6:$AB$77,$AD16,$E$6:$E$77)</f>
        <v>40</v>
      </c>
      <c r="AF16" s="1" t="n">
        <f aca="false">SUMIF($AB$6:$AB$77,$AD16,$F$6:$F$77)</f>
        <v>0</v>
      </c>
    </row>
    <row r="17" customFormat="false" ht="45.75" hidden="false" customHeight="true" outlineLevel="0" collapsed="false">
      <c r="B17" s="175" t="s">
        <v>453</v>
      </c>
      <c r="C17" s="176" t="s">
        <v>454</v>
      </c>
      <c r="D17" s="123" t="s">
        <v>455</v>
      </c>
      <c r="E17" s="51" t="n">
        <f aca="false">SUMPRODUCT(--ISNUMBER(SEARCH(", "&amp;$B17&amp;", ",", "&amp;'Hoạt động (Đơn của tôi)'!$B$7:$B$500&amp;", ")))+SUMPRODUCT(--ISNUMBER(SEARCH(", "&amp;$B17&amp;", ",", "&amp;'Ghép nối'!$B$7:$B$500&amp;", ")))+SUMPRODUCT(--ISNUMBER(SEARCH(", "&amp;$B17&amp;", ",", "&amp;'Huỷ đơn - Huỷ nhận đơn'!$B$7:$B$500&amp;", ")))+SUMPRODUCT(--ISNUMBER(SEARCH(", "&amp;$B17&amp;", ",", "&amp;'Giao nhận &amp; Theo dõi đơn'!$B$7:$B$500&amp;", ")))+SUMPRODUCT(--ISNUMBER(SEARCH(", "&amp;$B17&amp;", ",", "&amp;'Bảng tin &amp; Chi tiết tin'!$B$7:$B$500&amp;", ")))+SUMPRODUCT(--ISNUMBER(SEARCH(", "&amp;$B17&amp;", ",", "&amp;'Quà cảm ơn'!$B$7:$B$500&amp;", ")))+SUMPRODUCT(--ISNUMBER(SEARCH(", "&amp;$B17&amp;", ",", "&amp;'Trang chủ'!$B$7:$B$500&amp;", ")))+SUMPRODUCT(--ISNUMBER(SEARCH(", "&amp;$B17&amp;", ",", "&amp;'Thông báo'!$B$7:$B$500&amp;", ")))+SUMPRODUCT(--ISNUMBER(SEARCH(", "&amp;$B17&amp;", ",", "&amp;'Đăng tin &amp; Quản lý tin'!$B$7:$B$500&amp;", ")))+SUMPRODUCT(--ISNUMBER(SEARCH(", "&amp;$B17&amp;", ",", "&amp;'Trust &amp; Safety'!$B$7:$B$500&amp;", ")))+SUMPRODUCT(--ISNUMBER(SEARCH(", "&amp;$B17&amp;", ",", "&amp;'Tài khoản &amp; Hồ sơ'!$B$7:$B$500&amp;", ")))</f>
        <v>1</v>
      </c>
      <c r="F17" s="51" t="n">
        <f aca="false">SUMPRODUCT(--ISNUMBER(SEARCH(", "&amp;$B17&amp;", ",", "&amp;'Hoạt động (Đơn của tôi)'!$B$7:$B$500&amp;", ")),--('Hoạt động (Đơn của tôi)'!$AT$7:$AT$500&lt;&gt;""))+SUMPRODUCT(--ISNUMBER(SEARCH(", "&amp;$B17&amp;", ",", "&amp;'Ghép nối'!$B$7:$B$500&amp;", ")),--('Ghép nối'!$AT$7:$AT$500&lt;&gt;""))+SUMPRODUCT(--ISNUMBER(SEARCH(", "&amp;$B17&amp;", ",", "&amp;'Huỷ đơn - Huỷ nhận đơn'!$B$7:$B$500&amp;", ")),--('Huỷ đơn - Huỷ nhận đơn'!$AT$7:$AT$500&lt;&gt;""))+SUMPRODUCT(--ISNUMBER(SEARCH(", "&amp;$B17&amp;", ",", "&amp;'Giao nhận &amp; Theo dõi đơn'!$B$7:$B$500&amp;", ")),--('Giao nhận &amp; Theo dõi đơn'!$AT$7:$AT$500&lt;&gt;""))+SUMPRODUCT(--ISNUMBER(SEARCH(", "&amp;$B17&amp;", ",", "&amp;'Bảng tin &amp; Chi tiết tin'!$B$7:$B$500&amp;", ")),--('Bảng tin &amp; Chi tiết tin'!$AT$7:$AT$500&lt;&gt;""))+SUMPRODUCT(--ISNUMBER(SEARCH(", "&amp;$B17&amp;", ",", "&amp;'Quà cảm ơn'!$B$7:$B$500&amp;", ")),--('Quà cảm ơn'!$AT$7:$AT$500&lt;&gt;""))+SUMPRODUCT(--ISNUMBER(SEARCH(", "&amp;$B17&amp;", ",", "&amp;'Trang chủ'!$B$7:$B$500&amp;", ")),--('Trang chủ'!$AT$7:$AT$500&lt;&gt;""))+SUMPRODUCT(--ISNUMBER(SEARCH(", "&amp;$B17&amp;", ",", "&amp;'Thông báo'!$B$7:$B$500&amp;", ")),--('Thông báo'!$AT$7:$AT$500&lt;&gt;""))+SUMPRODUCT(--ISNUMBER(SEARCH(", "&amp;$B17&amp;", ",", "&amp;'Đăng tin &amp; Quản lý tin'!$B$7:$B$500&amp;", ")),--('Đăng tin &amp; Quản lý tin'!$AT$7:$AT$500&lt;&gt;""))+SUMPRODUCT(--ISNUMBER(SEARCH(", "&amp;$B17&amp;", ",", "&amp;'Trust &amp; Safety'!$B$7:$B$500&amp;", ")),--('Trust &amp; Safety'!$AT$7:$AT$500&lt;&gt;""))+SUMPRODUCT(--ISNUMBER(SEARCH(", "&amp;$B17&amp;", ",", "&amp;'Tài khoản &amp; Hồ sơ'!$B$7:$B$500&amp;", ")),--('Tài khoản &amp; Hồ sơ'!$AT$7:$AT$500&lt;&gt;""))</f>
        <v>0</v>
      </c>
      <c r="G17" s="51" t="n">
        <f aca="false">SUMPRODUCT(--ISNUMBER(SEARCH(", "&amp;$B17&amp;", ",", "&amp;'Hoạt động (Đơn của tôi)'!$B$7:$B$500&amp;", ")),--('Hoạt động (Đơn của tôi)'!$AT$7:$AT$500="Pass"))+SUMPRODUCT(--ISNUMBER(SEARCH(", "&amp;$B17&amp;", ",", "&amp;'Ghép nối'!$B$7:$B$500&amp;", ")),--('Ghép nối'!$AT$7:$AT$500="Pass"))+SUMPRODUCT(--ISNUMBER(SEARCH(", "&amp;$B17&amp;", ",", "&amp;'Huỷ đơn - Huỷ nhận đơn'!$B$7:$B$500&amp;", ")),--('Huỷ đơn - Huỷ nhận đơn'!$AT$7:$AT$500="Pass"))+SUMPRODUCT(--ISNUMBER(SEARCH(", "&amp;$B17&amp;", ",", "&amp;'Giao nhận &amp; Theo dõi đơn'!$B$7:$B$500&amp;", ")),--('Giao nhận &amp; Theo dõi đơn'!$AT$7:$AT$500="Pass"))+SUMPRODUCT(--ISNUMBER(SEARCH(", "&amp;$B17&amp;", ",", "&amp;'Bảng tin &amp; Chi tiết tin'!$B$7:$B$500&amp;", ")),--('Bảng tin &amp; Chi tiết tin'!$AT$7:$AT$500="Pass"))+SUMPRODUCT(--ISNUMBER(SEARCH(", "&amp;$B17&amp;", ",", "&amp;'Quà cảm ơn'!$B$7:$B$500&amp;", ")),--('Quà cảm ơn'!$AT$7:$AT$500="Pass"))+SUMPRODUCT(--ISNUMBER(SEARCH(", "&amp;$B17&amp;", ",", "&amp;'Trang chủ'!$B$7:$B$500&amp;", ")),--('Trang chủ'!$AT$7:$AT$500="Pass"))+SUMPRODUCT(--ISNUMBER(SEARCH(", "&amp;$B17&amp;", ",", "&amp;'Thông báo'!$B$7:$B$500&amp;", ")),--('Thông báo'!$AT$7:$AT$500="Pass"))+SUMPRODUCT(--ISNUMBER(SEARCH(", "&amp;$B17&amp;", ",", "&amp;'Đăng tin &amp; Quản lý tin'!$B$7:$B$500&amp;", ")),--('Đăng tin &amp; Quản lý tin'!$AT$7:$AT$500="Pass"))+SUMPRODUCT(--ISNUMBER(SEARCH(", "&amp;$B17&amp;", ",", "&amp;'Trust &amp; Safety'!$B$7:$B$500&amp;", ")),--('Trust &amp; Safety'!$AT$7:$AT$500="Pass"))+SUMPRODUCT(--ISNUMBER(SEARCH(", "&amp;$B17&amp;", ",", "&amp;'Tài khoản &amp; Hồ sơ'!$B$7:$B$500&amp;", ")),--('Tài khoản &amp; Hồ sơ'!$AT$7:$AT$500="Pass"))</f>
        <v>0</v>
      </c>
      <c r="H17" s="51" t="n">
        <f aca="false">SUMPRODUCT(--ISNUMBER(SEARCH(", "&amp;$B17&amp;", ",", "&amp;'Hoạt động (Đơn của tôi)'!$B$7:$B$500&amp;", ")),--('Hoạt động (Đơn của tôi)'!$AT$7:$AT$500="Fail"))+SUMPRODUCT(--ISNUMBER(SEARCH(", "&amp;$B17&amp;", ",", "&amp;'Ghép nối'!$B$7:$B$500&amp;", ")),--('Ghép nối'!$AT$7:$AT$500="Fail"))+SUMPRODUCT(--ISNUMBER(SEARCH(", "&amp;$B17&amp;", ",", "&amp;'Huỷ đơn - Huỷ nhận đơn'!$B$7:$B$500&amp;", ")),--('Huỷ đơn - Huỷ nhận đơn'!$AT$7:$AT$500="Fail"))+SUMPRODUCT(--ISNUMBER(SEARCH(", "&amp;$B17&amp;", ",", "&amp;'Giao nhận &amp; Theo dõi đơn'!$B$7:$B$500&amp;", ")),--('Giao nhận &amp; Theo dõi đơn'!$AT$7:$AT$500="Fail"))+SUMPRODUCT(--ISNUMBER(SEARCH(", "&amp;$B17&amp;", ",", "&amp;'Bảng tin &amp; Chi tiết tin'!$B$7:$B$500&amp;", ")),--('Bảng tin &amp; Chi tiết tin'!$AT$7:$AT$500="Fail"))+SUMPRODUCT(--ISNUMBER(SEARCH(", "&amp;$B17&amp;", ",", "&amp;'Quà cảm ơn'!$B$7:$B$500&amp;", ")),--('Quà cảm ơn'!$AT$7:$AT$500="Fail"))+SUMPRODUCT(--ISNUMBER(SEARCH(", "&amp;$B17&amp;", ",", "&amp;'Trang chủ'!$B$7:$B$500&amp;", ")),--('Trang chủ'!$AT$7:$AT$500="Fail"))+SUMPRODUCT(--ISNUMBER(SEARCH(", "&amp;$B17&amp;", ",", "&amp;'Thông báo'!$B$7:$B$500&amp;", ")),--('Thông báo'!$AT$7:$AT$500="Fail"))+SUMPRODUCT(--ISNUMBER(SEARCH(", "&amp;$B17&amp;", ",", "&amp;'Đăng tin &amp; Quản lý tin'!$B$7:$B$500&amp;", ")),--('Đăng tin &amp; Quản lý tin'!$AT$7:$AT$500="Fail"))+SUMPRODUCT(--ISNUMBER(SEARCH(", "&amp;$B17&amp;", ",", "&amp;'Trust &amp; Safety'!$B$7:$B$500&amp;", ")),--('Trust &amp; Safety'!$AT$7:$AT$500="Fail"))+SUMPRODUCT(--ISNUMBER(SEARCH(", "&amp;$B17&amp;", ",", "&amp;'Tài khoản &amp; Hồ sơ'!$B$7:$B$500&amp;", ")),--('Tài khoản &amp; Hồ sơ'!$AT$7:$AT$500="Fail"))</f>
        <v>0</v>
      </c>
      <c r="I17" s="51" t="n">
        <f aca="false">SUMPRODUCT(--ISNUMBER(SEARCH(", "&amp;$B17&amp;", ",", "&amp;'Hoạt động (Đơn của tôi)'!$B$7:$B$500&amp;", ")),--('Hoạt động (Đơn của tôi)'!$AT$7:$AT$500="Block"))+SUMPRODUCT(--ISNUMBER(SEARCH(", "&amp;$B17&amp;", ",", "&amp;'Ghép nối'!$B$7:$B$500&amp;", ")),--('Ghép nối'!$AT$7:$AT$500="Block"))+SUMPRODUCT(--ISNUMBER(SEARCH(", "&amp;$B17&amp;", ",", "&amp;'Huỷ đơn - Huỷ nhận đơn'!$B$7:$B$500&amp;", ")),--('Huỷ đơn - Huỷ nhận đơn'!$AT$7:$AT$500="Block"))+SUMPRODUCT(--ISNUMBER(SEARCH(", "&amp;$B17&amp;", ",", "&amp;'Giao nhận &amp; Theo dõi đơn'!$B$7:$B$500&amp;", ")),--('Giao nhận &amp; Theo dõi đơn'!$AT$7:$AT$500="Block"))+SUMPRODUCT(--ISNUMBER(SEARCH(", "&amp;$B17&amp;", ",", "&amp;'Bảng tin &amp; Chi tiết tin'!$B$7:$B$500&amp;", ")),--('Bảng tin &amp; Chi tiết tin'!$AT$7:$AT$500="Block"))+SUMPRODUCT(--ISNUMBER(SEARCH(", "&amp;$B17&amp;", ",", "&amp;'Quà cảm ơn'!$B$7:$B$500&amp;", ")),--('Quà cảm ơn'!$AT$7:$AT$500="Block"))+SUMPRODUCT(--ISNUMBER(SEARCH(", "&amp;$B17&amp;", ",", "&amp;'Trang chủ'!$B$7:$B$500&amp;", ")),--('Trang chủ'!$AT$7:$AT$500="Block"))+SUMPRODUCT(--ISNUMBER(SEARCH(", "&amp;$B17&amp;", ",", "&amp;'Thông báo'!$B$7:$B$500&amp;", ")),--('Thông báo'!$AT$7:$AT$500="Block"))+SUMPRODUCT(--ISNUMBER(SEARCH(", "&amp;$B17&amp;", ",", "&amp;'Đăng tin &amp; Quản lý tin'!$B$7:$B$500&amp;", ")),--('Đăng tin &amp; Quản lý tin'!$AT$7:$AT$500="Block"))+SUMPRODUCT(--ISNUMBER(SEARCH(", "&amp;$B17&amp;", ",", "&amp;'Trust &amp; Safety'!$B$7:$B$500&amp;", ")),--('Trust &amp; Safety'!$AT$7:$AT$500="Block"))+SUMPRODUCT(--ISNUMBER(SEARCH(", "&amp;$B17&amp;", ",", "&amp;'Tài khoản &amp; Hồ sơ'!$B$7:$B$500&amp;", ")),--('Tài khoản &amp; Hồ sơ'!$AT$7:$AT$500="Block"))</f>
        <v>0</v>
      </c>
      <c r="J17" s="51" t="n">
        <f aca="false">SUMPRODUCT(--ISNUMBER(SEARCH(", "&amp;$B17&amp;", ",", "&amp;'Hoạt động (Đơn của tôi)'!$B$7:$B$500&amp;", ")),--('Hoạt động (Đơn của tôi)'!$AT$7:$AT$500="N/A"))+SUMPRODUCT(--ISNUMBER(SEARCH(", "&amp;$B17&amp;", ",", "&amp;'Ghép nối'!$B$7:$B$500&amp;", ")),--('Ghép nối'!$AT$7:$AT$500="N/A"))+SUMPRODUCT(--ISNUMBER(SEARCH(", "&amp;$B17&amp;", ",", "&amp;'Huỷ đơn - Huỷ nhận đơn'!$B$7:$B$500&amp;", ")),--('Huỷ đơn - Huỷ nhận đơn'!$AT$7:$AT$500="N/A"))+SUMPRODUCT(--ISNUMBER(SEARCH(", "&amp;$B17&amp;", ",", "&amp;'Giao nhận &amp; Theo dõi đơn'!$B$7:$B$500&amp;", ")),--('Giao nhận &amp; Theo dõi đơn'!$AT$7:$AT$500="N/A"))+SUMPRODUCT(--ISNUMBER(SEARCH(", "&amp;$B17&amp;", ",", "&amp;'Bảng tin &amp; Chi tiết tin'!$B$7:$B$500&amp;", ")),--('Bảng tin &amp; Chi tiết tin'!$AT$7:$AT$500="N/A"))+SUMPRODUCT(--ISNUMBER(SEARCH(", "&amp;$B17&amp;", ",", "&amp;'Quà cảm ơn'!$B$7:$B$500&amp;", ")),--('Quà cảm ơn'!$AT$7:$AT$500="N/A"))+SUMPRODUCT(--ISNUMBER(SEARCH(", "&amp;$B17&amp;", ",", "&amp;'Trang chủ'!$B$7:$B$500&amp;", ")),--('Trang chủ'!$AT$7:$AT$500="N/A"))+SUMPRODUCT(--ISNUMBER(SEARCH(", "&amp;$B17&amp;", ",", "&amp;'Thông báo'!$B$7:$B$500&amp;", ")),--('Thông báo'!$AT$7:$AT$500="N/A"))+SUMPRODUCT(--ISNUMBER(SEARCH(", "&amp;$B17&amp;", ",", "&amp;'Đăng tin &amp; Quản lý tin'!$B$7:$B$500&amp;", ")),--('Đăng tin &amp; Quản lý tin'!$AT$7:$AT$500="N/A"))+SUMPRODUCT(--ISNUMBER(SEARCH(", "&amp;$B17&amp;", ",", "&amp;'Trust &amp; Safety'!$B$7:$B$500&amp;", ")),--('Trust &amp; Safety'!$AT$7:$AT$500="N/A"))+SUMPRODUCT(--ISNUMBER(SEARCH(", "&amp;$B17&amp;", ",", "&amp;'Tài khoản &amp; Hồ sơ'!$B$7:$B$500&amp;", ")),--('Tài khoản &amp; Hồ sơ'!$AT$7:$AT$500="N/A"))</f>
        <v>0</v>
      </c>
      <c r="K17" s="52" t="n">
        <f aca="false">IFERROR(F17/E17,0)</f>
        <v>0</v>
      </c>
      <c r="L17" s="123" t="str">
        <f aca="false">IF(E17=0,"Chưa có TC (gap)",IF(H17&gt;0,"Có lỗi (Fail)",IF(I17&gt;0,"Bị block",IF(F17&lt;E17,"Đang test",IF(G17=0,"Không áp dụng (N/A)","Đã test xong")))))</f>
        <v>Đang test</v>
      </c>
      <c r="AB17" s="1" t="s">
        <v>416</v>
      </c>
    </row>
    <row r="18" customFormat="false" ht="45.75" hidden="false" customHeight="true" outlineLevel="0" collapsed="false">
      <c r="B18" s="175" t="s">
        <v>456</v>
      </c>
      <c r="C18" s="176" t="s">
        <v>457</v>
      </c>
      <c r="D18" s="123" t="s">
        <v>458</v>
      </c>
      <c r="E18" s="51" t="n">
        <f aca="false">SUMPRODUCT(--ISNUMBER(SEARCH(", "&amp;$B18&amp;", ",", "&amp;'Hoạt động (Đơn của tôi)'!$B$7:$B$500&amp;", ")))+SUMPRODUCT(--ISNUMBER(SEARCH(", "&amp;$B18&amp;", ",", "&amp;'Ghép nối'!$B$7:$B$500&amp;", ")))+SUMPRODUCT(--ISNUMBER(SEARCH(", "&amp;$B18&amp;", ",", "&amp;'Huỷ đơn - Huỷ nhận đơn'!$B$7:$B$500&amp;", ")))+SUMPRODUCT(--ISNUMBER(SEARCH(", "&amp;$B18&amp;", ",", "&amp;'Giao nhận &amp; Theo dõi đơn'!$B$7:$B$500&amp;", ")))+SUMPRODUCT(--ISNUMBER(SEARCH(", "&amp;$B18&amp;", ",", "&amp;'Bảng tin &amp; Chi tiết tin'!$B$7:$B$500&amp;", ")))+SUMPRODUCT(--ISNUMBER(SEARCH(", "&amp;$B18&amp;", ",", "&amp;'Quà cảm ơn'!$B$7:$B$500&amp;", ")))+SUMPRODUCT(--ISNUMBER(SEARCH(", "&amp;$B18&amp;", ",", "&amp;'Trang chủ'!$B$7:$B$500&amp;", ")))+SUMPRODUCT(--ISNUMBER(SEARCH(", "&amp;$B18&amp;", ",", "&amp;'Thông báo'!$B$7:$B$500&amp;", ")))+SUMPRODUCT(--ISNUMBER(SEARCH(", "&amp;$B18&amp;", ",", "&amp;'Đăng tin &amp; Quản lý tin'!$B$7:$B$500&amp;", ")))+SUMPRODUCT(--ISNUMBER(SEARCH(", "&amp;$B18&amp;", ",", "&amp;'Trust &amp; Safety'!$B$7:$B$500&amp;", ")))+SUMPRODUCT(--ISNUMBER(SEARCH(", "&amp;$B18&amp;", ",", "&amp;'Tài khoản &amp; Hồ sơ'!$B$7:$B$500&amp;", ")))</f>
        <v>2</v>
      </c>
      <c r="F18" s="51" t="n">
        <f aca="false">SUMPRODUCT(--ISNUMBER(SEARCH(", "&amp;$B18&amp;", ",", "&amp;'Hoạt động (Đơn của tôi)'!$B$7:$B$500&amp;", ")),--('Hoạt động (Đơn của tôi)'!$AT$7:$AT$500&lt;&gt;""))+SUMPRODUCT(--ISNUMBER(SEARCH(", "&amp;$B18&amp;", ",", "&amp;'Ghép nối'!$B$7:$B$500&amp;", ")),--('Ghép nối'!$AT$7:$AT$500&lt;&gt;""))+SUMPRODUCT(--ISNUMBER(SEARCH(", "&amp;$B18&amp;", ",", "&amp;'Huỷ đơn - Huỷ nhận đơn'!$B$7:$B$500&amp;", ")),--('Huỷ đơn - Huỷ nhận đơn'!$AT$7:$AT$500&lt;&gt;""))+SUMPRODUCT(--ISNUMBER(SEARCH(", "&amp;$B18&amp;", ",", "&amp;'Giao nhận &amp; Theo dõi đơn'!$B$7:$B$500&amp;", ")),--('Giao nhận &amp; Theo dõi đơn'!$AT$7:$AT$500&lt;&gt;""))+SUMPRODUCT(--ISNUMBER(SEARCH(", "&amp;$B18&amp;", ",", "&amp;'Bảng tin &amp; Chi tiết tin'!$B$7:$B$500&amp;", ")),--('Bảng tin &amp; Chi tiết tin'!$AT$7:$AT$500&lt;&gt;""))+SUMPRODUCT(--ISNUMBER(SEARCH(", "&amp;$B18&amp;", ",", "&amp;'Quà cảm ơn'!$B$7:$B$500&amp;", ")),--('Quà cảm ơn'!$AT$7:$AT$500&lt;&gt;""))+SUMPRODUCT(--ISNUMBER(SEARCH(", "&amp;$B18&amp;", ",", "&amp;'Trang chủ'!$B$7:$B$500&amp;", ")),--('Trang chủ'!$AT$7:$AT$500&lt;&gt;""))+SUMPRODUCT(--ISNUMBER(SEARCH(", "&amp;$B18&amp;", ",", "&amp;'Thông báo'!$B$7:$B$500&amp;", ")),--('Thông báo'!$AT$7:$AT$500&lt;&gt;""))+SUMPRODUCT(--ISNUMBER(SEARCH(", "&amp;$B18&amp;", ",", "&amp;'Đăng tin &amp; Quản lý tin'!$B$7:$B$500&amp;", ")),--('Đăng tin &amp; Quản lý tin'!$AT$7:$AT$500&lt;&gt;""))+SUMPRODUCT(--ISNUMBER(SEARCH(", "&amp;$B18&amp;", ",", "&amp;'Trust &amp; Safety'!$B$7:$B$500&amp;", ")),--('Trust &amp; Safety'!$AT$7:$AT$500&lt;&gt;""))+SUMPRODUCT(--ISNUMBER(SEARCH(", "&amp;$B18&amp;", ",", "&amp;'Tài khoản &amp; Hồ sơ'!$B$7:$B$500&amp;", ")),--('Tài khoản &amp; Hồ sơ'!$AT$7:$AT$500&lt;&gt;""))</f>
        <v>0</v>
      </c>
      <c r="G18" s="51" t="n">
        <f aca="false">SUMPRODUCT(--ISNUMBER(SEARCH(", "&amp;$B18&amp;", ",", "&amp;'Hoạt động (Đơn của tôi)'!$B$7:$B$500&amp;", ")),--('Hoạt động (Đơn của tôi)'!$AT$7:$AT$500="Pass"))+SUMPRODUCT(--ISNUMBER(SEARCH(", "&amp;$B18&amp;", ",", "&amp;'Ghép nối'!$B$7:$B$500&amp;", ")),--('Ghép nối'!$AT$7:$AT$500="Pass"))+SUMPRODUCT(--ISNUMBER(SEARCH(", "&amp;$B18&amp;", ",", "&amp;'Huỷ đơn - Huỷ nhận đơn'!$B$7:$B$500&amp;", ")),--('Huỷ đơn - Huỷ nhận đơn'!$AT$7:$AT$500="Pass"))+SUMPRODUCT(--ISNUMBER(SEARCH(", "&amp;$B18&amp;", ",", "&amp;'Giao nhận &amp; Theo dõi đơn'!$B$7:$B$500&amp;", ")),--('Giao nhận &amp; Theo dõi đơn'!$AT$7:$AT$500="Pass"))+SUMPRODUCT(--ISNUMBER(SEARCH(", "&amp;$B18&amp;", ",", "&amp;'Bảng tin &amp; Chi tiết tin'!$B$7:$B$500&amp;", ")),--('Bảng tin &amp; Chi tiết tin'!$AT$7:$AT$500="Pass"))+SUMPRODUCT(--ISNUMBER(SEARCH(", "&amp;$B18&amp;", ",", "&amp;'Quà cảm ơn'!$B$7:$B$500&amp;", ")),--('Quà cảm ơn'!$AT$7:$AT$500="Pass"))+SUMPRODUCT(--ISNUMBER(SEARCH(", "&amp;$B18&amp;", ",", "&amp;'Trang chủ'!$B$7:$B$500&amp;", ")),--('Trang chủ'!$AT$7:$AT$500="Pass"))+SUMPRODUCT(--ISNUMBER(SEARCH(", "&amp;$B18&amp;", ",", "&amp;'Thông báo'!$B$7:$B$500&amp;", ")),--('Thông báo'!$AT$7:$AT$500="Pass"))+SUMPRODUCT(--ISNUMBER(SEARCH(", "&amp;$B18&amp;", ",", "&amp;'Đăng tin &amp; Quản lý tin'!$B$7:$B$500&amp;", ")),--('Đăng tin &amp; Quản lý tin'!$AT$7:$AT$500="Pass"))+SUMPRODUCT(--ISNUMBER(SEARCH(", "&amp;$B18&amp;", ",", "&amp;'Trust &amp; Safety'!$B$7:$B$500&amp;", ")),--('Trust &amp; Safety'!$AT$7:$AT$500="Pass"))+SUMPRODUCT(--ISNUMBER(SEARCH(", "&amp;$B18&amp;", ",", "&amp;'Tài khoản &amp; Hồ sơ'!$B$7:$B$500&amp;", ")),--('Tài khoản &amp; Hồ sơ'!$AT$7:$AT$500="Pass"))</f>
        <v>0</v>
      </c>
      <c r="H18" s="51" t="n">
        <f aca="false">SUMPRODUCT(--ISNUMBER(SEARCH(", "&amp;$B18&amp;", ",", "&amp;'Hoạt động (Đơn của tôi)'!$B$7:$B$500&amp;", ")),--('Hoạt động (Đơn của tôi)'!$AT$7:$AT$500="Fail"))+SUMPRODUCT(--ISNUMBER(SEARCH(", "&amp;$B18&amp;", ",", "&amp;'Ghép nối'!$B$7:$B$500&amp;", ")),--('Ghép nối'!$AT$7:$AT$500="Fail"))+SUMPRODUCT(--ISNUMBER(SEARCH(", "&amp;$B18&amp;", ",", "&amp;'Huỷ đơn - Huỷ nhận đơn'!$B$7:$B$500&amp;", ")),--('Huỷ đơn - Huỷ nhận đơn'!$AT$7:$AT$500="Fail"))+SUMPRODUCT(--ISNUMBER(SEARCH(", "&amp;$B18&amp;", ",", "&amp;'Giao nhận &amp; Theo dõi đơn'!$B$7:$B$500&amp;", ")),--('Giao nhận &amp; Theo dõi đơn'!$AT$7:$AT$500="Fail"))+SUMPRODUCT(--ISNUMBER(SEARCH(", "&amp;$B18&amp;", ",", "&amp;'Bảng tin &amp; Chi tiết tin'!$B$7:$B$500&amp;", ")),--('Bảng tin &amp; Chi tiết tin'!$AT$7:$AT$500="Fail"))+SUMPRODUCT(--ISNUMBER(SEARCH(", "&amp;$B18&amp;", ",", "&amp;'Quà cảm ơn'!$B$7:$B$500&amp;", ")),--('Quà cảm ơn'!$AT$7:$AT$500="Fail"))+SUMPRODUCT(--ISNUMBER(SEARCH(", "&amp;$B18&amp;", ",", "&amp;'Trang chủ'!$B$7:$B$500&amp;", ")),--('Trang chủ'!$AT$7:$AT$500="Fail"))+SUMPRODUCT(--ISNUMBER(SEARCH(", "&amp;$B18&amp;", ",", "&amp;'Thông báo'!$B$7:$B$500&amp;", ")),--('Thông báo'!$AT$7:$AT$500="Fail"))+SUMPRODUCT(--ISNUMBER(SEARCH(", "&amp;$B18&amp;", ",", "&amp;'Đăng tin &amp; Quản lý tin'!$B$7:$B$500&amp;", ")),--('Đăng tin &amp; Quản lý tin'!$AT$7:$AT$500="Fail"))+SUMPRODUCT(--ISNUMBER(SEARCH(", "&amp;$B18&amp;", ",", "&amp;'Trust &amp; Safety'!$B$7:$B$500&amp;", ")),--('Trust &amp; Safety'!$AT$7:$AT$500="Fail"))+SUMPRODUCT(--ISNUMBER(SEARCH(", "&amp;$B18&amp;", ",", "&amp;'Tài khoản &amp; Hồ sơ'!$B$7:$B$500&amp;", ")),--('Tài khoản &amp; Hồ sơ'!$AT$7:$AT$500="Fail"))</f>
        <v>0</v>
      </c>
      <c r="I18" s="51" t="n">
        <f aca="false">SUMPRODUCT(--ISNUMBER(SEARCH(", "&amp;$B18&amp;", ",", "&amp;'Hoạt động (Đơn của tôi)'!$B$7:$B$500&amp;", ")),--('Hoạt động (Đơn của tôi)'!$AT$7:$AT$500="Block"))+SUMPRODUCT(--ISNUMBER(SEARCH(", "&amp;$B18&amp;", ",", "&amp;'Ghép nối'!$B$7:$B$500&amp;", ")),--('Ghép nối'!$AT$7:$AT$500="Block"))+SUMPRODUCT(--ISNUMBER(SEARCH(", "&amp;$B18&amp;", ",", "&amp;'Huỷ đơn - Huỷ nhận đơn'!$B$7:$B$500&amp;", ")),--('Huỷ đơn - Huỷ nhận đơn'!$AT$7:$AT$500="Block"))+SUMPRODUCT(--ISNUMBER(SEARCH(", "&amp;$B18&amp;", ",", "&amp;'Giao nhận &amp; Theo dõi đơn'!$B$7:$B$500&amp;", ")),--('Giao nhận &amp; Theo dõi đơn'!$AT$7:$AT$500="Block"))+SUMPRODUCT(--ISNUMBER(SEARCH(", "&amp;$B18&amp;", ",", "&amp;'Bảng tin &amp; Chi tiết tin'!$B$7:$B$500&amp;", ")),--('Bảng tin &amp; Chi tiết tin'!$AT$7:$AT$500="Block"))+SUMPRODUCT(--ISNUMBER(SEARCH(", "&amp;$B18&amp;", ",", "&amp;'Quà cảm ơn'!$B$7:$B$500&amp;", ")),--('Quà cảm ơn'!$AT$7:$AT$500="Block"))+SUMPRODUCT(--ISNUMBER(SEARCH(", "&amp;$B18&amp;", ",", "&amp;'Trang chủ'!$B$7:$B$500&amp;", ")),--('Trang chủ'!$AT$7:$AT$500="Block"))+SUMPRODUCT(--ISNUMBER(SEARCH(", "&amp;$B18&amp;", ",", "&amp;'Thông báo'!$B$7:$B$500&amp;", ")),--('Thông báo'!$AT$7:$AT$500="Block"))+SUMPRODUCT(--ISNUMBER(SEARCH(", "&amp;$B18&amp;", ",", "&amp;'Đăng tin &amp; Quản lý tin'!$B$7:$B$500&amp;", ")),--('Đăng tin &amp; Quản lý tin'!$AT$7:$AT$500="Block"))+SUMPRODUCT(--ISNUMBER(SEARCH(", "&amp;$B18&amp;", ",", "&amp;'Trust &amp; Safety'!$B$7:$B$500&amp;", ")),--('Trust &amp; Safety'!$AT$7:$AT$500="Block"))+SUMPRODUCT(--ISNUMBER(SEARCH(", "&amp;$B18&amp;", ",", "&amp;'Tài khoản &amp; Hồ sơ'!$B$7:$B$500&amp;", ")),--('Tài khoản &amp; Hồ sơ'!$AT$7:$AT$500="Block"))</f>
        <v>0</v>
      </c>
      <c r="J18" s="51" t="n">
        <f aca="false">SUMPRODUCT(--ISNUMBER(SEARCH(", "&amp;$B18&amp;", ",", "&amp;'Hoạt động (Đơn của tôi)'!$B$7:$B$500&amp;", ")),--('Hoạt động (Đơn của tôi)'!$AT$7:$AT$500="N/A"))+SUMPRODUCT(--ISNUMBER(SEARCH(", "&amp;$B18&amp;", ",", "&amp;'Ghép nối'!$B$7:$B$500&amp;", ")),--('Ghép nối'!$AT$7:$AT$500="N/A"))+SUMPRODUCT(--ISNUMBER(SEARCH(", "&amp;$B18&amp;", ",", "&amp;'Huỷ đơn - Huỷ nhận đơn'!$B$7:$B$500&amp;", ")),--('Huỷ đơn - Huỷ nhận đơn'!$AT$7:$AT$500="N/A"))+SUMPRODUCT(--ISNUMBER(SEARCH(", "&amp;$B18&amp;", ",", "&amp;'Giao nhận &amp; Theo dõi đơn'!$B$7:$B$500&amp;", ")),--('Giao nhận &amp; Theo dõi đơn'!$AT$7:$AT$500="N/A"))+SUMPRODUCT(--ISNUMBER(SEARCH(", "&amp;$B18&amp;", ",", "&amp;'Bảng tin &amp; Chi tiết tin'!$B$7:$B$500&amp;", ")),--('Bảng tin &amp; Chi tiết tin'!$AT$7:$AT$500="N/A"))+SUMPRODUCT(--ISNUMBER(SEARCH(", "&amp;$B18&amp;", ",", "&amp;'Quà cảm ơn'!$B$7:$B$500&amp;", ")),--('Quà cảm ơn'!$AT$7:$AT$500="N/A"))+SUMPRODUCT(--ISNUMBER(SEARCH(", "&amp;$B18&amp;", ",", "&amp;'Trang chủ'!$B$7:$B$500&amp;", ")),--('Trang chủ'!$AT$7:$AT$500="N/A"))+SUMPRODUCT(--ISNUMBER(SEARCH(", "&amp;$B18&amp;", ",", "&amp;'Thông báo'!$B$7:$B$500&amp;", ")),--('Thông báo'!$AT$7:$AT$500="N/A"))+SUMPRODUCT(--ISNUMBER(SEARCH(", "&amp;$B18&amp;", ",", "&amp;'Đăng tin &amp; Quản lý tin'!$B$7:$B$500&amp;", ")),--('Đăng tin &amp; Quản lý tin'!$AT$7:$AT$500="N/A"))+SUMPRODUCT(--ISNUMBER(SEARCH(", "&amp;$B18&amp;", ",", "&amp;'Trust &amp; Safety'!$B$7:$B$500&amp;", ")),--('Trust &amp; Safety'!$AT$7:$AT$500="N/A"))+SUMPRODUCT(--ISNUMBER(SEARCH(", "&amp;$B18&amp;", ",", "&amp;'Tài khoản &amp; Hồ sơ'!$B$7:$B$500&amp;", ")),--('Tài khoản &amp; Hồ sơ'!$AT$7:$AT$500="N/A"))</f>
        <v>0</v>
      </c>
      <c r="K18" s="52" t="n">
        <f aca="false">IFERROR(F18/E18,0)</f>
        <v>0</v>
      </c>
      <c r="L18" s="123" t="str">
        <f aca="false">IF(E18=0,"Chưa có TC (gap)",IF(H18&gt;0,"Có lỗi (Fail)",IF(I18&gt;0,"Bị block",IF(F18&lt;E18,"Đang test",IF(G18=0,"Không áp dụng (N/A)","Đã test xong")))))</f>
        <v>Đang test</v>
      </c>
      <c r="AB18" s="1" t="s">
        <v>420</v>
      </c>
    </row>
    <row r="19" customFormat="false" ht="45.75" hidden="false" customHeight="true" outlineLevel="0" collapsed="false">
      <c r="B19" s="175" t="s">
        <v>459</v>
      </c>
      <c r="C19" s="176" t="s">
        <v>460</v>
      </c>
      <c r="D19" s="123" t="s">
        <v>461</v>
      </c>
      <c r="E19" s="51" t="n">
        <f aca="false">SUMPRODUCT(--ISNUMBER(SEARCH(", "&amp;$B19&amp;", ",", "&amp;'Hoạt động (Đơn của tôi)'!$B$7:$B$500&amp;", ")))+SUMPRODUCT(--ISNUMBER(SEARCH(", "&amp;$B19&amp;", ",", "&amp;'Ghép nối'!$B$7:$B$500&amp;", ")))+SUMPRODUCT(--ISNUMBER(SEARCH(", "&amp;$B19&amp;", ",", "&amp;'Huỷ đơn - Huỷ nhận đơn'!$B$7:$B$500&amp;", ")))+SUMPRODUCT(--ISNUMBER(SEARCH(", "&amp;$B19&amp;", ",", "&amp;'Giao nhận &amp; Theo dõi đơn'!$B$7:$B$500&amp;", ")))+SUMPRODUCT(--ISNUMBER(SEARCH(", "&amp;$B19&amp;", ",", "&amp;'Bảng tin &amp; Chi tiết tin'!$B$7:$B$500&amp;", ")))+SUMPRODUCT(--ISNUMBER(SEARCH(", "&amp;$B19&amp;", ",", "&amp;'Quà cảm ơn'!$B$7:$B$500&amp;", ")))+SUMPRODUCT(--ISNUMBER(SEARCH(", "&amp;$B19&amp;", ",", "&amp;'Trang chủ'!$B$7:$B$500&amp;", ")))+SUMPRODUCT(--ISNUMBER(SEARCH(", "&amp;$B19&amp;", ",", "&amp;'Thông báo'!$B$7:$B$500&amp;", ")))+SUMPRODUCT(--ISNUMBER(SEARCH(", "&amp;$B19&amp;", ",", "&amp;'Đăng tin &amp; Quản lý tin'!$B$7:$B$500&amp;", ")))+SUMPRODUCT(--ISNUMBER(SEARCH(", "&amp;$B19&amp;", ",", "&amp;'Trust &amp; Safety'!$B$7:$B$500&amp;", ")))+SUMPRODUCT(--ISNUMBER(SEARCH(", "&amp;$B19&amp;", ",", "&amp;'Tài khoản &amp; Hồ sơ'!$B$7:$B$500&amp;", ")))</f>
        <v>4</v>
      </c>
      <c r="F19" s="51" t="n">
        <f aca="false">SUMPRODUCT(--ISNUMBER(SEARCH(", "&amp;$B19&amp;", ",", "&amp;'Hoạt động (Đơn của tôi)'!$B$7:$B$500&amp;", ")),--('Hoạt động (Đơn của tôi)'!$AT$7:$AT$500&lt;&gt;""))+SUMPRODUCT(--ISNUMBER(SEARCH(", "&amp;$B19&amp;", ",", "&amp;'Ghép nối'!$B$7:$B$500&amp;", ")),--('Ghép nối'!$AT$7:$AT$500&lt;&gt;""))+SUMPRODUCT(--ISNUMBER(SEARCH(", "&amp;$B19&amp;", ",", "&amp;'Huỷ đơn - Huỷ nhận đơn'!$B$7:$B$500&amp;", ")),--('Huỷ đơn - Huỷ nhận đơn'!$AT$7:$AT$500&lt;&gt;""))+SUMPRODUCT(--ISNUMBER(SEARCH(", "&amp;$B19&amp;", ",", "&amp;'Giao nhận &amp; Theo dõi đơn'!$B$7:$B$500&amp;", ")),--('Giao nhận &amp; Theo dõi đơn'!$AT$7:$AT$500&lt;&gt;""))+SUMPRODUCT(--ISNUMBER(SEARCH(", "&amp;$B19&amp;", ",", "&amp;'Bảng tin &amp; Chi tiết tin'!$B$7:$B$500&amp;", ")),--('Bảng tin &amp; Chi tiết tin'!$AT$7:$AT$500&lt;&gt;""))+SUMPRODUCT(--ISNUMBER(SEARCH(", "&amp;$B19&amp;", ",", "&amp;'Quà cảm ơn'!$B$7:$B$500&amp;", ")),--('Quà cảm ơn'!$AT$7:$AT$500&lt;&gt;""))+SUMPRODUCT(--ISNUMBER(SEARCH(", "&amp;$B19&amp;", ",", "&amp;'Trang chủ'!$B$7:$B$500&amp;", ")),--('Trang chủ'!$AT$7:$AT$500&lt;&gt;""))+SUMPRODUCT(--ISNUMBER(SEARCH(", "&amp;$B19&amp;", ",", "&amp;'Thông báo'!$B$7:$B$500&amp;", ")),--('Thông báo'!$AT$7:$AT$500&lt;&gt;""))+SUMPRODUCT(--ISNUMBER(SEARCH(", "&amp;$B19&amp;", ",", "&amp;'Đăng tin &amp; Quản lý tin'!$B$7:$B$500&amp;", ")),--('Đăng tin &amp; Quản lý tin'!$AT$7:$AT$500&lt;&gt;""))+SUMPRODUCT(--ISNUMBER(SEARCH(", "&amp;$B19&amp;", ",", "&amp;'Trust &amp; Safety'!$B$7:$B$500&amp;", ")),--('Trust &amp; Safety'!$AT$7:$AT$500&lt;&gt;""))+SUMPRODUCT(--ISNUMBER(SEARCH(", "&amp;$B19&amp;", ",", "&amp;'Tài khoản &amp; Hồ sơ'!$B$7:$B$500&amp;", ")),--('Tài khoản &amp; Hồ sơ'!$AT$7:$AT$500&lt;&gt;""))</f>
        <v>0</v>
      </c>
      <c r="G19" s="51" t="n">
        <f aca="false">SUMPRODUCT(--ISNUMBER(SEARCH(", "&amp;$B19&amp;", ",", "&amp;'Hoạt động (Đơn của tôi)'!$B$7:$B$500&amp;", ")),--('Hoạt động (Đơn của tôi)'!$AT$7:$AT$500="Pass"))+SUMPRODUCT(--ISNUMBER(SEARCH(", "&amp;$B19&amp;", ",", "&amp;'Ghép nối'!$B$7:$B$500&amp;", ")),--('Ghép nối'!$AT$7:$AT$500="Pass"))+SUMPRODUCT(--ISNUMBER(SEARCH(", "&amp;$B19&amp;", ",", "&amp;'Huỷ đơn - Huỷ nhận đơn'!$B$7:$B$500&amp;", ")),--('Huỷ đơn - Huỷ nhận đơn'!$AT$7:$AT$500="Pass"))+SUMPRODUCT(--ISNUMBER(SEARCH(", "&amp;$B19&amp;", ",", "&amp;'Giao nhận &amp; Theo dõi đơn'!$B$7:$B$500&amp;", ")),--('Giao nhận &amp; Theo dõi đơn'!$AT$7:$AT$500="Pass"))+SUMPRODUCT(--ISNUMBER(SEARCH(", "&amp;$B19&amp;", ",", "&amp;'Bảng tin &amp; Chi tiết tin'!$B$7:$B$500&amp;", ")),--('Bảng tin &amp; Chi tiết tin'!$AT$7:$AT$500="Pass"))+SUMPRODUCT(--ISNUMBER(SEARCH(", "&amp;$B19&amp;", ",", "&amp;'Quà cảm ơn'!$B$7:$B$500&amp;", ")),--('Quà cảm ơn'!$AT$7:$AT$500="Pass"))+SUMPRODUCT(--ISNUMBER(SEARCH(", "&amp;$B19&amp;", ",", "&amp;'Trang chủ'!$B$7:$B$500&amp;", ")),--('Trang chủ'!$AT$7:$AT$500="Pass"))+SUMPRODUCT(--ISNUMBER(SEARCH(", "&amp;$B19&amp;", ",", "&amp;'Thông báo'!$B$7:$B$500&amp;", ")),--('Thông báo'!$AT$7:$AT$500="Pass"))+SUMPRODUCT(--ISNUMBER(SEARCH(", "&amp;$B19&amp;", ",", "&amp;'Đăng tin &amp; Quản lý tin'!$B$7:$B$500&amp;", ")),--('Đăng tin &amp; Quản lý tin'!$AT$7:$AT$500="Pass"))+SUMPRODUCT(--ISNUMBER(SEARCH(", "&amp;$B19&amp;", ",", "&amp;'Trust &amp; Safety'!$B$7:$B$500&amp;", ")),--('Trust &amp; Safety'!$AT$7:$AT$500="Pass"))+SUMPRODUCT(--ISNUMBER(SEARCH(", "&amp;$B19&amp;", ",", "&amp;'Tài khoản &amp; Hồ sơ'!$B$7:$B$500&amp;", ")),--('Tài khoản &amp; Hồ sơ'!$AT$7:$AT$500="Pass"))</f>
        <v>0</v>
      </c>
      <c r="H19" s="51" t="n">
        <f aca="false">SUMPRODUCT(--ISNUMBER(SEARCH(", "&amp;$B19&amp;", ",", "&amp;'Hoạt động (Đơn của tôi)'!$B$7:$B$500&amp;", ")),--('Hoạt động (Đơn của tôi)'!$AT$7:$AT$500="Fail"))+SUMPRODUCT(--ISNUMBER(SEARCH(", "&amp;$B19&amp;", ",", "&amp;'Ghép nối'!$B$7:$B$500&amp;", ")),--('Ghép nối'!$AT$7:$AT$500="Fail"))+SUMPRODUCT(--ISNUMBER(SEARCH(", "&amp;$B19&amp;", ",", "&amp;'Huỷ đơn - Huỷ nhận đơn'!$B$7:$B$500&amp;", ")),--('Huỷ đơn - Huỷ nhận đơn'!$AT$7:$AT$500="Fail"))+SUMPRODUCT(--ISNUMBER(SEARCH(", "&amp;$B19&amp;", ",", "&amp;'Giao nhận &amp; Theo dõi đơn'!$B$7:$B$500&amp;", ")),--('Giao nhận &amp; Theo dõi đơn'!$AT$7:$AT$500="Fail"))+SUMPRODUCT(--ISNUMBER(SEARCH(", "&amp;$B19&amp;", ",", "&amp;'Bảng tin &amp; Chi tiết tin'!$B$7:$B$500&amp;", ")),--('Bảng tin &amp; Chi tiết tin'!$AT$7:$AT$500="Fail"))+SUMPRODUCT(--ISNUMBER(SEARCH(", "&amp;$B19&amp;", ",", "&amp;'Quà cảm ơn'!$B$7:$B$500&amp;", ")),--('Quà cảm ơn'!$AT$7:$AT$500="Fail"))+SUMPRODUCT(--ISNUMBER(SEARCH(", "&amp;$B19&amp;", ",", "&amp;'Trang chủ'!$B$7:$B$500&amp;", ")),--('Trang chủ'!$AT$7:$AT$500="Fail"))+SUMPRODUCT(--ISNUMBER(SEARCH(", "&amp;$B19&amp;", ",", "&amp;'Thông báo'!$B$7:$B$500&amp;", ")),--('Thông báo'!$AT$7:$AT$500="Fail"))+SUMPRODUCT(--ISNUMBER(SEARCH(", "&amp;$B19&amp;", ",", "&amp;'Đăng tin &amp; Quản lý tin'!$B$7:$B$500&amp;", ")),--('Đăng tin &amp; Quản lý tin'!$AT$7:$AT$500="Fail"))+SUMPRODUCT(--ISNUMBER(SEARCH(", "&amp;$B19&amp;", ",", "&amp;'Trust &amp; Safety'!$B$7:$B$500&amp;", ")),--('Trust &amp; Safety'!$AT$7:$AT$500="Fail"))+SUMPRODUCT(--ISNUMBER(SEARCH(", "&amp;$B19&amp;", ",", "&amp;'Tài khoản &amp; Hồ sơ'!$B$7:$B$500&amp;", ")),--('Tài khoản &amp; Hồ sơ'!$AT$7:$AT$500="Fail"))</f>
        <v>0</v>
      </c>
      <c r="I19" s="51" t="n">
        <f aca="false">SUMPRODUCT(--ISNUMBER(SEARCH(", "&amp;$B19&amp;", ",", "&amp;'Hoạt động (Đơn của tôi)'!$B$7:$B$500&amp;", ")),--('Hoạt động (Đơn của tôi)'!$AT$7:$AT$500="Block"))+SUMPRODUCT(--ISNUMBER(SEARCH(", "&amp;$B19&amp;", ",", "&amp;'Ghép nối'!$B$7:$B$500&amp;", ")),--('Ghép nối'!$AT$7:$AT$500="Block"))+SUMPRODUCT(--ISNUMBER(SEARCH(", "&amp;$B19&amp;", ",", "&amp;'Huỷ đơn - Huỷ nhận đơn'!$B$7:$B$500&amp;", ")),--('Huỷ đơn - Huỷ nhận đơn'!$AT$7:$AT$500="Block"))+SUMPRODUCT(--ISNUMBER(SEARCH(", "&amp;$B19&amp;", ",", "&amp;'Giao nhận &amp; Theo dõi đơn'!$B$7:$B$500&amp;", ")),--('Giao nhận &amp; Theo dõi đơn'!$AT$7:$AT$500="Block"))+SUMPRODUCT(--ISNUMBER(SEARCH(", "&amp;$B19&amp;", ",", "&amp;'Bảng tin &amp; Chi tiết tin'!$B$7:$B$500&amp;", ")),--('Bảng tin &amp; Chi tiết tin'!$AT$7:$AT$500="Block"))+SUMPRODUCT(--ISNUMBER(SEARCH(", "&amp;$B19&amp;", ",", "&amp;'Quà cảm ơn'!$B$7:$B$500&amp;", ")),--('Quà cảm ơn'!$AT$7:$AT$500="Block"))+SUMPRODUCT(--ISNUMBER(SEARCH(", "&amp;$B19&amp;", ",", "&amp;'Trang chủ'!$B$7:$B$500&amp;", ")),--('Trang chủ'!$AT$7:$AT$500="Block"))+SUMPRODUCT(--ISNUMBER(SEARCH(", "&amp;$B19&amp;", ",", "&amp;'Thông báo'!$B$7:$B$500&amp;", ")),--('Thông báo'!$AT$7:$AT$500="Block"))+SUMPRODUCT(--ISNUMBER(SEARCH(", "&amp;$B19&amp;", ",", "&amp;'Đăng tin &amp; Quản lý tin'!$B$7:$B$500&amp;", ")),--('Đăng tin &amp; Quản lý tin'!$AT$7:$AT$500="Block"))+SUMPRODUCT(--ISNUMBER(SEARCH(", "&amp;$B19&amp;", ",", "&amp;'Trust &amp; Safety'!$B$7:$B$500&amp;", ")),--('Trust &amp; Safety'!$AT$7:$AT$500="Block"))+SUMPRODUCT(--ISNUMBER(SEARCH(", "&amp;$B19&amp;", ",", "&amp;'Tài khoản &amp; Hồ sơ'!$B$7:$B$500&amp;", ")),--('Tài khoản &amp; Hồ sơ'!$AT$7:$AT$500="Block"))</f>
        <v>0</v>
      </c>
      <c r="J19" s="51" t="n">
        <f aca="false">SUMPRODUCT(--ISNUMBER(SEARCH(", "&amp;$B19&amp;", ",", "&amp;'Hoạt động (Đơn của tôi)'!$B$7:$B$500&amp;", ")),--('Hoạt động (Đơn của tôi)'!$AT$7:$AT$500="N/A"))+SUMPRODUCT(--ISNUMBER(SEARCH(", "&amp;$B19&amp;", ",", "&amp;'Ghép nối'!$B$7:$B$500&amp;", ")),--('Ghép nối'!$AT$7:$AT$500="N/A"))+SUMPRODUCT(--ISNUMBER(SEARCH(", "&amp;$B19&amp;", ",", "&amp;'Huỷ đơn - Huỷ nhận đơn'!$B$7:$B$500&amp;", ")),--('Huỷ đơn - Huỷ nhận đơn'!$AT$7:$AT$500="N/A"))+SUMPRODUCT(--ISNUMBER(SEARCH(", "&amp;$B19&amp;", ",", "&amp;'Giao nhận &amp; Theo dõi đơn'!$B$7:$B$500&amp;", ")),--('Giao nhận &amp; Theo dõi đơn'!$AT$7:$AT$500="N/A"))+SUMPRODUCT(--ISNUMBER(SEARCH(", "&amp;$B19&amp;", ",", "&amp;'Bảng tin &amp; Chi tiết tin'!$B$7:$B$500&amp;", ")),--('Bảng tin &amp; Chi tiết tin'!$AT$7:$AT$500="N/A"))+SUMPRODUCT(--ISNUMBER(SEARCH(", "&amp;$B19&amp;", ",", "&amp;'Quà cảm ơn'!$B$7:$B$500&amp;", ")),--('Quà cảm ơn'!$AT$7:$AT$500="N/A"))+SUMPRODUCT(--ISNUMBER(SEARCH(", "&amp;$B19&amp;", ",", "&amp;'Trang chủ'!$B$7:$B$500&amp;", ")),--('Trang chủ'!$AT$7:$AT$500="N/A"))+SUMPRODUCT(--ISNUMBER(SEARCH(", "&amp;$B19&amp;", ",", "&amp;'Thông báo'!$B$7:$B$500&amp;", ")),--('Thông báo'!$AT$7:$AT$500="N/A"))+SUMPRODUCT(--ISNUMBER(SEARCH(", "&amp;$B19&amp;", ",", "&amp;'Đăng tin &amp; Quản lý tin'!$B$7:$B$500&amp;", ")),--('Đăng tin &amp; Quản lý tin'!$AT$7:$AT$500="N/A"))+SUMPRODUCT(--ISNUMBER(SEARCH(", "&amp;$B19&amp;", ",", "&amp;'Trust &amp; Safety'!$B$7:$B$500&amp;", ")),--('Trust &amp; Safety'!$AT$7:$AT$500="N/A"))+SUMPRODUCT(--ISNUMBER(SEARCH(", "&amp;$B19&amp;", ",", "&amp;'Tài khoản &amp; Hồ sơ'!$B$7:$B$500&amp;", ")),--('Tài khoản &amp; Hồ sơ'!$AT$7:$AT$500="N/A"))</f>
        <v>0</v>
      </c>
      <c r="K19" s="52" t="n">
        <f aca="false">IFERROR(F19/E19,0)</f>
        <v>0</v>
      </c>
      <c r="L19" s="123" t="str">
        <f aca="false">IF(E19=0,"Chưa có TC (gap)",IF(H19&gt;0,"Có lỗi (Fail)",IF(I19&gt;0,"Bị block",IF(F19&lt;E19,"Đang test",IF(G19=0,"Không áp dụng (N/A)","Đã test xong")))))</f>
        <v>Đang test</v>
      </c>
      <c r="AB19" s="1" t="s">
        <v>420</v>
      </c>
    </row>
    <row r="20" customFormat="false" ht="45.75" hidden="false" customHeight="true" outlineLevel="0" collapsed="false">
      <c r="B20" s="175" t="s">
        <v>462</v>
      </c>
      <c r="C20" s="176" t="s">
        <v>463</v>
      </c>
      <c r="D20" s="123" t="s">
        <v>464</v>
      </c>
      <c r="E20" s="51" t="n">
        <f aca="false">SUMPRODUCT(--ISNUMBER(SEARCH(", "&amp;$B20&amp;", ",", "&amp;'Hoạt động (Đơn của tôi)'!$B$7:$B$500&amp;", ")))+SUMPRODUCT(--ISNUMBER(SEARCH(", "&amp;$B20&amp;", ",", "&amp;'Ghép nối'!$B$7:$B$500&amp;", ")))+SUMPRODUCT(--ISNUMBER(SEARCH(", "&amp;$B20&amp;", ",", "&amp;'Huỷ đơn - Huỷ nhận đơn'!$B$7:$B$500&amp;", ")))+SUMPRODUCT(--ISNUMBER(SEARCH(", "&amp;$B20&amp;", ",", "&amp;'Giao nhận &amp; Theo dõi đơn'!$B$7:$B$500&amp;", ")))+SUMPRODUCT(--ISNUMBER(SEARCH(", "&amp;$B20&amp;", ",", "&amp;'Bảng tin &amp; Chi tiết tin'!$B$7:$B$500&amp;", ")))+SUMPRODUCT(--ISNUMBER(SEARCH(", "&amp;$B20&amp;", ",", "&amp;'Quà cảm ơn'!$B$7:$B$500&amp;", ")))+SUMPRODUCT(--ISNUMBER(SEARCH(", "&amp;$B20&amp;", ",", "&amp;'Trang chủ'!$B$7:$B$500&amp;", ")))+SUMPRODUCT(--ISNUMBER(SEARCH(", "&amp;$B20&amp;", ",", "&amp;'Thông báo'!$B$7:$B$500&amp;", ")))+SUMPRODUCT(--ISNUMBER(SEARCH(", "&amp;$B20&amp;", ",", "&amp;'Đăng tin &amp; Quản lý tin'!$B$7:$B$500&amp;", ")))+SUMPRODUCT(--ISNUMBER(SEARCH(", "&amp;$B20&amp;", ",", "&amp;'Trust &amp; Safety'!$B$7:$B$500&amp;", ")))+SUMPRODUCT(--ISNUMBER(SEARCH(", "&amp;$B20&amp;", ",", "&amp;'Tài khoản &amp; Hồ sơ'!$B$7:$B$500&amp;", ")))</f>
        <v>3</v>
      </c>
      <c r="F20" s="51" t="n">
        <f aca="false">SUMPRODUCT(--ISNUMBER(SEARCH(", "&amp;$B20&amp;", ",", "&amp;'Hoạt động (Đơn của tôi)'!$B$7:$B$500&amp;", ")),--('Hoạt động (Đơn của tôi)'!$AT$7:$AT$500&lt;&gt;""))+SUMPRODUCT(--ISNUMBER(SEARCH(", "&amp;$B20&amp;", ",", "&amp;'Ghép nối'!$B$7:$B$500&amp;", ")),--('Ghép nối'!$AT$7:$AT$500&lt;&gt;""))+SUMPRODUCT(--ISNUMBER(SEARCH(", "&amp;$B20&amp;", ",", "&amp;'Huỷ đơn - Huỷ nhận đơn'!$B$7:$B$500&amp;", ")),--('Huỷ đơn - Huỷ nhận đơn'!$AT$7:$AT$500&lt;&gt;""))+SUMPRODUCT(--ISNUMBER(SEARCH(", "&amp;$B20&amp;", ",", "&amp;'Giao nhận &amp; Theo dõi đơn'!$B$7:$B$500&amp;", ")),--('Giao nhận &amp; Theo dõi đơn'!$AT$7:$AT$500&lt;&gt;""))+SUMPRODUCT(--ISNUMBER(SEARCH(", "&amp;$B20&amp;", ",", "&amp;'Bảng tin &amp; Chi tiết tin'!$B$7:$B$500&amp;", ")),--('Bảng tin &amp; Chi tiết tin'!$AT$7:$AT$500&lt;&gt;""))+SUMPRODUCT(--ISNUMBER(SEARCH(", "&amp;$B20&amp;", ",", "&amp;'Quà cảm ơn'!$B$7:$B$500&amp;", ")),--('Quà cảm ơn'!$AT$7:$AT$500&lt;&gt;""))+SUMPRODUCT(--ISNUMBER(SEARCH(", "&amp;$B20&amp;", ",", "&amp;'Trang chủ'!$B$7:$B$500&amp;", ")),--('Trang chủ'!$AT$7:$AT$500&lt;&gt;""))+SUMPRODUCT(--ISNUMBER(SEARCH(", "&amp;$B20&amp;", ",", "&amp;'Thông báo'!$B$7:$B$500&amp;", ")),--('Thông báo'!$AT$7:$AT$500&lt;&gt;""))+SUMPRODUCT(--ISNUMBER(SEARCH(", "&amp;$B20&amp;", ",", "&amp;'Đăng tin &amp; Quản lý tin'!$B$7:$B$500&amp;", ")),--('Đăng tin &amp; Quản lý tin'!$AT$7:$AT$500&lt;&gt;""))+SUMPRODUCT(--ISNUMBER(SEARCH(", "&amp;$B20&amp;", ",", "&amp;'Trust &amp; Safety'!$B$7:$B$500&amp;", ")),--('Trust &amp; Safety'!$AT$7:$AT$500&lt;&gt;""))+SUMPRODUCT(--ISNUMBER(SEARCH(", "&amp;$B20&amp;", ",", "&amp;'Tài khoản &amp; Hồ sơ'!$B$7:$B$500&amp;", ")),--('Tài khoản &amp; Hồ sơ'!$AT$7:$AT$500&lt;&gt;""))</f>
        <v>0</v>
      </c>
      <c r="G20" s="51" t="n">
        <f aca="false">SUMPRODUCT(--ISNUMBER(SEARCH(", "&amp;$B20&amp;", ",", "&amp;'Hoạt động (Đơn của tôi)'!$B$7:$B$500&amp;", ")),--('Hoạt động (Đơn của tôi)'!$AT$7:$AT$500="Pass"))+SUMPRODUCT(--ISNUMBER(SEARCH(", "&amp;$B20&amp;", ",", "&amp;'Ghép nối'!$B$7:$B$500&amp;", ")),--('Ghép nối'!$AT$7:$AT$500="Pass"))+SUMPRODUCT(--ISNUMBER(SEARCH(", "&amp;$B20&amp;", ",", "&amp;'Huỷ đơn - Huỷ nhận đơn'!$B$7:$B$500&amp;", ")),--('Huỷ đơn - Huỷ nhận đơn'!$AT$7:$AT$500="Pass"))+SUMPRODUCT(--ISNUMBER(SEARCH(", "&amp;$B20&amp;", ",", "&amp;'Giao nhận &amp; Theo dõi đơn'!$B$7:$B$500&amp;", ")),--('Giao nhận &amp; Theo dõi đơn'!$AT$7:$AT$500="Pass"))+SUMPRODUCT(--ISNUMBER(SEARCH(", "&amp;$B20&amp;", ",", "&amp;'Bảng tin &amp; Chi tiết tin'!$B$7:$B$500&amp;", ")),--('Bảng tin &amp; Chi tiết tin'!$AT$7:$AT$500="Pass"))+SUMPRODUCT(--ISNUMBER(SEARCH(", "&amp;$B20&amp;", ",", "&amp;'Quà cảm ơn'!$B$7:$B$500&amp;", ")),--('Quà cảm ơn'!$AT$7:$AT$500="Pass"))+SUMPRODUCT(--ISNUMBER(SEARCH(", "&amp;$B20&amp;", ",", "&amp;'Trang chủ'!$B$7:$B$500&amp;", ")),--('Trang chủ'!$AT$7:$AT$500="Pass"))+SUMPRODUCT(--ISNUMBER(SEARCH(", "&amp;$B20&amp;", ",", "&amp;'Thông báo'!$B$7:$B$500&amp;", ")),--('Thông báo'!$AT$7:$AT$500="Pass"))+SUMPRODUCT(--ISNUMBER(SEARCH(", "&amp;$B20&amp;", ",", "&amp;'Đăng tin &amp; Quản lý tin'!$B$7:$B$500&amp;", ")),--('Đăng tin &amp; Quản lý tin'!$AT$7:$AT$500="Pass"))+SUMPRODUCT(--ISNUMBER(SEARCH(", "&amp;$B20&amp;", ",", "&amp;'Trust &amp; Safety'!$B$7:$B$500&amp;", ")),--('Trust &amp; Safety'!$AT$7:$AT$500="Pass"))+SUMPRODUCT(--ISNUMBER(SEARCH(", "&amp;$B20&amp;", ",", "&amp;'Tài khoản &amp; Hồ sơ'!$B$7:$B$500&amp;", ")),--('Tài khoản &amp; Hồ sơ'!$AT$7:$AT$500="Pass"))</f>
        <v>0</v>
      </c>
      <c r="H20" s="51" t="n">
        <f aca="false">SUMPRODUCT(--ISNUMBER(SEARCH(", "&amp;$B20&amp;", ",", "&amp;'Hoạt động (Đơn của tôi)'!$B$7:$B$500&amp;", ")),--('Hoạt động (Đơn của tôi)'!$AT$7:$AT$500="Fail"))+SUMPRODUCT(--ISNUMBER(SEARCH(", "&amp;$B20&amp;", ",", "&amp;'Ghép nối'!$B$7:$B$500&amp;", ")),--('Ghép nối'!$AT$7:$AT$500="Fail"))+SUMPRODUCT(--ISNUMBER(SEARCH(", "&amp;$B20&amp;", ",", "&amp;'Huỷ đơn - Huỷ nhận đơn'!$B$7:$B$500&amp;", ")),--('Huỷ đơn - Huỷ nhận đơn'!$AT$7:$AT$500="Fail"))+SUMPRODUCT(--ISNUMBER(SEARCH(", "&amp;$B20&amp;", ",", "&amp;'Giao nhận &amp; Theo dõi đơn'!$B$7:$B$500&amp;", ")),--('Giao nhận &amp; Theo dõi đơn'!$AT$7:$AT$500="Fail"))+SUMPRODUCT(--ISNUMBER(SEARCH(", "&amp;$B20&amp;", ",", "&amp;'Bảng tin &amp; Chi tiết tin'!$B$7:$B$500&amp;", ")),--('Bảng tin &amp; Chi tiết tin'!$AT$7:$AT$500="Fail"))+SUMPRODUCT(--ISNUMBER(SEARCH(", "&amp;$B20&amp;", ",", "&amp;'Quà cảm ơn'!$B$7:$B$500&amp;", ")),--('Quà cảm ơn'!$AT$7:$AT$500="Fail"))+SUMPRODUCT(--ISNUMBER(SEARCH(", "&amp;$B20&amp;", ",", "&amp;'Trang chủ'!$B$7:$B$500&amp;", ")),--('Trang chủ'!$AT$7:$AT$500="Fail"))+SUMPRODUCT(--ISNUMBER(SEARCH(", "&amp;$B20&amp;", ",", "&amp;'Thông báo'!$B$7:$B$500&amp;", ")),--('Thông báo'!$AT$7:$AT$500="Fail"))+SUMPRODUCT(--ISNUMBER(SEARCH(", "&amp;$B20&amp;", ",", "&amp;'Đăng tin &amp; Quản lý tin'!$B$7:$B$500&amp;", ")),--('Đăng tin &amp; Quản lý tin'!$AT$7:$AT$500="Fail"))+SUMPRODUCT(--ISNUMBER(SEARCH(", "&amp;$B20&amp;", ",", "&amp;'Trust &amp; Safety'!$B$7:$B$500&amp;", ")),--('Trust &amp; Safety'!$AT$7:$AT$500="Fail"))+SUMPRODUCT(--ISNUMBER(SEARCH(", "&amp;$B20&amp;", ",", "&amp;'Tài khoản &amp; Hồ sơ'!$B$7:$B$500&amp;", ")),--('Tài khoản &amp; Hồ sơ'!$AT$7:$AT$500="Fail"))</f>
        <v>0</v>
      </c>
      <c r="I20" s="51" t="n">
        <f aca="false">SUMPRODUCT(--ISNUMBER(SEARCH(", "&amp;$B20&amp;", ",", "&amp;'Hoạt động (Đơn của tôi)'!$B$7:$B$500&amp;", ")),--('Hoạt động (Đơn của tôi)'!$AT$7:$AT$500="Block"))+SUMPRODUCT(--ISNUMBER(SEARCH(", "&amp;$B20&amp;", ",", "&amp;'Ghép nối'!$B$7:$B$500&amp;", ")),--('Ghép nối'!$AT$7:$AT$500="Block"))+SUMPRODUCT(--ISNUMBER(SEARCH(", "&amp;$B20&amp;", ",", "&amp;'Huỷ đơn - Huỷ nhận đơn'!$B$7:$B$500&amp;", ")),--('Huỷ đơn - Huỷ nhận đơn'!$AT$7:$AT$500="Block"))+SUMPRODUCT(--ISNUMBER(SEARCH(", "&amp;$B20&amp;", ",", "&amp;'Giao nhận &amp; Theo dõi đơn'!$B$7:$B$500&amp;", ")),--('Giao nhận &amp; Theo dõi đơn'!$AT$7:$AT$500="Block"))+SUMPRODUCT(--ISNUMBER(SEARCH(", "&amp;$B20&amp;", ",", "&amp;'Bảng tin &amp; Chi tiết tin'!$B$7:$B$500&amp;", ")),--('Bảng tin &amp; Chi tiết tin'!$AT$7:$AT$500="Block"))+SUMPRODUCT(--ISNUMBER(SEARCH(", "&amp;$B20&amp;", ",", "&amp;'Quà cảm ơn'!$B$7:$B$500&amp;", ")),--('Quà cảm ơn'!$AT$7:$AT$500="Block"))+SUMPRODUCT(--ISNUMBER(SEARCH(", "&amp;$B20&amp;", ",", "&amp;'Trang chủ'!$B$7:$B$500&amp;", ")),--('Trang chủ'!$AT$7:$AT$500="Block"))+SUMPRODUCT(--ISNUMBER(SEARCH(", "&amp;$B20&amp;", ",", "&amp;'Thông báo'!$B$7:$B$500&amp;", ")),--('Thông báo'!$AT$7:$AT$500="Block"))+SUMPRODUCT(--ISNUMBER(SEARCH(", "&amp;$B20&amp;", ",", "&amp;'Đăng tin &amp; Quản lý tin'!$B$7:$B$500&amp;", ")),--('Đăng tin &amp; Quản lý tin'!$AT$7:$AT$500="Block"))+SUMPRODUCT(--ISNUMBER(SEARCH(", "&amp;$B20&amp;", ",", "&amp;'Trust &amp; Safety'!$B$7:$B$500&amp;", ")),--('Trust &amp; Safety'!$AT$7:$AT$500="Block"))+SUMPRODUCT(--ISNUMBER(SEARCH(", "&amp;$B20&amp;", ",", "&amp;'Tài khoản &amp; Hồ sơ'!$B$7:$B$500&amp;", ")),--('Tài khoản &amp; Hồ sơ'!$AT$7:$AT$500="Block"))</f>
        <v>0</v>
      </c>
      <c r="J20" s="51" t="n">
        <f aca="false">SUMPRODUCT(--ISNUMBER(SEARCH(", "&amp;$B20&amp;", ",", "&amp;'Hoạt động (Đơn của tôi)'!$B$7:$B$500&amp;", ")),--('Hoạt động (Đơn của tôi)'!$AT$7:$AT$500="N/A"))+SUMPRODUCT(--ISNUMBER(SEARCH(", "&amp;$B20&amp;", ",", "&amp;'Ghép nối'!$B$7:$B$500&amp;", ")),--('Ghép nối'!$AT$7:$AT$500="N/A"))+SUMPRODUCT(--ISNUMBER(SEARCH(", "&amp;$B20&amp;", ",", "&amp;'Huỷ đơn - Huỷ nhận đơn'!$B$7:$B$500&amp;", ")),--('Huỷ đơn - Huỷ nhận đơn'!$AT$7:$AT$500="N/A"))+SUMPRODUCT(--ISNUMBER(SEARCH(", "&amp;$B20&amp;", ",", "&amp;'Giao nhận &amp; Theo dõi đơn'!$B$7:$B$500&amp;", ")),--('Giao nhận &amp; Theo dõi đơn'!$AT$7:$AT$500="N/A"))+SUMPRODUCT(--ISNUMBER(SEARCH(", "&amp;$B20&amp;", ",", "&amp;'Bảng tin &amp; Chi tiết tin'!$B$7:$B$500&amp;", ")),--('Bảng tin &amp; Chi tiết tin'!$AT$7:$AT$500="N/A"))+SUMPRODUCT(--ISNUMBER(SEARCH(", "&amp;$B20&amp;", ",", "&amp;'Quà cảm ơn'!$B$7:$B$500&amp;", ")),--('Quà cảm ơn'!$AT$7:$AT$500="N/A"))+SUMPRODUCT(--ISNUMBER(SEARCH(", "&amp;$B20&amp;", ",", "&amp;'Trang chủ'!$B$7:$B$500&amp;", ")),--('Trang chủ'!$AT$7:$AT$500="N/A"))+SUMPRODUCT(--ISNUMBER(SEARCH(", "&amp;$B20&amp;", ",", "&amp;'Thông báo'!$B$7:$B$500&amp;", ")),--('Thông báo'!$AT$7:$AT$500="N/A"))+SUMPRODUCT(--ISNUMBER(SEARCH(", "&amp;$B20&amp;", ",", "&amp;'Đăng tin &amp; Quản lý tin'!$B$7:$B$500&amp;", ")),--('Đăng tin &amp; Quản lý tin'!$AT$7:$AT$500="N/A"))+SUMPRODUCT(--ISNUMBER(SEARCH(", "&amp;$B20&amp;", ",", "&amp;'Trust &amp; Safety'!$B$7:$B$500&amp;", ")),--('Trust &amp; Safety'!$AT$7:$AT$500="N/A"))+SUMPRODUCT(--ISNUMBER(SEARCH(", "&amp;$B20&amp;", ",", "&amp;'Tài khoản &amp; Hồ sơ'!$B$7:$B$500&amp;", ")),--('Tài khoản &amp; Hồ sơ'!$AT$7:$AT$500="N/A"))</f>
        <v>0</v>
      </c>
      <c r="K20" s="52" t="n">
        <f aca="false">IFERROR(F20/E20,0)</f>
        <v>0</v>
      </c>
      <c r="L20" s="123" t="str">
        <f aca="false">IF(E20=0,"Chưa có TC (gap)",IF(H20&gt;0,"Có lỗi (Fail)",IF(I20&gt;0,"Bị block",IF(F20&lt;E20,"Đang test",IF(G20=0,"Không áp dụng (N/A)","Đã test xong")))))</f>
        <v>Đang test</v>
      </c>
      <c r="AB20" s="1" t="s">
        <v>420</v>
      </c>
    </row>
    <row r="21" customFormat="false" ht="15.75" hidden="false" customHeight="true" outlineLevel="0" collapsed="false">
      <c r="B21" s="175" t="s">
        <v>465</v>
      </c>
      <c r="C21" s="176" t="s">
        <v>466</v>
      </c>
      <c r="D21" s="123" t="s">
        <v>467</v>
      </c>
      <c r="E21" s="51" t="n">
        <f aca="false">SUMPRODUCT(--ISNUMBER(SEARCH(", "&amp;$B21&amp;", ",", "&amp;'Hoạt động (Đơn của tôi)'!$B$7:$B$500&amp;", ")))+SUMPRODUCT(--ISNUMBER(SEARCH(", "&amp;$B21&amp;", ",", "&amp;'Ghép nối'!$B$7:$B$500&amp;", ")))+SUMPRODUCT(--ISNUMBER(SEARCH(", "&amp;$B21&amp;", ",", "&amp;'Huỷ đơn - Huỷ nhận đơn'!$B$7:$B$500&amp;", ")))+SUMPRODUCT(--ISNUMBER(SEARCH(", "&amp;$B21&amp;", ",", "&amp;'Giao nhận &amp; Theo dõi đơn'!$B$7:$B$500&amp;", ")))+SUMPRODUCT(--ISNUMBER(SEARCH(", "&amp;$B21&amp;", ",", "&amp;'Bảng tin &amp; Chi tiết tin'!$B$7:$B$500&amp;", ")))+SUMPRODUCT(--ISNUMBER(SEARCH(", "&amp;$B21&amp;", ",", "&amp;'Quà cảm ơn'!$B$7:$B$500&amp;", ")))+SUMPRODUCT(--ISNUMBER(SEARCH(", "&amp;$B21&amp;", ",", "&amp;'Trang chủ'!$B$7:$B$500&amp;", ")))+SUMPRODUCT(--ISNUMBER(SEARCH(", "&amp;$B21&amp;", ",", "&amp;'Thông báo'!$B$7:$B$500&amp;", ")))+SUMPRODUCT(--ISNUMBER(SEARCH(", "&amp;$B21&amp;", ",", "&amp;'Đăng tin &amp; Quản lý tin'!$B$7:$B$500&amp;", ")))+SUMPRODUCT(--ISNUMBER(SEARCH(", "&amp;$B21&amp;", ",", "&amp;'Trust &amp; Safety'!$B$7:$B$500&amp;", ")))+SUMPRODUCT(--ISNUMBER(SEARCH(", "&amp;$B21&amp;", ",", "&amp;'Tài khoản &amp; Hồ sơ'!$B$7:$B$500&amp;", ")))</f>
        <v>2</v>
      </c>
      <c r="F21" s="51" t="n">
        <f aca="false">SUMPRODUCT(--ISNUMBER(SEARCH(", "&amp;$B21&amp;", ",", "&amp;'Hoạt động (Đơn của tôi)'!$B$7:$B$500&amp;", ")),--('Hoạt động (Đơn của tôi)'!$AT$7:$AT$500&lt;&gt;""))+SUMPRODUCT(--ISNUMBER(SEARCH(", "&amp;$B21&amp;", ",", "&amp;'Ghép nối'!$B$7:$B$500&amp;", ")),--('Ghép nối'!$AT$7:$AT$500&lt;&gt;""))+SUMPRODUCT(--ISNUMBER(SEARCH(", "&amp;$B21&amp;", ",", "&amp;'Huỷ đơn - Huỷ nhận đơn'!$B$7:$B$500&amp;", ")),--('Huỷ đơn - Huỷ nhận đơn'!$AT$7:$AT$500&lt;&gt;""))+SUMPRODUCT(--ISNUMBER(SEARCH(", "&amp;$B21&amp;", ",", "&amp;'Giao nhận &amp; Theo dõi đơn'!$B$7:$B$500&amp;", ")),--('Giao nhận &amp; Theo dõi đơn'!$AT$7:$AT$500&lt;&gt;""))+SUMPRODUCT(--ISNUMBER(SEARCH(", "&amp;$B21&amp;", ",", "&amp;'Bảng tin &amp; Chi tiết tin'!$B$7:$B$500&amp;", ")),--('Bảng tin &amp; Chi tiết tin'!$AT$7:$AT$500&lt;&gt;""))+SUMPRODUCT(--ISNUMBER(SEARCH(", "&amp;$B21&amp;", ",", "&amp;'Quà cảm ơn'!$B$7:$B$500&amp;", ")),--('Quà cảm ơn'!$AT$7:$AT$500&lt;&gt;""))+SUMPRODUCT(--ISNUMBER(SEARCH(", "&amp;$B21&amp;", ",", "&amp;'Trang chủ'!$B$7:$B$500&amp;", ")),--('Trang chủ'!$AT$7:$AT$500&lt;&gt;""))+SUMPRODUCT(--ISNUMBER(SEARCH(", "&amp;$B21&amp;", ",", "&amp;'Thông báo'!$B$7:$B$500&amp;", ")),--('Thông báo'!$AT$7:$AT$500&lt;&gt;""))+SUMPRODUCT(--ISNUMBER(SEARCH(", "&amp;$B21&amp;", ",", "&amp;'Đăng tin &amp; Quản lý tin'!$B$7:$B$500&amp;", ")),--('Đăng tin &amp; Quản lý tin'!$AT$7:$AT$500&lt;&gt;""))+SUMPRODUCT(--ISNUMBER(SEARCH(", "&amp;$B21&amp;", ",", "&amp;'Trust &amp; Safety'!$B$7:$B$500&amp;", ")),--('Trust &amp; Safety'!$AT$7:$AT$500&lt;&gt;""))+SUMPRODUCT(--ISNUMBER(SEARCH(", "&amp;$B21&amp;", ",", "&amp;'Tài khoản &amp; Hồ sơ'!$B$7:$B$500&amp;", ")),--('Tài khoản &amp; Hồ sơ'!$AT$7:$AT$500&lt;&gt;""))</f>
        <v>0</v>
      </c>
      <c r="G21" s="51" t="n">
        <f aca="false">SUMPRODUCT(--ISNUMBER(SEARCH(", "&amp;$B21&amp;", ",", "&amp;'Hoạt động (Đơn của tôi)'!$B$7:$B$500&amp;", ")),--('Hoạt động (Đơn của tôi)'!$AT$7:$AT$500="Pass"))+SUMPRODUCT(--ISNUMBER(SEARCH(", "&amp;$B21&amp;", ",", "&amp;'Ghép nối'!$B$7:$B$500&amp;", ")),--('Ghép nối'!$AT$7:$AT$500="Pass"))+SUMPRODUCT(--ISNUMBER(SEARCH(", "&amp;$B21&amp;", ",", "&amp;'Huỷ đơn - Huỷ nhận đơn'!$B$7:$B$500&amp;", ")),--('Huỷ đơn - Huỷ nhận đơn'!$AT$7:$AT$500="Pass"))+SUMPRODUCT(--ISNUMBER(SEARCH(", "&amp;$B21&amp;", ",", "&amp;'Giao nhận &amp; Theo dõi đơn'!$B$7:$B$500&amp;", ")),--('Giao nhận &amp; Theo dõi đơn'!$AT$7:$AT$500="Pass"))+SUMPRODUCT(--ISNUMBER(SEARCH(", "&amp;$B21&amp;", ",", "&amp;'Bảng tin &amp; Chi tiết tin'!$B$7:$B$500&amp;", ")),--('Bảng tin &amp; Chi tiết tin'!$AT$7:$AT$500="Pass"))+SUMPRODUCT(--ISNUMBER(SEARCH(", "&amp;$B21&amp;", ",", "&amp;'Quà cảm ơn'!$B$7:$B$500&amp;", ")),--('Quà cảm ơn'!$AT$7:$AT$500="Pass"))+SUMPRODUCT(--ISNUMBER(SEARCH(", "&amp;$B21&amp;", ",", "&amp;'Trang chủ'!$B$7:$B$500&amp;", ")),--('Trang chủ'!$AT$7:$AT$500="Pass"))+SUMPRODUCT(--ISNUMBER(SEARCH(", "&amp;$B21&amp;", ",", "&amp;'Thông báo'!$B$7:$B$500&amp;", ")),--('Thông báo'!$AT$7:$AT$500="Pass"))+SUMPRODUCT(--ISNUMBER(SEARCH(", "&amp;$B21&amp;", ",", "&amp;'Đăng tin &amp; Quản lý tin'!$B$7:$B$500&amp;", ")),--('Đăng tin &amp; Quản lý tin'!$AT$7:$AT$500="Pass"))+SUMPRODUCT(--ISNUMBER(SEARCH(", "&amp;$B21&amp;", ",", "&amp;'Trust &amp; Safety'!$B$7:$B$500&amp;", ")),--('Trust &amp; Safety'!$AT$7:$AT$500="Pass"))+SUMPRODUCT(--ISNUMBER(SEARCH(", "&amp;$B21&amp;", ",", "&amp;'Tài khoản &amp; Hồ sơ'!$B$7:$B$500&amp;", ")),--('Tài khoản &amp; Hồ sơ'!$AT$7:$AT$500="Pass"))</f>
        <v>0</v>
      </c>
      <c r="H21" s="51" t="n">
        <f aca="false">SUMPRODUCT(--ISNUMBER(SEARCH(", "&amp;$B21&amp;", ",", "&amp;'Hoạt động (Đơn của tôi)'!$B$7:$B$500&amp;", ")),--('Hoạt động (Đơn của tôi)'!$AT$7:$AT$500="Fail"))+SUMPRODUCT(--ISNUMBER(SEARCH(", "&amp;$B21&amp;", ",", "&amp;'Ghép nối'!$B$7:$B$500&amp;", ")),--('Ghép nối'!$AT$7:$AT$500="Fail"))+SUMPRODUCT(--ISNUMBER(SEARCH(", "&amp;$B21&amp;", ",", "&amp;'Huỷ đơn - Huỷ nhận đơn'!$B$7:$B$500&amp;", ")),--('Huỷ đơn - Huỷ nhận đơn'!$AT$7:$AT$500="Fail"))+SUMPRODUCT(--ISNUMBER(SEARCH(", "&amp;$B21&amp;", ",", "&amp;'Giao nhận &amp; Theo dõi đơn'!$B$7:$B$500&amp;", ")),--('Giao nhận &amp; Theo dõi đơn'!$AT$7:$AT$500="Fail"))+SUMPRODUCT(--ISNUMBER(SEARCH(", "&amp;$B21&amp;", ",", "&amp;'Bảng tin &amp; Chi tiết tin'!$B$7:$B$500&amp;", ")),--('Bảng tin &amp; Chi tiết tin'!$AT$7:$AT$500="Fail"))+SUMPRODUCT(--ISNUMBER(SEARCH(", "&amp;$B21&amp;", ",", "&amp;'Quà cảm ơn'!$B$7:$B$500&amp;", ")),--('Quà cảm ơn'!$AT$7:$AT$500="Fail"))+SUMPRODUCT(--ISNUMBER(SEARCH(", "&amp;$B21&amp;", ",", "&amp;'Trang chủ'!$B$7:$B$500&amp;", ")),--('Trang chủ'!$AT$7:$AT$500="Fail"))+SUMPRODUCT(--ISNUMBER(SEARCH(", "&amp;$B21&amp;", ",", "&amp;'Thông báo'!$B$7:$B$500&amp;", ")),--('Thông báo'!$AT$7:$AT$500="Fail"))+SUMPRODUCT(--ISNUMBER(SEARCH(", "&amp;$B21&amp;", ",", "&amp;'Đăng tin &amp; Quản lý tin'!$B$7:$B$500&amp;", ")),--('Đăng tin &amp; Quản lý tin'!$AT$7:$AT$500="Fail"))+SUMPRODUCT(--ISNUMBER(SEARCH(", "&amp;$B21&amp;", ",", "&amp;'Trust &amp; Safety'!$B$7:$B$500&amp;", ")),--('Trust &amp; Safety'!$AT$7:$AT$500="Fail"))+SUMPRODUCT(--ISNUMBER(SEARCH(", "&amp;$B21&amp;", ",", "&amp;'Tài khoản &amp; Hồ sơ'!$B$7:$B$500&amp;", ")),--('Tài khoản &amp; Hồ sơ'!$AT$7:$AT$500="Fail"))</f>
        <v>0</v>
      </c>
      <c r="I21" s="51" t="n">
        <f aca="false">SUMPRODUCT(--ISNUMBER(SEARCH(", "&amp;$B21&amp;", ",", "&amp;'Hoạt động (Đơn của tôi)'!$B$7:$B$500&amp;", ")),--('Hoạt động (Đơn của tôi)'!$AT$7:$AT$500="Block"))+SUMPRODUCT(--ISNUMBER(SEARCH(", "&amp;$B21&amp;", ",", "&amp;'Ghép nối'!$B$7:$B$500&amp;", ")),--('Ghép nối'!$AT$7:$AT$500="Block"))+SUMPRODUCT(--ISNUMBER(SEARCH(", "&amp;$B21&amp;", ",", "&amp;'Huỷ đơn - Huỷ nhận đơn'!$B$7:$B$500&amp;", ")),--('Huỷ đơn - Huỷ nhận đơn'!$AT$7:$AT$500="Block"))+SUMPRODUCT(--ISNUMBER(SEARCH(", "&amp;$B21&amp;", ",", "&amp;'Giao nhận &amp; Theo dõi đơn'!$B$7:$B$500&amp;", ")),--('Giao nhận &amp; Theo dõi đơn'!$AT$7:$AT$500="Block"))+SUMPRODUCT(--ISNUMBER(SEARCH(", "&amp;$B21&amp;", ",", "&amp;'Bảng tin &amp; Chi tiết tin'!$B$7:$B$500&amp;", ")),--('Bảng tin &amp; Chi tiết tin'!$AT$7:$AT$500="Block"))+SUMPRODUCT(--ISNUMBER(SEARCH(", "&amp;$B21&amp;", ",", "&amp;'Quà cảm ơn'!$B$7:$B$500&amp;", ")),--('Quà cảm ơn'!$AT$7:$AT$500="Block"))+SUMPRODUCT(--ISNUMBER(SEARCH(", "&amp;$B21&amp;", ",", "&amp;'Trang chủ'!$B$7:$B$500&amp;", ")),--('Trang chủ'!$AT$7:$AT$500="Block"))+SUMPRODUCT(--ISNUMBER(SEARCH(", "&amp;$B21&amp;", ",", "&amp;'Thông báo'!$B$7:$B$500&amp;", ")),--('Thông báo'!$AT$7:$AT$500="Block"))+SUMPRODUCT(--ISNUMBER(SEARCH(", "&amp;$B21&amp;", ",", "&amp;'Đăng tin &amp; Quản lý tin'!$B$7:$B$500&amp;", ")),--('Đăng tin &amp; Quản lý tin'!$AT$7:$AT$500="Block"))+SUMPRODUCT(--ISNUMBER(SEARCH(", "&amp;$B21&amp;", ",", "&amp;'Trust &amp; Safety'!$B$7:$B$500&amp;", ")),--('Trust &amp; Safety'!$AT$7:$AT$500="Block"))+SUMPRODUCT(--ISNUMBER(SEARCH(", "&amp;$B21&amp;", ",", "&amp;'Tài khoản &amp; Hồ sơ'!$B$7:$B$500&amp;", ")),--('Tài khoản &amp; Hồ sơ'!$AT$7:$AT$500="Block"))</f>
        <v>0</v>
      </c>
      <c r="J21" s="51" t="n">
        <f aca="false">SUMPRODUCT(--ISNUMBER(SEARCH(", "&amp;$B21&amp;", ",", "&amp;'Hoạt động (Đơn của tôi)'!$B$7:$B$500&amp;", ")),--('Hoạt động (Đơn của tôi)'!$AT$7:$AT$500="N/A"))+SUMPRODUCT(--ISNUMBER(SEARCH(", "&amp;$B21&amp;", ",", "&amp;'Ghép nối'!$B$7:$B$500&amp;", ")),--('Ghép nối'!$AT$7:$AT$500="N/A"))+SUMPRODUCT(--ISNUMBER(SEARCH(", "&amp;$B21&amp;", ",", "&amp;'Huỷ đơn - Huỷ nhận đơn'!$B$7:$B$500&amp;", ")),--('Huỷ đơn - Huỷ nhận đơn'!$AT$7:$AT$500="N/A"))+SUMPRODUCT(--ISNUMBER(SEARCH(", "&amp;$B21&amp;", ",", "&amp;'Giao nhận &amp; Theo dõi đơn'!$B$7:$B$500&amp;", ")),--('Giao nhận &amp; Theo dõi đơn'!$AT$7:$AT$500="N/A"))+SUMPRODUCT(--ISNUMBER(SEARCH(", "&amp;$B21&amp;", ",", "&amp;'Bảng tin &amp; Chi tiết tin'!$B$7:$B$500&amp;", ")),--('Bảng tin &amp; Chi tiết tin'!$AT$7:$AT$500="N/A"))+SUMPRODUCT(--ISNUMBER(SEARCH(", "&amp;$B21&amp;", ",", "&amp;'Quà cảm ơn'!$B$7:$B$500&amp;", ")),--('Quà cảm ơn'!$AT$7:$AT$500="N/A"))+SUMPRODUCT(--ISNUMBER(SEARCH(", "&amp;$B21&amp;", ",", "&amp;'Trang chủ'!$B$7:$B$500&amp;", ")),--('Trang chủ'!$AT$7:$AT$500="N/A"))+SUMPRODUCT(--ISNUMBER(SEARCH(", "&amp;$B21&amp;", ",", "&amp;'Thông báo'!$B$7:$B$500&amp;", ")),--('Thông báo'!$AT$7:$AT$500="N/A"))+SUMPRODUCT(--ISNUMBER(SEARCH(", "&amp;$B21&amp;", ",", "&amp;'Đăng tin &amp; Quản lý tin'!$B$7:$B$500&amp;", ")),--('Đăng tin &amp; Quản lý tin'!$AT$7:$AT$500="N/A"))+SUMPRODUCT(--ISNUMBER(SEARCH(", "&amp;$B21&amp;", ",", "&amp;'Trust &amp; Safety'!$B$7:$B$500&amp;", ")),--('Trust &amp; Safety'!$AT$7:$AT$500="N/A"))+SUMPRODUCT(--ISNUMBER(SEARCH(", "&amp;$B21&amp;", ",", "&amp;'Tài khoản &amp; Hồ sơ'!$B$7:$B$500&amp;", ")),--('Tài khoản &amp; Hồ sơ'!$AT$7:$AT$500="N/A"))</f>
        <v>0</v>
      </c>
      <c r="K21" s="52" t="n">
        <f aca="false">IFERROR(F21/E21,0)</f>
        <v>0</v>
      </c>
      <c r="L21" s="123" t="str">
        <f aca="false">IF(E21=0,"Chưa có TC (gap)",IF(H21&gt;0,"Có lỗi (Fail)",IF(I21&gt;0,"Bị block",IF(F21&lt;E21,"Đang test",IF(G21=0,"Không áp dụng (N/A)","Đã test xong")))))</f>
        <v>Đang test</v>
      </c>
      <c r="AB21" s="1" t="s">
        <v>420</v>
      </c>
    </row>
    <row r="22" customFormat="false" ht="15.75" hidden="false" customHeight="true" outlineLevel="0" collapsed="false">
      <c r="B22" s="175" t="s">
        <v>468</v>
      </c>
      <c r="C22" s="176" t="s">
        <v>469</v>
      </c>
      <c r="D22" s="123" t="s">
        <v>470</v>
      </c>
      <c r="E22" s="51" t="n">
        <f aca="false">SUMPRODUCT(--ISNUMBER(SEARCH(", "&amp;$B22&amp;", ",", "&amp;'Hoạt động (Đơn của tôi)'!$B$7:$B$500&amp;", ")))+SUMPRODUCT(--ISNUMBER(SEARCH(", "&amp;$B22&amp;", ",", "&amp;'Ghép nối'!$B$7:$B$500&amp;", ")))+SUMPRODUCT(--ISNUMBER(SEARCH(", "&amp;$B22&amp;", ",", "&amp;'Huỷ đơn - Huỷ nhận đơn'!$B$7:$B$500&amp;", ")))+SUMPRODUCT(--ISNUMBER(SEARCH(", "&amp;$B22&amp;", ",", "&amp;'Giao nhận &amp; Theo dõi đơn'!$B$7:$B$500&amp;", ")))+SUMPRODUCT(--ISNUMBER(SEARCH(", "&amp;$B22&amp;", ",", "&amp;'Bảng tin &amp; Chi tiết tin'!$B$7:$B$500&amp;", ")))+SUMPRODUCT(--ISNUMBER(SEARCH(", "&amp;$B22&amp;", ",", "&amp;'Quà cảm ơn'!$B$7:$B$500&amp;", ")))+SUMPRODUCT(--ISNUMBER(SEARCH(", "&amp;$B22&amp;", ",", "&amp;'Trang chủ'!$B$7:$B$500&amp;", ")))+SUMPRODUCT(--ISNUMBER(SEARCH(", "&amp;$B22&amp;", ",", "&amp;'Thông báo'!$B$7:$B$500&amp;", ")))+SUMPRODUCT(--ISNUMBER(SEARCH(", "&amp;$B22&amp;", ",", "&amp;'Đăng tin &amp; Quản lý tin'!$B$7:$B$500&amp;", ")))+SUMPRODUCT(--ISNUMBER(SEARCH(", "&amp;$B22&amp;", ",", "&amp;'Trust &amp; Safety'!$B$7:$B$500&amp;", ")))+SUMPRODUCT(--ISNUMBER(SEARCH(", "&amp;$B22&amp;", ",", "&amp;'Tài khoản &amp; Hồ sơ'!$B$7:$B$500&amp;", ")))</f>
        <v>4</v>
      </c>
      <c r="F22" s="51" t="n">
        <f aca="false">SUMPRODUCT(--ISNUMBER(SEARCH(", "&amp;$B22&amp;", ",", "&amp;'Hoạt động (Đơn của tôi)'!$B$7:$B$500&amp;", ")),--('Hoạt động (Đơn của tôi)'!$AT$7:$AT$500&lt;&gt;""))+SUMPRODUCT(--ISNUMBER(SEARCH(", "&amp;$B22&amp;", ",", "&amp;'Ghép nối'!$B$7:$B$500&amp;", ")),--('Ghép nối'!$AT$7:$AT$500&lt;&gt;""))+SUMPRODUCT(--ISNUMBER(SEARCH(", "&amp;$B22&amp;", ",", "&amp;'Huỷ đơn - Huỷ nhận đơn'!$B$7:$B$500&amp;", ")),--('Huỷ đơn - Huỷ nhận đơn'!$AT$7:$AT$500&lt;&gt;""))+SUMPRODUCT(--ISNUMBER(SEARCH(", "&amp;$B22&amp;", ",", "&amp;'Giao nhận &amp; Theo dõi đơn'!$B$7:$B$500&amp;", ")),--('Giao nhận &amp; Theo dõi đơn'!$AT$7:$AT$500&lt;&gt;""))+SUMPRODUCT(--ISNUMBER(SEARCH(", "&amp;$B22&amp;", ",", "&amp;'Bảng tin &amp; Chi tiết tin'!$B$7:$B$500&amp;", ")),--('Bảng tin &amp; Chi tiết tin'!$AT$7:$AT$500&lt;&gt;""))+SUMPRODUCT(--ISNUMBER(SEARCH(", "&amp;$B22&amp;", ",", "&amp;'Quà cảm ơn'!$B$7:$B$500&amp;", ")),--('Quà cảm ơn'!$AT$7:$AT$500&lt;&gt;""))+SUMPRODUCT(--ISNUMBER(SEARCH(", "&amp;$B22&amp;", ",", "&amp;'Trang chủ'!$B$7:$B$500&amp;", ")),--('Trang chủ'!$AT$7:$AT$500&lt;&gt;""))+SUMPRODUCT(--ISNUMBER(SEARCH(", "&amp;$B22&amp;", ",", "&amp;'Thông báo'!$B$7:$B$500&amp;", ")),--('Thông báo'!$AT$7:$AT$500&lt;&gt;""))+SUMPRODUCT(--ISNUMBER(SEARCH(", "&amp;$B22&amp;", ",", "&amp;'Đăng tin &amp; Quản lý tin'!$B$7:$B$500&amp;", ")),--('Đăng tin &amp; Quản lý tin'!$AT$7:$AT$500&lt;&gt;""))+SUMPRODUCT(--ISNUMBER(SEARCH(", "&amp;$B22&amp;", ",", "&amp;'Trust &amp; Safety'!$B$7:$B$500&amp;", ")),--('Trust &amp; Safety'!$AT$7:$AT$500&lt;&gt;""))+SUMPRODUCT(--ISNUMBER(SEARCH(", "&amp;$B22&amp;", ",", "&amp;'Tài khoản &amp; Hồ sơ'!$B$7:$B$500&amp;", ")),--('Tài khoản &amp; Hồ sơ'!$AT$7:$AT$500&lt;&gt;""))</f>
        <v>0</v>
      </c>
      <c r="G22" s="51" t="n">
        <f aca="false">SUMPRODUCT(--ISNUMBER(SEARCH(", "&amp;$B22&amp;", ",", "&amp;'Hoạt động (Đơn của tôi)'!$B$7:$B$500&amp;", ")),--('Hoạt động (Đơn của tôi)'!$AT$7:$AT$500="Pass"))+SUMPRODUCT(--ISNUMBER(SEARCH(", "&amp;$B22&amp;", ",", "&amp;'Ghép nối'!$B$7:$B$500&amp;", ")),--('Ghép nối'!$AT$7:$AT$500="Pass"))+SUMPRODUCT(--ISNUMBER(SEARCH(", "&amp;$B22&amp;", ",", "&amp;'Huỷ đơn - Huỷ nhận đơn'!$B$7:$B$500&amp;", ")),--('Huỷ đơn - Huỷ nhận đơn'!$AT$7:$AT$500="Pass"))+SUMPRODUCT(--ISNUMBER(SEARCH(", "&amp;$B22&amp;", ",", "&amp;'Giao nhận &amp; Theo dõi đơn'!$B$7:$B$500&amp;", ")),--('Giao nhận &amp; Theo dõi đơn'!$AT$7:$AT$500="Pass"))+SUMPRODUCT(--ISNUMBER(SEARCH(", "&amp;$B22&amp;", ",", "&amp;'Bảng tin &amp; Chi tiết tin'!$B$7:$B$500&amp;", ")),--('Bảng tin &amp; Chi tiết tin'!$AT$7:$AT$500="Pass"))+SUMPRODUCT(--ISNUMBER(SEARCH(", "&amp;$B22&amp;", ",", "&amp;'Quà cảm ơn'!$B$7:$B$500&amp;", ")),--('Quà cảm ơn'!$AT$7:$AT$500="Pass"))+SUMPRODUCT(--ISNUMBER(SEARCH(", "&amp;$B22&amp;", ",", "&amp;'Trang chủ'!$B$7:$B$500&amp;", ")),--('Trang chủ'!$AT$7:$AT$500="Pass"))+SUMPRODUCT(--ISNUMBER(SEARCH(", "&amp;$B22&amp;", ",", "&amp;'Thông báo'!$B$7:$B$500&amp;", ")),--('Thông báo'!$AT$7:$AT$500="Pass"))+SUMPRODUCT(--ISNUMBER(SEARCH(", "&amp;$B22&amp;", ",", "&amp;'Đăng tin &amp; Quản lý tin'!$B$7:$B$500&amp;", ")),--('Đăng tin &amp; Quản lý tin'!$AT$7:$AT$500="Pass"))+SUMPRODUCT(--ISNUMBER(SEARCH(", "&amp;$B22&amp;", ",", "&amp;'Trust &amp; Safety'!$B$7:$B$500&amp;", ")),--('Trust &amp; Safety'!$AT$7:$AT$500="Pass"))+SUMPRODUCT(--ISNUMBER(SEARCH(", "&amp;$B22&amp;", ",", "&amp;'Tài khoản &amp; Hồ sơ'!$B$7:$B$500&amp;", ")),--('Tài khoản &amp; Hồ sơ'!$AT$7:$AT$500="Pass"))</f>
        <v>0</v>
      </c>
      <c r="H22" s="51" t="n">
        <f aca="false">SUMPRODUCT(--ISNUMBER(SEARCH(", "&amp;$B22&amp;", ",", "&amp;'Hoạt động (Đơn của tôi)'!$B$7:$B$500&amp;", ")),--('Hoạt động (Đơn của tôi)'!$AT$7:$AT$500="Fail"))+SUMPRODUCT(--ISNUMBER(SEARCH(", "&amp;$B22&amp;", ",", "&amp;'Ghép nối'!$B$7:$B$500&amp;", ")),--('Ghép nối'!$AT$7:$AT$500="Fail"))+SUMPRODUCT(--ISNUMBER(SEARCH(", "&amp;$B22&amp;", ",", "&amp;'Huỷ đơn - Huỷ nhận đơn'!$B$7:$B$500&amp;", ")),--('Huỷ đơn - Huỷ nhận đơn'!$AT$7:$AT$500="Fail"))+SUMPRODUCT(--ISNUMBER(SEARCH(", "&amp;$B22&amp;", ",", "&amp;'Giao nhận &amp; Theo dõi đơn'!$B$7:$B$500&amp;", ")),--('Giao nhận &amp; Theo dõi đơn'!$AT$7:$AT$500="Fail"))+SUMPRODUCT(--ISNUMBER(SEARCH(", "&amp;$B22&amp;", ",", "&amp;'Bảng tin &amp; Chi tiết tin'!$B$7:$B$500&amp;", ")),--('Bảng tin &amp; Chi tiết tin'!$AT$7:$AT$500="Fail"))+SUMPRODUCT(--ISNUMBER(SEARCH(", "&amp;$B22&amp;", ",", "&amp;'Quà cảm ơn'!$B$7:$B$500&amp;", ")),--('Quà cảm ơn'!$AT$7:$AT$500="Fail"))+SUMPRODUCT(--ISNUMBER(SEARCH(", "&amp;$B22&amp;", ",", "&amp;'Trang chủ'!$B$7:$B$500&amp;", ")),--('Trang chủ'!$AT$7:$AT$500="Fail"))+SUMPRODUCT(--ISNUMBER(SEARCH(", "&amp;$B22&amp;", ",", "&amp;'Thông báo'!$B$7:$B$500&amp;", ")),--('Thông báo'!$AT$7:$AT$500="Fail"))+SUMPRODUCT(--ISNUMBER(SEARCH(", "&amp;$B22&amp;", ",", "&amp;'Đăng tin &amp; Quản lý tin'!$B$7:$B$500&amp;", ")),--('Đăng tin &amp; Quản lý tin'!$AT$7:$AT$500="Fail"))+SUMPRODUCT(--ISNUMBER(SEARCH(", "&amp;$B22&amp;", ",", "&amp;'Trust &amp; Safety'!$B$7:$B$500&amp;", ")),--('Trust &amp; Safety'!$AT$7:$AT$500="Fail"))+SUMPRODUCT(--ISNUMBER(SEARCH(", "&amp;$B22&amp;", ",", "&amp;'Tài khoản &amp; Hồ sơ'!$B$7:$B$500&amp;", ")),--('Tài khoản &amp; Hồ sơ'!$AT$7:$AT$500="Fail"))</f>
        <v>0</v>
      </c>
      <c r="I22" s="51" t="n">
        <f aca="false">SUMPRODUCT(--ISNUMBER(SEARCH(", "&amp;$B22&amp;", ",", "&amp;'Hoạt động (Đơn của tôi)'!$B$7:$B$500&amp;", ")),--('Hoạt động (Đơn của tôi)'!$AT$7:$AT$500="Block"))+SUMPRODUCT(--ISNUMBER(SEARCH(", "&amp;$B22&amp;", ",", "&amp;'Ghép nối'!$B$7:$B$500&amp;", ")),--('Ghép nối'!$AT$7:$AT$500="Block"))+SUMPRODUCT(--ISNUMBER(SEARCH(", "&amp;$B22&amp;", ",", "&amp;'Huỷ đơn - Huỷ nhận đơn'!$B$7:$B$500&amp;", ")),--('Huỷ đơn - Huỷ nhận đơn'!$AT$7:$AT$500="Block"))+SUMPRODUCT(--ISNUMBER(SEARCH(", "&amp;$B22&amp;", ",", "&amp;'Giao nhận &amp; Theo dõi đơn'!$B$7:$B$500&amp;", ")),--('Giao nhận &amp; Theo dõi đơn'!$AT$7:$AT$500="Block"))+SUMPRODUCT(--ISNUMBER(SEARCH(", "&amp;$B22&amp;", ",", "&amp;'Bảng tin &amp; Chi tiết tin'!$B$7:$B$500&amp;", ")),--('Bảng tin &amp; Chi tiết tin'!$AT$7:$AT$500="Block"))+SUMPRODUCT(--ISNUMBER(SEARCH(", "&amp;$B22&amp;", ",", "&amp;'Quà cảm ơn'!$B$7:$B$500&amp;", ")),--('Quà cảm ơn'!$AT$7:$AT$500="Block"))+SUMPRODUCT(--ISNUMBER(SEARCH(", "&amp;$B22&amp;", ",", "&amp;'Trang chủ'!$B$7:$B$500&amp;", ")),--('Trang chủ'!$AT$7:$AT$500="Block"))+SUMPRODUCT(--ISNUMBER(SEARCH(", "&amp;$B22&amp;", ",", "&amp;'Thông báo'!$B$7:$B$500&amp;", ")),--('Thông báo'!$AT$7:$AT$500="Block"))+SUMPRODUCT(--ISNUMBER(SEARCH(", "&amp;$B22&amp;", ",", "&amp;'Đăng tin &amp; Quản lý tin'!$B$7:$B$500&amp;", ")),--('Đăng tin &amp; Quản lý tin'!$AT$7:$AT$500="Block"))+SUMPRODUCT(--ISNUMBER(SEARCH(", "&amp;$B22&amp;", ",", "&amp;'Trust &amp; Safety'!$B$7:$B$500&amp;", ")),--('Trust &amp; Safety'!$AT$7:$AT$500="Block"))+SUMPRODUCT(--ISNUMBER(SEARCH(", "&amp;$B22&amp;", ",", "&amp;'Tài khoản &amp; Hồ sơ'!$B$7:$B$500&amp;", ")),--('Tài khoản &amp; Hồ sơ'!$AT$7:$AT$500="Block"))</f>
        <v>0</v>
      </c>
      <c r="J22" s="51" t="n">
        <f aca="false">SUMPRODUCT(--ISNUMBER(SEARCH(", "&amp;$B22&amp;", ",", "&amp;'Hoạt động (Đơn của tôi)'!$B$7:$B$500&amp;", ")),--('Hoạt động (Đơn của tôi)'!$AT$7:$AT$500="N/A"))+SUMPRODUCT(--ISNUMBER(SEARCH(", "&amp;$B22&amp;", ",", "&amp;'Ghép nối'!$B$7:$B$500&amp;", ")),--('Ghép nối'!$AT$7:$AT$500="N/A"))+SUMPRODUCT(--ISNUMBER(SEARCH(", "&amp;$B22&amp;", ",", "&amp;'Huỷ đơn - Huỷ nhận đơn'!$B$7:$B$500&amp;", ")),--('Huỷ đơn - Huỷ nhận đơn'!$AT$7:$AT$500="N/A"))+SUMPRODUCT(--ISNUMBER(SEARCH(", "&amp;$B22&amp;", ",", "&amp;'Giao nhận &amp; Theo dõi đơn'!$B$7:$B$500&amp;", ")),--('Giao nhận &amp; Theo dõi đơn'!$AT$7:$AT$500="N/A"))+SUMPRODUCT(--ISNUMBER(SEARCH(", "&amp;$B22&amp;", ",", "&amp;'Bảng tin &amp; Chi tiết tin'!$B$7:$B$500&amp;", ")),--('Bảng tin &amp; Chi tiết tin'!$AT$7:$AT$500="N/A"))+SUMPRODUCT(--ISNUMBER(SEARCH(", "&amp;$B22&amp;", ",", "&amp;'Quà cảm ơn'!$B$7:$B$500&amp;", ")),--('Quà cảm ơn'!$AT$7:$AT$500="N/A"))+SUMPRODUCT(--ISNUMBER(SEARCH(", "&amp;$B22&amp;", ",", "&amp;'Trang chủ'!$B$7:$B$500&amp;", ")),--('Trang chủ'!$AT$7:$AT$500="N/A"))+SUMPRODUCT(--ISNUMBER(SEARCH(", "&amp;$B22&amp;", ",", "&amp;'Thông báo'!$B$7:$B$500&amp;", ")),--('Thông báo'!$AT$7:$AT$500="N/A"))+SUMPRODUCT(--ISNUMBER(SEARCH(", "&amp;$B22&amp;", ",", "&amp;'Đăng tin &amp; Quản lý tin'!$B$7:$B$500&amp;", ")),--('Đăng tin &amp; Quản lý tin'!$AT$7:$AT$500="N/A"))+SUMPRODUCT(--ISNUMBER(SEARCH(", "&amp;$B22&amp;", ",", "&amp;'Trust &amp; Safety'!$B$7:$B$500&amp;", ")),--('Trust &amp; Safety'!$AT$7:$AT$500="N/A"))+SUMPRODUCT(--ISNUMBER(SEARCH(", "&amp;$B22&amp;", ",", "&amp;'Tài khoản &amp; Hồ sơ'!$B$7:$B$500&amp;", ")),--('Tài khoản &amp; Hồ sơ'!$AT$7:$AT$500="N/A"))</f>
        <v>0</v>
      </c>
      <c r="K22" s="52" t="n">
        <f aca="false">IFERROR(F22/E22,0)</f>
        <v>0</v>
      </c>
      <c r="L22" s="123" t="str">
        <f aca="false">IF(E22=0,"Chưa có TC (gap)",IF(H22&gt;0,"Có lỗi (Fail)",IF(I22&gt;0,"Bị block",IF(F22&lt;E22,"Đang test",IF(G22=0,"Không áp dụng (N/A)","Đã test xong")))))</f>
        <v>Đang test</v>
      </c>
      <c r="AB22" s="1" t="s">
        <v>420</v>
      </c>
    </row>
    <row r="23" customFormat="false" ht="15.75" hidden="false" customHeight="true" outlineLevel="0" collapsed="false">
      <c r="B23" s="175" t="s">
        <v>471</v>
      </c>
      <c r="C23" s="176" t="s">
        <v>472</v>
      </c>
      <c r="D23" s="123" t="s">
        <v>473</v>
      </c>
      <c r="E23" s="51" t="n">
        <f aca="false">SUMPRODUCT(--ISNUMBER(SEARCH(", "&amp;$B23&amp;", ",", "&amp;'Hoạt động (Đơn của tôi)'!$B$7:$B$500&amp;", ")))+SUMPRODUCT(--ISNUMBER(SEARCH(", "&amp;$B23&amp;", ",", "&amp;'Ghép nối'!$B$7:$B$500&amp;", ")))+SUMPRODUCT(--ISNUMBER(SEARCH(", "&amp;$B23&amp;", ",", "&amp;'Huỷ đơn - Huỷ nhận đơn'!$B$7:$B$500&amp;", ")))+SUMPRODUCT(--ISNUMBER(SEARCH(", "&amp;$B23&amp;", ",", "&amp;'Giao nhận &amp; Theo dõi đơn'!$B$7:$B$500&amp;", ")))+SUMPRODUCT(--ISNUMBER(SEARCH(", "&amp;$B23&amp;", ",", "&amp;'Bảng tin &amp; Chi tiết tin'!$B$7:$B$500&amp;", ")))+SUMPRODUCT(--ISNUMBER(SEARCH(", "&amp;$B23&amp;", ",", "&amp;'Quà cảm ơn'!$B$7:$B$500&amp;", ")))+SUMPRODUCT(--ISNUMBER(SEARCH(", "&amp;$B23&amp;", ",", "&amp;'Trang chủ'!$B$7:$B$500&amp;", ")))+SUMPRODUCT(--ISNUMBER(SEARCH(", "&amp;$B23&amp;", ",", "&amp;'Thông báo'!$B$7:$B$500&amp;", ")))+SUMPRODUCT(--ISNUMBER(SEARCH(", "&amp;$B23&amp;", ",", "&amp;'Đăng tin &amp; Quản lý tin'!$B$7:$B$500&amp;", ")))+SUMPRODUCT(--ISNUMBER(SEARCH(", "&amp;$B23&amp;", ",", "&amp;'Trust &amp; Safety'!$B$7:$B$500&amp;", ")))+SUMPRODUCT(--ISNUMBER(SEARCH(", "&amp;$B23&amp;", ",", "&amp;'Tài khoản &amp; Hồ sơ'!$B$7:$B$500&amp;", ")))</f>
        <v>1</v>
      </c>
      <c r="F23" s="51" t="n">
        <f aca="false">SUMPRODUCT(--ISNUMBER(SEARCH(", "&amp;$B23&amp;", ",", "&amp;'Hoạt động (Đơn của tôi)'!$B$7:$B$500&amp;", ")),--('Hoạt động (Đơn của tôi)'!$AT$7:$AT$500&lt;&gt;""))+SUMPRODUCT(--ISNUMBER(SEARCH(", "&amp;$B23&amp;", ",", "&amp;'Ghép nối'!$B$7:$B$500&amp;", ")),--('Ghép nối'!$AT$7:$AT$500&lt;&gt;""))+SUMPRODUCT(--ISNUMBER(SEARCH(", "&amp;$B23&amp;", ",", "&amp;'Huỷ đơn - Huỷ nhận đơn'!$B$7:$B$500&amp;", ")),--('Huỷ đơn - Huỷ nhận đơn'!$AT$7:$AT$500&lt;&gt;""))+SUMPRODUCT(--ISNUMBER(SEARCH(", "&amp;$B23&amp;", ",", "&amp;'Giao nhận &amp; Theo dõi đơn'!$B$7:$B$500&amp;", ")),--('Giao nhận &amp; Theo dõi đơn'!$AT$7:$AT$500&lt;&gt;""))+SUMPRODUCT(--ISNUMBER(SEARCH(", "&amp;$B23&amp;", ",", "&amp;'Bảng tin &amp; Chi tiết tin'!$B$7:$B$500&amp;", ")),--('Bảng tin &amp; Chi tiết tin'!$AT$7:$AT$500&lt;&gt;""))+SUMPRODUCT(--ISNUMBER(SEARCH(", "&amp;$B23&amp;", ",", "&amp;'Quà cảm ơn'!$B$7:$B$500&amp;", ")),--('Quà cảm ơn'!$AT$7:$AT$500&lt;&gt;""))+SUMPRODUCT(--ISNUMBER(SEARCH(", "&amp;$B23&amp;", ",", "&amp;'Trang chủ'!$B$7:$B$500&amp;", ")),--('Trang chủ'!$AT$7:$AT$500&lt;&gt;""))+SUMPRODUCT(--ISNUMBER(SEARCH(", "&amp;$B23&amp;", ",", "&amp;'Thông báo'!$B$7:$B$500&amp;", ")),--('Thông báo'!$AT$7:$AT$500&lt;&gt;""))+SUMPRODUCT(--ISNUMBER(SEARCH(", "&amp;$B23&amp;", ",", "&amp;'Đăng tin &amp; Quản lý tin'!$B$7:$B$500&amp;", ")),--('Đăng tin &amp; Quản lý tin'!$AT$7:$AT$500&lt;&gt;""))+SUMPRODUCT(--ISNUMBER(SEARCH(", "&amp;$B23&amp;", ",", "&amp;'Trust &amp; Safety'!$B$7:$B$500&amp;", ")),--('Trust &amp; Safety'!$AT$7:$AT$500&lt;&gt;""))+SUMPRODUCT(--ISNUMBER(SEARCH(", "&amp;$B23&amp;", ",", "&amp;'Tài khoản &amp; Hồ sơ'!$B$7:$B$500&amp;", ")),--('Tài khoản &amp; Hồ sơ'!$AT$7:$AT$500&lt;&gt;""))</f>
        <v>0</v>
      </c>
      <c r="G23" s="51" t="n">
        <f aca="false">SUMPRODUCT(--ISNUMBER(SEARCH(", "&amp;$B23&amp;", ",", "&amp;'Hoạt động (Đơn của tôi)'!$B$7:$B$500&amp;", ")),--('Hoạt động (Đơn của tôi)'!$AT$7:$AT$500="Pass"))+SUMPRODUCT(--ISNUMBER(SEARCH(", "&amp;$B23&amp;", ",", "&amp;'Ghép nối'!$B$7:$B$500&amp;", ")),--('Ghép nối'!$AT$7:$AT$500="Pass"))+SUMPRODUCT(--ISNUMBER(SEARCH(", "&amp;$B23&amp;", ",", "&amp;'Huỷ đơn - Huỷ nhận đơn'!$B$7:$B$500&amp;", ")),--('Huỷ đơn - Huỷ nhận đơn'!$AT$7:$AT$500="Pass"))+SUMPRODUCT(--ISNUMBER(SEARCH(", "&amp;$B23&amp;", ",", "&amp;'Giao nhận &amp; Theo dõi đơn'!$B$7:$B$500&amp;", ")),--('Giao nhận &amp; Theo dõi đơn'!$AT$7:$AT$500="Pass"))+SUMPRODUCT(--ISNUMBER(SEARCH(", "&amp;$B23&amp;", ",", "&amp;'Bảng tin &amp; Chi tiết tin'!$B$7:$B$500&amp;", ")),--('Bảng tin &amp; Chi tiết tin'!$AT$7:$AT$500="Pass"))+SUMPRODUCT(--ISNUMBER(SEARCH(", "&amp;$B23&amp;", ",", "&amp;'Quà cảm ơn'!$B$7:$B$500&amp;", ")),--('Quà cảm ơn'!$AT$7:$AT$500="Pass"))+SUMPRODUCT(--ISNUMBER(SEARCH(", "&amp;$B23&amp;", ",", "&amp;'Trang chủ'!$B$7:$B$500&amp;", ")),--('Trang chủ'!$AT$7:$AT$500="Pass"))+SUMPRODUCT(--ISNUMBER(SEARCH(", "&amp;$B23&amp;", ",", "&amp;'Thông báo'!$B$7:$B$500&amp;", ")),--('Thông báo'!$AT$7:$AT$500="Pass"))+SUMPRODUCT(--ISNUMBER(SEARCH(", "&amp;$B23&amp;", ",", "&amp;'Đăng tin &amp; Quản lý tin'!$B$7:$B$500&amp;", ")),--('Đăng tin &amp; Quản lý tin'!$AT$7:$AT$500="Pass"))+SUMPRODUCT(--ISNUMBER(SEARCH(", "&amp;$B23&amp;", ",", "&amp;'Trust &amp; Safety'!$B$7:$B$500&amp;", ")),--('Trust &amp; Safety'!$AT$7:$AT$500="Pass"))+SUMPRODUCT(--ISNUMBER(SEARCH(", "&amp;$B23&amp;", ",", "&amp;'Tài khoản &amp; Hồ sơ'!$B$7:$B$500&amp;", ")),--('Tài khoản &amp; Hồ sơ'!$AT$7:$AT$500="Pass"))</f>
        <v>0</v>
      </c>
      <c r="H23" s="51" t="n">
        <f aca="false">SUMPRODUCT(--ISNUMBER(SEARCH(", "&amp;$B23&amp;", ",", "&amp;'Hoạt động (Đơn của tôi)'!$B$7:$B$500&amp;", ")),--('Hoạt động (Đơn của tôi)'!$AT$7:$AT$500="Fail"))+SUMPRODUCT(--ISNUMBER(SEARCH(", "&amp;$B23&amp;", ",", "&amp;'Ghép nối'!$B$7:$B$500&amp;", ")),--('Ghép nối'!$AT$7:$AT$500="Fail"))+SUMPRODUCT(--ISNUMBER(SEARCH(", "&amp;$B23&amp;", ",", "&amp;'Huỷ đơn - Huỷ nhận đơn'!$B$7:$B$500&amp;", ")),--('Huỷ đơn - Huỷ nhận đơn'!$AT$7:$AT$500="Fail"))+SUMPRODUCT(--ISNUMBER(SEARCH(", "&amp;$B23&amp;", ",", "&amp;'Giao nhận &amp; Theo dõi đơn'!$B$7:$B$500&amp;", ")),--('Giao nhận &amp; Theo dõi đơn'!$AT$7:$AT$500="Fail"))+SUMPRODUCT(--ISNUMBER(SEARCH(", "&amp;$B23&amp;", ",", "&amp;'Bảng tin &amp; Chi tiết tin'!$B$7:$B$500&amp;", ")),--('Bảng tin &amp; Chi tiết tin'!$AT$7:$AT$500="Fail"))+SUMPRODUCT(--ISNUMBER(SEARCH(", "&amp;$B23&amp;", ",", "&amp;'Quà cảm ơn'!$B$7:$B$500&amp;", ")),--('Quà cảm ơn'!$AT$7:$AT$500="Fail"))+SUMPRODUCT(--ISNUMBER(SEARCH(", "&amp;$B23&amp;", ",", "&amp;'Trang chủ'!$B$7:$B$500&amp;", ")),--('Trang chủ'!$AT$7:$AT$500="Fail"))+SUMPRODUCT(--ISNUMBER(SEARCH(", "&amp;$B23&amp;", ",", "&amp;'Thông báo'!$B$7:$B$500&amp;", ")),--('Thông báo'!$AT$7:$AT$500="Fail"))+SUMPRODUCT(--ISNUMBER(SEARCH(", "&amp;$B23&amp;", ",", "&amp;'Đăng tin &amp; Quản lý tin'!$B$7:$B$500&amp;", ")),--('Đăng tin &amp; Quản lý tin'!$AT$7:$AT$500="Fail"))+SUMPRODUCT(--ISNUMBER(SEARCH(", "&amp;$B23&amp;", ",", "&amp;'Trust &amp; Safety'!$B$7:$B$500&amp;", ")),--('Trust &amp; Safety'!$AT$7:$AT$500="Fail"))+SUMPRODUCT(--ISNUMBER(SEARCH(", "&amp;$B23&amp;", ",", "&amp;'Tài khoản &amp; Hồ sơ'!$B$7:$B$500&amp;", ")),--('Tài khoản &amp; Hồ sơ'!$AT$7:$AT$500="Fail"))</f>
        <v>0</v>
      </c>
      <c r="I23" s="51" t="n">
        <f aca="false">SUMPRODUCT(--ISNUMBER(SEARCH(", "&amp;$B23&amp;", ",", "&amp;'Hoạt động (Đơn của tôi)'!$B$7:$B$500&amp;", ")),--('Hoạt động (Đơn của tôi)'!$AT$7:$AT$500="Block"))+SUMPRODUCT(--ISNUMBER(SEARCH(", "&amp;$B23&amp;", ",", "&amp;'Ghép nối'!$B$7:$B$500&amp;", ")),--('Ghép nối'!$AT$7:$AT$500="Block"))+SUMPRODUCT(--ISNUMBER(SEARCH(", "&amp;$B23&amp;", ",", "&amp;'Huỷ đơn - Huỷ nhận đơn'!$B$7:$B$500&amp;", ")),--('Huỷ đơn - Huỷ nhận đơn'!$AT$7:$AT$500="Block"))+SUMPRODUCT(--ISNUMBER(SEARCH(", "&amp;$B23&amp;", ",", "&amp;'Giao nhận &amp; Theo dõi đơn'!$B$7:$B$500&amp;", ")),--('Giao nhận &amp; Theo dõi đơn'!$AT$7:$AT$500="Block"))+SUMPRODUCT(--ISNUMBER(SEARCH(", "&amp;$B23&amp;", ",", "&amp;'Bảng tin &amp; Chi tiết tin'!$B$7:$B$500&amp;", ")),--('Bảng tin &amp; Chi tiết tin'!$AT$7:$AT$500="Block"))+SUMPRODUCT(--ISNUMBER(SEARCH(", "&amp;$B23&amp;", ",", "&amp;'Quà cảm ơn'!$B$7:$B$500&amp;", ")),--('Quà cảm ơn'!$AT$7:$AT$500="Block"))+SUMPRODUCT(--ISNUMBER(SEARCH(", "&amp;$B23&amp;", ",", "&amp;'Trang chủ'!$B$7:$B$500&amp;", ")),--('Trang chủ'!$AT$7:$AT$500="Block"))+SUMPRODUCT(--ISNUMBER(SEARCH(", "&amp;$B23&amp;", ",", "&amp;'Thông báo'!$B$7:$B$500&amp;", ")),--('Thông báo'!$AT$7:$AT$500="Block"))+SUMPRODUCT(--ISNUMBER(SEARCH(", "&amp;$B23&amp;", ",", "&amp;'Đăng tin &amp; Quản lý tin'!$B$7:$B$500&amp;", ")),--('Đăng tin &amp; Quản lý tin'!$AT$7:$AT$500="Block"))+SUMPRODUCT(--ISNUMBER(SEARCH(", "&amp;$B23&amp;", ",", "&amp;'Trust &amp; Safety'!$B$7:$B$500&amp;", ")),--('Trust &amp; Safety'!$AT$7:$AT$500="Block"))+SUMPRODUCT(--ISNUMBER(SEARCH(", "&amp;$B23&amp;", ",", "&amp;'Tài khoản &amp; Hồ sơ'!$B$7:$B$500&amp;", ")),--('Tài khoản &amp; Hồ sơ'!$AT$7:$AT$500="Block"))</f>
        <v>0</v>
      </c>
      <c r="J23" s="51" t="n">
        <f aca="false">SUMPRODUCT(--ISNUMBER(SEARCH(", "&amp;$B23&amp;", ",", "&amp;'Hoạt động (Đơn của tôi)'!$B$7:$B$500&amp;", ")),--('Hoạt động (Đơn của tôi)'!$AT$7:$AT$500="N/A"))+SUMPRODUCT(--ISNUMBER(SEARCH(", "&amp;$B23&amp;", ",", "&amp;'Ghép nối'!$B$7:$B$500&amp;", ")),--('Ghép nối'!$AT$7:$AT$500="N/A"))+SUMPRODUCT(--ISNUMBER(SEARCH(", "&amp;$B23&amp;", ",", "&amp;'Huỷ đơn - Huỷ nhận đơn'!$B$7:$B$500&amp;", ")),--('Huỷ đơn - Huỷ nhận đơn'!$AT$7:$AT$500="N/A"))+SUMPRODUCT(--ISNUMBER(SEARCH(", "&amp;$B23&amp;", ",", "&amp;'Giao nhận &amp; Theo dõi đơn'!$B$7:$B$500&amp;", ")),--('Giao nhận &amp; Theo dõi đơn'!$AT$7:$AT$500="N/A"))+SUMPRODUCT(--ISNUMBER(SEARCH(", "&amp;$B23&amp;", ",", "&amp;'Bảng tin &amp; Chi tiết tin'!$B$7:$B$500&amp;", ")),--('Bảng tin &amp; Chi tiết tin'!$AT$7:$AT$500="N/A"))+SUMPRODUCT(--ISNUMBER(SEARCH(", "&amp;$B23&amp;", ",", "&amp;'Quà cảm ơn'!$B$7:$B$500&amp;", ")),--('Quà cảm ơn'!$AT$7:$AT$500="N/A"))+SUMPRODUCT(--ISNUMBER(SEARCH(", "&amp;$B23&amp;", ",", "&amp;'Trang chủ'!$B$7:$B$500&amp;", ")),--('Trang chủ'!$AT$7:$AT$500="N/A"))+SUMPRODUCT(--ISNUMBER(SEARCH(", "&amp;$B23&amp;", ",", "&amp;'Thông báo'!$B$7:$B$500&amp;", ")),--('Thông báo'!$AT$7:$AT$500="N/A"))+SUMPRODUCT(--ISNUMBER(SEARCH(", "&amp;$B23&amp;", ",", "&amp;'Đăng tin &amp; Quản lý tin'!$B$7:$B$500&amp;", ")),--('Đăng tin &amp; Quản lý tin'!$AT$7:$AT$500="N/A"))+SUMPRODUCT(--ISNUMBER(SEARCH(", "&amp;$B23&amp;", ",", "&amp;'Trust &amp; Safety'!$B$7:$B$500&amp;", ")),--('Trust &amp; Safety'!$AT$7:$AT$500="N/A"))+SUMPRODUCT(--ISNUMBER(SEARCH(", "&amp;$B23&amp;", ",", "&amp;'Tài khoản &amp; Hồ sơ'!$B$7:$B$500&amp;", ")),--('Tài khoản &amp; Hồ sơ'!$AT$7:$AT$500="N/A"))</f>
        <v>0</v>
      </c>
      <c r="K23" s="52" t="n">
        <f aca="false">IFERROR(F23/E23,0)</f>
        <v>0</v>
      </c>
      <c r="L23" s="123" t="str">
        <f aca="false">IF(E23=0,"Chưa có TC (gap)",IF(H23&gt;0,"Có lỗi (Fail)",IF(I23&gt;0,"Bị block",IF(F23&lt;E23,"Đang test",IF(G23=0,"Không áp dụng (N/A)","Đã test xong")))))</f>
        <v>Đang test</v>
      </c>
      <c r="AB23" s="1" t="s">
        <v>420</v>
      </c>
    </row>
    <row r="24" customFormat="false" ht="15.75" hidden="false" customHeight="true" outlineLevel="0" collapsed="false">
      <c r="B24" s="175" t="s">
        <v>474</v>
      </c>
      <c r="C24" s="176" t="s">
        <v>475</v>
      </c>
      <c r="D24" s="123" t="s">
        <v>476</v>
      </c>
      <c r="E24" s="51" t="n">
        <f aca="false">SUMPRODUCT(--ISNUMBER(SEARCH(", "&amp;$B24&amp;", ",", "&amp;'Hoạt động (Đơn của tôi)'!$B$7:$B$500&amp;", ")))+SUMPRODUCT(--ISNUMBER(SEARCH(", "&amp;$B24&amp;", ",", "&amp;'Ghép nối'!$B$7:$B$500&amp;", ")))+SUMPRODUCT(--ISNUMBER(SEARCH(", "&amp;$B24&amp;", ",", "&amp;'Huỷ đơn - Huỷ nhận đơn'!$B$7:$B$500&amp;", ")))+SUMPRODUCT(--ISNUMBER(SEARCH(", "&amp;$B24&amp;", ",", "&amp;'Giao nhận &amp; Theo dõi đơn'!$B$7:$B$500&amp;", ")))+SUMPRODUCT(--ISNUMBER(SEARCH(", "&amp;$B24&amp;", ",", "&amp;'Bảng tin &amp; Chi tiết tin'!$B$7:$B$500&amp;", ")))+SUMPRODUCT(--ISNUMBER(SEARCH(", "&amp;$B24&amp;", ",", "&amp;'Quà cảm ơn'!$B$7:$B$500&amp;", ")))+SUMPRODUCT(--ISNUMBER(SEARCH(", "&amp;$B24&amp;", ",", "&amp;'Trang chủ'!$B$7:$B$500&amp;", ")))+SUMPRODUCT(--ISNUMBER(SEARCH(", "&amp;$B24&amp;", ",", "&amp;'Thông báo'!$B$7:$B$500&amp;", ")))+SUMPRODUCT(--ISNUMBER(SEARCH(", "&amp;$B24&amp;", ",", "&amp;'Đăng tin &amp; Quản lý tin'!$B$7:$B$500&amp;", ")))+SUMPRODUCT(--ISNUMBER(SEARCH(", "&amp;$B24&amp;", ",", "&amp;'Trust &amp; Safety'!$B$7:$B$500&amp;", ")))+SUMPRODUCT(--ISNUMBER(SEARCH(", "&amp;$B24&amp;", ",", "&amp;'Tài khoản &amp; Hồ sơ'!$B$7:$B$500&amp;", ")))</f>
        <v>9</v>
      </c>
      <c r="F24" s="51" t="n">
        <f aca="false">SUMPRODUCT(--ISNUMBER(SEARCH(", "&amp;$B24&amp;", ",", "&amp;'Hoạt động (Đơn của tôi)'!$B$7:$B$500&amp;", ")),--('Hoạt động (Đơn của tôi)'!$AT$7:$AT$500&lt;&gt;""))+SUMPRODUCT(--ISNUMBER(SEARCH(", "&amp;$B24&amp;", ",", "&amp;'Ghép nối'!$B$7:$B$500&amp;", ")),--('Ghép nối'!$AT$7:$AT$500&lt;&gt;""))+SUMPRODUCT(--ISNUMBER(SEARCH(", "&amp;$B24&amp;", ",", "&amp;'Huỷ đơn - Huỷ nhận đơn'!$B$7:$B$500&amp;", ")),--('Huỷ đơn - Huỷ nhận đơn'!$AT$7:$AT$500&lt;&gt;""))+SUMPRODUCT(--ISNUMBER(SEARCH(", "&amp;$B24&amp;", ",", "&amp;'Giao nhận &amp; Theo dõi đơn'!$B$7:$B$500&amp;", ")),--('Giao nhận &amp; Theo dõi đơn'!$AT$7:$AT$500&lt;&gt;""))+SUMPRODUCT(--ISNUMBER(SEARCH(", "&amp;$B24&amp;", ",", "&amp;'Bảng tin &amp; Chi tiết tin'!$B$7:$B$500&amp;", ")),--('Bảng tin &amp; Chi tiết tin'!$AT$7:$AT$500&lt;&gt;""))+SUMPRODUCT(--ISNUMBER(SEARCH(", "&amp;$B24&amp;", ",", "&amp;'Quà cảm ơn'!$B$7:$B$500&amp;", ")),--('Quà cảm ơn'!$AT$7:$AT$500&lt;&gt;""))+SUMPRODUCT(--ISNUMBER(SEARCH(", "&amp;$B24&amp;", ",", "&amp;'Trang chủ'!$B$7:$B$500&amp;", ")),--('Trang chủ'!$AT$7:$AT$500&lt;&gt;""))+SUMPRODUCT(--ISNUMBER(SEARCH(", "&amp;$B24&amp;", ",", "&amp;'Thông báo'!$B$7:$B$500&amp;", ")),--('Thông báo'!$AT$7:$AT$500&lt;&gt;""))+SUMPRODUCT(--ISNUMBER(SEARCH(", "&amp;$B24&amp;", ",", "&amp;'Đăng tin &amp; Quản lý tin'!$B$7:$B$500&amp;", ")),--('Đăng tin &amp; Quản lý tin'!$AT$7:$AT$500&lt;&gt;""))+SUMPRODUCT(--ISNUMBER(SEARCH(", "&amp;$B24&amp;", ",", "&amp;'Trust &amp; Safety'!$B$7:$B$500&amp;", ")),--('Trust &amp; Safety'!$AT$7:$AT$500&lt;&gt;""))+SUMPRODUCT(--ISNUMBER(SEARCH(", "&amp;$B24&amp;", ",", "&amp;'Tài khoản &amp; Hồ sơ'!$B$7:$B$500&amp;", ")),--('Tài khoản &amp; Hồ sơ'!$AT$7:$AT$500&lt;&gt;""))</f>
        <v>0</v>
      </c>
      <c r="G24" s="51" t="n">
        <f aca="false">SUMPRODUCT(--ISNUMBER(SEARCH(", "&amp;$B24&amp;", ",", "&amp;'Hoạt động (Đơn của tôi)'!$B$7:$B$500&amp;", ")),--('Hoạt động (Đơn của tôi)'!$AT$7:$AT$500="Pass"))+SUMPRODUCT(--ISNUMBER(SEARCH(", "&amp;$B24&amp;", ",", "&amp;'Ghép nối'!$B$7:$B$500&amp;", ")),--('Ghép nối'!$AT$7:$AT$500="Pass"))+SUMPRODUCT(--ISNUMBER(SEARCH(", "&amp;$B24&amp;", ",", "&amp;'Huỷ đơn - Huỷ nhận đơn'!$B$7:$B$500&amp;", ")),--('Huỷ đơn - Huỷ nhận đơn'!$AT$7:$AT$500="Pass"))+SUMPRODUCT(--ISNUMBER(SEARCH(", "&amp;$B24&amp;", ",", "&amp;'Giao nhận &amp; Theo dõi đơn'!$B$7:$B$500&amp;", ")),--('Giao nhận &amp; Theo dõi đơn'!$AT$7:$AT$500="Pass"))+SUMPRODUCT(--ISNUMBER(SEARCH(", "&amp;$B24&amp;", ",", "&amp;'Bảng tin &amp; Chi tiết tin'!$B$7:$B$500&amp;", ")),--('Bảng tin &amp; Chi tiết tin'!$AT$7:$AT$500="Pass"))+SUMPRODUCT(--ISNUMBER(SEARCH(", "&amp;$B24&amp;", ",", "&amp;'Quà cảm ơn'!$B$7:$B$500&amp;", ")),--('Quà cảm ơn'!$AT$7:$AT$500="Pass"))+SUMPRODUCT(--ISNUMBER(SEARCH(", "&amp;$B24&amp;", ",", "&amp;'Trang chủ'!$B$7:$B$500&amp;", ")),--('Trang chủ'!$AT$7:$AT$500="Pass"))+SUMPRODUCT(--ISNUMBER(SEARCH(", "&amp;$B24&amp;", ",", "&amp;'Thông báo'!$B$7:$B$500&amp;", ")),--('Thông báo'!$AT$7:$AT$500="Pass"))+SUMPRODUCT(--ISNUMBER(SEARCH(", "&amp;$B24&amp;", ",", "&amp;'Đăng tin &amp; Quản lý tin'!$B$7:$B$500&amp;", ")),--('Đăng tin &amp; Quản lý tin'!$AT$7:$AT$500="Pass"))+SUMPRODUCT(--ISNUMBER(SEARCH(", "&amp;$B24&amp;", ",", "&amp;'Trust &amp; Safety'!$B$7:$B$500&amp;", ")),--('Trust &amp; Safety'!$AT$7:$AT$500="Pass"))+SUMPRODUCT(--ISNUMBER(SEARCH(", "&amp;$B24&amp;", ",", "&amp;'Tài khoản &amp; Hồ sơ'!$B$7:$B$500&amp;", ")),--('Tài khoản &amp; Hồ sơ'!$AT$7:$AT$500="Pass"))</f>
        <v>0</v>
      </c>
      <c r="H24" s="51" t="n">
        <f aca="false">SUMPRODUCT(--ISNUMBER(SEARCH(", "&amp;$B24&amp;", ",", "&amp;'Hoạt động (Đơn của tôi)'!$B$7:$B$500&amp;", ")),--('Hoạt động (Đơn của tôi)'!$AT$7:$AT$500="Fail"))+SUMPRODUCT(--ISNUMBER(SEARCH(", "&amp;$B24&amp;", ",", "&amp;'Ghép nối'!$B$7:$B$500&amp;", ")),--('Ghép nối'!$AT$7:$AT$500="Fail"))+SUMPRODUCT(--ISNUMBER(SEARCH(", "&amp;$B24&amp;", ",", "&amp;'Huỷ đơn - Huỷ nhận đơn'!$B$7:$B$500&amp;", ")),--('Huỷ đơn - Huỷ nhận đơn'!$AT$7:$AT$500="Fail"))+SUMPRODUCT(--ISNUMBER(SEARCH(", "&amp;$B24&amp;", ",", "&amp;'Giao nhận &amp; Theo dõi đơn'!$B$7:$B$500&amp;", ")),--('Giao nhận &amp; Theo dõi đơn'!$AT$7:$AT$500="Fail"))+SUMPRODUCT(--ISNUMBER(SEARCH(", "&amp;$B24&amp;", ",", "&amp;'Bảng tin &amp; Chi tiết tin'!$B$7:$B$500&amp;", ")),--('Bảng tin &amp; Chi tiết tin'!$AT$7:$AT$500="Fail"))+SUMPRODUCT(--ISNUMBER(SEARCH(", "&amp;$B24&amp;", ",", "&amp;'Quà cảm ơn'!$B$7:$B$500&amp;", ")),--('Quà cảm ơn'!$AT$7:$AT$500="Fail"))+SUMPRODUCT(--ISNUMBER(SEARCH(", "&amp;$B24&amp;", ",", "&amp;'Trang chủ'!$B$7:$B$500&amp;", ")),--('Trang chủ'!$AT$7:$AT$500="Fail"))+SUMPRODUCT(--ISNUMBER(SEARCH(", "&amp;$B24&amp;", ",", "&amp;'Thông báo'!$B$7:$B$500&amp;", ")),--('Thông báo'!$AT$7:$AT$500="Fail"))+SUMPRODUCT(--ISNUMBER(SEARCH(", "&amp;$B24&amp;", ",", "&amp;'Đăng tin &amp; Quản lý tin'!$B$7:$B$500&amp;", ")),--('Đăng tin &amp; Quản lý tin'!$AT$7:$AT$500="Fail"))+SUMPRODUCT(--ISNUMBER(SEARCH(", "&amp;$B24&amp;", ",", "&amp;'Trust &amp; Safety'!$B$7:$B$500&amp;", ")),--('Trust &amp; Safety'!$AT$7:$AT$500="Fail"))+SUMPRODUCT(--ISNUMBER(SEARCH(", "&amp;$B24&amp;", ",", "&amp;'Tài khoản &amp; Hồ sơ'!$B$7:$B$500&amp;", ")),--('Tài khoản &amp; Hồ sơ'!$AT$7:$AT$500="Fail"))</f>
        <v>0</v>
      </c>
      <c r="I24" s="51" t="n">
        <f aca="false">SUMPRODUCT(--ISNUMBER(SEARCH(", "&amp;$B24&amp;", ",", "&amp;'Hoạt động (Đơn của tôi)'!$B$7:$B$500&amp;", ")),--('Hoạt động (Đơn của tôi)'!$AT$7:$AT$500="Block"))+SUMPRODUCT(--ISNUMBER(SEARCH(", "&amp;$B24&amp;", ",", "&amp;'Ghép nối'!$B$7:$B$500&amp;", ")),--('Ghép nối'!$AT$7:$AT$500="Block"))+SUMPRODUCT(--ISNUMBER(SEARCH(", "&amp;$B24&amp;", ",", "&amp;'Huỷ đơn - Huỷ nhận đơn'!$B$7:$B$500&amp;", ")),--('Huỷ đơn - Huỷ nhận đơn'!$AT$7:$AT$500="Block"))+SUMPRODUCT(--ISNUMBER(SEARCH(", "&amp;$B24&amp;", ",", "&amp;'Giao nhận &amp; Theo dõi đơn'!$B$7:$B$500&amp;", ")),--('Giao nhận &amp; Theo dõi đơn'!$AT$7:$AT$500="Block"))+SUMPRODUCT(--ISNUMBER(SEARCH(", "&amp;$B24&amp;", ",", "&amp;'Bảng tin &amp; Chi tiết tin'!$B$7:$B$500&amp;", ")),--('Bảng tin &amp; Chi tiết tin'!$AT$7:$AT$500="Block"))+SUMPRODUCT(--ISNUMBER(SEARCH(", "&amp;$B24&amp;", ",", "&amp;'Quà cảm ơn'!$B$7:$B$500&amp;", ")),--('Quà cảm ơn'!$AT$7:$AT$500="Block"))+SUMPRODUCT(--ISNUMBER(SEARCH(", "&amp;$B24&amp;", ",", "&amp;'Trang chủ'!$B$7:$B$500&amp;", ")),--('Trang chủ'!$AT$7:$AT$500="Block"))+SUMPRODUCT(--ISNUMBER(SEARCH(", "&amp;$B24&amp;", ",", "&amp;'Thông báo'!$B$7:$B$500&amp;", ")),--('Thông báo'!$AT$7:$AT$500="Block"))+SUMPRODUCT(--ISNUMBER(SEARCH(", "&amp;$B24&amp;", ",", "&amp;'Đăng tin &amp; Quản lý tin'!$B$7:$B$500&amp;", ")),--('Đăng tin &amp; Quản lý tin'!$AT$7:$AT$500="Block"))+SUMPRODUCT(--ISNUMBER(SEARCH(", "&amp;$B24&amp;", ",", "&amp;'Trust &amp; Safety'!$B$7:$B$500&amp;", ")),--('Trust &amp; Safety'!$AT$7:$AT$500="Block"))+SUMPRODUCT(--ISNUMBER(SEARCH(", "&amp;$B24&amp;", ",", "&amp;'Tài khoản &amp; Hồ sơ'!$B$7:$B$500&amp;", ")),--('Tài khoản &amp; Hồ sơ'!$AT$7:$AT$500="Block"))</f>
        <v>0</v>
      </c>
      <c r="J24" s="51" t="n">
        <f aca="false">SUMPRODUCT(--ISNUMBER(SEARCH(", "&amp;$B24&amp;", ",", "&amp;'Hoạt động (Đơn của tôi)'!$B$7:$B$500&amp;", ")),--('Hoạt động (Đơn của tôi)'!$AT$7:$AT$500="N/A"))+SUMPRODUCT(--ISNUMBER(SEARCH(", "&amp;$B24&amp;", ",", "&amp;'Ghép nối'!$B$7:$B$500&amp;", ")),--('Ghép nối'!$AT$7:$AT$500="N/A"))+SUMPRODUCT(--ISNUMBER(SEARCH(", "&amp;$B24&amp;", ",", "&amp;'Huỷ đơn - Huỷ nhận đơn'!$B$7:$B$500&amp;", ")),--('Huỷ đơn - Huỷ nhận đơn'!$AT$7:$AT$500="N/A"))+SUMPRODUCT(--ISNUMBER(SEARCH(", "&amp;$B24&amp;", ",", "&amp;'Giao nhận &amp; Theo dõi đơn'!$B$7:$B$500&amp;", ")),--('Giao nhận &amp; Theo dõi đơn'!$AT$7:$AT$500="N/A"))+SUMPRODUCT(--ISNUMBER(SEARCH(", "&amp;$B24&amp;", ",", "&amp;'Bảng tin &amp; Chi tiết tin'!$B$7:$B$500&amp;", ")),--('Bảng tin &amp; Chi tiết tin'!$AT$7:$AT$500="N/A"))+SUMPRODUCT(--ISNUMBER(SEARCH(", "&amp;$B24&amp;", ",", "&amp;'Quà cảm ơn'!$B$7:$B$500&amp;", ")),--('Quà cảm ơn'!$AT$7:$AT$500="N/A"))+SUMPRODUCT(--ISNUMBER(SEARCH(", "&amp;$B24&amp;", ",", "&amp;'Trang chủ'!$B$7:$B$500&amp;", ")),--('Trang chủ'!$AT$7:$AT$500="N/A"))+SUMPRODUCT(--ISNUMBER(SEARCH(", "&amp;$B24&amp;", ",", "&amp;'Thông báo'!$B$7:$B$500&amp;", ")),--('Thông báo'!$AT$7:$AT$500="N/A"))+SUMPRODUCT(--ISNUMBER(SEARCH(", "&amp;$B24&amp;", ",", "&amp;'Đăng tin &amp; Quản lý tin'!$B$7:$B$500&amp;", ")),--('Đăng tin &amp; Quản lý tin'!$AT$7:$AT$500="N/A"))+SUMPRODUCT(--ISNUMBER(SEARCH(", "&amp;$B24&amp;", ",", "&amp;'Trust &amp; Safety'!$B$7:$B$500&amp;", ")),--('Trust &amp; Safety'!$AT$7:$AT$500="N/A"))+SUMPRODUCT(--ISNUMBER(SEARCH(", "&amp;$B24&amp;", ",", "&amp;'Tài khoản &amp; Hồ sơ'!$B$7:$B$500&amp;", ")),--('Tài khoản &amp; Hồ sơ'!$AT$7:$AT$500="N/A"))</f>
        <v>0</v>
      </c>
      <c r="K24" s="52" t="n">
        <f aca="false">IFERROR(F24/E24,0)</f>
        <v>0</v>
      </c>
      <c r="L24" s="123" t="str">
        <f aca="false">IF(E24=0,"Chưa có TC (gap)",IF(H24&gt;0,"Có lỗi (Fail)",IF(I24&gt;0,"Bị block",IF(F24&lt;E24,"Đang test",IF(G24=0,"Không áp dụng (N/A)","Đã test xong")))))</f>
        <v>Đang test</v>
      </c>
      <c r="AB24" s="1" t="s">
        <v>424</v>
      </c>
    </row>
    <row r="25" customFormat="false" ht="15.75" hidden="false" customHeight="true" outlineLevel="0" collapsed="false">
      <c r="B25" s="175" t="s">
        <v>477</v>
      </c>
      <c r="C25" s="176" t="s">
        <v>478</v>
      </c>
      <c r="D25" s="123" t="s">
        <v>479</v>
      </c>
      <c r="E25" s="51" t="n">
        <f aca="false">SUMPRODUCT(--ISNUMBER(SEARCH(", "&amp;$B25&amp;", ",", "&amp;'Hoạt động (Đơn của tôi)'!$B$7:$B$500&amp;", ")))+SUMPRODUCT(--ISNUMBER(SEARCH(", "&amp;$B25&amp;", ",", "&amp;'Ghép nối'!$B$7:$B$500&amp;", ")))+SUMPRODUCT(--ISNUMBER(SEARCH(", "&amp;$B25&amp;", ",", "&amp;'Huỷ đơn - Huỷ nhận đơn'!$B$7:$B$500&amp;", ")))+SUMPRODUCT(--ISNUMBER(SEARCH(", "&amp;$B25&amp;", ",", "&amp;'Giao nhận &amp; Theo dõi đơn'!$B$7:$B$500&amp;", ")))+SUMPRODUCT(--ISNUMBER(SEARCH(", "&amp;$B25&amp;", ",", "&amp;'Bảng tin &amp; Chi tiết tin'!$B$7:$B$500&amp;", ")))+SUMPRODUCT(--ISNUMBER(SEARCH(", "&amp;$B25&amp;", ",", "&amp;'Quà cảm ơn'!$B$7:$B$500&amp;", ")))+SUMPRODUCT(--ISNUMBER(SEARCH(", "&amp;$B25&amp;", ",", "&amp;'Trang chủ'!$B$7:$B$500&amp;", ")))+SUMPRODUCT(--ISNUMBER(SEARCH(", "&amp;$B25&amp;", ",", "&amp;'Thông báo'!$B$7:$B$500&amp;", ")))+SUMPRODUCT(--ISNUMBER(SEARCH(", "&amp;$B25&amp;", ",", "&amp;'Đăng tin &amp; Quản lý tin'!$B$7:$B$500&amp;", ")))+SUMPRODUCT(--ISNUMBER(SEARCH(", "&amp;$B25&amp;", ",", "&amp;'Trust &amp; Safety'!$B$7:$B$500&amp;", ")))+SUMPRODUCT(--ISNUMBER(SEARCH(", "&amp;$B25&amp;", ",", "&amp;'Tài khoản &amp; Hồ sơ'!$B$7:$B$500&amp;", ")))</f>
        <v>1</v>
      </c>
      <c r="F25" s="51" t="n">
        <f aca="false">SUMPRODUCT(--ISNUMBER(SEARCH(", "&amp;$B25&amp;", ",", "&amp;'Hoạt động (Đơn của tôi)'!$B$7:$B$500&amp;", ")),--('Hoạt động (Đơn của tôi)'!$AT$7:$AT$500&lt;&gt;""))+SUMPRODUCT(--ISNUMBER(SEARCH(", "&amp;$B25&amp;", ",", "&amp;'Ghép nối'!$B$7:$B$500&amp;", ")),--('Ghép nối'!$AT$7:$AT$500&lt;&gt;""))+SUMPRODUCT(--ISNUMBER(SEARCH(", "&amp;$B25&amp;", ",", "&amp;'Huỷ đơn - Huỷ nhận đơn'!$B$7:$B$500&amp;", ")),--('Huỷ đơn - Huỷ nhận đơn'!$AT$7:$AT$500&lt;&gt;""))+SUMPRODUCT(--ISNUMBER(SEARCH(", "&amp;$B25&amp;", ",", "&amp;'Giao nhận &amp; Theo dõi đơn'!$B$7:$B$500&amp;", ")),--('Giao nhận &amp; Theo dõi đơn'!$AT$7:$AT$500&lt;&gt;""))+SUMPRODUCT(--ISNUMBER(SEARCH(", "&amp;$B25&amp;", ",", "&amp;'Bảng tin &amp; Chi tiết tin'!$B$7:$B$500&amp;", ")),--('Bảng tin &amp; Chi tiết tin'!$AT$7:$AT$500&lt;&gt;""))+SUMPRODUCT(--ISNUMBER(SEARCH(", "&amp;$B25&amp;", ",", "&amp;'Quà cảm ơn'!$B$7:$B$500&amp;", ")),--('Quà cảm ơn'!$AT$7:$AT$500&lt;&gt;""))+SUMPRODUCT(--ISNUMBER(SEARCH(", "&amp;$B25&amp;", ",", "&amp;'Trang chủ'!$B$7:$B$500&amp;", ")),--('Trang chủ'!$AT$7:$AT$500&lt;&gt;""))+SUMPRODUCT(--ISNUMBER(SEARCH(", "&amp;$B25&amp;", ",", "&amp;'Thông báo'!$B$7:$B$500&amp;", ")),--('Thông báo'!$AT$7:$AT$500&lt;&gt;""))+SUMPRODUCT(--ISNUMBER(SEARCH(", "&amp;$B25&amp;", ",", "&amp;'Đăng tin &amp; Quản lý tin'!$B$7:$B$500&amp;", ")),--('Đăng tin &amp; Quản lý tin'!$AT$7:$AT$500&lt;&gt;""))+SUMPRODUCT(--ISNUMBER(SEARCH(", "&amp;$B25&amp;", ",", "&amp;'Trust &amp; Safety'!$B$7:$B$500&amp;", ")),--('Trust &amp; Safety'!$AT$7:$AT$500&lt;&gt;""))+SUMPRODUCT(--ISNUMBER(SEARCH(", "&amp;$B25&amp;", ",", "&amp;'Tài khoản &amp; Hồ sơ'!$B$7:$B$500&amp;", ")),--('Tài khoản &amp; Hồ sơ'!$AT$7:$AT$500&lt;&gt;""))</f>
        <v>0</v>
      </c>
      <c r="G25" s="51" t="n">
        <f aca="false">SUMPRODUCT(--ISNUMBER(SEARCH(", "&amp;$B25&amp;", ",", "&amp;'Hoạt động (Đơn của tôi)'!$B$7:$B$500&amp;", ")),--('Hoạt động (Đơn của tôi)'!$AT$7:$AT$500="Pass"))+SUMPRODUCT(--ISNUMBER(SEARCH(", "&amp;$B25&amp;", ",", "&amp;'Ghép nối'!$B$7:$B$500&amp;", ")),--('Ghép nối'!$AT$7:$AT$500="Pass"))+SUMPRODUCT(--ISNUMBER(SEARCH(", "&amp;$B25&amp;", ",", "&amp;'Huỷ đơn - Huỷ nhận đơn'!$B$7:$B$500&amp;", ")),--('Huỷ đơn - Huỷ nhận đơn'!$AT$7:$AT$500="Pass"))+SUMPRODUCT(--ISNUMBER(SEARCH(", "&amp;$B25&amp;", ",", "&amp;'Giao nhận &amp; Theo dõi đơn'!$B$7:$B$500&amp;", ")),--('Giao nhận &amp; Theo dõi đơn'!$AT$7:$AT$500="Pass"))+SUMPRODUCT(--ISNUMBER(SEARCH(", "&amp;$B25&amp;", ",", "&amp;'Bảng tin &amp; Chi tiết tin'!$B$7:$B$500&amp;", ")),--('Bảng tin &amp; Chi tiết tin'!$AT$7:$AT$500="Pass"))+SUMPRODUCT(--ISNUMBER(SEARCH(", "&amp;$B25&amp;", ",", "&amp;'Quà cảm ơn'!$B$7:$B$500&amp;", ")),--('Quà cảm ơn'!$AT$7:$AT$500="Pass"))+SUMPRODUCT(--ISNUMBER(SEARCH(", "&amp;$B25&amp;", ",", "&amp;'Trang chủ'!$B$7:$B$500&amp;", ")),--('Trang chủ'!$AT$7:$AT$500="Pass"))+SUMPRODUCT(--ISNUMBER(SEARCH(", "&amp;$B25&amp;", ",", "&amp;'Thông báo'!$B$7:$B$500&amp;", ")),--('Thông báo'!$AT$7:$AT$500="Pass"))+SUMPRODUCT(--ISNUMBER(SEARCH(", "&amp;$B25&amp;", ",", "&amp;'Đăng tin &amp; Quản lý tin'!$B$7:$B$500&amp;", ")),--('Đăng tin &amp; Quản lý tin'!$AT$7:$AT$500="Pass"))+SUMPRODUCT(--ISNUMBER(SEARCH(", "&amp;$B25&amp;", ",", "&amp;'Trust &amp; Safety'!$B$7:$B$500&amp;", ")),--('Trust &amp; Safety'!$AT$7:$AT$500="Pass"))+SUMPRODUCT(--ISNUMBER(SEARCH(", "&amp;$B25&amp;", ",", "&amp;'Tài khoản &amp; Hồ sơ'!$B$7:$B$500&amp;", ")),--('Tài khoản &amp; Hồ sơ'!$AT$7:$AT$500="Pass"))</f>
        <v>0</v>
      </c>
      <c r="H25" s="51" t="n">
        <f aca="false">SUMPRODUCT(--ISNUMBER(SEARCH(", "&amp;$B25&amp;", ",", "&amp;'Hoạt động (Đơn của tôi)'!$B$7:$B$500&amp;", ")),--('Hoạt động (Đơn của tôi)'!$AT$7:$AT$500="Fail"))+SUMPRODUCT(--ISNUMBER(SEARCH(", "&amp;$B25&amp;", ",", "&amp;'Ghép nối'!$B$7:$B$500&amp;", ")),--('Ghép nối'!$AT$7:$AT$500="Fail"))+SUMPRODUCT(--ISNUMBER(SEARCH(", "&amp;$B25&amp;", ",", "&amp;'Huỷ đơn - Huỷ nhận đơn'!$B$7:$B$500&amp;", ")),--('Huỷ đơn - Huỷ nhận đơn'!$AT$7:$AT$500="Fail"))+SUMPRODUCT(--ISNUMBER(SEARCH(", "&amp;$B25&amp;", ",", "&amp;'Giao nhận &amp; Theo dõi đơn'!$B$7:$B$500&amp;", ")),--('Giao nhận &amp; Theo dõi đơn'!$AT$7:$AT$500="Fail"))+SUMPRODUCT(--ISNUMBER(SEARCH(", "&amp;$B25&amp;", ",", "&amp;'Bảng tin &amp; Chi tiết tin'!$B$7:$B$500&amp;", ")),--('Bảng tin &amp; Chi tiết tin'!$AT$7:$AT$500="Fail"))+SUMPRODUCT(--ISNUMBER(SEARCH(", "&amp;$B25&amp;", ",", "&amp;'Quà cảm ơn'!$B$7:$B$500&amp;", ")),--('Quà cảm ơn'!$AT$7:$AT$500="Fail"))+SUMPRODUCT(--ISNUMBER(SEARCH(", "&amp;$B25&amp;", ",", "&amp;'Trang chủ'!$B$7:$B$500&amp;", ")),--('Trang chủ'!$AT$7:$AT$500="Fail"))+SUMPRODUCT(--ISNUMBER(SEARCH(", "&amp;$B25&amp;", ",", "&amp;'Thông báo'!$B$7:$B$500&amp;", ")),--('Thông báo'!$AT$7:$AT$500="Fail"))+SUMPRODUCT(--ISNUMBER(SEARCH(", "&amp;$B25&amp;", ",", "&amp;'Đăng tin &amp; Quản lý tin'!$B$7:$B$500&amp;", ")),--('Đăng tin &amp; Quản lý tin'!$AT$7:$AT$500="Fail"))+SUMPRODUCT(--ISNUMBER(SEARCH(", "&amp;$B25&amp;", ",", "&amp;'Trust &amp; Safety'!$B$7:$B$500&amp;", ")),--('Trust &amp; Safety'!$AT$7:$AT$500="Fail"))+SUMPRODUCT(--ISNUMBER(SEARCH(", "&amp;$B25&amp;", ",", "&amp;'Tài khoản &amp; Hồ sơ'!$B$7:$B$500&amp;", ")),--('Tài khoản &amp; Hồ sơ'!$AT$7:$AT$500="Fail"))</f>
        <v>0</v>
      </c>
      <c r="I25" s="51" t="n">
        <f aca="false">SUMPRODUCT(--ISNUMBER(SEARCH(", "&amp;$B25&amp;", ",", "&amp;'Hoạt động (Đơn của tôi)'!$B$7:$B$500&amp;", ")),--('Hoạt động (Đơn của tôi)'!$AT$7:$AT$500="Block"))+SUMPRODUCT(--ISNUMBER(SEARCH(", "&amp;$B25&amp;", ",", "&amp;'Ghép nối'!$B$7:$B$500&amp;", ")),--('Ghép nối'!$AT$7:$AT$500="Block"))+SUMPRODUCT(--ISNUMBER(SEARCH(", "&amp;$B25&amp;", ",", "&amp;'Huỷ đơn - Huỷ nhận đơn'!$B$7:$B$500&amp;", ")),--('Huỷ đơn - Huỷ nhận đơn'!$AT$7:$AT$500="Block"))+SUMPRODUCT(--ISNUMBER(SEARCH(", "&amp;$B25&amp;", ",", "&amp;'Giao nhận &amp; Theo dõi đơn'!$B$7:$B$500&amp;", ")),--('Giao nhận &amp; Theo dõi đơn'!$AT$7:$AT$500="Block"))+SUMPRODUCT(--ISNUMBER(SEARCH(", "&amp;$B25&amp;", ",", "&amp;'Bảng tin &amp; Chi tiết tin'!$B$7:$B$500&amp;", ")),--('Bảng tin &amp; Chi tiết tin'!$AT$7:$AT$500="Block"))+SUMPRODUCT(--ISNUMBER(SEARCH(", "&amp;$B25&amp;", ",", "&amp;'Quà cảm ơn'!$B$7:$B$500&amp;", ")),--('Quà cảm ơn'!$AT$7:$AT$500="Block"))+SUMPRODUCT(--ISNUMBER(SEARCH(", "&amp;$B25&amp;", ",", "&amp;'Trang chủ'!$B$7:$B$500&amp;", ")),--('Trang chủ'!$AT$7:$AT$500="Block"))+SUMPRODUCT(--ISNUMBER(SEARCH(", "&amp;$B25&amp;", ",", "&amp;'Thông báo'!$B$7:$B$500&amp;", ")),--('Thông báo'!$AT$7:$AT$500="Block"))+SUMPRODUCT(--ISNUMBER(SEARCH(", "&amp;$B25&amp;", ",", "&amp;'Đăng tin &amp; Quản lý tin'!$B$7:$B$500&amp;", ")),--('Đăng tin &amp; Quản lý tin'!$AT$7:$AT$500="Block"))+SUMPRODUCT(--ISNUMBER(SEARCH(", "&amp;$B25&amp;", ",", "&amp;'Trust &amp; Safety'!$B$7:$B$500&amp;", ")),--('Trust &amp; Safety'!$AT$7:$AT$500="Block"))+SUMPRODUCT(--ISNUMBER(SEARCH(", "&amp;$B25&amp;", ",", "&amp;'Tài khoản &amp; Hồ sơ'!$B$7:$B$500&amp;", ")),--('Tài khoản &amp; Hồ sơ'!$AT$7:$AT$500="Block"))</f>
        <v>0</v>
      </c>
      <c r="J25" s="51" t="n">
        <f aca="false">SUMPRODUCT(--ISNUMBER(SEARCH(", "&amp;$B25&amp;", ",", "&amp;'Hoạt động (Đơn của tôi)'!$B$7:$B$500&amp;", ")),--('Hoạt động (Đơn của tôi)'!$AT$7:$AT$500="N/A"))+SUMPRODUCT(--ISNUMBER(SEARCH(", "&amp;$B25&amp;", ",", "&amp;'Ghép nối'!$B$7:$B$500&amp;", ")),--('Ghép nối'!$AT$7:$AT$500="N/A"))+SUMPRODUCT(--ISNUMBER(SEARCH(", "&amp;$B25&amp;", ",", "&amp;'Huỷ đơn - Huỷ nhận đơn'!$B$7:$B$500&amp;", ")),--('Huỷ đơn - Huỷ nhận đơn'!$AT$7:$AT$500="N/A"))+SUMPRODUCT(--ISNUMBER(SEARCH(", "&amp;$B25&amp;", ",", "&amp;'Giao nhận &amp; Theo dõi đơn'!$B$7:$B$500&amp;", ")),--('Giao nhận &amp; Theo dõi đơn'!$AT$7:$AT$500="N/A"))+SUMPRODUCT(--ISNUMBER(SEARCH(", "&amp;$B25&amp;", ",", "&amp;'Bảng tin &amp; Chi tiết tin'!$B$7:$B$500&amp;", ")),--('Bảng tin &amp; Chi tiết tin'!$AT$7:$AT$500="N/A"))+SUMPRODUCT(--ISNUMBER(SEARCH(", "&amp;$B25&amp;", ",", "&amp;'Quà cảm ơn'!$B$7:$B$500&amp;", ")),--('Quà cảm ơn'!$AT$7:$AT$500="N/A"))+SUMPRODUCT(--ISNUMBER(SEARCH(", "&amp;$B25&amp;", ",", "&amp;'Trang chủ'!$B$7:$B$500&amp;", ")),--('Trang chủ'!$AT$7:$AT$500="N/A"))+SUMPRODUCT(--ISNUMBER(SEARCH(", "&amp;$B25&amp;", ",", "&amp;'Thông báo'!$B$7:$B$500&amp;", ")),--('Thông báo'!$AT$7:$AT$500="N/A"))+SUMPRODUCT(--ISNUMBER(SEARCH(", "&amp;$B25&amp;", ",", "&amp;'Đăng tin &amp; Quản lý tin'!$B$7:$B$500&amp;", ")),--('Đăng tin &amp; Quản lý tin'!$AT$7:$AT$500="N/A"))+SUMPRODUCT(--ISNUMBER(SEARCH(", "&amp;$B25&amp;", ",", "&amp;'Trust &amp; Safety'!$B$7:$B$500&amp;", ")),--('Trust &amp; Safety'!$AT$7:$AT$500="N/A"))+SUMPRODUCT(--ISNUMBER(SEARCH(", "&amp;$B25&amp;", ",", "&amp;'Tài khoản &amp; Hồ sơ'!$B$7:$B$500&amp;", ")),--('Tài khoản &amp; Hồ sơ'!$AT$7:$AT$500="N/A"))</f>
        <v>0</v>
      </c>
      <c r="K25" s="52" t="n">
        <f aca="false">IFERROR(F25/E25,0)</f>
        <v>0</v>
      </c>
      <c r="L25" s="123" t="str">
        <f aca="false">IF(E25=0,"Chưa có TC (gap)",IF(H25&gt;0,"Có lỗi (Fail)",IF(I25&gt;0,"Bị block",IF(F25&lt;E25,"Đang test",IF(G25=0,"Không áp dụng (N/A)","Đã test xong")))))</f>
        <v>Đang test</v>
      </c>
      <c r="AB25" s="1" t="s">
        <v>424</v>
      </c>
    </row>
    <row r="26" customFormat="false" ht="15.75" hidden="false" customHeight="true" outlineLevel="0" collapsed="false">
      <c r="B26" s="175" t="s">
        <v>480</v>
      </c>
      <c r="C26" s="176" t="s">
        <v>481</v>
      </c>
      <c r="D26" s="123" t="s">
        <v>482</v>
      </c>
      <c r="E26" s="51" t="n">
        <f aca="false">SUMPRODUCT(--ISNUMBER(SEARCH(", "&amp;$B26&amp;", ",", "&amp;'Hoạt động (Đơn của tôi)'!$B$7:$B$500&amp;", ")))+SUMPRODUCT(--ISNUMBER(SEARCH(", "&amp;$B26&amp;", ",", "&amp;'Ghép nối'!$B$7:$B$500&amp;", ")))+SUMPRODUCT(--ISNUMBER(SEARCH(", "&amp;$B26&amp;", ",", "&amp;'Huỷ đơn - Huỷ nhận đơn'!$B$7:$B$500&amp;", ")))+SUMPRODUCT(--ISNUMBER(SEARCH(", "&amp;$B26&amp;", ",", "&amp;'Giao nhận &amp; Theo dõi đơn'!$B$7:$B$500&amp;", ")))+SUMPRODUCT(--ISNUMBER(SEARCH(", "&amp;$B26&amp;", ",", "&amp;'Bảng tin &amp; Chi tiết tin'!$B$7:$B$500&amp;", ")))+SUMPRODUCT(--ISNUMBER(SEARCH(", "&amp;$B26&amp;", ",", "&amp;'Quà cảm ơn'!$B$7:$B$500&amp;", ")))+SUMPRODUCT(--ISNUMBER(SEARCH(", "&amp;$B26&amp;", ",", "&amp;'Trang chủ'!$B$7:$B$500&amp;", ")))+SUMPRODUCT(--ISNUMBER(SEARCH(", "&amp;$B26&amp;", ",", "&amp;'Thông báo'!$B$7:$B$500&amp;", ")))+SUMPRODUCT(--ISNUMBER(SEARCH(", "&amp;$B26&amp;", ",", "&amp;'Đăng tin &amp; Quản lý tin'!$B$7:$B$500&amp;", ")))+SUMPRODUCT(--ISNUMBER(SEARCH(", "&amp;$B26&amp;", ",", "&amp;'Trust &amp; Safety'!$B$7:$B$500&amp;", ")))+SUMPRODUCT(--ISNUMBER(SEARCH(", "&amp;$B26&amp;", ",", "&amp;'Tài khoản &amp; Hồ sơ'!$B$7:$B$500&amp;", ")))</f>
        <v>2</v>
      </c>
      <c r="F26" s="51" t="n">
        <f aca="false">SUMPRODUCT(--ISNUMBER(SEARCH(", "&amp;$B26&amp;", ",", "&amp;'Hoạt động (Đơn của tôi)'!$B$7:$B$500&amp;", ")),--('Hoạt động (Đơn của tôi)'!$AT$7:$AT$500&lt;&gt;""))+SUMPRODUCT(--ISNUMBER(SEARCH(", "&amp;$B26&amp;", ",", "&amp;'Ghép nối'!$B$7:$B$500&amp;", ")),--('Ghép nối'!$AT$7:$AT$500&lt;&gt;""))+SUMPRODUCT(--ISNUMBER(SEARCH(", "&amp;$B26&amp;", ",", "&amp;'Huỷ đơn - Huỷ nhận đơn'!$B$7:$B$500&amp;", ")),--('Huỷ đơn - Huỷ nhận đơn'!$AT$7:$AT$500&lt;&gt;""))+SUMPRODUCT(--ISNUMBER(SEARCH(", "&amp;$B26&amp;", ",", "&amp;'Giao nhận &amp; Theo dõi đơn'!$B$7:$B$500&amp;", ")),--('Giao nhận &amp; Theo dõi đơn'!$AT$7:$AT$500&lt;&gt;""))+SUMPRODUCT(--ISNUMBER(SEARCH(", "&amp;$B26&amp;", ",", "&amp;'Bảng tin &amp; Chi tiết tin'!$B$7:$B$500&amp;", ")),--('Bảng tin &amp; Chi tiết tin'!$AT$7:$AT$500&lt;&gt;""))+SUMPRODUCT(--ISNUMBER(SEARCH(", "&amp;$B26&amp;", ",", "&amp;'Quà cảm ơn'!$B$7:$B$500&amp;", ")),--('Quà cảm ơn'!$AT$7:$AT$500&lt;&gt;""))+SUMPRODUCT(--ISNUMBER(SEARCH(", "&amp;$B26&amp;", ",", "&amp;'Trang chủ'!$B$7:$B$500&amp;", ")),--('Trang chủ'!$AT$7:$AT$500&lt;&gt;""))+SUMPRODUCT(--ISNUMBER(SEARCH(", "&amp;$B26&amp;", ",", "&amp;'Thông báo'!$B$7:$B$500&amp;", ")),--('Thông báo'!$AT$7:$AT$500&lt;&gt;""))+SUMPRODUCT(--ISNUMBER(SEARCH(", "&amp;$B26&amp;", ",", "&amp;'Đăng tin &amp; Quản lý tin'!$B$7:$B$500&amp;", ")),--('Đăng tin &amp; Quản lý tin'!$AT$7:$AT$500&lt;&gt;""))+SUMPRODUCT(--ISNUMBER(SEARCH(", "&amp;$B26&amp;", ",", "&amp;'Trust &amp; Safety'!$B$7:$B$500&amp;", ")),--('Trust &amp; Safety'!$AT$7:$AT$500&lt;&gt;""))+SUMPRODUCT(--ISNUMBER(SEARCH(", "&amp;$B26&amp;", ",", "&amp;'Tài khoản &amp; Hồ sơ'!$B$7:$B$500&amp;", ")),--('Tài khoản &amp; Hồ sơ'!$AT$7:$AT$500&lt;&gt;""))</f>
        <v>0</v>
      </c>
      <c r="G26" s="51" t="n">
        <f aca="false">SUMPRODUCT(--ISNUMBER(SEARCH(", "&amp;$B26&amp;", ",", "&amp;'Hoạt động (Đơn của tôi)'!$B$7:$B$500&amp;", ")),--('Hoạt động (Đơn của tôi)'!$AT$7:$AT$500="Pass"))+SUMPRODUCT(--ISNUMBER(SEARCH(", "&amp;$B26&amp;", ",", "&amp;'Ghép nối'!$B$7:$B$500&amp;", ")),--('Ghép nối'!$AT$7:$AT$500="Pass"))+SUMPRODUCT(--ISNUMBER(SEARCH(", "&amp;$B26&amp;", ",", "&amp;'Huỷ đơn - Huỷ nhận đơn'!$B$7:$B$500&amp;", ")),--('Huỷ đơn - Huỷ nhận đơn'!$AT$7:$AT$500="Pass"))+SUMPRODUCT(--ISNUMBER(SEARCH(", "&amp;$B26&amp;", ",", "&amp;'Giao nhận &amp; Theo dõi đơn'!$B$7:$B$500&amp;", ")),--('Giao nhận &amp; Theo dõi đơn'!$AT$7:$AT$500="Pass"))+SUMPRODUCT(--ISNUMBER(SEARCH(", "&amp;$B26&amp;", ",", "&amp;'Bảng tin &amp; Chi tiết tin'!$B$7:$B$500&amp;", ")),--('Bảng tin &amp; Chi tiết tin'!$AT$7:$AT$500="Pass"))+SUMPRODUCT(--ISNUMBER(SEARCH(", "&amp;$B26&amp;", ",", "&amp;'Quà cảm ơn'!$B$7:$B$500&amp;", ")),--('Quà cảm ơn'!$AT$7:$AT$500="Pass"))+SUMPRODUCT(--ISNUMBER(SEARCH(", "&amp;$B26&amp;", ",", "&amp;'Trang chủ'!$B$7:$B$500&amp;", ")),--('Trang chủ'!$AT$7:$AT$500="Pass"))+SUMPRODUCT(--ISNUMBER(SEARCH(", "&amp;$B26&amp;", ",", "&amp;'Thông báo'!$B$7:$B$500&amp;", ")),--('Thông báo'!$AT$7:$AT$500="Pass"))+SUMPRODUCT(--ISNUMBER(SEARCH(", "&amp;$B26&amp;", ",", "&amp;'Đăng tin &amp; Quản lý tin'!$B$7:$B$500&amp;", ")),--('Đăng tin &amp; Quản lý tin'!$AT$7:$AT$500="Pass"))+SUMPRODUCT(--ISNUMBER(SEARCH(", "&amp;$B26&amp;", ",", "&amp;'Trust &amp; Safety'!$B$7:$B$500&amp;", ")),--('Trust &amp; Safety'!$AT$7:$AT$500="Pass"))+SUMPRODUCT(--ISNUMBER(SEARCH(", "&amp;$B26&amp;", ",", "&amp;'Tài khoản &amp; Hồ sơ'!$B$7:$B$500&amp;", ")),--('Tài khoản &amp; Hồ sơ'!$AT$7:$AT$500="Pass"))</f>
        <v>0</v>
      </c>
      <c r="H26" s="51" t="n">
        <f aca="false">SUMPRODUCT(--ISNUMBER(SEARCH(", "&amp;$B26&amp;", ",", "&amp;'Hoạt động (Đơn của tôi)'!$B$7:$B$500&amp;", ")),--('Hoạt động (Đơn của tôi)'!$AT$7:$AT$500="Fail"))+SUMPRODUCT(--ISNUMBER(SEARCH(", "&amp;$B26&amp;", ",", "&amp;'Ghép nối'!$B$7:$B$500&amp;", ")),--('Ghép nối'!$AT$7:$AT$500="Fail"))+SUMPRODUCT(--ISNUMBER(SEARCH(", "&amp;$B26&amp;", ",", "&amp;'Huỷ đơn - Huỷ nhận đơn'!$B$7:$B$500&amp;", ")),--('Huỷ đơn - Huỷ nhận đơn'!$AT$7:$AT$500="Fail"))+SUMPRODUCT(--ISNUMBER(SEARCH(", "&amp;$B26&amp;", ",", "&amp;'Giao nhận &amp; Theo dõi đơn'!$B$7:$B$500&amp;", ")),--('Giao nhận &amp; Theo dõi đơn'!$AT$7:$AT$500="Fail"))+SUMPRODUCT(--ISNUMBER(SEARCH(", "&amp;$B26&amp;", ",", "&amp;'Bảng tin &amp; Chi tiết tin'!$B$7:$B$500&amp;", ")),--('Bảng tin &amp; Chi tiết tin'!$AT$7:$AT$500="Fail"))+SUMPRODUCT(--ISNUMBER(SEARCH(", "&amp;$B26&amp;", ",", "&amp;'Quà cảm ơn'!$B$7:$B$500&amp;", ")),--('Quà cảm ơn'!$AT$7:$AT$500="Fail"))+SUMPRODUCT(--ISNUMBER(SEARCH(", "&amp;$B26&amp;", ",", "&amp;'Trang chủ'!$B$7:$B$500&amp;", ")),--('Trang chủ'!$AT$7:$AT$500="Fail"))+SUMPRODUCT(--ISNUMBER(SEARCH(", "&amp;$B26&amp;", ",", "&amp;'Thông báo'!$B$7:$B$500&amp;", ")),--('Thông báo'!$AT$7:$AT$500="Fail"))+SUMPRODUCT(--ISNUMBER(SEARCH(", "&amp;$B26&amp;", ",", "&amp;'Đăng tin &amp; Quản lý tin'!$B$7:$B$500&amp;", ")),--('Đăng tin &amp; Quản lý tin'!$AT$7:$AT$500="Fail"))+SUMPRODUCT(--ISNUMBER(SEARCH(", "&amp;$B26&amp;", ",", "&amp;'Trust &amp; Safety'!$B$7:$B$500&amp;", ")),--('Trust &amp; Safety'!$AT$7:$AT$500="Fail"))+SUMPRODUCT(--ISNUMBER(SEARCH(", "&amp;$B26&amp;", ",", "&amp;'Tài khoản &amp; Hồ sơ'!$B$7:$B$500&amp;", ")),--('Tài khoản &amp; Hồ sơ'!$AT$7:$AT$500="Fail"))</f>
        <v>0</v>
      </c>
      <c r="I26" s="51" t="n">
        <f aca="false">SUMPRODUCT(--ISNUMBER(SEARCH(", "&amp;$B26&amp;", ",", "&amp;'Hoạt động (Đơn của tôi)'!$B$7:$B$500&amp;", ")),--('Hoạt động (Đơn của tôi)'!$AT$7:$AT$500="Block"))+SUMPRODUCT(--ISNUMBER(SEARCH(", "&amp;$B26&amp;", ",", "&amp;'Ghép nối'!$B$7:$B$500&amp;", ")),--('Ghép nối'!$AT$7:$AT$500="Block"))+SUMPRODUCT(--ISNUMBER(SEARCH(", "&amp;$B26&amp;", ",", "&amp;'Huỷ đơn - Huỷ nhận đơn'!$B$7:$B$500&amp;", ")),--('Huỷ đơn - Huỷ nhận đơn'!$AT$7:$AT$500="Block"))+SUMPRODUCT(--ISNUMBER(SEARCH(", "&amp;$B26&amp;", ",", "&amp;'Giao nhận &amp; Theo dõi đơn'!$B$7:$B$500&amp;", ")),--('Giao nhận &amp; Theo dõi đơn'!$AT$7:$AT$500="Block"))+SUMPRODUCT(--ISNUMBER(SEARCH(", "&amp;$B26&amp;", ",", "&amp;'Bảng tin &amp; Chi tiết tin'!$B$7:$B$500&amp;", ")),--('Bảng tin &amp; Chi tiết tin'!$AT$7:$AT$500="Block"))+SUMPRODUCT(--ISNUMBER(SEARCH(", "&amp;$B26&amp;", ",", "&amp;'Quà cảm ơn'!$B$7:$B$500&amp;", ")),--('Quà cảm ơn'!$AT$7:$AT$500="Block"))+SUMPRODUCT(--ISNUMBER(SEARCH(", "&amp;$B26&amp;", ",", "&amp;'Trang chủ'!$B$7:$B$500&amp;", ")),--('Trang chủ'!$AT$7:$AT$500="Block"))+SUMPRODUCT(--ISNUMBER(SEARCH(", "&amp;$B26&amp;", ",", "&amp;'Thông báo'!$B$7:$B$500&amp;", ")),--('Thông báo'!$AT$7:$AT$500="Block"))+SUMPRODUCT(--ISNUMBER(SEARCH(", "&amp;$B26&amp;", ",", "&amp;'Đăng tin &amp; Quản lý tin'!$B$7:$B$500&amp;", ")),--('Đăng tin &amp; Quản lý tin'!$AT$7:$AT$500="Block"))+SUMPRODUCT(--ISNUMBER(SEARCH(", "&amp;$B26&amp;", ",", "&amp;'Trust &amp; Safety'!$B$7:$B$500&amp;", ")),--('Trust &amp; Safety'!$AT$7:$AT$500="Block"))+SUMPRODUCT(--ISNUMBER(SEARCH(", "&amp;$B26&amp;", ",", "&amp;'Tài khoản &amp; Hồ sơ'!$B$7:$B$500&amp;", ")),--('Tài khoản &amp; Hồ sơ'!$AT$7:$AT$500="Block"))</f>
        <v>0</v>
      </c>
      <c r="J26" s="51" t="n">
        <f aca="false">SUMPRODUCT(--ISNUMBER(SEARCH(", "&amp;$B26&amp;", ",", "&amp;'Hoạt động (Đơn của tôi)'!$B$7:$B$500&amp;", ")),--('Hoạt động (Đơn của tôi)'!$AT$7:$AT$500="N/A"))+SUMPRODUCT(--ISNUMBER(SEARCH(", "&amp;$B26&amp;", ",", "&amp;'Ghép nối'!$B$7:$B$500&amp;", ")),--('Ghép nối'!$AT$7:$AT$500="N/A"))+SUMPRODUCT(--ISNUMBER(SEARCH(", "&amp;$B26&amp;", ",", "&amp;'Huỷ đơn - Huỷ nhận đơn'!$B$7:$B$500&amp;", ")),--('Huỷ đơn - Huỷ nhận đơn'!$AT$7:$AT$500="N/A"))+SUMPRODUCT(--ISNUMBER(SEARCH(", "&amp;$B26&amp;", ",", "&amp;'Giao nhận &amp; Theo dõi đơn'!$B$7:$B$500&amp;", ")),--('Giao nhận &amp; Theo dõi đơn'!$AT$7:$AT$500="N/A"))+SUMPRODUCT(--ISNUMBER(SEARCH(", "&amp;$B26&amp;", ",", "&amp;'Bảng tin &amp; Chi tiết tin'!$B$7:$B$500&amp;", ")),--('Bảng tin &amp; Chi tiết tin'!$AT$7:$AT$500="N/A"))+SUMPRODUCT(--ISNUMBER(SEARCH(", "&amp;$B26&amp;", ",", "&amp;'Quà cảm ơn'!$B$7:$B$500&amp;", ")),--('Quà cảm ơn'!$AT$7:$AT$500="N/A"))+SUMPRODUCT(--ISNUMBER(SEARCH(", "&amp;$B26&amp;", ",", "&amp;'Trang chủ'!$B$7:$B$500&amp;", ")),--('Trang chủ'!$AT$7:$AT$500="N/A"))+SUMPRODUCT(--ISNUMBER(SEARCH(", "&amp;$B26&amp;", ",", "&amp;'Thông báo'!$B$7:$B$500&amp;", ")),--('Thông báo'!$AT$7:$AT$500="N/A"))+SUMPRODUCT(--ISNUMBER(SEARCH(", "&amp;$B26&amp;", ",", "&amp;'Đăng tin &amp; Quản lý tin'!$B$7:$B$500&amp;", ")),--('Đăng tin &amp; Quản lý tin'!$AT$7:$AT$500="N/A"))+SUMPRODUCT(--ISNUMBER(SEARCH(", "&amp;$B26&amp;", ",", "&amp;'Trust &amp; Safety'!$B$7:$B$500&amp;", ")),--('Trust &amp; Safety'!$AT$7:$AT$500="N/A"))+SUMPRODUCT(--ISNUMBER(SEARCH(", "&amp;$B26&amp;", ",", "&amp;'Tài khoản &amp; Hồ sơ'!$B$7:$B$500&amp;", ")),--('Tài khoản &amp; Hồ sơ'!$AT$7:$AT$500="N/A"))</f>
        <v>0</v>
      </c>
      <c r="K26" s="52" t="n">
        <f aca="false">IFERROR(F26/E26,0)</f>
        <v>0</v>
      </c>
      <c r="L26" s="123" t="str">
        <f aca="false">IF(E26=0,"Chưa có TC (gap)",IF(H26&gt;0,"Có lỗi (Fail)",IF(I26&gt;0,"Bị block",IF(F26&lt;E26,"Đang test",IF(G26=0,"Không áp dụng (N/A)","Đã test xong")))))</f>
        <v>Đang test</v>
      </c>
      <c r="AB26" s="1" t="s">
        <v>424</v>
      </c>
    </row>
    <row r="27" customFormat="false" ht="15.75" hidden="false" customHeight="true" outlineLevel="0" collapsed="false">
      <c r="B27" s="175" t="s">
        <v>483</v>
      </c>
      <c r="C27" s="176" t="s">
        <v>484</v>
      </c>
      <c r="D27" s="123" t="s">
        <v>485</v>
      </c>
      <c r="E27" s="51" t="n">
        <f aca="false">SUMPRODUCT(--ISNUMBER(SEARCH(", "&amp;$B27&amp;", ",", "&amp;'Hoạt động (Đơn của tôi)'!$B$7:$B$500&amp;", ")))+SUMPRODUCT(--ISNUMBER(SEARCH(", "&amp;$B27&amp;", ",", "&amp;'Ghép nối'!$B$7:$B$500&amp;", ")))+SUMPRODUCT(--ISNUMBER(SEARCH(", "&amp;$B27&amp;", ",", "&amp;'Huỷ đơn - Huỷ nhận đơn'!$B$7:$B$500&amp;", ")))+SUMPRODUCT(--ISNUMBER(SEARCH(", "&amp;$B27&amp;", ",", "&amp;'Giao nhận &amp; Theo dõi đơn'!$B$7:$B$500&amp;", ")))+SUMPRODUCT(--ISNUMBER(SEARCH(", "&amp;$B27&amp;", ",", "&amp;'Bảng tin &amp; Chi tiết tin'!$B$7:$B$500&amp;", ")))+SUMPRODUCT(--ISNUMBER(SEARCH(", "&amp;$B27&amp;", ",", "&amp;'Quà cảm ơn'!$B$7:$B$500&amp;", ")))+SUMPRODUCT(--ISNUMBER(SEARCH(", "&amp;$B27&amp;", ",", "&amp;'Trang chủ'!$B$7:$B$500&amp;", ")))+SUMPRODUCT(--ISNUMBER(SEARCH(", "&amp;$B27&amp;", ",", "&amp;'Thông báo'!$B$7:$B$500&amp;", ")))+SUMPRODUCT(--ISNUMBER(SEARCH(", "&amp;$B27&amp;", ",", "&amp;'Đăng tin &amp; Quản lý tin'!$B$7:$B$500&amp;", ")))+SUMPRODUCT(--ISNUMBER(SEARCH(", "&amp;$B27&amp;", ",", "&amp;'Trust &amp; Safety'!$B$7:$B$500&amp;", ")))+SUMPRODUCT(--ISNUMBER(SEARCH(", "&amp;$B27&amp;", ",", "&amp;'Tài khoản &amp; Hồ sơ'!$B$7:$B$500&amp;", ")))</f>
        <v>7</v>
      </c>
      <c r="F27" s="51" t="n">
        <f aca="false">SUMPRODUCT(--ISNUMBER(SEARCH(", "&amp;$B27&amp;", ",", "&amp;'Hoạt động (Đơn của tôi)'!$B$7:$B$500&amp;", ")),--('Hoạt động (Đơn của tôi)'!$AT$7:$AT$500&lt;&gt;""))+SUMPRODUCT(--ISNUMBER(SEARCH(", "&amp;$B27&amp;", ",", "&amp;'Ghép nối'!$B$7:$B$500&amp;", ")),--('Ghép nối'!$AT$7:$AT$500&lt;&gt;""))+SUMPRODUCT(--ISNUMBER(SEARCH(", "&amp;$B27&amp;", ",", "&amp;'Huỷ đơn - Huỷ nhận đơn'!$B$7:$B$500&amp;", ")),--('Huỷ đơn - Huỷ nhận đơn'!$AT$7:$AT$500&lt;&gt;""))+SUMPRODUCT(--ISNUMBER(SEARCH(", "&amp;$B27&amp;", ",", "&amp;'Giao nhận &amp; Theo dõi đơn'!$B$7:$B$500&amp;", ")),--('Giao nhận &amp; Theo dõi đơn'!$AT$7:$AT$500&lt;&gt;""))+SUMPRODUCT(--ISNUMBER(SEARCH(", "&amp;$B27&amp;", ",", "&amp;'Bảng tin &amp; Chi tiết tin'!$B$7:$B$500&amp;", ")),--('Bảng tin &amp; Chi tiết tin'!$AT$7:$AT$500&lt;&gt;""))+SUMPRODUCT(--ISNUMBER(SEARCH(", "&amp;$B27&amp;", ",", "&amp;'Quà cảm ơn'!$B$7:$B$500&amp;", ")),--('Quà cảm ơn'!$AT$7:$AT$500&lt;&gt;""))+SUMPRODUCT(--ISNUMBER(SEARCH(", "&amp;$B27&amp;", ",", "&amp;'Trang chủ'!$B$7:$B$500&amp;", ")),--('Trang chủ'!$AT$7:$AT$500&lt;&gt;""))+SUMPRODUCT(--ISNUMBER(SEARCH(", "&amp;$B27&amp;", ",", "&amp;'Thông báo'!$B$7:$B$500&amp;", ")),--('Thông báo'!$AT$7:$AT$500&lt;&gt;""))+SUMPRODUCT(--ISNUMBER(SEARCH(", "&amp;$B27&amp;", ",", "&amp;'Đăng tin &amp; Quản lý tin'!$B$7:$B$500&amp;", ")),--('Đăng tin &amp; Quản lý tin'!$AT$7:$AT$500&lt;&gt;""))+SUMPRODUCT(--ISNUMBER(SEARCH(", "&amp;$B27&amp;", ",", "&amp;'Trust &amp; Safety'!$B$7:$B$500&amp;", ")),--('Trust &amp; Safety'!$AT$7:$AT$500&lt;&gt;""))+SUMPRODUCT(--ISNUMBER(SEARCH(", "&amp;$B27&amp;", ",", "&amp;'Tài khoản &amp; Hồ sơ'!$B$7:$B$500&amp;", ")),--('Tài khoản &amp; Hồ sơ'!$AT$7:$AT$500&lt;&gt;""))</f>
        <v>0</v>
      </c>
      <c r="G27" s="51" t="n">
        <f aca="false">SUMPRODUCT(--ISNUMBER(SEARCH(", "&amp;$B27&amp;", ",", "&amp;'Hoạt động (Đơn của tôi)'!$B$7:$B$500&amp;", ")),--('Hoạt động (Đơn của tôi)'!$AT$7:$AT$500="Pass"))+SUMPRODUCT(--ISNUMBER(SEARCH(", "&amp;$B27&amp;", ",", "&amp;'Ghép nối'!$B$7:$B$500&amp;", ")),--('Ghép nối'!$AT$7:$AT$500="Pass"))+SUMPRODUCT(--ISNUMBER(SEARCH(", "&amp;$B27&amp;", ",", "&amp;'Huỷ đơn - Huỷ nhận đơn'!$B$7:$B$500&amp;", ")),--('Huỷ đơn - Huỷ nhận đơn'!$AT$7:$AT$500="Pass"))+SUMPRODUCT(--ISNUMBER(SEARCH(", "&amp;$B27&amp;", ",", "&amp;'Giao nhận &amp; Theo dõi đơn'!$B$7:$B$500&amp;", ")),--('Giao nhận &amp; Theo dõi đơn'!$AT$7:$AT$500="Pass"))+SUMPRODUCT(--ISNUMBER(SEARCH(", "&amp;$B27&amp;", ",", "&amp;'Bảng tin &amp; Chi tiết tin'!$B$7:$B$500&amp;", ")),--('Bảng tin &amp; Chi tiết tin'!$AT$7:$AT$500="Pass"))+SUMPRODUCT(--ISNUMBER(SEARCH(", "&amp;$B27&amp;", ",", "&amp;'Quà cảm ơn'!$B$7:$B$500&amp;", ")),--('Quà cảm ơn'!$AT$7:$AT$500="Pass"))+SUMPRODUCT(--ISNUMBER(SEARCH(", "&amp;$B27&amp;", ",", "&amp;'Trang chủ'!$B$7:$B$500&amp;", ")),--('Trang chủ'!$AT$7:$AT$500="Pass"))+SUMPRODUCT(--ISNUMBER(SEARCH(", "&amp;$B27&amp;", ",", "&amp;'Thông báo'!$B$7:$B$500&amp;", ")),--('Thông báo'!$AT$7:$AT$500="Pass"))+SUMPRODUCT(--ISNUMBER(SEARCH(", "&amp;$B27&amp;", ",", "&amp;'Đăng tin &amp; Quản lý tin'!$B$7:$B$500&amp;", ")),--('Đăng tin &amp; Quản lý tin'!$AT$7:$AT$500="Pass"))+SUMPRODUCT(--ISNUMBER(SEARCH(", "&amp;$B27&amp;", ",", "&amp;'Trust &amp; Safety'!$B$7:$B$500&amp;", ")),--('Trust &amp; Safety'!$AT$7:$AT$500="Pass"))+SUMPRODUCT(--ISNUMBER(SEARCH(", "&amp;$B27&amp;", ",", "&amp;'Tài khoản &amp; Hồ sơ'!$B$7:$B$500&amp;", ")),--('Tài khoản &amp; Hồ sơ'!$AT$7:$AT$500="Pass"))</f>
        <v>0</v>
      </c>
      <c r="H27" s="51" t="n">
        <f aca="false">SUMPRODUCT(--ISNUMBER(SEARCH(", "&amp;$B27&amp;", ",", "&amp;'Hoạt động (Đơn của tôi)'!$B$7:$B$500&amp;", ")),--('Hoạt động (Đơn của tôi)'!$AT$7:$AT$500="Fail"))+SUMPRODUCT(--ISNUMBER(SEARCH(", "&amp;$B27&amp;", ",", "&amp;'Ghép nối'!$B$7:$B$500&amp;", ")),--('Ghép nối'!$AT$7:$AT$500="Fail"))+SUMPRODUCT(--ISNUMBER(SEARCH(", "&amp;$B27&amp;", ",", "&amp;'Huỷ đơn - Huỷ nhận đơn'!$B$7:$B$500&amp;", ")),--('Huỷ đơn - Huỷ nhận đơn'!$AT$7:$AT$500="Fail"))+SUMPRODUCT(--ISNUMBER(SEARCH(", "&amp;$B27&amp;", ",", "&amp;'Giao nhận &amp; Theo dõi đơn'!$B$7:$B$500&amp;", ")),--('Giao nhận &amp; Theo dõi đơn'!$AT$7:$AT$500="Fail"))+SUMPRODUCT(--ISNUMBER(SEARCH(", "&amp;$B27&amp;", ",", "&amp;'Bảng tin &amp; Chi tiết tin'!$B$7:$B$500&amp;", ")),--('Bảng tin &amp; Chi tiết tin'!$AT$7:$AT$500="Fail"))+SUMPRODUCT(--ISNUMBER(SEARCH(", "&amp;$B27&amp;", ",", "&amp;'Quà cảm ơn'!$B$7:$B$500&amp;", ")),--('Quà cảm ơn'!$AT$7:$AT$500="Fail"))+SUMPRODUCT(--ISNUMBER(SEARCH(", "&amp;$B27&amp;", ",", "&amp;'Trang chủ'!$B$7:$B$500&amp;", ")),--('Trang chủ'!$AT$7:$AT$500="Fail"))+SUMPRODUCT(--ISNUMBER(SEARCH(", "&amp;$B27&amp;", ",", "&amp;'Thông báo'!$B$7:$B$500&amp;", ")),--('Thông báo'!$AT$7:$AT$500="Fail"))+SUMPRODUCT(--ISNUMBER(SEARCH(", "&amp;$B27&amp;", ",", "&amp;'Đăng tin &amp; Quản lý tin'!$B$7:$B$500&amp;", ")),--('Đăng tin &amp; Quản lý tin'!$AT$7:$AT$500="Fail"))+SUMPRODUCT(--ISNUMBER(SEARCH(", "&amp;$B27&amp;", ",", "&amp;'Trust &amp; Safety'!$B$7:$B$500&amp;", ")),--('Trust &amp; Safety'!$AT$7:$AT$500="Fail"))+SUMPRODUCT(--ISNUMBER(SEARCH(", "&amp;$B27&amp;", ",", "&amp;'Tài khoản &amp; Hồ sơ'!$B$7:$B$500&amp;", ")),--('Tài khoản &amp; Hồ sơ'!$AT$7:$AT$500="Fail"))</f>
        <v>0</v>
      </c>
      <c r="I27" s="51" t="n">
        <f aca="false">SUMPRODUCT(--ISNUMBER(SEARCH(", "&amp;$B27&amp;", ",", "&amp;'Hoạt động (Đơn của tôi)'!$B$7:$B$500&amp;", ")),--('Hoạt động (Đơn của tôi)'!$AT$7:$AT$500="Block"))+SUMPRODUCT(--ISNUMBER(SEARCH(", "&amp;$B27&amp;", ",", "&amp;'Ghép nối'!$B$7:$B$500&amp;", ")),--('Ghép nối'!$AT$7:$AT$500="Block"))+SUMPRODUCT(--ISNUMBER(SEARCH(", "&amp;$B27&amp;", ",", "&amp;'Huỷ đơn - Huỷ nhận đơn'!$B$7:$B$500&amp;", ")),--('Huỷ đơn - Huỷ nhận đơn'!$AT$7:$AT$500="Block"))+SUMPRODUCT(--ISNUMBER(SEARCH(", "&amp;$B27&amp;", ",", "&amp;'Giao nhận &amp; Theo dõi đơn'!$B$7:$B$500&amp;", ")),--('Giao nhận &amp; Theo dõi đơn'!$AT$7:$AT$500="Block"))+SUMPRODUCT(--ISNUMBER(SEARCH(", "&amp;$B27&amp;", ",", "&amp;'Bảng tin &amp; Chi tiết tin'!$B$7:$B$500&amp;", ")),--('Bảng tin &amp; Chi tiết tin'!$AT$7:$AT$500="Block"))+SUMPRODUCT(--ISNUMBER(SEARCH(", "&amp;$B27&amp;", ",", "&amp;'Quà cảm ơn'!$B$7:$B$500&amp;", ")),--('Quà cảm ơn'!$AT$7:$AT$500="Block"))+SUMPRODUCT(--ISNUMBER(SEARCH(", "&amp;$B27&amp;", ",", "&amp;'Trang chủ'!$B$7:$B$500&amp;", ")),--('Trang chủ'!$AT$7:$AT$500="Block"))+SUMPRODUCT(--ISNUMBER(SEARCH(", "&amp;$B27&amp;", ",", "&amp;'Thông báo'!$B$7:$B$500&amp;", ")),--('Thông báo'!$AT$7:$AT$500="Block"))+SUMPRODUCT(--ISNUMBER(SEARCH(", "&amp;$B27&amp;", ",", "&amp;'Đăng tin &amp; Quản lý tin'!$B$7:$B$500&amp;", ")),--('Đăng tin &amp; Quản lý tin'!$AT$7:$AT$500="Block"))+SUMPRODUCT(--ISNUMBER(SEARCH(", "&amp;$B27&amp;", ",", "&amp;'Trust &amp; Safety'!$B$7:$B$500&amp;", ")),--('Trust &amp; Safety'!$AT$7:$AT$500="Block"))+SUMPRODUCT(--ISNUMBER(SEARCH(", "&amp;$B27&amp;", ",", "&amp;'Tài khoản &amp; Hồ sơ'!$B$7:$B$500&amp;", ")),--('Tài khoản &amp; Hồ sơ'!$AT$7:$AT$500="Block"))</f>
        <v>0</v>
      </c>
      <c r="J27" s="51" t="n">
        <f aca="false">SUMPRODUCT(--ISNUMBER(SEARCH(", "&amp;$B27&amp;", ",", "&amp;'Hoạt động (Đơn của tôi)'!$B$7:$B$500&amp;", ")),--('Hoạt động (Đơn của tôi)'!$AT$7:$AT$500="N/A"))+SUMPRODUCT(--ISNUMBER(SEARCH(", "&amp;$B27&amp;", ",", "&amp;'Ghép nối'!$B$7:$B$500&amp;", ")),--('Ghép nối'!$AT$7:$AT$500="N/A"))+SUMPRODUCT(--ISNUMBER(SEARCH(", "&amp;$B27&amp;", ",", "&amp;'Huỷ đơn - Huỷ nhận đơn'!$B$7:$B$500&amp;", ")),--('Huỷ đơn - Huỷ nhận đơn'!$AT$7:$AT$500="N/A"))+SUMPRODUCT(--ISNUMBER(SEARCH(", "&amp;$B27&amp;", ",", "&amp;'Giao nhận &amp; Theo dõi đơn'!$B$7:$B$500&amp;", ")),--('Giao nhận &amp; Theo dõi đơn'!$AT$7:$AT$500="N/A"))+SUMPRODUCT(--ISNUMBER(SEARCH(", "&amp;$B27&amp;", ",", "&amp;'Bảng tin &amp; Chi tiết tin'!$B$7:$B$500&amp;", ")),--('Bảng tin &amp; Chi tiết tin'!$AT$7:$AT$500="N/A"))+SUMPRODUCT(--ISNUMBER(SEARCH(", "&amp;$B27&amp;", ",", "&amp;'Quà cảm ơn'!$B$7:$B$500&amp;", ")),--('Quà cảm ơn'!$AT$7:$AT$500="N/A"))+SUMPRODUCT(--ISNUMBER(SEARCH(", "&amp;$B27&amp;", ",", "&amp;'Trang chủ'!$B$7:$B$500&amp;", ")),--('Trang chủ'!$AT$7:$AT$500="N/A"))+SUMPRODUCT(--ISNUMBER(SEARCH(", "&amp;$B27&amp;", ",", "&amp;'Thông báo'!$B$7:$B$500&amp;", ")),--('Thông báo'!$AT$7:$AT$500="N/A"))+SUMPRODUCT(--ISNUMBER(SEARCH(", "&amp;$B27&amp;", ",", "&amp;'Đăng tin &amp; Quản lý tin'!$B$7:$B$500&amp;", ")),--('Đăng tin &amp; Quản lý tin'!$AT$7:$AT$500="N/A"))+SUMPRODUCT(--ISNUMBER(SEARCH(", "&amp;$B27&amp;", ",", "&amp;'Trust &amp; Safety'!$B$7:$B$500&amp;", ")),--('Trust &amp; Safety'!$AT$7:$AT$500="N/A"))+SUMPRODUCT(--ISNUMBER(SEARCH(", "&amp;$B27&amp;", ",", "&amp;'Tài khoản &amp; Hồ sơ'!$B$7:$B$500&amp;", ")),--('Tài khoản &amp; Hồ sơ'!$AT$7:$AT$500="N/A"))</f>
        <v>0</v>
      </c>
      <c r="K27" s="52" t="n">
        <f aca="false">IFERROR(F27/E27,0)</f>
        <v>0</v>
      </c>
      <c r="L27" s="123" t="str">
        <f aca="false">IF(E27=0,"Chưa có TC (gap)",IF(H27&gt;0,"Có lỗi (Fail)",IF(I27&gt;0,"Bị block",IF(F27&lt;E27,"Đang test",IF(G27=0,"Không áp dụng (N/A)","Đã test xong")))))</f>
        <v>Đang test</v>
      </c>
      <c r="AB27" s="1" t="s">
        <v>424</v>
      </c>
    </row>
    <row r="28" customFormat="false" ht="15.75" hidden="false" customHeight="true" outlineLevel="0" collapsed="false">
      <c r="B28" s="175" t="s">
        <v>486</v>
      </c>
      <c r="C28" s="176" t="s">
        <v>487</v>
      </c>
      <c r="D28" s="123" t="s">
        <v>488</v>
      </c>
      <c r="E28" s="51" t="n">
        <f aca="false">SUMPRODUCT(--ISNUMBER(SEARCH(", "&amp;$B28&amp;", ",", "&amp;'Hoạt động (Đơn của tôi)'!$B$7:$B$500&amp;", ")))+SUMPRODUCT(--ISNUMBER(SEARCH(", "&amp;$B28&amp;", ",", "&amp;'Ghép nối'!$B$7:$B$500&amp;", ")))+SUMPRODUCT(--ISNUMBER(SEARCH(", "&amp;$B28&amp;", ",", "&amp;'Huỷ đơn - Huỷ nhận đơn'!$B$7:$B$500&amp;", ")))+SUMPRODUCT(--ISNUMBER(SEARCH(", "&amp;$B28&amp;", ",", "&amp;'Giao nhận &amp; Theo dõi đơn'!$B$7:$B$500&amp;", ")))+SUMPRODUCT(--ISNUMBER(SEARCH(", "&amp;$B28&amp;", ",", "&amp;'Bảng tin &amp; Chi tiết tin'!$B$7:$B$500&amp;", ")))+SUMPRODUCT(--ISNUMBER(SEARCH(", "&amp;$B28&amp;", ",", "&amp;'Quà cảm ơn'!$B$7:$B$500&amp;", ")))+SUMPRODUCT(--ISNUMBER(SEARCH(", "&amp;$B28&amp;", ",", "&amp;'Trang chủ'!$B$7:$B$500&amp;", ")))+SUMPRODUCT(--ISNUMBER(SEARCH(", "&amp;$B28&amp;", ",", "&amp;'Thông báo'!$B$7:$B$500&amp;", ")))+SUMPRODUCT(--ISNUMBER(SEARCH(", "&amp;$B28&amp;", ",", "&amp;'Đăng tin &amp; Quản lý tin'!$B$7:$B$500&amp;", ")))+SUMPRODUCT(--ISNUMBER(SEARCH(", "&amp;$B28&amp;", ",", "&amp;'Trust &amp; Safety'!$B$7:$B$500&amp;", ")))+SUMPRODUCT(--ISNUMBER(SEARCH(", "&amp;$B28&amp;", ",", "&amp;'Tài khoản &amp; Hồ sơ'!$B$7:$B$500&amp;", ")))</f>
        <v>8</v>
      </c>
      <c r="F28" s="51" t="n">
        <f aca="false">SUMPRODUCT(--ISNUMBER(SEARCH(", "&amp;$B28&amp;", ",", "&amp;'Hoạt động (Đơn của tôi)'!$B$7:$B$500&amp;", ")),--('Hoạt động (Đơn của tôi)'!$AT$7:$AT$500&lt;&gt;""))+SUMPRODUCT(--ISNUMBER(SEARCH(", "&amp;$B28&amp;", ",", "&amp;'Ghép nối'!$B$7:$B$500&amp;", ")),--('Ghép nối'!$AT$7:$AT$500&lt;&gt;""))+SUMPRODUCT(--ISNUMBER(SEARCH(", "&amp;$B28&amp;", ",", "&amp;'Huỷ đơn - Huỷ nhận đơn'!$B$7:$B$500&amp;", ")),--('Huỷ đơn - Huỷ nhận đơn'!$AT$7:$AT$500&lt;&gt;""))+SUMPRODUCT(--ISNUMBER(SEARCH(", "&amp;$B28&amp;", ",", "&amp;'Giao nhận &amp; Theo dõi đơn'!$B$7:$B$500&amp;", ")),--('Giao nhận &amp; Theo dõi đơn'!$AT$7:$AT$500&lt;&gt;""))+SUMPRODUCT(--ISNUMBER(SEARCH(", "&amp;$B28&amp;", ",", "&amp;'Bảng tin &amp; Chi tiết tin'!$B$7:$B$500&amp;", ")),--('Bảng tin &amp; Chi tiết tin'!$AT$7:$AT$500&lt;&gt;""))+SUMPRODUCT(--ISNUMBER(SEARCH(", "&amp;$B28&amp;", ",", "&amp;'Quà cảm ơn'!$B$7:$B$500&amp;", ")),--('Quà cảm ơn'!$AT$7:$AT$500&lt;&gt;""))+SUMPRODUCT(--ISNUMBER(SEARCH(", "&amp;$B28&amp;", ",", "&amp;'Trang chủ'!$B$7:$B$500&amp;", ")),--('Trang chủ'!$AT$7:$AT$500&lt;&gt;""))+SUMPRODUCT(--ISNUMBER(SEARCH(", "&amp;$B28&amp;", ",", "&amp;'Thông báo'!$B$7:$B$500&amp;", ")),--('Thông báo'!$AT$7:$AT$500&lt;&gt;""))+SUMPRODUCT(--ISNUMBER(SEARCH(", "&amp;$B28&amp;", ",", "&amp;'Đăng tin &amp; Quản lý tin'!$B$7:$B$500&amp;", ")),--('Đăng tin &amp; Quản lý tin'!$AT$7:$AT$500&lt;&gt;""))+SUMPRODUCT(--ISNUMBER(SEARCH(", "&amp;$B28&amp;", ",", "&amp;'Trust &amp; Safety'!$B$7:$B$500&amp;", ")),--('Trust &amp; Safety'!$AT$7:$AT$500&lt;&gt;""))+SUMPRODUCT(--ISNUMBER(SEARCH(", "&amp;$B28&amp;", ",", "&amp;'Tài khoản &amp; Hồ sơ'!$B$7:$B$500&amp;", ")),--('Tài khoản &amp; Hồ sơ'!$AT$7:$AT$500&lt;&gt;""))</f>
        <v>0</v>
      </c>
      <c r="G28" s="51" t="n">
        <f aca="false">SUMPRODUCT(--ISNUMBER(SEARCH(", "&amp;$B28&amp;", ",", "&amp;'Hoạt động (Đơn của tôi)'!$B$7:$B$500&amp;", ")),--('Hoạt động (Đơn của tôi)'!$AT$7:$AT$500="Pass"))+SUMPRODUCT(--ISNUMBER(SEARCH(", "&amp;$B28&amp;", ",", "&amp;'Ghép nối'!$B$7:$B$500&amp;", ")),--('Ghép nối'!$AT$7:$AT$500="Pass"))+SUMPRODUCT(--ISNUMBER(SEARCH(", "&amp;$B28&amp;", ",", "&amp;'Huỷ đơn - Huỷ nhận đơn'!$B$7:$B$500&amp;", ")),--('Huỷ đơn - Huỷ nhận đơn'!$AT$7:$AT$500="Pass"))+SUMPRODUCT(--ISNUMBER(SEARCH(", "&amp;$B28&amp;", ",", "&amp;'Giao nhận &amp; Theo dõi đơn'!$B$7:$B$500&amp;", ")),--('Giao nhận &amp; Theo dõi đơn'!$AT$7:$AT$500="Pass"))+SUMPRODUCT(--ISNUMBER(SEARCH(", "&amp;$B28&amp;", ",", "&amp;'Bảng tin &amp; Chi tiết tin'!$B$7:$B$500&amp;", ")),--('Bảng tin &amp; Chi tiết tin'!$AT$7:$AT$500="Pass"))+SUMPRODUCT(--ISNUMBER(SEARCH(", "&amp;$B28&amp;", ",", "&amp;'Quà cảm ơn'!$B$7:$B$500&amp;", ")),--('Quà cảm ơn'!$AT$7:$AT$500="Pass"))+SUMPRODUCT(--ISNUMBER(SEARCH(", "&amp;$B28&amp;", ",", "&amp;'Trang chủ'!$B$7:$B$500&amp;", ")),--('Trang chủ'!$AT$7:$AT$500="Pass"))+SUMPRODUCT(--ISNUMBER(SEARCH(", "&amp;$B28&amp;", ",", "&amp;'Thông báo'!$B$7:$B$500&amp;", ")),--('Thông báo'!$AT$7:$AT$500="Pass"))+SUMPRODUCT(--ISNUMBER(SEARCH(", "&amp;$B28&amp;", ",", "&amp;'Đăng tin &amp; Quản lý tin'!$B$7:$B$500&amp;", ")),--('Đăng tin &amp; Quản lý tin'!$AT$7:$AT$500="Pass"))+SUMPRODUCT(--ISNUMBER(SEARCH(", "&amp;$B28&amp;", ",", "&amp;'Trust &amp; Safety'!$B$7:$B$500&amp;", ")),--('Trust &amp; Safety'!$AT$7:$AT$500="Pass"))+SUMPRODUCT(--ISNUMBER(SEARCH(", "&amp;$B28&amp;", ",", "&amp;'Tài khoản &amp; Hồ sơ'!$B$7:$B$500&amp;", ")),--('Tài khoản &amp; Hồ sơ'!$AT$7:$AT$500="Pass"))</f>
        <v>0</v>
      </c>
      <c r="H28" s="51" t="n">
        <f aca="false">SUMPRODUCT(--ISNUMBER(SEARCH(", "&amp;$B28&amp;", ",", "&amp;'Hoạt động (Đơn của tôi)'!$B$7:$B$500&amp;", ")),--('Hoạt động (Đơn của tôi)'!$AT$7:$AT$500="Fail"))+SUMPRODUCT(--ISNUMBER(SEARCH(", "&amp;$B28&amp;", ",", "&amp;'Ghép nối'!$B$7:$B$500&amp;", ")),--('Ghép nối'!$AT$7:$AT$500="Fail"))+SUMPRODUCT(--ISNUMBER(SEARCH(", "&amp;$B28&amp;", ",", "&amp;'Huỷ đơn - Huỷ nhận đơn'!$B$7:$B$500&amp;", ")),--('Huỷ đơn - Huỷ nhận đơn'!$AT$7:$AT$500="Fail"))+SUMPRODUCT(--ISNUMBER(SEARCH(", "&amp;$B28&amp;", ",", "&amp;'Giao nhận &amp; Theo dõi đơn'!$B$7:$B$500&amp;", ")),--('Giao nhận &amp; Theo dõi đơn'!$AT$7:$AT$500="Fail"))+SUMPRODUCT(--ISNUMBER(SEARCH(", "&amp;$B28&amp;", ",", "&amp;'Bảng tin &amp; Chi tiết tin'!$B$7:$B$500&amp;", ")),--('Bảng tin &amp; Chi tiết tin'!$AT$7:$AT$500="Fail"))+SUMPRODUCT(--ISNUMBER(SEARCH(", "&amp;$B28&amp;", ",", "&amp;'Quà cảm ơn'!$B$7:$B$500&amp;", ")),--('Quà cảm ơn'!$AT$7:$AT$500="Fail"))+SUMPRODUCT(--ISNUMBER(SEARCH(", "&amp;$B28&amp;", ",", "&amp;'Trang chủ'!$B$7:$B$500&amp;", ")),--('Trang chủ'!$AT$7:$AT$500="Fail"))+SUMPRODUCT(--ISNUMBER(SEARCH(", "&amp;$B28&amp;", ",", "&amp;'Thông báo'!$B$7:$B$500&amp;", ")),--('Thông báo'!$AT$7:$AT$500="Fail"))+SUMPRODUCT(--ISNUMBER(SEARCH(", "&amp;$B28&amp;", ",", "&amp;'Đăng tin &amp; Quản lý tin'!$B$7:$B$500&amp;", ")),--('Đăng tin &amp; Quản lý tin'!$AT$7:$AT$500="Fail"))+SUMPRODUCT(--ISNUMBER(SEARCH(", "&amp;$B28&amp;", ",", "&amp;'Trust &amp; Safety'!$B$7:$B$500&amp;", ")),--('Trust &amp; Safety'!$AT$7:$AT$500="Fail"))+SUMPRODUCT(--ISNUMBER(SEARCH(", "&amp;$B28&amp;", ",", "&amp;'Tài khoản &amp; Hồ sơ'!$B$7:$B$500&amp;", ")),--('Tài khoản &amp; Hồ sơ'!$AT$7:$AT$500="Fail"))</f>
        <v>0</v>
      </c>
      <c r="I28" s="51" t="n">
        <f aca="false">SUMPRODUCT(--ISNUMBER(SEARCH(", "&amp;$B28&amp;", ",", "&amp;'Hoạt động (Đơn của tôi)'!$B$7:$B$500&amp;", ")),--('Hoạt động (Đơn của tôi)'!$AT$7:$AT$500="Block"))+SUMPRODUCT(--ISNUMBER(SEARCH(", "&amp;$B28&amp;", ",", "&amp;'Ghép nối'!$B$7:$B$500&amp;", ")),--('Ghép nối'!$AT$7:$AT$500="Block"))+SUMPRODUCT(--ISNUMBER(SEARCH(", "&amp;$B28&amp;", ",", "&amp;'Huỷ đơn - Huỷ nhận đơn'!$B$7:$B$500&amp;", ")),--('Huỷ đơn - Huỷ nhận đơn'!$AT$7:$AT$500="Block"))+SUMPRODUCT(--ISNUMBER(SEARCH(", "&amp;$B28&amp;", ",", "&amp;'Giao nhận &amp; Theo dõi đơn'!$B$7:$B$500&amp;", ")),--('Giao nhận &amp; Theo dõi đơn'!$AT$7:$AT$500="Block"))+SUMPRODUCT(--ISNUMBER(SEARCH(", "&amp;$B28&amp;", ",", "&amp;'Bảng tin &amp; Chi tiết tin'!$B$7:$B$500&amp;", ")),--('Bảng tin &amp; Chi tiết tin'!$AT$7:$AT$500="Block"))+SUMPRODUCT(--ISNUMBER(SEARCH(", "&amp;$B28&amp;", ",", "&amp;'Quà cảm ơn'!$B$7:$B$500&amp;", ")),--('Quà cảm ơn'!$AT$7:$AT$500="Block"))+SUMPRODUCT(--ISNUMBER(SEARCH(", "&amp;$B28&amp;", ",", "&amp;'Trang chủ'!$B$7:$B$500&amp;", ")),--('Trang chủ'!$AT$7:$AT$500="Block"))+SUMPRODUCT(--ISNUMBER(SEARCH(", "&amp;$B28&amp;", ",", "&amp;'Thông báo'!$B$7:$B$500&amp;", ")),--('Thông báo'!$AT$7:$AT$500="Block"))+SUMPRODUCT(--ISNUMBER(SEARCH(", "&amp;$B28&amp;", ",", "&amp;'Đăng tin &amp; Quản lý tin'!$B$7:$B$500&amp;", ")),--('Đăng tin &amp; Quản lý tin'!$AT$7:$AT$500="Block"))+SUMPRODUCT(--ISNUMBER(SEARCH(", "&amp;$B28&amp;", ",", "&amp;'Trust &amp; Safety'!$B$7:$B$500&amp;", ")),--('Trust &amp; Safety'!$AT$7:$AT$500="Block"))+SUMPRODUCT(--ISNUMBER(SEARCH(", "&amp;$B28&amp;", ",", "&amp;'Tài khoản &amp; Hồ sơ'!$B$7:$B$500&amp;", ")),--('Tài khoản &amp; Hồ sơ'!$AT$7:$AT$500="Block"))</f>
        <v>0</v>
      </c>
      <c r="J28" s="51" t="n">
        <f aca="false">SUMPRODUCT(--ISNUMBER(SEARCH(", "&amp;$B28&amp;", ",", "&amp;'Hoạt động (Đơn của tôi)'!$B$7:$B$500&amp;", ")),--('Hoạt động (Đơn của tôi)'!$AT$7:$AT$500="N/A"))+SUMPRODUCT(--ISNUMBER(SEARCH(", "&amp;$B28&amp;", ",", "&amp;'Ghép nối'!$B$7:$B$500&amp;", ")),--('Ghép nối'!$AT$7:$AT$500="N/A"))+SUMPRODUCT(--ISNUMBER(SEARCH(", "&amp;$B28&amp;", ",", "&amp;'Huỷ đơn - Huỷ nhận đơn'!$B$7:$B$500&amp;", ")),--('Huỷ đơn - Huỷ nhận đơn'!$AT$7:$AT$500="N/A"))+SUMPRODUCT(--ISNUMBER(SEARCH(", "&amp;$B28&amp;", ",", "&amp;'Giao nhận &amp; Theo dõi đơn'!$B$7:$B$500&amp;", ")),--('Giao nhận &amp; Theo dõi đơn'!$AT$7:$AT$500="N/A"))+SUMPRODUCT(--ISNUMBER(SEARCH(", "&amp;$B28&amp;", ",", "&amp;'Bảng tin &amp; Chi tiết tin'!$B$7:$B$500&amp;", ")),--('Bảng tin &amp; Chi tiết tin'!$AT$7:$AT$500="N/A"))+SUMPRODUCT(--ISNUMBER(SEARCH(", "&amp;$B28&amp;", ",", "&amp;'Quà cảm ơn'!$B$7:$B$500&amp;", ")),--('Quà cảm ơn'!$AT$7:$AT$500="N/A"))+SUMPRODUCT(--ISNUMBER(SEARCH(", "&amp;$B28&amp;", ",", "&amp;'Trang chủ'!$B$7:$B$500&amp;", ")),--('Trang chủ'!$AT$7:$AT$500="N/A"))+SUMPRODUCT(--ISNUMBER(SEARCH(", "&amp;$B28&amp;", ",", "&amp;'Thông báo'!$B$7:$B$500&amp;", ")),--('Thông báo'!$AT$7:$AT$500="N/A"))+SUMPRODUCT(--ISNUMBER(SEARCH(", "&amp;$B28&amp;", ",", "&amp;'Đăng tin &amp; Quản lý tin'!$B$7:$B$500&amp;", ")),--('Đăng tin &amp; Quản lý tin'!$AT$7:$AT$500="N/A"))+SUMPRODUCT(--ISNUMBER(SEARCH(", "&amp;$B28&amp;", ",", "&amp;'Trust &amp; Safety'!$B$7:$B$500&amp;", ")),--('Trust &amp; Safety'!$AT$7:$AT$500="N/A"))+SUMPRODUCT(--ISNUMBER(SEARCH(", "&amp;$B28&amp;", ",", "&amp;'Tài khoản &amp; Hồ sơ'!$B$7:$B$500&amp;", ")),--('Tài khoản &amp; Hồ sơ'!$AT$7:$AT$500="N/A"))</f>
        <v>0</v>
      </c>
      <c r="K28" s="52" t="n">
        <f aca="false">IFERROR(F28/E28,0)</f>
        <v>0</v>
      </c>
      <c r="L28" s="123" t="str">
        <f aca="false">IF(E28=0,"Chưa có TC (gap)",IF(H28&gt;0,"Có lỗi (Fail)",IF(I28&gt;0,"Bị block",IF(F28&lt;E28,"Đang test",IF(G28=0,"Không áp dụng (N/A)","Đã test xong")))))</f>
        <v>Đang test</v>
      </c>
      <c r="AB28" s="1" t="s">
        <v>424</v>
      </c>
    </row>
    <row r="29" customFormat="false" ht="15.75" hidden="false" customHeight="true" outlineLevel="0" collapsed="false">
      <c r="B29" s="175" t="s">
        <v>489</v>
      </c>
      <c r="C29" s="176" t="s">
        <v>490</v>
      </c>
      <c r="D29" s="123" t="s">
        <v>491</v>
      </c>
      <c r="E29" s="51" t="n">
        <f aca="false">SUMPRODUCT(--ISNUMBER(SEARCH(", "&amp;$B29&amp;", ",", "&amp;'Hoạt động (Đơn của tôi)'!$B$7:$B$500&amp;", ")))+SUMPRODUCT(--ISNUMBER(SEARCH(", "&amp;$B29&amp;", ",", "&amp;'Ghép nối'!$B$7:$B$500&amp;", ")))+SUMPRODUCT(--ISNUMBER(SEARCH(", "&amp;$B29&amp;", ",", "&amp;'Huỷ đơn - Huỷ nhận đơn'!$B$7:$B$500&amp;", ")))+SUMPRODUCT(--ISNUMBER(SEARCH(", "&amp;$B29&amp;", ",", "&amp;'Giao nhận &amp; Theo dõi đơn'!$B$7:$B$500&amp;", ")))+SUMPRODUCT(--ISNUMBER(SEARCH(", "&amp;$B29&amp;", ",", "&amp;'Bảng tin &amp; Chi tiết tin'!$B$7:$B$500&amp;", ")))+SUMPRODUCT(--ISNUMBER(SEARCH(", "&amp;$B29&amp;", ",", "&amp;'Quà cảm ơn'!$B$7:$B$500&amp;", ")))+SUMPRODUCT(--ISNUMBER(SEARCH(", "&amp;$B29&amp;", ",", "&amp;'Trang chủ'!$B$7:$B$500&amp;", ")))+SUMPRODUCT(--ISNUMBER(SEARCH(", "&amp;$B29&amp;", ",", "&amp;'Thông báo'!$B$7:$B$500&amp;", ")))+SUMPRODUCT(--ISNUMBER(SEARCH(", "&amp;$B29&amp;", ",", "&amp;'Đăng tin &amp; Quản lý tin'!$B$7:$B$500&amp;", ")))+SUMPRODUCT(--ISNUMBER(SEARCH(", "&amp;$B29&amp;", ",", "&amp;'Trust &amp; Safety'!$B$7:$B$500&amp;", ")))+SUMPRODUCT(--ISNUMBER(SEARCH(", "&amp;$B29&amp;", ",", "&amp;'Tài khoản &amp; Hồ sơ'!$B$7:$B$500&amp;", ")))</f>
        <v>10</v>
      </c>
      <c r="F29" s="51" t="n">
        <f aca="false">SUMPRODUCT(--ISNUMBER(SEARCH(", "&amp;$B29&amp;", ",", "&amp;'Hoạt động (Đơn của tôi)'!$B$7:$B$500&amp;", ")),--('Hoạt động (Đơn của tôi)'!$AT$7:$AT$500&lt;&gt;""))+SUMPRODUCT(--ISNUMBER(SEARCH(", "&amp;$B29&amp;", ",", "&amp;'Ghép nối'!$B$7:$B$500&amp;", ")),--('Ghép nối'!$AT$7:$AT$500&lt;&gt;""))+SUMPRODUCT(--ISNUMBER(SEARCH(", "&amp;$B29&amp;", ",", "&amp;'Huỷ đơn - Huỷ nhận đơn'!$B$7:$B$500&amp;", ")),--('Huỷ đơn - Huỷ nhận đơn'!$AT$7:$AT$500&lt;&gt;""))+SUMPRODUCT(--ISNUMBER(SEARCH(", "&amp;$B29&amp;", ",", "&amp;'Giao nhận &amp; Theo dõi đơn'!$B$7:$B$500&amp;", ")),--('Giao nhận &amp; Theo dõi đơn'!$AT$7:$AT$500&lt;&gt;""))+SUMPRODUCT(--ISNUMBER(SEARCH(", "&amp;$B29&amp;", ",", "&amp;'Bảng tin &amp; Chi tiết tin'!$B$7:$B$500&amp;", ")),--('Bảng tin &amp; Chi tiết tin'!$AT$7:$AT$500&lt;&gt;""))+SUMPRODUCT(--ISNUMBER(SEARCH(", "&amp;$B29&amp;", ",", "&amp;'Quà cảm ơn'!$B$7:$B$500&amp;", ")),--('Quà cảm ơn'!$AT$7:$AT$500&lt;&gt;""))+SUMPRODUCT(--ISNUMBER(SEARCH(", "&amp;$B29&amp;", ",", "&amp;'Trang chủ'!$B$7:$B$500&amp;", ")),--('Trang chủ'!$AT$7:$AT$500&lt;&gt;""))+SUMPRODUCT(--ISNUMBER(SEARCH(", "&amp;$B29&amp;", ",", "&amp;'Thông báo'!$B$7:$B$500&amp;", ")),--('Thông báo'!$AT$7:$AT$500&lt;&gt;""))+SUMPRODUCT(--ISNUMBER(SEARCH(", "&amp;$B29&amp;", ",", "&amp;'Đăng tin &amp; Quản lý tin'!$B$7:$B$500&amp;", ")),--('Đăng tin &amp; Quản lý tin'!$AT$7:$AT$500&lt;&gt;""))+SUMPRODUCT(--ISNUMBER(SEARCH(", "&amp;$B29&amp;", ",", "&amp;'Trust &amp; Safety'!$B$7:$B$500&amp;", ")),--('Trust &amp; Safety'!$AT$7:$AT$500&lt;&gt;""))+SUMPRODUCT(--ISNUMBER(SEARCH(", "&amp;$B29&amp;", ",", "&amp;'Tài khoản &amp; Hồ sơ'!$B$7:$B$500&amp;", ")),--('Tài khoản &amp; Hồ sơ'!$AT$7:$AT$500&lt;&gt;""))</f>
        <v>0</v>
      </c>
      <c r="G29" s="51" t="n">
        <f aca="false">SUMPRODUCT(--ISNUMBER(SEARCH(", "&amp;$B29&amp;", ",", "&amp;'Hoạt động (Đơn của tôi)'!$B$7:$B$500&amp;", ")),--('Hoạt động (Đơn của tôi)'!$AT$7:$AT$500="Pass"))+SUMPRODUCT(--ISNUMBER(SEARCH(", "&amp;$B29&amp;", ",", "&amp;'Ghép nối'!$B$7:$B$500&amp;", ")),--('Ghép nối'!$AT$7:$AT$500="Pass"))+SUMPRODUCT(--ISNUMBER(SEARCH(", "&amp;$B29&amp;", ",", "&amp;'Huỷ đơn - Huỷ nhận đơn'!$B$7:$B$500&amp;", ")),--('Huỷ đơn - Huỷ nhận đơn'!$AT$7:$AT$500="Pass"))+SUMPRODUCT(--ISNUMBER(SEARCH(", "&amp;$B29&amp;", ",", "&amp;'Giao nhận &amp; Theo dõi đơn'!$B$7:$B$500&amp;", ")),--('Giao nhận &amp; Theo dõi đơn'!$AT$7:$AT$500="Pass"))+SUMPRODUCT(--ISNUMBER(SEARCH(", "&amp;$B29&amp;", ",", "&amp;'Bảng tin &amp; Chi tiết tin'!$B$7:$B$500&amp;", ")),--('Bảng tin &amp; Chi tiết tin'!$AT$7:$AT$500="Pass"))+SUMPRODUCT(--ISNUMBER(SEARCH(", "&amp;$B29&amp;", ",", "&amp;'Quà cảm ơn'!$B$7:$B$500&amp;", ")),--('Quà cảm ơn'!$AT$7:$AT$500="Pass"))+SUMPRODUCT(--ISNUMBER(SEARCH(", "&amp;$B29&amp;", ",", "&amp;'Trang chủ'!$B$7:$B$500&amp;", ")),--('Trang chủ'!$AT$7:$AT$500="Pass"))+SUMPRODUCT(--ISNUMBER(SEARCH(", "&amp;$B29&amp;", ",", "&amp;'Thông báo'!$B$7:$B$500&amp;", ")),--('Thông báo'!$AT$7:$AT$500="Pass"))+SUMPRODUCT(--ISNUMBER(SEARCH(", "&amp;$B29&amp;", ",", "&amp;'Đăng tin &amp; Quản lý tin'!$B$7:$B$500&amp;", ")),--('Đăng tin &amp; Quản lý tin'!$AT$7:$AT$500="Pass"))+SUMPRODUCT(--ISNUMBER(SEARCH(", "&amp;$B29&amp;", ",", "&amp;'Trust &amp; Safety'!$B$7:$B$500&amp;", ")),--('Trust &amp; Safety'!$AT$7:$AT$500="Pass"))+SUMPRODUCT(--ISNUMBER(SEARCH(", "&amp;$B29&amp;", ",", "&amp;'Tài khoản &amp; Hồ sơ'!$B$7:$B$500&amp;", ")),--('Tài khoản &amp; Hồ sơ'!$AT$7:$AT$500="Pass"))</f>
        <v>0</v>
      </c>
      <c r="H29" s="51" t="n">
        <f aca="false">SUMPRODUCT(--ISNUMBER(SEARCH(", "&amp;$B29&amp;", ",", "&amp;'Hoạt động (Đơn của tôi)'!$B$7:$B$500&amp;", ")),--('Hoạt động (Đơn của tôi)'!$AT$7:$AT$500="Fail"))+SUMPRODUCT(--ISNUMBER(SEARCH(", "&amp;$B29&amp;", ",", "&amp;'Ghép nối'!$B$7:$B$500&amp;", ")),--('Ghép nối'!$AT$7:$AT$500="Fail"))+SUMPRODUCT(--ISNUMBER(SEARCH(", "&amp;$B29&amp;", ",", "&amp;'Huỷ đơn - Huỷ nhận đơn'!$B$7:$B$500&amp;", ")),--('Huỷ đơn - Huỷ nhận đơn'!$AT$7:$AT$500="Fail"))+SUMPRODUCT(--ISNUMBER(SEARCH(", "&amp;$B29&amp;", ",", "&amp;'Giao nhận &amp; Theo dõi đơn'!$B$7:$B$500&amp;", ")),--('Giao nhận &amp; Theo dõi đơn'!$AT$7:$AT$500="Fail"))+SUMPRODUCT(--ISNUMBER(SEARCH(", "&amp;$B29&amp;", ",", "&amp;'Bảng tin &amp; Chi tiết tin'!$B$7:$B$500&amp;", ")),--('Bảng tin &amp; Chi tiết tin'!$AT$7:$AT$500="Fail"))+SUMPRODUCT(--ISNUMBER(SEARCH(", "&amp;$B29&amp;", ",", "&amp;'Quà cảm ơn'!$B$7:$B$500&amp;", ")),--('Quà cảm ơn'!$AT$7:$AT$500="Fail"))+SUMPRODUCT(--ISNUMBER(SEARCH(", "&amp;$B29&amp;", ",", "&amp;'Trang chủ'!$B$7:$B$500&amp;", ")),--('Trang chủ'!$AT$7:$AT$500="Fail"))+SUMPRODUCT(--ISNUMBER(SEARCH(", "&amp;$B29&amp;", ",", "&amp;'Thông báo'!$B$7:$B$500&amp;", ")),--('Thông báo'!$AT$7:$AT$500="Fail"))+SUMPRODUCT(--ISNUMBER(SEARCH(", "&amp;$B29&amp;", ",", "&amp;'Đăng tin &amp; Quản lý tin'!$B$7:$B$500&amp;", ")),--('Đăng tin &amp; Quản lý tin'!$AT$7:$AT$500="Fail"))+SUMPRODUCT(--ISNUMBER(SEARCH(", "&amp;$B29&amp;", ",", "&amp;'Trust &amp; Safety'!$B$7:$B$500&amp;", ")),--('Trust &amp; Safety'!$AT$7:$AT$500="Fail"))+SUMPRODUCT(--ISNUMBER(SEARCH(", "&amp;$B29&amp;", ",", "&amp;'Tài khoản &amp; Hồ sơ'!$B$7:$B$500&amp;", ")),--('Tài khoản &amp; Hồ sơ'!$AT$7:$AT$500="Fail"))</f>
        <v>0</v>
      </c>
      <c r="I29" s="51" t="n">
        <f aca="false">SUMPRODUCT(--ISNUMBER(SEARCH(", "&amp;$B29&amp;", ",", "&amp;'Hoạt động (Đơn của tôi)'!$B$7:$B$500&amp;", ")),--('Hoạt động (Đơn của tôi)'!$AT$7:$AT$500="Block"))+SUMPRODUCT(--ISNUMBER(SEARCH(", "&amp;$B29&amp;", ",", "&amp;'Ghép nối'!$B$7:$B$500&amp;", ")),--('Ghép nối'!$AT$7:$AT$500="Block"))+SUMPRODUCT(--ISNUMBER(SEARCH(", "&amp;$B29&amp;", ",", "&amp;'Huỷ đơn - Huỷ nhận đơn'!$B$7:$B$500&amp;", ")),--('Huỷ đơn - Huỷ nhận đơn'!$AT$7:$AT$500="Block"))+SUMPRODUCT(--ISNUMBER(SEARCH(", "&amp;$B29&amp;", ",", "&amp;'Giao nhận &amp; Theo dõi đơn'!$B$7:$B$500&amp;", ")),--('Giao nhận &amp; Theo dõi đơn'!$AT$7:$AT$500="Block"))+SUMPRODUCT(--ISNUMBER(SEARCH(", "&amp;$B29&amp;", ",", "&amp;'Bảng tin &amp; Chi tiết tin'!$B$7:$B$500&amp;", ")),--('Bảng tin &amp; Chi tiết tin'!$AT$7:$AT$500="Block"))+SUMPRODUCT(--ISNUMBER(SEARCH(", "&amp;$B29&amp;", ",", "&amp;'Quà cảm ơn'!$B$7:$B$500&amp;", ")),--('Quà cảm ơn'!$AT$7:$AT$500="Block"))+SUMPRODUCT(--ISNUMBER(SEARCH(", "&amp;$B29&amp;", ",", "&amp;'Trang chủ'!$B$7:$B$500&amp;", ")),--('Trang chủ'!$AT$7:$AT$500="Block"))+SUMPRODUCT(--ISNUMBER(SEARCH(", "&amp;$B29&amp;", ",", "&amp;'Thông báo'!$B$7:$B$500&amp;", ")),--('Thông báo'!$AT$7:$AT$500="Block"))+SUMPRODUCT(--ISNUMBER(SEARCH(", "&amp;$B29&amp;", ",", "&amp;'Đăng tin &amp; Quản lý tin'!$B$7:$B$500&amp;", ")),--('Đăng tin &amp; Quản lý tin'!$AT$7:$AT$500="Block"))+SUMPRODUCT(--ISNUMBER(SEARCH(", "&amp;$B29&amp;", ",", "&amp;'Trust &amp; Safety'!$B$7:$B$500&amp;", ")),--('Trust &amp; Safety'!$AT$7:$AT$500="Block"))+SUMPRODUCT(--ISNUMBER(SEARCH(", "&amp;$B29&amp;", ",", "&amp;'Tài khoản &amp; Hồ sơ'!$B$7:$B$500&amp;", ")),--('Tài khoản &amp; Hồ sơ'!$AT$7:$AT$500="Block"))</f>
        <v>0</v>
      </c>
      <c r="J29" s="51" t="n">
        <f aca="false">SUMPRODUCT(--ISNUMBER(SEARCH(", "&amp;$B29&amp;", ",", "&amp;'Hoạt động (Đơn của tôi)'!$B$7:$B$500&amp;", ")),--('Hoạt động (Đơn của tôi)'!$AT$7:$AT$500="N/A"))+SUMPRODUCT(--ISNUMBER(SEARCH(", "&amp;$B29&amp;", ",", "&amp;'Ghép nối'!$B$7:$B$500&amp;", ")),--('Ghép nối'!$AT$7:$AT$500="N/A"))+SUMPRODUCT(--ISNUMBER(SEARCH(", "&amp;$B29&amp;", ",", "&amp;'Huỷ đơn - Huỷ nhận đơn'!$B$7:$B$500&amp;", ")),--('Huỷ đơn - Huỷ nhận đơn'!$AT$7:$AT$500="N/A"))+SUMPRODUCT(--ISNUMBER(SEARCH(", "&amp;$B29&amp;", ",", "&amp;'Giao nhận &amp; Theo dõi đơn'!$B$7:$B$500&amp;", ")),--('Giao nhận &amp; Theo dõi đơn'!$AT$7:$AT$500="N/A"))+SUMPRODUCT(--ISNUMBER(SEARCH(", "&amp;$B29&amp;", ",", "&amp;'Bảng tin &amp; Chi tiết tin'!$B$7:$B$500&amp;", ")),--('Bảng tin &amp; Chi tiết tin'!$AT$7:$AT$500="N/A"))+SUMPRODUCT(--ISNUMBER(SEARCH(", "&amp;$B29&amp;", ",", "&amp;'Quà cảm ơn'!$B$7:$B$500&amp;", ")),--('Quà cảm ơn'!$AT$7:$AT$500="N/A"))+SUMPRODUCT(--ISNUMBER(SEARCH(", "&amp;$B29&amp;", ",", "&amp;'Trang chủ'!$B$7:$B$500&amp;", ")),--('Trang chủ'!$AT$7:$AT$500="N/A"))+SUMPRODUCT(--ISNUMBER(SEARCH(", "&amp;$B29&amp;", ",", "&amp;'Thông báo'!$B$7:$B$500&amp;", ")),--('Thông báo'!$AT$7:$AT$500="N/A"))+SUMPRODUCT(--ISNUMBER(SEARCH(", "&amp;$B29&amp;", ",", "&amp;'Đăng tin &amp; Quản lý tin'!$B$7:$B$500&amp;", ")),--('Đăng tin &amp; Quản lý tin'!$AT$7:$AT$500="N/A"))+SUMPRODUCT(--ISNUMBER(SEARCH(", "&amp;$B29&amp;", ",", "&amp;'Trust &amp; Safety'!$B$7:$B$500&amp;", ")),--('Trust &amp; Safety'!$AT$7:$AT$500="N/A"))+SUMPRODUCT(--ISNUMBER(SEARCH(", "&amp;$B29&amp;", ",", "&amp;'Tài khoản &amp; Hồ sơ'!$B$7:$B$500&amp;", ")),--('Tài khoản &amp; Hồ sơ'!$AT$7:$AT$500="N/A"))</f>
        <v>0</v>
      </c>
      <c r="K29" s="52" t="n">
        <f aca="false">IFERROR(F29/E29,0)</f>
        <v>0</v>
      </c>
      <c r="L29" s="123" t="str">
        <f aca="false">IF(E29=0,"Chưa có TC (gap)",IF(H29&gt;0,"Có lỗi (Fail)",IF(I29&gt;0,"Bị block",IF(F29&lt;E29,"Đang test",IF(G29=0,"Không áp dụng (N/A)","Đã test xong")))))</f>
        <v>Đang test</v>
      </c>
      <c r="AB29" s="1" t="s">
        <v>424</v>
      </c>
    </row>
    <row r="30" customFormat="false" ht="15.75" hidden="false" customHeight="true" outlineLevel="0" collapsed="false">
      <c r="B30" s="175" t="s">
        <v>492</v>
      </c>
      <c r="C30" s="176" t="s">
        <v>493</v>
      </c>
      <c r="D30" s="123" t="s">
        <v>494</v>
      </c>
      <c r="E30" s="51" t="n">
        <f aca="false">SUMPRODUCT(--ISNUMBER(SEARCH(", "&amp;$B30&amp;", ",", "&amp;'Hoạt động (Đơn của tôi)'!$B$7:$B$500&amp;", ")))+SUMPRODUCT(--ISNUMBER(SEARCH(", "&amp;$B30&amp;", ",", "&amp;'Ghép nối'!$B$7:$B$500&amp;", ")))+SUMPRODUCT(--ISNUMBER(SEARCH(", "&amp;$B30&amp;", ",", "&amp;'Huỷ đơn - Huỷ nhận đơn'!$B$7:$B$500&amp;", ")))+SUMPRODUCT(--ISNUMBER(SEARCH(", "&amp;$B30&amp;", ",", "&amp;'Giao nhận &amp; Theo dõi đơn'!$B$7:$B$500&amp;", ")))+SUMPRODUCT(--ISNUMBER(SEARCH(", "&amp;$B30&amp;", ",", "&amp;'Bảng tin &amp; Chi tiết tin'!$B$7:$B$500&amp;", ")))+SUMPRODUCT(--ISNUMBER(SEARCH(", "&amp;$B30&amp;", ",", "&amp;'Quà cảm ơn'!$B$7:$B$500&amp;", ")))+SUMPRODUCT(--ISNUMBER(SEARCH(", "&amp;$B30&amp;", ",", "&amp;'Trang chủ'!$B$7:$B$500&amp;", ")))+SUMPRODUCT(--ISNUMBER(SEARCH(", "&amp;$B30&amp;", ",", "&amp;'Thông báo'!$B$7:$B$500&amp;", ")))+SUMPRODUCT(--ISNUMBER(SEARCH(", "&amp;$B30&amp;", ",", "&amp;'Đăng tin &amp; Quản lý tin'!$B$7:$B$500&amp;", ")))+SUMPRODUCT(--ISNUMBER(SEARCH(", "&amp;$B30&amp;", ",", "&amp;'Trust &amp; Safety'!$B$7:$B$500&amp;", ")))+SUMPRODUCT(--ISNUMBER(SEARCH(", "&amp;$B30&amp;", ",", "&amp;'Tài khoản &amp; Hồ sơ'!$B$7:$B$500&amp;", ")))</f>
        <v>6</v>
      </c>
      <c r="F30" s="51" t="n">
        <f aca="false">SUMPRODUCT(--ISNUMBER(SEARCH(", "&amp;$B30&amp;", ",", "&amp;'Hoạt động (Đơn của tôi)'!$B$7:$B$500&amp;", ")),--('Hoạt động (Đơn của tôi)'!$AT$7:$AT$500&lt;&gt;""))+SUMPRODUCT(--ISNUMBER(SEARCH(", "&amp;$B30&amp;", ",", "&amp;'Ghép nối'!$B$7:$B$500&amp;", ")),--('Ghép nối'!$AT$7:$AT$500&lt;&gt;""))+SUMPRODUCT(--ISNUMBER(SEARCH(", "&amp;$B30&amp;", ",", "&amp;'Huỷ đơn - Huỷ nhận đơn'!$B$7:$B$500&amp;", ")),--('Huỷ đơn - Huỷ nhận đơn'!$AT$7:$AT$500&lt;&gt;""))+SUMPRODUCT(--ISNUMBER(SEARCH(", "&amp;$B30&amp;", ",", "&amp;'Giao nhận &amp; Theo dõi đơn'!$B$7:$B$500&amp;", ")),--('Giao nhận &amp; Theo dõi đơn'!$AT$7:$AT$500&lt;&gt;""))+SUMPRODUCT(--ISNUMBER(SEARCH(", "&amp;$B30&amp;", ",", "&amp;'Bảng tin &amp; Chi tiết tin'!$B$7:$B$500&amp;", ")),--('Bảng tin &amp; Chi tiết tin'!$AT$7:$AT$500&lt;&gt;""))+SUMPRODUCT(--ISNUMBER(SEARCH(", "&amp;$B30&amp;", ",", "&amp;'Quà cảm ơn'!$B$7:$B$500&amp;", ")),--('Quà cảm ơn'!$AT$7:$AT$500&lt;&gt;""))+SUMPRODUCT(--ISNUMBER(SEARCH(", "&amp;$B30&amp;", ",", "&amp;'Trang chủ'!$B$7:$B$500&amp;", ")),--('Trang chủ'!$AT$7:$AT$500&lt;&gt;""))+SUMPRODUCT(--ISNUMBER(SEARCH(", "&amp;$B30&amp;", ",", "&amp;'Thông báo'!$B$7:$B$500&amp;", ")),--('Thông báo'!$AT$7:$AT$500&lt;&gt;""))+SUMPRODUCT(--ISNUMBER(SEARCH(", "&amp;$B30&amp;", ",", "&amp;'Đăng tin &amp; Quản lý tin'!$B$7:$B$500&amp;", ")),--('Đăng tin &amp; Quản lý tin'!$AT$7:$AT$500&lt;&gt;""))+SUMPRODUCT(--ISNUMBER(SEARCH(", "&amp;$B30&amp;", ",", "&amp;'Trust &amp; Safety'!$B$7:$B$500&amp;", ")),--('Trust &amp; Safety'!$AT$7:$AT$500&lt;&gt;""))+SUMPRODUCT(--ISNUMBER(SEARCH(", "&amp;$B30&amp;", ",", "&amp;'Tài khoản &amp; Hồ sơ'!$B$7:$B$500&amp;", ")),--('Tài khoản &amp; Hồ sơ'!$AT$7:$AT$500&lt;&gt;""))</f>
        <v>0</v>
      </c>
      <c r="G30" s="51" t="n">
        <f aca="false">SUMPRODUCT(--ISNUMBER(SEARCH(", "&amp;$B30&amp;", ",", "&amp;'Hoạt động (Đơn của tôi)'!$B$7:$B$500&amp;", ")),--('Hoạt động (Đơn của tôi)'!$AT$7:$AT$500="Pass"))+SUMPRODUCT(--ISNUMBER(SEARCH(", "&amp;$B30&amp;", ",", "&amp;'Ghép nối'!$B$7:$B$500&amp;", ")),--('Ghép nối'!$AT$7:$AT$500="Pass"))+SUMPRODUCT(--ISNUMBER(SEARCH(", "&amp;$B30&amp;", ",", "&amp;'Huỷ đơn - Huỷ nhận đơn'!$B$7:$B$500&amp;", ")),--('Huỷ đơn - Huỷ nhận đơn'!$AT$7:$AT$500="Pass"))+SUMPRODUCT(--ISNUMBER(SEARCH(", "&amp;$B30&amp;", ",", "&amp;'Giao nhận &amp; Theo dõi đơn'!$B$7:$B$500&amp;", ")),--('Giao nhận &amp; Theo dõi đơn'!$AT$7:$AT$500="Pass"))+SUMPRODUCT(--ISNUMBER(SEARCH(", "&amp;$B30&amp;", ",", "&amp;'Bảng tin &amp; Chi tiết tin'!$B$7:$B$500&amp;", ")),--('Bảng tin &amp; Chi tiết tin'!$AT$7:$AT$500="Pass"))+SUMPRODUCT(--ISNUMBER(SEARCH(", "&amp;$B30&amp;", ",", "&amp;'Quà cảm ơn'!$B$7:$B$500&amp;", ")),--('Quà cảm ơn'!$AT$7:$AT$500="Pass"))+SUMPRODUCT(--ISNUMBER(SEARCH(", "&amp;$B30&amp;", ",", "&amp;'Trang chủ'!$B$7:$B$500&amp;", ")),--('Trang chủ'!$AT$7:$AT$500="Pass"))+SUMPRODUCT(--ISNUMBER(SEARCH(", "&amp;$B30&amp;", ",", "&amp;'Thông báo'!$B$7:$B$500&amp;", ")),--('Thông báo'!$AT$7:$AT$500="Pass"))+SUMPRODUCT(--ISNUMBER(SEARCH(", "&amp;$B30&amp;", ",", "&amp;'Đăng tin &amp; Quản lý tin'!$B$7:$B$500&amp;", ")),--('Đăng tin &amp; Quản lý tin'!$AT$7:$AT$500="Pass"))+SUMPRODUCT(--ISNUMBER(SEARCH(", "&amp;$B30&amp;", ",", "&amp;'Trust &amp; Safety'!$B$7:$B$500&amp;", ")),--('Trust &amp; Safety'!$AT$7:$AT$500="Pass"))+SUMPRODUCT(--ISNUMBER(SEARCH(", "&amp;$B30&amp;", ",", "&amp;'Tài khoản &amp; Hồ sơ'!$B$7:$B$500&amp;", ")),--('Tài khoản &amp; Hồ sơ'!$AT$7:$AT$500="Pass"))</f>
        <v>0</v>
      </c>
      <c r="H30" s="51" t="n">
        <f aca="false">SUMPRODUCT(--ISNUMBER(SEARCH(", "&amp;$B30&amp;", ",", "&amp;'Hoạt động (Đơn của tôi)'!$B$7:$B$500&amp;", ")),--('Hoạt động (Đơn của tôi)'!$AT$7:$AT$500="Fail"))+SUMPRODUCT(--ISNUMBER(SEARCH(", "&amp;$B30&amp;", ",", "&amp;'Ghép nối'!$B$7:$B$500&amp;", ")),--('Ghép nối'!$AT$7:$AT$500="Fail"))+SUMPRODUCT(--ISNUMBER(SEARCH(", "&amp;$B30&amp;", ",", "&amp;'Huỷ đơn - Huỷ nhận đơn'!$B$7:$B$500&amp;", ")),--('Huỷ đơn - Huỷ nhận đơn'!$AT$7:$AT$500="Fail"))+SUMPRODUCT(--ISNUMBER(SEARCH(", "&amp;$B30&amp;", ",", "&amp;'Giao nhận &amp; Theo dõi đơn'!$B$7:$B$500&amp;", ")),--('Giao nhận &amp; Theo dõi đơn'!$AT$7:$AT$500="Fail"))+SUMPRODUCT(--ISNUMBER(SEARCH(", "&amp;$B30&amp;", ",", "&amp;'Bảng tin &amp; Chi tiết tin'!$B$7:$B$500&amp;", ")),--('Bảng tin &amp; Chi tiết tin'!$AT$7:$AT$500="Fail"))+SUMPRODUCT(--ISNUMBER(SEARCH(", "&amp;$B30&amp;", ",", "&amp;'Quà cảm ơn'!$B$7:$B$500&amp;", ")),--('Quà cảm ơn'!$AT$7:$AT$500="Fail"))+SUMPRODUCT(--ISNUMBER(SEARCH(", "&amp;$B30&amp;", ",", "&amp;'Trang chủ'!$B$7:$B$500&amp;", ")),--('Trang chủ'!$AT$7:$AT$500="Fail"))+SUMPRODUCT(--ISNUMBER(SEARCH(", "&amp;$B30&amp;", ",", "&amp;'Thông báo'!$B$7:$B$500&amp;", ")),--('Thông báo'!$AT$7:$AT$500="Fail"))+SUMPRODUCT(--ISNUMBER(SEARCH(", "&amp;$B30&amp;", ",", "&amp;'Đăng tin &amp; Quản lý tin'!$B$7:$B$500&amp;", ")),--('Đăng tin &amp; Quản lý tin'!$AT$7:$AT$500="Fail"))+SUMPRODUCT(--ISNUMBER(SEARCH(", "&amp;$B30&amp;", ",", "&amp;'Trust &amp; Safety'!$B$7:$B$500&amp;", ")),--('Trust &amp; Safety'!$AT$7:$AT$500="Fail"))+SUMPRODUCT(--ISNUMBER(SEARCH(", "&amp;$B30&amp;", ",", "&amp;'Tài khoản &amp; Hồ sơ'!$B$7:$B$500&amp;", ")),--('Tài khoản &amp; Hồ sơ'!$AT$7:$AT$500="Fail"))</f>
        <v>0</v>
      </c>
      <c r="I30" s="51" t="n">
        <f aca="false">SUMPRODUCT(--ISNUMBER(SEARCH(", "&amp;$B30&amp;", ",", "&amp;'Hoạt động (Đơn của tôi)'!$B$7:$B$500&amp;", ")),--('Hoạt động (Đơn của tôi)'!$AT$7:$AT$500="Block"))+SUMPRODUCT(--ISNUMBER(SEARCH(", "&amp;$B30&amp;", ",", "&amp;'Ghép nối'!$B$7:$B$500&amp;", ")),--('Ghép nối'!$AT$7:$AT$500="Block"))+SUMPRODUCT(--ISNUMBER(SEARCH(", "&amp;$B30&amp;", ",", "&amp;'Huỷ đơn - Huỷ nhận đơn'!$B$7:$B$500&amp;", ")),--('Huỷ đơn - Huỷ nhận đơn'!$AT$7:$AT$500="Block"))+SUMPRODUCT(--ISNUMBER(SEARCH(", "&amp;$B30&amp;", ",", "&amp;'Giao nhận &amp; Theo dõi đơn'!$B$7:$B$500&amp;", ")),--('Giao nhận &amp; Theo dõi đơn'!$AT$7:$AT$500="Block"))+SUMPRODUCT(--ISNUMBER(SEARCH(", "&amp;$B30&amp;", ",", "&amp;'Bảng tin &amp; Chi tiết tin'!$B$7:$B$500&amp;", ")),--('Bảng tin &amp; Chi tiết tin'!$AT$7:$AT$500="Block"))+SUMPRODUCT(--ISNUMBER(SEARCH(", "&amp;$B30&amp;", ",", "&amp;'Quà cảm ơn'!$B$7:$B$500&amp;", ")),--('Quà cảm ơn'!$AT$7:$AT$500="Block"))+SUMPRODUCT(--ISNUMBER(SEARCH(", "&amp;$B30&amp;", ",", "&amp;'Trang chủ'!$B$7:$B$500&amp;", ")),--('Trang chủ'!$AT$7:$AT$500="Block"))+SUMPRODUCT(--ISNUMBER(SEARCH(", "&amp;$B30&amp;", ",", "&amp;'Thông báo'!$B$7:$B$500&amp;", ")),--('Thông báo'!$AT$7:$AT$500="Block"))+SUMPRODUCT(--ISNUMBER(SEARCH(", "&amp;$B30&amp;", ",", "&amp;'Đăng tin &amp; Quản lý tin'!$B$7:$B$500&amp;", ")),--('Đăng tin &amp; Quản lý tin'!$AT$7:$AT$500="Block"))+SUMPRODUCT(--ISNUMBER(SEARCH(", "&amp;$B30&amp;", ",", "&amp;'Trust &amp; Safety'!$B$7:$B$500&amp;", ")),--('Trust &amp; Safety'!$AT$7:$AT$500="Block"))+SUMPRODUCT(--ISNUMBER(SEARCH(", "&amp;$B30&amp;", ",", "&amp;'Tài khoản &amp; Hồ sơ'!$B$7:$B$500&amp;", ")),--('Tài khoản &amp; Hồ sơ'!$AT$7:$AT$500="Block"))</f>
        <v>0</v>
      </c>
      <c r="J30" s="51" t="n">
        <f aca="false">SUMPRODUCT(--ISNUMBER(SEARCH(", "&amp;$B30&amp;", ",", "&amp;'Hoạt động (Đơn của tôi)'!$B$7:$B$500&amp;", ")),--('Hoạt động (Đơn của tôi)'!$AT$7:$AT$500="N/A"))+SUMPRODUCT(--ISNUMBER(SEARCH(", "&amp;$B30&amp;", ",", "&amp;'Ghép nối'!$B$7:$B$500&amp;", ")),--('Ghép nối'!$AT$7:$AT$500="N/A"))+SUMPRODUCT(--ISNUMBER(SEARCH(", "&amp;$B30&amp;", ",", "&amp;'Huỷ đơn - Huỷ nhận đơn'!$B$7:$B$500&amp;", ")),--('Huỷ đơn - Huỷ nhận đơn'!$AT$7:$AT$500="N/A"))+SUMPRODUCT(--ISNUMBER(SEARCH(", "&amp;$B30&amp;", ",", "&amp;'Giao nhận &amp; Theo dõi đơn'!$B$7:$B$500&amp;", ")),--('Giao nhận &amp; Theo dõi đơn'!$AT$7:$AT$500="N/A"))+SUMPRODUCT(--ISNUMBER(SEARCH(", "&amp;$B30&amp;", ",", "&amp;'Bảng tin &amp; Chi tiết tin'!$B$7:$B$500&amp;", ")),--('Bảng tin &amp; Chi tiết tin'!$AT$7:$AT$500="N/A"))+SUMPRODUCT(--ISNUMBER(SEARCH(", "&amp;$B30&amp;", ",", "&amp;'Quà cảm ơn'!$B$7:$B$500&amp;", ")),--('Quà cảm ơn'!$AT$7:$AT$500="N/A"))+SUMPRODUCT(--ISNUMBER(SEARCH(", "&amp;$B30&amp;", ",", "&amp;'Trang chủ'!$B$7:$B$500&amp;", ")),--('Trang chủ'!$AT$7:$AT$500="N/A"))+SUMPRODUCT(--ISNUMBER(SEARCH(", "&amp;$B30&amp;", ",", "&amp;'Thông báo'!$B$7:$B$500&amp;", ")),--('Thông báo'!$AT$7:$AT$500="N/A"))+SUMPRODUCT(--ISNUMBER(SEARCH(", "&amp;$B30&amp;", ",", "&amp;'Đăng tin &amp; Quản lý tin'!$B$7:$B$500&amp;", ")),--('Đăng tin &amp; Quản lý tin'!$AT$7:$AT$500="N/A"))+SUMPRODUCT(--ISNUMBER(SEARCH(", "&amp;$B30&amp;", ",", "&amp;'Trust &amp; Safety'!$B$7:$B$500&amp;", ")),--('Trust &amp; Safety'!$AT$7:$AT$500="N/A"))+SUMPRODUCT(--ISNUMBER(SEARCH(", "&amp;$B30&amp;", ",", "&amp;'Tài khoản &amp; Hồ sơ'!$B$7:$B$500&amp;", ")),--('Tài khoản &amp; Hồ sơ'!$AT$7:$AT$500="N/A"))</f>
        <v>0</v>
      </c>
      <c r="K30" s="52" t="n">
        <f aca="false">IFERROR(F30/E30,0)</f>
        <v>0</v>
      </c>
      <c r="L30" s="123" t="str">
        <f aca="false">IF(E30=0,"Chưa có TC (gap)",IF(H30&gt;0,"Có lỗi (Fail)",IF(I30&gt;0,"Bị block",IF(F30&lt;E30,"Đang test",IF(G30=0,"Không áp dụng (N/A)","Đã test xong")))))</f>
        <v>Đang test</v>
      </c>
      <c r="AB30" s="1" t="s">
        <v>424</v>
      </c>
    </row>
    <row r="31" customFormat="false" ht="15.75" hidden="false" customHeight="true" outlineLevel="0" collapsed="false">
      <c r="B31" s="175" t="s">
        <v>495</v>
      </c>
      <c r="C31" s="176" t="s">
        <v>496</v>
      </c>
      <c r="D31" s="123" t="s">
        <v>497</v>
      </c>
      <c r="E31" s="51" t="n">
        <f aca="false">SUMPRODUCT(--ISNUMBER(SEARCH(", "&amp;$B31&amp;", ",", "&amp;'Hoạt động (Đơn của tôi)'!$B$7:$B$500&amp;", ")))+SUMPRODUCT(--ISNUMBER(SEARCH(", "&amp;$B31&amp;", ",", "&amp;'Ghép nối'!$B$7:$B$500&amp;", ")))+SUMPRODUCT(--ISNUMBER(SEARCH(", "&amp;$B31&amp;", ",", "&amp;'Huỷ đơn - Huỷ nhận đơn'!$B$7:$B$500&amp;", ")))+SUMPRODUCT(--ISNUMBER(SEARCH(", "&amp;$B31&amp;", ",", "&amp;'Giao nhận &amp; Theo dõi đơn'!$B$7:$B$500&amp;", ")))+SUMPRODUCT(--ISNUMBER(SEARCH(", "&amp;$B31&amp;", ",", "&amp;'Bảng tin &amp; Chi tiết tin'!$B$7:$B$500&amp;", ")))+SUMPRODUCT(--ISNUMBER(SEARCH(", "&amp;$B31&amp;", ",", "&amp;'Quà cảm ơn'!$B$7:$B$500&amp;", ")))+SUMPRODUCT(--ISNUMBER(SEARCH(", "&amp;$B31&amp;", ",", "&amp;'Trang chủ'!$B$7:$B$500&amp;", ")))+SUMPRODUCT(--ISNUMBER(SEARCH(", "&amp;$B31&amp;", ",", "&amp;'Thông báo'!$B$7:$B$500&amp;", ")))+SUMPRODUCT(--ISNUMBER(SEARCH(", "&amp;$B31&amp;", ",", "&amp;'Đăng tin &amp; Quản lý tin'!$B$7:$B$500&amp;", ")))+SUMPRODUCT(--ISNUMBER(SEARCH(", "&amp;$B31&amp;", ",", "&amp;'Trust &amp; Safety'!$B$7:$B$500&amp;", ")))+SUMPRODUCT(--ISNUMBER(SEARCH(", "&amp;$B31&amp;", ",", "&amp;'Tài khoản &amp; Hồ sơ'!$B$7:$B$500&amp;", ")))</f>
        <v>3</v>
      </c>
      <c r="F31" s="51" t="n">
        <f aca="false">SUMPRODUCT(--ISNUMBER(SEARCH(", "&amp;$B31&amp;", ",", "&amp;'Hoạt động (Đơn của tôi)'!$B$7:$B$500&amp;", ")),--('Hoạt động (Đơn của tôi)'!$AT$7:$AT$500&lt;&gt;""))+SUMPRODUCT(--ISNUMBER(SEARCH(", "&amp;$B31&amp;", ",", "&amp;'Ghép nối'!$B$7:$B$500&amp;", ")),--('Ghép nối'!$AT$7:$AT$500&lt;&gt;""))+SUMPRODUCT(--ISNUMBER(SEARCH(", "&amp;$B31&amp;", ",", "&amp;'Huỷ đơn - Huỷ nhận đơn'!$B$7:$B$500&amp;", ")),--('Huỷ đơn - Huỷ nhận đơn'!$AT$7:$AT$500&lt;&gt;""))+SUMPRODUCT(--ISNUMBER(SEARCH(", "&amp;$B31&amp;", ",", "&amp;'Giao nhận &amp; Theo dõi đơn'!$B$7:$B$500&amp;", ")),--('Giao nhận &amp; Theo dõi đơn'!$AT$7:$AT$500&lt;&gt;""))+SUMPRODUCT(--ISNUMBER(SEARCH(", "&amp;$B31&amp;", ",", "&amp;'Bảng tin &amp; Chi tiết tin'!$B$7:$B$500&amp;", ")),--('Bảng tin &amp; Chi tiết tin'!$AT$7:$AT$500&lt;&gt;""))+SUMPRODUCT(--ISNUMBER(SEARCH(", "&amp;$B31&amp;", ",", "&amp;'Quà cảm ơn'!$B$7:$B$500&amp;", ")),--('Quà cảm ơn'!$AT$7:$AT$500&lt;&gt;""))+SUMPRODUCT(--ISNUMBER(SEARCH(", "&amp;$B31&amp;", ",", "&amp;'Trang chủ'!$B$7:$B$500&amp;", ")),--('Trang chủ'!$AT$7:$AT$500&lt;&gt;""))+SUMPRODUCT(--ISNUMBER(SEARCH(", "&amp;$B31&amp;", ",", "&amp;'Thông báo'!$B$7:$B$500&amp;", ")),--('Thông báo'!$AT$7:$AT$500&lt;&gt;""))+SUMPRODUCT(--ISNUMBER(SEARCH(", "&amp;$B31&amp;", ",", "&amp;'Đăng tin &amp; Quản lý tin'!$B$7:$B$500&amp;", ")),--('Đăng tin &amp; Quản lý tin'!$AT$7:$AT$500&lt;&gt;""))+SUMPRODUCT(--ISNUMBER(SEARCH(", "&amp;$B31&amp;", ",", "&amp;'Trust &amp; Safety'!$B$7:$B$500&amp;", ")),--('Trust &amp; Safety'!$AT$7:$AT$500&lt;&gt;""))+SUMPRODUCT(--ISNUMBER(SEARCH(", "&amp;$B31&amp;", ",", "&amp;'Tài khoản &amp; Hồ sơ'!$B$7:$B$500&amp;", ")),--('Tài khoản &amp; Hồ sơ'!$AT$7:$AT$500&lt;&gt;""))</f>
        <v>0</v>
      </c>
      <c r="G31" s="51" t="n">
        <f aca="false">SUMPRODUCT(--ISNUMBER(SEARCH(", "&amp;$B31&amp;", ",", "&amp;'Hoạt động (Đơn của tôi)'!$B$7:$B$500&amp;", ")),--('Hoạt động (Đơn của tôi)'!$AT$7:$AT$500="Pass"))+SUMPRODUCT(--ISNUMBER(SEARCH(", "&amp;$B31&amp;", ",", "&amp;'Ghép nối'!$B$7:$B$500&amp;", ")),--('Ghép nối'!$AT$7:$AT$500="Pass"))+SUMPRODUCT(--ISNUMBER(SEARCH(", "&amp;$B31&amp;", ",", "&amp;'Huỷ đơn - Huỷ nhận đơn'!$B$7:$B$500&amp;", ")),--('Huỷ đơn - Huỷ nhận đơn'!$AT$7:$AT$500="Pass"))+SUMPRODUCT(--ISNUMBER(SEARCH(", "&amp;$B31&amp;", ",", "&amp;'Giao nhận &amp; Theo dõi đơn'!$B$7:$B$500&amp;", ")),--('Giao nhận &amp; Theo dõi đơn'!$AT$7:$AT$500="Pass"))+SUMPRODUCT(--ISNUMBER(SEARCH(", "&amp;$B31&amp;", ",", "&amp;'Bảng tin &amp; Chi tiết tin'!$B$7:$B$500&amp;", ")),--('Bảng tin &amp; Chi tiết tin'!$AT$7:$AT$500="Pass"))+SUMPRODUCT(--ISNUMBER(SEARCH(", "&amp;$B31&amp;", ",", "&amp;'Quà cảm ơn'!$B$7:$B$500&amp;", ")),--('Quà cảm ơn'!$AT$7:$AT$500="Pass"))+SUMPRODUCT(--ISNUMBER(SEARCH(", "&amp;$B31&amp;", ",", "&amp;'Trang chủ'!$B$7:$B$500&amp;", ")),--('Trang chủ'!$AT$7:$AT$500="Pass"))+SUMPRODUCT(--ISNUMBER(SEARCH(", "&amp;$B31&amp;", ",", "&amp;'Thông báo'!$B$7:$B$500&amp;", ")),--('Thông báo'!$AT$7:$AT$500="Pass"))+SUMPRODUCT(--ISNUMBER(SEARCH(", "&amp;$B31&amp;", ",", "&amp;'Đăng tin &amp; Quản lý tin'!$B$7:$B$500&amp;", ")),--('Đăng tin &amp; Quản lý tin'!$AT$7:$AT$500="Pass"))+SUMPRODUCT(--ISNUMBER(SEARCH(", "&amp;$B31&amp;", ",", "&amp;'Trust &amp; Safety'!$B$7:$B$500&amp;", ")),--('Trust &amp; Safety'!$AT$7:$AT$500="Pass"))+SUMPRODUCT(--ISNUMBER(SEARCH(", "&amp;$B31&amp;", ",", "&amp;'Tài khoản &amp; Hồ sơ'!$B$7:$B$500&amp;", ")),--('Tài khoản &amp; Hồ sơ'!$AT$7:$AT$500="Pass"))</f>
        <v>0</v>
      </c>
      <c r="H31" s="51" t="n">
        <f aca="false">SUMPRODUCT(--ISNUMBER(SEARCH(", "&amp;$B31&amp;", ",", "&amp;'Hoạt động (Đơn của tôi)'!$B$7:$B$500&amp;", ")),--('Hoạt động (Đơn của tôi)'!$AT$7:$AT$500="Fail"))+SUMPRODUCT(--ISNUMBER(SEARCH(", "&amp;$B31&amp;", ",", "&amp;'Ghép nối'!$B$7:$B$500&amp;", ")),--('Ghép nối'!$AT$7:$AT$500="Fail"))+SUMPRODUCT(--ISNUMBER(SEARCH(", "&amp;$B31&amp;", ",", "&amp;'Huỷ đơn - Huỷ nhận đơn'!$B$7:$B$500&amp;", ")),--('Huỷ đơn - Huỷ nhận đơn'!$AT$7:$AT$500="Fail"))+SUMPRODUCT(--ISNUMBER(SEARCH(", "&amp;$B31&amp;", ",", "&amp;'Giao nhận &amp; Theo dõi đơn'!$B$7:$B$500&amp;", ")),--('Giao nhận &amp; Theo dõi đơn'!$AT$7:$AT$500="Fail"))+SUMPRODUCT(--ISNUMBER(SEARCH(", "&amp;$B31&amp;", ",", "&amp;'Bảng tin &amp; Chi tiết tin'!$B$7:$B$500&amp;", ")),--('Bảng tin &amp; Chi tiết tin'!$AT$7:$AT$500="Fail"))+SUMPRODUCT(--ISNUMBER(SEARCH(", "&amp;$B31&amp;", ",", "&amp;'Quà cảm ơn'!$B$7:$B$500&amp;", ")),--('Quà cảm ơn'!$AT$7:$AT$500="Fail"))+SUMPRODUCT(--ISNUMBER(SEARCH(", "&amp;$B31&amp;", ",", "&amp;'Trang chủ'!$B$7:$B$500&amp;", ")),--('Trang chủ'!$AT$7:$AT$500="Fail"))+SUMPRODUCT(--ISNUMBER(SEARCH(", "&amp;$B31&amp;", ",", "&amp;'Thông báo'!$B$7:$B$500&amp;", ")),--('Thông báo'!$AT$7:$AT$500="Fail"))+SUMPRODUCT(--ISNUMBER(SEARCH(", "&amp;$B31&amp;", ",", "&amp;'Đăng tin &amp; Quản lý tin'!$B$7:$B$500&amp;", ")),--('Đăng tin &amp; Quản lý tin'!$AT$7:$AT$500="Fail"))+SUMPRODUCT(--ISNUMBER(SEARCH(", "&amp;$B31&amp;", ",", "&amp;'Trust &amp; Safety'!$B$7:$B$500&amp;", ")),--('Trust &amp; Safety'!$AT$7:$AT$500="Fail"))+SUMPRODUCT(--ISNUMBER(SEARCH(", "&amp;$B31&amp;", ",", "&amp;'Tài khoản &amp; Hồ sơ'!$B$7:$B$500&amp;", ")),--('Tài khoản &amp; Hồ sơ'!$AT$7:$AT$500="Fail"))</f>
        <v>0</v>
      </c>
      <c r="I31" s="51" t="n">
        <f aca="false">SUMPRODUCT(--ISNUMBER(SEARCH(", "&amp;$B31&amp;", ",", "&amp;'Hoạt động (Đơn của tôi)'!$B$7:$B$500&amp;", ")),--('Hoạt động (Đơn của tôi)'!$AT$7:$AT$500="Block"))+SUMPRODUCT(--ISNUMBER(SEARCH(", "&amp;$B31&amp;", ",", "&amp;'Ghép nối'!$B$7:$B$500&amp;", ")),--('Ghép nối'!$AT$7:$AT$500="Block"))+SUMPRODUCT(--ISNUMBER(SEARCH(", "&amp;$B31&amp;", ",", "&amp;'Huỷ đơn - Huỷ nhận đơn'!$B$7:$B$500&amp;", ")),--('Huỷ đơn - Huỷ nhận đơn'!$AT$7:$AT$500="Block"))+SUMPRODUCT(--ISNUMBER(SEARCH(", "&amp;$B31&amp;", ",", "&amp;'Giao nhận &amp; Theo dõi đơn'!$B$7:$B$500&amp;", ")),--('Giao nhận &amp; Theo dõi đơn'!$AT$7:$AT$500="Block"))+SUMPRODUCT(--ISNUMBER(SEARCH(", "&amp;$B31&amp;", ",", "&amp;'Bảng tin &amp; Chi tiết tin'!$B$7:$B$500&amp;", ")),--('Bảng tin &amp; Chi tiết tin'!$AT$7:$AT$500="Block"))+SUMPRODUCT(--ISNUMBER(SEARCH(", "&amp;$B31&amp;", ",", "&amp;'Quà cảm ơn'!$B$7:$B$500&amp;", ")),--('Quà cảm ơn'!$AT$7:$AT$500="Block"))+SUMPRODUCT(--ISNUMBER(SEARCH(", "&amp;$B31&amp;", ",", "&amp;'Trang chủ'!$B$7:$B$500&amp;", ")),--('Trang chủ'!$AT$7:$AT$500="Block"))+SUMPRODUCT(--ISNUMBER(SEARCH(", "&amp;$B31&amp;", ",", "&amp;'Thông báo'!$B$7:$B$500&amp;", ")),--('Thông báo'!$AT$7:$AT$500="Block"))+SUMPRODUCT(--ISNUMBER(SEARCH(", "&amp;$B31&amp;", ",", "&amp;'Đăng tin &amp; Quản lý tin'!$B$7:$B$500&amp;", ")),--('Đăng tin &amp; Quản lý tin'!$AT$7:$AT$500="Block"))+SUMPRODUCT(--ISNUMBER(SEARCH(", "&amp;$B31&amp;", ",", "&amp;'Trust &amp; Safety'!$B$7:$B$500&amp;", ")),--('Trust &amp; Safety'!$AT$7:$AT$500="Block"))+SUMPRODUCT(--ISNUMBER(SEARCH(", "&amp;$B31&amp;", ",", "&amp;'Tài khoản &amp; Hồ sơ'!$B$7:$B$500&amp;", ")),--('Tài khoản &amp; Hồ sơ'!$AT$7:$AT$500="Block"))</f>
        <v>0</v>
      </c>
      <c r="J31" s="51" t="n">
        <f aca="false">SUMPRODUCT(--ISNUMBER(SEARCH(", "&amp;$B31&amp;", ",", "&amp;'Hoạt động (Đơn của tôi)'!$B$7:$B$500&amp;", ")),--('Hoạt động (Đơn của tôi)'!$AT$7:$AT$500="N/A"))+SUMPRODUCT(--ISNUMBER(SEARCH(", "&amp;$B31&amp;", ",", "&amp;'Ghép nối'!$B$7:$B$500&amp;", ")),--('Ghép nối'!$AT$7:$AT$500="N/A"))+SUMPRODUCT(--ISNUMBER(SEARCH(", "&amp;$B31&amp;", ",", "&amp;'Huỷ đơn - Huỷ nhận đơn'!$B$7:$B$500&amp;", ")),--('Huỷ đơn - Huỷ nhận đơn'!$AT$7:$AT$500="N/A"))+SUMPRODUCT(--ISNUMBER(SEARCH(", "&amp;$B31&amp;", ",", "&amp;'Giao nhận &amp; Theo dõi đơn'!$B$7:$B$500&amp;", ")),--('Giao nhận &amp; Theo dõi đơn'!$AT$7:$AT$500="N/A"))+SUMPRODUCT(--ISNUMBER(SEARCH(", "&amp;$B31&amp;", ",", "&amp;'Bảng tin &amp; Chi tiết tin'!$B$7:$B$500&amp;", ")),--('Bảng tin &amp; Chi tiết tin'!$AT$7:$AT$500="N/A"))+SUMPRODUCT(--ISNUMBER(SEARCH(", "&amp;$B31&amp;", ",", "&amp;'Quà cảm ơn'!$B$7:$B$500&amp;", ")),--('Quà cảm ơn'!$AT$7:$AT$500="N/A"))+SUMPRODUCT(--ISNUMBER(SEARCH(", "&amp;$B31&amp;", ",", "&amp;'Trang chủ'!$B$7:$B$500&amp;", ")),--('Trang chủ'!$AT$7:$AT$500="N/A"))+SUMPRODUCT(--ISNUMBER(SEARCH(", "&amp;$B31&amp;", ",", "&amp;'Thông báo'!$B$7:$B$500&amp;", ")),--('Thông báo'!$AT$7:$AT$500="N/A"))+SUMPRODUCT(--ISNUMBER(SEARCH(", "&amp;$B31&amp;", ",", "&amp;'Đăng tin &amp; Quản lý tin'!$B$7:$B$500&amp;", ")),--('Đăng tin &amp; Quản lý tin'!$AT$7:$AT$500="N/A"))+SUMPRODUCT(--ISNUMBER(SEARCH(", "&amp;$B31&amp;", ",", "&amp;'Trust &amp; Safety'!$B$7:$B$500&amp;", ")),--('Trust &amp; Safety'!$AT$7:$AT$500="N/A"))+SUMPRODUCT(--ISNUMBER(SEARCH(", "&amp;$B31&amp;", ",", "&amp;'Tài khoản &amp; Hồ sơ'!$B$7:$B$500&amp;", ")),--('Tài khoản &amp; Hồ sơ'!$AT$7:$AT$500="N/A"))</f>
        <v>0</v>
      </c>
      <c r="K31" s="52" t="n">
        <f aca="false">IFERROR(F31/E31,0)</f>
        <v>0</v>
      </c>
      <c r="L31" s="123" t="str">
        <f aca="false">IF(E31=0,"Chưa có TC (gap)",IF(H31&gt;0,"Có lỗi (Fail)",IF(I31&gt;0,"Bị block",IF(F31&lt;E31,"Đang test",IF(G31=0,"Không áp dụng (N/A)","Đã test xong")))))</f>
        <v>Đang test</v>
      </c>
      <c r="AB31" s="1" t="s">
        <v>424</v>
      </c>
    </row>
    <row r="32" customFormat="false" ht="15.75" hidden="false" customHeight="true" outlineLevel="0" collapsed="false">
      <c r="B32" s="175" t="s">
        <v>498</v>
      </c>
      <c r="C32" s="176" t="s">
        <v>499</v>
      </c>
      <c r="D32" s="123" t="s">
        <v>500</v>
      </c>
      <c r="E32" s="51" t="n">
        <f aca="false">SUMPRODUCT(--ISNUMBER(SEARCH(", "&amp;$B32&amp;", ",", "&amp;'Hoạt động (Đơn của tôi)'!$B$7:$B$500&amp;", ")))+SUMPRODUCT(--ISNUMBER(SEARCH(", "&amp;$B32&amp;", ",", "&amp;'Ghép nối'!$B$7:$B$500&amp;", ")))+SUMPRODUCT(--ISNUMBER(SEARCH(", "&amp;$B32&amp;", ",", "&amp;'Huỷ đơn - Huỷ nhận đơn'!$B$7:$B$500&amp;", ")))+SUMPRODUCT(--ISNUMBER(SEARCH(", "&amp;$B32&amp;", ",", "&amp;'Giao nhận &amp; Theo dõi đơn'!$B$7:$B$500&amp;", ")))+SUMPRODUCT(--ISNUMBER(SEARCH(", "&amp;$B32&amp;", ",", "&amp;'Bảng tin &amp; Chi tiết tin'!$B$7:$B$500&amp;", ")))+SUMPRODUCT(--ISNUMBER(SEARCH(", "&amp;$B32&amp;", ",", "&amp;'Quà cảm ơn'!$B$7:$B$500&amp;", ")))+SUMPRODUCT(--ISNUMBER(SEARCH(", "&amp;$B32&amp;", ",", "&amp;'Trang chủ'!$B$7:$B$500&amp;", ")))+SUMPRODUCT(--ISNUMBER(SEARCH(", "&amp;$B32&amp;", ",", "&amp;'Thông báo'!$B$7:$B$500&amp;", ")))+SUMPRODUCT(--ISNUMBER(SEARCH(", "&amp;$B32&amp;", ",", "&amp;'Đăng tin &amp; Quản lý tin'!$B$7:$B$500&amp;", ")))+SUMPRODUCT(--ISNUMBER(SEARCH(", "&amp;$B32&amp;", ",", "&amp;'Trust &amp; Safety'!$B$7:$B$500&amp;", ")))+SUMPRODUCT(--ISNUMBER(SEARCH(", "&amp;$B32&amp;", ",", "&amp;'Tài khoản &amp; Hồ sơ'!$B$7:$B$500&amp;", ")))</f>
        <v>3</v>
      </c>
      <c r="F32" s="51" t="n">
        <f aca="false">SUMPRODUCT(--ISNUMBER(SEARCH(", "&amp;$B32&amp;", ",", "&amp;'Hoạt động (Đơn của tôi)'!$B$7:$B$500&amp;", ")),--('Hoạt động (Đơn của tôi)'!$AT$7:$AT$500&lt;&gt;""))+SUMPRODUCT(--ISNUMBER(SEARCH(", "&amp;$B32&amp;", ",", "&amp;'Ghép nối'!$B$7:$B$500&amp;", ")),--('Ghép nối'!$AT$7:$AT$500&lt;&gt;""))+SUMPRODUCT(--ISNUMBER(SEARCH(", "&amp;$B32&amp;", ",", "&amp;'Huỷ đơn - Huỷ nhận đơn'!$B$7:$B$500&amp;", ")),--('Huỷ đơn - Huỷ nhận đơn'!$AT$7:$AT$500&lt;&gt;""))+SUMPRODUCT(--ISNUMBER(SEARCH(", "&amp;$B32&amp;", ",", "&amp;'Giao nhận &amp; Theo dõi đơn'!$B$7:$B$500&amp;", ")),--('Giao nhận &amp; Theo dõi đơn'!$AT$7:$AT$500&lt;&gt;""))+SUMPRODUCT(--ISNUMBER(SEARCH(", "&amp;$B32&amp;", ",", "&amp;'Bảng tin &amp; Chi tiết tin'!$B$7:$B$500&amp;", ")),--('Bảng tin &amp; Chi tiết tin'!$AT$7:$AT$500&lt;&gt;""))+SUMPRODUCT(--ISNUMBER(SEARCH(", "&amp;$B32&amp;", ",", "&amp;'Quà cảm ơn'!$B$7:$B$500&amp;", ")),--('Quà cảm ơn'!$AT$7:$AT$500&lt;&gt;""))+SUMPRODUCT(--ISNUMBER(SEARCH(", "&amp;$B32&amp;", ",", "&amp;'Trang chủ'!$B$7:$B$500&amp;", ")),--('Trang chủ'!$AT$7:$AT$500&lt;&gt;""))+SUMPRODUCT(--ISNUMBER(SEARCH(", "&amp;$B32&amp;", ",", "&amp;'Thông báo'!$B$7:$B$500&amp;", ")),--('Thông báo'!$AT$7:$AT$500&lt;&gt;""))+SUMPRODUCT(--ISNUMBER(SEARCH(", "&amp;$B32&amp;", ",", "&amp;'Đăng tin &amp; Quản lý tin'!$B$7:$B$500&amp;", ")),--('Đăng tin &amp; Quản lý tin'!$AT$7:$AT$500&lt;&gt;""))+SUMPRODUCT(--ISNUMBER(SEARCH(", "&amp;$B32&amp;", ",", "&amp;'Trust &amp; Safety'!$B$7:$B$500&amp;", ")),--('Trust &amp; Safety'!$AT$7:$AT$500&lt;&gt;""))+SUMPRODUCT(--ISNUMBER(SEARCH(", "&amp;$B32&amp;", ",", "&amp;'Tài khoản &amp; Hồ sơ'!$B$7:$B$500&amp;", ")),--('Tài khoản &amp; Hồ sơ'!$AT$7:$AT$500&lt;&gt;""))</f>
        <v>0</v>
      </c>
      <c r="G32" s="51" t="n">
        <f aca="false">SUMPRODUCT(--ISNUMBER(SEARCH(", "&amp;$B32&amp;", ",", "&amp;'Hoạt động (Đơn của tôi)'!$B$7:$B$500&amp;", ")),--('Hoạt động (Đơn của tôi)'!$AT$7:$AT$500="Pass"))+SUMPRODUCT(--ISNUMBER(SEARCH(", "&amp;$B32&amp;", ",", "&amp;'Ghép nối'!$B$7:$B$500&amp;", ")),--('Ghép nối'!$AT$7:$AT$500="Pass"))+SUMPRODUCT(--ISNUMBER(SEARCH(", "&amp;$B32&amp;", ",", "&amp;'Huỷ đơn - Huỷ nhận đơn'!$B$7:$B$500&amp;", ")),--('Huỷ đơn - Huỷ nhận đơn'!$AT$7:$AT$500="Pass"))+SUMPRODUCT(--ISNUMBER(SEARCH(", "&amp;$B32&amp;", ",", "&amp;'Giao nhận &amp; Theo dõi đơn'!$B$7:$B$500&amp;", ")),--('Giao nhận &amp; Theo dõi đơn'!$AT$7:$AT$500="Pass"))+SUMPRODUCT(--ISNUMBER(SEARCH(", "&amp;$B32&amp;", ",", "&amp;'Bảng tin &amp; Chi tiết tin'!$B$7:$B$500&amp;", ")),--('Bảng tin &amp; Chi tiết tin'!$AT$7:$AT$500="Pass"))+SUMPRODUCT(--ISNUMBER(SEARCH(", "&amp;$B32&amp;", ",", "&amp;'Quà cảm ơn'!$B$7:$B$500&amp;", ")),--('Quà cảm ơn'!$AT$7:$AT$500="Pass"))+SUMPRODUCT(--ISNUMBER(SEARCH(", "&amp;$B32&amp;", ",", "&amp;'Trang chủ'!$B$7:$B$500&amp;", ")),--('Trang chủ'!$AT$7:$AT$500="Pass"))+SUMPRODUCT(--ISNUMBER(SEARCH(", "&amp;$B32&amp;", ",", "&amp;'Thông báo'!$B$7:$B$500&amp;", ")),--('Thông báo'!$AT$7:$AT$500="Pass"))+SUMPRODUCT(--ISNUMBER(SEARCH(", "&amp;$B32&amp;", ",", "&amp;'Đăng tin &amp; Quản lý tin'!$B$7:$B$500&amp;", ")),--('Đăng tin &amp; Quản lý tin'!$AT$7:$AT$500="Pass"))+SUMPRODUCT(--ISNUMBER(SEARCH(", "&amp;$B32&amp;", ",", "&amp;'Trust &amp; Safety'!$B$7:$B$500&amp;", ")),--('Trust &amp; Safety'!$AT$7:$AT$500="Pass"))+SUMPRODUCT(--ISNUMBER(SEARCH(", "&amp;$B32&amp;", ",", "&amp;'Tài khoản &amp; Hồ sơ'!$B$7:$B$500&amp;", ")),--('Tài khoản &amp; Hồ sơ'!$AT$7:$AT$500="Pass"))</f>
        <v>0</v>
      </c>
      <c r="H32" s="51" t="n">
        <f aca="false">SUMPRODUCT(--ISNUMBER(SEARCH(", "&amp;$B32&amp;", ",", "&amp;'Hoạt động (Đơn của tôi)'!$B$7:$B$500&amp;", ")),--('Hoạt động (Đơn của tôi)'!$AT$7:$AT$500="Fail"))+SUMPRODUCT(--ISNUMBER(SEARCH(", "&amp;$B32&amp;", ",", "&amp;'Ghép nối'!$B$7:$B$500&amp;", ")),--('Ghép nối'!$AT$7:$AT$500="Fail"))+SUMPRODUCT(--ISNUMBER(SEARCH(", "&amp;$B32&amp;", ",", "&amp;'Huỷ đơn - Huỷ nhận đơn'!$B$7:$B$500&amp;", ")),--('Huỷ đơn - Huỷ nhận đơn'!$AT$7:$AT$500="Fail"))+SUMPRODUCT(--ISNUMBER(SEARCH(", "&amp;$B32&amp;", ",", "&amp;'Giao nhận &amp; Theo dõi đơn'!$B$7:$B$500&amp;", ")),--('Giao nhận &amp; Theo dõi đơn'!$AT$7:$AT$500="Fail"))+SUMPRODUCT(--ISNUMBER(SEARCH(", "&amp;$B32&amp;", ",", "&amp;'Bảng tin &amp; Chi tiết tin'!$B$7:$B$500&amp;", ")),--('Bảng tin &amp; Chi tiết tin'!$AT$7:$AT$500="Fail"))+SUMPRODUCT(--ISNUMBER(SEARCH(", "&amp;$B32&amp;", ",", "&amp;'Quà cảm ơn'!$B$7:$B$500&amp;", ")),--('Quà cảm ơn'!$AT$7:$AT$500="Fail"))+SUMPRODUCT(--ISNUMBER(SEARCH(", "&amp;$B32&amp;", ",", "&amp;'Trang chủ'!$B$7:$B$500&amp;", ")),--('Trang chủ'!$AT$7:$AT$500="Fail"))+SUMPRODUCT(--ISNUMBER(SEARCH(", "&amp;$B32&amp;", ",", "&amp;'Thông báo'!$B$7:$B$500&amp;", ")),--('Thông báo'!$AT$7:$AT$500="Fail"))+SUMPRODUCT(--ISNUMBER(SEARCH(", "&amp;$B32&amp;", ",", "&amp;'Đăng tin &amp; Quản lý tin'!$B$7:$B$500&amp;", ")),--('Đăng tin &amp; Quản lý tin'!$AT$7:$AT$500="Fail"))+SUMPRODUCT(--ISNUMBER(SEARCH(", "&amp;$B32&amp;", ",", "&amp;'Trust &amp; Safety'!$B$7:$B$500&amp;", ")),--('Trust &amp; Safety'!$AT$7:$AT$500="Fail"))+SUMPRODUCT(--ISNUMBER(SEARCH(", "&amp;$B32&amp;", ",", "&amp;'Tài khoản &amp; Hồ sơ'!$B$7:$B$500&amp;", ")),--('Tài khoản &amp; Hồ sơ'!$AT$7:$AT$500="Fail"))</f>
        <v>0</v>
      </c>
      <c r="I32" s="51" t="n">
        <f aca="false">SUMPRODUCT(--ISNUMBER(SEARCH(", "&amp;$B32&amp;", ",", "&amp;'Hoạt động (Đơn của tôi)'!$B$7:$B$500&amp;", ")),--('Hoạt động (Đơn của tôi)'!$AT$7:$AT$500="Block"))+SUMPRODUCT(--ISNUMBER(SEARCH(", "&amp;$B32&amp;", ",", "&amp;'Ghép nối'!$B$7:$B$500&amp;", ")),--('Ghép nối'!$AT$7:$AT$500="Block"))+SUMPRODUCT(--ISNUMBER(SEARCH(", "&amp;$B32&amp;", ",", "&amp;'Huỷ đơn - Huỷ nhận đơn'!$B$7:$B$500&amp;", ")),--('Huỷ đơn - Huỷ nhận đơn'!$AT$7:$AT$500="Block"))+SUMPRODUCT(--ISNUMBER(SEARCH(", "&amp;$B32&amp;", ",", "&amp;'Giao nhận &amp; Theo dõi đơn'!$B$7:$B$500&amp;", ")),--('Giao nhận &amp; Theo dõi đơn'!$AT$7:$AT$500="Block"))+SUMPRODUCT(--ISNUMBER(SEARCH(", "&amp;$B32&amp;", ",", "&amp;'Bảng tin &amp; Chi tiết tin'!$B$7:$B$500&amp;", ")),--('Bảng tin &amp; Chi tiết tin'!$AT$7:$AT$500="Block"))+SUMPRODUCT(--ISNUMBER(SEARCH(", "&amp;$B32&amp;", ",", "&amp;'Quà cảm ơn'!$B$7:$B$500&amp;", ")),--('Quà cảm ơn'!$AT$7:$AT$500="Block"))+SUMPRODUCT(--ISNUMBER(SEARCH(", "&amp;$B32&amp;", ",", "&amp;'Trang chủ'!$B$7:$B$500&amp;", ")),--('Trang chủ'!$AT$7:$AT$500="Block"))+SUMPRODUCT(--ISNUMBER(SEARCH(", "&amp;$B32&amp;", ",", "&amp;'Thông báo'!$B$7:$B$500&amp;", ")),--('Thông báo'!$AT$7:$AT$500="Block"))+SUMPRODUCT(--ISNUMBER(SEARCH(", "&amp;$B32&amp;", ",", "&amp;'Đăng tin &amp; Quản lý tin'!$B$7:$B$500&amp;", ")),--('Đăng tin &amp; Quản lý tin'!$AT$7:$AT$500="Block"))+SUMPRODUCT(--ISNUMBER(SEARCH(", "&amp;$B32&amp;", ",", "&amp;'Trust &amp; Safety'!$B$7:$B$500&amp;", ")),--('Trust &amp; Safety'!$AT$7:$AT$500="Block"))+SUMPRODUCT(--ISNUMBER(SEARCH(", "&amp;$B32&amp;", ",", "&amp;'Tài khoản &amp; Hồ sơ'!$B$7:$B$500&amp;", ")),--('Tài khoản &amp; Hồ sơ'!$AT$7:$AT$500="Block"))</f>
        <v>0</v>
      </c>
      <c r="J32" s="51" t="n">
        <f aca="false">SUMPRODUCT(--ISNUMBER(SEARCH(", "&amp;$B32&amp;", ",", "&amp;'Hoạt động (Đơn của tôi)'!$B$7:$B$500&amp;", ")),--('Hoạt động (Đơn của tôi)'!$AT$7:$AT$500="N/A"))+SUMPRODUCT(--ISNUMBER(SEARCH(", "&amp;$B32&amp;", ",", "&amp;'Ghép nối'!$B$7:$B$500&amp;", ")),--('Ghép nối'!$AT$7:$AT$500="N/A"))+SUMPRODUCT(--ISNUMBER(SEARCH(", "&amp;$B32&amp;", ",", "&amp;'Huỷ đơn - Huỷ nhận đơn'!$B$7:$B$500&amp;", ")),--('Huỷ đơn - Huỷ nhận đơn'!$AT$7:$AT$500="N/A"))+SUMPRODUCT(--ISNUMBER(SEARCH(", "&amp;$B32&amp;", ",", "&amp;'Giao nhận &amp; Theo dõi đơn'!$B$7:$B$500&amp;", ")),--('Giao nhận &amp; Theo dõi đơn'!$AT$7:$AT$500="N/A"))+SUMPRODUCT(--ISNUMBER(SEARCH(", "&amp;$B32&amp;", ",", "&amp;'Bảng tin &amp; Chi tiết tin'!$B$7:$B$500&amp;", ")),--('Bảng tin &amp; Chi tiết tin'!$AT$7:$AT$500="N/A"))+SUMPRODUCT(--ISNUMBER(SEARCH(", "&amp;$B32&amp;", ",", "&amp;'Quà cảm ơn'!$B$7:$B$500&amp;", ")),--('Quà cảm ơn'!$AT$7:$AT$500="N/A"))+SUMPRODUCT(--ISNUMBER(SEARCH(", "&amp;$B32&amp;", ",", "&amp;'Trang chủ'!$B$7:$B$500&amp;", ")),--('Trang chủ'!$AT$7:$AT$500="N/A"))+SUMPRODUCT(--ISNUMBER(SEARCH(", "&amp;$B32&amp;", ",", "&amp;'Thông báo'!$B$7:$B$500&amp;", ")),--('Thông báo'!$AT$7:$AT$500="N/A"))+SUMPRODUCT(--ISNUMBER(SEARCH(", "&amp;$B32&amp;", ",", "&amp;'Đăng tin &amp; Quản lý tin'!$B$7:$B$500&amp;", ")),--('Đăng tin &amp; Quản lý tin'!$AT$7:$AT$500="N/A"))+SUMPRODUCT(--ISNUMBER(SEARCH(", "&amp;$B32&amp;", ",", "&amp;'Trust &amp; Safety'!$B$7:$B$500&amp;", ")),--('Trust &amp; Safety'!$AT$7:$AT$500="N/A"))+SUMPRODUCT(--ISNUMBER(SEARCH(", "&amp;$B32&amp;", ",", "&amp;'Tài khoản &amp; Hồ sơ'!$B$7:$B$500&amp;", ")),--('Tài khoản &amp; Hồ sơ'!$AT$7:$AT$500="N/A"))</f>
        <v>0</v>
      </c>
      <c r="K32" s="52" t="n">
        <f aca="false">IFERROR(F32/E32,0)</f>
        <v>0</v>
      </c>
      <c r="L32" s="123" t="str">
        <f aca="false">IF(E32=0,"Chưa có TC (gap)",IF(H32&gt;0,"Có lỗi (Fail)",IF(I32&gt;0,"Bị block",IF(F32&lt;E32,"Đang test",IF(G32=0,"Không áp dụng (N/A)","Đã test xong")))))</f>
        <v>Đang test</v>
      </c>
      <c r="AB32" s="1" t="s">
        <v>424</v>
      </c>
    </row>
    <row r="33" customFormat="false" ht="15.75" hidden="false" customHeight="true" outlineLevel="0" collapsed="false">
      <c r="B33" s="175" t="s">
        <v>501</v>
      </c>
      <c r="C33" s="176" t="s">
        <v>502</v>
      </c>
      <c r="D33" s="123" t="s">
        <v>503</v>
      </c>
      <c r="E33" s="51" t="n">
        <f aca="false">SUMPRODUCT(--ISNUMBER(SEARCH(", "&amp;$B33&amp;", ",", "&amp;'Hoạt động (Đơn của tôi)'!$B$7:$B$500&amp;", ")))+SUMPRODUCT(--ISNUMBER(SEARCH(", "&amp;$B33&amp;", ",", "&amp;'Ghép nối'!$B$7:$B$500&amp;", ")))+SUMPRODUCT(--ISNUMBER(SEARCH(", "&amp;$B33&amp;", ",", "&amp;'Huỷ đơn - Huỷ nhận đơn'!$B$7:$B$500&amp;", ")))+SUMPRODUCT(--ISNUMBER(SEARCH(", "&amp;$B33&amp;", ",", "&amp;'Giao nhận &amp; Theo dõi đơn'!$B$7:$B$500&amp;", ")))+SUMPRODUCT(--ISNUMBER(SEARCH(", "&amp;$B33&amp;", ",", "&amp;'Bảng tin &amp; Chi tiết tin'!$B$7:$B$500&amp;", ")))+SUMPRODUCT(--ISNUMBER(SEARCH(", "&amp;$B33&amp;", ",", "&amp;'Quà cảm ơn'!$B$7:$B$500&amp;", ")))+SUMPRODUCT(--ISNUMBER(SEARCH(", "&amp;$B33&amp;", ",", "&amp;'Trang chủ'!$B$7:$B$500&amp;", ")))+SUMPRODUCT(--ISNUMBER(SEARCH(", "&amp;$B33&amp;", ",", "&amp;'Thông báo'!$B$7:$B$500&amp;", ")))+SUMPRODUCT(--ISNUMBER(SEARCH(", "&amp;$B33&amp;", ",", "&amp;'Đăng tin &amp; Quản lý tin'!$B$7:$B$500&amp;", ")))+SUMPRODUCT(--ISNUMBER(SEARCH(", "&amp;$B33&amp;", ",", "&amp;'Trust &amp; Safety'!$B$7:$B$500&amp;", ")))+SUMPRODUCT(--ISNUMBER(SEARCH(", "&amp;$B33&amp;", ",", "&amp;'Tài khoản &amp; Hồ sơ'!$B$7:$B$500&amp;", ")))</f>
        <v>2</v>
      </c>
      <c r="F33" s="51" t="n">
        <f aca="false">SUMPRODUCT(--ISNUMBER(SEARCH(", "&amp;$B33&amp;", ",", "&amp;'Hoạt động (Đơn của tôi)'!$B$7:$B$500&amp;", ")),--('Hoạt động (Đơn của tôi)'!$AT$7:$AT$500&lt;&gt;""))+SUMPRODUCT(--ISNUMBER(SEARCH(", "&amp;$B33&amp;", ",", "&amp;'Ghép nối'!$B$7:$B$500&amp;", ")),--('Ghép nối'!$AT$7:$AT$500&lt;&gt;""))+SUMPRODUCT(--ISNUMBER(SEARCH(", "&amp;$B33&amp;", ",", "&amp;'Huỷ đơn - Huỷ nhận đơn'!$B$7:$B$500&amp;", ")),--('Huỷ đơn - Huỷ nhận đơn'!$AT$7:$AT$500&lt;&gt;""))+SUMPRODUCT(--ISNUMBER(SEARCH(", "&amp;$B33&amp;", ",", "&amp;'Giao nhận &amp; Theo dõi đơn'!$B$7:$B$500&amp;", ")),--('Giao nhận &amp; Theo dõi đơn'!$AT$7:$AT$500&lt;&gt;""))+SUMPRODUCT(--ISNUMBER(SEARCH(", "&amp;$B33&amp;", ",", "&amp;'Bảng tin &amp; Chi tiết tin'!$B$7:$B$500&amp;", ")),--('Bảng tin &amp; Chi tiết tin'!$AT$7:$AT$500&lt;&gt;""))+SUMPRODUCT(--ISNUMBER(SEARCH(", "&amp;$B33&amp;", ",", "&amp;'Quà cảm ơn'!$B$7:$B$500&amp;", ")),--('Quà cảm ơn'!$AT$7:$AT$500&lt;&gt;""))+SUMPRODUCT(--ISNUMBER(SEARCH(", "&amp;$B33&amp;", ",", "&amp;'Trang chủ'!$B$7:$B$500&amp;", ")),--('Trang chủ'!$AT$7:$AT$500&lt;&gt;""))+SUMPRODUCT(--ISNUMBER(SEARCH(", "&amp;$B33&amp;", ",", "&amp;'Thông báo'!$B$7:$B$500&amp;", ")),--('Thông báo'!$AT$7:$AT$500&lt;&gt;""))+SUMPRODUCT(--ISNUMBER(SEARCH(", "&amp;$B33&amp;", ",", "&amp;'Đăng tin &amp; Quản lý tin'!$B$7:$B$500&amp;", ")),--('Đăng tin &amp; Quản lý tin'!$AT$7:$AT$500&lt;&gt;""))+SUMPRODUCT(--ISNUMBER(SEARCH(", "&amp;$B33&amp;", ",", "&amp;'Trust &amp; Safety'!$B$7:$B$500&amp;", ")),--('Trust &amp; Safety'!$AT$7:$AT$500&lt;&gt;""))+SUMPRODUCT(--ISNUMBER(SEARCH(", "&amp;$B33&amp;", ",", "&amp;'Tài khoản &amp; Hồ sơ'!$B$7:$B$500&amp;", ")),--('Tài khoản &amp; Hồ sơ'!$AT$7:$AT$500&lt;&gt;""))</f>
        <v>0</v>
      </c>
      <c r="G33" s="51" t="n">
        <f aca="false">SUMPRODUCT(--ISNUMBER(SEARCH(", "&amp;$B33&amp;", ",", "&amp;'Hoạt động (Đơn của tôi)'!$B$7:$B$500&amp;", ")),--('Hoạt động (Đơn của tôi)'!$AT$7:$AT$500="Pass"))+SUMPRODUCT(--ISNUMBER(SEARCH(", "&amp;$B33&amp;", ",", "&amp;'Ghép nối'!$B$7:$B$500&amp;", ")),--('Ghép nối'!$AT$7:$AT$500="Pass"))+SUMPRODUCT(--ISNUMBER(SEARCH(", "&amp;$B33&amp;", ",", "&amp;'Huỷ đơn - Huỷ nhận đơn'!$B$7:$B$500&amp;", ")),--('Huỷ đơn - Huỷ nhận đơn'!$AT$7:$AT$500="Pass"))+SUMPRODUCT(--ISNUMBER(SEARCH(", "&amp;$B33&amp;", ",", "&amp;'Giao nhận &amp; Theo dõi đơn'!$B$7:$B$500&amp;", ")),--('Giao nhận &amp; Theo dõi đơn'!$AT$7:$AT$500="Pass"))+SUMPRODUCT(--ISNUMBER(SEARCH(", "&amp;$B33&amp;", ",", "&amp;'Bảng tin &amp; Chi tiết tin'!$B$7:$B$500&amp;", ")),--('Bảng tin &amp; Chi tiết tin'!$AT$7:$AT$500="Pass"))+SUMPRODUCT(--ISNUMBER(SEARCH(", "&amp;$B33&amp;", ",", "&amp;'Quà cảm ơn'!$B$7:$B$500&amp;", ")),--('Quà cảm ơn'!$AT$7:$AT$500="Pass"))+SUMPRODUCT(--ISNUMBER(SEARCH(", "&amp;$B33&amp;", ",", "&amp;'Trang chủ'!$B$7:$B$500&amp;", ")),--('Trang chủ'!$AT$7:$AT$500="Pass"))+SUMPRODUCT(--ISNUMBER(SEARCH(", "&amp;$B33&amp;", ",", "&amp;'Thông báo'!$B$7:$B$500&amp;", ")),--('Thông báo'!$AT$7:$AT$500="Pass"))+SUMPRODUCT(--ISNUMBER(SEARCH(", "&amp;$B33&amp;", ",", "&amp;'Đăng tin &amp; Quản lý tin'!$B$7:$B$500&amp;", ")),--('Đăng tin &amp; Quản lý tin'!$AT$7:$AT$500="Pass"))+SUMPRODUCT(--ISNUMBER(SEARCH(", "&amp;$B33&amp;", ",", "&amp;'Trust &amp; Safety'!$B$7:$B$500&amp;", ")),--('Trust &amp; Safety'!$AT$7:$AT$500="Pass"))+SUMPRODUCT(--ISNUMBER(SEARCH(", "&amp;$B33&amp;", ",", "&amp;'Tài khoản &amp; Hồ sơ'!$B$7:$B$500&amp;", ")),--('Tài khoản &amp; Hồ sơ'!$AT$7:$AT$500="Pass"))</f>
        <v>0</v>
      </c>
      <c r="H33" s="51" t="n">
        <f aca="false">SUMPRODUCT(--ISNUMBER(SEARCH(", "&amp;$B33&amp;", ",", "&amp;'Hoạt động (Đơn của tôi)'!$B$7:$B$500&amp;", ")),--('Hoạt động (Đơn của tôi)'!$AT$7:$AT$500="Fail"))+SUMPRODUCT(--ISNUMBER(SEARCH(", "&amp;$B33&amp;", ",", "&amp;'Ghép nối'!$B$7:$B$500&amp;", ")),--('Ghép nối'!$AT$7:$AT$500="Fail"))+SUMPRODUCT(--ISNUMBER(SEARCH(", "&amp;$B33&amp;", ",", "&amp;'Huỷ đơn - Huỷ nhận đơn'!$B$7:$B$500&amp;", ")),--('Huỷ đơn - Huỷ nhận đơn'!$AT$7:$AT$500="Fail"))+SUMPRODUCT(--ISNUMBER(SEARCH(", "&amp;$B33&amp;", ",", "&amp;'Giao nhận &amp; Theo dõi đơn'!$B$7:$B$500&amp;", ")),--('Giao nhận &amp; Theo dõi đơn'!$AT$7:$AT$500="Fail"))+SUMPRODUCT(--ISNUMBER(SEARCH(", "&amp;$B33&amp;", ",", "&amp;'Bảng tin &amp; Chi tiết tin'!$B$7:$B$500&amp;", ")),--('Bảng tin &amp; Chi tiết tin'!$AT$7:$AT$500="Fail"))+SUMPRODUCT(--ISNUMBER(SEARCH(", "&amp;$B33&amp;", ",", "&amp;'Quà cảm ơn'!$B$7:$B$500&amp;", ")),--('Quà cảm ơn'!$AT$7:$AT$500="Fail"))+SUMPRODUCT(--ISNUMBER(SEARCH(", "&amp;$B33&amp;", ",", "&amp;'Trang chủ'!$B$7:$B$500&amp;", ")),--('Trang chủ'!$AT$7:$AT$500="Fail"))+SUMPRODUCT(--ISNUMBER(SEARCH(", "&amp;$B33&amp;", ",", "&amp;'Thông báo'!$B$7:$B$500&amp;", ")),--('Thông báo'!$AT$7:$AT$500="Fail"))+SUMPRODUCT(--ISNUMBER(SEARCH(", "&amp;$B33&amp;", ",", "&amp;'Đăng tin &amp; Quản lý tin'!$B$7:$B$500&amp;", ")),--('Đăng tin &amp; Quản lý tin'!$AT$7:$AT$500="Fail"))+SUMPRODUCT(--ISNUMBER(SEARCH(", "&amp;$B33&amp;", ",", "&amp;'Trust &amp; Safety'!$B$7:$B$500&amp;", ")),--('Trust &amp; Safety'!$AT$7:$AT$500="Fail"))+SUMPRODUCT(--ISNUMBER(SEARCH(", "&amp;$B33&amp;", ",", "&amp;'Tài khoản &amp; Hồ sơ'!$B$7:$B$500&amp;", ")),--('Tài khoản &amp; Hồ sơ'!$AT$7:$AT$500="Fail"))</f>
        <v>0</v>
      </c>
      <c r="I33" s="51" t="n">
        <f aca="false">SUMPRODUCT(--ISNUMBER(SEARCH(", "&amp;$B33&amp;", ",", "&amp;'Hoạt động (Đơn của tôi)'!$B$7:$B$500&amp;", ")),--('Hoạt động (Đơn của tôi)'!$AT$7:$AT$500="Block"))+SUMPRODUCT(--ISNUMBER(SEARCH(", "&amp;$B33&amp;", ",", "&amp;'Ghép nối'!$B$7:$B$500&amp;", ")),--('Ghép nối'!$AT$7:$AT$500="Block"))+SUMPRODUCT(--ISNUMBER(SEARCH(", "&amp;$B33&amp;", ",", "&amp;'Huỷ đơn - Huỷ nhận đơn'!$B$7:$B$500&amp;", ")),--('Huỷ đơn - Huỷ nhận đơn'!$AT$7:$AT$500="Block"))+SUMPRODUCT(--ISNUMBER(SEARCH(", "&amp;$B33&amp;", ",", "&amp;'Giao nhận &amp; Theo dõi đơn'!$B$7:$B$500&amp;", ")),--('Giao nhận &amp; Theo dõi đơn'!$AT$7:$AT$500="Block"))+SUMPRODUCT(--ISNUMBER(SEARCH(", "&amp;$B33&amp;", ",", "&amp;'Bảng tin &amp; Chi tiết tin'!$B$7:$B$500&amp;", ")),--('Bảng tin &amp; Chi tiết tin'!$AT$7:$AT$500="Block"))+SUMPRODUCT(--ISNUMBER(SEARCH(", "&amp;$B33&amp;", ",", "&amp;'Quà cảm ơn'!$B$7:$B$500&amp;", ")),--('Quà cảm ơn'!$AT$7:$AT$500="Block"))+SUMPRODUCT(--ISNUMBER(SEARCH(", "&amp;$B33&amp;", ",", "&amp;'Trang chủ'!$B$7:$B$500&amp;", ")),--('Trang chủ'!$AT$7:$AT$500="Block"))+SUMPRODUCT(--ISNUMBER(SEARCH(", "&amp;$B33&amp;", ",", "&amp;'Thông báo'!$B$7:$B$500&amp;", ")),--('Thông báo'!$AT$7:$AT$500="Block"))+SUMPRODUCT(--ISNUMBER(SEARCH(", "&amp;$B33&amp;", ",", "&amp;'Đăng tin &amp; Quản lý tin'!$B$7:$B$500&amp;", ")),--('Đăng tin &amp; Quản lý tin'!$AT$7:$AT$500="Block"))+SUMPRODUCT(--ISNUMBER(SEARCH(", "&amp;$B33&amp;", ",", "&amp;'Trust &amp; Safety'!$B$7:$B$500&amp;", ")),--('Trust &amp; Safety'!$AT$7:$AT$500="Block"))+SUMPRODUCT(--ISNUMBER(SEARCH(", "&amp;$B33&amp;", ",", "&amp;'Tài khoản &amp; Hồ sơ'!$B$7:$B$500&amp;", ")),--('Tài khoản &amp; Hồ sơ'!$AT$7:$AT$500="Block"))</f>
        <v>0</v>
      </c>
      <c r="J33" s="51" t="n">
        <f aca="false">SUMPRODUCT(--ISNUMBER(SEARCH(", "&amp;$B33&amp;", ",", "&amp;'Hoạt động (Đơn của tôi)'!$B$7:$B$500&amp;", ")),--('Hoạt động (Đơn của tôi)'!$AT$7:$AT$500="N/A"))+SUMPRODUCT(--ISNUMBER(SEARCH(", "&amp;$B33&amp;", ",", "&amp;'Ghép nối'!$B$7:$B$500&amp;", ")),--('Ghép nối'!$AT$7:$AT$500="N/A"))+SUMPRODUCT(--ISNUMBER(SEARCH(", "&amp;$B33&amp;", ",", "&amp;'Huỷ đơn - Huỷ nhận đơn'!$B$7:$B$500&amp;", ")),--('Huỷ đơn - Huỷ nhận đơn'!$AT$7:$AT$500="N/A"))+SUMPRODUCT(--ISNUMBER(SEARCH(", "&amp;$B33&amp;", ",", "&amp;'Giao nhận &amp; Theo dõi đơn'!$B$7:$B$500&amp;", ")),--('Giao nhận &amp; Theo dõi đơn'!$AT$7:$AT$500="N/A"))+SUMPRODUCT(--ISNUMBER(SEARCH(", "&amp;$B33&amp;", ",", "&amp;'Bảng tin &amp; Chi tiết tin'!$B$7:$B$500&amp;", ")),--('Bảng tin &amp; Chi tiết tin'!$AT$7:$AT$500="N/A"))+SUMPRODUCT(--ISNUMBER(SEARCH(", "&amp;$B33&amp;", ",", "&amp;'Quà cảm ơn'!$B$7:$B$500&amp;", ")),--('Quà cảm ơn'!$AT$7:$AT$500="N/A"))+SUMPRODUCT(--ISNUMBER(SEARCH(", "&amp;$B33&amp;", ",", "&amp;'Trang chủ'!$B$7:$B$500&amp;", ")),--('Trang chủ'!$AT$7:$AT$500="N/A"))+SUMPRODUCT(--ISNUMBER(SEARCH(", "&amp;$B33&amp;", ",", "&amp;'Thông báo'!$B$7:$B$500&amp;", ")),--('Thông báo'!$AT$7:$AT$500="N/A"))+SUMPRODUCT(--ISNUMBER(SEARCH(", "&amp;$B33&amp;", ",", "&amp;'Đăng tin &amp; Quản lý tin'!$B$7:$B$500&amp;", ")),--('Đăng tin &amp; Quản lý tin'!$AT$7:$AT$500="N/A"))+SUMPRODUCT(--ISNUMBER(SEARCH(", "&amp;$B33&amp;", ",", "&amp;'Trust &amp; Safety'!$B$7:$B$500&amp;", ")),--('Trust &amp; Safety'!$AT$7:$AT$500="N/A"))+SUMPRODUCT(--ISNUMBER(SEARCH(", "&amp;$B33&amp;", ",", "&amp;'Tài khoản &amp; Hồ sơ'!$B$7:$B$500&amp;", ")),--('Tài khoản &amp; Hồ sơ'!$AT$7:$AT$500="N/A"))</f>
        <v>0</v>
      </c>
      <c r="K33" s="52" t="n">
        <f aca="false">IFERROR(F33/E33,0)</f>
        <v>0</v>
      </c>
      <c r="L33" s="123" t="str">
        <f aca="false">IF(E33=0,"Chưa có TC (gap)",IF(H33&gt;0,"Có lỗi (Fail)",IF(I33&gt;0,"Bị block",IF(F33&lt;E33,"Đang test",IF(G33=0,"Không áp dụng (N/A)","Đã test xong")))))</f>
        <v>Đang test</v>
      </c>
      <c r="AB33" s="1" t="s">
        <v>424</v>
      </c>
    </row>
    <row r="34" customFormat="false" ht="15.75" hidden="false" customHeight="true" outlineLevel="0" collapsed="false">
      <c r="B34" s="175" t="s">
        <v>504</v>
      </c>
      <c r="C34" s="176"/>
      <c r="D34" s="123" t="s">
        <v>505</v>
      </c>
      <c r="E34" s="51" t="n">
        <f aca="false">SUMPRODUCT(--ISNUMBER(SEARCH(", "&amp;$B34&amp;", ",", "&amp;'Hoạt động (Đơn của tôi)'!$B$7:$B$500&amp;", ")))+SUMPRODUCT(--ISNUMBER(SEARCH(", "&amp;$B34&amp;", ",", "&amp;'Ghép nối'!$B$7:$B$500&amp;", ")))+SUMPRODUCT(--ISNUMBER(SEARCH(", "&amp;$B34&amp;", ",", "&amp;'Huỷ đơn - Huỷ nhận đơn'!$B$7:$B$500&amp;", ")))+SUMPRODUCT(--ISNUMBER(SEARCH(", "&amp;$B34&amp;", ",", "&amp;'Giao nhận &amp; Theo dõi đơn'!$B$7:$B$500&amp;", ")))+SUMPRODUCT(--ISNUMBER(SEARCH(", "&amp;$B34&amp;", ",", "&amp;'Bảng tin &amp; Chi tiết tin'!$B$7:$B$500&amp;", ")))+SUMPRODUCT(--ISNUMBER(SEARCH(", "&amp;$B34&amp;", ",", "&amp;'Quà cảm ơn'!$B$7:$B$500&amp;", ")))+SUMPRODUCT(--ISNUMBER(SEARCH(", "&amp;$B34&amp;", ",", "&amp;'Trang chủ'!$B$7:$B$500&amp;", ")))+SUMPRODUCT(--ISNUMBER(SEARCH(", "&amp;$B34&amp;", ",", "&amp;'Thông báo'!$B$7:$B$500&amp;", ")))+SUMPRODUCT(--ISNUMBER(SEARCH(", "&amp;$B34&amp;", ",", "&amp;'Đăng tin &amp; Quản lý tin'!$B$7:$B$500&amp;", ")))+SUMPRODUCT(--ISNUMBER(SEARCH(", "&amp;$B34&amp;", ",", "&amp;'Trust &amp; Safety'!$B$7:$B$500&amp;", ")))+SUMPRODUCT(--ISNUMBER(SEARCH(", "&amp;$B34&amp;", ",", "&amp;'Tài khoản &amp; Hồ sơ'!$B$7:$B$500&amp;", ")))</f>
        <v>1</v>
      </c>
      <c r="F34" s="51" t="n">
        <f aca="false">SUMPRODUCT(--ISNUMBER(SEARCH(", "&amp;$B34&amp;", ",", "&amp;'Hoạt động (Đơn của tôi)'!$B$7:$B$500&amp;", ")),--('Hoạt động (Đơn của tôi)'!$AT$7:$AT$500&lt;&gt;""))+SUMPRODUCT(--ISNUMBER(SEARCH(", "&amp;$B34&amp;", ",", "&amp;'Ghép nối'!$B$7:$B$500&amp;", ")),--('Ghép nối'!$AT$7:$AT$500&lt;&gt;""))+SUMPRODUCT(--ISNUMBER(SEARCH(", "&amp;$B34&amp;", ",", "&amp;'Huỷ đơn - Huỷ nhận đơn'!$B$7:$B$500&amp;", ")),--('Huỷ đơn - Huỷ nhận đơn'!$AT$7:$AT$500&lt;&gt;""))+SUMPRODUCT(--ISNUMBER(SEARCH(", "&amp;$B34&amp;", ",", "&amp;'Giao nhận &amp; Theo dõi đơn'!$B$7:$B$500&amp;", ")),--('Giao nhận &amp; Theo dõi đơn'!$AT$7:$AT$500&lt;&gt;""))+SUMPRODUCT(--ISNUMBER(SEARCH(", "&amp;$B34&amp;", ",", "&amp;'Bảng tin &amp; Chi tiết tin'!$B$7:$B$500&amp;", ")),--('Bảng tin &amp; Chi tiết tin'!$AT$7:$AT$500&lt;&gt;""))+SUMPRODUCT(--ISNUMBER(SEARCH(", "&amp;$B34&amp;", ",", "&amp;'Quà cảm ơn'!$B$7:$B$500&amp;", ")),--('Quà cảm ơn'!$AT$7:$AT$500&lt;&gt;""))+SUMPRODUCT(--ISNUMBER(SEARCH(", "&amp;$B34&amp;", ",", "&amp;'Trang chủ'!$B$7:$B$500&amp;", ")),--('Trang chủ'!$AT$7:$AT$500&lt;&gt;""))+SUMPRODUCT(--ISNUMBER(SEARCH(", "&amp;$B34&amp;", ",", "&amp;'Thông báo'!$B$7:$B$500&amp;", ")),--('Thông báo'!$AT$7:$AT$500&lt;&gt;""))+SUMPRODUCT(--ISNUMBER(SEARCH(", "&amp;$B34&amp;", ",", "&amp;'Đăng tin &amp; Quản lý tin'!$B$7:$B$500&amp;", ")),--('Đăng tin &amp; Quản lý tin'!$AT$7:$AT$500&lt;&gt;""))+SUMPRODUCT(--ISNUMBER(SEARCH(", "&amp;$B34&amp;", ",", "&amp;'Trust &amp; Safety'!$B$7:$B$500&amp;", ")),--('Trust &amp; Safety'!$AT$7:$AT$500&lt;&gt;""))+SUMPRODUCT(--ISNUMBER(SEARCH(", "&amp;$B34&amp;", ",", "&amp;'Tài khoản &amp; Hồ sơ'!$B$7:$B$500&amp;", ")),--('Tài khoản &amp; Hồ sơ'!$AT$7:$AT$500&lt;&gt;""))</f>
        <v>0</v>
      </c>
      <c r="G34" s="51" t="n">
        <f aca="false">SUMPRODUCT(--ISNUMBER(SEARCH(", "&amp;$B34&amp;", ",", "&amp;'Hoạt động (Đơn của tôi)'!$B$7:$B$500&amp;", ")),--('Hoạt động (Đơn của tôi)'!$AT$7:$AT$500="Pass"))+SUMPRODUCT(--ISNUMBER(SEARCH(", "&amp;$B34&amp;", ",", "&amp;'Ghép nối'!$B$7:$B$500&amp;", ")),--('Ghép nối'!$AT$7:$AT$500="Pass"))+SUMPRODUCT(--ISNUMBER(SEARCH(", "&amp;$B34&amp;", ",", "&amp;'Huỷ đơn - Huỷ nhận đơn'!$B$7:$B$500&amp;", ")),--('Huỷ đơn - Huỷ nhận đơn'!$AT$7:$AT$500="Pass"))+SUMPRODUCT(--ISNUMBER(SEARCH(", "&amp;$B34&amp;", ",", "&amp;'Giao nhận &amp; Theo dõi đơn'!$B$7:$B$500&amp;", ")),--('Giao nhận &amp; Theo dõi đơn'!$AT$7:$AT$500="Pass"))+SUMPRODUCT(--ISNUMBER(SEARCH(", "&amp;$B34&amp;", ",", "&amp;'Bảng tin &amp; Chi tiết tin'!$B$7:$B$500&amp;", ")),--('Bảng tin &amp; Chi tiết tin'!$AT$7:$AT$500="Pass"))+SUMPRODUCT(--ISNUMBER(SEARCH(", "&amp;$B34&amp;", ",", "&amp;'Quà cảm ơn'!$B$7:$B$500&amp;", ")),--('Quà cảm ơn'!$AT$7:$AT$500="Pass"))+SUMPRODUCT(--ISNUMBER(SEARCH(", "&amp;$B34&amp;", ",", "&amp;'Trang chủ'!$B$7:$B$500&amp;", ")),--('Trang chủ'!$AT$7:$AT$500="Pass"))+SUMPRODUCT(--ISNUMBER(SEARCH(", "&amp;$B34&amp;", ",", "&amp;'Thông báo'!$B$7:$B$500&amp;", ")),--('Thông báo'!$AT$7:$AT$500="Pass"))+SUMPRODUCT(--ISNUMBER(SEARCH(", "&amp;$B34&amp;", ",", "&amp;'Đăng tin &amp; Quản lý tin'!$B$7:$B$500&amp;", ")),--('Đăng tin &amp; Quản lý tin'!$AT$7:$AT$500="Pass"))+SUMPRODUCT(--ISNUMBER(SEARCH(", "&amp;$B34&amp;", ",", "&amp;'Trust &amp; Safety'!$B$7:$B$500&amp;", ")),--('Trust &amp; Safety'!$AT$7:$AT$500="Pass"))+SUMPRODUCT(--ISNUMBER(SEARCH(", "&amp;$B34&amp;", ",", "&amp;'Tài khoản &amp; Hồ sơ'!$B$7:$B$500&amp;", ")),--('Tài khoản &amp; Hồ sơ'!$AT$7:$AT$500="Pass"))</f>
        <v>0</v>
      </c>
      <c r="H34" s="51" t="n">
        <f aca="false">SUMPRODUCT(--ISNUMBER(SEARCH(", "&amp;$B34&amp;", ",", "&amp;'Hoạt động (Đơn của tôi)'!$B$7:$B$500&amp;", ")),--('Hoạt động (Đơn của tôi)'!$AT$7:$AT$500="Fail"))+SUMPRODUCT(--ISNUMBER(SEARCH(", "&amp;$B34&amp;", ",", "&amp;'Ghép nối'!$B$7:$B$500&amp;", ")),--('Ghép nối'!$AT$7:$AT$500="Fail"))+SUMPRODUCT(--ISNUMBER(SEARCH(", "&amp;$B34&amp;", ",", "&amp;'Huỷ đơn - Huỷ nhận đơn'!$B$7:$B$500&amp;", ")),--('Huỷ đơn - Huỷ nhận đơn'!$AT$7:$AT$500="Fail"))+SUMPRODUCT(--ISNUMBER(SEARCH(", "&amp;$B34&amp;", ",", "&amp;'Giao nhận &amp; Theo dõi đơn'!$B$7:$B$500&amp;", ")),--('Giao nhận &amp; Theo dõi đơn'!$AT$7:$AT$500="Fail"))+SUMPRODUCT(--ISNUMBER(SEARCH(", "&amp;$B34&amp;", ",", "&amp;'Bảng tin &amp; Chi tiết tin'!$B$7:$B$500&amp;", ")),--('Bảng tin &amp; Chi tiết tin'!$AT$7:$AT$500="Fail"))+SUMPRODUCT(--ISNUMBER(SEARCH(", "&amp;$B34&amp;", ",", "&amp;'Quà cảm ơn'!$B$7:$B$500&amp;", ")),--('Quà cảm ơn'!$AT$7:$AT$500="Fail"))+SUMPRODUCT(--ISNUMBER(SEARCH(", "&amp;$B34&amp;", ",", "&amp;'Trang chủ'!$B$7:$B$500&amp;", ")),--('Trang chủ'!$AT$7:$AT$500="Fail"))+SUMPRODUCT(--ISNUMBER(SEARCH(", "&amp;$B34&amp;", ",", "&amp;'Thông báo'!$B$7:$B$500&amp;", ")),--('Thông báo'!$AT$7:$AT$500="Fail"))+SUMPRODUCT(--ISNUMBER(SEARCH(", "&amp;$B34&amp;", ",", "&amp;'Đăng tin &amp; Quản lý tin'!$B$7:$B$500&amp;", ")),--('Đăng tin &amp; Quản lý tin'!$AT$7:$AT$500="Fail"))+SUMPRODUCT(--ISNUMBER(SEARCH(", "&amp;$B34&amp;", ",", "&amp;'Trust &amp; Safety'!$B$7:$B$500&amp;", ")),--('Trust &amp; Safety'!$AT$7:$AT$500="Fail"))+SUMPRODUCT(--ISNUMBER(SEARCH(", "&amp;$B34&amp;", ",", "&amp;'Tài khoản &amp; Hồ sơ'!$B$7:$B$500&amp;", ")),--('Tài khoản &amp; Hồ sơ'!$AT$7:$AT$500="Fail"))</f>
        <v>0</v>
      </c>
      <c r="I34" s="51" t="n">
        <f aca="false">SUMPRODUCT(--ISNUMBER(SEARCH(", "&amp;$B34&amp;", ",", "&amp;'Hoạt động (Đơn của tôi)'!$B$7:$B$500&amp;", ")),--('Hoạt động (Đơn của tôi)'!$AT$7:$AT$500="Block"))+SUMPRODUCT(--ISNUMBER(SEARCH(", "&amp;$B34&amp;", ",", "&amp;'Ghép nối'!$B$7:$B$500&amp;", ")),--('Ghép nối'!$AT$7:$AT$500="Block"))+SUMPRODUCT(--ISNUMBER(SEARCH(", "&amp;$B34&amp;", ",", "&amp;'Huỷ đơn - Huỷ nhận đơn'!$B$7:$B$500&amp;", ")),--('Huỷ đơn - Huỷ nhận đơn'!$AT$7:$AT$500="Block"))+SUMPRODUCT(--ISNUMBER(SEARCH(", "&amp;$B34&amp;", ",", "&amp;'Giao nhận &amp; Theo dõi đơn'!$B$7:$B$500&amp;", ")),--('Giao nhận &amp; Theo dõi đơn'!$AT$7:$AT$500="Block"))+SUMPRODUCT(--ISNUMBER(SEARCH(", "&amp;$B34&amp;", ",", "&amp;'Bảng tin &amp; Chi tiết tin'!$B$7:$B$500&amp;", ")),--('Bảng tin &amp; Chi tiết tin'!$AT$7:$AT$500="Block"))+SUMPRODUCT(--ISNUMBER(SEARCH(", "&amp;$B34&amp;", ",", "&amp;'Quà cảm ơn'!$B$7:$B$500&amp;", ")),--('Quà cảm ơn'!$AT$7:$AT$500="Block"))+SUMPRODUCT(--ISNUMBER(SEARCH(", "&amp;$B34&amp;", ",", "&amp;'Trang chủ'!$B$7:$B$500&amp;", ")),--('Trang chủ'!$AT$7:$AT$500="Block"))+SUMPRODUCT(--ISNUMBER(SEARCH(", "&amp;$B34&amp;", ",", "&amp;'Thông báo'!$B$7:$B$500&amp;", ")),--('Thông báo'!$AT$7:$AT$500="Block"))+SUMPRODUCT(--ISNUMBER(SEARCH(", "&amp;$B34&amp;", ",", "&amp;'Đăng tin &amp; Quản lý tin'!$B$7:$B$500&amp;", ")),--('Đăng tin &amp; Quản lý tin'!$AT$7:$AT$500="Block"))+SUMPRODUCT(--ISNUMBER(SEARCH(", "&amp;$B34&amp;", ",", "&amp;'Trust &amp; Safety'!$B$7:$B$500&amp;", ")),--('Trust &amp; Safety'!$AT$7:$AT$500="Block"))+SUMPRODUCT(--ISNUMBER(SEARCH(", "&amp;$B34&amp;", ",", "&amp;'Tài khoản &amp; Hồ sơ'!$B$7:$B$500&amp;", ")),--('Tài khoản &amp; Hồ sơ'!$AT$7:$AT$500="Block"))</f>
        <v>0</v>
      </c>
      <c r="J34" s="51" t="n">
        <f aca="false">SUMPRODUCT(--ISNUMBER(SEARCH(", "&amp;$B34&amp;", ",", "&amp;'Hoạt động (Đơn của tôi)'!$B$7:$B$500&amp;", ")),--('Hoạt động (Đơn của tôi)'!$AT$7:$AT$500="N/A"))+SUMPRODUCT(--ISNUMBER(SEARCH(", "&amp;$B34&amp;", ",", "&amp;'Ghép nối'!$B$7:$B$500&amp;", ")),--('Ghép nối'!$AT$7:$AT$500="N/A"))+SUMPRODUCT(--ISNUMBER(SEARCH(", "&amp;$B34&amp;", ",", "&amp;'Huỷ đơn - Huỷ nhận đơn'!$B$7:$B$500&amp;", ")),--('Huỷ đơn - Huỷ nhận đơn'!$AT$7:$AT$500="N/A"))+SUMPRODUCT(--ISNUMBER(SEARCH(", "&amp;$B34&amp;", ",", "&amp;'Giao nhận &amp; Theo dõi đơn'!$B$7:$B$500&amp;", ")),--('Giao nhận &amp; Theo dõi đơn'!$AT$7:$AT$500="N/A"))+SUMPRODUCT(--ISNUMBER(SEARCH(", "&amp;$B34&amp;", ",", "&amp;'Bảng tin &amp; Chi tiết tin'!$B$7:$B$500&amp;", ")),--('Bảng tin &amp; Chi tiết tin'!$AT$7:$AT$500="N/A"))+SUMPRODUCT(--ISNUMBER(SEARCH(", "&amp;$B34&amp;", ",", "&amp;'Quà cảm ơn'!$B$7:$B$500&amp;", ")),--('Quà cảm ơn'!$AT$7:$AT$500="N/A"))+SUMPRODUCT(--ISNUMBER(SEARCH(", "&amp;$B34&amp;", ",", "&amp;'Trang chủ'!$B$7:$B$500&amp;", ")),--('Trang chủ'!$AT$7:$AT$500="N/A"))+SUMPRODUCT(--ISNUMBER(SEARCH(", "&amp;$B34&amp;", ",", "&amp;'Thông báo'!$B$7:$B$500&amp;", ")),--('Thông báo'!$AT$7:$AT$500="N/A"))+SUMPRODUCT(--ISNUMBER(SEARCH(", "&amp;$B34&amp;", ",", "&amp;'Đăng tin &amp; Quản lý tin'!$B$7:$B$500&amp;", ")),--('Đăng tin &amp; Quản lý tin'!$AT$7:$AT$500="N/A"))+SUMPRODUCT(--ISNUMBER(SEARCH(", "&amp;$B34&amp;", ",", "&amp;'Trust &amp; Safety'!$B$7:$B$500&amp;", ")),--('Trust &amp; Safety'!$AT$7:$AT$500="N/A"))+SUMPRODUCT(--ISNUMBER(SEARCH(", "&amp;$B34&amp;", ",", "&amp;'Tài khoản &amp; Hồ sơ'!$B$7:$B$500&amp;", ")),--('Tài khoản &amp; Hồ sơ'!$AT$7:$AT$500="N/A"))</f>
        <v>0</v>
      </c>
      <c r="K34" s="52" t="n">
        <f aca="false">IFERROR(F34/E34,0)</f>
        <v>0</v>
      </c>
      <c r="L34" s="123" t="str">
        <f aca="false">IF(E34=0,"Chưa có TC (gap)",IF(H34&gt;0,"Có lỗi (Fail)",IF(I34&gt;0,"Bị block",IF(F34&lt;E34,"Đang test",IF(G34=0,"Không áp dụng (N/A)","Đã test xong")))))</f>
        <v>Đang test</v>
      </c>
      <c r="AB34" s="1" t="s">
        <v>428</v>
      </c>
    </row>
    <row r="35" customFormat="false" ht="15.75" hidden="false" customHeight="true" outlineLevel="0" collapsed="false">
      <c r="B35" s="175" t="s">
        <v>506</v>
      </c>
      <c r="C35" s="176"/>
      <c r="D35" s="123" t="s">
        <v>507</v>
      </c>
      <c r="E35" s="51" t="n">
        <f aca="false">SUMPRODUCT(--ISNUMBER(SEARCH(", "&amp;$B35&amp;", ",", "&amp;'Hoạt động (Đơn của tôi)'!$B$7:$B$500&amp;", ")))+SUMPRODUCT(--ISNUMBER(SEARCH(", "&amp;$B35&amp;", ",", "&amp;'Ghép nối'!$B$7:$B$500&amp;", ")))+SUMPRODUCT(--ISNUMBER(SEARCH(", "&amp;$B35&amp;", ",", "&amp;'Huỷ đơn - Huỷ nhận đơn'!$B$7:$B$500&amp;", ")))+SUMPRODUCT(--ISNUMBER(SEARCH(", "&amp;$B35&amp;", ",", "&amp;'Giao nhận &amp; Theo dõi đơn'!$B$7:$B$500&amp;", ")))+SUMPRODUCT(--ISNUMBER(SEARCH(", "&amp;$B35&amp;", ",", "&amp;'Bảng tin &amp; Chi tiết tin'!$B$7:$B$500&amp;", ")))+SUMPRODUCT(--ISNUMBER(SEARCH(", "&amp;$B35&amp;", ",", "&amp;'Quà cảm ơn'!$B$7:$B$500&amp;", ")))+SUMPRODUCT(--ISNUMBER(SEARCH(", "&amp;$B35&amp;", ",", "&amp;'Trang chủ'!$B$7:$B$500&amp;", ")))+SUMPRODUCT(--ISNUMBER(SEARCH(", "&amp;$B35&amp;", ",", "&amp;'Thông báo'!$B$7:$B$500&amp;", ")))+SUMPRODUCT(--ISNUMBER(SEARCH(", "&amp;$B35&amp;", ",", "&amp;'Đăng tin &amp; Quản lý tin'!$B$7:$B$500&amp;", ")))+SUMPRODUCT(--ISNUMBER(SEARCH(", "&amp;$B35&amp;", ",", "&amp;'Trust &amp; Safety'!$B$7:$B$500&amp;", ")))+SUMPRODUCT(--ISNUMBER(SEARCH(", "&amp;$B35&amp;", ",", "&amp;'Tài khoản &amp; Hồ sơ'!$B$7:$B$500&amp;", ")))</f>
        <v>1</v>
      </c>
      <c r="F35" s="51" t="n">
        <f aca="false">SUMPRODUCT(--ISNUMBER(SEARCH(", "&amp;$B35&amp;", ",", "&amp;'Hoạt động (Đơn của tôi)'!$B$7:$B$500&amp;", ")),--('Hoạt động (Đơn của tôi)'!$AT$7:$AT$500&lt;&gt;""))+SUMPRODUCT(--ISNUMBER(SEARCH(", "&amp;$B35&amp;", ",", "&amp;'Ghép nối'!$B$7:$B$500&amp;", ")),--('Ghép nối'!$AT$7:$AT$500&lt;&gt;""))+SUMPRODUCT(--ISNUMBER(SEARCH(", "&amp;$B35&amp;", ",", "&amp;'Huỷ đơn - Huỷ nhận đơn'!$B$7:$B$500&amp;", ")),--('Huỷ đơn - Huỷ nhận đơn'!$AT$7:$AT$500&lt;&gt;""))+SUMPRODUCT(--ISNUMBER(SEARCH(", "&amp;$B35&amp;", ",", "&amp;'Giao nhận &amp; Theo dõi đơn'!$B$7:$B$500&amp;", ")),--('Giao nhận &amp; Theo dõi đơn'!$AT$7:$AT$500&lt;&gt;""))+SUMPRODUCT(--ISNUMBER(SEARCH(", "&amp;$B35&amp;", ",", "&amp;'Bảng tin &amp; Chi tiết tin'!$B$7:$B$500&amp;", ")),--('Bảng tin &amp; Chi tiết tin'!$AT$7:$AT$500&lt;&gt;""))+SUMPRODUCT(--ISNUMBER(SEARCH(", "&amp;$B35&amp;", ",", "&amp;'Quà cảm ơn'!$B$7:$B$500&amp;", ")),--('Quà cảm ơn'!$AT$7:$AT$500&lt;&gt;""))+SUMPRODUCT(--ISNUMBER(SEARCH(", "&amp;$B35&amp;", ",", "&amp;'Trang chủ'!$B$7:$B$500&amp;", ")),--('Trang chủ'!$AT$7:$AT$500&lt;&gt;""))+SUMPRODUCT(--ISNUMBER(SEARCH(", "&amp;$B35&amp;", ",", "&amp;'Thông báo'!$B$7:$B$500&amp;", ")),--('Thông báo'!$AT$7:$AT$500&lt;&gt;""))+SUMPRODUCT(--ISNUMBER(SEARCH(", "&amp;$B35&amp;", ",", "&amp;'Đăng tin &amp; Quản lý tin'!$B$7:$B$500&amp;", ")),--('Đăng tin &amp; Quản lý tin'!$AT$7:$AT$500&lt;&gt;""))+SUMPRODUCT(--ISNUMBER(SEARCH(", "&amp;$B35&amp;", ",", "&amp;'Trust &amp; Safety'!$B$7:$B$500&amp;", ")),--('Trust &amp; Safety'!$AT$7:$AT$500&lt;&gt;""))+SUMPRODUCT(--ISNUMBER(SEARCH(", "&amp;$B35&amp;", ",", "&amp;'Tài khoản &amp; Hồ sơ'!$B$7:$B$500&amp;", ")),--('Tài khoản &amp; Hồ sơ'!$AT$7:$AT$500&lt;&gt;""))</f>
        <v>0</v>
      </c>
      <c r="G35" s="51" t="n">
        <f aca="false">SUMPRODUCT(--ISNUMBER(SEARCH(", "&amp;$B35&amp;", ",", "&amp;'Hoạt động (Đơn của tôi)'!$B$7:$B$500&amp;", ")),--('Hoạt động (Đơn của tôi)'!$AT$7:$AT$500="Pass"))+SUMPRODUCT(--ISNUMBER(SEARCH(", "&amp;$B35&amp;", ",", "&amp;'Ghép nối'!$B$7:$B$500&amp;", ")),--('Ghép nối'!$AT$7:$AT$500="Pass"))+SUMPRODUCT(--ISNUMBER(SEARCH(", "&amp;$B35&amp;", ",", "&amp;'Huỷ đơn - Huỷ nhận đơn'!$B$7:$B$500&amp;", ")),--('Huỷ đơn - Huỷ nhận đơn'!$AT$7:$AT$500="Pass"))+SUMPRODUCT(--ISNUMBER(SEARCH(", "&amp;$B35&amp;", ",", "&amp;'Giao nhận &amp; Theo dõi đơn'!$B$7:$B$500&amp;", ")),--('Giao nhận &amp; Theo dõi đơn'!$AT$7:$AT$500="Pass"))+SUMPRODUCT(--ISNUMBER(SEARCH(", "&amp;$B35&amp;", ",", "&amp;'Bảng tin &amp; Chi tiết tin'!$B$7:$B$500&amp;", ")),--('Bảng tin &amp; Chi tiết tin'!$AT$7:$AT$500="Pass"))+SUMPRODUCT(--ISNUMBER(SEARCH(", "&amp;$B35&amp;", ",", "&amp;'Quà cảm ơn'!$B$7:$B$500&amp;", ")),--('Quà cảm ơn'!$AT$7:$AT$500="Pass"))+SUMPRODUCT(--ISNUMBER(SEARCH(", "&amp;$B35&amp;", ",", "&amp;'Trang chủ'!$B$7:$B$500&amp;", ")),--('Trang chủ'!$AT$7:$AT$500="Pass"))+SUMPRODUCT(--ISNUMBER(SEARCH(", "&amp;$B35&amp;", ",", "&amp;'Thông báo'!$B$7:$B$500&amp;", ")),--('Thông báo'!$AT$7:$AT$500="Pass"))+SUMPRODUCT(--ISNUMBER(SEARCH(", "&amp;$B35&amp;", ",", "&amp;'Đăng tin &amp; Quản lý tin'!$B$7:$B$500&amp;", ")),--('Đăng tin &amp; Quản lý tin'!$AT$7:$AT$500="Pass"))+SUMPRODUCT(--ISNUMBER(SEARCH(", "&amp;$B35&amp;", ",", "&amp;'Trust &amp; Safety'!$B$7:$B$500&amp;", ")),--('Trust &amp; Safety'!$AT$7:$AT$500="Pass"))+SUMPRODUCT(--ISNUMBER(SEARCH(", "&amp;$B35&amp;", ",", "&amp;'Tài khoản &amp; Hồ sơ'!$B$7:$B$500&amp;", ")),--('Tài khoản &amp; Hồ sơ'!$AT$7:$AT$500="Pass"))</f>
        <v>0</v>
      </c>
      <c r="H35" s="51" t="n">
        <f aca="false">SUMPRODUCT(--ISNUMBER(SEARCH(", "&amp;$B35&amp;", ",", "&amp;'Hoạt động (Đơn của tôi)'!$B$7:$B$500&amp;", ")),--('Hoạt động (Đơn của tôi)'!$AT$7:$AT$500="Fail"))+SUMPRODUCT(--ISNUMBER(SEARCH(", "&amp;$B35&amp;", ",", "&amp;'Ghép nối'!$B$7:$B$500&amp;", ")),--('Ghép nối'!$AT$7:$AT$500="Fail"))+SUMPRODUCT(--ISNUMBER(SEARCH(", "&amp;$B35&amp;", ",", "&amp;'Huỷ đơn - Huỷ nhận đơn'!$B$7:$B$500&amp;", ")),--('Huỷ đơn - Huỷ nhận đơn'!$AT$7:$AT$500="Fail"))+SUMPRODUCT(--ISNUMBER(SEARCH(", "&amp;$B35&amp;", ",", "&amp;'Giao nhận &amp; Theo dõi đơn'!$B$7:$B$500&amp;", ")),--('Giao nhận &amp; Theo dõi đơn'!$AT$7:$AT$500="Fail"))+SUMPRODUCT(--ISNUMBER(SEARCH(", "&amp;$B35&amp;", ",", "&amp;'Bảng tin &amp; Chi tiết tin'!$B$7:$B$500&amp;", ")),--('Bảng tin &amp; Chi tiết tin'!$AT$7:$AT$500="Fail"))+SUMPRODUCT(--ISNUMBER(SEARCH(", "&amp;$B35&amp;", ",", "&amp;'Quà cảm ơn'!$B$7:$B$500&amp;", ")),--('Quà cảm ơn'!$AT$7:$AT$500="Fail"))+SUMPRODUCT(--ISNUMBER(SEARCH(", "&amp;$B35&amp;", ",", "&amp;'Trang chủ'!$B$7:$B$500&amp;", ")),--('Trang chủ'!$AT$7:$AT$500="Fail"))+SUMPRODUCT(--ISNUMBER(SEARCH(", "&amp;$B35&amp;", ",", "&amp;'Thông báo'!$B$7:$B$500&amp;", ")),--('Thông báo'!$AT$7:$AT$500="Fail"))+SUMPRODUCT(--ISNUMBER(SEARCH(", "&amp;$B35&amp;", ",", "&amp;'Đăng tin &amp; Quản lý tin'!$B$7:$B$500&amp;", ")),--('Đăng tin &amp; Quản lý tin'!$AT$7:$AT$500="Fail"))+SUMPRODUCT(--ISNUMBER(SEARCH(", "&amp;$B35&amp;", ",", "&amp;'Trust &amp; Safety'!$B$7:$B$500&amp;", ")),--('Trust &amp; Safety'!$AT$7:$AT$500="Fail"))+SUMPRODUCT(--ISNUMBER(SEARCH(", "&amp;$B35&amp;", ",", "&amp;'Tài khoản &amp; Hồ sơ'!$B$7:$B$500&amp;", ")),--('Tài khoản &amp; Hồ sơ'!$AT$7:$AT$500="Fail"))</f>
        <v>0</v>
      </c>
      <c r="I35" s="51" t="n">
        <f aca="false">SUMPRODUCT(--ISNUMBER(SEARCH(", "&amp;$B35&amp;", ",", "&amp;'Hoạt động (Đơn của tôi)'!$B$7:$B$500&amp;", ")),--('Hoạt động (Đơn của tôi)'!$AT$7:$AT$500="Block"))+SUMPRODUCT(--ISNUMBER(SEARCH(", "&amp;$B35&amp;", ",", "&amp;'Ghép nối'!$B$7:$B$500&amp;", ")),--('Ghép nối'!$AT$7:$AT$500="Block"))+SUMPRODUCT(--ISNUMBER(SEARCH(", "&amp;$B35&amp;", ",", "&amp;'Huỷ đơn - Huỷ nhận đơn'!$B$7:$B$500&amp;", ")),--('Huỷ đơn - Huỷ nhận đơn'!$AT$7:$AT$500="Block"))+SUMPRODUCT(--ISNUMBER(SEARCH(", "&amp;$B35&amp;", ",", "&amp;'Giao nhận &amp; Theo dõi đơn'!$B$7:$B$500&amp;", ")),--('Giao nhận &amp; Theo dõi đơn'!$AT$7:$AT$500="Block"))+SUMPRODUCT(--ISNUMBER(SEARCH(", "&amp;$B35&amp;", ",", "&amp;'Bảng tin &amp; Chi tiết tin'!$B$7:$B$500&amp;", ")),--('Bảng tin &amp; Chi tiết tin'!$AT$7:$AT$500="Block"))+SUMPRODUCT(--ISNUMBER(SEARCH(", "&amp;$B35&amp;", ",", "&amp;'Quà cảm ơn'!$B$7:$B$500&amp;", ")),--('Quà cảm ơn'!$AT$7:$AT$500="Block"))+SUMPRODUCT(--ISNUMBER(SEARCH(", "&amp;$B35&amp;", ",", "&amp;'Trang chủ'!$B$7:$B$500&amp;", ")),--('Trang chủ'!$AT$7:$AT$500="Block"))+SUMPRODUCT(--ISNUMBER(SEARCH(", "&amp;$B35&amp;", ",", "&amp;'Thông báo'!$B$7:$B$500&amp;", ")),--('Thông báo'!$AT$7:$AT$500="Block"))+SUMPRODUCT(--ISNUMBER(SEARCH(", "&amp;$B35&amp;", ",", "&amp;'Đăng tin &amp; Quản lý tin'!$B$7:$B$500&amp;", ")),--('Đăng tin &amp; Quản lý tin'!$AT$7:$AT$500="Block"))+SUMPRODUCT(--ISNUMBER(SEARCH(", "&amp;$B35&amp;", ",", "&amp;'Trust &amp; Safety'!$B$7:$B$500&amp;", ")),--('Trust &amp; Safety'!$AT$7:$AT$500="Block"))+SUMPRODUCT(--ISNUMBER(SEARCH(", "&amp;$B35&amp;", ",", "&amp;'Tài khoản &amp; Hồ sơ'!$B$7:$B$500&amp;", ")),--('Tài khoản &amp; Hồ sơ'!$AT$7:$AT$500="Block"))</f>
        <v>0</v>
      </c>
      <c r="J35" s="51" t="n">
        <f aca="false">SUMPRODUCT(--ISNUMBER(SEARCH(", "&amp;$B35&amp;", ",", "&amp;'Hoạt động (Đơn của tôi)'!$B$7:$B$500&amp;", ")),--('Hoạt động (Đơn của tôi)'!$AT$7:$AT$500="N/A"))+SUMPRODUCT(--ISNUMBER(SEARCH(", "&amp;$B35&amp;", ",", "&amp;'Ghép nối'!$B$7:$B$500&amp;", ")),--('Ghép nối'!$AT$7:$AT$500="N/A"))+SUMPRODUCT(--ISNUMBER(SEARCH(", "&amp;$B35&amp;", ",", "&amp;'Huỷ đơn - Huỷ nhận đơn'!$B$7:$B$500&amp;", ")),--('Huỷ đơn - Huỷ nhận đơn'!$AT$7:$AT$500="N/A"))+SUMPRODUCT(--ISNUMBER(SEARCH(", "&amp;$B35&amp;", ",", "&amp;'Giao nhận &amp; Theo dõi đơn'!$B$7:$B$500&amp;", ")),--('Giao nhận &amp; Theo dõi đơn'!$AT$7:$AT$500="N/A"))+SUMPRODUCT(--ISNUMBER(SEARCH(", "&amp;$B35&amp;", ",", "&amp;'Bảng tin &amp; Chi tiết tin'!$B$7:$B$500&amp;", ")),--('Bảng tin &amp; Chi tiết tin'!$AT$7:$AT$500="N/A"))+SUMPRODUCT(--ISNUMBER(SEARCH(", "&amp;$B35&amp;", ",", "&amp;'Quà cảm ơn'!$B$7:$B$500&amp;", ")),--('Quà cảm ơn'!$AT$7:$AT$500="N/A"))+SUMPRODUCT(--ISNUMBER(SEARCH(", "&amp;$B35&amp;", ",", "&amp;'Trang chủ'!$B$7:$B$500&amp;", ")),--('Trang chủ'!$AT$7:$AT$500="N/A"))+SUMPRODUCT(--ISNUMBER(SEARCH(", "&amp;$B35&amp;", ",", "&amp;'Thông báo'!$B$7:$B$500&amp;", ")),--('Thông báo'!$AT$7:$AT$500="N/A"))+SUMPRODUCT(--ISNUMBER(SEARCH(", "&amp;$B35&amp;", ",", "&amp;'Đăng tin &amp; Quản lý tin'!$B$7:$B$500&amp;", ")),--('Đăng tin &amp; Quản lý tin'!$AT$7:$AT$500="N/A"))+SUMPRODUCT(--ISNUMBER(SEARCH(", "&amp;$B35&amp;", ",", "&amp;'Trust &amp; Safety'!$B$7:$B$500&amp;", ")),--('Trust &amp; Safety'!$AT$7:$AT$500="N/A"))+SUMPRODUCT(--ISNUMBER(SEARCH(", "&amp;$B35&amp;", ",", "&amp;'Tài khoản &amp; Hồ sơ'!$B$7:$B$500&amp;", ")),--('Tài khoản &amp; Hồ sơ'!$AT$7:$AT$500="N/A"))</f>
        <v>0</v>
      </c>
      <c r="K35" s="52" t="n">
        <f aca="false">IFERROR(F35/E35,0)</f>
        <v>0</v>
      </c>
      <c r="L35" s="123" t="str">
        <f aca="false">IF(E35=0,"Chưa có TC (gap)",IF(H35&gt;0,"Có lỗi (Fail)",IF(I35&gt;0,"Bị block",IF(F35&lt;E35,"Đang test",IF(G35=0,"Không áp dụng (N/A)","Đã test xong")))))</f>
        <v>Đang test</v>
      </c>
      <c r="AB35" s="1" t="s">
        <v>428</v>
      </c>
    </row>
    <row r="36" customFormat="false" ht="15.75" hidden="false" customHeight="true" outlineLevel="0" collapsed="false">
      <c r="B36" s="175" t="s">
        <v>508</v>
      </c>
      <c r="C36" s="176"/>
      <c r="D36" s="123" t="s">
        <v>505</v>
      </c>
      <c r="E36" s="51" t="n">
        <f aca="false">SUMPRODUCT(--ISNUMBER(SEARCH(", "&amp;$B36&amp;", ",", "&amp;'Hoạt động (Đơn của tôi)'!$B$7:$B$500&amp;", ")))+SUMPRODUCT(--ISNUMBER(SEARCH(", "&amp;$B36&amp;", ",", "&amp;'Ghép nối'!$B$7:$B$500&amp;", ")))+SUMPRODUCT(--ISNUMBER(SEARCH(", "&amp;$B36&amp;", ",", "&amp;'Huỷ đơn - Huỷ nhận đơn'!$B$7:$B$500&amp;", ")))+SUMPRODUCT(--ISNUMBER(SEARCH(", "&amp;$B36&amp;", ",", "&amp;'Giao nhận &amp; Theo dõi đơn'!$B$7:$B$500&amp;", ")))+SUMPRODUCT(--ISNUMBER(SEARCH(", "&amp;$B36&amp;", ",", "&amp;'Bảng tin &amp; Chi tiết tin'!$B$7:$B$500&amp;", ")))+SUMPRODUCT(--ISNUMBER(SEARCH(", "&amp;$B36&amp;", ",", "&amp;'Quà cảm ơn'!$B$7:$B$500&amp;", ")))+SUMPRODUCT(--ISNUMBER(SEARCH(", "&amp;$B36&amp;", ",", "&amp;'Trang chủ'!$B$7:$B$500&amp;", ")))+SUMPRODUCT(--ISNUMBER(SEARCH(", "&amp;$B36&amp;", ",", "&amp;'Thông báo'!$B$7:$B$500&amp;", ")))+SUMPRODUCT(--ISNUMBER(SEARCH(", "&amp;$B36&amp;", ",", "&amp;'Đăng tin &amp; Quản lý tin'!$B$7:$B$500&amp;", ")))+SUMPRODUCT(--ISNUMBER(SEARCH(", "&amp;$B36&amp;", ",", "&amp;'Trust &amp; Safety'!$B$7:$B$500&amp;", ")))+SUMPRODUCT(--ISNUMBER(SEARCH(", "&amp;$B36&amp;", ",", "&amp;'Tài khoản &amp; Hồ sơ'!$B$7:$B$500&amp;", ")))</f>
        <v>2</v>
      </c>
      <c r="F36" s="51" t="n">
        <f aca="false">SUMPRODUCT(--ISNUMBER(SEARCH(", "&amp;$B36&amp;", ",", "&amp;'Hoạt động (Đơn của tôi)'!$B$7:$B$500&amp;", ")),--('Hoạt động (Đơn của tôi)'!$AT$7:$AT$500&lt;&gt;""))+SUMPRODUCT(--ISNUMBER(SEARCH(", "&amp;$B36&amp;", ",", "&amp;'Ghép nối'!$B$7:$B$500&amp;", ")),--('Ghép nối'!$AT$7:$AT$500&lt;&gt;""))+SUMPRODUCT(--ISNUMBER(SEARCH(", "&amp;$B36&amp;", ",", "&amp;'Huỷ đơn - Huỷ nhận đơn'!$B$7:$B$500&amp;", ")),--('Huỷ đơn - Huỷ nhận đơn'!$AT$7:$AT$500&lt;&gt;""))+SUMPRODUCT(--ISNUMBER(SEARCH(", "&amp;$B36&amp;", ",", "&amp;'Giao nhận &amp; Theo dõi đơn'!$B$7:$B$500&amp;", ")),--('Giao nhận &amp; Theo dõi đơn'!$AT$7:$AT$500&lt;&gt;""))+SUMPRODUCT(--ISNUMBER(SEARCH(", "&amp;$B36&amp;", ",", "&amp;'Bảng tin &amp; Chi tiết tin'!$B$7:$B$500&amp;", ")),--('Bảng tin &amp; Chi tiết tin'!$AT$7:$AT$500&lt;&gt;""))+SUMPRODUCT(--ISNUMBER(SEARCH(", "&amp;$B36&amp;", ",", "&amp;'Quà cảm ơn'!$B$7:$B$500&amp;", ")),--('Quà cảm ơn'!$AT$7:$AT$500&lt;&gt;""))+SUMPRODUCT(--ISNUMBER(SEARCH(", "&amp;$B36&amp;", ",", "&amp;'Trang chủ'!$B$7:$B$500&amp;", ")),--('Trang chủ'!$AT$7:$AT$500&lt;&gt;""))+SUMPRODUCT(--ISNUMBER(SEARCH(", "&amp;$B36&amp;", ",", "&amp;'Thông báo'!$B$7:$B$500&amp;", ")),--('Thông báo'!$AT$7:$AT$500&lt;&gt;""))+SUMPRODUCT(--ISNUMBER(SEARCH(", "&amp;$B36&amp;", ",", "&amp;'Đăng tin &amp; Quản lý tin'!$B$7:$B$500&amp;", ")),--('Đăng tin &amp; Quản lý tin'!$AT$7:$AT$500&lt;&gt;""))+SUMPRODUCT(--ISNUMBER(SEARCH(", "&amp;$B36&amp;", ",", "&amp;'Trust &amp; Safety'!$B$7:$B$500&amp;", ")),--('Trust &amp; Safety'!$AT$7:$AT$500&lt;&gt;""))+SUMPRODUCT(--ISNUMBER(SEARCH(", "&amp;$B36&amp;", ",", "&amp;'Tài khoản &amp; Hồ sơ'!$B$7:$B$500&amp;", ")),--('Tài khoản &amp; Hồ sơ'!$AT$7:$AT$500&lt;&gt;""))</f>
        <v>0</v>
      </c>
      <c r="G36" s="51" t="n">
        <f aca="false">SUMPRODUCT(--ISNUMBER(SEARCH(", "&amp;$B36&amp;", ",", "&amp;'Hoạt động (Đơn của tôi)'!$B$7:$B$500&amp;", ")),--('Hoạt động (Đơn của tôi)'!$AT$7:$AT$500="Pass"))+SUMPRODUCT(--ISNUMBER(SEARCH(", "&amp;$B36&amp;", ",", "&amp;'Ghép nối'!$B$7:$B$500&amp;", ")),--('Ghép nối'!$AT$7:$AT$500="Pass"))+SUMPRODUCT(--ISNUMBER(SEARCH(", "&amp;$B36&amp;", ",", "&amp;'Huỷ đơn - Huỷ nhận đơn'!$B$7:$B$500&amp;", ")),--('Huỷ đơn - Huỷ nhận đơn'!$AT$7:$AT$500="Pass"))+SUMPRODUCT(--ISNUMBER(SEARCH(", "&amp;$B36&amp;", ",", "&amp;'Giao nhận &amp; Theo dõi đơn'!$B$7:$B$500&amp;", ")),--('Giao nhận &amp; Theo dõi đơn'!$AT$7:$AT$500="Pass"))+SUMPRODUCT(--ISNUMBER(SEARCH(", "&amp;$B36&amp;", ",", "&amp;'Bảng tin &amp; Chi tiết tin'!$B$7:$B$500&amp;", ")),--('Bảng tin &amp; Chi tiết tin'!$AT$7:$AT$500="Pass"))+SUMPRODUCT(--ISNUMBER(SEARCH(", "&amp;$B36&amp;", ",", "&amp;'Quà cảm ơn'!$B$7:$B$500&amp;", ")),--('Quà cảm ơn'!$AT$7:$AT$500="Pass"))+SUMPRODUCT(--ISNUMBER(SEARCH(", "&amp;$B36&amp;", ",", "&amp;'Trang chủ'!$B$7:$B$500&amp;", ")),--('Trang chủ'!$AT$7:$AT$500="Pass"))+SUMPRODUCT(--ISNUMBER(SEARCH(", "&amp;$B36&amp;", ",", "&amp;'Thông báo'!$B$7:$B$500&amp;", ")),--('Thông báo'!$AT$7:$AT$500="Pass"))+SUMPRODUCT(--ISNUMBER(SEARCH(", "&amp;$B36&amp;", ",", "&amp;'Đăng tin &amp; Quản lý tin'!$B$7:$B$500&amp;", ")),--('Đăng tin &amp; Quản lý tin'!$AT$7:$AT$500="Pass"))+SUMPRODUCT(--ISNUMBER(SEARCH(", "&amp;$B36&amp;", ",", "&amp;'Trust &amp; Safety'!$B$7:$B$500&amp;", ")),--('Trust &amp; Safety'!$AT$7:$AT$500="Pass"))+SUMPRODUCT(--ISNUMBER(SEARCH(", "&amp;$B36&amp;", ",", "&amp;'Tài khoản &amp; Hồ sơ'!$B$7:$B$500&amp;", ")),--('Tài khoản &amp; Hồ sơ'!$AT$7:$AT$500="Pass"))</f>
        <v>0</v>
      </c>
      <c r="H36" s="51" t="n">
        <f aca="false">SUMPRODUCT(--ISNUMBER(SEARCH(", "&amp;$B36&amp;", ",", "&amp;'Hoạt động (Đơn của tôi)'!$B$7:$B$500&amp;", ")),--('Hoạt động (Đơn của tôi)'!$AT$7:$AT$500="Fail"))+SUMPRODUCT(--ISNUMBER(SEARCH(", "&amp;$B36&amp;", ",", "&amp;'Ghép nối'!$B$7:$B$500&amp;", ")),--('Ghép nối'!$AT$7:$AT$500="Fail"))+SUMPRODUCT(--ISNUMBER(SEARCH(", "&amp;$B36&amp;", ",", "&amp;'Huỷ đơn - Huỷ nhận đơn'!$B$7:$B$500&amp;", ")),--('Huỷ đơn - Huỷ nhận đơn'!$AT$7:$AT$500="Fail"))+SUMPRODUCT(--ISNUMBER(SEARCH(", "&amp;$B36&amp;", ",", "&amp;'Giao nhận &amp; Theo dõi đơn'!$B$7:$B$500&amp;", ")),--('Giao nhận &amp; Theo dõi đơn'!$AT$7:$AT$500="Fail"))+SUMPRODUCT(--ISNUMBER(SEARCH(", "&amp;$B36&amp;", ",", "&amp;'Bảng tin &amp; Chi tiết tin'!$B$7:$B$500&amp;", ")),--('Bảng tin &amp; Chi tiết tin'!$AT$7:$AT$500="Fail"))+SUMPRODUCT(--ISNUMBER(SEARCH(", "&amp;$B36&amp;", ",", "&amp;'Quà cảm ơn'!$B$7:$B$500&amp;", ")),--('Quà cảm ơn'!$AT$7:$AT$500="Fail"))+SUMPRODUCT(--ISNUMBER(SEARCH(", "&amp;$B36&amp;", ",", "&amp;'Trang chủ'!$B$7:$B$500&amp;", ")),--('Trang chủ'!$AT$7:$AT$500="Fail"))+SUMPRODUCT(--ISNUMBER(SEARCH(", "&amp;$B36&amp;", ",", "&amp;'Thông báo'!$B$7:$B$500&amp;", ")),--('Thông báo'!$AT$7:$AT$500="Fail"))+SUMPRODUCT(--ISNUMBER(SEARCH(", "&amp;$B36&amp;", ",", "&amp;'Đăng tin &amp; Quản lý tin'!$B$7:$B$500&amp;", ")),--('Đăng tin &amp; Quản lý tin'!$AT$7:$AT$500="Fail"))+SUMPRODUCT(--ISNUMBER(SEARCH(", "&amp;$B36&amp;", ",", "&amp;'Trust &amp; Safety'!$B$7:$B$500&amp;", ")),--('Trust &amp; Safety'!$AT$7:$AT$500="Fail"))+SUMPRODUCT(--ISNUMBER(SEARCH(", "&amp;$B36&amp;", ",", "&amp;'Tài khoản &amp; Hồ sơ'!$B$7:$B$500&amp;", ")),--('Tài khoản &amp; Hồ sơ'!$AT$7:$AT$500="Fail"))</f>
        <v>0</v>
      </c>
      <c r="I36" s="51" t="n">
        <f aca="false">SUMPRODUCT(--ISNUMBER(SEARCH(", "&amp;$B36&amp;", ",", "&amp;'Hoạt động (Đơn của tôi)'!$B$7:$B$500&amp;", ")),--('Hoạt động (Đơn của tôi)'!$AT$7:$AT$500="Block"))+SUMPRODUCT(--ISNUMBER(SEARCH(", "&amp;$B36&amp;", ",", "&amp;'Ghép nối'!$B$7:$B$500&amp;", ")),--('Ghép nối'!$AT$7:$AT$500="Block"))+SUMPRODUCT(--ISNUMBER(SEARCH(", "&amp;$B36&amp;", ",", "&amp;'Huỷ đơn - Huỷ nhận đơn'!$B$7:$B$500&amp;", ")),--('Huỷ đơn - Huỷ nhận đơn'!$AT$7:$AT$500="Block"))+SUMPRODUCT(--ISNUMBER(SEARCH(", "&amp;$B36&amp;", ",", "&amp;'Giao nhận &amp; Theo dõi đơn'!$B$7:$B$500&amp;", ")),--('Giao nhận &amp; Theo dõi đơn'!$AT$7:$AT$500="Block"))+SUMPRODUCT(--ISNUMBER(SEARCH(", "&amp;$B36&amp;", ",", "&amp;'Bảng tin &amp; Chi tiết tin'!$B$7:$B$500&amp;", ")),--('Bảng tin &amp; Chi tiết tin'!$AT$7:$AT$500="Block"))+SUMPRODUCT(--ISNUMBER(SEARCH(", "&amp;$B36&amp;", ",", "&amp;'Quà cảm ơn'!$B$7:$B$500&amp;", ")),--('Quà cảm ơn'!$AT$7:$AT$500="Block"))+SUMPRODUCT(--ISNUMBER(SEARCH(", "&amp;$B36&amp;", ",", "&amp;'Trang chủ'!$B$7:$B$500&amp;", ")),--('Trang chủ'!$AT$7:$AT$500="Block"))+SUMPRODUCT(--ISNUMBER(SEARCH(", "&amp;$B36&amp;", ",", "&amp;'Thông báo'!$B$7:$B$500&amp;", ")),--('Thông báo'!$AT$7:$AT$500="Block"))+SUMPRODUCT(--ISNUMBER(SEARCH(", "&amp;$B36&amp;", ",", "&amp;'Đăng tin &amp; Quản lý tin'!$B$7:$B$500&amp;", ")),--('Đăng tin &amp; Quản lý tin'!$AT$7:$AT$500="Block"))+SUMPRODUCT(--ISNUMBER(SEARCH(", "&amp;$B36&amp;", ",", "&amp;'Trust &amp; Safety'!$B$7:$B$500&amp;", ")),--('Trust &amp; Safety'!$AT$7:$AT$500="Block"))+SUMPRODUCT(--ISNUMBER(SEARCH(", "&amp;$B36&amp;", ",", "&amp;'Tài khoản &amp; Hồ sơ'!$B$7:$B$500&amp;", ")),--('Tài khoản &amp; Hồ sơ'!$AT$7:$AT$500="Block"))</f>
        <v>0</v>
      </c>
      <c r="J36" s="51" t="n">
        <f aca="false">SUMPRODUCT(--ISNUMBER(SEARCH(", "&amp;$B36&amp;", ",", "&amp;'Hoạt động (Đơn của tôi)'!$B$7:$B$500&amp;", ")),--('Hoạt động (Đơn của tôi)'!$AT$7:$AT$500="N/A"))+SUMPRODUCT(--ISNUMBER(SEARCH(", "&amp;$B36&amp;", ",", "&amp;'Ghép nối'!$B$7:$B$500&amp;", ")),--('Ghép nối'!$AT$7:$AT$500="N/A"))+SUMPRODUCT(--ISNUMBER(SEARCH(", "&amp;$B36&amp;", ",", "&amp;'Huỷ đơn - Huỷ nhận đơn'!$B$7:$B$500&amp;", ")),--('Huỷ đơn - Huỷ nhận đơn'!$AT$7:$AT$500="N/A"))+SUMPRODUCT(--ISNUMBER(SEARCH(", "&amp;$B36&amp;", ",", "&amp;'Giao nhận &amp; Theo dõi đơn'!$B$7:$B$500&amp;", ")),--('Giao nhận &amp; Theo dõi đơn'!$AT$7:$AT$500="N/A"))+SUMPRODUCT(--ISNUMBER(SEARCH(", "&amp;$B36&amp;", ",", "&amp;'Bảng tin &amp; Chi tiết tin'!$B$7:$B$500&amp;", ")),--('Bảng tin &amp; Chi tiết tin'!$AT$7:$AT$500="N/A"))+SUMPRODUCT(--ISNUMBER(SEARCH(", "&amp;$B36&amp;", ",", "&amp;'Quà cảm ơn'!$B$7:$B$500&amp;", ")),--('Quà cảm ơn'!$AT$7:$AT$500="N/A"))+SUMPRODUCT(--ISNUMBER(SEARCH(", "&amp;$B36&amp;", ",", "&amp;'Trang chủ'!$B$7:$B$500&amp;", ")),--('Trang chủ'!$AT$7:$AT$500="N/A"))+SUMPRODUCT(--ISNUMBER(SEARCH(", "&amp;$B36&amp;", ",", "&amp;'Thông báo'!$B$7:$B$500&amp;", ")),--('Thông báo'!$AT$7:$AT$500="N/A"))+SUMPRODUCT(--ISNUMBER(SEARCH(", "&amp;$B36&amp;", ",", "&amp;'Đăng tin &amp; Quản lý tin'!$B$7:$B$500&amp;", ")),--('Đăng tin &amp; Quản lý tin'!$AT$7:$AT$500="N/A"))+SUMPRODUCT(--ISNUMBER(SEARCH(", "&amp;$B36&amp;", ",", "&amp;'Trust &amp; Safety'!$B$7:$B$500&amp;", ")),--('Trust &amp; Safety'!$AT$7:$AT$500="N/A"))+SUMPRODUCT(--ISNUMBER(SEARCH(", "&amp;$B36&amp;", ",", "&amp;'Tài khoản &amp; Hồ sơ'!$B$7:$B$500&amp;", ")),--('Tài khoản &amp; Hồ sơ'!$AT$7:$AT$500="N/A"))</f>
        <v>0</v>
      </c>
      <c r="K36" s="52" t="n">
        <f aca="false">IFERROR(F36/E36,0)</f>
        <v>0</v>
      </c>
      <c r="L36" s="123" t="str">
        <f aca="false">IF(E36=0,"Chưa có TC (gap)",IF(H36&gt;0,"Có lỗi (Fail)",IF(I36&gt;0,"Bị block",IF(F36&lt;E36,"Đang test",IF(G36=0,"Không áp dụng (N/A)","Đã test xong")))))</f>
        <v>Đang test</v>
      </c>
      <c r="AB36" s="1" t="s">
        <v>428</v>
      </c>
    </row>
    <row r="37" customFormat="false" ht="15.75" hidden="false" customHeight="true" outlineLevel="0" collapsed="false">
      <c r="B37" s="175" t="s">
        <v>509</v>
      </c>
      <c r="C37" s="176"/>
      <c r="D37" s="123" t="s">
        <v>510</v>
      </c>
      <c r="E37" s="51" t="n">
        <f aca="false">SUMPRODUCT(--ISNUMBER(SEARCH(", "&amp;$B37&amp;", ",", "&amp;'Hoạt động (Đơn của tôi)'!$B$7:$B$500&amp;", ")))+SUMPRODUCT(--ISNUMBER(SEARCH(", "&amp;$B37&amp;", ",", "&amp;'Ghép nối'!$B$7:$B$500&amp;", ")))+SUMPRODUCT(--ISNUMBER(SEARCH(", "&amp;$B37&amp;", ",", "&amp;'Huỷ đơn - Huỷ nhận đơn'!$B$7:$B$500&amp;", ")))+SUMPRODUCT(--ISNUMBER(SEARCH(", "&amp;$B37&amp;", ",", "&amp;'Giao nhận &amp; Theo dõi đơn'!$B$7:$B$500&amp;", ")))+SUMPRODUCT(--ISNUMBER(SEARCH(", "&amp;$B37&amp;", ",", "&amp;'Bảng tin &amp; Chi tiết tin'!$B$7:$B$500&amp;", ")))+SUMPRODUCT(--ISNUMBER(SEARCH(", "&amp;$B37&amp;", ",", "&amp;'Quà cảm ơn'!$B$7:$B$500&amp;", ")))+SUMPRODUCT(--ISNUMBER(SEARCH(", "&amp;$B37&amp;", ",", "&amp;'Trang chủ'!$B$7:$B$500&amp;", ")))+SUMPRODUCT(--ISNUMBER(SEARCH(", "&amp;$B37&amp;", ",", "&amp;'Thông báo'!$B$7:$B$500&amp;", ")))+SUMPRODUCT(--ISNUMBER(SEARCH(", "&amp;$B37&amp;", ",", "&amp;'Đăng tin &amp; Quản lý tin'!$B$7:$B$500&amp;", ")))+SUMPRODUCT(--ISNUMBER(SEARCH(", "&amp;$B37&amp;", ",", "&amp;'Trust &amp; Safety'!$B$7:$B$500&amp;", ")))+SUMPRODUCT(--ISNUMBER(SEARCH(", "&amp;$B37&amp;", ",", "&amp;'Tài khoản &amp; Hồ sơ'!$B$7:$B$500&amp;", ")))</f>
        <v>1</v>
      </c>
      <c r="F37" s="51" t="n">
        <f aca="false">SUMPRODUCT(--ISNUMBER(SEARCH(", "&amp;$B37&amp;", ",", "&amp;'Hoạt động (Đơn của tôi)'!$B$7:$B$500&amp;", ")),--('Hoạt động (Đơn của tôi)'!$AT$7:$AT$500&lt;&gt;""))+SUMPRODUCT(--ISNUMBER(SEARCH(", "&amp;$B37&amp;", ",", "&amp;'Ghép nối'!$B$7:$B$500&amp;", ")),--('Ghép nối'!$AT$7:$AT$500&lt;&gt;""))+SUMPRODUCT(--ISNUMBER(SEARCH(", "&amp;$B37&amp;", ",", "&amp;'Huỷ đơn - Huỷ nhận đơn'!$B$7:$B$500&amp;", ")),--('Huỷ đơn - Huỷ nhận đơn'!$AT$7:$AT$500&lt;&gt;""))+SUMPRODUCT(--ISNUMBER(SEARCH(", "&amp;$B37&amp;", ",", "&amp;'Giao nhận &amp; Theo dõi đơn'!$B$7:$B$500&amp;", ")),--('Giao nhận &amp; Theo dõi đơn'!$AT$7:$AT$500&lt;&gt;""))+SUMPRODUCT(--ISNUMBER(SEARCH(", "&amp;$B37&amp;", ",", "&amp;'Bảng tin &amp; Chi tiết tin'!$B$7:$B$500&amp;", ")),--('Bảng tin &amp; Chi tiết tin'!$AT$7:$AT$500&lt;&gt;""))+SUMPRODUCT(--ISNUMBER(SEARCH(", "&amp;$B37&amp;", ",", "&amp;'Quà cảm ơn'!$B$7:$B$500&amp;", ")),--('Quà cảm ơn'!$AT$7:$AT$500&lt;&gt;""))+SUMPRODUCT(--ISNUMBER(SEARCH(", "&amp;$B37&amp;", ",", "&amp;'Trang chủ'!$B$7:$B$500&amp;", ")),--('Trang chủ'!$AT$7:$AT$500&lt;&gt;""))+SUMPRODUCT(--ISNUMBER(SEARCH(", "&amp;$B37&amp;", ",", "&amp;'Thông báo'!$B$7:$B$500&amp;", ")),--('Thông báo'!$AT$7:$AT$500&lt;&gt;""))+SUMPRODUCT(--ISNUMBER(SEARCH(", "&amp;$B37&amp;", ",", "&amp;'Đăng tin &amp; Quản lý tin'!$B$7:$B$500&amp;", ")),--('Đăng tin &amp; Quản lý tin'!$AT$7:$AT$500&lt;&gt;""))+SUMPRODUCT(--ISNUMBER(SEARCH(", "&amp;$B37&amp;", ",", "&amp;'Trust &amp; Safety'!$B$7:$B$500&amp;", ")),--('Trust &amp; Safety'!$AT$7:$AT$500&lt;&gt;""))+SUMPRODUCT(--ISNUMBER(SEARCH(", "&amp;$B37&amp;", ",", "&amp;'Tài khoản &amp; Hồ sơ'!$B$7:$B$500&amp;", ")),--('Tài khoản &amp; Hồ sơ'!$AT$7:$AT$500&lt;&gt;""))</f>
        <v>0</v>
      </c>
      <c r="G37" s="51" t="n">
        <f aca="false">SUMPRODUCT(--ISNUMBER(SEARCH(", "&amp;$B37&amp;", ",", "&amp;'Hoạt động (Đơn của tôi)'!$B$7:$B$500&amp;", ")),--('Hoạt động (Đơn của tôi)'!$AT$7:$AT$500="Pass"))+SUMPRODUCT(--ISNUMBER(SEARCH(", "&amp;$B37&amp;", ",", "&amp;'Ghép nối'!$B$7:$B$500&amp;", ")),--('Ghép nối'!$AT$7:$AT$500="Pass"))+SUMPRODUCT(--ISNUMBER(SEARCH(", "&amp;$B37&amp;", ",", "&amp;'Huỷ đơn - Huỷ nhận đơn'!$B$7:$B$500&amp;", ")),--('Huỷ đơn - Huỷ nhận đơn'!$AT$7:$AT$500="Pass"))+SUMPRODUCT(--ISNUMBER(SEARCH(", "&amp;$B37&amp;", ",", "&amp;'Giao nhận &amp; Theo dõi đơn'!$B$7:$B$500&amp;", ")),--('Giao nhận &amp; Theo dõi đơn'!$AT$7:$AT$500="Pass"))+SUMPRODUCT(--ISNUMBER(SEARCH(", "&amp;$B37&amp;", ",", "&amp;'Bảng tin &amp; Chi tiết tin'!$B$7:$B$500&amp;", ")),--('Bảng tin &amp; Chi tiết tin'!$AT$7:$AT$500="Pass"))+SUMPRODUCT(--ISNUMBER(SEARCH(", "&amp;$B37&amp;", ",", "&amp;'Quà cảm ơn'!$B$7:$B$500&amp;", ")),--('Quà cảm ơn'!$AT$7:$AT$500="Pass"))+SUMPRODUCT(--ISNUMBER(SEARCH(", "&amp;$B37&amp;", ",", "&amp;'Trang chủ'!$B$7:$B$500&amp;", ")),--('Trang chủ'!$AT$7:$AT$500="Pass"))+SUMPRODUCT(--ISNUMBER(SEARCH(", "&amp;$B37&amp;", ",", "&amp;'Thông báo'!$B$7:$B$500&amp;", ")),--('Thông báo'!$AT$7:$AT$500="Pass"))+SUMPRODUCT(--ISNUMBER(SEARCH(", "&amp;$B37&amp;", ",", "&amp;'Đăng tin &amp; Quản lý tin'!$B$7:$B$500&amp;", ")),--('Đăng tin &amp; Quản lý tin'!$AT$7:$AT$500="Pass"))+SUMPRODUCT(--ISNUMBER(SEARCH(", "&amp;$B37&amp;", ",", "&amp;'Trust &amp; Safety'!$B$7:$B$500&amp;", ")),--('Trust &amp; Safety'!$AT$7:$AT$500="Pass"))+SUMPRODUCT(--ISNUMBER(SEARCH(", "&amp;$B37&amp;", ",", "&amp;'Tài khoản &amp; Hồ sơ'!$B$7:$B$500&amp;", ")),--('Tài khoản &amp; Hồ sơ'!$AT$7:$AT$500="Pass"))</f>
        <v>0</v>
      </c>
      <c r="H37" s="51" t="n">
        <f aca="false">SUMPRODUCT(--ISNUMBER(SEARCH(", "&amp;$B37&amp;", ",", "&amp;'Hoạt động (Đơn của tôi)'!$B$7:$B$500&amp;", ")),--('Hoạt động (Đơn của tôi)'!$AT$7:$AT$500="Fail"))+SUMPRODUCT(--ISNUMBER(SEARCH(", "&amp;$B37&amp;", ",", "&amp;'Ghép nối'!$B$7:$B$500&amp;", ")),--('Ghép nối'!$AT$7:$AT$500="Fail"))+SUMPRODUCT(--ISNUMBER(SEARCH(", "&amp;$B37&amp;", ",", "&amp;'Huỷ đơn - Huỷ nhận đơn'!$B$7:$B$500&amp;", ")),--('Huỷ đơn - Huỷ nhận đơn'!$AT$7:$AT$500="Fail"))+SUMPRODUCT(--ISNUMBER(SEARCH(", "&amp;$B37&amp;", ",", "&amp;'Giao nhận &amp; Theo dõi đơn'!$B$7:$B$500&amp;", ")),--('Giao nhận &amp; Theo dõi đơn'!$AT$7:$AT$500="Fail"))+SUMPRODUCT(--ISNUMBER(SEARCH(", "&amp;$B37&amp;", ",", "&amp;'Bảng tin &amp; Chi tiết tin'!$B$7:$B$500&amp;", ")),--('Bảng tin &amp; Chi tiết tin'!$AT$7:$AT$500="Fail"))+SUMPRODUCT(--ISNUMBER(SEARCH(", "&amp;$B37&amp;", ",", "&amp;'Quà cảm ơn'!$B$7:$B$500&amp;", ")),--('Quà cảm ơn'!$AT$7:$AT$500="Fail"))+SUMPRODUCT(--ISNUMBER(SEARCH(", "&amp;$B37&amp;", ",", "&amp;'Trang chủ'!$B$7:$B$500&amp;", ")),--('Trang chủ'!$AT$7:$AT$500="Fail"))+SUMPRODUCT(--ISNUMBER(SEARCH(", "&amp;$B37&amp;", ",", "&amp;'Thông báo'!$B$7:$B$500&amp;", ")),--('Thông báo'!$AT$7:$AT$500="Fail"))+SUMPRODUCT(--ISNUMBER(SEARCH(", "&amp;$B37&amp;", ",", "&amp;'Đăng tin &amp; Quản lý tin'!$B$7:$B$500&amp;", ")),--('Đăng tin &amp; Quản lý tin'!$AT$7:$AT$500="Fail"))+SUMPRODUCT(--ISNUMBER(SEARCH(", "&amp;$B37&amp;", ",", "&amp;'Trust &amp; Safety'!$B$7:$B$500&amp;", ")),--('Trust &amp; Safety'!$AT$7:$AT$500="Fail"))+SUMPRODUCT(--ISNUMBER(SEARCH(", "&amp;$B37&amp;", ",", "&amp;'Tài khoản &amp; Hồ sơ'!$B$7:$B$500&amp;", ")),--('Tài khoản &amp; Hồ sơ'!$AT$7:$AT$500="Fail"))</f>
        <v>0</v>
      </c>
      <c r="I37" s="51" t="n">
        <f aca="false">SUMPRODUCT(--ISNUMBER(SEARCH(", "&amp;$B37&amp;", ",", "&amp;'Hoạt động (Đơn của tôi)'!$B$7:$B$500&amp;", ")),--('Hoạt động (Đơn của tôi)'!$AT$7:$AT$500="Block"))+SUMPRODUCT(--ISNUMBER(SEARCH(", "&amp;$B37&amp;", ",", "&amp;'Ghép nối'!$B$7:$B$500&amp;", ")),--('Ghép nối'!$AT$7:$AT$500="Block"))+SUMPRODUCT(--ISNUMBER(SEARCH(", "&amp;$B37&amp;", ",", "&amp;'Huỷ đơn - Huỷ nhận đơn'!$B$7:$B$500&amp;", ")),--('Huỷ đơn - Huỷ nhận đơn'!$AT$7:$AT$500="Block"))+SUMPRODUCT(--ISNUMBER(SEARCH(", "&amp;$B37&amp;", ",", "&amp;'Giao nhận &amp; Theo dõi đơn'!$B$7:$B$500&amp;", ")),--('Giao nhận &amp; Theo dõi đơn'!$AT$7:$AT$500="Block"))+SUMPRODUCT(--ISNUMBER(SEARCH(", "&amp;$B37&amp;", ",", "&amp;'Bảng tin &amp; Chi tiết tin'!$B$7:$B$500&amp;", ")),--('Bảng tin &amp; Chi tiết tin'!$AT$7:$AT$500="Block"))+SUMPRODUCT(--ISNUMBER(SEARCH(", "&amp;$B37&amp;", ",", "&amp;'Quà cảm ơn'!$B$7:$B$500&amp;", ")),--('Quà cảm ơn'!$AT$7:$AT$500="Block"))+SUMPRODUCT(--ISNUMBER(SEARCH(", "&amp;$B37&amp;", ",", "&amp;'Trang chủ'!$B$7:$B$500&amp;", ")),--('Trang chủ'!$AT$7:$AT$500="Block"))+SUMPRODUCT(--ISNUMBER(SEARCH(", "&amp;$B37&amp;", ",", "&amp;'Thông báo'!$B$7:$B$500&amp;", ")),--('Thông báo'!$AT$7:$AT$500="Block"))+SUMPRODUCT(--ISNUMBER(SEARCH(", "&amp;$B37&amp;", ",", "&amp;'Đăng tin &amp; Quản lý tin'!$B$7:$B$500&amp;", ")),--('Đăng tin &amp; Quản lý tin'!$AT$7:$AT$500="Block"))+SUMPRODUCT(--ISNUMBER(SEARCH(", "&amp;$B37&amp;", ",", "&amp;'Trust &amp; Safety'!$B$7:$B$500&amp;", ")),--('Trust &amp; Safety'!$AT$7:$AT$500="Block"))+SUMPRODUCT(--ISNUMBER(SEARCH(", "&amp;$B37&amp;", ",", "&amp;'Tài khoản &amp; Hồ sơ'!$B$7:$B$500&amp;", ")),--('Tài khoản &amp; Hồ sơ'!$AT$7:$AT$500="Block"))</f>
        <v>0</v>
      </c>
      <c r="J37" s="51" t="n">
        <f aca="false">SUMPRODUCT(--ISNUMBER(SEARCH(", "&amp;$B37&amp;", ",", "&amp;'Hoạt động (Đơn của tôi)'!$B$7:$B$500&amp;", ")),--('Hoạt động (Đơn của tôi)'!$AT$7:$AT$500="N/A"))+SUMPRODUCT(--ISNUMBER(SEARCH(", "&amp;$B37&amp;", ",", "&amp;'Ghép nối'!$B$7:$B$500&amp;", ")),--('Ghép nối'!$AT$7:$AT$500="N/A"))+SUMPRODUCT(--ISNUMBER(SEARCH(", "&amp;$B37&amp;", ",", "&amp;'Huỷ đơn - Huỷ nhận đơn'!$B$7:$B$500&amp;", ")),--('Huỷ đơn - Huỷ nhận đơn'!$AT$7:$AT$500="N/A"))+SUMPRODUCT(--ISNUMBER(SEARCH(", "&amp;$B37&amp;", ",", "&amp;'Giao nhận &amp; Theo dõi đơn'!$B$7:$B$500&amp;", ")),--('Giao nhận &amp; Theo dõi đơn'!$AT$7:$AT$500="N/A"))+SUMPRODUCT(--ISNUMBER(SEARCH(", "&amp;$B37&amp;", ",", "&amp;'Bảng tin &amp; Chi tiết tin'!$B$7:$B$500&amp;", ")),--('Bảng tin &amp; Chi tiết tin'!$AT$7:$AT$500="N/A"))+SUMPRODUCT(--ISNUMBER(SEARCH(", "&amp;$B37&amp;", ",", "&amp;'Quà cảm ơn'!$B$7:$B$500&amp;", ")),--('Quà cảm ơn'!$AT$7:$AT$500="N/A"))+SUMPRODUCT(--ISNUMBER(SEARCH(", "&amp;$B37&amp;", ",", "&amp;'Trang chủ'!$B$7:$B$500&amp;", ")),--('Trang chủ'!$AT$7:$AT$500="N/A"))+SUMPRODUCT(--ISNUMBER(SEARCH(", "&amp;$B37&amp;", ",", "&amp;'Thông báo'!$B$7:$B$500&amp;", ")),--('Thông báo'!$AT$7:$AT$500="N/A"))+SUMPRODUCT(--ISNUMBER(SEARCH(", "&amp;$B37&amp;", ",", "&amp;'Đăng tin &amp; Quản lý tin'!$B$7:$B$500&amp;", ")),--('Đăng tin &amp; Quản lý tin'!$AT$7:$AT$500="N/A"))+SUMPRODUCT(--ISNUMBER(SEARCH(", "&amp;$B37&amp;", ",", "&amp;'Trust &amp; Safety'!$B$7:$B$500&amp;", ")),--('Trust &amp; Safety'!$AT$7:$AT$500="N/A"))+SUMPRODUCT(--ISNUMBER(SEARCH(", "&amp;$B37&amp;", ",", "&amp;'Tài khoản &amp; Hồ sơ'!$B$7:$B$500&amp;", ")),--('Tài khoản &amp; Hồ sơ'!$AT$7:$AT$500="N/A"))</f>
        <v>0</v>
      </c>
      <c r="K37" s="52" t="n">
        <f aca="false">IFERROR(F37/E37,0)</f>
        <v>0</v>
      </c>
      <c r="L37" s="123" t="str">
        <f aca="false">IF(E37=0,"Chưa có TC (gap)",IF(H37&gt;0,"Có lỗi (Fail)",IF(I37&gt;0,"Bị block",IF(F37&lt;E37,"Đang test",IF(G37=0,"Không áp dụng (N/A)","Đã test xong")))))</f>
        <v>Đang test</v>
      </c>
      <c r="AB37" s="1" t="s">
        <v>428</v>
      </c>
    </row>
    <row r="38" customFormat="false" ht="15.75" hidden="false" customHeight="true" outlineLevel="0" collapsed="false">
      <c r="B38" s="175" t="s">
        <v>511</v>
      </c>
      <c r="C38" s="176" t="s">
        <v>512</v>
      </c>
      <c r="D38" s="123" t="s">
        <v>513</v>
      </c>
      <c r="E38" s="51" t="n">
        <f aca="false">SUMPRODUCT(--ISNUMBER(SEARCH(", "&amp;$B38&amp;", ",", "&amp;'Hoạt động (Đơn của tôi)'!$B$7:$B$500&amp;", ")))+SUMPRODUCT(--ISNUMBER(SEARCH(", "&amp;$B38&amp;", ",", "&amp;'Ghép nối'!$B$7:$B$500&amp;", ")))+SUMPRODUCT(--ISNUMBER(SEARCH(", "&amp;$B38&amp;", ",", "&amp;'Huỷ đơn - Huỷ nhận đơn'!$B$7:$B$500&amp;", ")))+SUMPRODUCT(--ISNUMBER(SEARCH(", "&amp;$B38&amp;", ",", "&amp;'Giao nhận &amp; Theo dõi đơn'!$B$7:$B$500&amp;", ")))+SUMPRODUCT(--ISNUMBER(SEARCH(", "&amp;$B38&amp;", ",", "&amp;'Bảng tin &amp; Chi tiết tin'!$B$7:$B$500&amp;", ")))+SUMPRODUCT(--ISNUMBER(SEARCH(", "&amp;$B38&amp;", ",", "&amp;'Quà cảm ơn'!$B$7:$B$500&amp;", ")))+SUMPRODUCT(--ISNUMBER(SEARCH(", "&amp;$B38&amp;", ",", "&amp;'Trang chủ'!$B$7:$B$500&amp;", ")))+SUMPRODUCT(--ISNUMBER(SEARCH(", "&amp;$B38&amp;", ",", "&amp;'Thông báo'!$B$7:$B$500&amp;", ")))+SUMPRODUCT(--ISNUMBER(SEARCH(", "&amp;$B38&amp;", ",", "&amp;'Đăng tin &amp; Quản lý tin'!$B$7:$B$500&amp;", ")))+SUMPRODUCT(--ISNUMBER(SEARCH(", "&amp;$B38&amp;", ",", "&amp;'Trust &amp; Safety'!$B$7:$B$500&amp;", ")))+SUMPRODUCT(--ISNUMBER(SEARCH(", "&amp;$B38&amp;", ",", "&amp;'Tài khoản &amp; Hồ sơ'!$B$7:$B$500&amp;", ")))</f>
        <v>1</v>
      </c>
      <c r="F38" s="51" t="n">
        <f aca="false">SUMPRODUCT(--ISNUMBER(SEARCH(", "&amp;$B38&amp;", ",", "&amp;'Hoạt động (Đơn của tôi)'!$B$7:$B$500&amp;", ")),--('Hoạt động (Đơn của tôi)'!$AT$7:$AT$500&lt;&gt;""))+SUMPRODUCT(--ISNUMBER(SEARCH(", "&amp;$B38&amp;", ",", "&amp;'Ghép nối'!$B$7:$B$500&amp;", ")),--('Ghép nối'!$AT$7:$AT$500&lt;&gt;""))+SUMPRODUCT(--ISNUMBER(SEARCH(", "&amp;$B38&amp;", ",", "&amp;'Huỷ đơn - Huỷ nhận đơn'!$B$7:$B$500&amp;", ")),--('Huỷ đơn - Huỷ nhận đơn'!$AT$7:$AT$500&lt;&gt;""))+SUMPRODUCT(--ISNUMBER(SEARCH(", "&amp;$B38&amp;", ",", "&amp;'Giao nhận &amp; Theo dõi đơn'!$B$7:$B$500&amp;", ")),--('Giao nhận &amp; Theo dõi đơn'!$AT$7:$AT$500&lt;&gt;""))+SUMPRODUCT(--ISNUMBER(SEARCH(", "&amp;$B38&amp;", ",", "&amp;'Bảng tin &amp; Chi tiết tin'!$B$7:$B$500&amp;", ")),--('Bảng tin &amp; Chi tiết tin'!$AT$7:$AT$500&lt;&gt;""))+SUMPRODUCT(--ISNUMBER(SEARCH(", "&amp;$B38&amp;", ",", "&amp;'Quà cảm ơn'!$B$7:$B$500&amp;", ")),--('Quà cảm ơn'!$AT$7:$AT$500&lt;&gt;""))+SUMPRODUCT(--ISNUMBER(SEARCH(", "&amp;$B38&amp;", ",", "&amp;'Trang chủ'!$B$7:$B$500&amp;", ")),--('Trang chủ'!$AT$7:$AT$500&lt;&gt;""))+SUMPRODUCT(--ISNUMBER(SEARCH(", "&amp;$B38&amp;", ",", "&amp;'Thông báo'!$B$7:$B$500&amp;", ")),--('Thông báo'!$AT$7:$AT$500&lt;&gt;""))+SUMPRODUCT(--ISNUMBER(SEARCH(", "&amp;$B38&amp;", ",", "&amp;'Đăng tin &amp; Quản lý tin'!$B$7:$B$500&amp;", ")),--('Đăng tin &amp; Quản lý tin'!$AT$7:$AT$500&lt;&gt;""))+SUMPRODUCT(--ISNUMBER(SEARCH(", "&amp;$B38&amp;", ",", "&amp;'Trust &amp; Safety'!$B$7:$B$500&amp;", ")),--('Trust &amp; Safety'!$AT$7:$AT$500&lt;&gt;""))+SUMPRODUCT(--ISNUMBER(SEARCH(", "&amp;$B38&amp;", ",", "&amp;'Tài khoản &amp; Hồ sơ'!$B$7:$B$500&amp;", ")),--('Tài khoản &amp; Hồ sơ'!$AT$7:$AT$500&lt;&gt;""))</f>
        <v>0</v>
      </c>
      <c r="G38" s="51" t="n">
        <f aca="false">SUMPRODUCT(--ISNUMBER(SEARCH(", "&amp;$B38&amp;", ",", "&amp;'Hoạt động (Đơn của tôi)'!$B$7:$B$500&amp;", ")),--('Hoạt động (Đơn của tôi)'!$AT$7:$AT$500="Pass"))+SUMPRODUCT(--ISNUMBER(SEARCH(", "&amp;$B38&amp;", ",", "&amp;'Ghép nối'!$B$7:$B$500&amp;", ")),--('Ghép nối'!$AT$7:$AT$500="Pass"))+SUMPRODUCT(--ISNUMBER(SEARCH(", "&amp;$B38&amp;", ",", "&amp;'Huỷ đơn - Huỷ nhận đơn'!$B$7:$B$500&amp;", ")),--('Huỷ đơn - Huỷ nhận đơn'!$AT$7:$AT$500="Pass"))+SUMPRODUCT(--ISNUMBER(SEARCH(", "&amp;$B38&amp;", ",", "&amp;'Giao nhận &amp; Theo dõi đơn'!$B$7:$B$500&amp;", ")),--('Giao nhận &amp; Theo dõi đơn'!$AT$7:$AT$500="Pass"))+SUMPRODUCT(--ISNUMBER(SEARCH(", "&amp;$B38&amp;", ",", "&amp;'Bảng tin &amp; Chi tiết tin'!$B$7:$B$500&amp;", ")),--('Bảng tin &amp; Chi tiết tin'!$AT$7:$AT$500="Pass"))+SUMPRODUCT(--ISNUMBER(SEARCH(", "&amp;$B38&amp;", ",", "&amp;'Quà cảm ơn'!$B$7:$B$500&amp;", ")),--('Quà cảm ơn'!$AT$7:$AT$500="Pass"))+SUMPRODUCT(--ISNUMBER(SEARCH(", "&amp;$B38&amp;", ",", "&amp;'Trang chủ'!$B$7:$B$500&amp;", ")),--('Trang chủ'!$AT$7:$AT$500="Pass"))+SUMPRODUCT(--ISNUMBER(SEARCH(", "&amp;$B38&amp;", ",", "&amp;'Thông báo'!$B$7:$B$500&amp;", ")),--('Thông báo'!$AT$7:$AT$500="Pass"))+SUMPRODUCT(--ISNUMBER(SEARCH(", "&amp;$B38&amp;", ",", "&amp;'Đăng tin &amp; Quản lý tin'!$B$7:$B$500&amp;", ")),--('Đăng tin &amp; Quản lý tin'!$AT$7:$AT$500="Pass"))+SUMPRODUCT(--ISNUMBER(SEARCH(", "&amp;$B38&amp;", ",", "&amp;'Trust &amp; Safety'!$B$7:$B$500&amp;", ")),--('Trust &amp; Safety'!$AT$7:$AT$500="Pass"))+SUMPRODUCT(--ISNUMBER(SEARCH(", "&amp;$B38&amp;", ",", "&amp;'Tài khoản &amp; Hồ sơ'!$B$7:$B$500&amp;", ")),--('Tài khoản &amp; Hồ sơ'!$AT$7:$AT$500="Pass"))</f>
        <v>0</v>
      </c>
      <c r="H38" s="51" t="n">
        <f aca="false">SUMPRODUCT(--ISNUMBER(SEARCH(", "&amp;$B38&amp;", ",", "&amp;'Hoạt động (Đơn của tôi)'!$B$7:$B$500&amp;", ")),--('Hoạt động (Đơn của tôi)'!$AT$7:$AT$500="Fail"))+SUMPRODUCT(--ISNUMBER(SEARCH(", "&amp;$B38&amp;", ",", "&amp;'Ghép nối'!$B$7:$B$500&amp;", ")),--('Ghép nối'!$AT$7:$AT$500="Fail"))+SUMPRODUCT(--ISNUMBER(SEARCH(", "&amp;$B38&amp;", ",", "&amp;'Huỷ đơn - Huỷ nhận đơn'!$B$7:$B$500&amp;", ")),--('Huỷ đơn - Huỷ nhận đơn'!$AT$7:$AT$500="Fail"))+SUMPRODUCT(--ISNUMBER(SEARCH(", "&amp;$B38&amp;", ",", "&amp;'Giao nhận &amp; Theo dõi đơn'!$B$7:$B$500&amp;", ")),--('Giao nhận &amp; Theo dõi đơn'!$AT$7:$AT$500="Fail"))+SUMPRODUCT(--ISNUMBER(SEARCH(", "&amp;$B38&amp;", ",", "&amp;'Bảng tin &amp; Chi tiết tin'!$B$7:$B$500&amp;", ")),--('Bảng tin &amp; Chi tiết tin'!$AT$7:$AT$500="Fail"))+SUMPRODUCT(--ISNUMBER(SEARCH(", "&amp;$B38&amp;", ",", "&amp;'Quà cảm ơn'!$B$7:$B$500&amp;", ")),--('Quà cảm ơn'!$AT$7:$AT$500="Fail"))+SUMPRODUCT(--ISNUMBER(SEARCH(", "&amp;$B38&amp;", ",", "&amp;'Trang chủ'!$B$7:$B$500&amp;", ")),--('Trang chủ'!$AT$7:$AT$500="Fail"))+SUMPRODUCT(--ISNUMBER(SEARCH(", "&amp;$B38&amp;", ",", "&amp;'Thông báo'!$B$7:$B$500&amp;", ")),--('Thông báo'!$AT$7:$AT$500="Fail"))+SUMPRODUCT(--ISNUMBER(SEARCH(", "&amp;$B38&amp;", ",", "&amp;'Đăng tin &amp; Quản lý tin'!$B$7:$B$500&amp;", ")),--('Đăng tin &amp; Quản lý tin'!$AT$7:$AT$500="Fail"))+SUMPRODUCT(--ISNUMBER(SEARCH(", "&amp;$B38&amp;", ",", "&amp;'Trust &amp; Safety'!$B$7:$B$500&amp;", ")),--('Trust &amp; Safety'!$AT$7:$AT$500="Fail"))+SUMPRODUCT(--ISNUMBER(SEARCH(", "&amp;$B38&amp;", ",", "&amp;'Tài khoản &amp; Hồ sơ'!$B$7:$B$500&amp;", ")),--('Tài khoản &amp; Hồ sơ'!$AT$7:$AT$500="Fail"))</f>
        <v>0</v>
      </c>
      <c r="I38" s="51" t="n">
        <f aca="false">SUMPRODUCT(--ISNUMBER(SEARCH(", "&amp;$B38&amp;", ",", "&amp;'Hoạt động (Đơn của tôi)'!$B$7:$B$500&amp;", ")),--('Hoạt động (Đơn của tôi)'!$AT$7:$AT$500="Block"))+SUMPRODUCT(--ISNUMBER(SEARCH(", "&amp;$B38&amp;", ",", "&amp;'Ghép nối'!$B$7:$B$500&amp;", ")),--('Ghép nối'!$AT$7:$AT$500="Block"))+SUMPRODUCT(--ISNUMBER(SEARCH(", "&amp;$B38&amp;", ",", "&amp;'Huỷ đơn - Huỷ nhận đơn'!$B$7:$B$500&amp;", ")),--('Huỷ đơn - Huỷ nhận đơn'!$AT$7:$AT$500="Block"))+SUMPRODUCT(--ISNUMBER(SEARCH(", "&amp;$B38&amp;", ",", "&amp;'Giao nhận &amp; Theo dõi đơn'!$B$7:$B$500&amp;", ")),--('Giao nhận &amp; Theo dõi đơn'!$AT$7:$AT$500="Block"))+SUMPRODUCT(--ISNUMBER(SEARCH(", "&amp;$B38&amp;", ",", "&amp;'Bảng tin &amp; Chi tiết tin'!$B$7:$B$500&amp;", ")),--('Bảng tin &amp; Chi tiết tin'!$AT$7:$AT$500="Block"))+SUMPRODUCT(--ISNUMBER(SEARCH(", "&amp;$B38&amp;", ",", "&amp;'Quà cảm ơn'!$B$7:$B$500&amp;", ")),--('Quà cảm ơn'!$AT$7:$AT$500="Block"))+SUMPRODUCT(--ISNUMBER(SEARCH(", "&amp;$B38&amp;", ",", "&amp;'Trang chủ'!$B$7:$B$500&amp;", ")),--('Trang chủ'!$AT$7:$AT$500="Block"))+SUMPRODUCT(--ISNUMBER(SEARCH(", "&amp;$B38&amp;", ",", "&amp;'Thông báo'!$B$7:$B$500&amp;", ")),--('Thông báo'!$AT$7:$AT$500="Block"))+SUMPRODUCT(--ISNUMBER(SEARCH(", "&amp;$B38&amp;", ",", "&amp;'Đăng tin &amp; Quản lý tin'!$B$7:$B$500&amp;", ")),--('Đăng tin &amp; Quản lý tin'!$AT$7:$AT$500="Block"))+SUMPRODUCT(--ISNUMBER(SEARCH(", "&amp;$B38&amp;", ",", "&amp;'Trust &amp; Safety'!$B$7:$B$500&amp;", ")),--('Trust &amp; Safety'!$AT$7:$AT$500="Block"))+SUMPRODUCT(--ISNUMBER(SEARCH(", "&amp;$B38&amp;", ",", "&amp;'Tài khoản &amp; Hồ sơ'!$B$7:$B$500&amp;", ")),--('Tài khoản &amp; Hồ sơ'!$AT$7:$AT$500="Block"))</f>
        <v>0</v>
      </c>
      <c r="J38" s="51" t="n">
        <f aca="false">SUMPRODUCT(--ISNUMBER(SEARCH(", "&amp;$B38&amp;", ",", "&amp;'Hoạt động (Đơn của tôi)'!$B$7:$B$500&amp;", ")),--('Hoạt động (Đơn của tôi)'!$AT$7:$AT$500="N/A"))+SUMPRODUCT(--ISNUMBER(SEARCH(", "&amp;$B38&amp;", ",", "&amp;'Ghép nối'!$B$7:$B$500&amp;", ")),--('Ghép nối'!$AT$7:$AT$500="N/A"))+SUMPRODUCT(--ISNUMBER(SEARCH(", "&amp;$B38&amp;", ",", "&amp;'Huỷ đơn - Huỷ nhận đơn'!$B$7:$B$500&amp;", ")),--('Huỷ đơn - Huỷ nhận đơn'!$AT$7:$AT$500="N/A"))+SUMPRODUCT(--ISNUMBER(SEARCH(", "&amp;$B38&amp;", ",", "&amp;'Giao nhận &amp; Theo dõi đơn'!$B$7:$B$500&amp;", ")),--('Giao nhận &amp; Theo dõi đơn'!$AT$7:$AT$500="N/A"))+SUMPRODUCT(--ISNUMBER(SEARCH(", "&amp;$B38&amp;", ",", "&amp;'Bảng tin &amp; Chi tiết tin'!$B$7:$B$500&amp;", ")),--('Bảng tin &amp; Chi tiết tin'!$AT$7:$AT$500="N/A"))+SUMPRODUCT(--ISNUMBER(SEARCH(", "&amp;$B38&amp;", ",", "&amp;'Quà cảm ơn'!$B$7:$B$500&amp;", ")),--('Quà cảm ơn'!$AT$7:$AT$500="N/A"))+SUMPRODUCT(--ISNUMBER(SEARCH(", "&amp;$B38&amp;", ",", "&amp;'Trang chủ'!$B$7:$B$500&amp;", ")),--('Trang chủ'!$AT$7:$AT$500="N/A"))+SUMPRODUCT(--ISNUMBER(SEARCH(", "&amp;$B38&amp;", ",", "&amp;'Thông báo'!$B$7:$B$500&amp;", ")),--('Thông báo'!$AT$7:$AT$500="N/A"))+SUMPRODUCT(--ISNUMBER(SEARCH(", "&amp;$B38&amp;", ",", "&amp;'Đăng tin &amp; Quản lý tin'!$B$7:$B$500&amp;", ")),--('Đăng tin &amp; Quản lý tin'!$AT$7:$AT$500="N/A"))+SUMPRODUCT(--ISNUMBER(SEARCH(", "&amp;$B38&amp;", ",", "&amp;'Trust &amp; Safety'!$B$7:$B$500&amp;", ")),--('Trust &amp; Safety'!$AT$7:$AT$500="N/A"))+SUMPRODUCT(--ISNUMBER(SEARCH(", "&amp;$B38&amp;", ",", "&amp;'Tài khoản &amp; Hồ sơ'!$B$7:$B$500&amp;", ")),--('Tài khoản &amp; Hồ sơ'!$AT$7:$AT$500="N/A"))</f>
        <v>0</v>
      </c>
      <c r="K38" s="52" t="n">
        <f aca="false">IFERROR(F38/E38,0)</f>
        <v>0</v>
      </c>
      <c r="L38" s="123" t="str">
        <f aca="false">IF(E38=0,"Chưa có TC (gap)",IF(H38&gt;0,"Có lỗi (Fail)",IF(I38&gt;0,"Bị block",IF(F38&lt;E38,"Đang test",IF(G38=0,"Không áp dụng (N/A)","Đã test xong")))))</f>
        <v>Đang test</v>
      </c>
      <c r="AB38" s="1" t="s">
        <v>432</v>
      </c>
    </row>
    <row r="39" customFormat="false" ht="15.75" hidden="false" customHeight="true" outlineLevel="0" collapsed="false">
      <c r="B39" s="175" t="s">
        <v>514</v>
      </c>
      <c r="C39" s="176" t="s">
        <v>515</v>
      </c>
      <c r="D39" s="123" t="s">
        <v>516</v>
      </c>
      <c r="E39" s="51" t="n">
        <f aca="false">SUMPRODUCT(--ISNUMBER(SEARCH(", "&amp;$B39&amp;", ",", "&amp;'Hoạt động (Đơn của tôi)'!$B$7:$B$500&amp;", ")))+SUMPRODUCT(--ISNUMBER(SEARCH(", "&amp;$B39&amp;", ",", "&amp;'Ghép nối'!$B$7:$B$500&amp;", ")))+SUMPRODUCT(--ISNUMBER(SEARCH(", "&amp;$B39&amp;", ",", "&amp;'Huỷ đơn - Huỷ nhận đơn'!$B$7:$B$500&amp;", ")))+SUMPRODUCT(--ISNUMBER(SEARCH(", "&amp;$B39&amp;", ",", "&amp;'Giao nhận &amp; Theo dõi đơn'!$B$7:$B$500&amp;", ")))+SUMPRODUCT(--ISNUMBER(SEARCH(", "&amp;$B39&amp;", ",", "&amp;'Bảng tin &amp; Chi tiết tin'!$B$7:$B$500&amp;", ")))+SUMPRODUCT(--ISNUMBER(SEARCH(", "&amp;$B39&amp;", ",", "&amp;'Quà cảm ơn'!$B$7:$B$500&amp;", ")))+SUMPRODUCT(--ISNUMBER(SEARCH(", "&amp;$B39&amp;", ",", "&amp;'Trang chủ'!$B$7:$B$500&amp;", ")))+SUMPRODUCT(--ISNUMBER(SEARCH(", "&amp;$B39&amp;", ",", "&amp;'Thông báo'!$B$7:$B$500&amp;", ")))+SUMPRODUCT(--ISNUMBER(SEARCH(", "&amp;$B39&amp;", ",", "&amp;'Đăng tin &amp; Quản lý tin'!$B$7:$B$500&amp;", ")))+SUMPRODUCT(--ISNUMBER(SEARCH(", "&amp;$B39&amp;", ",", "&amp;'Trust &amp; Safety'!$B$7:$B$500&amp;", ")))+SUMPRODUCT(--ISNUMBER(SEARCH(", "&amp;$B39&amp;", ",", "&amp;'Tài khoản &amp; Hồ sơ'!$B$7:$B$500&amp;", ")))</f>
        <v>1</v>
      </c>
      <c r="F39" s="51" t="n">
        <f aca="false">SUMPRODUCT(--ISNUMBER(SEARCH(", "&amp;$B39&amp;", ",", "&amp;'Hoạt động (Đơn của tôi)'!$B$7:$B$500&amp;", ")),--('Hoạt động (Đơn của tôi)'!$AT$7:$AT$500&lt;&gt;""))+SUMPRODUCT(--ISNUMBER(SEARCH(", "&amp;$B39&amp;", ",", "&amp;'Ghép nối'!$B$7:$B$500&amp;", ")),--('Ghép nối'!$AT$7:$AT$500&lt;&gt;""))+SUMPRODUCT(--ISNUMBER(SEARCH(", "&amp;$B39&amp;", ",", "&amp;'Huỷ đơn - Huỷ nhận đơn'!$B$7:$B$500&amp;", ")),--('Huỷ đơn - Huỷ nhận đơn'!$AT$7:$AT$500&lt;&gt;""))+SUMPRODUCT(--ISNUMBER(SEARCH(", "&amp;$B39&amp;", ",", "&amp;'Giao nhận &amp; Theo dõi đơn'!$B$7:$B$500&amp;", ")),--('Giao nhận &amp; Theo dõi đơn'!$AT$7:$AT$500&lt;&gt;""))+SUMPRODUCT(--ISNUMBER(SEARCH(", "&amp;$B39&amp;", ",", "&amp;'Bảng tin &amp; Chi tiết tin'!$B$7:$B$500&amp;", ")),--('Bảng tin &amp; Chi tiết tin'!$AT$7:$AT$500&lt;&gt;""))+SUMPRODUCT(--ISNUMBER(SEARCH(", "&amp;$B39&amp;", ",", "&amp;'Quà cảm ơn'!$B$7:$B$500&amp;", ")),--('Quà cảm ơn'!$AT$7:$AT$500&lt;&gt;""))+SUMPRODUCT(--ISNUMBER(SEARCH(", "&amp;$B39&amp;", ",", "&amp;'Trang chủ'!$B$7:$B$500&amp;", ")),--('Trang chủ'!$AT$7:$AT$500&lt;&gt;""))+SUMPRODUCT(--ISNUMBER(SEARCH(", "&amp;$B39&amp;", ",", "&amp;'Thông báo'!$B$7:$B$500&amp;", ")),--('Thông báo'!$AT$7:$AT$500&lt;&gt;""))+SUMPRODUCT(--ISNUMBER(SEARCH(", "&amp;$B39&amp;", ",", "&amp;'Đăng tin &amp; Quản lý tin'!$B$7:$B$500&amp;", ")),--('Đăng tin &amp; Quản lý tin'!$AT$7:$AT$500&lt;&gt;""))+SUMPRODUCT(--ISNUMBER(SEARCH(", "&amp;$B39&amp;", ",", "&amp;'Trust &amp; Safety'!$B$7:$B$500&amp;", ")),--('Trust &amp; Safety'!$AT$7:$AT$500&lt;&gt;""))+SUMPRODUCT(--ISNUMBER(SEARCH(", "&amp;$B39&amp;", ",", "&amp;'Tài khoản &amp; Hồ sơ'!$B$7:$B$500&amp;", ")),--('Tài khoản &amp; Hồ sơ'!$AT$7:$AT$500&lt;&gt;""))</f>
        <v>0</v>
      </c>
      <c r="G39" s="51" t="n">
        <f aca="false">SUMPRODUCT(--ISNUMBER(SEARCH(", "&amp;$B39&amp;", ",", "&amp;'Hoạt động (Đơn của tôi)'!$B$7:$B$500&amp;", ")),--('Hoạt động (Đơn của tôi)'!$AT$7:$AT$500="Pass"))+SUMPRODUCT(--ISNUMBER(SEARCH(", "&amp;$B39&amp;", ",", "&amp;'Ghép nối'!$B$7:$B$500&amp;", ")),--('Ghép nối'!$AT$7:$AT$500="Pass"))+SUMPRODUCT(--ISNUMBER(SEARCH(", "&amp;$B39&amp;", ",", "&amp;'Huỷ đơn - Huỷ nhận đơn'!$B$7:$B$500&amp;", ")),--('Huỷ đơn - Huỷ nhận đơn'!$AT$7:$AT$500="Pass"))+SUMPRODUCT(--ISNUMBER(SEARCH(", "&amp;$B39&amp;", ",", "&amp;'Giao nhận &amp; Theo dõi đơn'!$B$7:$B$500&amp;", ")),--('Giao nhận &amp; Theo dõi đơn'!$AT$7:$AT$500="Pass"))+SUMPRODUCT(--ISNUMBER(SEARCH(", "&amp;$B39&amp;", ",", "&amp;'Bảng tin &amp; Chi tiết tin'!$B$7:$B$500&amp;", ")),--('Bảng tin &amp; Chi tiết tin'!$AT$7:$AT$500="Pass"))+SUMPRODUCT(--ISNUMBER(SEARCH(", "&amp;$B39&amp;", ",", "&amp;'Quà cảm ơn'!$B$7:$B$500&amp;", ")),--('Quà cảm ơn'!$AT$7:$AT$500="Pass"))+SUMPRODUCT(--ISNUMBER(SEARCH(", "&amp;$B39&amp;", ",", "&amp;'Trang chủ'!$B$7:$B$500&amp;", ")),--('Trang chủ'!$AT$7:$AT$500="Pass"))+SUMPRODUCT(--ISNUMBER(SEARCH(", "&amp;$B39&amp;", ",", "&amp;'Thông báo'!$B$7:$B$500&amp;", ")),--('Thông báo'!$AT$7:$AT$500="Pass"))+SUMPRODUCT(--ISNUMBER(SEARCH(", "&amp;$B39&amp;", ",", "&amp;'Đăng tin &amp; Quản lý tin'!$B$7:$B$500&amp;", ")),--('Đăng tin &amp; Quản lý tin'!$AT$7:$AT$500="Pass"))+SUMPRODUCT(--ISNUMBER(SEARCH(", "&amp;$B39&amp;", ",", "&amp;'Trust &amp; Safety'!$B$7:$B$500&amp;", ")),--('Trust &amp; Safety'!$AT$7:$AT$500="Pass"))+SUMPRODUCT(--ISNUMBER(SEARCH(", "&amp;$B39&amp;", ",", "&amp;'Tài khoản &amp; Hồ sơ'!$B$7:$B$500&amp;", ")),--('Tài khoản &amp; Hồ sơ'!$AT$7:$AT$500="Pass"))</f>
        <v>0</v>
      </c>
      <c r="H39" s="51" t="n">
        <f aca="false">SUMPRODUCT(--ISNUMBER(SEARCH(", "&amp;$B39&amp;", ",", "&amp;'Hoạt động (Đơn của tôi)'!$B$7:$B$500&amp;", ")),--('Hoạt động (Đơn của tôi)'!$AT$7:$AT$500="Fail"))+SUMPRODUCT(--ISNUMBER(SEARCH(", "&amp;$B39&amp;", ",", "&amp;'Ghép nối'!$B$7:$B$500&amp;", ")),--('Ghép nối'!$AT$7:$AT$500="Fail"))+SUMPRODUCT(--ISNUMBER(SEARCH(", "&amp;$B39&amp;", ",", "&amp;'Huỷ đơn - Huỷ nhận đơn'!$B$7:$B$500&amp;", ")),--('Huỷ đơn - Huỷ nhận đơn'!$AT$7:$AT$500="Fail"))+SUMPRODUCT(--ISNUMBER(SEARCH(", "&amp;$B39&amp;", ",", "&amp;'Giao nhận &amp; Theo dõi đơn'!$B$7:$B$500&amp;", ")),--('Giao nhận &amp; Theo dõi đơn'!$AT$7:$AT$500="Fail"))+SUMPRODUCT(--ISNUMBER(SEARCH(", "&amp;$B39&amp;", ",", "&amp;'Bảng tin &amp; Chi tiết tin'!$B$7:$B$500&amp;", ")),--('Bảng tin &amp; Chi tiết tin'!$AT$7:$AT$500="Fail"))+SUMPRODUCT(--ISNUMBER(SEARCH(", "&amp;$B39&amp;", ",", "&amp;'Quà cảm ơn'!$B$7:$B$500&amp;", ")),--('Quà cảm ơn'!$AT$7:$AT$500="Fail"))+SUMPRODUCT(--ISNUMBER(SEARCH(", "&amp;$B39&amp;", ",", "&amp;'Trang chủ'!$B$7:$B$500&amp;", ")),--('Trang chủ'!$AT$7:$AT$500="Fail"))+SUMPRODUCT(--ISNUMBER(SEARCH(", "&amp;$B39&amp;", ",", "&amp;'Thông báo'!$B$7:$B$500&amp;", ")),--('Thông báo'!$AT$7:$AT$500="Fail"))+SUMPRODUCT(--ISNUMBER(SEARCH(", "&amp;$B39&amp;", ",", "&amp;'Đăng tin &amp; Quản lý tin'!$B$7:$B$500&amp;", ")),--('Đăng tin &amp; Quản lý tin'!$AT$7:$AT$500="Fail"))+SUMPRODUCT(--ISNUMBER(SEARCH(", "&amp;$B39&amp;", ",", "&amp;'Trust &amp; Safety'!$B$7:$B$500&amp;", ")),--('Trust &amp; Safety'!$AT$7:$AT$500="Fail"))+SUMPRODUCT(--ISNUMBER(SEARCH(", "&amp;$B39&amp;", ",", "&amp;'Tài khoản &amp; Hồ sơ'!$B$7:$B$500&amp;", ")),--('Tài khoản &amp; Hồ sơ'!$AT$7:$AT$500="Fail"))</f>
        <v>0</v>
      </c>
      <c r="I39" s="51" t="n">
        <f aca="false">SUMPRODUCT(--ISNUMBER(SEARCH(", "&amp;$B39&amp;", ",", "&amp;'Hoạt động (Đơn của tôi)'!$B$7:$B$500&amp;", ")),--('Hoạt động (Đơn của tôi)'!$AT$7:$AT$500="Block"))+SUMPRODUCT(--ISNUMBER(SEARCH(", "&amp;$B39&amp;", ",", "&amp;'Ghép nối'!$B$7:$B$500&amp;", ")),--('Ghép nối'!$AT$7:$AT$500="Block"))+SUMPRODUCT(--ISNUMBER(SEARCH(", "&amp;$B39&amp;", ",", "&amp;'Huỷ đơn - Huỷ nhận đơn'!$B$7:$B$500&amp;", ")),--('Huỷ đơn - Huỷ nhận đơn'!$AT$7:$AT$500="Block"))+SUMPRODUCT(--ISNUMBER(SEARCH(", "&amp;$B39&amp;", ",", "&amp;'Giao nhận &amp; Theo dõi đơn'!$B$7:$B$500&amp;", ")),--('Giao nhận &amp; Theo dõi đơn'!$AT$7:$AT$500="Block"))+SUMPRODUCT(--ISNUMBER(SEARCH(", "&amp;$B39&amp;", ",", "&amp;'Bảng tin &amp; Chi tiết tin'!$B$7:$B$500&amp;", ")),--('Bảng tin &amp; Chi tiết tin'!$AT$7:$AT$500="Block"))+SUMPRODUCT(--ISNUMBER(SEARCH(", "&amp;$B39&amp;", ",", "&amp;'Quà cảm ơn'!$B$7:$B$500&amp;", ")),--('Quà cảm ơn'!$AT$7:$AT$500="Block"))+SUMPRODUCT(--ISNUMBER(SEARCH(", "&amp;$B39&amp;", ",", "&amp;'Trang chủ'!$B$7:$B$500&amp;", ")),--('Trang chủ'!$AT$7:$AT$500="Block"))+SUMPRODUCT(--ISNUMBER(SEARCH(", "&amp;$B39&amp;", ",", "&amp;'Thông báo'!$B$7:$B$500&amp;", ")),--('Thông báo'!$AT$7:$AT$500="Block"))+SUMPRODUCT(--ISNUMBER(SEARCH(", "&amp;$B39&amp;", ",", "&amp;'Đăng tin &amp; Quản lý tin'!$B$7:$B$500&amp;", ")),--('Đăng tin &amp; Quản lý tin'!$AT$7:$AT$500="Block"))+SUMPRODUCT(--ISNUMBER(SEARCH(", "&amp;$B39&amp;", ",", "&amp;'Trust &amp; Safety'!$B$7:$B$500&amp;", ")),--('Trust &amp; Safety'!$AT$7:$AT$500="Block"))+SUMPRODUCT(--ISNUMBER(SEARCH(", "&amp;$B39&amp;", ",", "&amp;'Tài khoản &amp; Hồ sơ'!$B$7:$B$500&amp;", ")),--('Tài khoản &amp; Hồ sơ'!$AT$7:$AT$500="Block"))</f>
        <v>0</v>
      </c>
      <c r="J39" s="51" t="n">
        <f aca="false">SUMPRODUCT(--ISNUMBER(SEARCH(", "&amp;$B39&amp;", ",", "&amp;'Hoạt động (Đơn của tôi)'!$B$7:$B$500&amp;", ")),--('Hoạt động (Đơn của tôi)'!$AT$7:$AT$500="N/A"))+SUMPRODUCT(--ISNUMBER(SEARCH(", "&amp;$B39&amp;", ",", "&amp;'Ghép nối'!$B$7:$B$500&amp;", ")),--('Ghép nối'!$AT$7:$AT$500="N/A"))+SUMPRODUCT(--ISNUMBER(SEARCH(", "&amp;$B39&amp;", ",", "&amp;'Huỷ đơn - Huỷ nhận đơn'!$B$7:$B$500&amp;", ")),--('Huỷ đơn - Huỷ nhận đơn'!$AT$7:$AT$500="N/A"))+SUMPRODUCT(--ISNUMBER(SEARCH(", "&amp;$B39&amp;", ",", "&amp;'Giao nhận &amp; Theo dõi đơn'!$B$7:$B$500&amp;", ")),--('Giao nhận &amp; Theo dõi đơn'!$AT$7:$AT$500="N/A"))+SUMPRODUCT(--ISNUMBER(SEARCH(", "&amp;$B39&amp;", ",", "&amp;'Bảng tin &amp; Chi tiết tin'!$B$7:$B$500&amp;", ")),--('Bảng tin &amp; Chi tiết tin'!$AT$7:$AT$500="N/A"))+SUMPRODUCT(--ISNUMBER(SEARCH(", "&amp;$B39&amp;", ",", "&amp;'Quà cảm ơn'!$B$7:$B$500&amp;", ")),--('Quà cảm ơn'!$AT$7:$AT$500="N/A"))+SUMPRODUCT(--ISNUMBER(SEARCH(", "&amp;$B39&amp;", ",", "&amp;'Trang chủ'!$B$7:$B$500&amp;", ")),--('Trang chủ'!$AT$7:$AT$500="N/A"))+SUMPRODUCT(--ISNUMBER(SEARCH(", "&amp;$B39&amp;", ",", "&amp;'Thông báo'!$B$7:$B$500&amp;", ")),--('Thông báo'!$AT$7:$AT$500="N/A"))+SUMPRODUCT(--ISNUMBER(SEARCH(", "&amp;$B39&amp;", ",", "&amp;'Đăng tin &amp; Quản lý tin'!$B$7:$B$500&amp;", ")),--('Đăng tin &amp; Quản lý tin'!$AT$7:$AT$500="N/A"))+SUMPRODUCT(--ISNUMBER(SEARCH(", "&amp;$B39&amp;", ",", "&amp;'Trust &amp; Safety'!$B$7:$B$500&amp;", ")),--('Trust &amp; Safety'!$AT$7:$AT$500="N/A"))+SUMPRODUCT(--ISNUMBER(SEARCH(", "&amp;$B39&amp;", ",", "&amp;'Tài khoản &amp; Hồ sơ'!$B$7:$B$500&amp;", ")),--('Tài khoản &amp; Hồ sơ'!$AT$7:$AT$500="N/A"))</f>
        <v>0</v>
      </c>
      <c r="K39" s="52" t="n">
        <f aca="false">IFERROR(F39/E39,0)</f>
        <v>0</v>
      </c>
      <c r="L39" s="123" t="str">
        <f aca="false">IF(E39=0,"Chưa có TC (gap)",IF(H39&gt;0,"Có lỗi (Fail)",IF(I39&gt;0,"Bị block",IF(F39&lt;E39,"Đang test",IF(G39=0,"Không áp dụng (N/A)","Đã test xong")))))</f>
        <v>Đang test</v>
      </c>
      <c r="AB39" s="1" t="s">
        <v>432</v>
      </c>
    </row>
    <row r="40" customFormat="false" ht="15.75" hidden="false" customHeight="true" outlineLevel="0" collapsed="false">
      <c r="B40" s="175" t="s">
        <v>517</v>
      </c>
      <c r="C40" s="176" t="s">
        <v>518</v>
      </c>
      <c r="D40" s="123" t="s">
        <v>519</v>
      </c>
      <c r="E40" s="51" t="n">
        <f aca="false">SUMPRODUCT(--ISNUMBER(SEARCH(", "&amp;$B40&amp;", ",", "&amp;'Hoạt động (Đơn của tôi)'!$B$7:$B$500&amp;", ")))+SUMPRODUCT(--ISNUMBER(SEARCH(", "&amp;$B40&amp;", ",", "&amp;'Ghép nối'!$B$7:$B$500&amp;", ")))+SUMPRODUCT(--ISNUMBER(SEARCH(", "&amp;$B40&amp;", ",", "&amp;'Huỷ đơn - Huỷ nhận đơn'!$B$7:$B$500&amp;", ")))+SUMPRODUCT(--ISNUMBER(SEARCH(", "&amp;$B40&amp;", ",", "&amp;'Giao nhận &amp; Theo dõi đơn'!$B$7:$B$500&amp;", ")))+SUMPRODUCT(--ISNUMBER(SEARCH(", "&amp;$B40&amp;", ",", "&amp;'Bảng tin &amp; Chi tiết tin'!$B$7:$B$500&amp;", ")))+SUMPRODUCT(--ISNUMBER(SEARCH(", "&amp;$B40&amp;", ",", "&amp;'Quà cảm ơn'!$B$7:$B$500&amp;", ")))+SUMPRODUCT(--ISNUMBER(SEARCH(", "&amp;$B40&amp;", ",", "&amp;'Trang chủ'!$B$7:$B$500&amp;", ")))+SUMPRODUCT(--ISNUMBER(SEARCH(", "&amp;$B40&amp;", ",", "&amp;'Thông báo'!$B$7:$B$500&amp;", ")))+SUMPRODUCT(--ISNUMBER(SEARCH(", "&amp;$B40&amp;", ",", "&amp;'Đăng tin &amp; Quản lý tin'!$B$7:$B$500&amp;", ")))+SUMPRODUCT(--ISNUMBER(SEARCH(", "&amp;$B40&amp;", ",", "&amp;'Trust &amp; Safety'!$B$7:$B$500&amp;", ")))+SUMPRODUCT(--ISNUMBER(SEARCH(", "&amp;$B40&amp;", ",", "&amp;'Tài khoản &amp; Hồ sơ'!$B$7:$B$500&amp;", ")))</f>
        <v>2</v>
      </c>
      <c r="F40" s="51" t="n">
        <f aca="false">SUMPRODUCT(--ISNUMBER(SEARCH(", "&amp;$B40&amp;", ",", "&amp;'Hoạt động (Đơn của tôi)'!$B$7:$B$500&amp;", ")),--('Hoạt động (Đơn của tôi)'!$AT$7:$AT$500&lt;&gt;""))+SUMPRODUCT(--ISNUMBER(SEARCH(", "&amp;$B40&amp;", ",", "&amp;'Ghép nối'!$B$7:$B$500&amp;", ")),--('Ghép nối'!$AT$7:$AT$500&lt;&gt;""))+SUMPRODUCT(--ISNUMBER(SEARCH(", "&amp;$B40&amp;", ",", "&amp;'Huỷ đơn - Huỷ nhận đơn'!$B$7:$B$500&amp;", ")),--('Huỷ đơn - Huỷ nhận đơn'!$AT$7:$AT$500&lt;&gt;""))+SUMPRODUCT(--ISNUMBER(SEARCH(", "&amp;$B40&amp;", ",", "&amp;'Giao nhận &amp; Theo dõi đơn'!$B$7:$B$500&amp;", ")),--('Giao nhận &amp; Theo dõi đơn'!$AT$7:$AT$500&lt;&gt;""))+SUMPRODUCT(--ISNUMBER(SEARCH(", "&amp;$B40&amp;", ",", "&amp;'Bảng tin &amp; Chi tiết tin'!$B$7:$B$500&amp;", ")),--('Bảng tin &amp; Chi tiết tin'!$AT$7:$AT$500&lt;&gt;""))+SUMPRODUCT(--ISNUMBER(SEARCH(", "&amp;$B40&amp;", ",", "&amp;'Quà cảm ơn'!$B$7:$B$500&amp;", ")),--('Quà cảm ơn'!$AT$7:$AT$500&lt;&gt;""))+SUMPRODUCT(--ISNUMBER(SEARCH(", "&amp;$B40&amp;", ",", "&amp;'Trang chủ'!$B$7:$B$500&amp;", ")),--('Trang chủ'!$AT$7:$AT$500&lt;&gt;""))+SUMPRODUCT(--ISNUMBER(SEARCH(", "&amp;$B40&amp;", ",", "&amp;'Thông báo'!$B$7:$B$500&amp;", ")),--('Thông báo'!$AT$7:$AT$500&lt;&gt;""))+SUMPRODUCT(--ISNUMBER(SEARCH(", "&amp;$B40&amp;", ",", "&amp;'Đăng tin &amp; Quản lý tin'!$B$7:$B$500&amp;", ")),--('Đăng tin &amp; Quản lý tin'!$AT$7:$AT$500&lt;&gt;""))+SUMPRODUCT(--ISNUMBER(SEARCH(", "&amp;$B40&amp;", ",", "&amp;'Trust &amp; Safety'!$B$7:$B$500&amp;", ")),--('Trust &amp; Safety'!$AT$7:$AT$500&lt;&gt;""))+SUMPRODUCT(--ISNUMBER(SEARCH(", "&amp;$B40&amp;", ",", "&amp;'Tài khoản &amp; Hồ sơ'!$B$7:$B$500&amp;", ")),--('Tài khoản &amp; Hồ sơ'!$AT$7:$AT$500&lt;&gt;""))</f>
        <v>0</v>
      </c>
      <c r="G40" s="51" t="n">
        <f aca="false">SUMPRODUCT(--ISNUMBER(SEARCH(", "&amp;$B40&amp;", ",", "&amp;'Hoạt động (Đơn của tôi)'!$B$7:$B$500&amp;", ")),--('Hoạt động (Đơn của tôi)'!$AT$7:$AT$500="Pass"))+SUMPRODUCT(--ISNUMBER(SEARCH(", "&amp;$B40&amp;", ",", "&amp;'Ghép nối'!$B$7:$B$500&amp;", ")),--('Ghép nối'!$AT$7:$AT$500="Pass"))+SUMPRODUCT(--ISNUMBER(SEARCH(", "&amp;$B40&amp;", ",", "&amp;'Huỷ đơn - Huỷ nhận đơn'!$B$7:$B$500&amp;", ")),--('Huỷ đơn - Huỷ nhận đơn'!$AT$7:$AT$500="Pass"))+SUMPRODUCT(--ISNUMBER(SEARCH(", "&amp;$B40&amp;", ",", "&amp;'Giao nhận &amp; Theo dõi đơn'!$B$7:$B$500&amp;", ")),--('Giao nhận &amp; Theo dõi đơn'!$AT$7:$AT$500="Pass"))+SUMPRODUCT(--ISNUMBER(SEARCH(", "&amp;$B40&amp;", ",", "&amp;'Bảng tin &amp; Chi tiết tin'!$B$7:$B$500&amp;", ")),--('Bảng tin &amp; Chi tiết tin'!$AT$7:$AT$500="Pass"))+SUMPRODUCT(--ISNUMBER(SEARCH(", "&amp;$B40&amp;", ",", "&amp;'Quà cảm ơn'!$B$7:$B$500&amp;", ")),--('Quà cảm ơn'!$AT$7:$AT$500="Pass"))+SUMPRODUCT(--ISNUMBER(SEARCH(", "&amp;$B40&amp;", ",", "&amp;'Trang chủ'!$B$7:$B$500&amp;", ")),--('Trang chủ'!$AT$7:$AT$500="Pass"))+SUMPRODUCT(--ISNUMBER(SEARCH(", "&amp;$B40&amp;", ",", "&amp;'Thông báo'!$B$7:$B$500&amp;", ")),--('Thông báo'!$AT$7:$AT$500="Pass"))+SUMPRODUCT(--ISNUMBER(SEARCH(", "&amp;$B40&amp;", ",", "&amp;'Đăng tin &amp; Quản lý tin'!$B$7:$B$500&amp;", ")),--('Đăng tin &amp; Quản lý tin'!$AT$7:$AT$500="Pass"))+SUMPRODUCT(--ISNUMBER(SEARCH(", "&amp;$B40&amp;", ",", "&amp;'Trust &amp; Safety'!$B$7:$B$500&amp;", ")),--('Trust &amp; Safety'!$AT$7:$AT$500="Pass"))+SUMPRODUCT(--ISNUMBER(SEARCH(", "&amp;$B40&amp;", ",", "&amp;'Tài khoản &amp; Hồ sơ'!$B$7:$B$500&amp;", ")),--('Tài khoản &amp; Hồ sơ'!$AT$7:$AT$500="Pass"))</f>
        <v>0</v>
      </c>
      <c r="H40" s="51" t="n">
        <f aca="false">SUMPRODUCT(--ISNUMBER(SEARCH(", "&amp;$B40&amp;", ",", "&amp;'Hoạt động (Đơn của tôi)'!$B$7:$B$500&amp;", ")),--('Hoạt động (Đơn của tôi)'!$AT$7:$AT$500="Fail"))+SUMPRODUCT(--ISNUMBER(SEARCH(", "&amp;$B40&amp;", ",", "&amp;'Ghép nối'!$B$7:$B$500&amp;", ")),--('Ghép nối'!$AT$7:$AT$500="Fail"))+SUMPRODUCT(--ISNUMBER(SEARCH(", "&amp;$B40&amp;", ",", "&amp;'Huỷ đơn - Huỷ nhận đơn'!$B$7:$B$500&amp;", ")),--('Huỷ đơn - Huỷ nhận đơn'!$AT$7:$AT$500="Fail"))+SUMPRODUCT(--ISNUMBER(SEARCH(", "&amp;$B40&amp;", ",", "&amp;'Giao nhận &amp; Theo dõi đơn'!$B$7:$B$500&amp;", ")),--('Giao nhận &amp; Theo dõi đơn'!$AT$7:$AT$500="Fail"))+SUMPRODUCT(--ISNUMBER(SEARCH(", "&amp;$B40&amp;", ",", "&amp;'Bảng tin &amp; Chi tiết tin'!$B$7:$B$500&amp;", ")),--('Bảng tin &amp; Chi tiết tin'!$AT$7:$AT$500="Fail"))+SUMPRODUCT(--ISNUMBER(SEARCH(", "&amp;$B40&amp;", ",", "&amp;'Quà cảm ơn'!$B$7:$B$500&amp;", ")),--('Quà cảm ơn'!$AT$7:$AT$500="Fail"))+SUMPRODUCT(--ISNUMBER(SEARCH(", "&amp;$B40&amp;", ",", "&amp;'Trang chủ'!$B$7:$B$500&amp;", ")),--('Trang chủ'!$AT$7:$AT$500="Fail"))+SUMPRODUCT(--ISNUMBER(SEARCH(", "&amp;$B40&amp;", ",", "&amp;'Thông báo'!$B$7:$B$500&amp;", ")),--('Thông báo'!$AT$7:$AT$500="Fail"))+SUMPRODUCT(--ISNUMBER(SEARCH(", "&amp;$B40&amp;", ",", "&amp;'Đăng tin &amp; Quản lý tin'!$B$7:$B$500&amp;", ")),--('Đăng tin &amp; Quản lý tin'!$AT$7:$AT$500="Fail"))+SUMPRODUCT(--ISNUMBER(SEARCH(", "&amp;$B40&amp;", ",", "&amp;'Trust &amp; Safety'!$B$7:$B$500&amp;", ")),--('Trust &amp; Safety'!$AT$7:$AT$500="Fail"))+SUMPRODUCT(--ISNUMBER(SEARCH(", "&amp;$B40&amp;", ",", "&amp;'Tài khoản &amp; Hồ sơ'!$B$7:$B$500&amp;", ")),--('Tài khoản &amp; Hồ sơ'!$AT$7:$AT$500="Fail"))</f>
        <v>0</v>
      </c>
      <c r="I40" s="51" t="n">
        <f aca="false">SUMPRODUCT(--ISNUMBER(SEARCH(", "&amp;$B40&amp;", ",", "&amp;'Hoạt động (Đơn của tôi)'!$B$7:$B$500&amp;", ")),--('Hoạt động (Đơn của tôi)'!$AT$7:$AT$500="Block"))+SUMPRODUCT(--ISNUMBER(SEARCH(", "&amp;$B40&amp;", ",", "&amp;'Ghép nối'!$B$7:$B$500&amp;", ")),--('Ghép nối'!$AT$7:$AT$500="Block"))+SUMPRODUCT(--ISNUMBER(SEARCH(", "&amp;$B40&amp;", ",", "&amp;'Huỷ đơn - Huỷ nhận đơn'!$B$7:$B$500&amp;", ")),--('Huỷ đơn - Huỷ nhận đơn'!$AT$7:$AT$500="Block"))+SUMPRODUCT(--ISNUMBER(SEARCH(", "&amp;$B40&amp;", ",", "&amp;'Giao nhận &amp; Theo dõi đơn'!$B$7:$B$500&amp;", ")),--('Giao nhận &amp; Theo dõi đơn'!$AT$7:$AT$500="Block"))+SUMPRODUCT(--ISNUMBER(SEARCH(", "&amp;$B40&amp;", ",", "&amp;'Bảng tin &amp; Chi tiết tin'!$B$7:$B$500&amp;", ")),--('Bảng tin &amp; Chi tiết tin'!$AT$7:$AT$500="Block"))+SUMPRODUCT(--ISNUMBER(SEARCH(", "&amp;$B40&amp;", ",", "&amp;'Quà cảm ơn'!$B$7:$B$500&amp;", ")),--('Quà cảm ơn'!$AT$7:$AT$500="Block"))+SUMPRODUCT(--ISNUMBER(SEARCH(", "&amp;$B40&amp;", ",", "&amp;'Trang chủ'!$B$7:$B$500&amp;", ")),--('Trang chủ'!$AT$7:$AT$500="Block"))+SUMPRODUCT(--ISNUMBER(SEARCH(", "&amp;$B40&amp;", ",", "&amp;'Thông báo'!$B$7:$B$500&amp;", ")),--('Thông báo'!$AT$7:$AT$500="Block"))+SUMPRODUCT(--ISNUMBER(SEARCH(", "&amp;$B40&amp;", ",", "&amp;'Đăng tin &amp; Quản lý tin'!$B$7:$B$500&amp;", ")),--('Đăng tin &amp; Quản lý tin'!$AT$7:$AT$500="Block"))+SUMPRODUCT(--ISNUMBER(SEARCH(", "&amp;$B40&amp;", ",", "&amp;'Trust &amp; Safety'!$B$7:$B$500&amp;", ")),--('Trust &amp; Safety'!$AT$7:$AT$500="Block"))+SUMPRODUCT(--ISNUMBER(SEARCH(", "&amp;$B40&amp;", ",", "&amp;'Tài khoản &amp; Hồ sơ'!$B$7:$B$500&amp;", ")),--('Tài khoản &amp; Hồ sơ'!$AT$7:$AT$500="Block"))</f>
        <v>0</v>
      </c>
      <c r="J40" s="51" t="n">
        <f aca="false">SUMPRODUCT(--ISNUMBER(SEARCH(", "&amp;$B40&amp;", ",", "&amp;'Hoạt động (Đơn của tôi)'!$B$7:$B$500&amp;", ")),--('Hoạt động (Đơn của tôi)'!$AT$7:$AT$500="N/A"))+SUMPRODUCT(--ISNUMBER(SEARCH(", "&amp;$B40&amp;", ",", "&amp;'Ghép nối'!$B$7:$B$500&amp;", ")),--('Ghép nối'!$AT$7:$AT$500="N/A"))+SUMPRODUCT(--ISNUMBER(SEARCH(", "&amp;$B40&amp;", ",", "&amp;'Huỷ đơn - Huỷ nhận đơn'!$B$7:$B$500&amp;", ")),--('Huỷ đơn - Huỷ nhận đơn'!$AT$7:$AT$500="N/A"))+SUMPRODUCT(--ISNUMBER(SEARCH(", "&amp;$B40&amp;", ",", "&amp;'Giao nhận &amp; Theo dõi đơn'!$B$7:$B$500&amp;", ")),--('Giao nhận &amp; Theo dõi đơn'!$AT$7:$AT$500="N/A"))+SUMPRODUCT(--ISNUMBER(SEARCH(", "&amp;$B40&amp;", ",", "&amp;'Bảng tin &amp; Chi tiết tin'!$B$7:$B$500&amp;", ")),--('Bảng tin &amp; Chi tiết tin'!$AT$7:$AT$500="N/A"))+SUMPRODUCT(--ISNUMBER(SEARCH(", "&amp;$B40&amp;", ",", "&amp;'Quà cảm ơn'!$B$7:$B$500&amp;", ")),--('Quà cảm ơn'!$AT$7:$AT$500="N/A"))+SUMPRODUCT(--ISNUMBER(SEARCH(", "&amp;$B40&amp;", ",", "&amp;'Trang chủ'!$B$7:$B$500&amp;", ")),--('Trang chủ'!$AT$7:$AT$500="N/A"))+SUMPRODUCT(--ISNUMBER(SEARCH(", "&amp;$B40&amp;", ",", "&amp;'Thông báo'!$B$7:$B$500&amp;", ")),--('Thông báo'!$AT$7:$AT$500="N/A"))+SUMPRODUCT(--ISNUMBER(SEARCH(", "&amp;$B40&amp;", ",", "&amp;'Đăng tin &amp; Quản lý tin'!$B$7:$B$500&amp;", ")),--('Đăng tin &amp; Quản lý tin'!$AT$7:$AT$500="N/A"))+SUMPRODUCT(--ISNUMBER(SEARCH(", "&amp;$B40&amp;", ",", "&amp;'Trust &amp; Safety'!$B$7:$B$500&amp;", ")),--('Trust &amp; Safety'!$AT$7:$AT$500="N/A"))+SUMPRODUCT(--ISNUMBER(SEARCH(", "&amp;$B40&amp;", ",", "&amp;'Tài khoản &amp; Hồ sơ'!$B$7:$B$500&amp;", ")),--('Tài khoản &amp; Hồ sơ'!$AT$7:$AT$500="N/A"))</f>
        <v>0</v>
      </c>
      <c r="K40" s="52" t="n">
        <f aca="false">IFERROR(F40/E40,0)</f>
        <v>0</v>
      </c>
      <c r="L40" s="123" t="str">
        <f aca="false">IF(E40=0,"Chưa có TC (gap)",IF(H40&gt;0,"Có lỗi (Fail)",IF(I40&gt;0,"Bị block",IF(F40&lt;E40,"Đang test",IF(G40=0,"Không áp dụng (N/A)","Đã test xong")))))</f>
        <v>Đang test</v>
      </c>
      <c r="AB40" s="1" t="s">
        <v>432</v>
      </c>
    </row>
    <row r="41" customFormat="false" ht="15.75" hidden="false" customHeight="true" outlineLevel="0" collapsed="false">
      <c r="B41" s="175" t="s">
        <v>520</v>
      </c>
      <c r="C41" s="176" t="s">
        <v>521</v>
      </c>
      <c r="D41" s="123" t="s">
        <v>522</v>
      </c>
      <c r="E41" s="51" t="n">
        <f aca="false">SUMPRODUCT(--ISNUMBER(SEARCH(", "&amp;$B41&amp;", ",", "&amp;'Hoạt động (Đơn của tôi)'!$B$7:$B$500&amp;", ")))+SUMPRODUCT(--ISNUMBER(SEARCH(", "&amp;$B41&amp;", ",", "&amp;'Ghép nối'!$B$7:$B$500&amp;", ")))+SUMPRODUCT(--ISNUMBER(SEARCH(", "&amp;$B41&amp;", ",", "&amp;'Huỷ đơn - Huỷ nhận đơn'!$B$7:$B$500&amp;", ")))+SUMPRODUCT(--ISNUMBER(SEARCH(", "&amp;$B41&amp;", ",", "&amp;'Giao nhận &amp; Theo dõi đơn'!$B$7:$B$500&amp;", ")))+SUMPRODUCT(--ISNUMBER(SEARCH(", "&amp;$B41&amp;", ",", "&amp;'Bảng tin &amp; Chi tiết tin'!$B$7:$B$500&amp;", ")))+SUMPRODUCT(--ISNUMBER(SEARCH(", "&amp;$B41&amp;", ",", "&amp;'Quà cảm ơn'!$B$7:$B$500&amp;", ")))+SUMPRODUCT(--ISNUMBER(SEARCH(", "&amp;$B41&amp;", ",", "&amp;'Trang chủ'!$B$7:$B$500&amp;", ")))+SUMPRODUCT(--ISNUMBER(SEARCH(", "&amp;$B41&amp;", ",", "&amp;'Thông báo'!$B$7:$B$500&amp;", ")))+SUMPRODUCT(--ISNUMBER(SEARCH(", "&amp;$B41&amp;", ",", "&amp;'Đăng tin &amp; Quản lý tin'!$B$7:$B$500&amp;", ")))+SUMPRODUCT(--ISNUMBER(SEARCH(", "&amp;$B41&amp;", ",", "&amp;'Trust &amp; Safety'!$B$7:$B$500&amp;", ")))+SUMPRODUCT(--ISNUMBER(SEARCH(", "&amp;$B41&amp;", ",", "&amp;'Tài khoản &amp; Hồ sơ'!$B$7:$B$500&amp;", ")))</f>
        <v>1</v>
      </c>
      <c r="F41" s="51" t="n">
        <f aca="false">SUMPRODUCT(--ISNUMBER(SEARCH(", "&amp;$B41&amp;", ",", "&amp;'Hoạt động (Đơn của tôi)'!$B$7:$B$500&amp;", ")),--('Hoạt động (Đơn của tôi)'!$AT$7:$AT$500&lt;&gt;""))+SUMPRODUCT(--ISNUMBER(SEARCH(", "&amp;$B41&amp;", ",", "&amp;'Ghép nối'!$B$7:$B$500&amp;", ")),--('Ghép nối'!$AT$7:$AT$500&lt;&gt;""))+SUMPRODUCT(--ISNUMBER(SEARCH(", "&amp;$B41&amp;", ",", "&amp;'Huỷ đơn - Huỷ nhận đơn'!$B$7:$B$500&amp;", ")),--('Huỷ đơn - Huỷ nhận đơn'!$AT$7:$AT$500&lt;&gt;""))+SUMPRODUCT(--ISNUMBER(SEARCH(", "&amp;$B41&amp;", ",", "&amp;'Giao nhận &amp; Theo dõi đơn'!$B$7:$B$500&amp;", ")),--('Giao nhận &amp; Theo dõi đơn'!$AT$7:$AT$500&lt;&gt;""))+SUMPRODUCT(--ISNUMBER(SEARCH(", "&amp;$B41&amp;", ",", "&amp;'Bảng tin &amp; Chi tiết tin'!$B$7:$B$500&amp;", ")),--('Bảng tin &amp; Chi tiết tin'!$AT$7:$AT$500&lt;&gt;""))+SUMPRODUCT(--ISNUMBER(SEARCH(", "&amp;$B41&amp;", ",", "&amp;'Quà cảm ơn'!$B$7:$B$500&amp;", ")),--('Quà cảm ơn'!$AT$7:$AT$500&lt;&gt;""))+SUMPRODUCT(--ISNUMBER(SEARCH(", "&amp;$B41&amp;", ",", "&amp;'Trang chủ'!$B$7:$B$500&amp;", ")),--('Trang chủ'!$AT$7:$AT$500&lt;&gt;""))+SUMPRODUCT(--ISNUMBER(SEARCH(", "&amp;$B41&amp;", ",", "&amp;'Thông báo'!$B$7:$B$500&amp;", ")),--('Thông báo'!$AT$7:$AT$500&lt;&gt;""))+SUMPRODUCT(--ISNUMBER(SEARCH(", "&amp;$B41&amp;", ",", "&amp;'Đăng tin &amp; Quản lý tin'!$B$7:$B$500&amp;", ")),--('Đăng tin &amp; Quản lý tin'!$AT$7:$AT$500&lt;&gt;""))+SUMPRODUCT(--ISNUMBER(SEARCH(", "&amp;$B41&amp;", ",", "&amp;'Trust &amp; Safety'!$B$7:$B$500&amp;", ")),--('Trust &amp; Safety'!$AT$7:$AT$500&lt;&gt;""))+SUMPRODUCT(--ISNUMBER(SEARCH(", "&amp;$B41&amp;", ",", "&amp;'Tài khoản &amp; Hồ sơ'!$B$7:$B$500&amp;", ")),--('Tài khoản &amp; Hồ sơ'!$AT$7:$AT$500&lt;&gt;""))</f>
        <v>0</v>
      </c>
      <c r="G41" s="51" t="n">
        <f aca="false">SUMPRODUCT(--ISNUMBER(SEARCH(", "&amp;$B41&amp;", ",", "&amp;'Hoạt động (Đơn của tôi)'!$B$7:$B$500&amp;", ")),--('Hoạt động (Đơn của tôi)'!$AT$7:$AT$500="Pass"))+SUMPRODUCT(--ISNUMBER(SEARCH(", "&amp;$B41&amp;", ",", "&amp;'Ghép nối'!$B$7:$B$500&amp;", ")),--('Ghép nối'!$AT$7:$AT$500="Pass"))+SUMPRODUCT(--ISNUMBER(SEARCH(", "&amp;$B41&amp;", ",", "&amp;'Huỷ đơn - Huỷ nhận đơn'!$B$7:$B$500&amp;", ")),--('Huỷ đơn - Huỷ nhận đơn'!$AT$7:$AT$500="Pass"))+SUMPRODUCT(--ISNUMBER(SEARCH(", "&amp;$B41&amp;", ",", "&amp;'Giao nhận &amp; Theo dõi đơn'!$B$7:$B$500&amp;", ")),--('Giao nhận &amp; Theo dõi đơn'!$AT$7:$AT$500="Pass"))+SUMPRODUCT(--ISNUMBER(SEARCH(", "&amp;$B41&amp;", ",", "&amp;'Bảng tin &amp; Chi tiết tin'!$B$7:$B$500&amp;", ")),--('Bảng tin &amp; Chi tiết tin'!$AT$7:$AT$500="Pass"))+SUMPRODUCT(--ISNUMBER(SEARCH(", "&amp;$B41&amp;", ",", "&amp;'Quà cảm ơn'!$B$7:$B$500&amp;", ")),--('Quà cảm ơn'!$AT$7:$AT$500="Pass"))+SUMPRODUCT(--ISNUMBER(SEARCH(", "&amp;$B41&amp;", ",", "&amp;'Trang chủ'!$B$7:$B$500&amp;", ")),--('Trang chủ'!$AT$7:$AT$500="Pass"))+SUMPRODUCT(--ISNUMBER(SEARCH(", "&amp;$B41&amp;", ",", "&amp;'Thông báo'!$B$7:$B$500&amp;", ")),--('Thông báo'!$AT$7:$AT$500="Pass"))+SUMPRODUCT(--ISNUMBER(SEARCH(", "&amp;$B41&amp;", ",", "&amp;'Đăng tin &amp; Quản lý tin'!$B$7:$B$500&amp;", ")),--('Đăng tin &amp; Quản lý tin'!$AT$7:$AT$500="Pass"))+SUMPRODUCT(--ISNUMBER(SEARCH(", "&amp;$B41&amp;", ",", "&amp;'Trust &amp; Safety'!$B$7:$B$500&amp;", ")),--('Trust &amp; Safety'!$AT$7:$AT$500="Pass"))+SUMPRODUCT(--ISNUMBER(SEARCH(", "&amp;$B41&amp;", ",", "&amp;'Tài khoản &amp; Hồ sơ'!$B$7:$B$500&amp;", ")),--('Tài khoản &amp; Hồ sơ'!$AT$7:$AT$500="Pass"))</f>
        <v>0</v>
      </c>
      <c r="H41" s="51" t="n">
        <f aca="false">SUMPRODUCT(--ISNUMBER(SEARCH(", "&amp;$B41&amp;", ",", "&amp;'Hoạt động (Đơn của tôi)'!$B$7:$B$500&amp;", ")),--('Hoạt động (Đơn của tôi)'!$AT$7:$AT$500="Fail"))+SUMPRODUCT(--ISNUMBER(SEARCH(", "&amp;$B41&amp;", ",", "&amp;'Ghép nối'!$B$7:$B$500&amp;", ")),--('Ghép nối'!$AT$7:$AT$500="Fail"))+SUMPRODUCT(--ISNUMBER(SEARCH(", "&amp;$B41&amp;", ",", "&amp;'Huỷ đơn - Huỷ nhận đơn'!$B$7:$B$500&amp;", ")),--('Huỷ đơn - Huỷ nhận đơn'!$AT$7:$AT$500="Fail"))+SUMPRODUCT(--ISNUMBER(SEARCH(", "&amp;$B41&amp;", ",", "&amp;'Giao nhận &amp; Theo dõi đơn'!$B$7:$B$500&amp;", ")),--('Giao nhận &amp; Theo dõi đơn'!$AT$7:$AT$500="Fail"))+SUMPRODUCT(--ISNUMBER(SEARCH(", "&amp;$B41&amp;", ",", "&amp;'Bảng tin &amp; Chi tiết tin'!$B$7:$B$500&amp;", ")),--('Bảng tin &amp; Chi tiết tin'!$AT$7:$AT$500="Fail"))+SUMPRODUCT(--ISNUMBER(SEARCH(", "&amp;$B41&amp;", ",", "&amp;'Quà cảm ơn'!$B$7:$B$500&amp;", ")),--('Quà cảm ơn'!$AT$7:$AT$500="Fail"))+SUMPRODUCT(--ISNUMBER(SEARCH(", "&amp;$B41&amp;", ",", "&amp;'Trang chủ'!$B$7:$B$500&amp;", ")),--('Trang chủ'!$AT$7:$AT$500="Fail"))+SUMPRODUCT(--ISNUMBER(SEARCH(", "&amp;$B41&amp;", ",", "&amp;'Thông báo'!$B$7:$B$500&amp;", ")),--('Thông báo'!$AT$7:$AT$500="Fail"))+SUMPRODUCT(--ISNUMBER(SEARCH(", "&amp;$B41&amp;", ",", "&amp;'Đăng tin &amp; Quản lý tin'!$B$7:$B$500&amp;", ")),--('Đăng tin &amp; Quản lý tin'!$AT$7:$AT$500="Fail"))+SUMPRODUCT(--ISNUMBER(SEARCH(", "&amp;$B41&amp;", ",", "&amp;'Trust &amp; Safety'!$B$7:$B$500&amp;", ")),--('Trust &amp; Safety'!$AT$7:$AT$500="Fail"))+SUMPRODUCT(--ISNUMBER(SEARCH(", "&amp;$B41&amp;", ",", "&amp;'Tài khoản &amp; Hồ sơ'!$B$7:$B$500&amp;", ")),--('Tài khoản &amp; Hồ sơ'!$AT$7:$AT$500="Fail"))</f>
        <v>0</v>
      </c>
      <c r="I41" s="51" t="n">
        <f aca="false">SUMPRODUCT(--ISNUMBER(SEARCH(", "&amp;$B41&amp;", ",", "&amp;'Hoạt động (Đơn của tôi)'!$B$7:$B$500&amp;", ")),--('Hoạt động (Đơn của tôi)'!$AT$7:$AT$500="Block"))+SUMPRODUCT(--ISNUMBER(SEARCH(", "&amp;$B41&amp;", ",", "&amp;'Ghép nối'!$B$7:$B$500&amp;", ")),--('Ghép nối'!$AT$7:$AT$500="Block"))+SUMPRODUCT(--ISNUMBER(SEARCH(", "&amp;$B41&amp;", ",", "&amp;'Huỷ đơn - Huỷ nhận đơn'!$B$7:$B$500&amp;", ")),--('Huỷ đơn - Huỷ nhận đơn'!$AT$7:$AT$500="Block"))+SUMPRODUCT(--ISNUMBER(SEARCH(", "&amp;$B41&amp;", ",", "&amp;'Giao nhận &amp; Theo dõi đơn'!$B$7:$B$500&amp;", ")),--('Giao nhận &amp; Theo dõi đơn'!$AT$7:$AT$500="Block"))+SUMPRODUCT(--ISNUMBER(SEARCH(", "&amp;$B41&amp;", ",", "&amp;'Bảng tin &amp; Chi tiết tin'!$B$7:$B$500&amp;", ")),--('Bảng tin &amp; Chi tiết tin'!$AT$7:$AT$500="Block"))+SUMPRODUCT(--ISNUMBER(SEARCH(", "&amp;$B41&amp;", ",", "&amp;'Quà cảm ơn'!$B$7:$B$500&amp;", ")),--('Quà cảm ơn'!$AT$7:$AT$500="Block"))+SUMPRODUCT(--ISNUMBER(SEARCH(", "&amp;$B41&amp;", ",", "&amp;'Trang chủ'!$B$7:$B$500&amp;", ")),--('Trang chủ'!$AT$7:$AT$500="Block"))+SUMPRODUCT(--ISNUMBER(SEARCH(", "&amp;$B41&amp;", ",", "&amp;'Thông báo'!$B$7:$B$500&amp;", ")),--('Thông báo'!$AT$7:$AT$500="Block"))+SUMPRODUCT(--ISNUMBER(SEARCH(", "&amp;$B41&amp;", ",", "&amp;'Đăng tin &amp; Quản lý tin'!$B$7:$B$500&amp;", ")),--('Đăng tin &amp; Quản lý tin'!$AT$7:$AT$500="Block"))+SUMPRODUCT(--ISNUMBER(SEARCH(", "&amp;$B41&amp;", ",", "&amp;'Trust &amp; Safety'!$B$7:$B$500&amp;", ")),--('Trust &amp; Safety'!$AT$7:$AT$500="Block"))+SUMPRODUCT(--ISNUMBER(SEARCH(", "&amp;$B41&amp;", ",", "&amp;'Tài khoản &amp; Hồ sơ'!$B$7:$B$500&amp;", ")),--('Tài khoản &amp; Hồ sơ'!$AT$7:$AT$500="Block"))</f>
        <v>0</v>
      </c>
      <c r="J41" s="51" t="n">
        <f aca="false">SUMPRODUCT(--ISNUMBER(SEARCH(", "&amp;$B41&amp;", ",", "&amp;'Hoạt động (Đơn của tôi)'!$B$7:$B$500&amp;", ")),--('Hoạt động (Đơn của tôi)'!$AT$7:$AT$500="N/A"))+SUMPRODUCT(--ISNUMBER(SEARCH(", "&amp;$B41&amp;", ",", "&amp;'Ghép nối'!$B$7:$B$500&amp;", ")),--('Ghép nối'!$AT$7:$AT$500="N/A"))+SUMPRODUCT(--ISNUMBER(SEARCH(", "&amp;$B41&amp;", ",", "&amp;'Huỷ đơn - Huỷ nhận đơn'!$B$7:$B$500&amp;", ")),--('Huỷ đơn - Huỷ nhận đơn'!$AT$7:$AT$500="N/A"))+SUMPRODUCT(--ISNUMBER(SEARCH(", "&amp;$B41&amp;", ",", "&amp;'Giao nhận &amp; Theo dõi đơn'!$B$7:$B$500&amp;", ")),--('Giao nhận &amp; Theo dõi đơn'!$AT$7:$AT$500="N/A"))+SUMPRODUCT(--ISNUMBER(SEARCH(", "&amp;$B41&amp;", ",", "&amp;'Bảng tin &amp; Chi tiết tin'!$B$7:$B$500&amp;", ")),--('Bảng tin &amp; Chi tiết tin'!$AT$7:$AT$500="N/A"))+SUMPRODUCT(--ISNUMBER(SEARCH(", "&amp;$B41&amp;", ",", "&amp;'Quà cảm ơn'!$B$7:$B$500&amp;", ")),--('Quà cảm ơn'!$AT$7:$AT$500="N/A"))+SUMPRODUCT(--ISNUMBER(SEARCH(", "&amp;$B41&amp;", ",", "&amp;'Trang chủ'!$B$7:$B$500&amp;", ")),--('Trang chủ'!$AT$7:$AT$500="N/A"))+SUMPRODUCT(--ISNUMBER(SEARCH(", "&amp;$B41&amp;", ",", "&amp;'Thông báo'!$B$7:$B$500&amp;", ")),--('Thông báo'!$AT$7:$AT$500="N/A"))+SUMPRODUCT(--ISNUMBER(SEARCH(", "&amp;$B41&amp;", ",", "&amp;'Đăng tin &amp; Quản lý tin'!$B$7:$B$500&amp;", ")),--('Đăng tin &amp; Quản lý tin'!$AT$7:$AT$500="N/A"))+SUMPRODUCT(--ISNUMBER(SEARCH(", "&amp;$B41&amp;", ",", "&amp;'Trust &amp; Safety'!$B$7:$B$500&amp;", ")),--('Trust &amp; Safety'!$AT$7:$AT$500="N/A"))+SUMPRODUCT(--ISNUMBER(SEARCH(", "&amp;$B41&amp;", ",", "&amp;'Tài khoản &amp; Hồ sơ'!$B$7:$B$500&amp;", ")),--('Tài khoản &amp; Hồ sơ'!$AT$7:$AT$500="N/A"))</f>
        <v>0</v>
      </c>
      <c r="K41" s="52" t="n">
        <f aca="false">IFERROR(F41/E41,0)</f>
        <v>0</v>
      </c>
      <c r="L41" s="123" t="str">
        <f aca="false">IF(E41=0,"Chưa có TC (gap)",IF(H41&gt;0,"Có lỗi (Fail)",IF(I41&gt;0,"Bị block",IF(F41&lt;E41,"Đang test",IF(G41=0,"Không áp dụng (N/A)","Đã test xong")))))</f>
        <v>Đang test</v>
      </c>
      <c r="AB41" s="1" t="s">
        <v>432</v>
      </c>
    </row>
    <row r="42" customFormat="false" ht="15.75" hidden="false" customHeight="true" outlineLevel="0" collapsed="false">
      <c r="B42" s="175" t="s">
        <v>523</v>
      </c>
      <c r="C42" s="176" t="s">
        <v>524</v>
      </c>
      <c r="D42" s="123" t="s">
        <v>427</v>
      </c>
      <c r="E42" s="51" t="n">
        <f aca="false">SUMPRODUCT(--ISNUMBER(SEARCH(", "&amp;$B42&amp;", ",", "&amp;'Hoạt động (Đơn của tôi)'!$B$7:$B$500&amp;", ")))+SUMPRODUCT(--ISNUMBER(SEARCH(", "&amp;$B42&amp;", ",", "&amp;'Ghép nối'!$B$7:$B$500&amp;", ")))+SUMPRODUCT(--ISNUMBER(SEARCH(", "&amp;$B42&amp;", ",", "&amp;'Huỷ đơn - Huỷ nhận đơn'!$B$7:$B$500&amp;", ")))+SUMPRODUCT(--ISNUMBER(SEARCH(", "&amp;$B42&amp;", ",", "&amp;'Giao nhận &amp; Theo dõi đơn'!$B$7:$B$500&amp;", ")))+SUMPRODUCT(--ISNUMBER(SEARCH(", "&amp;$B42&amp;", ",", "&amp;'Bảng tin &amp; Chi tiết tin'!$B$7:$B$500&amp;", ")))+SUMPRODUCT(--ISNUMBER(SEARCH(", "&amp;$B42&amp;", ",", "&amp;'Quà cảm ơn'!$B$7:$B$500&amp;", ")))+SUMPRODUCT(--ISNUMBER(SEARCH(", "&amp;$B42&amp;", ",", "&amp;'Trang chủ'!$B$7:$B$500&amp;", ")))+SUMPRODUCT(--ISNUMBER(SEARCH(", "&amp;$B42&amp;", ",", "&amp;'Thông báo'!$B$7:$B$500&amp;", ")))+SUMPRODUCT(--ISNUMBER(SEARCH(", "&amp;$B42&amp;", ",", "&amp;'Đăng tin &amp; Quản lý tin'!$B$7:$B$500&amp;", ")))+SUMPRODUCT(--ISNUMBER(SEARCH(", "&amp;$B42&amp;", ",", "&amp;'Trust &amp; Safety'!$B$7:$B$500&amp;", ")))+SUMPRODUCT(--ISNUMBER(SEARCH(", "&amp;$B42&amp;", ",", "&amp;'Tài khoản &amp; Hồ sơ'!$B$7:$B$500&amp;", ")))</f>
        <v>1</v>
      </c>
      <c r="F42" s="51" t="n">
        <f aca="false">SUMPRODUCT(--ISNUMBER(SEARCH(", "&amp;$B42&amp;", ",", "&amp;'Hoạt động (Đơn của tôi)'!$B$7:$B$500&amp;", ")),--('Hoạt động (Đơn của tôi)'!$AT$7:$AT$500&lt;&gt;""))+SUMPRODUCT(--ISNUMBER(SEARCH(", "&amp;$B42&amp;", ",", "&amp;'Ghép nối'!$B$7:$B$500&amp;", ")),--('Ghép nối'!$AT$7:$AT$500&lt;&gt;""))+SUMPRODUCT(--ISNUMBER(SEARCH(", "&amp;$B42&amp;", ",", "&amp;'Huỷ đơn - Huỷ nhận đơn'!$B$7:$B$500&amp;", ")),--('Huỷ đơn - Huỷ nhận đơn'!$AT$7:$AT$500&lt;&gt;""))+SUMPRODUCT(--ISNUMBER(SEARCH(", "&amp;$B42&amp;", ",", "&amp;'Giao nhận &amp; Theo dõi đơn'!$B$7:$B$500&amp;", ")),--('Giao nhận &amp; Theo dõi đơn'!$AT$7:$AT$500&lt;&gt;""))+SUMPRODUCT(--ISNUMBER(SEARCH(", "&amp;$B42&amp;", ",", "&amp;'Bảng tin &amp; Chi tiết tin'!$B$7:$B$500&amp;", ")),--('Bảng tin &amp; Chi tiết tin'!$AT$7:$AT$500&lt;&gt;""))+SUMPRODUCT(--ISNUMBER(SEARCH(", "&amp;$B42&amp;", ",", "&amp;'Quà cảm ơn'!$B$7:$B$500&amp;", ")),--('Quà cảm ơn'!$AT$7:$AT$500&lt;&gt;""))+SUMPRODUCT(--ISNUMBER(SEARCH(", "&amp;$B42&amp;", ",", "&amp;'Trang chủ'!$B$7:$B$500&amp;", ")),--('Trang chủ'!$AT$7:$AT$500&lt;&gt;""))+SUMPRODUCT(--ISNUMBER(SEARCH(", "&amp;$B42&amp;", ",", "&amp;'Thông báo'!$B$7:$B$500&amp;", ")),--('Thông báo'!$AT$7:$AT$500&lt;&gt;""))+SUMPRODUCT(--ISNUMBER(SEARCH(", "&amp;$B42&amp;", ",", "&amp;'Đăng tin &amp; Quản lý tin'!$B$7:$B$500&amp;", ")),--('Đăng tin &amp; Quản lý tin'!$AT$7:$AT$500&lt;&gt;""))+SUMPRODUCT(--ISNUMBER(SEARCH(", "&amp;$B42&amp;", ",", "&amp;'Trust &amp; Safety'!$B$7:$B$500&amp;", ")),--('Trust &amp; Safety'!$AT$7:$AT$500&lt;&gt;""))+SUMPRODUCT(--ISNUMBER(SEARCH(", "&amp;$B42&amp;", ",", "&amp;'Tài khoản &amp; Hồ sơ'!$B$7:$B$500&amp;", ")),--('Tài khoản &amp; Hồ sơ'!$AT$7:$AT$500&lt;&gt;""))</f>
        <v>0</v>
      </c>
      <c r="G42" s="51" t="n">
        <f aca="false">SUMPRODUCT(--ISNUMBER(SEARCH(", "&amp;$B42&amp;", ",", "&amp;'Hoạt động (Đơn của tôi)'!$B$7:$B$500&amp;", ")),--('Hoạt động (Đơn của tôi)'!$AT$7:$AT$500="Pass"))+SUMPRODUCT(--ISNUMBER(SEARCH(", "&amp;$B42&amp;", ",", "&amp;'Ghép nối'!$B$7:$B$500&amp;", ")),--('Ghép nối'!$AT$7:$AT$500="Pass"))+SUMPRODUCT(--ISNUMBER(SEARCH(", "&amp;$B42&amp;", ",", "&amp;'Huỷ đơn - Huỷ nhận đơn'!$B$7:$B$500&amp;", ")),--('Huỷ đơn - Huỷ nhận đơn'!$AT$7:$AT$500="Pass"))+SUMPRODUCT(--ISNUMBER(SEARCH(", "&amp;$B42&amp;", ",", "&amp;'Giao nhận &amp; Theo dõi đơn'!$B$7:$B$500&amp;", ")),--('Giao nhận &amp; Theo dõi đơn'!$AT$7:$AT$500="Pass"))+SUMPRODUCT(--ISNUMBER(SEARCH(", "&amp;$B42&amp;", ",", "&amp;'Bảng tin &amp; Chi tiết tin'!$B$7:$B$500&amp;", ")),--('Bảng tin &amp; Chi tiết tin'!$AT$7:$AT$500="Pass"))+SUMPRODUCT(--ISNUMBER(SEARCH(", "&amp;$B42&amp;", ",", "&amp;'Quà cảm ơn'!$B$7:$B$500&amp;", ")),--('Quà cảm ơn'!$AT$7:$AT$500="Pass"))+SUMPRODUCT(--ISNUMBER(SEARCH(", "&amp;$B42&amp;", ",", "&amp;'Trang chủ'!$B$7:$B$500&amp;", ")),--('Trang chủ'!$AT$7:$AT$500="Pass"))+SUMPRODUCT(--ISNUMBER(SEARCH(", "&amp;$B42&amp;", ",", "&amp;'Thông báo'!$B$7:$B$500&amp;", ")),--('Thông báo'!$AT$7:$AT$500="Pass"))+SUMPRODUCT(--ISNUMBER(SEARCH(", "&amp;$B42&amp;", ",", "&amp;'Đăng tin &amp; Quản lý tin'!$B$7:$B$500&amp;", ")),--('Đăng tin &amp; Quản lý tin'!$AT$7:$AT$500="Pass"))+SUMPRODUCT(--ISNUMBER(SEARCH(", "&amp;$B42&amp;", ",", "&amp;'Trust &amp; Safety'!$B$7:$B$500&amp;", ")),--('Trust &amp; Safety'!$AT$7:$AT$500="Pass"))+SUMPRODUCT(--ISNUMBER(SEARCH(", "&amp;$B42&amp;", ",", "&amp;'Tài khoản &amp; Hồ sơ'!$B$7:$B$500&amp;", ")),--('Tài khoản &amp; Hồ sơ'!$AT$7:$AT$500="Pass"))</f>
        <v>0</v>
      </c>
      <c r="H42" s="51" t="n">
        <f aca="false">SUMPRODUCT(--ISNUMBER(SEARCH(", "&amp;$B42&amp;", ",", "&amp;'Hoạt động (Đơn của tôi)'!$B$7:$B$500&amp;", ")),--('Hoạt động (Đơn của tôi)'!$AT$7:$AT$500="Fail"))+SUMPRODUCT(--ISNUMBER(SEARCH(", "&amp;$B42&amp;", ",", "&amp;'Ghép nối'!$B$7:$B$500&amp;", ")),--('Ghép nối'!$AT$7:$AT$500="Fail"))+SUMPRODUCT(--ISNUMBER(SEARCH(", "&amp;$B42&amp;", ",", "&amp;'Huỷ đơn - Huỷ nhận đơn'!$B$7:$B$500&amp;", ")),--('Huỷ đơn - Huỷ nhận đơn'!$AT$7:$AT$500="Fail"))+SUMPRODUCT(--ISNUMBER(SEARCH(", "&amp;$B42&amp;", ",", "&amp;'Giao nhận &amp; Theo dõi đơn'!$B$7:$B$500&amp;", ")),--('Giao nhận &amp; Theo dõi đơn'!$AT$7:$AT$500="Fail"))+SUMPRODUCT(--ISNUMBER(SEARCH(", "&amp;$B42&amp;", ",", "&amp;'Bảng tin &amp; Chi tiết tin'!$B$7:$B$500&amp;", ")),--('Bảng tin &amp; Chi tiết tin'!$AT$7:$AT$500="Fail"))+SUMPRODUCT(--ISNUMBER(SEARCH(", "&amp;$B42&amp;", ",", "&amp;'Quà cảm ơn'!$B$7:$B$500&amp;", ")),--('Quà cảm ơn'!$AT$7:$AT$500="Fail"))+SUMPRODUCT(--ISNUMBER(SEARCH(", "&amp;$B42&amp;", ",", "&amp;'Trang chủ'!$B$7:$B$500&amp;", ")),--('Trang chủ'!$AT$7:$AT$500="Fail"))+SUMPRODUCT(--ISNUMBER(SEARCH(", "&amp;$B42&amp;", ",", "&amp;'Thông báo'!$B$7:$B$500&amp;", ")),--('Thông báo'!$AT$7:$AT$500="Fail"))+SUMPRODUCT(--ISNUMBER(SEARCH(", "&amp;$B42&amp;", ",", "&amp;'Đăng tin &amp; Quản lý tin'!$B$7:$B$500&amp;", ")),--('Đăng tin &amp; Quản lý tin'!$AT$7:$AT$500="Fail"))+SUMPRODUCT(--ISNUMBER(SEARCH(", "&amp;$B42&amp;", ",", "&amp;'Trust &amp; Safety'!$B$7:$B$500&amp;", ")),--('Trust &amp; Safety'!$AT$7:$AT$500="Fail"))+SUMPRODUCT(--ISNUMBER(SEARCH(", "&amp;$B42&amp;", ",", "&amp;'Tài khoản &amp; Hồ sơ'!$B$7:$B$500&amp;", ")),--('Tài khoản &amp; Hồ sơ'!$AT$7:$AT$500="Fail"))</f>
        <v>0</v>
      </c>
      <c r="I42" s="51" t="n">
        <f aca="false">SUMPRODUCT(--ISNUMBER(SEARCH(", "&amp;$B42&amp;", ",", "&amp;'Hoạt động (Đơn của tôi)'!$B$7:$B$500&amp;", ")),--('Hoạt động (Đơn của tôi)'!$AT$7:$AT$500="Block"))+SUMPRODUCT(--ISNUMBER(SEARCH(", "&amp;$B42&amp;", ",", "&amp;'Ghép nối'!$B$7:$B$500&amp;", ")),--('Ghép nối'!$AT$7:$AT$500="Block"))+SUMPRODUCT(--ISNUMBER(SEARCH(", "&amp;$B42&amp;", ",", "&amp;'Huỷ đơn - Huỷ nhận đơn'!$B$7:$B$500&amp;", ")),--('Huỷ đơn - Huỷ nhận đơn'!$AT$7:$AT$500="Block"))+SUMPRODUCT(--ISNUMBER(SEARCH(", "&amp;$B42&amp;", ",", "&amp;'Giao nhận &amp; Theo dõi đơn'!$B$7:$B$500&amp;", ")),--('Giao nhận &amp; Theo dõi đơn'!$AT$7:$AT$500="Block"))+SUMPRODUCT(--ISNUMBER(SEARCH(", "&amp;$B42&amp;", ",", "&amp;'Bảng tin &amp; Chi tiết tin'!$B$7:$B$500&amp;", ")),--('Bảng tin &amp; Chi tiết tin'!$AT$7:$AT$500="Block"))+SUMPRODUCT(--ISNUMBER(SEARCH(", "&amp;$B42&amp;", ",", "&amp;'Quà cảm ơn'!$B$7:$B$500&amp;", ")),--('Quà cảm ơn'!$AT$7:$AT$500="Block"))+SUMPRODUCT(--ISNUMBER(SEARCH(", "&amp;$B42&amp;", ",", "&amp;'Trang chủ'!$B$7:$B$500&amp;", ")),--('Trang chủ'!$AT$7:$AT$500="Block"))+SUMPRODUCT(--ISNUMBER(SEARCH(", "&amp;$B42&amp;", ",", "&amp;'Thông báo'!$B$7:$B$500&amp;", ")),--('Thông báo'!$AT$7:$AT$500="Block"))+SUMPRODUCT(--ISNUMBER(SEARCH(", "&amp;$B42&amp;", ",", "&amp;'Đăng tin &amp; Quản lý tin'!$B$7:$B$500&amp;", ")),--('Đăng tin &amp; Quản lý tin'!$AT$7:$AT$500="Block"))+SUMPRODUCT(--ISNUMBER(SEARCH(", "&amp;$B42&amp;", ",", "&amp;'Trust &amp; Safety'!$B$7:$B$500&amp;", ")),--('Trust &amp; Safety'!$AT$7:$AT$500="Block"))+SUMPRODUCT(--ISNUMBER(SEARCH(", "&amp;$B42&amp;", ",", "&amp;'Tài khoản &amp; Hồ sơ'!$B$7:$B$500&amp;", ")),--('Tài khoản &amp; Hồ sơ'!$AT$7:$AT$500="Block"))</f>
        <v>0</v>
      </c>
      <c r="J42" s="51" t="n">
        <f aca="false">SUMPRODUCT(--ISNUMBER(SEARCH(", "&amp;$B42&amp;", ",", "&amp;'Hoạt động (Đơn của tôi)'!$B$7:$B$500&amp;", ")),--('Hoạt động (Đơn của tôi)'!$AT$7:$AT$500="N/A"))+SUMPRODUCT(--ISNUMBER(SEARCH(", "&amp;$B42&amp;", ",", "&amp;'Ghép nối'!$B$7:$B$500&amp;", ")),--('Ghép nối'!$AT$7:$AT$500="N/A"))+SUMPRODUCT(--ISNUMBER(SEARCH(", "&amp;$B42&amp;", ",", "&amp;'Huỷ đơn - Huỷ nhận đơn'!$B$7:$B$500&amp;", ")),--('Huỷ đơn - Huỷ nhận đơn'!$AT$7:$AT$500="N/A"))+SUMPRODUCT(--ISNUMBER(SEARCH(", "&amp;$B42&amp;", ",", "&amp;'Giao nhận &amp; Theo dõi đơn'!$B$7:$B$500&amp;", ")),--('Giao nhận &amp; Theo dõi đơn'!$AT$7:$AT$500="N/A"))+SUMPRODUCT(--ISNUMBER(SEARCH(", "&amp;$B42&amp;", ",", "&amp;'Bảng tin &amp; Chi tiết tin'!$B$7:$B$500&amp;", ")),--('Bảng tin &amp; Chi tiết tin'!$AT$7:$AT$500="N/A"))+SUMPRODUCT(--ISNUMBER(SEARCH(", "&amp;$B42&amp;", ",", "&amp;'Quà cảm ơn'!$B$7:$B$500&amp;", ")),--('Quà cảm ơn'!$AT$7:$AT$500="N/A"))+SUMPRODUCT(--ISNUMBER(SEARCH(", "&amp;$B42&amp;", ",", "&amp;'Trang chủ'!$B$7:$B$500&amp;", ")),--('Trang chủ'!$AT$7:$AT$500="N/A"))+SUMPRODUCT(--ISNUMBER(SEARCH(", "&amp;$B42&amp;", ",", "&amp;'Thông báo'!$B$7:$B$500&amp;", ")),--('Thông báo'!$AT$7:$AT$500="N/A"))+SUMPRODUCT(--ISNUMBER(SEARCH(", "&amp;$B42&amp;", ",", "&amp;'Đăng tin &amp; Quản lý tin'!$B$7:$B$500&amp;", ")),--('Đăng tin &amp; Quản lý tin'!$AT$7:$AT$500="N/A"))+SUMPRODUCT(--ISNUMBER(SEARCH(", "&amp;$B42&amp;", ",", "&amp;'Trust &amp; Safety'!$B$7:$B$500&amp;", ")),--('Trust &amp; Safety'!$AT$7:$AT$500="N/A"))+SUMPRODUCT(--ISNUMBER(SEARCH(", "&amp;$B42&amp;", ",", "&amp;'Tài khoản &amp; Hồ sơ'!$B$7:$B$500&amp;", ")),--('Tài khoản &amp; Hồ sơ'!$AT$7:$AT$500="N/A"))</f>
        <v>0</v>
      </c>
      <c r="K42" s="52" t="n">
        <f aca="false">IFERROR(F42/E42,0)</f>
        <v>0</v>
      </c>
      <c r="L42" s="123" t="str">
        <f aca="false">IF(E42=0,"Chưa có TC (gap)",IF(H42&gt;0,"Có lỗi (Fail)",IF(I42&gt;0,"Bị block",IF(F42&lt;E42,"Đang test",IF(G42=0,"Không áp dụng (N/A)","Đã test xong")))))</f>
        <v>Đang test</v>
      </c>
      <c r="AB42" s="1" t="s">
        <v>432</v>
      </c>
    </row>
    <row r="43" customFormat="false" ht="15.75" hidden="false" customHeight="true" outlineLevel="0" collapsed="false">
      <c r="B43" s="175" t="s">
        <v>525</v>
      </c>
      <c r="C43" s="176" t="s">
        <v>526</v>
      </c>
      <c r="D43" s="123" t="s">
        <v>527</v>
      </c>
      <c r="E43" s="51" t="n">
        <f aca="false">SUMPRODUCT(--ISNUMBER(SEARCH(", "&amp;$B43&amp;", ",", "&amp;'Hoạt động (Đơn của tôi)'!$B$7:$B$500&amp;", ")))+SUMPRODUCT(--ISNUMBER(SEARCH(", "&amp;$B43&amp;", ",", "&amp;'Ghép nối'!$B$7:$B$500&amp;", ")))+SUMPRODUCT(--ISNUMBER(SEARCH(", "&amp;$B43&amp;", ",", "&amp;'Huỷ đơn - Huỷ nhận đơn'!$B$7:$B$500&amp;", ")))+SUMPRODUCT(--ISNUMBER(SEARCH(", "&amp;$B43&amp;", ",", "&amp;'Giao nhận &amp; Theo dõi đơn'!$B$7:$B$500&amp;", ")))+SUMPRODUCT(--ISNUMBER(SEARCH(", "&amp;$B43&amp;", ",", "&amp;'Bảng tin &amp; Chi tiết tin'!$B$7:$B$500&amp;", ")))+SUMPRODUCT(--ISNUMBER(SEARCH(", "&amp;$B43&amp;", ",", "&amp;'Quà cảm ơn'!$B$7:$B$500&amp;", ")))+SUMPRODUCT(--ISNUMBER(SEARCH(", "&amp;$B43&amp;", ",", "&amp;'Trang chủ'!$B$7:$B$500&amp;", ")))+SUMPRODUCT(--ISNUMBER(SEARCH(", "&amp;$B43&amp;", ",", "&amp;'Thông báo'!$B$7:$B$500&amp;", ")))+SUMPRODUCT(--ISNUMBER(SEARCH(", "&amp;$B43&amp;", ",", "&amp;'Đăng tin &amp; Quản lý tin'!$B$7:$B$500&amp;", ")))+SUMPRODUCT(--ISNUMBER(SEARCH(", "&amp;$B43&amp;", ",", "&amp;'Trust &amp; Safety'!$B$7:$B$500&amp;", ")))+SUMPRODUCT(--ISNUMBER(SEARCH(", "&amp;$B43&amp;", ",", "&amp;'Tài khoản &amp; Hồ sơ'!$B$7:$B$500&amp;", ")))</f>
        <v>2</v>
      </c>
      <c r="F43" s="51" t="n">
        <f aca="false">SUMPRODUCT(--ISNUMBER(SEARCH(", "&amp;$B43&amp;", ",", "&amp;'Hoạt động (Đơn của tôi)'!$B$7:$B$500&amp;", ")),--('Hoạt động (Đơn của tôi)'!$AT$7:$AT$500&lt;&gt;""))+SUMPRODUCT(--ISNUMBER(SEARCH(", "&amp;$B43&amp;", ",", "&amp;'Ghép nối'!$B$7:$B$500&amp;", ")),--('Ghép nối'!$AT$7:$AT$500&lt;&gt;""))+SUMPRODUCT(--ISNUMBER(SEARCH(", "&amp;$B43&amp;", ",", "&amp;'Huỷ đơn - Huỷ nhận đơn'!$B$7:$B$500&amp;", ")),--('Huỷ đơn - Huỷ nhận đơn'!$AT$7:$AT$500&lt;&gt;""))+SUMPRODUCT(--ISNUMBER(SEARCH(", "&amp;$B43&amp;", ",", "&amp;'Giao nhận &amp; Theo dõi đơn'!$B$7:$B$500&amp;", ")),--('Giao nhận &amp; Theo dõi đơn'!$AT$7:$AT$500&lt;&gt;""))+SUMPRODUCT(--ISNUMBER(SEARCH(", "&amp;$B43&amp;", ",", "&amp;'Bảng tin &amp; Chi tiết tin'!$B$7:$B$500&amp;", ")),--('Bảng tin &amp; Chi tiết tin'!$AT$7:$AT$500&lt;&gt;""))+SUMPRODUCT(--ISNUMBER(SEARCH(", "&amp;$B43&amp;", ",", "&amp;'Quà cảm ơn'!$B$7:$B$500&amp;", ")),--('Quà cảm ơn'!$AT$7:$AT$500&lt;&gt;""))+SUMPRODUCT(--ISNUMBER(SEARCH(", "&amp;$B43&amp;", ",", "&amp;'Trang chủ'!$B$7:$B$500&amp;", ")),--('Trang chủ'!$AT$7:$AT$500&lt;&gt;""))+SUMPRODUCT(--ISNUMBER(SEARCH(", "&amp;$B43&amp;", ",", "&amp;'Thông báo'!$B$7:$B$500&amp;", ")),--('Thông báo'!$AT$7:$AT$500&lt;&gt;""))+SUMPRODUCT(--ISNUMBER(SEARCH(", "&amp;$B43&amp;", ",", "&amp;'Đăng tin &amp; Quản lý tin'!$B$7:$B$500&amp;", ")),--('Đăng tin &amp; Quản lý tin'!$AT$7:$AT$500&lt;&gt;""))+SUMPRODUCT(--ISNUMBER(SEARCH(", "&amp;$B43&amp;", ",", "&amp;'Trust &amp; Safety'!$B$7:$B$500&amp;", ")),--('Trust &amp; Safety'!$AT$7:$AT$500&lt;&gt;""))+SUMPRODUCT(--ISNUMBER(SEARCH(", "&amp;$B43&amp;", ",", "&amp;'Tài khoản &amp; Hồ sơ'!$B$7:$B$500&amp;", ")),--('Tài khoản &amp; Hồ sơ'!$AT$7:$AT$500&lt;&gt;""))</f>
        <v>0</v>
      </c>
      <c r="G43" s="51" t="n">
        <f aca="false">SUMPRODUCT(--ISNUMBER(SEARCH(", "&amp;$B43&amp;", ",", "&amp;'Hoạt động (Đơn của tôi)'!$B$7:$B$500&amp;", ")),--('Hoạt động (Đơn của tôi)'!$AT$7:$AT$500="Pass"))+SUMPRODUCT(--ISNUMBER(SEARCH(", "&amp;$B43&amp;", ",", "&amp;'Ghép nối'!$B$7:$B$500&amp;", ")),--('Ghép nối'!$AT$7:$AT$500="Pass"))+SUMPRODUCT(--ISNUMBER(SEARCH(", "&amp;$B43&amp;", ",", "&amp;'Huỷ đơn - Huỷ nhận đơn'!$B$7:$B$500&amp;", ")),--('Huỷ đơn - Huỷ nhận đơn'!$AT$7:$AT$500="Pass"))+SUMPRODUCT(--ISNUMBER(SEARCH(", "&amp;$B43&amp;", ",", "&amp;'Giao nhận &amp; Theo dõi đơn'!$B$7:$B$500&amp;", ")),--('Giao nhận &amp; Theo dõi đơn'!$AT$7:$AT$500="Pass"))+SUMPRODUCT(--ISNUMBER(SEARCH(", "&amp;$B43&amp;", ",", "&amp;'Bảng tin &amp; Chi tiết tin'!$B$7:$B$500&amp;", ")),--('Bảng tin &amp; Chi tiết tin'!$AT$7:$AT$500="Pass"))+SUMPRODUCT(--ISNUMBER(SEARCH(", "&amp;$B43&amp;", ",", "&amp;'Quà cảm ơn'!$B$7:$B$500&amp;", ")),--('Quà cảm ơn'!$AT$7:$AT$500="Pass"))+SUMPRODUCT(--ISNUMBER(SEARCH(", "&amp;$B43&amp;", ",", "&amp;'Trang chủ'!$B$7:$B$500&amp;", ")),--('Trang chủ'!$AT$7:$AT$500="Pass"))+SUMPRODUCT(--ISNUMBER(SEARCH(", "&amp;$B43&amp;", ",", "&amp;'Thông báo'!$B$7:$B$500&amp;", ")),--('Thông báo'!$AT$7:$AT$500="Pass"))+SUMPRODUCT(--ISNUMBER(SEARCH(", "&amp;$B43&amp;", ",", "&amp;'Đăng tin &amp; Quản lý tin'!$B$7:$B$500&amp;", ")),--('Đăng tin &amp; Quản lý tin'!$AT$7:$AT$500="Pass"))+SUMPRODUCT(--ISNUMBER(SEARCH(", "&amp;$B43&amp;", ",", "&amp;'Trust &amp; Safety'!$B$7:$B$500&amp;", ")),--('Trust &amp; Safety'!$AT$7:$AT$500="Pass"))+SUMPRODUCT(--ISNUMBER(SEARCH(", "&amp;$B43&amp;", ",", "&amp;'Tài khoản &amp; Hồ sơ'!$B$7:$B$500&amp;", ")),--('Tài khoản &amp; Hồ sơ'!$AT$7:$AT$500="Pass"))</f>
        <v>0</v>
      </c>
      <c r="H43" s="51" t="n">
        <f aca="false">SUMPRODUCT(--ISNUMBER(SEARCH(", "&amp;$B43&amp;", ",", "&amp;'Hoạt động (Đơn của tôi)'!$B$7:$B$500&amp;", ")),--('Hoạt động (Đơn của tôi)'!$AT$7:$AT$500="Fail"))+SUMPRODUCT(--ISNUMBER(SEARCH(", "&amp;$B43&amp;", ",", "&amp;'Ghép nối'!$B$7:$B$500&amp;", ")),--('Ghép nối'!$AT$7:$AT$500="Fail"))+SUMPRODUCT(--ISNUMBER(SEARCH(", "&amp;$B43&amp;", ",", "&amp;'Huỷ đơn - Huỷ nhận đơn'!$B$7:$B$500&amp;", ")),--('Huỷ đơn - Huỷ nhận đơn'!$AT$7:$AT$500="Fail"))+SUMPRODUCT(--ISNUMBER(SEARCH(", "&amp;$B43&amp;", ",", "&amp;'Giao nhận &amp; Theo dõi đơn'!$B$7:$B$500&amp;", ")),--('Giao nhận &amp; Theo dõi đơn'!$AT$7:$AT$500="Fail"))+SUMPRODUCT(--ISNUMBER(SEARCH(", "&amp;$B43&amp;", ",", "&amp;'Bảng tin &amp; Chi tiết tin'!$B$7:$B$500&amp;", ")),--('Bảng tin &amp; Chi tiết tin'!$AT$7:$AT$500="Fail"))+SUMPRODUCT(--ISNUMBER(SEARCH(", "&amp;$B43&amp;", ",", "&amp;'Quà cảm ơn'!$B$7:$B$500&amp;", ")),--('Quà cảm ơn'!$AT$7:$AT$500="Fail"))+SUMPRODUCT(--ISNUMBER(SEARCH(", "&amp;$B43&amp;", ",", "&amp;'Trang chủ'!$B$7:$B$500&amp;", ")),--('Trang chủ'!$AT$7:$AT$500="Fail"))+SUMPRODUCT(--ISNUMBER(SEARCH(", "&amp;$B43&amp;", ",", "&amp;'Thông báo'!$B$7:$B$500&amp;", ")),--('Thông báo'!$AT$7:$AT$500="Fail"))+SUMPRODUCT(--ISNUMBER(SEARCH(", "&amp;$B43&amp;", ",", "&amp;'Đăng tin &amp; Quản lý tin'!$B$7:$B$500&amp;", ")),--('Đăng tin &amp; Quản lý tin'!$AT$7:$AT$500="Fail"))+SUMPRODUCT(--ISNUMBER(SEARCH(", "&amp;$B43&amp;", ",", "&amp;'Trust &amp; Safety'!$B$7:$B$500&amp;", ")),--('Trust &amp; Safety'!$AT$7:$AT$500="Fail"))+SUMPRODUCT(--ISNUMBER(SEARCH(", "&amp;$B43&amp;", ",", "&amp;'Tài khoản &amp; Hồ sơ'!$B$7:$B$500&amp;", ")),--('Tài khoản &amp; Hồ sơ'!$AT$7:$AT$500="Fail"))</f>
        <v>0</v>
      </c>
      <c r="I43" s="51" t="n">
        <f aca="false">SUMPRODUCT(--ISNUMBER(SEARCH(", "&amp;$B43&amp;", ",", "&amp;'Hoạt động (Đơn của tôi)'!$B$7:$B$500&amp;", ")),--('Hoạt động (Đơn của tôi)'!$AT$7:$AT$500="Block"))+SUMPRODUCT(--ISNUMBER(SEARCH(", "&amp;$B43&amp;", ",", "&amp;'Ghép nối'!$B$7:$B$500&amp;", ")),--('Ghép nối'!$AT$7:$AT$500="Block"))+SUMPRODUCT(--ISNUMBER(SEARCH(", "&amp;$B43&amp;", ",", "&amp;'Huỷ đơn - Huỷ nhận đơn'!$B$7:$B$500&amp;", ")),--('Huỷ đơn - Huỷ nhận đơn'!$AT$7:$AT$500="Block"))+SUMPRODUCT(--ISNUMBER(SEARCH(", "&amp;$B43&amp;", ",", "&amp;'Giao nhận &amp; Theo dõi đơn'!$B$7:$B$500&amp;", ")),--('Giao nhận &amp; Theo dõi đơn'!$AT$7:$AT$500="Block"))+SUMPRODUCT(--ISNUMBER(SEARCH(", "&amp;$B43&amp;", ",", "&amp;'Bảng tin &amp; Chi tiết tin'!$B$7:$B$500&amp;", ")),--('Bảng tin &amp; Chi tiết tin'!$AT$7:$AT$500="Block"))+SUMPRODUCT(--ISNUMBER(SEARCH(", "&amp;$B43&amp;", ",", "&amp;'Quà cảm ơn'!$B$7:$B$500&amp;", ")),--('Quà cảm ơn'!$AT$7:$AT$500="Block"))+SUMPRODUCT(--ISNUMBER(SEARCH(", "&amp;$B43&amp;", ",", "&amp;'Trang chủ'!$B$7:$B$500&amp;", ")),--('Trang chủ'!$AT$7:$AT$500="Block"))+SUMPRODUCT(--ISNUMBER(SEARCH(", "&amp;$B43&amp;", ",", "&amp;'Thông báo'!$B$7:$B$500&amp;", ")),--('Thông báo'!$AT$7:$AT$500="Block"))+SUMPRODUCT(--ISNUMBER(SEARCH(", "&amp;$B43&amp;", ",", "&amp;'Đăng tin &amp; Quản lý tin'!$B$7:$B$500&amp;", ")),--('Đăng tin &amp; Quản lý tin'!$AT$7:$AT$500="Block"))+SUMPRODUCT(--ISNUMBER(SEARCH(", "&amp;$B43&amp;", ",", "&amp;'Trust &amp; Safety'!$B$7:$B$500&amp;", ")),--('Trust &amp; Safety'!$AT$7:$AT$500="Block"))+SUMPRODUCT(--ISNUMBER(SEARCH(", "&amp;$B43&amp;", ",", "&amp;'Tài khoản &amp; Hồ sơ'!$B$7:$B$500&amp;", ")),--('Tài khoản &amp; Hồ sơ'!$AT$7:$AT$500="Block"))</f>
        <v>0</v>
      </c>
      <c r="J43" s="51" t="n">
        <f aca="false">SUMPRODUCT(--ISNUMBER(SEARCH(", "&amp;$B43&amp;", ",", "&amp;'Hoạt động (Đơn của tôi)'!$B$7:$B$500&amp;", ")),--('Hoạt động (Đơn của tôi)'!$AT$7:$AT$500="N/A"))+SUMPRODUCT(--ISNUMBER(SEARCH(", "&amp;$B43&amp;", ",", "&amp;'Ghép nối'!$B$7:$B$500&amp;", ")),--('Ghép nối'!$AT$7:$AT$500="N/A"))+SUMPRODUCT(--ISNUMBER(SEARCH(", "&amp;$B43&amp;", ",", "&amp;'Huỷ đơn - Huỷ nhận đơn'!$B$7:$B$500&amp;", ")),--('Huỷ đơn - Huỷ nhận đơn'!$AT$7:$AT$500="N/A"))+SUMPRODUCT(--ISNUMBER(SEARCH(", "&amp;$B43&amp;", ",", "&amp;'Giao nhận &amp; Theo dõi đơn'!$B$7:$B$500&amp;", ")),--('Giao nhận &amp; Theo dõi đơn'!$AT$7:$AT$500="N/A"))+SUMPRODUCT(--ISNUMBER(SEARCH(", "&amp;$B43&amp;", ",", "&amp;'Bảng tin &amp; Chi tiết tin'!$B$7:$B$500&amp;", ")),--('Bảng tin &amp; Chi tiết tin'!$AT$7:$AT$500="N/A"))+SUMPRODUCT(--ISNUMBER(SEARCH(", "&amp;$B43&amp;", ",", "&amp;'Quà cảm ơn'!$B$7:$B$500&amp;", ")),--('Quà cảm ơn'!$AT$7:$AT$500="N/A"))+SUMPRODUCT(--ISNUMBER(SEARCH(", "&amp;$B43&amp;", ",", "&amp;'Trang chủ'!$B$7:$B$500&amp;", ")),--('Trang chủ'!$AT$7:$AT$500="N/A"))+SUMPRODUCT(--ISNUMBER(SEARCH(", "&amp;$B43&amp;", ",", "&amp;'Thông báo'!$B$7:$B$500&amp;", ")),--('Thông báo'!$AT$7:$AT$500="N/A"))+SUMPRODUCT(--ISNUMBER(SEARCH(", "&amp;$B43&amp;", ",", "&amp;'Đăng tin &amp; Quản lý tin'!$B$7:$B$500&amp;", ")),--('Đăng tin &amp; Quản lý tin'!$AT$7:$AT$500="N/A"))+SUMPRODUCT(--ISNUMBER(SEARCH(", "&amp;$B43&amp;", ",", "&amp;'Trust &amp; Safety'!$B$7:$B$500&amp;", ")),--('Trust &amp; Safety'!$AT$7:$AT$500="N/A"))+SUMPRODUCT(--ISNUMBER(SEARCH(", "&amp;$B43&amp;", ",", "&amp;'Tài khoản &amp; Hồ sơ'!$B$7:$B$500&amp;", ")),--('Tài khoản &amp; Hồ sơ'!$AT$7:$AT$500="N/A"))</f>
        <v>0</v>
      </c>
      <c r="K43" s="52" t="n">
        <f aca="false">IFERROR(F43/E43,0)</f>
        <v>0</v>
      </c>
      <c r="L43" s="123" t="str">
        <f aca="false">IF(E43=0,"Chưa có TC (gap)",IF(H43&gt;0,"Có lỗi (Fail)",IF(I43&gt;0,"Bị block",IF(F43&lt;E43,"Đang test",IF(G43=0,"Không áp dụng (N/A)","Đã test xong")))))</f>
        <v>Đang test</v>
      </c>
      <c r="AB43" s="1" t="s">
        <v>432</v>
      </c>
    </row>
    <row r="44" customFormat="false" ht="15.75" hidden="false" customHeight="true" outlineLevel="0" collapsed="false">
      <c r="B44" s="175" t="s">
        <v>528</v>
      </c>
      <c r="C44" s="176" t="s">
        <v>529</v>
      </c>
      <c r="D44" s="123" t="s">
        <v>530</v>
      </c>
      <c r="E44" s="51" t="n">
        <f aca="false">SUMPRODUCT(--ISNUMBER(SEARCH(", "&amp;$B44&amp;", ",", "&amp;'Hoạt động (Đơn của tôi)'!$B$7:$B$500&amp;", ")))+SUMPRODUCT(--ISNUMBER(SEARCH(", "&amp;$B44&amp;", ",", "&amp;'Ghép nối'!$B$7:$B$500&amp;", ")))+SUMPRODUCT(--ISNUMBER(SEARCH(", "&amp;$B44&amp;", ",", "&amp;'Huỷ đơn - Huỷ nhận đơn'!$B$7:$B$500&amp;", ")))+SUMPRODUCT(--ISNUMBER(SEARCH(", "&amp;$B44&amp;", ",", "&amp;'Giao nhận &amp; Theo dõi đơn'!$B$7:$B$500&amp;", ")))+SUMPRODUCT(--ISNUMBER(SEARCH(", "&amp;$B44&amp;", ",", "&amp;'Bảng tin &amp; Chi tiết tin'!$B$7:$B$500&amp;", ")))+SUMPRODUCT(--ISNUMBER(SEARCH(", "&amp;$B44&amp;", ",", "&amp;'Quà cảm ơn'!$B$7:$B$500&amp;", ")))+SUMPRODUCT(--ISNUMBER(SEARCH(", "&amp;$B44&amp;", ",", "&amp;'Trang chủ'!$B$7:$B$500&amp;", ")))+SUMPRODUCT(--ISNUMBER(SEARCH(", "&amp;$B44&amp;", ",", "&amp;'Thông báo'!$B$7:$B$500&amp;", ")))+SUMPRODUCT(--ISNUMBER(SEARCH(", "&amp;$B44&amp;", ",", "&amp;'Đăng tin &amp; Quản lý tin'!$B$7:$B$500&amp;", ")))+SUMPRODUCT(--ISNUMBER(SEARCH(", "&amp;$B44&amp;", ",", "&amp;'Trust &amp; Safety'!$B$7:$B$500&amp;", ")))+SUMPRODUCT(--ISNUMBER(SEARCH(", "&amp;$B44&amp;", ",", "&amp;'Tài khoản &amp; Hồ sơ'!$B$7:$B$500&amp;", ")))</f>
        <v>3</v>
      </c>
      <c r="F44" s="51" t="n">
        <f aca="false">SUMPRODUCT(--ISNUMBER(SEARCH(", "&amp;$B44&amp;", ",", "&amp;'Hoạt động (Đơn của tôi)'!$B$7:$B$500&amp;", ")),--('Hoạt động (Đơn của tôi)'!$AT$7:$AT$500&lt;&gt;""))+SUMPRODUCT(--ISNUMBER(SEARCH(", "&amp;$B44&amp;", ",", "&amp;'Ghép nối'!$B$7:$B$500&amp;", ")),--('Ghép nối'!$AT$7:$AT$500&lt;&gt;""))+SUMPRODUCT(--ISNUMBER(SEARCH(", "&amp;$B44&amp;", ",", "&amp;'Huỷ đơn - Huỷ nhận đơn'!$B$7:$B$500&amp;", ")),--('Huỷ đơn - Huỷ nhận đơn'!$AT$7:$AT$500&lt;&gt;""))+SUMPRODUCT(--ISNUMBER(SEARCH(", "&amp;$B44&amp;", ",", "&amp;'Giao nhận &amp; Theo dõi đơn'!$B$7:$B$500&amp;", ")),--('Giao nhận &amp; Theo dõi đơn'!$AT$7:$AT$500&lt;&gt;""))+SUMPRODUCT(--ISNUMBER(SEARCH(", "&amp;$B44&amp;", ",", "&amp;'Bảng tin &amp; Chi tiết tin'!$B$7:$B$500&amp;", ")),--('Bảng tin &amp; Chi tiết tin'!$AT$7:$AT$500&lt;&gt;""))+SUMPRODUCT(--ISNUMBER(SEARCH(", "&amp;$B44&amp;", ",", "&amp;'Quà cảm ơn'!$B$7:$B$500&amp;", ")),--('Quà cảm ơn'!$AT$7:$AT$500&lt;&gt;""))+SUMPRODUCT(--ISNUMBER(SEARCH(", "&amp;$B44&amp;", ",", "&amp;'Trang chủ'!$B$7:$B$500&amp;", ")),--('Trang chủ'!$AT$7:$AT$500&lt;&gt;""))+SUMPRODUCT(--ISNUMBER(SEARCH(", "&amp;$B44&amp;", ",", "&amp;'Thông báo'!$B$7:$B$500&amp;", ")),--('Thông báo'!$AT$7:$AT$500&lt;&gt;""))+SUMPRODUCT(--ISNUMBER(SEARCH(", "&amp;$B44&amp;", ",", "&amp;'Đăng tin &amp; Quản lý tin'!$B$7:$B$500&amp;", ")),--('Đăng tin &amp; Quản lý tin'!$AT$7:$AT$500&lt;&gt;""))+SUMPRODUCT(--ISNUMBER(SEARCH(", "&amp;$B44&amp;", ",", "&amp;'Trust &amp; Safety'!$B$7:$B$500&amp;", ")),--('Trust &amp; Safety'!$AT$7:$AT$500&lt;&gt;""))+SUMPRODUCT(--ISNUMBER(SEARCH(", "&amp;$B44&amp;", ",", "&amp;'Tài khoản &amp; Hồ sơ'!$B$7:$B$500&amp;", ")),--('Tài khoản &amp; Hồ sơ'!$AT$7:$AT$500&lt;&gt;""))</f>
        <v>0</v>
      </c>
      <c r="G44" s="51" t="n">
        <f aca="false">SUMPRODUCT(--ISNUMBER(SEARCH(", "&amp;$B44&amp;", ",", "&amp;'Hoạt động (Đơn của tôi)'!$B$7:$B$500&amp;", ")),--('Hoạt động (Đơn của tôi)'!$AT$7:$AT$500="Pass"))+SUMPRODUCT(--ISNUMBER(SEARCH(", "&amp;$B44&amp;", ",", "&amp;'Ghép nối'!$B$7:$B$500&amp;", ")),--('Ghép nối'!$AT$7:$AT$500="Pass"))+SUMPRODUCT(--ISNUMBER(SEARCH(", "&amp;$B44&amp;", ",", "&amp;'Huỷ đơn - Huỷ nhận đơn'!$B$7:$B$500&amp;", ")),--('Huỷ đơn - Huỷ nhận đơn'!$AT$7:$AT$500="Pass"))+SUMPRODUCT(--ISNUMBER(SEARCH(", "&amp;$B44&amp;", ",", "&amp;'Giao nhận &amp; Theo dõi đơn'!$B$7:$B$500&amp;", ")),--('Giao nhận &amp; Theo dõi đơn'!$AT$7:$AT$500="Pass"))+SUMPRODUCT(--ISNUMBER(SEARCH(", "&amp;$B44&amp;", ",", "&amp;'Bảng tin &amp; Chi tiết tin'!$B$7:$B$500&amp;", ")),--('Bảng tin &amp; Chi tiết tin'!$AT$7:$AT$500="Pass"))+SUMPRODUCT(--ISNUMBER(SEARCH(", "&amp;$B44&amp;", ",", "&amp;'Quà cảm ơn'!$B$7:$B$500&amp;", ")),--('Quà cảm ơn'!$AT$7:$AT$500="Pass"))+SUMPRODUCT(--ISNUMBER(SEARCH(", "&amp;$B44&amp;", ",", "&amp;'Trang chủ'!$B$7:$B$500&amp;", ")),--('Trang chủ'!$AT$7:$AT$500="Pass"))+SUMPRODUCT(--ISNUMBER(SEARCH(", "&amp;$B44&amp;", ",", "&amp;'Thông báo'!$B$7:$B$500&amp;", ")),--('Thông báo'!$AT$7:$AT$500="Pass"))+SUMPRODUCT(--ISNUMBER(SEARCH(", "&amp;$B44&amp;", ",", "&amp;'Đăng tin &amp; Quản lý tin'!$B$7:$B$500&amp;", ")),--('Đăng tin &amp; Quản lý tin'!$AT$7:$AT$500="Pass"))+SUMPRODUCT(--ISNUMBER(SEARCH(", "&amp;$B44&amp;", ",", "&amp;'Trust &amp; Safety'!$B$7:$B$500&amp;", ")),--('Trust &amp; Safety'!$AT$7:$AT$500="Pass"))+SUMPRODUCT(--ISNUMBER(SEARCH(", "&amp;$B44&amp;", ",", "&amp;'Tài khoản &amp; Hồ sơ'!$B$7:$B$500&amp;", ")),--('Tài khoản &amp; Hồ sơ'!$AT$7:$AT$500="Pass"))</f>
        <v>0</v>
      </c>
      <c r="H44" s="51" t="n">
        <f aca="false">SUMPRODUCT(--ISNUMBER(SEARCH(", "&amp;$B44&amp;", ",", "&amp;'Hoạt động (Đơn của tôi)'!$B$7:$B$500&amp;", ")),--('Hoạt động (Đơn của tôi)'!$AT$7:$AT$500="Fail"))+SUMPRODUCT(--ISNUMBER(SEARCH(", "&amp;$B44&amp;", ",", "&amp;'Ghép nối'!$B$7:$B$500&amp;", ")),--('Ghép nối'!$AT$7:$AT$500="Fail"))+SUMPRODUCT(--ISNUMBER(SEARCH(", "&amp;$B44&amp;", ",", "&amp;'Huỷ đơn - Huỷ nhận đơn'!$B$7:$B$500&amp;", ")),--('Huỷ đơn - Huỷ nhận đơn'!$AT$7:$AT$500="Fail"))+SUMPRODUCT(--ISNUMBER(SEARCH(", "&amp;$B44&amp;", ",", "&amp;'Giao nhận &amp; Theo dõi đơn'!$B$7:$B$500&amp;", ")),--('Giao nhận &amp; Theo dõi đơn'!$AT$7:$AT$500="Fail"))+SUMPRODUCT(--ISNUMBER(SEARCH(", "&amp;$B44&amp;", ",", "&amp;'Bảng tin &amp; Chi tiết tin'!$B$7:$B$500&amp;", ")),--('Bảng tin &amp; Chi tiết tin'!$AT$7:$AT$500="Fail"))+SUMPRODUCT(--ISNUMBER(SEARCH(", "&amp;$B44&amp;", ",", "&amp;'Quà cảm ơn'!$B$7:$B$500&amp;", ")),--('Quà cảm ơn'!$AT$7:$AT$500="Fail"))+SUMPRODUCT(--ISNUMBER(SEARCH(", "&amp;$B44&amp;", ",", "&amp;'Trang chủ'!$B$7:$B$500&amp;", ")),--('Trang chủ'!$AT$7:$AT$500="Fail"))+SUMPRODUCT(--ISNUMBER(SEARCH(", "&amp;$B44&amp;", ",", "&amp;'Thông báo'!$B$7:$B$500&amp;", ")),--('Thông báo'!$AT$7:$AT$500="Fail"))+SUMPRODUCT(--ISNUMBER(SEARCH(", "&amp;$B44&amp;", ",", "&amp;'Đăng tin &amp; Quản lý tin'!$B$7:$B$500&amp;", ")),--('Đăng tin &amp; Quản lý tin'!$AT$7:$AT$500="Fail"))+SUMPRODUCT(--ISNUMBER(SEARCH(", "&amp;$B44&amp;", ",", "&amp;'Trust &amp; Safety'!$B$7:$B$500&amp;", ")),--('Trust &amp; Safety'!$AT$7:$AT$500="Fail"))+SUMPRODUCT(--ISNUMBER(SEARCH(", "&amp;$B44&amp;", ",", "&amp;'Tài khoản &amp; Hồ sơ'!$B$7:$B$500&amp;", ")),--('Tài khoản &amp; Hồ sơ'!$AT$7:$AT$500="Fail"))</f>
        <v>0</v>
      </c>
      <c r="I44" s="51" t="n">
        <f aca="false">SUMPRODUCT(--ISNUMBER(SEARCH(", "&amp;$B44&amp;", ",", "&amp;'Hoạt động (Đơn của tôi)'!$B$7:$B$500&amp;", ")),--('Hoạt động (Đơn của tôi)'!$AT$7:$AT$500="Block"))+SUMPRODUCT(--ISNUMBER(SEARCH(", "&amp;$B44&amp;", ",", "&amp;'Ghép nối'!$B$7:$B$500&amp;", ")),--('Ghép nối'!$AT$7:$AT$500="Block"))+SUMPRODUCT(--ISNUMBER(SEARCH(", "&amp;$B44&amp;", ",", "&amp;'Huỷ đơn - Huỷ nhận đơn'!$B$7:$B$500&amp;", ")),--('Huỷ đơn - Huỷ nhận đơn'!$AT$7:$AT$500="Block"))+SUMPRODUCT(--ISNUMBER(SEARCH(", "&amp;$B44&amp;", ",", "&amp;'Giao nhận &amp; Theo dõi đơn'!$B$7:$B$500&amp;", ")),--('Giao nhận &amp; Theo dõi đơn'!$AT$7:$AT$500="Block"))+SUMPRODUCT(--ISNUMBER(SEARCH(", "&amp;$B44&amp;", ",", "&amp;'Bảng tin &amp; Chi tiết tin'!$B$7:$B$500&amp;", ")),--('Bảng tin &amp; Chi tiết tin'!$AT$7:$AT$500="Block"))+SUMPRODUCT(--ISNUMBER(SEARCH(", "&amp;$B44&amp;", ",", "&amp;'Quà cảm ơn'!$B$7:$B$500&amp;", ")),--('Quà cảm ơn'!$AT$7:$AT$500="Block"))+SUMPRODUCT(--ISNUMBER(SEARCH(", "&amp;$B44&amp;", ",", "&amp;'Trang chủ'!$B$7:$B$500&amp;", ")),--('Trang chủ'!$AT$7:$AT$500="Block"))+SUMPRODUCT(--ISNUMBER(SEARCH(", "&amp;$B44&amp;", ",", "&amp;'Thông báo'!$B$7:$B$500&amp;", ")),--('Thông báo'!$AT$7:$AT$500="Block"))+SUMPRODUCT(--ISNUMBER(SEARCH(", "&amp;$B44&amp;", ",", "&amp;'Đăng tin &amp; Quản lý tin'!$B$7:$B$500&amp;", ")),--('Đăng tin &amp; Quản lý tin'!$AT$7:$AT$500="Block"))+SUMPRODUCT(--ISNUMBER(SEARCH(", "&amp;$B44&amp;", ",", "&amp;'Trust &amp; Safety'!$B$7:$B$500&amp;", ")),--('Trust &amp; Safety'!$AT$7:$AT$500="Block"))+SUMPRODUCT(--ISNUMBER(SEARCH(", "&amp;$B44&amp;", ",", "&amp;'Tài khoản &amp; Hồ sơ'!$B$7:$B$500&amp;", ")),--('Tài khoản &amp; Hồ sơ'!$AT$7:$AT$500="Block"))</f>
        <v>0</v>
      </c>
      <c r="J44" s="51" t="n">
        <f aca="false">SUMPRODUCT(--ISNUMBER(SEARCH(", "&amp;$B44&amp;", ",", "&amp;'Hoạt động (Đơn của tôi)'!$B$7:$B$500&amp;", ")),--('Hoạt động (Đơn của tôi)'!$AT$7:$AT$500="N/A"))+SUMPRODUCT(--ISNUMBER(SEARCH(", "&amp;$B44&amp;", ",", "&amp;'Ghép nối'!$B$7:$B$500&amp;", ")),--('Ghép nối'!$AT$7:$AT$500="N/A"))+SUMPRODUCT(--ISNUMBER(SEARCH(", "&amp;$B44&amp;", ",", "&amp;'Huỷ đơn - Huỷ nhận đơn'!$B$7:$B$500&amp;", ")),--('Huỷ đơn - Huỷ nhận đơn'!$AT$7:$AT$500="N/A"))+SUMPRODUCT(--ISNUMBER(SEARCH(", "&amp;$B44&amp;", ",", "&amp;'Giao nhận &amp; Theo dõi đơn'!$B$7:$B$500&amp;", ")),--('Giao nhận &amp; Theo dõi đơn'!$AT$7:$AT$500="N/A"))+SUMPRODUCT(--ISNUMBER(SEARCH(", "&amp;$B44&amp;", ",", "&amp;'Bảng tin &amp; Chi tiết tin'!$B$7:$B$500&amp;", ")),--('Bảng tin &amp; Chi tiết tin'!$AT$7:$AT$500="N/A"))+SUMPRODUCT(--ISNUMBER(SEARCH(", "&amp;$B44&amp;", ",", "&amp;'Quà cảm ơn'!$B$7:$B$500&amp;", ")),--('Quà cảm ơn'!$AT$7:$AT$500="N/A"))+SUMPRODUCT(--ISNUMBER(SEARCH(", "&amp;$B44&amp;", ",", "&amp;'Trang chủ'!$B$7:$B$500&amp;", ")),--('Trang chủ'!$AT$7:$AT$500="N/A"))+SUMPRODUCT(--ISNUMBER(SEARCH(", "&amp;$B44&amp;", ",", "&amp;'Thông báo'!$B$7:$B$500&amp;", ")),--('Thông báo'!$AT$7:$AT$500="N/A"))+SUMPRODUCT(--ISNUMBER(SEARCH(", "&amp;$B44&amp;", ",", "&amp;'Đăng tin &amp; Quản lý tin'!$B$7:$B$500&amp;", ")),--('Đăng tin &amp; Quản lý tin'!$AT$7:$AT$500="N/A"))+SUMPRODUCT(--ISNUMBER(SEARCH(", "&amp;$B44&amp;", ",", "&amp;'Trust &amp; Safety'!$B$7:$B$500&amp;", ")),--('Trust &amp; Safety'!$AT$7:$AT$500="N/A"))+SUMPRODUCT(--ISNUMBER(SEARCH(", "&amp;$B44&amp;", ",", "&amp;'Tài khoản &amp; Hồ sơ'!$B$7:$B$500&amp;", ")),--('Tài khoản &amp; Hồ sơ'!$AT$7:$AT$500="N/A"))</f>
        <v>0</v>
      </c>
      <c r="K44" s="52" t="n">
        <f aca="false">IFERROR(F44/E44,0)</f>
        <v>0</v>
      </c>
      <c r="L44" s="123" t="str">
        <f aca="false">IF(E44=0,"Chưa có TC (gap)",IF(H44&gt;0,"Có lỗi (Fail)",IF(I44&gt;0,"Bị block",IF(F44&lt;E44,"Đang test",IF(G44=0,"Không áp dụng (N/A)","Đã test xong")))))</f>
        <v>Đang test</v>
      </c>
      <c r="AB44" s="1" t="s">
        <v>436</v>
      </c>
    </row>
    <row r="45" customFormat="false" ht="15.75" hidden="false" customHeight="true" outlineLevel="0" collapsed="false">
      <c r="B45" s="175" t="s">
        <v>531</v>
      </c>
      <c r="C45" s="176" t="s">
        <v>532</v>
      </c>
      <c r="D45" s="123" t="s">
        <v>533</v>
      </c>
      <c r="E45" s="51" t="n">
        <f aca="false">SUMPRODUCT(--ISNUMBER(SEARCH(", "&amp;$B45&amp;", ",", "&amp;'Hoạt động (Đơn của tôi)'!$B$7:$B$500&amp;", ")))+SUMPRODUCT(--ISNUMBER(SEARCH(", "&amp;$B45&amp;", ",", "&amp;'Ghép nối'!$B$7:$B$500&amp;", ")))+SUMPRODUCT(--ISNUMBER(SEARCH(", "&amp;$B45&amp;", ",", "&amp;'Huỷ đơn - Huỷ nhận đơn'!$B$7:$B$500&amp;", ")))+SUMPRODUCT(--ISNUMBER(SEARCH(", "&amp;$B45&amp;", ",", "&amp;'Giao nhận &amp; Theo dõi đơn'!$B$7:$B$500&amp;", ")))+SUMPRODUCT(--ISNUMBER(SEARCH(", "&amp;$B45&amp;", ",", "&amp;'Bảng tin &amp; Chi tiết tin'!$B$7:$B$500&amp;", ")))+SUMPRODUCT(--ISNUMBER(SEARCH(", "&amp;$B45&amp;", ",", "&amp;'Quà cảm ơn'!$B$7:$B$500&amp;", ")))+SUMPRODUCT(--ISNUMBER(SEARCH(", "&amp;$B45&amp;", ",", "&amp;'Trang chủ'!$B$7:$B$500&amp;", ")))+SUMPRODUCT(--ISNUMBER(SEARCH(", "&amp;$B45&amp;", ",", "&amp;'Thông báo'!$B$7:$B$500&amp;", ")))+SUMPRODUCT(--ISNUMBER(SEARCH(", "&amp;$B45&amp;", ",", "&amp;'Đăng tin &amp; Quản lý tin'!$B$7:$B$500&amp;", ")))+SUMPRODUCT(--ISNUMBER(SEARCH(", "&amp;$B45&amp;", ",", "&amp;'Trust &amp; Safety'!$B$7:$B$500&amp;", ")))+SUMPRODUCT(--ISNUMBER(SEARCH(", "&amp;$B45&amp;", ",", "&amp;'Tài khoản &amp; Hồ sơ'!$B$7:$B$500&amp;", ")))</f>
        <v>5</v>
      </c>
      <c r="F45" s="51" t="n">
        <f aca="false">SUMPRODUCT(--ISNUMBER(SEARCH(", "&amp;$B45&amp;", ",", "&amp;'Hoạt động (Đơn của tôi)'!$B$7:$B$500&amp;", ")),--('Hoạt động (Đơn của tôi)'!$AT$7:$AT$500&lt;&gt;""))+SUMPRODUCT(--ISNUMBER(SEARCH(", "&amp;$B45&amp;", ",", "&amp;'Ghép nối'!$B$7:$B$500&amp;", ")),--('Ghép nối'!$AT$7:$AT$500&lt;&gt;""))+SUMPRODUCT(--ISNUMBER(SEARCH(", "&amp;$B45&amp;", ",", "&amp;'Huỷ đơn - Huỷ nhận đơn'!$B$7:$B$500&amp;", ")),--('Huỷ đơn - Huỷ nhận đơn'!$AT$7:$AT$500&lt;&gt;""))+SUMPRODUCT(--ISNUMBER(SEARCH(", "&amp;$B45&amp;", ",", "&amp;'Giao nhận &amp; Theo dõi đơn'!$B$7:$B$500&amp;", ")),--('Giao nhận &amp; Theo dõi đơn'!$AT$7:$AT$500&lt;&gt;""))+SUMPRODUCT(--ISNUMBER(SEARCH(", "&amp;$B45&amp;", ",", "&amp;'Bảng tin &amp; Chi tiết tin'!$B$7:$B$500&amp;", ")),--('Bảng tin &amp; Chi tiết tin'!$AT$7:$AT$500&lt;&gt;""))+SUMPRODUCT(--ISNUMBER(SEARCH(", "&amp;$B45&amp;", ",", "&amp;'Quà cảm ơn'!$B$7:$B$500&amp;", ")),--('Quà cảm ơn'!$AT$7:$AT$500&lt;&gt;""))+SUMPRODUCT(--ISNUMBER(SEARCH(", "&amp;$B45&amp;", ",", "&amp;'Trang chủ'!$B$7:$B$500&amp;", ")),--('Trang chủ'!$AT$7:$AT$500&lt;&gt;""))+SUMPRODUCT(--ISNUMBER(SEARCH(", "&amp;$B45&amp;", ",", "&amp;'Thông báo'!$B$7:$B$500&amp;", ")),--('Thông báo'!$AT$7:$AT$500&lt;&gt;""))+SUMPRODUCT(--ISNUMBER(SEARCH(", "&amp;$B45&amp;", ",", "&amp;'Đăng tin &amp; Quản lý tin'!$B$7:$B$500&amp;", ")),--('Đăng tin &amp; Quản lý tin'!$AT$7:$AT$500&lt;&gt;""))+SUMPRODUCT(--ISNUMBER(SEARCH(", "&amp;$B45&amp;", ",", "&amp;'Trust &amp; Safety'!$B$7:$B$500&amp;", ")),--('Trust &amp; Safety'!$AT$7:$AT$500&lt;&gt;""))+SUMPRODUCT(--ISNUMBER(SEARCH(", "&amp;$B45&amp;", ",", "&amp;'Tài khoản &amp; Hồ sơ'!$B$7:$B$500&amp;", ")),--('Tài khoản &amp; Hồ sơ'!$AT$7:$AT$500&lt;&gt;""))</f>
        <v>0</v>
      </c>
      <c r="G45" s="51" t="n">
        <f aca="false">SUMPRODUCT(--ISNUMBER(SEARCH(", "&amp;$B45&amp;", ",", "&amp;'Hoạt động (Đơn của tôi)'!$B$7:$B$500&amp;", ")),--('Hoạt động (Đơn của tôi)'!$AT$7:$AT$500="Pass"))+SUMPRODUCT(--ISNUMBER(SEARCH(", "&amp;$B45&amp;", ",", "&amp;'Ghép nối'!$B$7:$B$500&amp;", ")),--('Ghép nối'!$AT$7:$AT$500="Pass"))+SUMPRODUCT(--ISNUMBER(SEARCH(", "&amp;$B45&amp;", ",", "&amp;'Huỷ đơn - Huỷ nhận đơn'!$B$7:$B$500&amp;", ")),--('Huỷ đơn - Huỷ nhận đơn'!$AT$7:$AT$500="Pass"))+SUMPRODUCT(--ISNUMBER(SEARCH(", "&amp;$B45&amp;", ",", "&amp;'Giao nhận &amp; Theo dõi đơn'!$B$7:$B$500&amp;", ")),--('Giao nhận &amp; Theo dõi đơn'!$AT$7:$AT$500="Pass"))+SUMPRODUCT(--ISNUMBER(SEARCH(", "&amp;$B45&amp;", ",", "&amp;'Bảng tin &amp; Chi tiết tin'!$B$7:$B$500&amp;", ")),--('Bảng tin &amp; Chi tiết tin'!$AT$7:$AT$500="Pass"))+SUMPRODUCT(--ISNUMBER(SEARCH(", "&amp;$B45&amp;", ",", "&amp;'Quà cảm ơn'!$B$7:$B$500&amp;", ")),--('Quà cảm ơn'!$AT$7:$AT$500="Pass"))+SUMPRODUCT(--ISNUMBER(SEARCH(", "&amp;$B45&amp;", ",", "&amp;'Trang chủ'!$B$7:$B$500&amp;", ")),--('Trang chủ'!$AT$7:$AT$500="Pass"))+SUMPRODUCT(--ISNUMBER(SEARCH(", "&amp;$B45&amp;", ",", "&amp;'Thông báo'!$B$7:$B$500&amp;", ")),--('Thông báo'!$AT$7:$AT$500="Pass"))+SUMPRODUCT(--ISNUMBER(SEARCH(", "&amp;$B45&amp;", ",", "&amp;'Đăng tin &amp; Quản lý tin'!$B$7:$B$500&amp;", ")),--('Đăng tin &amp; Quản lý tin'!$AT$7:$AT$500="Pass"))+SUMPRODUCT(--ISNUMBER(SEARCH(", "&amp;$B45&amp;", ",", "&amp;'Trust &amp; Safety'!$B$7:$B$500&amp;", ")),--('Trust &amp; Safety'!$AT$7:$AT$500="Pass"))+SUMPRODUCT(--ISNUMBER(SEARCH(", "&amp;$B45&amp;", ",", "&amp;'Tài khoản &amp; Hồ sơ'!$B$7:$B$500&amp;", ")),--('Tài khoản &amp; Hồ sơ'!$AT$7:$AT$500="Pass"))</f>
        <v>0</v>
      </c>
      <c r="H45" s="51" t="n">
        <f aca="false">SUMPRODUCT(--ISNUMBER(SEARCH(", "&amp;$B45&amp;", ",", "&amp;'Hoạt động (Đơn của tôi)'!$B$7:$B$500&amp;", ")),--('Hoạt động (Đơn của tôi)'!$AT$7:$AT$500="Fail"))+SUMPRODUCT(--ISNUMBER(SEARCH(", "&amp;$B45&amp;", ",", "&amp;'Ghép nối'!$B$7:$B$500&amp;", ")),--('Ghép nối'!$AT$7:$AT$500="Fail"))+SUMPRODUCT(--ISNUMBER(SEARCH(", "&amp;$B45&amp;", ",", "&amp;'Huỷ đơn - Huỷ nhận đơn'!$B$7:$B$500&amp;", ")),--('Huỷ đơn - Huỷ nhận đơn'!$AT$7:$AT$500="Fail"))+SUMPRODUCT(--ISNUMBER(SEARCH(", "&amp;$B45&amp;", ",", "&amp;'Giao nhận &amp; Theo dõi đơn'!$B$7:$B$500&amp;", ")),--('Giao nhận &amp; Theo dõi đơn'!$AT$7:$AT$500="Fail"))+SUMPRODUCT(--ISNUMBER(SEARCH(", "&amp;$B45&amp;", ",", "&amp;'Bảng tin &amp; Chi tiết tin'!$B$7:$B$500&amp;", ")),--('Bảng tin &amp; Chi tiết tin'!$AT$7:$AT$500="Fail"))+SUMPRODUCT(--ISNUMBER(SEARCH(", "&amp;$B45&amp;", ",", "&amp;'Quà cảm ơn'!$B$7:$B$500&amp;", ")),--('Quà cảm ơn'!$AT$7:$AT$500="Fail"))+SUMPRODUCT(--ISNUMBER(SEARCH(", "&amp;$B45&amp;", ",", "&amp;'Trang chủ'!$B$7:$B$500&amp;", ")),--('Trang chủ'!$AT$7:$AT$500="Fail"))+SUMPRODUCT(--ISNUMBER(SEARCH(", "&amp;$B45&amp;", ",", "&amp;'Thông báo'!$B$7:$B$500&amp;", ")),--('Thông báo'!$AT$7:$AT$500="Fail"))+SUMPRODUCT(--ISNUMBER(SEARCH(", "&amp;$B45&amp;", ",", "&amp;'Đăng tin &amp; Quản lý tin'!$B$7:$B$500&amp;", ")),--('Đăng tin &amp; Quản lý tin'!$AT$7:$AT$500="Fail"))+SUMPRODUCT(--ISNUMBER(SEARCH(", "&amp;$B45&amp;", ",", "&amp;'Trust &amp; Safety'!$B$7:$B$500&amp;", ")),--('Trust &amp; Safety'!$AT$7:$AT$500="Fail"))+SUMPRODUCT(--ISNUMBER(SEARCH(", "&amp;$B45&amp;", ",", "&amp;'Tài khoản &amp; Hồ sơ'!$B$7:$B$500&amp;", ")),--('Tài khoản &amp; Hồ sơ'!$AT$7:$AT$500="Fail"))</f>
        <v>0</v>
      </c>
      <c r="I45" s="51" t="n">
        <f aca="false">SUMPRODUCT(--ISNUMBER(SEARCH(", "&amp;$B45&amp;", ",", "&amp;'Hoạt động (Đơn của tôi)'!$B$7:$B$500&amp;", ")),--('Hoạt động (Đơn của tôi)'!$AT$7:$AT$500="Block"))+SUMPRODUCT(--ISNUMBER(SEARCH(", "&amp;$B45&amp;", ",", "&amp;'Ghép nối'!$B$7:$B$500&amp;", ")),--('Ghép nối'!$AT$7:$AT$500="Block"))+SUMPRODUCT(--ISNUMBER(SEARCH(", "&amp;$B45&amp;", ",", "&amp;'Huỷ đơn - Huỷ nhận đơn'!$B$7:$B$500&amp;", ")),--('Huỷ đơn - Huỷ nhận đơn'!$AT$7:$AT$500="Block"))+SUMPRODUCT(--ISNUMBER(SEARCH(", "&amp;$B45&amp;", ",", "&amp;'Giao nhận &amp; Theo dõi đơn'!$B$7:$B$500&amp;", ")),--('Giao nhận &amp; Theo dõi đơn'!$AT$7:$AT$500="Block"))+SUMPRODUCT(--ISNUMBER(SEARCH(", "&amp;$B45&amp;", ",", "&amp;'Bảng tin &amp; Chi tiết tin'!$B$7:$B$500&amp;", ")),--('Bảng tin &amp; Chi tiết tin'!$AT$7:$AT$500="Block"))+SUMPRODUCT(--ISNUMBER(SEARCH(", "&amp;$B45&amp;", ",", "&amp;'Quà cảm ơn'!$B$7:$B$500&amp;", ")),--('Quà cảm ơn'!$AT$7:$AT$500="Block"))+SUMPRODUCT(--ISNUMBER(SEARCH(", "&amp;$B45&amp;", ",", "&amp;'Trang chủ'!$B$7:$B$500&amp;", ")),--('Trang chủ'!$AT$7:$AT$500="Block"))+SUMPRODUCT(--ISNUMBER(SEARCH(", "&amp;$B45&amp;", ",", "&amp;'Thông báo'!$B$7:$B$500&amp;", ")),--('Thông báo'!$AT$7:$AT$500="Block"))+SUMPRODUCT(--ISNUMBER(SEARCH(", "&amp;$B45&amp;", ",", "&amp;'Đăng tin &amp; Quản lý tin'!$B$7:$B$500&amp;", ")),--('Đăng tin &amp; Quản lý tin'!$AT$7:$AT$500="Block"))+SUMPRODUCT(--ISNUMBER(SEARCH(", "&amp;$B45&amp;", ",", "&amp;'Trust &amp; Safety'!$B$7:$B$500&amp;", ")),--('Trust &amp; Safety'!$AT$7:$AT$500="Block"))+SUMPRODUCT(--ISNUMBER(SEARCH(", "&amp;$B45&amp;", ",", "&amp;'Tài khoản &amp; Hồ sơ'!$B$7:$B$500&amp;", ")),--('Tài khoản &amp; Hồ sơ'!$AT$7:$AT$500="Block"))</f>
        <v>0</v>
      </c>
      <c r="J45" s="51" t="n">
        <f aca="false">SUMPRODUCT(--ISNUMBER(SEARCH(", "&amp;$B45&amp;", ",", "&amp;'Hoạt động (Đơn của tôi)'!$B$7:$B$500&amp;", ")),--('Hoạt động (Đơn của tôi)'!$AT$7:$AT$500="N/A"))+SUMPRODUCT(--ISNUMBER(SEARCH(", "&amp;$B45&amp;", ",", "&amp;'Ghép nối'!$B$7:$B$500&amp;", ")),--('Ghép nối'!$AT$7:$AT$500="N/A"))+SUMPRODUCT(--ISNUMBER(SEARCH(", "&amp;$B45&amp;", ",", "&amp;'Huỷ đơn - Huỷ nhận đơn'!$B$7:$B$500&amp;", ")),--('Huỷ đơn - Huỷ nhận đơn'!$AT$7:$AT$500="N/A"))+SUMPRODUCT(--ISNUMBER(SEARCH(", "&amp;$B45&amp;", ",", "&amp;'Giao nhận &amp; Theo dõi đơn'!$B$7:$B$500&amp;", ")),--('Giao nhận &amp; Theo dõi đơn'!$AT$7:$AT$500="N/A"))+SUMPRODUCT(--ISNUMBER(SEARCH(", "&amp;$B45&amp;", ",", "&amp;'Bảng tin &amp; Chi tiết tin'!$B$7:$B$500&amp;", ")),--('Bảng tin &amp; Chi tiết tin'!$AT$7:$AT$500="N/A"))+SUMPRODUCT(--ISNUMBER(SEARCH(", "&amp;$B45&amp;", ",", "&amp;'Quà cảm ơn'!$B$7:$B$500&amp;", ")),--('Quà cảm ơn'!$AT$7:$AT$500="N/A"))+SUMPRODUCT(--ISNUMBER(SEARCH(", "&amp;$B45&amp;", ",", "&amp;'Trang chủ'!$B$7:$B$500&amp;", ")),--('Trang chủ'!$AT$7:$AT$500="N/A"))+SUMPRODUCT(--ISNUMBER(SEARCH(", "&amp;$B45&amp;", ",", "&amp;'Thông báo'!$B$7:$B$500&amp;", ")),--('Thông báo'!$AT$7:$AT$500="N/A"))+SUMPRODUCT(--ISNUMBER(SEARCH(", "&amp;$B45&amp;", ",", "&amp;'Đăng tin &amp; Quản lý tin'!$B$7:$B$500&amp;", ")),--('Đăng tin &amp; Quản lý tin'!$AT$7:$AT$500="N/A"))+SUMPRODUCT(--ISNUMBER(SEARCH(", "&amp;$B45&amp;", ",", "&amp;'Trust &amp; Safety'!$B$7:$B$500&amp;", ")),--('Trust &amp; Safety'!$AT$7:$AT$500="N/A"))+SUMPRODUCT(--ISNUMBER(SEARCH(", "&amp;$B45&amp;", ",", "&amp;'Tài khoản &amp; Hồ sơ'!$B$7:$B$500&amp;", ")),--('Tài khoản &amp; Hồ sơ'!$AT$7:$AT$500="N/A"))</f>
        <v>0</v>
      </c>
      <c r="K45" s="52" t="n">
        <f aca="false">IFERROR(F45/E45,0)</f>
        <v>0</v>
      </c>
      <c r="L45" s="123" t="str">
        <f aca="false">IF(E45=0,"Chưa có TC (gap)",IF(H45&gt;0,"Có lỗi (Fail)",IF(I45&gt;0,"Bị block",IF(F45&lt;E45,"Đang test",IF(G45=0,"Không áp dụng (N/A)","Đã test xong")))))</f>
        <v>Đang test</v>
      </c>
      <c r="AB45" s="1" t="s">
        <v>436</v>
      </c>
    </row>
    <row r="46" customFormat="false" ht="15.75" hidden="false" customHeight="true" outlineLevel="0" collapsed="false">
      <c r="B46" s="175" t="s">
        <v>534</v>
      </c>
      <c r="C46" s="176" t="s">
        <v>535</v>
      </c>
      <c r="D46" s="123" t="s">
        <v>536</v>
      </c>
      <c r="E46" s="51" t="n">
        <f aca="false">SUMPRODUCT(--ISNUMBER(SEARCH(", "&amp;$B46&amp;", ",", "&amp;'Hoạt động (Đơn của tôi)'!$B$7:$B$500&amp;", ")))+SUMPRODUCT(--ISNUMBER(SEARCH(", "&amp;$B46&amp;", ",", "&amp;'Ghép nối'!$B$7:$B$500&amp;", ")))+SUMPRODUCT(--ISNUMBER(SEARCH(", "&amp;$B46&amp;", ",", "&amp;'Huỷ đơn - Huỷ nhận đơn'!$B$7:$B$500&amp;", ")))+SUMPRODUCT(--ISNUMBER(SEARCH(", "&amp;$B46&amp;", ",", "&amp;'Giao nhận &amp; Theo dõi đơn'!$B$7:$B$500&amp;", ")))+SUMPRODUCT(--ISNUMBER(SEARCH(", "&amp;$B46&amp;", ",", "&amp;'Bảng tin &amp; Chi tiết tin'!$B$7:$B$500&amp;", ")))+SUMPRODUCT(--ISNUMBER(SEARCH(", "&amp;$B46&amp;", ",", "&amp;'Quà cảm ơn'!$B$7:$B$500&amp;", ")))+SUMPRODUCT(--ISNUMBER(SEARCH(", "&amp;$B46&amp;", ",", "&amp;'Trang chủ'!$B$7:$B$500&amp;", ")))+SUMPRODUCT(--ISNUMBER(SEARCH(", "&amp;$B46&amp;", ",", "&amp;'Thông báo'!$B$7:$B$500&amp;", ")))+SUMPRODUCT(--ISNUMBER(SEARCH(", "&amp;$B46&amp;", ",", "&amp;'Đăng tin &amp; Quản lý tin'!$B$7:$B$500&amp;", ")))+SUMPRODUCT(--ISNUMBER(SEARCH(", "&amp;$B46&amp;", ",", "&amp;'Trust &amp; Safety'!$B$7:$B$500&amp;", ")))+SUMPRODUCT(--ISNUMBER(SEARCH(", "&amp;$B46&amp;", ",", "&amp;'Tài khoản &amp; Hồ sơ'!$B$7:$B$500&amp;", ")))</f>
        <v>3</v>
      </c>
      <c r="F46" s="51" t="n">
        <f aca="false">SUMPRODUCT(--ISNUMBER(SEARCH(", "&amp;$B46&amp;", ",", "&amp;'Hoạt động (Đơn của tôi)'!$B$7:$B$500&amp;", ")),--('Hoạt động (Đơn của tôi)'!$AT$7:$AT$500&lt;&gt;""))+SUMPRODUCT(--ISNUMBER(SEARCH(", "&amp;$B46&amp;", ",", "&amp;'Ghép nối'!$B$7:$B$500&amp;", ")),--('Ghép nối'!$AT$7:$AT$500&lt;&gt;""))+SUMPRODUCT(--ISNUMBER(SEARCH(", "&amp;$B46&amp;", ",", "&amp;'Huỷ đơn - Huỷ nhận đơn'!$B$7:$B$500&amp;", ")),--('Huỷ đơn - Huỷ nhận đơn'!$AT$7:$AT$500&lt;&gt;""))+SUMPRODUCT(--ISNUMBER(SEARCH(", "&amp;$B46&amp;", ",", "&amp;'Giao nhận &amp; Theo dõi đơn'!$B$7:$B$500&amp;", ")),--('Giao nhận &amp; Theo dõi đơn'!$AT$7:$AT$500&lt;&gt;""))+SUMPRODUCT(--ISNUMBER(SEARCH(", "&amp;$B46&amp;", ",", "&amp;'Bảng tin &amp; Chi tiết tin'!$B$7:$B$500&amp;", ")),--('Bảng tin &amp; Chi tiết tin'!$AT$7:$AT$500&lt;&gt;""))+SUMPRODUCT(--ISNUMBER(SEARCH(", "&amp;$B46&amp;", ",", "&amp;'Quà cảm ơn'!$B$7:$B$500&amp;", ")),--('Quà cảm ơn'!$AT$7:$AT$500&lt;&gt;""))+SUMPRODUCT(--ISNUMBER(SEARCH(", "&amp;$B46&amp;", ",", "&amp;'Trang chủ'!$B$7:$B$500&amp;", ")),--('Trang chủ'!$AT$7:$AT$500&lt;&gt;""))+SUMPRODUCT(--ISNUMBER(SEARCH(", "&amp;$B46&amp;", ",", "&amp;'Thông báo'!$B$7:$B$500&amp;", ")),--('Thông báo'!$AT$7:$AT$500&lt;&gt;""))+SUMPRODUCT(--ISNUMBER(SEARCH(", "&amp;$B46&amp;", ",", "&amp;'Đăng tin &amp; Quản lý tin'!$B$7:$B$500&amp;", ")),--('Đăng tin &amp; Quản lý tin'!$AT$7:$AT$500&lt;&gt;""))+SUMPRODUCT(--ISNUMBER(SEARCH(", "&amp;$B46&amp;", ",", "&amp;'Trust &amp; Safety'!$B$7:$B$500&amp;", ")),--('Trust &amp; Safety'!$AT$7:$AT$500&lt;&gt;""))+SUMPRODUCT(--ISNUMBER(SEARCH(", "&amp;$B46&amp;", ",", "&amp;'Tài khoản &amp; Hồ sơ'!$B$7:$B$500&amp;", ")),--('Tài khoản &amp; Hồ sơ'!$AT$7:$AT$500&lt;&gt;""))</f>
        <v>0</v>
      </c>
      <c r="G46" s="51" t="n">
        <f aca="false">SUMPRODUCT(--ISNUMBER(SEARCH(", "&amp;$B46&amp;", ",", "&amp;'Hoạt động (Đơn của tôi)'!$B$7:$B$500&amp;", ")),--('Hoạt động (Đơn của tôi)'!$AT$7:$AT$500="Pass"))+SUMPRODUCT(--ISNUMBER(SEARCH(", "&amp;$B46&amp;", ",", "&amp;'Ghép nối'!$B$7:$B$500&amp;", ")),--('Ghép nối'!$AT$7:$AT$500="Pass"))+SUMPRODUCT(--ISNUMBER(SEARCH(", "&amp;$B46&amp;", ",", "&amp;'Huỷ đơn - Huỷ nhận đơn'!$B$7:$B$500&amp;", ")),--('Huỷ đơn - Huỷ nhận đơn'!$AT$7:$AT$500="Pass"))+SUMPRODUCT(--ISNUMBER(SEARCH(", "&amp;$B46&amp;", ",", "&amp;'Giao nhận &amp; Theo dõi đơn'!$B$7:$B$500&amp;", ")),--('Giao nhận &amp; Theo dõi đơn'!$AT$7:$AT$500="Pass"))+SUMPRODUCT(--ISNUMBER(SEARCH(", "&amp;$B46&amp;", ",", "&amp;'Bảng tin &amp; Chi tiết tin'!$B$7:$B$500&amp;", ")),--('Bảng tin &amp; Chi tiết tin'!$AT$7:$AT$500="Pass"))+SUMPRODUCT(--ISNUMBER(SEARCH(", "&amp;$B46&amp;", ",", "&amp;'Quà cảm ơn'!$B$7:$B$500&amp;", ")),--('Quà cảm ơn'!$AT$7:$AT$500="Pass"))+SUMPRODUCT(--ISNUMBER(SEARCH(", "&amp;$B46&amp;", ",", "&amp;'Trang chủ'!$B$7:$B$500&amp;", ")),--('Trang chủ'!$AT$7:$AT$500="Pass"))+SUMPRODUCT(--ISNUMBER(SEARCH(", "&amp;$B46&amp;", ",", "&amp;'Thông báo'!$B$7:$B$500&amp;", ")),--('Thông báo'!$AT$7:$AT$500="Pass"))+SUMPRODUCT(--ISNUMBER(SEARCH(", "&amp;$B46&amp;", ",", "&amp;'Đăng tin &amp; Quản lý tin'!$B$7:$B$500&amp;", ")),--('Đăng tin &amp; Quản lý tin'!$AT$7:$AT$500="Pass"))+SUMPRODUCT(--ISNUMBER(SEARCH(", "&amp;$B46&amp;", ",", "&amp;'Trust &amp; Safety'!$B$7:$B$500&amp;", ")),--('Trust &amp; Safety'!$AT$7:$AT$500="Pass"))+SUMPRODUCT(--ISNUMBER(SEARCH(", "&amp;$B46&amp;", ",", "&amp;'Tài khoản &amp; Hồ sơ'!$B$7:$B$500&amp;", ")),--('Tài khoản &amp; Hồ sơ'!$AT$7:$AT$500="Pass"))</f>
        <v>0</v>
      </c>
      <c r="H46" s="51" t="n">
        <f aca="false">SUMPRODUCT(--ISNUMBER(SEARCH(", "&amp;$B46&amp;", ",", "&amp;'Hoạt động (Đơn của tôi)'!$B$7:$B$500&amp;", ")),--('Hoạt động (Đơn của tôi)'!$AT$7:$AT$500="Fail"))+SUMPRODUCT(--ISNUMBER(SEARCH(", "&amp;$B46&amp;", ",", "&amp;'Ghép nối'!$B$7:$B$500&amp;", ")),--('Ghép nối'!$AT$7:$AT$500="Fail"))+SUMPRODUCT(--ISNUMBER(SEARCH(", "&amp;$B46&amp;", ",", "&amp;'Huỷ đơn - Huỷ nhận đơn'!$B$7:$B$500&amp;", ")),--('Huỷ đơn - Huỷ nhận đơn'!$AT$7:$AT$500="Fail"))+SUMPRODUCT(--ISNUMBER(SEARCH(", "&amp;$B46&amp;", ",", "&amp;'Giao nhận &amp; Theo dõi đơn'!$B$7:$B$500&amp;", ")),--('Giao nhận &amp; Theo dõi đơn'!$AT$7:$AT$500="Fail"))+SUMPRODUCT(--ISNUMBER(SEARCH(", "&amp;$B46&amp;", ",", "&amp;'Bảng tin &amp; Chi tiết tin'!$B$7:$B$500&amp;", ")),--('Bảng tin &amp; Chi tiết tin'!$AT$7:$AT$500="Fail"))+SUMPRODUCT(--ISNUMBER(SEARCH(", "&amp;$B46&amp;", ",", "&amp;'Quà cảm ơn'!$B$7:$B$500&amp;", ")),--('Quà cảm ơn'!$AT$7:$AT$500="Fail"))+SUMPRODUCT(--ISNUMBER(SEARCH(", "&amp;$B46&amp;", ",", "&amp;'Trang chủ'!$B$7:$B$500&amp;", ")),--('Trang chủ'!$AT$7:$AT$500="Fail"))+SUMPRODUCT(--ISNUMBER(SEARCH(", "&amp;$B46&amp;", ",", "&amp;'Thông báo'!$B$7:$B$500&amp;", ")),--('Thông báo'!$AT$7:$AT$500="Fail"))+SUMPRODUCT(--ISNUMBER(SEARCH(", "&amp;$B46&amp;", ",", "&amp;'Đăng tin &amp; Quản lý tin'!$B$7:$B$500&amp;", ")),--('Đăng tin &amp; Quản lý tin'!$AT$7:$AT$500="Fail"))+SUMPRODUCT(--ISNUMBER(SEARCH(", "&amp;$B46&amp;", ",", "&amp;'Trust &amp; Safety'!$B$7:$B$500&amp;", ")),--('Trust &amp; Safety'!$AT$7:$AT$500="Fail"))+SUMPRODUCT(--ISNUMBER(SEARCH(", "&amp;$B46&amp;", ",", "&amp;'Tài khoản &amp; Hồ sơ'!$B$7:$B$500&amp;", ")),--('Tài khoản &amp; Hồ sơ'!$AT$7:$AT$500="Fail"))</f>
        <v>0</v>
      </c>
      <c r="I46" s="51" t="n">
        <f aca="false">SUMPRODUCT(--ISNUMBER(SEARCH(", "&amp;$B46&amp;", ",", "&amp;'Hoạt động (Đơn của tôi)'!$B$7:$B$500&amp;", ")),--('Hoạt động (Đơn của tôi)'!$AT$7:$AT$500="Block"))+SUMPRODUCT(--ISNUMBER(SEARCH(", "&amp;$B46&amp;", ",", "&amp;'Ghép nối'!$B$7:$B$500&amp;", ")),--('Ghép nối'!$AT$7:$AT$500="Block"))+SUMPRODUCT(--ISNUMBER(SEARCH(", "&amp;$B46&amp;", ",", "&amp;'Huỷ đơn - Huỷ nhận đơn'!$B$7:$B$500&amp;", ")),--('Huỷ đơn - Huỷ nhận đơn'!$AT$7:$AT$500="Block"))+SUMPRODUCT(--ISNUMBER(SEARCH(", "&amp;$B46&amp;", ",", "&amp;'Giao nhận &amp; Theo dõi đơn'!$B$7:$B$500&amp;", ")),--('Giao nhận &amp; Theo dõi đơn'!$AT$7:$AT$500="Block"))+SUMPRODUCT(--ISNUMBER(SEARCH(", "&amp;$B46&amp;", ",", "&amp;'Bảng tin &amp; Chi tiết tin'!$B$7:$B$500&amp;", ")),--('Bảng tin &amp; Chi tiết tin'!$AT$7:$AT$500="Block"))+SUMPRODUCT(--ISNUMBER(SEARCH(", "&amp;$B46&amp;", ",", "&amp;'Quà cảm ơn'!$B$7:$B$500&amp;", ")),--('Quà cảm ơn'!$AT$7:$AT$500="Block"))+SUMPRODUCT(--ISNUMBER(SEARCH(", "&amp;$B46&amp;", ",", "&amp;'Trang chủ'!$B$7:$B$500&amp;", ")),--('Trang chủ'!$AT$7:$AT$500="Block"))+SUMPRODUCT(--ISNUMBER(SEARCH(", "&amp;$B46&amp;", ",", "&amp;'Thông báo'!$B$7:$B$500&amp;", ")),--('Thông báo'!$AT$7:$AT$500="Block"))+SUMPRODUCT(--ISNUMBER(SEARCH(", "&amp;$B46&amp;", ",", "&amp;'Đăng tin &amp; Quản lý tin'!$B$7:$B$500&amp;", ")),--('Đăng tin &amp; Quản lý tin'!$AT$7:$AT$500="Block"))+SUMPRODUCT(--ISNUMBER(SEARCH(", "&amp;$B46&amp;", ",", "&amp;'Trust &amp; Safety'!$B$7:$B$500&amp;", ")),--('Trust &amp; Safety'!$AT$7:$AT$500="Block"))+SUMPRODUCT(--ISNUMBER(SEARCH(", "&amp;$B46&amp;", ",", "&amp;'Tài khoản &amp; Hồ sơ'!$B$7:$B$500&amp;", ")),--('Tài khoản &amp; Hồ sơ'!$AT$7:$AT$500="Block"))</f>
        <v>0</v>
      </c>
      <c r="J46" s="51" t="n">
        <f aca="false">SUMPRODUCT(--ISNUMBER(SEARCH(", "&amp;$B46&amp;", ",", "&amp;'Hoạt động (Đơn của tôi)'!$B$7:$B$500&amp;", ")),--('Hoạt động (Đơn của tôi)'!$AT$7:$AT$500="N/A"))+SUMPRODUCT(--ISNUMBER(SEARCH(", "&amp;$B46&amp;", ",", "&amp;'Ghép nối'!$B$7:$B$500&amp;", ")),--('Ghép nối'!$AT$7:$AT$500="N/A"))+SUMPRODUCT(--ISNUMBER(SEARCH(", "&amp;$B46&amp;", ",", "&amp;'Huỷ đơn - Huỷ nhận đơn'!$B$7:$B$500&amp;", ")),--('Huỷ đơn - Huỷ nhận đơn'!$AT$7:$AT$500="N/A"))+SUMPRODUCT(--ISNUMBER(SEARCH(", "&amp;$B46&amp;", ",", "&amp;'Giao nhận &amp; Theo dõi đơn'!$B$7:$B$500&amp;", ")),--('Giao nhận &amp; Theo dõi đơn'!$AT$7:$AT$500="N/A"))+SUMPRODUCT(--ISNUMBER(SEARCH(", "&amp;$B46&amp;", ",", "&amp;'Bảng tin &amp; Chi tiết tin'!$B$7:$B$500&amp;", ")),--('Bảng tin &amp; Chi tiết tin'!$AT$7:$AT$500="N/A"))+SUMPRODUCT(--ISNUMBER(SEARCH(", "&amp;$B46&amp;", ",", "&amp;'Quà cảm ơn'!$B$7:$B$500&amp;", ")),--('Quà cảm ơn'!$AT$7:$AT$500="N/A"))+SUMPRODUCT(--ISNUMBER(SEARCH(", "&amp;$B46&amp;", ",", "&amp;'Trang chủ'!$B$7:$B$500&amp;", ")),--('Trang chủ'!$AT$7:$AT$500="N/A"))+SUMPRODUCT(--ISNUMBER(SEARCH(", "&amp;$B46&amp;", ",", "&amp;'Thông báo'!$B$7:$B$500&amp;", ")),--('Thông báo'!$AT$7:$AT$500="N/A"))+SUMPRODUCT(--ISNUMBER(SEARCH(", "&amp;$B46&amp;", ",", "&amp;'Đăng tin &amp; Quản lý tin'!$B$7:$B$500&amp;", ")),--('Đăng tin &amp; Quản lý tin'!$AT$7:$AT$500="N/A"))+SUMPRODUCT(--ISNUMBER(SEARCH(", "&amp;$B46&amp;", ",", "&amp;'Trust &amp; Safety'!$B$7:$B$500&amp;", ")),--('Trust &amp; Safety'!$AT$7:$AT$500="N/A"))+SUMPRODUCT(--ISNUMBER(SEARCH(", "&amp;$B46&amp;", ",", "&amp;'Tài khoản &amp; Hồ sơ'!$B$7:$B$500&amp;", ")),--('Tài khoản &amp; Hồ sơ'!$AT$7:$AT$500="N/A"))</f>
        <v>0</v>
      </c>
      <c r="K46" s="52" t="n">
        <f aca="false">IFERROR(F46/E46,0)</f>
        <v>0</v>
      </c>
      <c r="L46" s="123" t="str">
        <f aca="false">IF(E46=0,"Chưa có TC (gap)",IF(H46&gt;0,"Có lỗi (Fail)",IF(I46&gt;0,"Bị block",IF(F46&lt;E46,"Đang test",IF(G46=0,"Không áp dụng (N/A)","Đã test xong")))))</f>
        <v>Đang test</v>
      </c>
      <c r="AB46" s="1" t="s">
        <v>436</v>
      </c>
    </row>
    <row r="47" customFormat="false" ht="15.75" hidden="false" customHeight="true" outlineLevel="0" collapsed="false">
      <c r="B47" s="175" t="s">
        <v>537</v>
      </c>
      <c r="C47" s="176" t="s">
        <v>538</v>
      </c>
      <c r="D47" s="123" t="s">
        <v>539</v>
      </c>
      <c r="E47" s="51" t="n">
        <f aca="false">SUMPRODUCT(--ISNUMBER(SEARCH(", "&amp;$B47&amp;", ",", "&amp;'Hoạt động (Đơn của tôi)'!$B$7:$B$500&amp;", ")))+SUMPRODUCT(--ISNUMBER(SEARCH(", "&amp;$B47&amp;", ",", "&amp;'Ghép nối'!$B$7:$B$500&amp;", ")))+SUMPRODUCT(--ISNUMBER(SEARCH(", "&amp;$B47&amp;", ",", "&amp;'Huỷ đơn - Huỷ nhận đơn'!$B$7:$B$500&amp;", ")))+SUMPRODUCT(--ISNUMBER(SEARCH(", "&amp;$B47&amp;", ",", "&amp;'Giao nhận &amp; Theo dõi đơn'!$B$7:$B$500&amp;", ")))+SUMPRODUCT(--ISNUMBER(SEARCH(", "&amp;$B47&amp;", ",", "&amp;'Bảng tin &amp; Chi tiết tin'!$B$7:$B$500&amp;", ")))+SUMPRODUCT(--ISNUMBER(SEARCH(", "&amp;$B47&amp;", ",", "&amp;'Quà cảm ơn'!$B$7:$B$500&amp;", ")))+SUMPRODUCT(--ISNUMBER(SEARCH(", "&amp;$B47&amp;", ",", "&amp;'Trang chủ'!$B$7:$B$500&amp;", ")))+SUMPRODUCT(--ISNUMBER(SEARCH(", "&amp;$B47&amp;", ",", "&amp;'Thông báo'!$B$7:$B$500&amp;", ")))+SUMPRODUCT(--ISNUMBER(SEARCH(", "&amp;$B47&amp;", ",", "&amp;'Đăng tin &amp; Quản lý tin'!$B$7:$B$500&amp;", ")))+SUMPRODUCT(--ISNUMBER(SEARCH(", "&amp;$B47&amp;", ",", "&amp;'Trust &amp; Safety'!$B$7:$B$500&amp;", ")))+SUMPRODUCT(--ISNUMBER(SEARCH(", "&amp;$B47&amp;", ",", "&amp;'Tài khoản &amp; Hồ sơ'!$B$7:$B$500&amp;", ")))</f>
        <v>1</v>
      </c>
      <c r="F47" s="51" t="n">
        <f aca="false">SUMPRODUCT(--ISNUMBER(SEARCH(", "&amp;$B47&amp;", ",", "&amp;'Hoạt động (Đơn của tôi)'!$B$7:$B$500&amp;", ")),--('Hoạt động (Đơn của tôi)'!$AT$7:$AT$500&lt;&gt;""))+SUMPRODUCT(--ISNUMBER(SEARCH(", "&amp;$B47&amp;", ",", "&amp;'Ghép nối'!$B$7:$B$500&amp;", ")),--('Ghép nối'!$AT$7:$AT$500&lt;&gt;""))+SUMPRODUCT(--ISNUMBER(SEARCH(", "&amp;$B47&amp;", ",", "&amp;'Huỷ đơn - Huỷ nhận đơn'!$B$7:$B$500&amp;", ")),--('Huỷ đơn - Huỷ nhận đơn'!$AT$7:$AT$500&lt;&gt;""))+SUMPRODUCT(--ISNUMBER(SEARCH(", "&amp;$B47&amp;", ",", "&amp;'Giao nhận &amp; Theo dõi đơn'!$B$7:$B$500&amp;", ")),--('Giao nhận &amp; Theo dõi đơn'!$AT$7:$AT$500&lt;&gt;""))+SUMPRODUCT(--ISNUMBER(SEARCH(", "&amp;$B47&amp;", ",", "&amp;'Bảng tin &amp; Chi tiết tin'!$B$7:$B$500&amp;", ")),--('Bảng tin &amp; Chi tiết tin'!$AT$7:$AT$500&lt;&gt;""))+SUMPRODUCT(--ISNUMBER(SEARCH(", "&amp;$B47&amp;", ",", "&amp;'Quà cảm ơn'!$B$7:$B$500&amp;", ")),--('Quà cảm ơn'!$AT$7:$AT$500&lt;&gt;""))+SUMPRODUCT(--ISNUMBER(SEARCH(", "&amp;$B47&amp;", ",", "&amp;'Trang chủ'!$B$7:$B$500&amp;", ")),--('Trang chủ'!$AT$7:$AT$500&lt;&gt;""))+SUMPRODUCT(--ISNUMBER(SEARCH(", "&amp;$B47&amp;", ",", "&amp;'Thông báo'!$B$7:$B$500&amp;", ")),--('Thông báo'!$AT$7:$AT$500&lt;&gt;""))+SUMPRODUCT(--ISNUMBER(SEARCH(", "&amp;$B47&amp;", ",", "&amp;'Đăng tin &amp; Quản lý tin'!$B$7:$B$500&amp;", ")),--('Đăng tin &amp; Quản lý tin'!$AT$7:$AT$500&lt;&gt;""))+SUMPRODUCT(--ISNUMBER(SEARCH(", "&amp;$B47&amp;", ",", "&amp;'Trust &amp; Safety'!$B$7:$B$500&amp;", ")),--('Trust &amp; Safety'!$AT$7:$AT$500&lt;&gt;""))+SUMPRODUCT(--ISNUMBER(SEARCH(", "&amp;$B47&amp;", ",", "&amp;'Tài khoản &amp; Hồ sơ'!$B$7:$B$500&amp;", ")),--('Tài khoản &amp; Hồ sơ'!$AT$7:$AT$500&lt;&gt;""))</f>
        <v>0</v>
      </c>
      <c r="G47" s="51" t="n">
        <f aca="false">SUMPRODUCT(--ISNUMBER(SEARCH(", "&amp;$B47&amp;", ",", "&amp;'Hoạt động (Đơn của tôi)'!$B$7:$B$500&amp;", ")),--('Hoạt động (Đơn của tôi)'!$AT$7:$AT$500="Pass"))+SUMPRODUCT(--ISNUMBER(SEARCH(", "&amp;$B47&amp;", ",", "&amp;'Ghép nối'!$B$7:$B$500&amp;", ")),--('Ghép nối'!$AT$7:$AT$500="Pass"))+SUMPRODUCT(--ISNUMBER(SEARCH(", "&amp;$B47&amp;", ",", "&amp;'Huỷ đơn - Huỷ nhận đơn'!$B$7:$B$500&amp;", ")),--('Huỷ đơn - Huỷ nhận đơn'!$AT$7:$AT$500="Pass"))+SUMPRODUCT(--ISNUMBER(SEARCH(", "&amp;$B47&amp;", ",", "&amp;'Giao nhận &amp; Theo dõi đơn'!$B$7:$B$500&amp;", ")),--('Giao nhận &amp; Theo dõi đơn'!$AT$7:$AT$500="Pass"))+SUMPRODUCT(--ISNUMBER(SEARCH(", "&amp;$B47&amp;", ",", "&amp;'Bảng tin &amp; Chi tiết tin'!$B$7:$B$500&amp;", ")),--('Bảng tin &amp; Chi tiết tin'!$AT$7:$AT$500="Pass"))+SUMPRODUCT(--ISNUMBER(SEARCH(", "&amp;$B47&amp;", ",", "&amp;'Quà cảm ơn'!$B$7:$B$500&amp;", ")),--('Quà cảm ơn'!$AT$7:$AT$500="Pass"))+SUMPRODUCT(--ISNUMBER(SEARCH(", "&amp;$B47&amp;", ",", "&amp;'Trang chủ'!$B$7:$B$500&amp;", ")),--('Trang chủ'!$AT$7:$AT$500="Pass"))+SUMPRODUCT(--ISNUMBER(SEARCH(", "&amp;$B47&amp;", ",", "&amp;'Thông báo'!$B$7:$B$500&amp;", ")),--('Thông báo'!$AT$7:$AT$500="Pass"))+SUMPRODUCT(--ISNUMBER(SEARCH(", "&amp;$B47&amp;", ",", "&amp;'Đăng tin &amp; Quản lý tin'!$B$7:$B$500&amp;", ")),--('Đăng tin &amp; Quản lý tin'!$AT$7:$AT$500="Pass"))+SUMPRODUCT(--ISNUMBER(SEARCH(", "&amp;$B47&amp;", ",", "&amp;'Trust &amp; Safety'!$B$7:$B$500&amp;", ")),--('Trust &amp; Safety'!$AT$7:$AT$500="Pass"))+SUMPRODUCT(--ISNUMBER(SEARCH(", "&amp;$B47&amp;", ",", "&amp;'Tài khoản &amp; Hồ sơ'!$B$7:$B$500&amp;", ")),--('Tài khoản &amp; Hồ sơ'!$AT$7:$AT$500="Pass"))</f>
        <v>0</v>
      </c>
      <c r="H47" s="51" t="n">
        <f aca="false">SUMPRODUCT(--ISNUMBER(SEARCH(", "&amp;$B47&amp;", ",", "&amp;'Hoạt động (Đơn của tôi)'!$B$7:$B$500&amp;", ")),--('Hoạt động (Đơn của tôi)'!$AT$7:$AT$500="Fail"))+SUMPRODUCT(--ISNUMBER(SEARCH(", "&amp;$B47&amp;", ",", "&amp;'Ghép nối'!$B$7:$B$500&amp;", ")),--('Ghép nối'!$AT$7:$AT$500="Fail"))+SUMPRODUCT(--ISNUMBER(SEARCH(", "&amp;$B47&amp;", ",", "&amp;'Huỷ đơn - Huỷ nhận đơn'!$B$7:$B$500&amp;", ")),--('Huỷ đơn - Huỷ nhận đơn'!$AT$7:$AT$500="Fail"))+SUMPRODUCT(--ISNUMBER(SEARCH(", "&amp;$B47&amp;", ",", "&amp;'Giao nhận &amp; Theo dõi đơn'!$B$7:$B$500&amp;", ")),--('Giao nhận &amp; Theo dõi đơn'!$AT$7:$AT$500="Fail"))+SUMPRODUCT(--ISNUMBER(SEARCH(", "&amp;$B47&amp;", ",", "&amp;'Bảng tin &amp; Chi tiết tin'!$B$7:$B$500&amp;", ")),--('Bảng tin &amp; Chi tiết tin'!$AT$7:$AT$500="Fail"))+SUMPRODUCT(--ISNUMBER(SEARCH(", "&amp;$B47&amp;", ",", "&amp;'Quà cảm ơn'!$B$7:$B$500&amp;", ")),--('Quà cảm ơn'!$AT$7:$AT$500="Fail"))+SUMPRODUCT(--ISNUMBER(SEARCH(", "&amp;$B47&amp;", ",", "&amp;'Trang chủ'!$B$7:$B$500&amp;", ")),--('Trang chủ'!$AT$7:$AT$500="Fail"))+SUMPRODUCT(--ISNUMBER(SEARCH(", "&amp;$B47&amp;", ",", "&amp;'Thông báo'!$B$7:$B$500&amp;", ")),--('Thông báo'!$AT$7:$AT$500="Fail"))+SUMPRODUCT(--ISNUMBER(SEARCH(", "&amp;$B47&amp;", ",", "&amp;'Đăng tin &amp; Quản lý tin'!$B$7:$B$500&amp;", ")),--('Đăng tin &amp; Quản lý tin'!$AT$7:$AT$500="Fail"))+SUMPRODUCT(--ISNUMBER(SEARCH(", "&amp;$B47&amp;", ",", "&amp;'Trust &amp; Safety'!$B$7:$B$500&amp;", ")),--('Trust &amp; Safety'!$AT$7:$AT$500="Fail"))+SUMPRODUCT(--ISNUMBER(SEARCH(", "&amp;$B47&amp;", ",", "&amp;'Tài khoản &amp; Hồ sơ'!$B$7:$B$500&amp;", ")),--('Tài khoản &amp; Hồ sơ'!$AT$7:$AT$500="Fail"))</f>
        <v>0</v>
      </c>
      <c r="I47" s="51" t="n">
        <f aca="false">SUMPRODUCT(--ISNUMBER(SEARCH(", "&amp;$B47&amp;", ",", "&amp;'Hoạt động (Đơn của tôi)'!$B$7:$B$500&amp;", ")),--('Hoạt động (Đơn của tôi)'!$AT$7:$AT$500="Block"))+SUMPRODUCT(--ISNUMBER(SEARCH(", "&amp;$B47&amp;", ",", "&amp;'Ghép nối'!$B$7:$B$500&amp;", ")),--('Ghép nối'!$AT$7:$AT$500="Block"))+SUMPRODUCT(--ISNUMBER(SEARCH(", "&amp;$B47&amp;", ",", "&amp;'Huỷ đơn - Huỷ nhận đơn'!$B$7:$B$500&amp;", ")),--('Huỷ đơn - Huỷ nhận đơn'!$AT$7:$AT$500="Block"))+SUMPRODUCT(--ISNUMBER(SEARCH(", "&amp;$B47&amp;", ",", "&amp;'Giao nhận &amp; Theo dõi đơn'!$B$7:$B$500&amp;", ")),--('Giao nhận &amp; Theo dõi đơn'!$AT$7:$AT$500="Block"))+SUMPRODUCT(--ISNUMBER(SEARCH(", "&amp;$B47&amp;", ",", "&amp;'Bảng tin &amp; Chi tiết tin'!$B$7:$B$500&amp;", ")),--('Bảng tin &amp; Chi tiết tin'!$AT$7:$AT$500="Block"))+SUMPRODUCT(--ISNUMBER(SEARCH(", "&amp;$B47&amp;", ",", "&amp;'Quà cảm ơn'!$B$7:$B$500&amp;", ")),--('Quà cảm ơn'!$AT$7:$AT$500="Block"))+SUMPRODUCT(--ISNUMBER(SEARCH(", "&amp;$B47&amp;", ",", "&amp;'Trang chủ'!$B$7:$B$500&amp;", ")),--('Trang chủ'!$AT$7:$AT$500="Block"))+SUMPRODUCT(--ISNUMBER(SEARCH(", "&amp;$B47&amp;", ",", "&amp;'Thông báo'!$B$7:$B$500&amp;", ")),--('Thông báo'!$AT$7:$AT$500="Block"))+SUMPRODUCT(--ISNUMBER(SEARCH(", "&amp;$B47&amp;", ",", "&amp;'Đăng tin &amp; Quản lý tin'!$B$7:$B$500&amp;", ")),--('Đăng tin &amp; Quản lý tin'!$AT$7:$AT$500="Block"))+SUMPRODUCT(--ISNUMBER(SEARCH(", "&amp;$B47&amp;", ",", "&amp;'Trust &amp; Safety'!$B$7:$B$500&amp;", ")),--('Trust &amp; Safety'!$AT$7:$AT$500="Block"))+SUMPRODUCT(--ISNUMBER(SEARCH(", "&amp;$B47&amp;", ",", "&amp;'Tài khoản &amp; Hồ sơ'!$B$7:$B$500&amp;", ")),--('Tài khoản &amp; Hồ sơ'!$AT$7:$AT$500="Block"))</f>
        <v>0</v>
      </c>
      <c r="J47" s="51" t="n">
        <f aca="false">SUMPRODUCT(--ISNUMBER(SEARCH(", "&amp;$B47&amp;", ",", "&amp;'Hoạt động (Đơn của tôi)'!$B$7:$B$500&amp;", ")),--('Hoạt động (Đơn của tôi)'!$AT$7:$AT$500="N/A"))+SUMPRODUCT(--ISNUMBER(SEARCH(", "&amp;$B47&amp;", ",", "&amp;'Ghép nối'!$B$7:$B$500&amp;", ")),--('Ghép nối'!$AT$7:$AT$500="N/A"))+SUMPRODUCT(--ISNUMBER(SEARCH(", "&amp;$B47&amp;", ",", "&amp;'Huỷ đơn - Huỷ nhận đơn'!$B$7:$B$500&amp;", ")),--('Huỷ đơn - Huỷ nhận đơn'!$AT$7:$AT$500="N/A"))+SUMPRODUCT(--ISNUMBER(SEARCH(", "&amp;$B47&amp;", ",", "&amp;'Giao nhận &amp; Theo dõi đơn'!$B$7:$B$500&amp;", ")),--('Giao nhận &amp; Theo dõi đơn'!$AT$7:$AT$500="N/A"))+SUMPRODUCT(--ISNUMBER(SEARCH(", "&amp;$B47&amp;", ",", "&amp;'Bảng tin &amp; Chi tiết tin'!$B$7:$B$500&amp;", ")),--('Bảng tin &amp; Chi tiết tin'!$AT$7:$AT$500="N/A"))+SUMPRODUCT(--ISNUMBER(SEARCH(", "&amp;$B47&amp;", ",", "&amp;'Quà cảm ơn'!$B$7:$B$500&amp;", ")),--('Quà cảm ơn'!$AT$7:$AT$500="N/A"))+SUMPRODUCT(--ISNUMBER(SEARCH(", "&amp;$B47&amp;", ",", "&amp;'Trang chủ'!$B$7:$B$500&amp;", ")),--('Trang chủ'!$AT$7:$AT$500="N/A"))+SUMPRODUCT(--ISNUMBER(SEARCH(", "&amp;$B47&amp;", ",", "&amp;'Thông báo'!$B$7:$B$500&amp;", ")),--('Thông báo'!$AT$7:$AT$500="N/A"))+SUMPRODUCT(--ISNUMBER(SEARCH(", "&amp;$B47&amp;", ",", "&amp;'Đăng tin &amp; Quản lý tin'!$B$7:$B$500&amp;", ")),--('Đăng tin &amp; Quản lý tin'!$AT$7:$AT$500="N/A"))+SUMPRODUCT(--ISNUMBER(SEARCH(", "&amp;$B47&amp;", ",", "&amp;'Trust &amp; Safety'!$B$7:$B$500&amp;", ")),--('Trust &amp; Safety'!$AT$7:$AT$500="N/A"))+SUMPRODUCT(--ISNUMBER(SEARCH(", "&amp;$B47&amp;", ",", "&amp;'Tài khoản &amp; Hồ sơ'!$B$7:$B$500&amp;", ")),--('Tài khoản &amp; Hồ sơ'!$AT$7:$AT$500="N/A"))</f>
        <v>0</v>
      </c>
      <c r="K47" s="52" t="n">
        <f aca="false">IFERROR(F47/E47,0)</f>
        <v>0</v>
      </c>
      <c r="L47" s="123" t="str">
        <f aca="false">IF(E47=0,"Chưa có TC (gap)",IF(H47&gt;0,"Có lỗi (Fail)",IF(I47&gt;0,"Bị block",IF(F47&lt;E47,"Đang test",IF(G47=0,"Không áp dụng (N/A)","Đã test xong")))))</f>
        <v>Đang test</v>
      </c>
      <c r="AB47" s="1" t="s">
        <v>436</v>
      </c>
    </row>
    <row r="48" customFormat="false" ht="15.75" hidden="false" customHeight="true" outlineLevel="0" collapsed="false">
      <c r="B48" s="175" t="s">
        <v>540</v>
      </c>
      <c r="C48" s="176" t="s">
        <v>541</v>
      </c>
      <c r="D48" s="123" t="s">
        <v>542</v>
      </c>
      <c r="E48" s="51" t="n">
        <f aca="false">SUMPRODUCT(--ISNUMBER(SEARCH(", "&amp;$B48&amp;", ",", "&amp;'Hoạt động (Đơn của tôi)'!$B$7:$B$500&amp;", ")))+SUMPRODUCT(--ISNUMBER(SEARCH(", "&amp;$B48&amp;", ",", "&amp;'Ghép nối'!$B$7:$B$500&amp;", ")))+SUMPRODUCT(--ISNUMBER(SEARCH(", "&amp;$B48&amp;", ",", "&amp;'Huỷ đơn - Huỷ nhận đơn'!$B$7:$B$500&amp;", ")))+SUMPRODUCT(--ISNUMBER(SEARCH(", "&amp;$B48&amp;", ",", "&amp;'Giao nhận &amp; Theo dõi đơn'!$B$7:$B$500&amp;", ")))+SUMPRODUCT(--ISNUMBER(SEARCH(", "&amp;$B48&amp;", ",", "&amp;'Bảng tin &amp; Chi tiết tin'!$B$7:$B$500&amp;", ")))+SUMPRODUCT(--ISNUMBER(SEARCH(", "&amp;$B48&amp;", ",", "&amp;'Quà cảm ơn'!$B$7:$B$500&amp;", ")))+SUMPRODUCT(--ISNUMBER(SEARCH(", "&amp;$B48&amp;", ",", "&amp;'Trang chủ'!$B$7:$B$500&amp;", ")))+SUMPRODUCT(--ISNUMBER(SEARCH(", "&amp;$B48&amp;", ",", "&amp;'Thông báo'!$B$7:$B$500&amp;", ")))+SUMPRODUCT(--ISNUMBER(SEARCH(", "&amp;$B48&amp;", ",", "&amp;'Đăng tin &amp; Quản lý tin'!$B$7:$B$500&amp;", ")))+SUMPRODUCT(--ISNUMBER(SEARCH(", "&amp;$B48&amp;", ",", "&amp;'Trust &amp; Safety'!$B$7:$B$500&amp;", ")))+SUMPRODUCT(--ISNUMBER(SEARCH(", "&amp;$B48&amp;", ",", "&amp;'Tài khoản &amp; Hồ sơ'!$B$7:$B$500&amp;", ")))</f>
        <v>1</v>
      </c>
      <c r="F48" s="51" t="n">
        <f aca="false">SUMPRODUCT(--ISNUMBER(SEARCH(", "&amp;$B48&amp;", ",", "&amp;'Hoạt động (Đơn của tôi)'!$B$7:$B$500&amp;", ")),--('Hoạt động (Đơn của tôi)'!$AT$7:$AT$500&lt;&gt;""))+SUMPRODUCT(--ISNUMBER(SEARCH(", "&amp;$B48&amp;", ",", "&amp;'Ghép nối'!$B$7:$B$500&amp;", ")),--('Ghép nối'!$AT$7:$AT$500&lt;&gt;""))+SUMPRODUCT(--ISNUMBER(SEARCH(", "&amp;$B48&amp;", ",", "&amp;'Huỷ đơn - Huỷ nhận đơn'!$B$7:$B$500&amp;", ")),--('Huỷ đơn - Huỷ nhận đơn'!$AT$7:$AT$500&lt;&gt;""))+SUMPRODUCT(--ISNUMBER(SEARCH(", "&amp;$B48&amp;", ",", "&amp;'Giao nhận &amp; Theo dõi đơn'!$B$7:$B$500&amp;", ")),--('Giao nhận &amp; Theo dõi đơn'!$AT$7:$AT$500&lt;&gt;""))+SUMPRODUCT(--ISNUMBER(SEARCH(", "&amp;$B48&amp;", ",", "&amp;'Bảng tin &amp; Chi tiết tin'!$B$7:$B$500&amp;", ")),--('Bảng tin &amp; Chi tiết tin'!$AT$7:$AT$500&lt;&gt;""))+SUMPRODUCT(--ISNUMBER(SEARCH(", "&amp;$B48&amp;", ",", "&amp;'Quà cảm ơn'!$B$7:$B$500&amp;", ")),--('Quà cảm ơn'!$AT$7:$AT$500&lt;&gt;""))+SUMPRODUCT(--ISNUMBER(SEARCH(", "&amp;$B48&amp;", ",", "&amp;'Trang chủ'!$B$7:$B$500&amp;", ")),--('Trang chủ'!$AT$7:$AT$500&lt;&gt;""))+SUMPRODUCT(--ISNUMBER(SEARCH(", "&amp;$B48&amp;", ",", "&amp;'Thông báo'!$B$7:$B$500&amp;", ")),--('Thông báo'!$AT$7:$AT$500&lt;&gt;""))+SUMPRODUCT(--ISNUMBER(SEARCH(", "&amp;$B48&amp;", ",", "&amp;'Đăng tin &amp; Quản lý tin'!$B$7:$B$500&amp;", ")),--('Đăng tin &amp; Quản lý tin'!$AT$7:$AT$500&lt;&gt;""))+SUMPRODUCT(--ISNUMBER(SEARCH(", "&amp;$B48&amp;", ",", "&amp;'Trust &amp; Safety'!$B$7:$B$500&amp;", ")),--('Trust &amp; Safety'!$AT$7:$AT$500&lt;&gt;""))+SUMPRODUCT(--ISNUMBER(SEARCH(", "&amp;$B48&amp;", ",", "&amp;'Tài khoản &amp; Hồ sơ'!$B$7:$B$500&amp;", ")),--('Tài khoản &amp; Hồ sơ'!$AT$7:$AT$500&lt;&gt;""))</f>
        <v>0</v>
      </c>
      <c r="G48" s="51" t="n">
        <f aca="false">SUMPRODUCT(--ISNUMBER(SEARCH(", "&amp;$B48&amp;", ",", "&amp;'Hoạt động (Đơn của tôi)'!$B$7:$B$500&amp;", ")),--('Hoạt động (Đơn của tôi)'!$AT$7:$AT$500="Pass"))+SUMPRODUCT(--ISNUMBER(SEARCH(", "&amp;$B48&amp;", ",", "&amp;'Ghép nối'!$B$7:$B$500&amp;", ")),--('Ghép nối'!$AT$7:$AT$500="Pass"))+SUMPRODUCT(--ISNUMBER(SEARCH(", "&amp;$B48&amp;", ",", "&amp;'Huỷ đơn - Huỷ nhận đơn'!$B$7:$B$500&amp;", ")),--('Huỷ đơn - Huỷ nhận đơn'!$AT$7:$AT$500="Pass"))+SUMPRODUCT(--ISNUMBER(SEARCH(", "&amp;$B48&amp;", ",", "&amp;'Giao nhận &amp; Theo dõi đơn'!$B$7:$B$500&amp;", ")),--('Giao nhận &amp; Theo dõi đơn'!$AT$7:$AT$500="Pass"))+SUMPRODUCT(--ISNUMBER(SEARCH(", "&amp;$B48&amp;", ",", "&amp;'Bảng tin &amp; Chi tiết tin'!$B$7:$B$500&amp;", ")),--('Bảng tin &amp; Chi tiết tin'!$AT$7:$AT$500="Pass"))+SUMPRODUCT(--ISNUMBER(SEARCH(", "&amp;$B48&amp;", ",", "&amp;'Quà cảm ơn'!$B$7:$B$500&amp;", ")),--('Quà cảm ơn'!$AT$7:$AT$500="Pass"))+SUMPRODUCT(--ISNUMBER(SEARCH(", "&amp;$B48&amp;", ",", "&amp;'Trang chủ'!$B$7:$B$500&amp;", ")),--('Trang chủ'!$AT$7:$AT$500="Pass"))+SUMPRODUCT(--ISNUMBER(SEARCH(", "&amp;$B48&amp;", ",", "&amp;'Thông báo'!$B$7:$B$500&amp;", ")),--('Thông báo'!$AT$7:$AT$500="Pass"))+SUMPRODUCT(--ISNUMBER(SEARCH(", "&amp;$B48&amp;", ",", "&amp;'Đăng tin &amp; Quản lý tin'!$B$7:$B$500&amp;", ")),--('Đăng tin &amp; Quản lý tin'!$AT$7:$AT$500="Pass"))+SUMPRODUCT(--ISNUMBER(SEARCH(", "&amp;$B48&amp;", ",", "&amp;'Trust &amp; Safety'!$B$7:$B$500&amp;", ")),--('Trust &amp; Safety'!$AT$7:$AT$500="Pass"))+SUMPRODUCT(--ISNUMBER(SEARCH(", "&amp;$B48&amp;", ",", "&amp;'Tài khoản &amp; Hồ sơ'!$B$7:$B$500&amp;", ")),--('Tài khoản &amp; Hồ sơ'!$AT$7:$AT$500="Pass"))</f>
        <v>0</v>
      </c>
      <c r="H48" s="51" t="n">
        <f aca="false">SUMPRODUCT(--ISNUMBER(SEARCH(", "&amp;$B48&amp;", ",", "&amp;'Hoạt động (Đơn của tôi)'!$B$7:$B$500&amp;", ")),--('Hoạt động (Đơn của tôi)'!$AT$7:$AT$500="Fail"))+SUMPRODUCT(--ISNUMBER(SEARCH(", "&amp;$B48&amp;", ",", "&amp;'Ghép nối'!$B$7:$B$500&amp;", ")),--('Ghép nối'!$AT$7:$AT$500="Fail"))+SUMPRODUCT(--ISNUMBER(SEARCH(", "&amp;$B48&amp;", ",", "&amp;'Huỷ đơn - Huỷ nhận đơn'!$B$7:$B$500&amp;", ")),--('Huỷ đơn - Huỷ nhận đơn'!$AT$7:$AT$500="Fail"))+SUMPRODUCT(--ISNUMBER(SEARCH(", "&amp;$B48&amp;", ",", "&amp;'Giao nhận &amp; Theo dõi đơn'!$B$7:$B$500&amp;", ")),--('Giao nhận &amp; Theo dõi đơn'!$AT$7:$AT$500="Fail"))+SUMPRODUCT(--ISNUMBER(SEARCH(", "&amp;$B48&amp;", ",", "&amp;'Bảng tin &amp; Chi tiết tin'!$B$7:$B$500&amp;", ")),--('Bảng tin &amp; Chi tiết tin'!$AT$7:$AT$500="Fail"))+SUMPRODUCT(--ISNUMBER(SEARCH(", "&amp;$B48&amp;", ",", "&amp;'Quà cảm ơn'!$B$7:$B$500&amp;", ")),--('Quà cảm ơn'!$AT$7:$AT$500="Fail"))+SUMPRODUCT(--ISNUMBER(SEARCH(", "&amp;$B48&amp;", ",", "&amp;'Trang chủ'!$B$7:$B$500&amp;", ")),--('Trang chủ'!$AT$7:$AT$500="Fail"))+SUMPRODUCT(--ISNUMBER(SEARCH(", "&amp;$B48&amp;", ",", "&amp;'Thông báo'!$B$7:$B$500&amp;", ")),--('Thông báo'!$AT$7:$AT$500="Fail"))+SUMPRODUCT(--ISNUMBER(SEARCH(", "&amp;$B48&amp;", ",", "&amp;'Đăng tin &amp; Quản lý tin'!$B$7:$B$500&amp;", ")),--('Đăng tin &amp; Quản lý tin'!$AT$7:$AT$500="Fail"))+SUMPRODUCT(--ISNUMBER(SEARCH(", "&amp;$B48&amp;", ",", "&amp;'Trust &amp; Safety'!$B$7:$B$500&amp;", ")),--('Trust &amp; Safety'!$AT$7:$AT$500="Fail"))+SUMPRODUCT(--ISNUMBER(SEARCH(", "&amp;$B48&amp;", ",", "&amp;'Tài khoản &amp; Hồ sơ'!$B$7:$B$500&amp;", ")),--('Tài khoản &amp; Hồ sơ'!$AT$7:$AT$500="Fail"))</f>
        <v>0</v>
      </c>
      <c r="I48" s="51" t="n">
        <f aca="false">SUMPRODUCT(--ISNUMBER(SEARCH(", "&amp;$B48&amp;", ",", "&amp;'Hoạt động (Đơn của tôi)'!$B$7:$B$500&amp;", ")),--('Hoạt động (Đơn của tôi)'!$AT$7:$AT$500="Block"))+SUMPRODUCT(--ISNUMBER(SEARCH(", "&amp;$B48&amp;", ",", "&amp;'Ghép nối'!$B$7:$B$500&amp;", ")),--('Ghép nối'!$AT$7:$AT$500="Block"))+SUMPRODUCT(--ISNUMBER(SEARCH(", "&amp;$B48&amp;", ",", "&amp;'Huỷ đơn - Huỷ nhận đơn'!$B$7:$B$500&amp;", ")),--('Huỷ đơn - Huỷ nhận đơn'!$AT$7:$AT$500="Block"))+SUMPRODUCT(--ISNUMBER(SEARCH(", "&amp;$B48&amp;", ",", "&amp;'Giao nhận &amp; Theo dõi đơn'!$B$7:$B$500&amp;", ")),--('Giao nhận &amp; Theo dõi đơn'!$AT$7:$AT$500="Block"))+SUMPRODUCT(--ISNUMBER(SEARCH(", "&amp;$B48&amp;", ",", "&amp;'Bảng tin &amp; Chi tiết tin'!$B$7:$B$500&amp;", ")),--('Bảng tin &amp; Chi tiết tin'!$AT$7:$AT$500="Block"))+SUMPRODUCT(--ISNUMBER(SEARCH(", "&amp;$B48&amp;", ",", "&amp;'Quà cảm ơn'!$B$7:$B$500&amp;", ")),--('Quà cảm ơn'!$AT$7:$AT$500="Block"))+SUMPRODUCT(--ISNUMBER(SEARCH(", "&amp;$B48&amp;", ",", "&amp;'Trang chủ'!$B$7:$B$500&amp;", ")),--('Trang chủ'!$AT$7:$AT$500="Block"))+SUMPRODUCT(--ISNUMBER(SEARCH(", "&amp;$B48&amp;", ",", "&amp;'Thông báo'!$B$7:$B$500&amp;", ")),--('Thông báo'!$AT$7:$AT$500="Block"))+SUMPRODUCT(--ISNUMBER(SEARCH(", "&amp;$B48&amp;", ",", "&amp;'Đăng tin &amp; Quản lý tin'!$B$7:$B$500&amp;", ")),--('Đăng tin &amp; Quản lý tin'!$AT$7:$AT$500="Block"))+SUMPRODUCT(--ISNUMBER(SEARCH(", "&amp;$B48&amp;", ",", "&amp;'Trust &amp; Safety'!$B$7:$B$500&amp;", ")),--('Trust &amp; Safety'!$AT$7:$AT$500="Block"))+SUMPRODUCT(--ISNUMBER(SEARCH(", "&amp;$B48&amp;", ",", "&amp;'Tài khoản &amp; Hồ sơ'!$B$7:$B$500&amp;", ")),--('Tài khoản &amp; Hồ sơ'!$AT$7:$AT$500="Block"))</f>
        <v>0</v>
      </c>
      <c r="J48" s="51" t="n">
        <f aca="false">SUMPRODUCT(--ISNUMBER(SEARCH(", "&amp;$B48&amp;", ",", "&amp;'Hoạt động (Đơn của tôi)'!$B$7:$B$500&amp;", ")),--('Hoạt động (Đơn của tôi)'!$AT$7:$AT$500="N/A"))+SUMPRODUCT(--ISNUMBER(SEARCH(", "&amp;$B48&amp;", ",", "&amp;'Ghép nối'!$B$7:$B$500&amp;", ")),--('Ghép nối'!$AT$7:$AT$500="N/A"))+SUMPRODUCT(--ISNUMBER(SEARCH(", "&amp;$B48&amp;", ",", "&amp;'Huỷ đơn - Huỷ nhận đơn'!$B$7:$B$500&amp;", ")),--('Huỷ đơn - Huỷ nhận đơn'!$AT$7:$AT$500="N/A"))+SUMPRODUCT(--ISNUMBER(SEARCH(", "&amp;$B48&amp;", ",", "&amp;'Giao nhận &amp; Theo dõi đơn'!$B$7:$B$500&amp;", ")),--('Giao nhận &amp; Theo dõi đơn'!$AT$7:$AT$500="N/A"))+SUMPRODUCT(--ISNUMBER(SEARCH(", "&amp;$B48&amp;", ",", "&amp;'Bảng tin &amp; Chi tiết tin'!$B$7:$B$500&amp;", ")),--('Bảng tin &amp; Chi tiết tin'!$AT$7:$AT$500="N/A"))+SUMPRODUCT(--ISNUMBER(SEARCH(", "&amp;$B48&amp;", ",", "&amp;'Quà cảm ơn'!$B$7:$B$500&amp;", ")),--('Quà cảm ơn'!$AT$7:$AT$500="N/A"))+SUMPRODUCT(--ISNUMBER(SEARCH(", "&amp;$B48&amp;", ",", "&amp;'Trang chủ'!$B$7:$B$500&amp;", ")),--('Trang chủ'!$AT$7:$AT$500="N/A"))+SUMPRODUCT(--ISNUMBER(SEARCH(", "&amp;$B48&amp;", ",", "&amp;'Thông báo'!$B$7:$B$500&amp;", ")),--('Thông báo'!$AT$7:$AT$500="N/A"))+SUMPRODUCT(--ISNUMBER(SEARCH(", "&amp;$B48&amp;", ",", "&amp;'Đăng tin &amp; Quản lý tin'!$B$7:$B$500&amp;", ")),--('Đăng tin &amp; Quản lý tin'!$AT$7:$AT$500="N/A"))+SUMPRODUCT(--ISNUMBER(SEARCH(", "&amp;$B48&amp;", ",", "&amp;'Trust &amp; Safety'!$B$7:$B$500&amp;", ")),--('Trust &amp; Safety'!$AT$7:$AT$500="N/A"))+SUMPRODUCT(--ISNUMBER(SEARCH(", "&amp;$B48&amp;", ",", "&amp;'Tài khoản &amp; Hồ sơ'!$B$7:$B$500&amp;", ")),--('Tài khoản &amp; Hồ sơ'!$AT$7:$AT$500="N/A"))</f>
        <v>0</v>
      </c>
      <c r="K48" s="52" t="n">
        <f aca="false">IFERROR(F48/E48,0)</f>
        <v>0</v>
      </c>
      <c r="L48" s="123" t="str">
        <f aca="false">IF(E48=0,"Chưa có TC (gap)",IF(H48&gt;0,"Có lỗi (Fail)",IF(I48&gt;0,"Bị block",IF(F48&lt;E48,"Đang test",IF(G48=0,"Không áp dụng (N/A)","Đã test xong")))))</f>
        <v>Đang test</v>
      </c>
      <c r="AB48" s="1" t="s">
        <v>440</v>
      </c>
    </row>
    <row r="49" customFormat="false" ht="15.75" hidden="false" customHeight="true" outlineLevel="0" collapsed="false">
      <c r="B49" s="175" t="s">
        <v>543</v>
      </c>
      <c r="C49" s="176" t="s">
        <v>544</v>
      </c>
      <c r="D49" s="123" t="s">
        <v>545</v>
      </c>
      <c r="E49" s="51" t="n">
        <f aca="false">SUMPRODUCT(--ISNUMBER(SEARCH(", "&amp;$B49&amp;", ",", "&amp;'Hoạt động (Đơn của tôi)'!$B$7:$B$500&amp;", ")))+SUMPRODUCT(--ISNUMBER(SEARCH(", "&amp;$B49&amp;", ",", "&amp;'Ghép nối'!$B$7:$B$500&amp;", ")))+SUMPRODUCT(--ISNUMBER(SEARCH(", "&amp;$B49&amp;", ",", "&amp;'Huỷ đơn - Huỷ nhận đơn'!$B$7:$B$500&amp;", ")))+SUMPRODUCT(--ISNUMBER(SEARCH(", "&amp;$B49&amp;", ",", "&amp;'Giao nhận &amp; Theo dõi đơn'!$B$7:$B$500&amp;", ")))+SUMPRODUCT(--ISNUMBER(SEARCH(", "&amp;$B49&amp;", ",", "&amp;'Bảng tin &amp; Chi tiết tin'!$B$7:$B$500&amp;", ")))+SUMPRODUCT(--ISNUMBER(SEARCH(", "&amp;$B49&amp;", ",", "&amp;'Quà cảm ơn'!$B$7:$B$500&amp;", ")))+SUMPRODUCT(--ISNUMBER(SEARCH(", "&amp;$B49&amp;", ",", "&amp;'Trang chủ'!$B$7:$B$500&amp;", ")))+SUMPRODUCT(--ISNUMBER(SEARCH(", "&amp;$B49&amp;", ",", "&amp;'Thông báo'!$B$7:$B$500&amp;", ")))+SUMPRODUCT(--ISNUMBER(SEARCH(", "&amp;$B49&amp;", ",", "&amp;'Đăng tin &amp; Quản lý tin'!$B$7:$B$500&amp;", ")))+SUMPRODUCT(--ISNUMBER(SEARCH(", "&amp;$B49&amp;", ",", "&amp;'Trust &amp; Safety'!$B$7:$B$500&amp;", ")))+SUMPRODUCT(--ISNUMBER(SEARCH(", "&amp;$B49&amp;", ",", "&amp;'Tài khoản &amp; Hồ sơ'!$B$7:$B$500&amp;", ")))</f>
        <v>1</v>
      </c>
      <c r="F49" s="51" t="n">
        <f aca="false">SUMPRODUCT(--ISNUMBER(SEARCH(", "&amp;$B49&amp;", ",", "&amp;'Hoạt động (Đơn của tôi)'!$B$7:$B$500&amp;", ")),--('Hoạt động (Đơn của tôi)'!$AT$7:$AT$500&lt;&gt;""))+SUMPRODUCT(--ISNUMBER(SEARCH(", "&amp;$B49&amp;", ",", "&amp;'Ghép nối'!$B$7:$B$500&amp;", ")),--('Ghép nối'!$AT$7:$AT$500&lt;&gt;""))+SUMPRODUCT(--ISNUMBER(SEARCH(", "&amp;$B49&amp;", ",", "&amp;'Huỷ đơn - Huỷ nhận đơn'!$B$7:$B$500&amp;", ")),--('Huỷ đơn - Huỷ nhận đơn'!$AT$7:$AT$500&lt;&gt;""))+SUMPRODUCT(--ISNUMBER(SEARCH(", "&amp;$B49&amp;", ",", "&amp;'Giao nhận &amp; Theo dõi đơn'!$B$7:$B$500&amp;", ")),--('Giao nhận &amp; Theo dõi đơn'!$AT$7:$AT$500&lt;&gt;""))+SUMPRODUCT(--ISNUMBER(SEARCH(", "&amp;$B49&amp;", ",", "&amp;'Bảng tin &amp; Chi tiết tin'!$B$7:$B$500&amp;", ")),--('Bảng tin &amp; Chi tiết tin'!$AT$7:$AT$500&lt;&gt;""))+SUMPRODUCT(--ISNUMBER(SEARCH(", "&amp;$B49&amp;", ",", "&amp;'Quà cảm ơn'!$B$7:$B$500&amp;", ")),--('Quà cảm ơn'!$AT$7:$AT$500&lt;&gt;""))+SUMPRODUCT(--ISNUMBER(SEARCH(", "&amp;$B49&amp;", ",", "&amp;'Trang chủ'!$B$7:$B$500&amp;", ")),--('Trang chủ'!$AT$7:$AT$500&lt;&gt;""))+SUMPRODUCT(--ISNUMBER(SEARCH(", "&amp;$B49&amp;", ",", "&amp;'Thông báo'!$B$7:$B$500&amp;", ")),--('Thông báo'!$AT$7:$AT$500&lt;&gt;""))+SUMPRODUCT(--ISNUMBER(SEARCH(", "&amp;$B49&amp;", ",", "&amp;'Đăng tin &amp; Quản lý tin'!$B$7:$B$500&amp;", ")),--('Đăng tin &amp; Quản lý tin'!$AT$7:$AT$500&lt;&gt;""))+SUMPRODUCT(--ISNUMBER(SEARCH(", "&amp;$B49&amp;", ",", "&amp;'Trust &amp; Safety'!$B$7:$B$500&amp;", ")),--('Trust &amp; Safety'!$AT$7:$AT$500&lt;&gt;""))+SUMPRODUCT(--ISNUMBER(SEARCH(", "&amp;$B49&amp;", ",", "&amp;'Tài khoản &amp; Hồ sơ'!$B$7:$B$500&amp;", ")),--('Tài khoản &amp; Hồ sơ'!$AT$7:$AT$500&lt;&gt;""))</f>
        <v>0</v>
      </c>
      <c r="G49" s="51" t="n">
        <f aca="false">SUMPRODUCT(--ISNUMBER(SEARCH(", "&amp;$B49&amp;", ",", "&amp;'Hoạt động (Đơn của tôi)'!$B$7:$B$500&amp;", ")),--('Hoạt động (Đơn của tôi)'!$AT$7:$AT$500="Pass"))+SUMPRODUCT(--ISNUMBER(SEARCH(", "&amp;$B49&amp;", ",", "&amp;'Ghép nối'!$B$7:$B$500&amp;", ")),--('Ghép nối'!$AT$7:$AT$500="Pass"))+SUMPRODUCT(--ISNUMBER(SEARCH(", "&amp;$B49&amp;", ",", "&amp;'Huỷ đơn - Huỷ nhận đơn'!$B$7:$B$500&amp;", ")),--('Huỷ đơn - Huỷ nhận đơn'!$AT$7:$AT$500="Pass"))+SUMPRODUCT(--ISNUMBER(SEARCH(", "&amp;$B49&amp;", ",", "&amp;'Giao nhận &amp; Theo dõi đơn'!$B$7:$B$500&amp;", ")),--('Giao nhận &amp; Theo dõi đơn'!$AT$7:$AT$500="Pass"))+SUMPRODUCT(--ISNUMBER(SEARCH(", "&amp;$B49&amp;", ",", "&amp;'Bảng tin &amp; Chi tiết tin'!$B$7:$B$500&amp;", ")),--('Bảng tin &amp; Chi tiết tin'!$AT$7:$AT$500="Pass"))+SUMPRODUCT(--ISNUMBER(SEARCH(", "&amp;$B49&amp;", ",", "&amp;'Quà cảm ơn'!$B$7:$B$500&amp;", ")),--('Quà cảm ơn'!$AT$7:$AT$500="Pass"))+SUMPRODUCT(--ISNUMBER(SEARCH(", "&amp;$B49&amp;", ",", "&amp;'Trang chủ'!$B$7:$B$500&amp;", ")),--('Trang chủ'!$AT$7:$AT$500="Pass"))+SUMPRODUCT(--ISNUMBER(SEARCH(", "&amp;$B49&amp;", ",", "&amp;'Thông báo'!$B$7:$B$500&amp;", ")),--('Thông báo'!$AT$7:$AT$500="Pass"))+SUMPRODUCT(--ISNUMBER(SEARCH(", "&amp;$B49&amp;", ",", "&amp;'Đăng tin &amp; Quản lý tin'!$B$7:$B$500&amp;", ")),--('Đăng tin &amp; Quản lý tin'!$AT$7:$AT$500="Pass"))+SUMPRODUCT(--ISNUMBER(SEARCH(", "&amp;$B49&amp;", ",", "&amp;'Trust &amp; Safety'!$B$7:$B$500&amp;", ")),--('Trust &amp; Safety'!$AT$7:$AT$500="Pass"))+SUMPRODUCT(--ISNUMBER(SEARCH(", "&amp;$B49&amp;", ",", "&amp;'Tài khoản &amp; Hồ sơ'!$B$7:$B$500&amp;", ")),--('Tài khoản &amp; Hồ sơ'!$AT$7:$AT$500="Pass"))</f>
        <v>0</v>
      </c>
      <c r="H49" s="51" t="n">
        <f aca="false">SUMPRODUCT(--ISNUMBER(SEARCH(", "&amp;$B49&amp;", ",", "&amp;'Hoạt động (Đơn của tôi)'!$B$7:$B$500&amp;", ")),--('Hoạt động (Đơn của tôi)'!$AT$7:$AT$500="Fail"))+SUMPRODUCT(--ISNUMBER(SEARCH(", "&amp;$B49&amp;", ",", "&amp;'Ghép nối'!$B$7:$B$500&amp;", ")),--('Ghép nối'!$AT$7:$AT$500="Fail"))+SUMPRODUCT(--ISNUMBER(SEARCH(", "&amp;$B49&amp;", ",", "&amp;'Huỷ đơn - Huỷ nhận đơn'!$B$7:$B$500&amp;", ")),--('Huỷ đơn - Huỷ nhận đơn'!$AT$7:$AT$500="Fail"))+SUMPRODUCT(--ISNUMBER(SEARCH(", "&amp;$B49&amp;", ",", "&amp;'Giao nhận &amp; Theo dõi đơn'!$B$7:$B$500&amp;", ")),--('Giao nhận &amp; Theo dõi đơn'!$AT$7:$AT$500="Fail"))+SUMPRODUCT(--ISNUMBER(SEARCH(", "&amp;$B49&amp;", ",", "&amp;'Bảng tin &amp; Chi tiết tin'!$B$7:$B$500&amp;", ")),--('Bảng tin &amp; Chi tiết tin'!$AT$7:$AT$500="Fail"))+SUMPRODUCT(--ISNUMBER(SEARCH(", "&amp;$B49&amp;", ",", "&amp;'Quà cảm ơn'!$B$7:$B$500&amp;", ")),--('Quà cảm ơn'!$AT$7:$AT$500="Fail"))+SUMPRODUCT(--ISNUMBER(SEARCH(", "&amp;$B49&amp;", ",", "&amp;'Trang chủ'!$B$7:$B$500&amp;", ")),--('Trang chủ'!$AT$7:$AT$500="Fail"))+SUMPRODUCT(--ISNUMBER(SEARCH(", "&amp;$B49&amp;", ",", "&amp;'Thông báo'!$B$7:$B$500&amp;", ")),--('Thông báo'!$AT$7:$AT$500="Fail"))+SUMPRODUCT(--ISNUMBER(SEARCH(", "&amp;$B49&amp;", ",", "&amp;'Đăng tin &amp; Quản lý tin'!$B$7:$B$500&amp;", ")),--('Đăng tin &amp; Quản lý tin'!$AT$7:$AT$500="Fail"))+SUMPRODUCT(--ISNUMBER(SEARCH(", "&amp;$B49&amp;", ",", "&amp;'Trust &amp; Safety'!$B$7:$B$500&amp;", ")),--('Trust &amp; Safety'!$AT$7:$AT$500="Fail"))+SUMPRODUCT(--ISNUMBER(SEARCH(", "&amp;$B49&amp;", ",", "&amp;'Tài khoản &amp; Hồ sơ'!$B$7:$B$500&amp;", ")),--('Tài khoản &amp; Hồ sơ'!$AT$7:$AT$500="Fail"))</f>
        <v>0</v>
      </c>
      <c r="I49" s="51" t="n">
        <f aca="false">SUMPRODUCT(--ISNUMBER(SEARCH(", "&amp;$B49&amp;", ",", "&amp;'Hoạt động (Đơn của tôi)'!$B$7:$B$500&amp;", ")),--('Hoạt động (Đơn của tôi)'!$AT$7:$AT$500="Block"))+SUMPRODUCT(--ISNUMBER(SEARCH(", "&amp;$B49&amp;", ",", "&amp;'Ghép nối'!$B$7:$B$500&amp;", ")),--('Ghép nối'!$AT$7:$AT$500="Block"))+SUMPRODUCT(--ISNUMBER(SEARCH(", "&amp;$B49&amp;", ",", "&amp;'Huỷ đơn - Huỷ nhận đơn'!$B$7:$B$500&amp;", ")),--('Huỷ đơn - Huỷ nhận đơn'!$AT$7:$AT$500="Block"))+SUMPRODUCT(--ISNUMBER(SEARCH(", "&amp;$B49&amp;", ",", "&amp;'Giao nhận &amp; Theo dõi đơn'!$B$7:$B$500&amp;", ")),--('Giao nhận &amp; Theo dõi đơn'!$AT$7:$AT$500="Block"))+SUMPRODUCT(--ISNUMBER(SEARCH(", "&amp;$B49&amp;", ",", "&amp;'Bảng tin &amp; Chi tiết tin'!$B$7:$B$500&amp;", ")),--('Bảng tin &amp; Chi tiết tin'!$AT$7:$AT$500="Block"))+SUMPRODUCT(--ISNUMBER(SEARCH(", "&amp;$B49&amp;", ",", "&amp;'Quà cảm ơn'!$B$7:$B$500&amp;", ")),--('Quà cảm ơn'!$AT$7:$AT$500="Block"))+SUMPRODUCT(--ISNUMBER(SEARCH(", "&amp;$B49&amp;", ",", "&amp;'Trang chủ'!$B$7:$B$500&amp;", ")),--('Trang chủ'!$AT$7:$AT$500="Block"))+SUMPRODUCT(--ISNUMBER(SEARCH(", "&amp;$B49&amp;", ",", "&amp;'Thông báo'!$B$7:$B$500&amp;", ")),--('Thông báo'!$AT$7:$AT$500="Block"))+SUMPRODUCT(--ISNUMBER(SEARCH(", "&amp;$B49&amp;", ",", "&amp;'Đăng tin &amp; Quản lý tin'!$B$7:$B$500&amp;", ")),--('Đăng tin &amp; Quản lý tin'!$AT$7:$AT$500="Block"))+SUMPRODUCT(--ISNUMBER(SEARCH(", "&amp;$B49&amp;", ",", "&amp;'Trust &amp; Safety'!$B$7:$B$500&amp;", ")),--('Trust &amp; Safety'!$AT$7:$AT$500="Block"))+SUMPRODUCT(--ISNUMBER(SEARCH(", "&amp;$B49&amp;", ",", "&amp;'Tài khoản &amp; Hồ sơ'!$B$7:$B$500&amp;", ")),--('Tài khoản &amp; Hồ sơ'!$AT$7:$AT$500="Block"))</f>
        <v>0</v>
      </c>
      <c r="J49" s="51" t="n">
        <f aca="false">SUMPRODUCT(--ISNUMBER(SEARCH(", "&amp;$B49&amp;", ",", "&amp;'Hoạt động (Đơn của tôi)'!$B$7:$B$500&amp;", ")),--('Hoạt động (Đơn của tôi)'!$AT$7:$AT$500="N/A"))+SUMPRODUCT(--ISNUMBER(SEARCH(", "&amp;$B49&amp;", ",", "&amp;'Ghép nối'!$B$7:$B$500&amp;", ")),--('Ghép nối'!$AT$7:$AT$500="N/A"))+SUMPRODUCT(--ISNUMBER(SEARCH(", "&amp;$B49&amp;", ",", "&amp;'Huỷ đơn - Huỷ nhận đơn'!$B$7:$B$500&amp;", ")),--('Huỷ đơn - Huỷ nhận đơn'!$AT$7:$AT$500="N/A"))+SUMPRODUCT(--ISNUMBER(SEARCH(", "&amp;$B49&amp;", ",", "&amp;'Giao nhận &amp; Theo dõi đơn'!$B$7:$B$500&amp;", ")),--('Giao nhận &amp; Theo dõi đơn'!$AT$7:$AT$500="N/A"))+SUMPRODUCT(--ISNUMBER(SEARCH(", "&amp;$B49&amp;", ",", "&amp;'Bảng tin &amp; Chi tiết tin'!$B$7:$B$500&amp;", ")),--('Bảng tin &amp; Chi tiết tin'!$AT$7:$AT$500="N/A"))+SUMPRODUCT(--ISNUMBER(SEARCH(", "&amp;$B49&amp;", ",", "&amp;'Quà cảm ơn'!$B$7:$B$500&amp;", ")),--('Quà cảm ơn'!$AT$7:$AT$500="N/A"))+SUMPRODUCT(--ISNUMBER(SEARCH(", "&amp;$B49&amp;", ",", "&amp;'Trang chủ'!$B$7:$B$500&amp;", ")),--('Trang chủ'!$AT$7:$AT$500="N/A"))+SUMPRODUCT(--ISNUMBER(SEARCH(", "&amp;$B49&amp;", ",", "&amp;'Thông báo'!$B$7:$B$500&amp;", ")),--('Thông báo'!$AT$7:$AT$500="N/A"))+SUMPRODUCT(--ISNUMBER(SEARCH(", "&amp;$B49&amp;", ",", "&amp;'Đăng tin &amp; Quản lý tin'!$B$7:$B$500&amp;", ")),--('Đăng tin &amp; Quản lý tin'!$AT$7:$AT$500="N/A"))+SUMPRODUCT(--ISNUMBER(SEARCH(", "&amp;$B49&amp;", ",", "&amp;'Trust &amp; Safety'!$B$7:$B$500&amp;", ")),--('Trust &amp; Safety'!$AT$7:$AT$500="N/A"))+SUMPRODUCT(--ISNUMBER(SEARCH(", "&amp;$B49&amp;", ",", "&amp;'Tài khoản &amp; Hồ sơ'!$B$7:$B$500&amp;", ")),--('Tài khoản &amp; Hồ sơ'!$AT$7:$AT$500="N/A"))</f>
        <v>0</v>
      </c>
      <c r="K49" s="52" t="n">
        <f aca="false">IFERROR(F49/E49,0)</f>
        <v>0</v>
      </c>
      <c r="L49" s="123" t="str">
        <f aca="false">IF(E49=0,"Chưa có TC (gap)",IF(H49&gt;0,"Có lỗi (Fail)",IF(I49&gt;0,"Bị block",IF(F49&lt;E49,"Đang test",IF(G49=0,"Không áp dụng (N/A)","Đã test xong")))))</f>
        <v>Đang test</v>
      </c>
      <c r="AB49" s="1" t="s">
        <v>440</v>
      </c>
    </row>
    <row r="50" customFormat="false" ht="15.75" hidden="false" customHeight="true" outlineLevel="0" collapsed="false">
      <c r="B50" s="175" t="s">
        <v>546</v>
      </c>
      <c r="C50" s="176" t="s">
        <v>547</v>
      </c>
      <c r="D50" s="123" t="s">
        <v>548</v>
      </c>
      <c r="E50" s="51" t="n">
        <f aca="false">SUMPRODUCT(--ISNUMBER(SEARCH(", "&amp;$B50&amp;", ",", "&amp;'Hoạt động (Đơn của tôi)'!$B$7:$B$500&amp;", ")))+SUMPRODUCT(--ISNUMBER(SEARCH(", "&amp;$B50&amp;", ",", "&amp;'Ghép nối'!$B$7:$B$500&amp;", ")))+SUMPRODUCT(--ISNUMBER(SEARCH(", "&amp;$B50&amp;", ",", "&amp;'Huỷ đơn - Huỷ nhận đơn'!$B$7:$B$500&amp;", ")))+SUMPRODUCT(--ISNUMBER(SEARCH(", "&amp;$B50&amp;", ",", "&amp;'Giao nhận &amp; Theo dõi đơn'!$B$7:$B$500&amp;", ")))+SUMPRODUCT(--ISNUMBER(SEARCH(", "&amp;$B50&amp;", ",", "&amp;'Bảng tin &amp; Chi tiết tin'!$B$7:$B$500&amp;", ")))+SUMPRODUCT(--ISNUMBER(SEARCH(", "&amp;$B50&amp;", ",", "&amp;'Quà cảm ơn'!$B$7:$B$500&amp;", ")))+SUMPRODUCT(--ISNUMBER(SEARCH(", "&amp;$B50&amp;", ",", "&amp;'Trang chủ'!$B$7:$B$500&amp;", ")))+SUMPRODUCT(--ISNUMBER(SEARCH(", "&amp;$B50&amp;", ",", "&amp;'Thông báo'!$B$7:$B$500&amp;", ")))+SUMPRODUCT(--ISNUMBER(SEARCH(", "&amp;$B50&amp;", ",", "&amp;'Đăng tin &amp; Quản lý tin'!$B$7:$B$500&amp;", ")))+SUMPRODUCT(--ISNUMBER(SEARCH(", "&amp;$B50&amp;", ",", "&amp;'Trust &amp; Safety'!$B$7:$B$500&amp;", ")))+SUMPRODUCT(--ISNUMBER(SEARCH(", "&amp;$B50&amp;", ",", "&amp;'Tài khoản &amp; Hồ sơ'!$B$7:$B$500&amp;", ")))</f>
        <v>1</v>
      </c>
      <c r="F50" s="51" t="n">
        <f aca="false">SUMPRODUCT(--ISNUMBER(SEARCH(", "&amp;$B50&amp;", ",", "&amp;'Hoạt động (Đơn của tôi)'!$B$7:$B$500&amp;", ")),--('Hoạt động (Đơn của tôi)'!$AT$7:$AT$500&lt;&gt;""))+SUMPRODUCT(--ISNUMBER(SEARCH(", "&amp;$B50&amp;", ",", "&amp;'Ghép nối'!$B$7:$B$500&amp;", ")),--('Ghép nối'!$AT$7:$AT$500&lt;&gt;""))+SUMPRODUCT(--ISNUMBER(SEARCH(", "&amp;$B50&amp;", ",", "&amp;'Huỷ đơn - Huỷ nhận đơn'!$B$7:$B$500&amp;", ")),--('Huỷ đơn - Huỷ nhận đơn'!$AT$7:$AT$500&lt;&gt;""))+SUMPRODUCT(--ISNUMBER(SEARCH(", "&amp;$B50&amp;", ",", "&amp;'Giao nhận &amp; Theo dõi đơn'!$B$7:$B$500&amp;", ")),--('Giao nhận &amp; Theo dõi đơn'!$AT$7:$AT$500&lt;&gt;""))+SUMPRODUCT(--ISNUMBER(SEARCH(", "&amp;$B50&amp;", ",", "&amp;'Bảng tin &amp; Chi tiết tin'!$B$7:$B$500&amp;", ")),--('Bảng tin &amp; Chi tiết tin'!$AT$7:$AT$500&lt;&gt;""))+SUMPRODUCT(--ISNUMBER(SEARCH(", "&amp;$B50&amp;", ",", "&amp;'Quà cảm ơn'!$B$7:$B$500&amp;", ")),--('Quà cảm ơn'!$AT$7:$AT$500&lt;&gt;""))+SUMPRODUCT(--ISNUMBER(SEARCH(", "&amp;$B50&amp;", ",", "&amp;'Trang chủ'!$B$7:$B$500&amp;", ")),--('Trang chủ'!$AT$7:$AT$500&lt;&gt;""))+SUMPRODUCT(--ISNUMBER(SEARCH(", "&amp;$B50&amp;", ",", "&amp;'Thông báo'!$B$7:$B$500&amp;", ")),--('Thông báo'!$AT$7:$AT$500&lt;&gt;""))+SUMPRODUCT(--ISNUMBER(SEARCH(", "&amp;$B50&amp;", ",", "&amp;'Đăng tin &amp; Quản lý tin'!$B$7:$B$500&amp;", ")),--('Đăng tin &amp; Quản lý tin'!$AT$7:$AT$500&lt;&gt;""))+SUMPRODUCT(--ISNUMBER(SEARCH(", "&amp;$B50&amp;", ",", "&amp;'Trust &amp; Safety'!$B$7:$B$500&amp;", ")),--('Trust &amp; Safety'!$AT$7:$AT$500&lt;&gt;""))+SUMPRODUCT(--ISNUMBER(SEARCH(", "&amp;$B50&amp;", ",", "&amp;'Tài khoản &amp; Hồ sơ'!$B$7:$B$500&amp;", ")),--('Tài khoản &amp; Hồ sơ'!$AT$7:$AT$500&lt;&gt;""))</f>
        <v>0</v>
      </c>
      <c r="G50" s="51" t="n">
        <f aca="false">SUMPRODUCT(--ISNUMBER(SEARCH(", "&amp;$B50&amp;", ",", "&amp;'Hoạt động (Đơn của tôi)'!$B$7:$B$500&amp;", ")),--('Hoạt động (Đơn của tôi)'!$AT$7:$AT$500="Pass"))+SUMPRODUCT(--ISNUMBER(SEARCH(", "&amp;$B50&amp;", ",", "&amp;'Ghép nối'!$B$7:$B$500&amp;", ")),--('Ghép nối'!$AT$7:$AT$500="Pass"))+SUMPRODUCT(--ISNUMBER(SEARCH(", "&amp;$B50&amp;", ",", "&amp;'Huỷ đơn - Huỷ nhận đơn'!$B$7:$B$500&amp;", ")),--('Huỷ đơn - Huỷ nhận đơn'!$AT$7:$AT$500="Pass"))+SUMPRODUCT(--ISNUMBER(SEARCH(", "&amp;$B50&amp;", ",", "&amp;'Giao nhận &amp; Theo dõi đơn'!$B$7:$B$500&amp;", ")),--('Giao nhận &amp; Theo dõi đơn'!$AT$7:$AT$500="Pass"))+SUMPRODUCT(--ISNUMBER(SEARCH(", "&amp;$B50&amp;", ",", "&amp;'Bảng tin &amp; Chi tiết tin'!$B$7:$B$500&amp;", ")),--('Bảng tin &amp; Chi tiết tin'!$AT$7:$AT$500="Pass"))+SUMPRODUCT(--ISNUMBER(SEARCH(", "&amp;$B50&amp;", ",", "&amp;'Quà cảm ơn'!$B$7:$B$500&amp;", ")),--('Quà cảm ơn'!$AT$7:$AT$500="Pass"))+SUMPRODUCT(--ISNUMBER(SEARCH(", "&amp;$B50&amp;", ",", "&amp;'Trang chủ'!$B$7:$B$500&amp;", ")),--('Trang chủ'!$AT$7:$AT$500="Pass"))+SUMPRODUCT(--ISNUMBER(SEARCH(", "&amp;$B50&amp;", ",", "&amp;'Thông báo'!$B$7:$B$500&amp;", ")),--('Thông báo'!$AT$7:$AT$500="Pass"))+SUMPRODUCT(--ISNUMBER(SEARCH(", "&amp;$B50&amp;", ",", "&amp;'Đăng tin &amp; Quản lý tin'!$B$7:$B$500&amp;", ")),--('Đăng tin &amp; Quản lý tin'!$AT$7:$AT$500="Pass"))+SUMPRODUCT(--ISNUMBER(SEARCH(", "&amp;$B50&amp;", ",", "&amp;'Trust &amp; Safety'!$B$7:$B$500&amp;", ")),--('Trust &amp; Safety'!$AT$7:$AT$500="Pass"))+SUMPRODUCT(--ISNUMBER(SEARCH(", "&amp;$B50&amp;", ",", "&amp;'Tài khoản &amp; Hồ sơ'!$B$7:$B$500&amp;", ")),--('Tài khoản &amp; Hồ sơ'!$AT$7:$AT$500="Pass"))</f>
        <v>0</v>
      </c>
      <c r="H50" s="51" t="n">
        <f aca="false">SUMPRODUCT(--ISNUMBER(SEARCH(", "&amp;$B50&amp;", ",", "&amp;'Hoạt động (Đơn của tôi)'!$B$7:$B$500&amp;", ")),--('Hoạt động (Đơn của tôi)'!$AT$7:$AT$500="Fail"))+SUMPRODUCT(--ISNUMBER(SEARCH(", "&amp;$B50&amp;", ",", "&amp;'Ghép nối'!$B$7:$B$500&amp;", ")),--('Ghép nối'!$AT$7:$AT$500="Fail"))+SUMPRODUCT(--ISNUMBER(SEARCH(", "&amp;$B50&amp;", ",", "&amp;'Huỷ đơn - Huỷ nhận đơn'!$B$7:$B$500&amp;", ")),--('Huỷ đơn - Huỷ nhận đơn'!$AT$7:$AT$500="Fail"))+SUMPRODUCT(--ISNUMBER(SEARCH(", "&amp;$B50&amp;", ",", "&amp;'Giao nhận &amp; Theo dõi đơn'!$B$7:$B$500&amp;", ")),--('Giao nhận &amp; Theo dõi đơn'!$AT$7:$AT$500="Fail"))+SUMPRODUCT(--ISNUMBER(SEARCH(", "&amp;$B50&amp;", ",", "&amp;'Bảng tin &amp; Chi tiết tin'!$B$7:$B$500&amp;", ")),--('Bảng tin &amp; Chi tiết tin'!$AT$7:$AT$500="Fail"))+SUMPRODUCT(--ISNUMBER(SEARCH(", "&amp;$B50&amp;", ",", "&amp;'Quà cảm ơn'!$B$7:$B$500&amp;", ")),--('Quà cảm ơn'!$AT$7:$AT$500="Fail"))+SUMPRODUCT(--ISNUMBER(SEARCH(", "&amp;$B50&amp;", ",", "&amp;'Trang chủ'!$B$7:$B$500&amp;", ")),--('Trang chủ'!$AT$7:$AT$500="Fail"))+SUMPRODUCT(--ISNUMBER(SEARCH(", "&amp;$B50&amp;", ",", "&amp;'Thông báo'!$B$7:$B$500&amp;", ")),--('Thông báo'!$AT$7:$AT$500="Fail"))+SUMPRODUCT(--ISNUMBER(SEARCH(", "&amp;$B50&amp;", ",", "&amp;'Đăng tin &amp; Quản lý tin'!$B$7:$B$500&amp;", ")),--('Đăng tin &amp; Quản lý tin'!$AT$7:$AT$500="Fail"))+SUMPRODUCT(--ISNUMBER(SEARCH(", "&amp;$B50&amp;", ",", "&amp;'Trust &amp; Safety'!$B$7:$B$500&amp;", ")),--('Trust &amp; Safety'!$AT$7:$AT$500="Fail"))+SUMPRODUCT(--ISNUMBER(SEARCH(", "&amp;$B50&amp;", ",", "&amp;'Tài khoản &amp; Hồ sơ'!$B$7:$B$500&amp;", ")),--('Tài khoản &amp; Hồ sơ'!$AT$7:$AT$500="Fail"))</f>
        <v>0</v>
      </c>
      <c r="I50" s="51" t="n">
        <f aca="false">SUMPRODUCT(--ISNUMBER(SEARCH(", "&amp;$B50&amp;", ",", "&amp;'Hoạt động (Đơn của tôi)'!$B$7:$B$500&amp;", ")),--('Hoạt động (Đơn của tôi)'!$AT$7:$AT$500="Block"))+SUMPRODUCT(--ISNUMBER(SEARCH(", "&amp;$B50&amp;", ",", "&amp;'Ghép nối'!$B$7:$B$500&amp;", ")),--('Ghép nối'!$AT$7:$AT$500="Block"))+SUMPRODUCT(--ISNUMBER(SEARCH(", "&amp;$B50&amp;", ",", "&amp;'Huỷ đơn - Huỷ nhận đơn'!$B$7:$B$500&amp;", ")),--('Huỷ đơn - Huỷ nhận đơn'!$AT$7:$AT$500="Block"))+SUMPRODUCT(--ISNUMBER(SEARCH(", "&amp;$B50&amp;", ",", "&amp;'Giao nhận &amp; Theo dõi đơn'!$B$7:$B$500&amp;", ")),--('Giao nhận &amp; Theo dõi đơn'!$AT$7:$AT$500="Block"))+SUMPRODUCT(--ISNUMBER(SEARCH(", "&amp;$B50&amp;", ",", "&amp;'Bảng tin &amp; Chi tiết tin'!$B$7:$B$500&amp;", ")),--('Bảng tin &amp; Chi tiết tin'!$AT$7:$AT$500="Block"))+SUMPRODUCT(--ISNUMBER(SEARCH(", "&amp;$B50&amp;", ",", "&amp;'Quà cảm ơn'!$B$7:$B$500&amp;", ")),--('Quà cảm ơn'!$AT$7:$AT$500="Block"))+SUMPRODUCT(--ISNUMBER(SEARCH(", "&amp;$B50&amp;", ",", "&amp;'Trang chủ'!$B$7:$B$500&amp;", ")),--('Trang chủ'!$AT$7:$AT$500="Block"))+SUMPRODUCT(--ISNUMBER(SEARCH(", "&amp;$B50&amp;", ",", "&amp;'Thông báo'!$B$7:$B$500&amp;", ")),--('Thông báo'!$AT$7:$AT$500="Block"))+SUMPRODUCT(--ISNUMBER(SEARCH(", "&amp;$B50&amp;", ",", "&amp;'Đăng tin &amp; Quản lý tin'!$B$7:$B$500&amp;", ")),--('Đăng tin &amp; Quản lý tin'!$AT$7:$AT$500="Block"))+SUMPRODUCT(--ISNUMBER(SEARCH(", "&amp;$B50&amp;", ",", "&amp;'Trust &amp; Safety'!$B$7:$B$500&amp;", ")),--('Trust &amp; Safety'!$AT$7:$AT$500="Block"))+SUMPRODUCT(--ISNUMBER(SEARCH(", "&amp;$B50&amp;", ",", "&amp;'Tài khoản &amp; Hồ sơ'!$B$7:$B$500&amp;", ")),--('Tài khoản &amp; Hồ sơ'!$AT$7:$AT$500="Block"))</f>
        <v>0</v>
      </c>
      <c r="J50" s="51" t="n">
        <f aca="false">SUMPRODUCT(--ISNUMBER(SEARCH(", "&amp;$B50&amp;", ",", "&amp;'Hoạt động (Đơn của tôi)'!$B$7:$B$500&amp;", ")),--('Hoạt động (Đơn của tôi)'!$AT$7:$AT$500="N/A"))+SUMPRODUCT(--ISNUMBER(SEARCH(", "&amp;$B50&amp;", ",", "&amp;'Ghép nối'!$B$7:$B$500&amp;", ")),--('Ghép nối'!$AT$7:$AT$500="N/A"))+SUMPRODUCT(--ISNUMBER(SEARCH(", "&amp;$B50&amp;", ",", "&amp;'Huỷ đơn - Huỷ nhận đơn'!$B$7:$B$500&amp;", ")),--('Huỷ đơn - Huỷ nhận đơn'!$AT$7:$AT$500="N/A"))+SUMPRODUCT(--ISNUMBER(SEARCH(", "&amp;$B50&amp;", ",", "&amp;'Giao nhận &amp; Theo dõi đơn'!$B$7:$B$500&amp;", ")),--('Giao nhận &amp; Theo dõi đơn'!$AT$7:$AT$500="N/A"))+SUMPRODUCT(--ISNUMBER(SEARCH(", "&amp;$B50&amp;", ",", "&amp;'Bảng tin &amp; Chi tiết tin'!$B$7:$B$500&amp;", ")),--('Bảng tin &amp; Chi tiết tin'!$AT$7:$AT$500="N/A"))+SUMPRODUCT(--ISNUMBER(SEARCH(", "&amp;$B50&amp;", ",", "&amp;'Quà cảm ơn'!$B$7:$B$500&amp;", ")),--('Quà cảm ơn'!$AT$7:$AT$500="N/A"))+SUMPRODUCT(--ISNUMBER(SEARCH(", "&amp;$B50&amp;", ",", "&amp;'Trang chủ'!$B$7:$B$500&amp;", ")),--('Trang chủ'!$AT$7:$AT$500="N/A"))+SUMPRODUCT(--ISNUMBER(SEARCH(", "&amp;$B50&amp;", ",", "&amp;'Thông báo'!$B$7:$B$500&amp;", ")),--('Thông báo'!$AT$7:$AT$500="N/A"))+SUMPRODUCT(--ISNUMBER(SEARCH(", "&amp;$B50&amp;", ",", "&amp;'Đăng tin &amp; Quản lý tin'!$B$7:$B$500&amp;", ")),--('Đăng tin &amp; Quản lý tin'!$AT$7:$AT$500="N/A"))+SUMPRODUCT(--ISNUMBER(SEARCH(", "&amp;$B50&amp;", ",", "&amp;'Trust &amp; Safety'!$B$7:$B$500&amp;", ")),--('Trust &amp; Safety'!$AT$7:$AT$500="N/A"))+SUMPRODUCT(--ISNUMBER(SEARCH(", "&amp;$B50&amp;", ",", "&amp;'Tài khoản &amp; Hồ sơ'!$B$7:$B$500&amp;", ")),--('Tài khoản &amp; Hồ sơ'!$AT$7:$AT$500="N/A"))</f>
        <v>0</v>
      </c>
      <c r="K50" s="52" t="n">
        <f aca="false">IFERROR(F50/E50,0)</f>
        <v>0</v>
      </c>
      <c r="L50" s="123" t="str">
        <f aca="false">IF(E50=0,"Chưa có TC (gap)",IF(H50&gt;0,"Có lỗi (Fail)",IF(I50&gt;0,"Bị block",IF(F50&lt;E50,"Đang test",IF(G50=0,"Không áp dụng (N/A)","Đã test xong")))))</f>
        <v>Đang test</v>
      </c>
      <c r="AB50" s="1" t="s">
        <v>440</v>
      </c>
    </row>
    <row r="51" customFormat="false" ht="15.75" hidden="false" customHeight="true" outlineLevel="0" collapsed="false">
      <c r="B51" s="175" t="s">
        <v>549</v>
      </c>
      <c r="C51" s="176" t="s">
        <v>550</v>
      </c>
      <c r="D51" s="123" t="s">
        <v>542</v>
      </c>
      <c r="E51" s="51" t="n">
        <f aca="false">SUMPRODUCT(--ISNUMBER(SEARCH(", "&amp;$B51&amp;", ",", "&amp;'Hoạt động (Đơn của tôi)'!$B$7:$B$500&amp;", ")))+SUMPRODUCT(--ISNUMBER(SEARCH(", "&amp;$B51&amp;", ",", "&amp;'Ghép nối'!$B$7:$B$500&amp;", ")))+SUMPRODUCT(--ISNUMBER(SEARCH(", "&amp;$B51&amp;", ",", "&amp;'Huỷ đơn - Huỷ nhận đơn'!$B$7:$B$500&amp;", ")))+SUMPRODUCT(--ISNUMBER(SEARCH(", "&amp;$B51&amp;", ",", "&amp;'Giao nhận &amp; Theo dõi đơn'!$B$7:$B$500&amp;", ")))+SUMPRODUCT(--ISNUMBER(SEARCH(", "&amp;$B51&amp;", ",", "&amp;'Bảng tin &amp; Chi tiết tin'!$B$7:$B$500&amp;", ")))+SUMPRODUCT(--ISNUMBER(SEARCH(", "&amp;$B51&amp;", ",", "&amp;'Quà cảm ơn'!$B$7:$B$500&amp;", ")))+SUMPRODUCT(--ISNUMBER(SEARCH(", "&amp;$B51&amp;", ",", "&amp;'Trang chủ'!$B$7:$B$500&amp;", ")))+SUMPRODUCT(--ISNUMBER(SEARCH(", "&amp;$B51&amp;", ",", "&amp;'Thông báo'!$B$7:$B$500&amp;", ")))+SUMPRODUCT(--ISNUMBER(SEARCH(", "&amp;$B51&amp;", ",", "&amp;'Đăng tin &amp; Quản lý tin'!$B$7:$B$500&amp;", ")))+SUMPRODUCT(--ISNUMBER(SEARCH(", "&amp;$B51&amp;", ",", "&amp;'Trust &amp; Safety'!$B$7:$B$500&amp;", ")))+SUMPRODUCT(--ISNUMBER(SEARCH(", "&amp;$B51&amp;", ",", "&amp;'Tài khoản &amp; Hồ sơ'!$B$7:$B$500&amp;", ")))</f>
        <v>6</v>
      </c>
      <c r="F51" s="51" t="n">
        <f aca="false">SUMPRODUCT(--ISNUMBER(SEARCH(", "&amp;$B51&amp;", ",", "&amp;'Hoạt động (Đơn của tôi)'!$B$7:$B$500&amp;", ")),--('Hoạt động (Đơn của tôi)'!$AT$7:$AT$500&lt;&gt;""))+SUMPRODUCT(--ISNUMBER(SEARCH(", "&amp;$B51&amp;", ",", "&amp;'Ghép nối'!$B$7:$B$500&amp;", ")),--('Ghép nối'!$AT$7:$AT$500&lt;&gt;""))+SUMPRODUCT(--ISNUMBER(SEARCH(", "&amp;$B51&amp;", ",", "&amp;'Huỷ đơn - Huỷ nhận đơn'!$B$7:$B$500&amp;", ")),--('Huỷ đơn - Huỷ nhận đơn'!$AT$7:$AT$500&lt;&gt;""))+SUMPRODUCT(--ISNUMBER(SEARCH(", "&amp;$B51&amp;", ",", "&amp;'Giao nhận &amp; Theo dõi đơn'!$B$7:$B$500&amp;", ")),--('Giao nhận &amp; Theo dõi đơn'!$AT$7:$AT$500&lt;&gt;""))+SUMPRODUCT(--ISNUMBER(SEARCH(", "&amp;$B51&amp;", ",", "&amp;'Bảng tin &amp; Chi tiết tin'!$B$7:$B$500&amp;", ")),--('Bảng tin &amp; Chi tiết tin'!$AT$7:$AT$500&lt;&gt;""))+SUMPRODUCT(--ISNUMBER(SEARCH(", "&amp;$B51&amp;", ",", "&amp;'Quà cảm ơn'!$B$7:$B$500&amp;", ")),--('Quà cảm ơn'!$AT$7:$AT$500&lt;&gt;""))+SUMPRODUCT(--ISNUMBER(SEARCH(", "&amp;$B51&amp;", ",", "&amp;'Trang chủ'!$B$7:$B$500&amp;", ")),--('Trang chủ'!$AT$7:$AT$500&lt;&gt;""))+SUMPRODUCT(--ISNUMBER(SEARCH(", "&amp;$B51&amp;", ",", "&amp;'Thông báo'!$B$7:$B$500&amp;", ")),--('Thông báo'!$AT$7:$AT$500&lt;&gt;""))+SUMPRODUCT(--ISNUMBER(SEARCH(", "&amp;$B51&amp;", ",", "&amp;'Đăng tin &amp; Quản lý tin'!$B$7:$B$500&amp;", ")),--('Đăng tin &amp; Quản lý tin'!$AT$7:$AT$500&lt;&gt;""))+SUMPRODUCT(--ISNUMBER(SEARCH(", "&amp;$B51&amp;", ",", "&amp;'Trust &amp; Safety'!$B$7:$B$500&amp;", ")),--('Trust &amp; Safety'!$AT$7:$AT$500&lt;&gt;""))+SUMPRODUCT(--ISNUMBER(SEARCH(", "&amp;$B51&amp;", ",", "&amp;'Tài khoản &amp; Hồ sơ'!$B$7:$B$500&amp;", ")),--('Tài khoản &amp; Hồ sơ'!$AT$7:$AT$500&lt;&gt;""))</f>
        <v>0</v>
      </c>
      <c r="G51" s="51" t="n">
        <f aca="false">SUMPRODUCT(--ISNUMBER(SEARCH(", "&amp;$B51&amp;", ",", "&amp;'Hoạt động (Đơn của tôi)'!$B$7:$B$500&amp;", ")),--('Hoạt động (Đơn của tôi)'!$AT$7:$AT$500="Pass"))+SUMPRODUCT(--ISNUMBER(SEARCH(", "&amp;$B51&amp;", ",", "&amp;'Ghép nối'!$B$7:$B$500&amp;", ")),--('Ghép nối'!$AT$7:$AT$500="Pass"))+SUMPRODUCT(--ISNUMBER(SEARCH(", "&amp;$B51&amp;", ",", "&amp;'Huỷ đơn - Huỷ nhận đơn'!$B$7:$B$500&amp;", ")),--('Huỷ đơn - Huỷ nhận đơn'!$AT$7:$AT$500="Pass"))+SUMPRODUCT(--ISNUMBER(SEARCH(", "&amp;$B51&amp;", ",", "&amp;'Giao nhận &amp; Theo dõi đơn'!$B$7:$B$500&amp;", ")),--('Giao nhận &amp; Theo dõi đơn'!$AT$7:$AT$500="Pass"))+SUMPRODUCT(--ISNUMBER(SEARCH(", "&amp;$B51&amp;", ",", "&amp;'Bảng tin &amp; Chi tiết tin'!$B$7:$B$500&amp;", ")),--('Bảng tin &amp; Chi tiết tin'!$AT$7:$AT$500="Pass"))+SUMPRODUCT(--ISNUMBER(SEARCH(", "&amp;$B51&amp;", ",", "&amp;'Quà cảm ơn'!$B$7:$B$500&amp;", ")),--('Quà cảm ơn'!$AT$7:$AT$500="Pass"))+SUMPRODUCT(--ISNUMBER(SEARCH(", "&amp;$B51&amp;", ",", "&amp;'Trang chủ'!$B$7:$B$500&amp;", ")),--('Trang chủ'!$AT$7:$AT$500="Pass"))+SUMPRODUCT(--ISNUMBER(SEARCH(", "&amp;$B51&amp;", ",", "&amp;'Thông báo'!$B$7:$B$500&amp;", ")),--('Thông báo'!$AT$7:$AT$500="Pass"))+SUMPRODUCT(--ISNUMBER(SEARCH(", "&amp;$B51&amp;", ",", "&amp;'Đăng tin &amp; Quản lý tin'!$B$7:$B$500&amp;", ")),--('Đăng tin &amp; Quản lý tin'!$AT$7:$AT$500="Pass"))+SUMPRODUCT(--ISNUMBER(SEARCH(", "&amp;$B51&amp;", ",", "&amp;'Trust &amp; Safety'!$B$7:$B$500&amp;", ")),--('Trust &amp; Safety'!$AT$7:$AT$500="Pass"))+SUMPRODUCT(--ISNUMBER(SEARCH(", "&amp;$B51&amp;", ",", "&amp;'Tài khoản &amp; Hồ sơ'!$B$7:$B$500&amp;", ")),--('Tài khoản &amp; Hồ sơ'!$AT$7:$AT$500="Pass"))</f>
        <v>0</v>
      </c>
      <c r="H51" s="51" t="n">
        <f aca="false">SUMPRODUCT(--ISNUMBER(SEARCH(", "&amp;$B51&amp;", ",", "&amp;'Hoạt động (Đơn của tôi)'!$B$7:$B$500&amp;", ")),--('Hoạt động (Đơn của tôi)'!$AT$7:$AT$500="Fail"))+SUMPRODUCT(--ISNUMBER(SEARCH(", "&amp;$B51&amp;", ",", "&amp;'Ghép nối'!$B$7:$B$500&amp;", ")),--('Ghép nối'!$AT$7:$AT$500="Fail"))+SUMPRODUCT(--ISNUMBER(SEARCH(", "&amp;$B51&amp;", ",", "&amp;'Huỷ đơn - Huỷ nhận đơn'!$B$7:$B$500&amp;", ")),--('Huỷ đơn - Huỷ nhận đơn'!$AT$7:$AT$500="Fail"))+SUMPRODUCT(--ISNUMBER(SEARCH(", "&amp;$B51&amp;", ",", "&amp;'Giao nhận &amp; Theo dõi đơn'!$B$7:$B$500&amp;", ")),--('Giao nhận &amp; Theo dõi đơn'!$AT$7:$AT$500="Fail"))+SUMPRODUCT(--ISNUMBER(SEARCH(", "&amp;$B51&amp;", ",", "&amp;'Bảng tin &amp; Chi tiết tin'!$B$7:$B$500&amp;", ")),--('Bảng tin &amp; Chi tiết tin'!$AT$7:$AT$500="Fail"))+SUMPRODUCT(--ISNUMBER(SEARCH(", "&amp;$B51&amp;", ",", "&amp;'Quà cảm ơn'!$B$7:$B$500&amp;", ")),--('Quà cảm ơn'!$AT$7:$AT$500="Fail"))+SUMPRODUCT(--ISNUMBER(SEARCH(", "&amp;$B51&amp;", ",", "&amp;'Trang chủ'!$B$7:$B$500&amp;", ")),--('Trang chủ'!$AT$7:$AT$500="Fail"))+SUMPRODUCT(--ISNUMBER(SEARCH(", "&amp;$B51&amp;", ",", "&amp;'Thông báo'!$B$7:$B$500&amp;", ")),--('Thông báo'!$AT$7:$AT$500="Fail"))+SUMPRODUCT(--ISNUMBER(SEARCH(", "&amp;$B51&amp;", ",", "&amp;'Đăng tin &amp; Quản lý tin'!$B$7:$B$500&amp;", ")),--('Đăng tin &amp; Quản lý tin'!$AT$7:$AT$500="Fail"))+SUMPRODUCT(--ISNUMBER(SEARCH(", "&amp;$B51&amp;", ",", "&amp;'Trust &amp; Safety'!$B$7:$B$500&amp;", ")),--('Trust &amp; Safety'!$AT$7:$AT$500="Fail"))+SUMPRODUCT(--ISNUMBER(SEARCH(", "&amp;$B51&amp;", ",", "&amp;'Tài khoản &amp; Hồ sơ'!$B$7:$B$500&amp;", ")),--('Tài khoản &amp; Hồ sơ'!$AT$7:$AT$500="Fail"))</f>
        <v>0</v>
      </c>
      <c r="I51" s="51" t="n">
        <f aca="false">SUMPRODUCT(--ISNUMBER(SEARCH(", "&amp;$B51&amp;", ",", "&amp;'Hoạt động (Đơn của tôi)'!$B$7:$B$500&amp;", ")),--('Hoạt động (Đơn của tôi)'!$AT$7:$AT$500="Block"))+SUMPRODUCT(--ISNUMBER(SEARCH(", "&amp;$B51&amp;", ",", "&amp;'Ghép nối'!$B$7:$B$500&amp;", ")),--('Ghép nối'!$AT$7:$AT$500="Block"))+SUMPRODUCT(--ISNUMBER(SEARCH(", "&amp;$B51&amp;", ",", "&amp;'Huỷ đơn - Huỷ nhận đơn'!$B$7:$B$500&amp;", ")),--('Huỷ đơn - Huỷ nhận đơn'!$AT$7:$AT$500="Block"))+SUMPRODUCT(--ISNUMBER(SEARCH(", "&amp;$B51&amp;", ",", "&amp;'Giao nhận &amp; Theo dõi đơn'!$B$7:$B$500&amp;", ")),--('Giao nhận &amp; Theo dõi đơn'!$AT$7:$AT$500="Block"))+SUMPRODUCT(--ISNUMBER(SEARCH(", "&amp;$B51&amp;", ",", "&amp;'Bảng tin &amp; Chi tiết tin'!$B$7:$B$500&amp;", ")),--('Bảng tin &amp; Chi tiết tin'!$AT$7:$AT$500="Block"))+SUMPRODUCT(--ISNUMBER(SEARCH(", "&amp;$B51&amp;", ",", "&amp;'Quà cảm ơn'!$B$7:$B$500&amp;", ")),--('Quà cảm ơn'!$AT$7:$AT$500="Block"))+SUMPRODUCT(--ISNUMBER(SEARCH(", "&amp;$B51&amp;", ",", "&amp;'Trang chủ'!$B$7:$B$500&amp;", ")),--('Trang chủ'!$AT$7:$AT$500="Block"))+SUMPRODUCT(--ISNUMBER(SEARCH(", "&amp;$B51&amp;", ",", "&amp;'Thông báo'!$B$7:$B$500&amp;", ")),--('Thông báo'!$AT$7:$AT$500="Block"))+SUMPRODUCT(--ISNUMBER(SEARCH(", "&amp;$B51&amp;", ",", "&amp;'Đăng tin &amp; Quản lý tin'!$B$7:$B$500&amp;", ")),--('Đăng tin &amp; Quản lý tin'!$AT$7:$AT$500="Block"))+SUMPRODUCT(--ISNUMBER(SEARCH(", "&amp;$B51&amp;", ",", "&amp;'Trust &amp; Safety'!$B$7:$B$500&amp;", ")),--('Trust &amp; Safety'!$AT$7:$AT$500="Block"))+SUMPRODUCT(--ISNUMBER(SEARCH(", "&amp;$B51&amp;", ",", "&amp;'Tài khoản &amp; Hồ sơ'!$B$7:$B$500&amp;", ")),--('Tài khoản &amp; Hồ sơ'!$AT$7:$AT$500="Block"))</f>
        <v>0</v>
      </c>
      <c r="J51" s="51" t="n">
        <f aca="false">SUMPRODUCT(--ISNUMBER(SEARCH(", "&amp;$B51&amp;", ",", "&amp;'Hoạt động (Đơn của tôi)'!$B$7:$B$500&amp;", ")),--('Hoạt động (Đơn của tôi)'!$AT$7:$AT$500="N/A"))+SUMPRODUCT(--ISNUMBER(SEARCH(", "&amp;$B51&amp;", ",", "&amp;'Ghép nối'!$B$7:$B$500&amp;", ")),--('Ghép nối'!$AT$7:$AT$500="N/A"))+SUMPRODUCT(--ISNUMBER(SEARCH(", "&amp;$B51&amp;", ",", "&amp;'Huỷ đơn - Huỷ nhận đơn'!$B$7:$B$500&amp;", ")),--('Huỷ đơn - Huỷ nhận đơn'!$AT$7:$AT$500="N/A"))+SUMPRODUCT(--ISNUMBER(SEARCH(", "&amp;$B51&amp;", ",", "&amp;'Giao nhận &amp; Theo dõi đơn'!$B$7:$B$500&amp;", ")),--('Giao nhận &amp; Theo dõi đơn'!$AT$7:$AT$500="N/A"))+SUMPRODUCT(--ISNUMBER(SEARCH(", "&amp;$B51&amp;", ",", "&amp;'Bảng tin &amp; Chi tiết tin'!$B$7:$B$500&amp;", ")),--('Bảng tin &amp; Chi tiết tin'!$AT$7:$AT$500="N/A"))+SUMPRODUCT(--ISNUMBER(SEARCH(", "&amp;$B51&amp;", ",", "&amp;'Quà cảm ơn'!$B$7:$B$500&amp;", ")),--('Quà cảm ơn'!$AT$7:$AT$500="N/A"))+SUMPRODUCT(--ISNUMBER(SEARCH(", "&amp;$B51&amp;", ",", "&amp;'Trang chủ'!$B$7:$B$500&amp;", ")),--('Trang chủ'!$AT$7:$AT$500="N/A"))+SUMPRODUCT(--ISNUMBER(SEARCH(", "&amp;$B51&amp;", ",", "&amp;'Thông báo'!$B$7:$B$500&amp;", ")),--('Thông báo'!$AT$7:$AT$500="N/A"))+SUMPRODUCT(--ISNUMBER(SEARCH(", "&amp;$B51&amp;", ",", "&amp;'Đăng tin &amp; Quản lý tin'!$B$7:$B$500&amp;", ")),--('Đăng tin &amp; Quản lý tin'!$AT$7:$AT$500="N/A"))+SUMPRODUCT(--ISNUMBER(SEARCH(", "&amp;$B51&amp;", ",", "&amp;'Trust &amp; Safety'!$B$7:$B$500&amp;", ")),--('Trust &amp; Safety'!$AT$7:$AT$500="N/A"))+SUMPRODUCT(--ISNUMBER(SEARCH(", "&amp;$B51&amp;", ",", "&amp;'Tài khoản &amp; Hồ sơ'!$B$7:$B$500&amp;", ")),--('Tài khoản &amp; Hồ sơ'!$AT$7:$AT$500="N/A"))</f>
        <v>0</v>
      </c>
      <c r="K51" s="52" t="n">
        <f aca="false">IFERROR(F51/E51,0)</f>
        <v>0</v>
      </c>
      <c r="L51" s="123" t="str">
        <f aca="false">IF(E51=0,"Chưa có TC (gap)",IF(H51&gt;0,"Có lỗi (Fail)",IF(I51&gt;0,"Bị block",IF(F51&lt;E51,"Đang test",IF(G51=0,"Không áp dụng (N/A)","Đã test xong")))))</f>
        <v>Đang test</v>
      </c>
      <c r="AB51" s="1" t="s">
        <v>440</v>
      </c>
    </row>
    <row r="52" customFormat="false" ht="15.75" hidden="false" customHeight="true" outlineLevel="0" collapsed="false">
      <c r="B52" s="175" t="s">
        <v>551</v>
      </c>
      <c r="C52" s="176" t="s">
        <v>552</v>
      </c>
      <c r="D52" s="123" t="s">
        <v>553</v>
      </c>
      <c r="E52" s="51" t="n">
        <f aca="false">SUMPRODUCT(--ISNUMBER(SEARCH(", "&amp;$B52&amp;", ",", "&amp;'Hoạt động (Đơn của tôi)'!$B$7:$B$500&amp;", ")))+SUMPRODUCT(--ISNUMBER(SEARCH(", "&amp;$B52&amp;", ",", "&amp;'Ghép nối'!$B$7:$B$500&amp;", ")))+SUMPRODUCT(--ISNUMBER(SEARCH(", "&amp;$B52&amp;", ",", "&amp;'Huỷ đơn - Huỷ nhận đơn'!$B$7:$B$500&amp;", ")))+SUMPRODUCT(--ISNUMBER(SEARCH(", "&amp;$B52&amp;", ",", "&amp;'Giao nhận &amp; Theo dõi đơn'!$B$7:$B$500&amp;", ")))+SUMPRODUCT(--ISNUMBER(SEARCH(", "&amp;$B52&amp;", ",", "&amp;'Bảng tin &amp; Chi tiết tin'!$B$7:$B$500&amp;", ")))+SUMPRODUCT(--ISNUMBER(SEARCH(", "&amp;$B52&amp;", ",", "&amp;'Quà cảm ơn'!$B$7:$B$500&amp;", ")))+SUMPRODUCT(--ISNUMBER(SEARCH(", "&amp;$B52&amp;", ",", "&amp;'Trang chủ'!$B$7:$B$500&amp;", ")))+SUMPRODUCT(--ISNUMBER(SEARCH(", "&amp;$B52&amp;", ",", "&amp;'Thông báo'!$B$7:$B$500&amp;", ")))+SUMPRODUCT(--ISNUMBER(SEARCH(", "&amp;$B52&amp;", ",", "&amp;'Đăng tin &amp; Quản lý tin'!$B$7:$B$500&amp;", ")))+SUMPRODUCT(--ISNUMBER(SEARCH(", "&amp;$B52&amp;", ",", "&amp;'Trust &amp; Safety'!$B$7:$B$500&amp;", ")))+SUMPRODUCT(--ISNUMBER(SEARCH(", "&amp;$B52&amp;", ",", "&amp;'Tài khoản &amp; Hồ sơ'!$B$7:$B$500&amp;", ")))</f>
        <v>1</v>
      </c>
      <c r="F52" s="51" t="n">
        <f aca="false">SUMPRODUCT(--ISNUMBER(SEARCH(", "&amp;$B52&amp;", ",", "&amp;'Hoạt động (Đơn của tôi)'!$B$7:$B$500&amp;", ")),--('Hoạt động (Đơn của tôi)'!$AT$7:$AT$500&lt;&gt;""))+SUMPRODUCT(--ISNUMBER(SEARCH(", "&amp;$B52&amp;", ",", "&amp;'Ghép nối'!$B$7:$B$500&amp;", ")),--('Ghép nối'!$AT$7:$AT$500&lt;&gt;""))+SUMPRODUCT(--ISNUMBER(SEARCH(", "&amp;$B52&amp;", ",", "&amp;'Huỷ đơn - Huỷ nhận đơn'!$B$7:$B$500&amp;", ")),--('Huỷ đơn - Huỷ nhận đơn'!$AT$7:$AT$500&lt;&gt;""))+SUMPRODUCT(--ISNUMBER(SEARCH(", "&amp;$B52&amp;", ",", "&amp;'Giao nhận &amp; Theo dõi đơn'!$B$7:$B$500&amp;", ")),--('Giao nhận &amp; Theo dõi đơn'!$AT$7:$AT$500&lt;&gt;""))+SUMPRODUCT(--ISNUMBER(SEARCH(", "&amp;$B52&amp;", ",", "&amp;'Bảng tin &amp; Chi tiết tin'!$B$7:$B$500&amp;", ")),--('Bảng tin &amp; Chi tiết tin'!$AT$7:$AT$500&lt;&gt;""))+SUMPRODUCT(--ISNUMBER(SEARCH(", "&amp;$B52&amp;", ",", "&amp;'Quà cảm ơn'!$B$7:$B$500&amp;", ")),--('Quà cảm ơn'!$AT$7:$AT$500&lt;&gt;""))+SUMPRODUCT(--ISNUMBER(SEARCH(", "&amp;$B52&amp;", ",", "&amp;'Trang chủ'!$B$7:$B$500&amp;", ")),--('Trang chủ'!$AT$7:$AT$500&lt;&gt;""))+SUMPRODUCT(--ISNUMBER(SEARCH(", "&amp;$B52&amp;", ",", "&amp;'Thông báo'!$B$7:$B$500&amp;", ")),--('Thông báo'!$AT$7:$AT$500&lt;&gt;""))+SUMPRODUCT(--ISNUMBER(SEARCH(", "&amp;$B52&amp;", ",", "&amp;'Đăng tin &amp; Quản lý tin'!$B$7:$B$500&amp;", ")),--('Đăng tin &amp; Quản lý tin'!$AT$7:$AT$500&lt;&gt;""))+SUMPRODUCT(--ISNUMBER(SEARCH(", "&amp;$B52&amp;", ",", "&amp;'Trust &amp; Safety'!$B$7:$B$500&amp;", ")),--('Trust &amp; Safety'!$AT$7:$AT$500&lt;&gt;""))+SUMPRODUCT(--ISNUMBER(SEARCH(", "&amp;$B52&amp;", ",", "&amp;'Tài khoản &amp; Hồ sơ'!$B$7:$B$500&amp;", ")),--('Tài khoản &amp; Hồ sơ'!$AT$7:$AT$500&lt;&gt;""))</f>
        <v>0</v>
      </c>
      <c r="G52" s="51" t="n">
        <f aca="false">SUMPRODUCT(--ISNUMBER(SEARCH(", "&amp;$B52&amp;", ",", "&amp;'Hoạt động (Đơn của tôi)'!$B$7:$B$500&amp;", ")),--('Hoạt động (Đơn của tôi)'!$AT$7:$AT$500="Pass"))+SUMPRODUCT(--ISNUMBER(SEARCH(", "&amp;$B52&amp;", ",", "&amp;'Ghép nối'!$B$7:$B$500&amp;", ")),--('Ghép nối'!$AT$7:$AT$500="Pass"))+SUMPRODUCT(--ISNUMBER(SEARCH(", "&amp;$B52&amp;", ",", "&amp;'Huỷ đơn - Huỷ nhận đơn'!$B$7:$B$500&amp;", ")),--('Huỷ đơn - Huỷ nhận đơn'!$AT$7:$AT$500="Pass"))+SUMPRODUCT(--ISNUMBER(SEARCH(", "&amp;$B52&amp;", ",", "&amp;'Giao nhận &amp; Theo dõi đơn'!$B$7:$B$500&amp;", ")),--('Giao nhận &amp; Theo dõi đơn'!$AT$7:$AT$500="Pass"))+SUMPRODUCT(--ISNUMBER(SEARCH(", "&amp;$B52&amp;", ",", "&amp;'Bảng tin &amp; Chi tiết tin'!$B$7:$B$500&amp;", ")),--('Bảng tin &amp; Chi tiết tin'!$AT$7:$AT$500="Pass"))+SUMPRODUCT(--ISNUMBER(SEARCH(", "&amp;$B52&amp;", ",", "&amp;'Quà cảm ơn'!$B$7:$B$500&amp;", ")),--('Quà cảm ơn'!$AT$7:$AT$500="Pass"))+SUMPRODUCT(--ISNUMBER(SEARCH(", "&amp;$B52&amp;", ",", "&amp;'Trang chủ'!$B$7:$B$500&amp;", ")),--('Trang chủ'!$AT$7:$AT$500="Pass"))+SUMPRODUCT(--ISNUMBER(SEARCH(", "&amp;$B52&amp;", ",", "&amp;'Thông báo'!$B$7:$B$500&amp;", ")),--('Thông báo'!$AT$7:$AT$500="Pass"))+SUMPRODUCT(--ISNUMBER(SEARCH(", "&amp;$B52&amp;", ",", "&amp;'Đăng tin &amp; Quản lý tin'!$B$7:$B$500&amp;", ")),--('Đăng tin &amp; Quản lý tin'!$AT$7:$AT$500="Pass"))+SUMPRODUCT(--ISNUMBER(SEARCH(", "&amp;$B52&amp;", ",", "&amp;'Trust &amp; Safety'!$B$7:$B$500&amp;", ")),--('Trust &amp; Safety'!$AT$7:$AT$500="Pass"))+SUMPRODUCT(--ISNUMBER(SEARCH(", "&amp;$B52&amp;", ",", "&amp;'Tài khoản &amp; Hồ sơ'!$B$7:$B$500&amp;", ")),--('Tài khoản &amp; Hồ sơ'!$AT$7:$AT$500="Pass"))</f>
        <v>0</v>
      </c>
      <c r="H52" s="51" t="n">
        <f aca="false">SUMPRODUCT(--ISNUMBER(SEARCH(", "&amp;$B52&amp;", ",", "&amp;'Hoạt động (Đơn của tôi)'!$B$7:$B$500&amp;", ")),--('Hoạt động (Đơn của tôi)'!$AT$7:$AT$500="Fail"))+SUMPRODUCT(--ISNUMBER(SEARCH(", "&amp;$B52&amp;", ",", "&amp;'Ghép nối'!$B$7:$B$500&amp;", ")),--('Ghép nối'!$AT$7:$AT$500="Fail"))+SUMPRODUCT(--ISNUMBER(SEARCH(", "&amp;$B52&amp;", ",", "&amp;'Huỷ đơn - Huỷ nhận đơn'!$B$7:$B$500&amp;", ")),--('Huỷ đơn - Huỷ nhận đơn'!$AT$7:$AT$500="Fail"))+SUMPRODUCT(--ISNUMBER(SEARCH(", "&amp;$B52&amp;", ",", "&amp;'Giao nhận &amp; Theo dõi đơn'!$B$7:$B$500&amp;", ")),--('Giao nhận &amp; Theo dõi đơn'!$AT$7:$AT$500="Fail"))+SUMPRODUCT(--ISNUMBER(SEARCH(", "&amp;$B52&amp;", ",", "&amp;'Bảng tin &amp; Chi tiết tin'!$B$7:$B$500&amp;", ")),--('Bảng tin &amp; Chi tiết tin'!$AT$7:$AT$500="Fail"))+SUMPRODUCT(--ISNUMBER(SEARCH(", "&amp;$B52&amp;", ",", "&amp;'Quà cảm ơn'!$B$7:$B$500&amp;", ")),--('Quà cảm ơn'!$AT$7:$AT$500="Fail"))+SUMPRODUCT(--ISNUMBER(SEARCH(", "&amp;$B52&amp;", ",", "&amp;'Trang chủ'!$B$7:$B$500&amp;", ")),--('Trang chủ'!$AT$7:$AT$500="Fail"))+SUMPRODUCT(--ISNUMBER(SEARCH(", "&amp;$B52&amp;", ",", "&amp;'Thông báo'!$B$7:$B$500&amp;", ")),--('Thông báo'!$AT$7:$AT$500="Fail"))+SUMPRODUCT(--ISNUMBER(SEARCH(", "&amp;$B52&amp;", ",", "&amp;'Đăng tin &amp; Quản lý tin'!$B$7:$B$500&amp;", ")),--('Đăng tin &amp; Quản lý tin'!$AT$7:$AT$500="Fail"))+SUMPRODUCT(--ISNUMBER(SEARCH(", "&amp;$B52&amp;", ",", "&amp;'Trust &amp; Safety'!$B$7:$B$500&amp;", ")),--('Trust &amp; Safety'!$AT$7:$AT$500="Fail"))+SUMPRODUCT(--ISNUMBER(SEARCH(", "&amp;$B52&amp;", ",", "&amp;'Tài khoản &amp; Hồ sơ'!$B$7:$B$500&amp;", ")),--('Tài khoản &amp; Hồ sơ'!$AT$7:$AT$500="Fail"))</f>
        <v>0</v>
      </c>
      <c r="I52" s="51" t="n">
        <f aca="false">SUMPRODUCT(--ISNUMBER(SEARCH(", "&amp;$B52&amp;", ",", "&amp;'Hoạt động (Đơn của tôi)'!$B$7:$B$500&amp;", ")),--('Hoạt động (Đơn của tôi)'!$AT$7:$AT$500="Block"))+SUMPRODUCT(--ISNUMBER(SEARCH(", "&amp;$B52&amp;", ",", "&amp;'Ghép nối'!$B$7:$B$500&amp;", ")),--('Ghép nối'!$AT$7:$AT$500="Block"))+SUMPRODUCT(--ISNUMBER(SEARCH(", "&amp;$B52&amp;", ",", "&amp;'Huỷ đơn - Huỷ nhận đơn'!$B$7:$B$500&amp;", ")),--('Huỷ đơn - Huỷ nhận đơn'!$AT$7:$AT$500="Block"))+SUMPRODUCT(--ISNUMBER(SEARCH(", "&amp;$B52&amp;", ",", "&amp;'Giao nhận &amp; Theo dõi đơn'!$B$7:$B$500&amp;", ")),--('Giao nhận &amp; Theo dõi đơn'!$AT$7:$AT$500="Block"))+SUMPRODUCT(--ISNUMBER(SEARCH(", "&amp;$B52&amp;", ",", "&amp;'Bảng tin &amp; Chi tiết tin'!$B$7:$B$500&amp;", ")),--('Bảng tin &amp; Chi tiết tin'!$AT$7:$AT$500="Block"))+SUMPRODUCT(--ISNUMBER(SEARCH(", "&amp;$B52&amp;", ",", "&amp;'Quà cảm ơn'!$B$7:$B$500&amp;", ")),--('Quà cảm ơn'!$AT$7:$AT$500="Block"))+SUMPRODUCT(--ISNUMBER(SEARCH(", "&amp;$B52&amp;", ",", "&amp;'Trang chủ'!$B$7:$B$500&amp;", ")),--('Trang chủ'!$AT$7:$AT$500="Block"))+SUMPRODUCT(--ISNUMBER(SEARCH(", "&amp;$B52&amp;", ",", "&amp;'Thông báo'!$B$7:$B$500&amp;", ")),--('Thông báo'!$AT$7:$AT$500="Block"))+SUMPRODUCT(--ISNUMBER(SEARCH(", "&amp;$B52&amp;", ",", "&amp;'Đăng tin &amp; Quản lý tin'!$B$7:$B$500&amp;", ")),--('Đăng tin &amp; Quản lý tin'!$AT$7:$AT$500="Block"))+SUMPRODUCT(--ISNUMBER(SEARCH(", "&amp;$B52&amp;", ",", "&amp;'Trust &amp; Safety'!$B$7:$B$500&amp;", ")),--('Trust &amp; Safety'!$AT$7:$AT$500="Block"))+SUMPRODUCT(--ISNUMBER(SEARCH(", "&amp;$B52&amp;", ",", "&amp;'Tài khoản &amp; Hồ sơ'!$B$7:$B$500&amp;", ")),--('Tài khoản &amp; Hồ sơ'!$AT$7:$AT$500="Block"))</f>
        <v>0</v>
      </c>
      <c r="J52" s="51" t="n">
        <f aca="false">SUMPRODUCT(--ISNUMBER(SEARCH(", "&amp;$B52&amp;", ",", "&amp;'Hoạt động (Đơn của tôi)'!$B$7:$B$500&amp;", ")),--('Hoạt động (Đơn của tôi)'!$AT$7:$AT$500="N/A"))+SUMPRODUCT(--ISNUMBER(SEARCH(", "&amp;$B52&amp;", ",", "&amp;'Ghép nối'!$B$7:$B$500&amp;", ")),--('Ghép nối'!$AT$7:$AT$500="N/A"))+SUMPRODUCT(--ISNUMBER(SEARCH(", "&amp;$B52&amp;", ",", "&amp;'Huỷ đơn - Huỷ nhận đơn'!$B$7:$B$500&amp;", ")),--('Huỷ đơn - Huỷ nhận đơn'!$AT$7:$AT$500="N/A"))+SUMPRODUCT(--ISNUMBER(SEARCH(", "&amp;$B52&amp;", ",", "&amp;'Giao nhận &amp; Theo dõi đơn'!$B$7:$B$500&amp;", ")),--('Giao nhận &amp; Theo dõi đơn'!$AT$7:$AT$500="N/A"))+SUMPRODUCT(--ISNUMBER(SEARCH(", "&amp;$B52&amp;", ",", "&amp;'Bảng tin &amp; Chi tiết tin'!$B$7:$B$500&amp;", ")),--('Bảng tin &amp; Chi tiết tin'!$AT$7:$AT$500="N/A"))+SUMPRODUCT(--ISNUMBER(SEARCH(", "&amp;$B52&amp;", ",", "&amp;'Quà cảm ơn'!$B$7:$B$500&amp;", ")),--('Quà cảm ơn'!$AT$7:$AT$500="N/A"))+SUMPRODUCT(--ISNUMBER(SEARCH(", "&amp;$B52&amp;", ",", "&amp;'Trang chủ'!$B$7:$B$500&amp;", ")),--('Trang chủ'!$AT$7:$AT$500="N/A"))+SUMPRODUCT(--ISNUMBER(SEARCH(", "&amp;$B52&amp;", ",", "&amp;'Thông báo'!$B$7:$B$500&amp;", ")),--('Thông báo'!$AT$7:$AT$500="N/A"))+SUMPRODUCT(--ISNUMBER(SEARCH(", "&amp;$B52&amp;", ",", "&amp;'Đăng tin &amp; Quản lý tin'!$B$7:$B$500&amp;", ")),--('Đăng tin &amp; Quản lý tin'!$AT$7:$AT$500="N/A"))+SUMPRODUCT(--ISNUMBER(SEARCH(", "&amp;$B52&amp;", ",", "&amp;'Trust &amp; Safety'!$B$7:$B$500&amp;", ")),--('Trust &amp; Safety'!$AT$7:$AT$500="N/A"))+SUMPRODUCT(--ISNUMBER(SEARCH(", "&amp;$B52&amp;", ",", "&amp;'Tài khoản &amp; Hồ sơ'!$B$7:$B$500&amp;", ")),--('Tài khoản &amp; Hồ sơ'!$AT$7:$AT$500="N/A"))</f>
        <v>0</v>
      </c>
      <c r="K52" s="52" t="n">
        <f aca="false">IFERROR(F52/E52,0)</f>
        <v>0</v>
      </c>
      <c r="L52" s="123" t="str">
        <f aca="false">IF(E52=0,"Chưa có TC (gap)",IF(H52&gt;0,"Có lỗi (Fail)",IF(I52&gt;0,"Bị block",IF(F52&lt;E52,"Đang test",IF(G52=0,"Không áp dụng (N/A)","Đã test xong")))))</f>
        <v>Đang test</v>
      </c>
      <c r="AB52" s="1" t="s">
        <v>444</v>
      </c>
    </row>
    <row r="53" customFormat="false" ht="15.75" hidden="false" customHeight="true" outlineLevel="0" collapsed="false">
      <c r="B53" s="175" t="s">
        <v>554</v>
      </c>
      <c r="C53" s="176" t="s">
        <v>555</v>
      </c>
      <c r="D53" s="123" t="s">
        <v>556</v>
      </c>
      <c r="E53" s="51" t="n">
        <f aca="false">SUMPRODUCT(--ISNUMBER(SEARCH(", "&amp;$B53&amp;", ",", "&amp;'Hoạt động (Đơn của tôi)'!$B$7:$B$500&amp;", ")))+SUMPRODUCT(--ISNUMBER(SEARCH(", "&amp;$B53&amp;", ",", "&amp;'Ghép nối'!$B$7:$B$500&amp;", ")))+SUMPRODUCT(--ISNUMBER(SEARCH(", "&amp;$B53&amp;", ",", "&amp;'Huỷ đơn - Huỷ nhận đơn'!$B$7:$B$500&amp;", ")))+SUMPRODUCT(--ISNUMBER(SEARCH(", "&amp;$B53&amp;", ",", "&amp;'Giao nhận &amp; Theo dõi đơn'!$B$7:$B$500&amp;", ")))+SUMPRODUCT(--ISNUMBER(SEARCH(", "&amp;$B53&amp;", ",", "&amp;'Bảng tin &amp; Chi tiết tin'!$B$7:$B$500&amp;", ")))+SUMPRODUCT(--ISNUMBER(SEARCH(", "&amp;$B53&amp;", ",", "&amp;'Quà cảm ơn'!$B$7:$B$500&amp;", ")))+SUMPRODUCT(--ISNUMBER(SEARCH(", "&amp;$B53&amp;", ",", "&amp;'Trang chủ'!$B$7:$B$500&amp;", ")))+SUMPRODUCT(--ISNUMBER(SEARCH(", "&amp;$B53&amp;", ",", "&amp;'Thông báo'!$B$7:$B$500&amp;", ")))+SUMPRODUCT(--ISNUMBER(SEARCH(", "&amp;$B53&amp;", ",", "&amp;'Đăng tin &amp; Quản lý tin'!$B$7:$B$500&amp;", ")))+SUMPRODUCT(--ISNUMBER(SEARCH(", "&amp;$B53&amp;", ",", "&amp;'Trust &amp; Safety'!$B$7:$B$500&amp;", ")))+SUMPRODUCT(--ISNUMBER(SEARCH(", "&amp;$B53&amp;", ",", "&amp;'Tài khoản &amp; Hồ sơ'!$B$7:$B$500&amp;", ")))</f>
        <v>7</v>
      </c>
      <c r="F53" s="51" t="n">
        <f aca="false">SUMPRODUCT(--ISNUMBER(SEARCH(", "&amp;$B53&amp;", ",", "&amp;'Hoạt động (Đơn của tôi)'!$B$7:$B$500&amp;", ")),--('Hoạt động (Đơn của tôi)'!$AT$7:$AT$500&lt;&gt;""))+SUMPRODUCT(--ISNUMBER(SEARCH(", "&amp;$B53&amp;", ",", "&amp;'Ghép nối'!$B$7:$B$500&amp;", ")),--('Ghép nối'!$AT$7:$AT$500&lt;&gt;""))+SUMPRODUCT(--ISNUMBER(SEARCH(", "&amp;$B53&amp;", ",", "&amp;'Huỷ đơn - Huỷ nhận đơn'!$B$7:$B$500&amp;", ")),--('Huỷ đơn - Huỷ nhận đơn'!$AT$7:$AT$500&lt;&gt;""))+SUMPRODUCT(--ISNUMBER(SEARCH(", "&amp;$B53&amp;", ",", "&amp;'Giao nhận &amp; Theo dõi đơn'!$B$7:$B$500&amp;", ")),--('Giao nhận &amp; Theo dõi đơn'!$AT$7:$AT$500&lt;&gt;""))+SUMPRODUCT(--ISNUMBER(SEARCH(", "&amp;$B53&amp;", ",", "&amp;'Bảng tin &amp; Chi tiết tin'!$B$7:$B$500&amp;", ")),--('Bảng tin &amp; Chi tiết tin'!$AT$7:$AT$500&lt;&gt;""))+SUMPRODUCT(--ISNUMBER(SEARCH(", "&amp;$B53&amp;", ",", "&amp;'Quà cảm ơn'!$B$7:$B$500&amp;", ")),--('Quà cảm ơn'!$AT$7:$AT$500&lt;&gt;""))+SUMPRODUCT(--ISNUMBER(SEARCH(", "&amp;$B53&amp;", ",", "&amp;'Trang chủ'!$B$7:$B$500&amp;", ")),--('Trang chủ'!$AT$7:$AT$500&lt;&gt;""))+SUMPRODUCT(--ISNUMBER(SEARCH(", "&amp;$B53&amp;", ",", "&amp;'Thông báo'!$B$7:$B$500&amp;", ")),--('Thông báo'!$AT$7:$AT$500&lt;&gt;""))+SUMPRODUCT(--ISNUMBER(SEARCH(", "&amp;$B53&amp;", ",", "&amp;'Đăng tin &amp; Quản lý tin'!$B$7:$B$500&amp;", ")),--('Đăng tin &amp; Quản lý tin'!$AT$7:$AT$500&lt;&gt;""))+SUMPRODUCT(--ISNUMBER(SEARCH(", "&amp;$B53&amp;", ",", "&amp;'Trust &amp; Safety'!$B$7:$B$500&amp;", ")),--('Trust &amp; Safety'!$AT$7:$AT$500&lt;&gt;""))+SUMPRODUCT(--ISNUMBER(SEARCH(", "&amp;$B53&amp;", ",", "&amp;'Tài khoản &amp; Hồ sơ'!$B$7:$B$500&amp;", ")),--('Tài khoản &amp; Hồ sơ'!$AT$7:$AT$500&lt;&gt;""))</f>
        <v>0</v>
      </c>
      <c r="G53" s="51" t="n">
        <f aca="false">SUMPRODUCT(--ISNUMBER(SEARCH(", "&amp;$B53&amp;", ",", "&amp;'Hoạt động (Đơn của tôi)'!$B$7:$B$500&amp;", ")),--('Hoạt động (Đơn của tôi)'!$AT$7:$AT$500="Pass"))+SUMPRODUCT(--ISNUMBER(SEARCH(", "&amp;$B53&amp;", ",", "&amp;'Ghép nối'!$B$7:$B$500&amp;", ")),--('Ghép nối'!$AT$7:$AT$500="Pass"))+SUMPRODUCT(--ISNUMBER(SEARCH(", "&amp;$B53&amp;", ",", "&amp;'Huỷ đơn - Huỷ nhận đơn'!$B$7:$B$500&amp;", ")),--('Huỷ đơn - Huỷ nhận đơn'!$AT$7:$AT$500="Pass"))+SUMPRODUCT(--ISNUMBER(SEARCH(", "&amp;$B53&amp;", ",", "&amp;'Giao nhận &amp; Theo dõi đơn'!$B$7:$B$500&amp;", ")),--('Giao nhận &amp; Theo dõi đơn'!$AT$7:$AT$500="Pass"))+SUMPRODUCT(--ISNUMBER(SEARCH(", "&amp;$B53&amp;", ",", "&amp;'Bảng tin &amp; Chi tiết tin'!$B$7:$B$500&amp;", ")),--('Bảng tin &amp; Chi tiết tin'!$AT$7:$AT$500="Pass"))+SUMPRODUCT(--ISNUMBER(SEARCH(", "&amp;$B53&amp;", ",", "&amp;'Quà cảm ơn'!$B$7:$B$500&amp;", ")),--('Quà cảm ơn'!$AT$7:$AT$500="Pass"))+SUMPRODUCT(--ISNUMBER(SEARCH(", "&amp;$B53&amp;", ",", "&amp;'Trang chủ'!$B$7:$B$500&amp;", ")),--('Trang chủ'!$AT$7:$AT$500="Pass"))+SUMPRODUCT(--ISNUMBER(SEARCH(", "&amp;$B53&amp;", ",", "&amp;'Thông báo'!$B$7:$B$500&amp;", ")),--('Thông báo'!$AT$7:$AT$500="Pass"))+SUMPRODUCT(--ISNUMBER(SEARCH(", "&amp;$B53&amp;", ",", "&amp;'Đăng tin &amp; Quản lý tin'!$B$7:$B$500&amp;", ")),--('Đăng tin &amp; Quản lý tin'!$AT$7:$AT$500="Pass"))+SUMPRODUCT(--ISNUMBER(SEARCH(", "&amp;$B53&amp;", ",", "&amp;'Trust &amp; Safety'!$B$7:$B$500&amp;", ")),--('Trust &amp; Safety'!$AT$7:$AT$500="Pass"))+SUMPRODUCT(--ISNUMBER(SEARCH(", "&amp;$B53&amp;", ",", "&amp;'Tài khoản &amp; Hồ sơ'!$B$7:$B$500&amp;", ")),--('Tài khoản &amp; Hồ sơ'!$AT$7:$AT$500="Pass"))</f>
        <v>0</v>
      </c>
      <c r="H53" s="51" t="n">
        <f aca="false">SUMPRODUCT(--ISNUMBER(SEARCH(", "&amp;$B53&amp;", ",", "&amp;'Hoạt động (Đơn của tôi)'!$B$7:$B$500&amp;", ")),--('Hoạt động (Đơn của tôi)'!$AT$7:$AT$500="Fail"))+SUMPRODUCT(--ISNUMBER(SEARCH(", "&amp;$B53&amp;", ",", "&amp;'Ghép nối'!$B$7:$B$500&amp;", ")),--('Ghép nối'!$AT$7:$AT$500="Fail"))+SUMPRODUCT(--ISNUMBER(SEARCH(", "&amp;$B53&amp;", ",", "&amp;'Huỷ đơn - Huỷ nhận đơn'!$B$7:$B$500&amp;", ")),--('Huỷ đơn - Huỷ nhận đơn'!$AT$7:$AT$500="Fail"))+SUMPRODUCT(--ISNUMBER(SEARCH(", "&amp;$B53&amp;", ",", "&amp;'Giao nhận &amp; Theo dõi đơn'!$B$7:$B$500&amp;", ")),--('Giao nhận &amp; Theo dõi đơn'!$AT$7:$AT$500="Fail"))+SUMPRODUCT(--ISNUMBER(SEARCH(", "&amp;$B53&amp;", ",", "&amp;'Bảng tin &amp; Chi tiết tin'!$B$7:$B$500&amp;", ")),--('Bảng tin &amp; Chi tiết tin'!$AT$7:$AT$500="Fail"))+SUMPRODUCT(--ISNUMBER(SEARCH(", "&amp;$B53&amp;", ",", "&amp;'Quà cảm ơn'!$B$7:$B$500&amp;", ")),--('Quà cảm ơn'!$AT$7:$AT$500="Fail"))+SUMPRODUCT(--ISNUMBER(SEARCH(", "&amp;$B53&amp;", ",", "&amp;'Trang chủ'!$B$7:$B$500&amp;", ")),--('Trang chủ'!$AT$7:$AT$500="Fail"))+SUMPRODUCT(--ISNUMBER(SEARCH(", "&amp;$B53&amp;", ",", "&amp;'Thông báo'!$B$7:$B$500&amp;", ")),--('Thông báo'!$AT$7:$AT$500="Fail"))+SUMPRODUCT(--ISNUMBER(SEARCH(", "&amp;$B53&amp;", ",", "&amp;'Đăng tin &amp; Quản lý tin'!$B$7:$B$500&amp;", ")),--('Đăng tin &amp; Quản lý tin'!$AT$7:$AT$500="Fail"))+SUMPRODUCT(--ISNUMBER(SEARCH(", "&amp;$B53&amp;", ",", "&amp;'Trust &amp; Safety'!$B$7:$B$500&amp;", ")),--('Trust &amp; Safety'!$AT$7:$AT$500="Fail"))+SUMPRODUCT(--ISNUMBER(SEARCH(", "&amp;$B53&amp;", ",", "&amp;'Tài khoản &amp; Hồ sơ'!$B$7:$B$500&amp;", ")),--('Tài khoản &amp; Hồ sơ'!$AT$7:$AT$500="Fail"))</f>
        <v>0</v>
      </c>
      <c r="I53" s="51" t="n">
        <f aca="false">SUMPRODUCT(--ISNUMBER(SEARCH(", "&amp;$B53&amp;", ",", "&amp;'Hoạt động (Đơn của tôi)'!$B$7:$B$500&amp;", ")),--('Hoạt động (Đơn của tôi)'!$AT$7:$AT$500="Block"))+SUMPRODUCT(--ISNUMBER(SEARCH(", "&amp;$B53&amp;", ",", "&amp;'Ghép nối'!$B$7:$B$500&amp;", ")),--('Ghép nối'!$AT$7:$AT$500="Block"))+SUMPRODUCT(--ISNUMBER(SEARCH(", "&amp;$B53&amp;", ",", "&amp;'Huỷ đơn - Huỷ nhận đơn'!$B$7:$B$500&amp;", ")),--('Huỷ đơn - Huỷ nhận đơn'!$AT$7:$AT$500="Block"))+SUMPRODUCT(--ISNUMBER(SEARCH(", "&amp;$B53&amp;", ",", "&amp;'Giao nhận &amp; Theo dõi đơn'!$B$7:$B$500&amp;", ")),--('Giao nhận &amp; Theo dõi đơn'!$AT$7:$AT$500="Block"))+SUMPRODUCT(--ISNUMBER(SEARCH(", "&amp;$B53&amp;", ",", "&amp;'Bảng tin &amp; Chi tiết tin'!$B$7:$B$500&amp;", ")),--('Bảng tin &amp; Chi tiết tin'!$AT$7:$AT$500="Block"))+SUMPRODUCT(--ISNUMBER(SEARCH(", "&amp;$B53&amp;", ",", "&amp;'Quà cảm ơn'!$B$7:$B$500&amp;", ")),--('Quà cảm ơn'!$AT$7:$AT$500="Block"))+SUMPRODUCT(--ISNUMBER(SEARCH(", "&amp;$B53&amp;", ",", "&amp;'Trang chủ'!$B$7:$B$500&amp;", ")),--('Trang chủ'!$AT$7:$AT$500="Block"))+SUMPRODUCT(--ISNUMBER(SEARCH(", "&amp;$B53&amp;", ",", "&amp;'Thông báo'!$B$7:$B$500&amp;", ")),--('Thông báo'!$AT$7:$AT$500="Block"))+SUMPRODUCT(--ISNUMBER(SEARCH(", "&amp;$B53&amp;", ",", "&amp;'Đăng tin &amp; Quản lý tin'!$B$7:$B$500&amp;", ")),--('Đăng tin &amp; Quản lý tin'!$AT$7:$AT$500="Block"))+SUMPRODUCT(--ISNUMBER(SEARCH(", "&amp;$B53&amp;", ",", "&amp;'Trust &amp; Safety'!$B$7:$B$500&amp;", ")),--('Trust &amp; Safety'!$AT$7:$AT$500="Block"))+SUMPRODUCT(--ISNUMBER(SEARCH(", "&amp;$B53&amp;", ",", "&amp;'Tài khoản &amp; Hồ sơ'!$B$7:$B$500&amp;", ")),--('Tài khoản &amp; Hồ sơ'!$AT$7:$AT$500="Block"))</f>
        <v>0</v>
      </c>
      <c r="J53" s="51" t="n">
        <f aca="false">SUMPRODUCT(--ISNUMBER(SEARCH(", "&amp;$B53&amp;", ",", "&amp;'Hoạt động (Đơn của tôi)'!$B$7:$B$500&amp;", ")),--('Hoạt động (Đơn của tôi)'!$AT$7:$AT$500="N/A"))+SUMPRODUCT(--ISNUMBER(SEARCH(", "&amp;$B53&amp;", ",", "&amp;'Ghép nối'!$B$7:$B$500&amp;", ")),--('Ghép nối'!$AT$7:$AT$500="N/A"))+SUMPRODUCT(--ISNUMBER(SEARCH(", "&amp;$B53&amp;", ",", "&amp;'Huỷ đơn - Huỷ nhận đơn'!$B$7:$B$500&amp;", ")),--('Huỷ đơn - Huỷ nhận đơn'!$AT$7:$AT$500="N/A"))+SUMPRODUCT(--ISNUMBER(SEARCH(", "&amp;$B53&amp;", ",", "&amp;'Giao nhận &amp; Theo dõi đơn'!$B$7:$B$500&amp;", ")),--('Giao nhận &amp; Theo dõi đơn'!$AT$7:$AT$500="N/A"))+SUMPRODUCT(--ISNUMBER(SEARCH(", "&amp;$B53&amp;", ",", "&amp;'Bảng tin &amp; Chi tiết tin'!$B$7:$B$500&amp;", ")),--('Bảng tin &amp; Chi tiết tin'!$AT$7:$AT$500="N/A"))+SUMPRODUCT(--ISNUMBER(SEARCH(", "&amp;$B53&amp;", ",", "&amp;'Quà cảm ơn'!$B$7:$B$500&amp;", ")),--('Quà cảm ơn'!$AT$7:$AT$500="N/A"))+SUMPRODUCT(--ISNUMBER(SEARCH(", "&amp;$B53&amp;", ",", "&amp;'Trang chủ'!$B$7:$B$500&amp;", ")),--('Trang chủ'!$AT$7:$AT$500="N/A"))+SUMPRODUCT(--ISNUMBER(SEARCH(", "&amp;$B53&amp;", ",", "&amp;'Thông báo'!$B$7:$B$500&amp;", ")),--('Thông báo'!$AT$7:$AT$500="N/A"))+SUMPRODUCT(--ISNUMBER(SEARCH(", "&amp;$B53&amp;", ",", "&amp;'Đăng tin &amp; Quản lý tin'!$B$7:$B$500&amp;", ")),--('Đăng tin &amp; Quản lý tin'!$AT$7:$AT$500="N/A"))+SUMPRODUCT(--ISNUMBER(SEARCH(", "&amp;$B53&amp;", ",", "&amp;'Trust &amp; Safety'!$B$7:$B$500&amp;", ")),--('Trust &amp; Safety'!$AT$7:$AT$500="N/A"))+SUMPRODUCT(--ISNUMBER(SEARCH(", "&amp;$B53&amp;", ",", "&amp;'Tài khoản &amp; Hồ sơ'!$B$7:$B$500&amp;", ")),--('Tài khoản &amp; Hồ sơ'!$AT$7:$AT$500="N/A"))</f>
        <v>0</v>
      </c>
      <c r="K53" s="52" t="n">
        <f aca="false">IFERROR(F53/E53,0)</f>
        <v>0</v>
      </c>
      <c r="L53" s="123" t="str">
        <f aca="false">IF(E53=0,"Chưa có TC (gap)",IF(H53&gt;0,"Có lỗi (Fail)",IF(I53&gt;0,"Bị block",IF(F53&lt;E53,"Đang test",IF(G53=0,"Không áp dụng (N/A)","Đã test xong")))))</f>
        <v>Đang test</v>
      </c>
      <c r="AB53" s="1" t="s">
        <v>444</v>
      </c>
    </row>
    <row r="54" customFormat="false" ht="15.75" hidden="false" customHeight="true" outlineLevel="0" collapsed="false">
      <c r="B54" s="175" t="s">
        <v>557</v>
      </c>
      <c r="C54" s="176" t="s">
        <v>558</v>
      </c>
      <c r="D54" s="123" t="s">
        <v>559</v>
      </c>
      <c r="E54" s="51" t="n">
        <f aca="false">SUMPRODUCT(--ISNUMBER(SEARCH(", "&amp;$B54&amp;", ",", "&amp;'Hoạt động (Đơn của tôi)'!$B$7:$B$500&amp;", ")))+SUMPRODUCT(--ISNUMBER(SEARCH(", "&amp;$B54&amp;", ",", "&amp;'Ghép nối'!$B$7:$B$500&amp;", ")))+SUMPRODUCT(--ISNUMBER(SEARCH(", "&amp;$B54&amp;", ",", "&amp;'Huỷ đơn - Huỷ nhận đơn'!$B$7:$B$500&amp;", ")))+SUMPRODUCT(--ISNUMBER(SEARCH(", "&amp;$B54&amp;", ",", "&amp;'Giao nhận &amp; Theo dõi đơn'!$B$7:$B$500&amp;", ")))+SUMPRODUCT(--ISNUMBER(SEARCH(", "&amp;$B54&amp;", ",", "&amp;'Bảng tin &amp; Chi tiết tin'!$B$7:$B$500&amp;", ")))+SUMPRODUCT(--ISNUMBER(SEARCH(", "&amp;$B54&amp;", ",", "&amp;'Quà cảm ơn'!$B$7:$B$500&amp;", ")))+SUMPRODUCT(--ISNUMBER(SEARCH(", "&amp;$B54&amp;", ",", "&amp;'Trang chủ'!$B$7:$B$500&amp;", ")))+SUMPRODUCT(--ISNUMBER(SEARCH(", "&amp;$B54&amp;", ",", "&amp;'Thông báo'!$B$7:$B$500&amp;", ")))+SUMPRODUCT(--ISNUMBER(SEARCH(", "&amp;$B54&amp;", ",", "&amp;'Đăng tin &amp; Quản lý tin'!$B$7:$B$500&amp;", ")))+SUMPRODUCT(--ISNUMBER(SEARCH(", "&amp;$B54&amp;", ",", "&amp;'Trust &amp; Safety'!$B$7:$B$500&amp;", ")))+SUMPRODUCT(--ISNUMBER(SEARCH(", "&amp;$B54&amp;", ",", "&amp;'Tài khoản &amp; Hồ sơ'!$B$7:$B$500&amp;", ")))</f>
        <v>1</v>
      </c>
      <c r="F54" s="51" t="n">
        <f aca="false">SUMPRODUCT(--ISNUMBER(SEARCH(", "&amp;$B54&amp;", ",", "&amp;'Hoạt động (Đơn của tôi)'!$B$7:$B$500&amp;", ")),--('Hoạt động (Đơn của tôi)'!$AT$7:$AT$500&lt;&gt;""))+SUMPRODUCT(--ISNUMBER(SEARCH(", "&amp;$B54&amp;", ",", "&amp;'Ghép nối'!$B$7:$B$500&amp;", ")),--('Ghép nối'!$AT$7:$AT$500&lt;&gt;""))+SUMPRODUCT(--ISNUMBER(SEARCH(", "&amp;$B54&amp;", ",", "&amp;'Huỷ đơn - Huỷ nhận đơn'!$B$7:$B$500&amp;", ")),--('Huỷ đơn - Huỷ nhận đơn'!$AT$7:$AT$500&lt;&gt;""))+SUMPRODUCT(--ISNUMBER(SEARCH(", "&amp;$B54&amp;", ",", "&amp;'Giao nhận &amp; Theo dõi đơn'!$B$7:$B$500&amp;", ")),--('Giao nhận &amp; Theo dõi đơn'!$AT$7:$AT$500&lt;&gt;""))+SUMPRODUCT(--ISNUMBER(SEARCH(", "&amp;$B54&amp;", ",", "&amp;'Bảng tin &amp; Chi tiết tin'!$B$7:$B$500&amp;", ")),--('Bảng tin &amp; Chi tiết tin'!$AT$7:$AT$500&lt;&gt;""))+SUMPRODUCT(--ISNUMBER(SEARCH(", "&amp;$B54&amp;", ",", "&amp;'Quà cảm ơn'!$B$7:$B$500&amp;", ")),--('Quà cảm ơn'!$AT$7:$AT$500&lt;&gt;""))+SUMPRODUCT(--ISNUMBER(SEARCH(", "&amp;$B54&amp;", ",", "&amp;'Trang chủ'!$B$7:$B$500&amp;", ")),--('Trang chủ'!$AT$7:$AT$500&lt;&gt;""))+SUMPRODUCT(--ISNUMBER(SEARCH(", "&amp;$B54&amp;", ",", "&amp;'Thông báo'!$B$7:$B$500&amp;", ")),--('Thông báo'!$AT$7:$AT$500&lt;&gt;""))+SUMPRODUCT(--ISNUMBER(SEARCH(", "&amp;$B54&amp;", ",", "&amp;'Đăng tin &amp; Quản lý tin'!$B$7:$B$500&amp;", ")),--('Đăng tin &amp; Quản lý tin'!$AT$7:$AT$500&lt;&gt;""))+SUMPRODUCT(--ISNUMBER(SEARCH(", "&amp;$B54&amp;", ",", "&amp;'Trust &amp; Safety'!$B$7:$B$500&amp;", ")),--('Trust &amp; Safety'!$AT$7:$AT$500&lt;&gt;""))+SUMPRODUCT(--ISNUMBER(SEARCH(", "&amp;$B54&amp;", ",", "&amp;'Tài khoản &amp; Hồ sơ'!$B$7:$B$500&amp;", ")),--('Tài khoản &amp; Hồ sơ'!$AT$7:$AT$500&lt;&gt;""))</f>
        <v>0</v>
      </c>
      <c r="G54" s="51" t="n">
        <f aca="false">SUMPRODUCT(--ISNUMBER(SEARCH(", "&amp;$B54&amp;", ",", "&amp;'Hoạt động (Đơn của tôi)'!$B$7:$B$500&amp;", ")),--('Hoạt động (Đơn của tôi)'!$AT$7:$AT$500="Pass"))+SUMPRODUCT(--ISNUMBER(SEARCH(", "&amp;$B54&amp;", ",", "&amp;'Ghép nối'!$B$7:$B$500&amp;", ")),--('Ghép nối'!$AT$7:$AT$500="Pass"))+SUMPRODUCT(--ISNUMBER(SEARCH(", "&amp;$B54&amp;", ",", "&amp;'Huỷ đơn - Huỷ nhận đơn'!$B$7:$B$500&amp;", ")),--('Huỷ đơn - Huỷ nhận đơn'!$AT$7:$AT$500="Pass"))+SUMPRODUCT(--ISNUMBER(SEARCH(", "&amp;$B54&amp;", ",", "&amp;'Giao nhận &amp; Theo dõi đơn'!$B$7:$B$500&amp;", ")),--('Giao nhận &amp; Theo dõi đơn'!$AT$7:$AT$500="Pass"))+SUMPRODUCT(--ISNUMBER(SEARCH(", "&amp;$B54&amp;", ",", "&amp;'Bảng tin &amp; Chi tiết tin'!$B$7:$B$500&amp;", ")),--('Bảng tin &amp; Chi tiết tin'!$AT$7:$AT$500="Pass"))+SUMPRODUCT(--ISNUMBER(SEARCH(", "&amp;$B54&amp;", ",", "&amp;'Quà cảm ơn'!$B$7:$B$500&amp;", ")),--('Quà cảm ơn'!$AT$7:$AT$500="Pass"))+SUMPRODUCT(--ISNUMBER(SEARCH(", "&amp;$B54&amp;", ",", "&amp;'Trang chủ'!$B$7:$B$500&amp;", ")),--('Trang chủ'!$AT$7:$AT$500="Pass"))+SUMPRODUCT(--ISNUMBER(SEARCH(", "&amp;$B54&amp;", ",", "&amp;'Thông báo'!$B$7:$B$500&amp;", ")),--('Thông báo'!$AT$7:$AT$500="Pass"))+SUMPRODUCT(--ISNUMBER(SEARCH(", "&amp;$B54&amp;", ",", "&amp;'Đăng tin &amp; Quản lý tin'!$B$7:$B$500&amp;", ")),--('Đăng tin &amp; Quản lý tin'!$AT$7:$AT$500="Pass"))+SUMPRODUCT(--ISNUMBER(SEARCH(", "&amp;$B54&amp;", ",", "&amp;'Trust &amp; Safety'!$B$7:$B$500&amp;", ")),--('Trust &amp; Safety'!$AT$7:$AT$500="Pass"))+SUMPRODUCT(--ISNUMBER(SEARCH(", "&amp;$B54&amp;", ",", "&amp;'Tài khoản &amp; Hồ sơ'!$B$7:$B$500&amp;", ")),--('Tài khoản &amp; Hồ sơ'!$AT$7:$AT$500="Pass"))</f>
        <v>0</v>
      </c>
      <c r="H54" s="51" t="n">
        <f aca="false">SUMPRODUCT(--ISNUMBER(SEARCH(", "&amp;$B54&amp;", ",", "&amp;'Hoạt động (Đơn của tôi)'!$B$7:$B$500&amp;", ")),--('Hoạt động (Đơn của tôi)'!$AT$7:$AT$500="Fail"))+SUMPRODUCT(--ISNUMBER(SEARCH(", "&amp;$B54&amp;", ",", "&amp;'Ghép nối'!$B$7:$B$500&amp;", ")),--('Ghép nối'!$AT$7:$AT$500="Fail"))+SUMPRODUCT(--ISNUMBER(SEARCH(", "&amp;$B54&amp;", ",", "&amp;'Huỷ đơn - Huỷ nhận đơn'!$B$7:$B$500&amp;", ")),--('Huỷ đơn - Huỷ nhận đơn'!$AT$7:$AT$500="Fail"))+SUMPRODUCT(--ISNUMBER(SEARCH(", "&amp;$B54&amp;", ",", "&amp;'Giao nhận &amp; Theo dõi đơn'!$B$7:$B$500&amp;", ")),--('Giao nhận &amp; Theo dõi đơn'!$AT$7:$AT$500="Fail"))+SUMPRODUCT(--ISNUMBER(SEARCH(", "&amp;$B54&amp;", ",", "&amp;'Bảng tin &amp; Chi tiết tin'!$B$7:$B$500&amp;", ")),--('Bảng tin &amp; Chi tiết tin'!$AT$7:$AT$500="Fail"))+SUMPRODUCT(--ISNUMBER(SEARCH(", "&amp;$B54&amp;", ",", "&amp;'Quà cảm ơn'!$B$7:$B$500&amp;", ")),--('Quà cảm ơn'!$AT$7:$AT$500="Fail"))+SUMPRODUCT(--ISNUMBER(SEARCH(", "&amp;$B54&amp;", ",", "&amp;'Trang chủ'!$B$7:$B$500&amp;", ")),--('Trang chủ'!$AT$7:$AT$500="Fail"))+SUMPRODUCT(--ISNUMBER(SEARCH(", "&amp;$B54&amp;", ",", "&amp;'Thông báo'!$B$7:$B$500&amp;", ")),--('Thông báo'!$AT$7:$AT$500="Fail"))+SUMPRODUCT(--ISNUMBER(SEARCH(", "&amp;$B54&amp;", ",", "&amp;'Đăng tin &amp; Quản lý tin'!$B$7:$B$500&amp;", ")),--('Đăng tin &amp; Quản lý tin'!$AT$7:$AT$500="Fail"))+SUMPRODUCT(--ISNUMBER(SEARCH(", "&amp;$B54&amp;", ",", "&amp;'Trust &amp; Safety'!$B$7:$B$500&amp;", ")),--('Trust &amp; Safety'!$AT$7:$AT$500="Fail"))+SUMPRODUCT(--ISNUMBER(SEARCH(", "&amp;$B54&amp;", ",", "&amp;'Tài khoản &amp; Hồ sơ'!$B$7:$B$500&amp;", ")),--('Tài khoản &amp; Hồ sơ'!$AT$7:$AT$500="Fail"))</f>
        <v>0</v>
      </c>
      <c r="I54" s="51" t="n">
        <f aca="false">SUMPRODUCT(--ISNUMBER(SEARCH(", "&amp;$B54&amp;", ",", "&amp;'Hoạt động (Đơn của tôi)'!$B$7:$B$500&amp;", ")),--('Hoạt động (Đơn của tôi)'!$AT$7:$AT$500="Block"))+SUMPRODUCT(--ISNUMBER(SEARCH(", "&amp;$B54&amp;", ",", "&amp;'Ghép nối'!$B$7:$B$500&amp;", ")),--('Ghép nối'!$AT$7:$AT$500="Block"))+SUMPRODUCT(--ISNUMBER(SEARCH(", "&amp;$B54&amp;", ",", "&amp;'Huỷ đơn - Huỷ nhận đơn'!$B$7:$B$500&amp;", ")),--('Huỷ đơn - Huỷ nhận đơn'!$AT$7:$AT$500="Block"))+SUMPRODUCT(--ISNUMBER(SEARCH(", "&amp;$B54&amp;", ",", "&amp;'Giao nhận &amp; Theo dõi đơn'!$B$7:$B$500&amp;", ")),--('Giao nhận &amp; Theo dõi đơn'!$AT$7:$AT$500="Block"))+SUMPRODUCT(--ISNUMBER(SEARCH(", "&amp;$B54&amp;", ",", "&amp;'Bảng tin &amp; Chi tiết tin'!$B$7:$B$500&amp;", ")),--('Bảng tin &amp; Chi tiết tin'!$AT$7:$AT$500="Block"))+SUMPRODUCT(--ISNUMBER(SEARCH(", "&amp;$B54&amp;", ",", "&amp;'Quà cảm ơn'!$B$7:$B$500&amp;", ")),--('Quà cảm ơn'!$AT$7:$AT$500="Block"))+SUMPRODUCT(--ISNUMBER(SEARCH(", "&amp;$B54&amp;", ",", "&amp;'Trang chủ'!$B$7:$B$500&amp;", ")),--('Trang chủ'!$AT$7:$AT$500="Block"))+SUMPRODUCT(--ISNUMBER(SEARCH(", "&amp;$B54&amp;", ",", "&amp;'Thông báo'!$B$7:$B$500&amp;", ")),--('Thông báo'!$AT$7:$AT$500="Block"))+SUMPRODUCT(--ISNUMBER(SEARCH(", "&amp;$B54&amp;", ",", "&amp;'Đăng tin &amp; Quản lý tin'!$B$7:$B$500&amp;", ")),--('Đăng tin &amp; Quản lý tin'!$AT$7:$AT$500="Block"))+SUMPRODUCT(--ISNUMBER(SEARCH(", "&amp;$B54&amp;", ",", "&amp;'Trust &amp; Safety'!$B$7:$B$500&amp;", ")),--('Trust &amp; Safety'!$AT$7:$AT$500="Block"))+SUMPRODUCT(--ISNUMBER(SEARCH(", "&amp;$B54&amp;", ",", "&amp;'Tài khoản &amp; Hồ sơ'!$B$7:$B$500&amp;", ")),--('Tài khoản &amp; Hồ sơ'!$AT$7:$AT$500="Block"))</f>
        <v>0</v>
      </c>
      <c r="J54" s="51" t="n">
        <f aca="false">SUMPRODUCT(--ISNUMBER(SEARCH(", "&amp;$B54&amp;", ",", "&amp;'Hoạt động (Đơn của tôi)'!$B$7:$B$500&amp;", ")),--('Hoạt động (Đơn của tôi)'!$AT$7:$AT$500="N/A"))+SUMPRODUCT(--ISNUMBER(SEARCH(", "&amp;$B54&amp;", ",", "&amp;'Ghép nối'!$B$7:$B$500&amp;", ")),--('Ghép nối'!$AT$7:$AT$500="N/A"))+SUMPRODUCT(--ISNUMBER(SEARCH(", "&amp;$B54&amp;", ",", "&amp;'Huỷ đơn - Huỷ nhận đơn'!$B$7:$B$500&amp;", ")),--('Huỷ đơn - Huỷ nhận đơn'!$AT$7:$AT$500="N/A"))+SUMPRODUCT(--ISNUMBER(SEARCH(", "&amp;$B54&amp;", ",", "&amp;'Giao nhận &amp; Theo dõi đơn'!$B$7:$B$500&amp;", ")),--('Giao nhận &amp; Theo dõi đơn'!$AT$7:$AT$500="N/A"))+SUMPRODUCT(--ISNUMBER(SEARCH(", "&amp;$B54&amp;", ",", "&amp;'Bảng tin &amp; Chi tiết tin'!$B$7:$B$500&amp;", ")),--('Bảng tin &amp; Chi tiết tin'!$AT$7:$AT$500="N/A"))+SUMPRODUCT(--ISNUMBER(SEARCH(", "&amp;$B54&amp;", ",", "&amp;'Quà cảm ơn'!$B$7:$B$500&amp;", ")),--('Quà cảm ơn'!$AT$7:$AT$500="N/A"))+SUMPRODUCT(--ISNUMBER(SEARCH(", "&amp;$B54&amp;", ",", "&amp;'Trang chủ'!$B$7:$B$500&amp;", ")),--('Trang chủ'!$AT$7:$AT$500="N/A"))+SUMPRODUCT(--ISNUMBER(SEARCH(", "&amp;$B54&amp;", ",", "&amp;'Thông báo'!$B$7:$B$500&amp;", ")),--('Thông báo'!$AT$7:$AT$500="N/A"))+SUMPRODUCT(--ISNUMBER(SEARCH(", "&amp;$B54&amp;", ",", "&amp;'Đăng tin &amp; Quản lý tin'!$B$7:$B$500&amp;", ")),--('Đăng tin &amp; Quản lý tin'!$AT$7:$AT$500="N/A"))+SUMPRODUCT(--ISNUMBER(SEARCH(", "&amp;$B54&amp;", ",", "&amp;'Trust &amp; Safety'!$B$7:$B$500&amp;", ")),--('Trust &amp; Safety'!$AT$7:$AT$500="N/A"))+SUMPRODUCT(--ISNUMBER(SEARCH(", "&amp;$B54&amp;", ",", "&amp;'Tài khoản &amp; Hồ sơ'!$B$7:$B$500&amp;", ")),--('Tài khoản &amp; Hồ sơ'!$AT$7:$AT$500="N/A"))</f>
        <v>0</v>
      </c>
      <c r="K54" s="52" t="n">
        <f aca="false">IFERROR(F54/E54,0)</f>
        <v>0</v>
      </c>
      <c r="L54" s="123" t="str">
        <f aca="false">IF(E54=0,"Chưa có TC (gap)",IF(H54&gt;0,"Có lỗi (Fail)",IF(I54&gt;0,"Bị block",IF(F54&lt;E54,"Đang test",IF(G54=0,"Không áp dụng (N/A)","Đã test xong")))))</f>
        <v>Đang test</v>
      </c>
      <c r="AB54" s="1" t="s">
        <v>444</v>
      </c>
    </row>
    <row r="55" customFormat="false" ht="15.75" hidden="false" customHeight="true" outlineLevel="0" collapsed="false">
      <c r="B55" s="175" t="s">
        <v>560</v>
      </c>
      <c r="C55" s="176" t="s">
        <v>561</v>
      </c>
      <c r="D55" s="123" t="s">
        <v>562</v>
      </c>
      <c r="E55" s="51" t="n">
        <f aca="false">SUMPRODUCT(--ISNUMBER(SEARCH(", "&amp;$B55&amp;", ",", "&amp;'Hoạt động (Đơn của tôi)'!$B$7:$B$500&amp;", ")))+SUMPRODUCT(--ISNUMBER(SEARCH(", "&amp;$B55&amp;", ",", "&amp;'Ghép nối'!$B$7:$B$500&amp;", ")))+SUMPRODUCT(--ISNUMBER(SEARCH(", "&amp;$B55&amp;", ",", "&amp;'Huỷ đơn - Huỷ nhận đơn'!$B$7:$B$500&amp;", ")))+SUMPRODUCT(--ISNUMBER(SEARCH(", "&amp;$B55&amp;", ",", "&amp;'Giao nhận &amp; Theo dõi đơn'!$B$7:$B$500&amp;", ")))+SUMPRODUCT(--ISNUMBER(SEARCH(", "&amp;$B55&amp;", ",", "&amp;'Bảng tin &amp; Chi tiết tin'!$B$7:$B$500&amp;", ")))+SUMPRODUCT(--ISNUMBER(SEARCH(", "&amp;$B55&amp;", ",", "&amp;'Quà cảm ơn'!$B$7:$B$500&amp;", ")))+SUMPRODUCT(--ISNUMBER(SEARCH(", "&amp;$B55&amp;", ",", "&amp;'Trang chủ'!$B$7:$B$500&amp;", ")))+SUMPRODUCT(--ISNUMBER(SEARCH(", "&amp;$B55&amp;", ",", "&amp;'Thông báo'!$B$7:$B$500&amp;", ")))+SUMPRODUCT(--ISNUMBER(SEARCH(", "&amp;$B55&amp;", ",", "&amp;'Đăng tin &amp; Quản lý tin'!$B$7:$B$500&amp;", ")))+SUMPRODUCT(--ISNUMBER(SEARCH(", "&amp;$B55&amp;", ",", "&amp;'Trust &amp; Safety'!$B$7:$B$500&amp;", ")))+SUMPRODUCT(--ISNUMBER(SEARCH(", "&amp;$B55&amp;", ",", "&amp;'Tài khoản &amp; Hồ sơ'!$B$7:$B$500&amp;", ")))</f>
        <v>3</v>
      </c>
      <c r="F55" s="51" t="n">
        <f aca="false">SUMPRODUCT(--ISNUMBER(SEARCH(", "&amp;$B55&amp;", ",", "&amp;'Hoạt động (Đơn của tôi)'!$B$7:$B$500&amp;", ")),--('Hoạt động (Đơn của tôi)'!$AT$7:$AT$500&lt;&gt;""))+SUMPRODUCT(--ISNUMBER(SEARCH(", "&amp;$B55&amp;", ",", "&amp;'Ghép nối'!$B$7:$B$500&amp;", ")),--('Ghép nối'!$AT$7:$AT$500&lt;&gt;""))+SUMPRODUCT(--ISNUMBER(SEARCH(", "&amp;$B55&amp;", ",", "&amp;'Huỷ đơn - Huỷ nhận đơn'!$B$7:$B$500&amp;", ")),--('Huỷ đơn - Huỷ nhận đơn'!$AT$7:$AT$500&lt;&gt;""))+SUMPRODUCT(--ISNUMBER(SEARCH(", "&amp;$B55&amp;", ",", "&amp;'Giao nhận &amp; Theo dõi đơn'!$B$7:$B$500&amp;", ")),--('Giao nhận &amp; Theo dõi đơn'!$AT$7:$AT$500&lt;&gt;""))+SUMPRODUCT(--ISNUMBER(SEARCH(", "&amp;$B55&amp;", ",", "&amp;'Bảng tin &amp; Chi tiết tin'!$B$7:$B$500&amp;", ")),--('Bảng tin &amp; Chi tiết tin'!$AT$7:$AT$500&lt;&gt;""))+SUMPRODUCT(--ISNUMBER(SEARCH(", "&amp;$B55&amp;", ",", "&amp;'Quà cảm ơn'!$B$7:$B$500&amp;", ")),--('Quà cảm ơn'!$AT$7:$AT$500&lt;&gt;""))+SUMPRODUCT(--ISNUMBER(SEARCH(", "&amp;$B55&amp;", ",", "&amp;'Trang chủ'!$B$7:$B$500&amp;", ")),--('Trang chủ'!$AT$7:$AT$500&lt;&gt;""))+SUMPRODUCT(--ISNUMBER(SEARCH(", "&amp;$B55&amp;", ",", "&amp;'Thông báo'!$B$7:$B$500&amp;", ")),--('Thông báo'!$AT$7:$AT$500&lt;&gt;""))+SUMPRODUCT(--ISNUMBER(SEARCH(", "&amp;$B55&amp;", ",", "&amp;'Đăng tin &amp; Quản lý tin'!$B$7:$B$500&amp;", ")),--('Đăng tin &amp; Quản lý tin'!$AT$7:$AT$500&lt;&gt;""))+SUMPRODUCT(--ISNUMBER(SEARCH(", "&amp;$B55&amp;", ",", "&amp;'Trust &amp; Safety'!$B$7:$B$500&amp;", ")),--('Trust &amp; Safety'!$AT$7:$AT$500&lt;&gt;""))+SUMPRODUCT(--ISNUMBER(SEARCH(", "&amp;$B55&amp;", ",", "&amp;'Tài khoản &amp; Hồ sơ'!$B$7:$B$500&amp;", ")),--('Tài khoản &amp; Hồ sơ'!$AT$7:$AT$500&lt;&gt;""))</f>
        <v>0</v>
      </c>
      <c r="G55" s="51" t="n">
        <f aca="false">SUMPRODUCT(--ISNUMBER(SEARCH(", "&amp;$B55&amp;", ",", "&amp;'Hoạt động (Đơn của tôi)'!$B$7:$B$500&amp;", ")),--('Hoạt động (Đơn của tôi)'!$AT$7:$AT$500="Pass"))+SUMPRODUCT(--ISNUMBER(SEARCH(", "&amp;$B55&amp;", ",", "&amp;'Ghép nối'!$B$7:$B$500&amp;", ")),--('Ghép nối'!$AT$7:$AT$500="Pass"))+SUMPRODUCT(--ISNUMBER(SEARCH(", "&amp;$B55&amp;", ",", "&amp;'Huỷ đơn - Huỷ nhận đơn'!$B$7:$B$500&amp;", ")),--('Huỷ đơn - Huỷ nhận đơn'!$AT$7:$AT$500="Pass"))+SUMPRODUCT(--ISNUMBER(SEARCH(", "&amp;$B55&amp;", ",", "&amp;'Giao nhận &amp; Theo dõi đơn'!$B$7:$B$500&amp;", ")),--('Giao nhận &amp; Theo dõi đơn'!$AT$7:$AT$500="Pass"))+SUMPRODUCT(--ISNUMBER(SEARCH(", "&amp;$B55&amp;", ",", "&amp;'Bảng tin &amp; Chi tiết tin'!$B$7:$B$500&amp;", ")),--('Bảng tin &amp; Chi tiết tin'!$AT$7:$AT$500="Pass"))+SUMPRODUCT(--ISNUMBER(SEARCH(", "&amp;$B55&amp;", ",", "&amp;'Quà cảm ơn'!$B$7:$B$500&amp;", ")),--('Quà cảm ơn'!$AT$7:$AT$500="Pass"))+SUMPRODUCT(--ISNUMBER(SEARCH(", "&amp;$B55&amp;", ",", "&amp;'Trang chủ'!$B$7:$B$500&amp;", ")),--('Trang chủ'!$AT$7:$AT$500="Pass"))+SUMPRODUCT(--ISNUMBER(SEARCH(", "&amp;$B55&amp;", ",", "&amp;'Thông báo'!$B$7:$B$500&amp;", ")),--('Thông báo'!$AT$7:$AT$500="Pass"))+SUMPRODUCT(--ISNUMBER(SEARCH(", "&amp;$B55&amp;", ",", "&amp;'Đăng tin &amp; Quản lý tin'!$B$7:$B$500&amp;", ")),--('Đăng tin &amp; Quản lý tin'!$AT$7:$AT$500="Pass"))+SUMPRODUCT(--ISNUMBER(SEARCH(", "&amp;$B55&amp;", ",", "&amp;'Trust &amp; Safety'!$B$7:$B$500&amp;", ")),--('Trust &amp; Safety'!$AT$7:$AT$500="Pass"))+SUMPRODUCT(--ISNUMBER(SEARCH(", "&amp;$B55&amp;", ",", "&amp;'Tài khoản &amp; Hồ sơ'!$B$7:$B$500&amp;", ")),--('Tài khoản &amp; Hồ sơ'!$AT$7:$AT$500="Pass"))</f>
        <v>0</v>
      </c>
      <c r="H55" s="51" t="n">
        <f aca="false">SUMPRODUCT(--ISNUMBER(SEARCH(", "&amp;$B55&amp;", ",", "&amp;'Hoạt động (Đơn của tôi)'!$B$7:$B$500&amp;", ")),--('Hoạt động (Đơn của tôi)'!$AT$7:$AT$500="Fail"))+SUMPRODUCT(--ISNUMBER(SEARCH(", "&amp;$B55&amp;", ",", "&amp;'Ghép nối'!$B$7:$B$500&amp;", ")),--('Ghép nối'!$AT$7:$AT$500="Fail"))+SUMPRODUCT(--ISNUMBER(SEARCH(", "&amp;$B55&amp;", ",", "&amp;'Huỷ đơn - Huỷ nhận đơn'!$B$7:$B$500&amp;", ")),--('Huỷ đơn - Huỷ nhận đơn'!$AT$7:$AT$500="Fail"))+SUMPRODUCT(--ISNUMBER(SEARCH(", "&amp;$B55&amp;", ",", "&amp;'Giao nhận &amp; Theo dõi đơn'!$B$7:$B$500&amp;", ")),--('Giao nhận &amp; Theo dõi đơn'!$AT$7:$AT$500="Fail"))+SUMPRODUCT(--ISNUMBER(SEARCH(", "&amp;$B55&amp;", ",", "&amp;'Bảng tin &amp; Chi tiết tin'!$B$7:$B$500&amp;", ")),--('Bảng tin &amp; Chi tiết tin'!$AT$7:$AT$500="Fail"))+SUMPRODUCT(--ISNUMBER(SEARCH(", "&amp;$B55&amp;", ",", "&amp;'Quà cảm ơn'!$B$7:$B$500&amp;", ")),--('Quà cảm ơn'!$AT$7:$AT$500="Fail"))+SUMPRODUCT(--ISNUMBER(SEARCH(", "&amp;$B55&amp;", ",", "&amp;'Trang chủ'!$B$7:$B$500&amp;", ")),--('Trang chủ'!$AT$7:$AT$500="Fail"))+SUMPRODUCT(--ISNUMBER(SEARCH(", "&amp;$B55&amp;", ",", "&amp;'Thông báo'!$B$7:$B$500&amp;", ")),--('Thông báo'!$AT$7:$AT$500="Fail"))+SUMPRODUCT(--ISNUMBER(SEARCH(", "&amp;$B55&amp;", ",", "&amp;'Đăng tin &amp; Quản lý tin'!$B$7:$B$500&amp;", ")),--('Đăng tin &amp; Quản lý tin'!$AT$7:$AT$500="Fail"))+SUMPRODUCT(--ISNUMBER(SEARCH(", "&amp;$B55&amp;", ",", "&amp;'Trust &amp; Safety'!$B$7:$B$500&amp;", ")),--('Trust &amp; Safety'!$AT$7:$AT$500="Fail"))+SUMPRODUCT(--ISNUMBER(SEARCH(", "&amp;$B55&amp;", ",", "&amp;'Tài khoản &amp; Hồ sơ'!$B$7:$B$500&amp;", ")),--('Tài khoản &amp; Hồ sơ'!$AT$7:$AT$500="Fail"))</f>
        <v>0</v>
      </c>
      <c r="I55" s="51" t="n">
        <f aca="false">SUMPRODUCT(--ISNUMBER(SEARCH(", "&amp;$B55&amp;", ",", "&amp;'Hoạt động (Đơn của tôi)'!$B$7:$B$500&amp;", ")),--('Hoạt động (Đơn của tôi)'!$AT$7:$AT$500="Block"))+SUMPRODUCT(--ISNUMBER(SEARCH(", "&amp;$B55&amp;", ",", "&amp;'Ghép nối'!$B$7:$B$500&amp;", ")),--('Ghép nối'!$AT$7:$AT$500="Block"))+SUMPRODUCT(--ISNUMBER(SEARCH(", "&amp;$B55&amp;", ",", "&amp;'Huỷ đơn - Huỷ nhận đơn'!$B$7:$B$500&amp;", ")),--('Huỷ đơn - Huỷ nhận đơn'!$AT$7:$AT$500="Block"))+SUMPRODUCT(--ISNUMBER(SEARCH(", "&amp;$B55&amp;", ",", "&amp;'Giao nhận &amp; Theo dõi đơn'!$B$7:$B$500&amp;", ")),--('Giao nhận &amp; Theo dõi đơn'!$AT$7:$AT$500="Block"))+SUMPRODUCT(--ISNUMBER(SEARCH(", "&amp;$B55&amp;", ",", "&amp;'Bảng tin &amp; Chi tiết tin'!$B$7:$B$500&amp;", ")),--('Bảng tin &amp; Chi tiết tin'!$AT$7:$AT$500="Block"))+SUMPRODUCT(--ISNUMBER(SEARCH(", "&amp;$B55&amp;", ",", "&amp;'Quà cảm ơn'!$B$7:$B$500&amp;", ")),--('Quà cảm ơn'!$AT$7:$AT$500="Block"))+SUMPRODUCT(--ISNUMBER(SEARCH(", "&amp;$B55&amp;", ",", "&amp;'Trang chủ'!$B$7:$B$500&amp;", ")),--('Trang chủ'!$AT$7:$AT$500="Block"))+SUMPRODUCT(--ISNUMBER(SEARCH(", "&amp;$B55&amp;", ",", "&amp;'Thông báo'!$B$7:$B$500&amp;", ")),--('Thông báo'!$AT$7:$AT$500="Block"))+SUMPRODUCT(--ISNUMBER(SEARCH(", "&amp;$B55&amp;", ",", "&amp;'Đăng tin &amp; Quản lý tin'!$B$7:$B$500&amp;", ")),--('Đăng tin &amp; Quản lý tin'!$AT$7:$AT$500="Block"))+SUMPRODUCT(--ISNUMBER(SEARCH(", "&amp;$B55&amp;", ",", "&amp;'Trust &amp; Safety'!$B$7:$B$500&amp;", ")),--('Trust &amp; Safety'!$AT$7:$AT$500="Block"))+SUMPRODUCT(--ISNUMBER(SEARCH(", "&amp;$B55&amp;", ",", "&amp;'Tài khoản &amp; Hồ sơ'!$B$7:$B$500&amp;", ")),--('Tài khoản &amp; Hồ sơ'!$AT$7:$AT$500="Block"))</f>
        <v>0</v>
      </c>
      <c r="J55" s="51" t="n">
        <f aca="false">SUMPRODUCT(--ISNUMBER(SEARCH(", "&amp;$B55&amp;", ",", "&amp;'Hoạt động (Đơn của tôi)'!$B$7:$B$500&amp;", ")),--('Hoạt động (Đơn của tôi)'!$AT$7:$AT$500="N/A"))+SUMPRODUCT(--ISNUMBER(SEARCH(", "&amp;$B55&amp;", ",", "&amp;'Ghép nối'!$B$7:$B$500&amp;", ")),--('Ghép nối'!$AT$7:$AT$500="N/A"))+SUMPRODUCT(--ISNUMBER(SEARCH(", "&amp;$B55&amp;", ",", "&amp;'Huỷ đơn - Huỷ nhận đơn'!$B$7:$B$500&amp;", ")),--('Huỷ đơn - Huỷ nhận đơn'!$AT$7:$AT$500="N/A"))+SUMPRODUCT(--ISNUMBER(SEARCH(", "&amp;$B55&amp;", ",", "&amp;'Giao nhận &amp; Theo dõi đơn'!$B$7:$B$500&amp;", ")),--('Giao nhận &amp; Theo dõi đơn'!$AT$7:$AT$500="N/A"))+SUMPRODUCT(--ISNUMBER(SEARCH(", "&amp;$B55&amp;", ",", "&amp;'Bảng tin &amp; Chi tiết tin'!$B$7:$B$500&amp;", ")),--('Bảng tin &amp; Chi tiết tin'!$AT$7:$AT$500="N/A"))+SUMPRODUCT(--ISNUMBER(SEARCH(", "&amp;$B55&amp;", ",", "&amp;'Quà cảm ơn'!$B$7:$B$500&amp;", ")),--('Quà cảm ơn'!$AT$7:$AT$500="N/A"))+SUMPRODUCT(--ISNUMBER(SEARCH(", "&amp;$B55&amp;", ",", "&amp;'Trang chủ'!$B$7:$B$500&amp;", ")),--('Trang chủ'!$AT$7:$AT$500="N/A"))+SUMPRODUCT(--ISNUMBER(SEARCH(", "&amp;$B55&amp;", ",", "&amp;'Thông báo'!$B$7:$B$500&amp;", ")),--('Thông báo'!$AT$7:$AT$500="N/A"))+SUMPRODUCT(--ISNUMBER(SEARCH(", "&amp;$B55&amp;", ",", "&amp;'Đăng tin &amp; Quản lý tin'!$B$7:$B$500&amp;", ")),--('Đăng tin &amp; Quản lý tin'!$AT$7:$AT$500="N/A"))+SUMPRODUCT(--ISNUMBER(SEARCH(", "&amp;$B55&amp;", ",", "&amp;'Trust &amp; Safety'!$B$7:$B$500&amp;", ")),--('Trust &amp; Safety'!$AT$7:$AT$500="N/A"))+SUMPRODUCT(--ISNUMBER(SEARCH(", "&amp;$B55&amp;", ",", "&amp;'Tài khoản &amp; Hồ sơ'!$B$7:$B$500&amp;", ")),--('Tài khoản &amp; Hồ sơ'!$AT$7:$AT$500="N/A"))</f>
        <v>0</v>
      </c>
      <c r="K55" s="52" t="n">
        <f aca="false">IFERROR(F55/E55,0)</f>
        <v>0</v>
      </c>
      <c r="L55" s="123" t="str">
        <f aca="false">IF(E55=0,"Chưa có TC (gap)",IF(H55&gt;0,"Có lỗi (Fail)",IF(I55&gt;0,"Bị block",IF(F55&lt;E55,"Đang test",IF(G55=0,"Không áp dụng (N/A)","Đã test xong")))))</f>
        <v>Đang test</v>
      </c>
      <c r="AB55" s="1" t="s">
        <v>444</v>
      </c>
    </row>
    <row r="56" customFormat="false" ht="15.75" hidden="false" customHeight="true" outlineLevel="0" collapsed="false">
      <c r="B56" s="175" t="s">
        <v>563</v>
      </c>
      <c r="C56" s="176" t="s">
        <v>564</v>
      </c>
      <c r="D56" s="123" t="s">
        <v>565</v>
      </c>
      <c r="E56" s="51" t="n">
        <f aca="false">SUMPRODUCT(--ISNUMBER(SEARCH(", "&amp;$B56&amp;", ",", "&amp;'Hoạt động (Đơn của tôi)'!$B$7:$B$500&amp;", ")))+SUMPRODUCT(--ISNUMBER(SEARCH(", "&amp;$B56&amp;", ",", "&amp;'Ghép nối'!$B$7:$B$500&amp;", ")))+SUMPRODUCT(--ISNUMBER(SEARCH(", "&amp;$B56&amp;", ",", "&amp;'Huỷ đơn - Huỷ nhận đơn'!$B$7:$B$500&amp;", ")))+SUMPRODUCT(--ISNUMBER(SEARCH(", "&amp;$B56&amp;", ",", "&amp;'Giao nhận &amp; Theo dõi đơn'!$B$7:$B$500&amp;", ")))+SUMPRODUCT(--ISNUMBER(SEARCH(", "&amp;$B56&amp;", ",", "&amp;'Bảng tin &amp; Chi tiết tin'!$B$7:$B$500&amp;", ")))+SUMPRODUCT(--ISNUMBER(SEARCH(", "&amp;$B56&amp;", ",", "&amp;'Quà cảm ơn'!$B$7:$B$500&amp;", ")))+SUMPRODUCT(--ISNUMBER(SEARCH(", "&amp;$B56&amp;", ",", "&amp;'Trang chủ'!$B$7:$B$500&amp;", ")))+SUMPRODUCT(--ISNUMBER(SEARCH(", "&amp;$B56&amp;", ",", "&amp;'Thông báo'!$B$7:$B$500&amp;", ")))+SUMPRODUCT(--ISNUMBER(SEARCH(", "&amp;$B56&amp;", ",", "&amp;'Đăng tin &amp; Quản lý tin'!$B$7:$B$500&amp;", ")))+SUMPRODUCT(--ISNUMBER(SEARCH(", "&amp;$B56&amp;", ",", "&amp;'Trust &amp; Safety'!$B$7:$B$500&amp;", ")))+SUMPRODUCT(--ISNUMBER(SEARCH(", "&amp;$B56&amp;", ",", "&amp;'Tài khoản &amp; Hồ sơ'!$B$7:$B$500&amp;", ")))</f>
        <v>4</v>
      </c>
      <c r="F56" s="51" t="n">
        <f aca="false">SUMPRODUCT(--ISNUMBER(SEARCH(", "&amp;$B56&amp;", ",", "&amp;'Hoạt động (Đơn của tôi)'!$B$7:$B$500&amp;", ")),--('Hoạt động (Đơn của tôi)'!$AT$7:$AT$500&lt;&gt;""))+SUMPRODUCT(--ISNUMBER(SEARCH(", "&amp;$B56&amp;", ",", "&amp;'Ghép nối'!$B$7:$B$500&amp;", ")),--('Ghép nối'!$AT$7:$AT$500&lt;&gt;""))+SUMPRODUCT(--ISNUMBER(SEARCH(", "&amp;$B56&amp;", ",", "&amp;'Huỷ đơn - Huỷ nhận đơn'!$B$7:$B$500&amp;", ")),--('Huỷ đơn - Huỷ nhận đơn'!$AT$7:$AT$500&lt;&gt;""))+SUMPRODUCT(--ISNUMBER(SEARCH(", "&amp;$B56&amp;", ",", "&amp;'Giao nhận &amp; Theo dõi đơn'!$B$7:$B$500&amp;", ")),--('Giao nhận &amp; Theo dõi đơn'!$AT$7:$AT$500&lt;&gt;""))+SUMPRODUCT(--ISNUMBER(SEARCH(", "&amp;$B56&amp;", ",", "&amp;'Bảng tin &amp; Chi tiết tin'!$B$7:$B$500&amp;", ")),--('Bảng tin &amp; Chi tiết tin'!$AT$7:$AT$500&lt;&gt;""))+SUMPRODUCT(--ISNUMBER(SEARCH(", "&amp;$B56&amp;", ",", "&amp;'Quà cảm ơn'!$B$7:$B$500&amp;", ")),--('Quà cảm ơn'!$AT$7:$AT$500&lt;&gt;""))+SUMPRODUCT(--ISNUMBER(SEARCH(", "&amp;$B56&amp;", ",", "&amp;'Trang chủ'!$B$7:$B$500&amp;", ")),--('Trang chủ'!$AT$7:$AT$500&lt;&gt;""))+SUMPRODUCT(--ISNUMBER(SEARCH(", "&amp;$B56&amp;", ",", "&amp;'Thông báo'!$B$7:$B$500&amp;", ")),--('Thông báo'!$AT$7:$AT$500&lt;&gt;""))+SUMPRODUCT(--ISNUMBER(SEARCH(", "&amp;$B56&amp;", ",", "&amp;'Đăng tin &amp; Quản lý tin'!$B$7:$B$500&amp;", ")),--('Đăng tin &amp; Quản lý tin'!$AT$7:$AT$500&lt;&gt;""))+SUMPRODUCT(--ISNUMBER(SEARCH(", "&amp;$B56&amp;", ",", "&amp;'Trust &amp; Safety'!$B$7:$B$500&amp;", ")),--('Trust &amp; Safety'!$AT$7:$AT$500&lt;&gt;""))+SUMPRODUCT(--ISNUMBER(SEARCH(", "&amp;$B56&amp;", ",", "&amp;'Tài khoản &amp; Hồ sơ'!$B$7:$B$500&amp;", ")),--('Tài khoản &amp; Hồ sơ'!$AT$7:$AT$500&lt;&gt;""))</f>
        <v>0</v>
      </c>
      <c r="G56" s="51" t="n">
        <f aca="false">SUMPRODUCT(--ISNUMBER(SEARCH(", "&amp;$B56&amp;", ",", "&amp;'Hoạt động (Đơn của tôi)'!$B$7:$B$500&amp;", ")),--('Hoạt động (Đơn của tôi)'!$AT$7:$AT$500="Pass"))+SUMPRODUCT(--ISNUMBER(SEARCH(", "&amp;$B56&amp;", ",", "&amp;'Ghép nối'!$B$7:$B$500&amp;", ")),--('Ghép nối'!$AT$7:$AT$500="Pass"))+SUMPRODUCT(--ISNUMBER(SEARCH(", "&amp;$B56&amp;", ",", "&amp;'Huỷ đơn - Huỷ nhận đơn'!$B$7:$B$500&amp;", ")),--('Huỷ đơn - Huỷ nhận đơn'!$AT$7:$AT$500="Pass"))+SUMPRODUCT(--ISNUMBER(SEARCH(", "&amp;$B56&amp;", ",", "&amp;'Giao nhận &amp; Theo dõi đơn'!$B$7:$B$500&amp;", ")),--('Giao nhận &amp; Theo dõi đơn'!$AT$7:$AT$500="Pass"))+SUMPRODUCT(--ISNUMBER(SEARCH(", "&amp;$B56&amp;", ",", "&amp;'Bảng tin &amp; Chi tiết tin'!$B$7:$B$500&amp;", ")),--('Bảng tin &amp; Chi tiết tin'!$AT$7:$AT$500="Pass"))+SUMPRODUCT(--ISNUMBER(SEARCH(", "&amp;$B56&amp;", ",", "&amp;'Quà cảm ơn'!$B$7:$B$500&amp;", ")),--('Quà cảm ơn'!$AT$7:$AT$500="Pass"))+SUMPRODUCT(--ISNUMBER(SEARCH(", "&amp;$B56&amp;", ",", "&amp;'Trang chủ'!$B$7:$B$500&amp;", ")),--('Trang chủ'!$AT$7:$AT$500="Pass"))+SUMPRODUCT(--ISNUMBER(SEARCH(", "&amp;$B56&amp;", ",", "&amp;'Thông báo'!$B$7:$B$500&amp;", ")),--('Thông báo'!$AT$7:$AT$500="Pass"))+SUMPRODUCT(--ISNUMBER(SEARCH(", "&amp;$B56&amp;", ",", "&amp;'Đăng tin &amp; Quản lý tin'!$B$7:$B$500&amp;", ")),--('Đăng tin &amp; Quản lý tin'!$AT$7:$AT$500="Pass"))+SUMPRODUCT(--ISNUMBER(SEARCH(", "&amp;$B56&amp;", ",", "&amp;'Trust &amp; Safety'!$B$7:$B$500&amp;", ")),--('Trust &amp; Safety'!$AT$7:$AT$500="Pass"))+SUMPRODUCT(--ISNUMBER(SEARCH(", "&amp;$B56&amp;", ",", "&amp;'Tài khoản &amp; Hồ sơ'!$B$7:$B$500&amp;", ")),--('Tài khoản &amp; Hồ sơ'!$AT$7:$AT$500="Pass"))</f>
        <v>0</v>
      </c>
      <c r="H56" s="51" t="n">
        <f aca="false">SUMPRODUCT(--ISNUMBER(SEARCH(", "&amp;$B56&amp;", ",", "&amp;'Hoạt động (Đơn của tôi)'!$B$7:$B$500&amp;", ")),--('Hoạt động (Đơn của tôi)'!$AT$7:$AT$500="Fail"))+SUMPRODUCT(--ISNUMBER(SEARCH(", "&amp;$B56&amp;", ",", "&amp;'Ghép nối'!$B$7:$B$500&amp;", ")),--('Ghép nối'!$AT$7:$AT$500="Fail"))+SUMPRODUCT(--ISNUMBER(SEARCH(", "&amp;$B56&amp;", ",", "&amp;'Huỷ đơn - Huỷ nhận đơn'!$B$7:$B$500&amp;", ")),--('Huỷ đơn - Huỷ nhận đơn'!$AT$7:$AT$500="Fail"))+SUMPRODUCT(--ISNUMBER(SEARCH(", "&amp;$B56&amp;", ",", "&amp;'Giao nhận &amp; Theo dõi đơn'!$B$7:$B$500&amp;", ")),--('Giao nhận &amp; Theo dõi đơn'!$AT$7:$AT$500="Fail"))+SUMPRODUCT(--ISNUMBER(SEARCH(", "&amp;$B56&amp;", ",", "&amp;'Bảng tin &amp; Chi tiết tin'!$B$7:$B$500&amp;", ")),--('Bảng tin &amp; Chi tiết tin'!$AT$7:$AT$500="Fail"))+SUMPRODUCT(--ISNUMBER(SEARCH(", "&amp;$B56&amp;", ",", "&amp;'Quà cảm ơn'!$B$7:$B$500&amp;", ")),--('Quà cảm ơn'!$AT$7:$AT$500="Fail"))+SUMPRODUCT(--ISNUMBER(SEARCH(", "&amp;$B56&amp;", ",", "&amp;'Trang chủ'!$B$7:$B$500&amp;", ")),--('Trang chủ'!$AT$7:$AT$500="Fail"))+SUMPRODUCT(--ISNUMBER(SEARCH(", "&amp;$B56&amp;", ",", "&amp;'Thông báo'!$B$7:$B$500&amp;", ")),--('Thông báo'!$AT$7:$AT$500="Fail"))+SUMPRODUCT(--ISNUMBER(SEARCH(", "&amp;$B56&amp;", ",", "&amp;'Đăng tin &amp; Quản lý tin'!$B$7:$B$500&amp;", ")),--('Đăng tin &amp; Quản lý tin'!$AT$7:$AT$500="Fail"))+SUMPRODUCT(--ISNUMBER(SEARCH(", "&amp;$B56&amp;", ",", "&amp;'Trust &amp; Safety'!$B$7:$B$500&amp;", ")),--('Trust &amp; Safety'!$AT$7:$AT$500="Fail"))+SUMPRODUCT(--ISNUMBER(SEARCH(", "&amp;$B56&amp;", ",", "&amp;'Tài khoản &amp; Hồ sơ'!$B$7:$B$500&amp;", ")),--('Tài khoản &amp; Hồ sơ'!$AT$7:$AT$500="Fail"))</f>
        <v>0</v>
      </c>
      <c r="I56" s="51" t="n">
        <f aca="false">SUMPRODUCT(--ISNUMBER(SEARCH(", "&amp;$B56&amp;", ",", "&amp;'Hoạt động (Đơn của tôi)'!$B$7:$B$500&amp;", ")),--('Hoạt động (Đơn của tôi)'!$AT$7:$AT$500="Block"))+SUMPRODUCT(--ISNUMBER(SEARCH(", "&amp;$B56&amp;", ",", "&amp;'Ghép nối'!$B$7:$B$500&amp;", ")),--('Ghép nối'!$AT$7:$AT$500="Block"))+SUMPRODUCT(--ISNUMBER(SEARCH(", "&amp;$B56&amp;", ",", "&amp;'Huỷ đơn - Huỷ nhận đơn'!$B$7:$B$500&amp;", ")),--('Huỷ đơn - Huỷ nhận đơn'!$AT$7:$AT$500="Block"))+SUMPRODUCT(--ISNUMBER(SEARCH(", "&amp;$B56&amp;", ",", "&amp;'Giao nhận &amp; Theo dõi đơn'!$B$7:$B$500&amp;", ")),--('Giao nhận &amp; Theo dõi đơn'!$AT$7:$AT$500="Block"))+SUMPRODUCT(--ISNUMBER(SEARCH(", "&amp;$B56&amp;", ",", "&amp;'Bảng tin &amp; Chi tiết tin'!$B$7:$B$500&amp;", ")),--('Bảng tin &amp; Chi tiết tin'!$AT$7:$AT$500="Block"))+SUMPRODUCT(--ISNUMBER(SEARCH(", "&amp;$B56&amp;", ",", "&amp;'Quà cảm ơn'!$B$7:$B$500&amp;", ")),--('Quà cảm ơn'!$AT$7:$AT$500="Block"))+SUMPRODUCT(--ISNUMBER(SEARCH(", "&amp;$B56&amp;", ",", "&amp;'Trang chủ'!$B$7:$B$500&amp;", ")),--('Trang chủ'!$AT$7:$AT$500="Block"))+SUMPRODUCT(--ISNUMBER(SEARCH(", "&amp;$B56&amp;", ",", "&amp;'Thông báo'!$B$7:$B$500&amp;", ")),--('Thông báo'!$AT$7:$AT$500="Block"))+SUMPRODUCT(--ISNUMBER(SEARCH(", "&amp;$B56&amp;", ",", "&amp;'Đăng tin &amp; Quản lý tin'!$B$7:$B$500&amp;", ")),--('Đăng tin &amp; Quản lý tin'!$AT$7:$AT$500="Block"))+SUMPRODUCT(--ISNUMBER(SEARCH(", "&amp;$B56&amp;", ",", "&amp;'Trust &amp; Safety'!$B$7:$B$500&amp;", ")),--('Trust &amp; Safety'!$AT$7:$AT$500="Block"))+SUMPRODUCT(--ISNUMBER(SEARCH(", "&amp;$B56&amp;", ",", "&amp;'Tài khoản &amp; Hồ sơ'!$B$7:$B$500&amp;", ")),--('Tài khoản &amp; Hồ sơ'!$AT$7:$AT$500="Block"))</f>
        <v>0</v>
      </c>
      <c r="J56" s="51" t="n">
        <f aca="false">SUMPRODUCT(--ISNUMBER(SEARCH(", "&amp;$B56&amp;", ",", "&amp;'Hoạt động (Đơn của tôi)'!$B$7:$B$500&amp;", ")),--('Hoạt động (Đơn của tôi)'!$AT$7:$AT$500="N/A"))+SUMPRODUCT(--ISNUMBER(SEARCH(", "&amp;$B56&amp;", ",", "&amp;'Ghép nối'!$B$7:$B$500&amp;", ")),--('Ghép nối'!$AT$7:$AT$500="N/A"))+SUMPRODUCT(--ISNUMBER(SEARCH(", "&amp;$B56&amp;", ",", "&amp;'Huỷ đơn - Huỷ nhận đơn'!$B$7:$B$500&amp;", ")),--('Huỷ đơn - Huỷ nhận đơn'!$AT$7:$AT$500="N/A"))+SUMPRODUCT(--ISNUMBER(SEARCH(", "&amp;$B56&amp;", ",", "&amp;'Giao nhận &amp; Theo dõi đơn'!$B$7:$B$500&amp;", ")),--('Giao nhận &amp; Theo dõi đơn'!$AT$7:$AT$500="N/A"))+SUMPRODUCT(--ISNUMBER(SEARCH(", "&amp;$B56&amp;", ",", "&amp;'Bảng tin &amp; Chi tiết tin'!$B$7:$B$500&amp;", ")),--('Bảng tin &amp; Chi tiết tin'!$AT$7:$AT$500="N/A"))+SUMPRODUCT(--ISNUMBER(SEARCH(", "&amp;$B56&amp;", ",", "&amp;'Quà cảm ơn'!$B$7:$B$500&amp;", ")),--('Quà cảm ơn'!$AT$7:$AT$500="N/A"))+SUMPRODUCT(--ISNUMBER(SEARCH(", "&amp;$B56&amp;", ",", "&amp;'Trang chủ'!$B$7:$B$500&amp;", ")),--('Trang chủ'!$AT$7:$AT$500="N/A"))+SUMPRODUCT(--ISNUMBER(SEARCH(", "&amp;$B56&amp;", ",", "&amp;'Thông báo'!$B$7:$B$500&amp;", ")),--('Thông báo'!$AT$7:$AT$500="N/A"))+SUMPRODUCT(--ISNUMBER(SEARCH(", "&amp;$B56&amp;", ",", "&amp;'Đăng tin &amp; Quản lý tin'!$B$7:$B$500&amp;", ")),--('Đăng tin &amp; Quản lý tin'!$AT$7:$AT$500="N/A"))+SUMPRODUCT(--ISNUMBER(SEARCH(", "&amp;$B56&amp;", ",", "&amp;'Trust &amp; Safety'!$B$7:$B$500&amp;", ")),--('Trust &amp; Safety'!$AT$7:$AT$500="N/A"))+SUMPRODUCT(--ISNUMBER(SEARCH(", "&amp;$B56&amp;", ",", "&amp;'Tài khoản &amp; Hồ sơ'!$B$7:$B$500&amp;", ")),--('Tài khoản &amp; Hồ sơ'!$AT$7:$AT$500="N/A"))</f>
        <v>0</v>
      </c>
      <c r="K56" s="52" t="n">
        <f aca="false">IFERROR(F56/E56,0)</f>
        <v>0</v>
      </c>
      <c r="L56" s="123" t="str">
        <f aca="false">IF(E56=0,"Chưa có TC (gap)",IF(H56&gt;0,"Có lỗi (Fail)",IF(I56&gt;0,"Bị block",IF(F56&lt;E56,"Đang test",IF(G56=0,"Không áp dụng (N/A)","Đã test xong")))))</f>
        <v>Đang test</v>
      </c>
      <c r="AB56" s="1" t="s">
        <v>444</v>
      </c>
    </row>
    <row r="57" customFormat="false" ht="15.75" hidden="false" customHeight="true" outlineLevel="0" collapsed="false">
      <c r="B57" s="175" t="s">
        <v>566</v>
      </c>
      <c r="C57" s="176" t="s">
        <v>567</v>
      </c>
      <c r="D57" s="123" t="s">
        <v>568</v>
      </c>
      <c r="E57" s="51" t="n">
        <f aca="false">SUMPRODUCT(--ISNUMBER(SEARCH(", "&amp;$B57&amp;", ",", "&amp;'Hoạt động (Đơn của tôi)'!$B$7:$B$500&amp;", ")))+SUMPRODUCT(--ISNUMBER(SEARCH(", "&amp;$B57&amp;", ",", "&amp;'Ghép nối'!$B$7:$B$500&amp;", ")))+SUMPRODUCT(--ISNUMBER(SEARCH(", "&amp;$B57&amp;", ",", "&amp;'Huỷ đơn - Huỷ nhận đơn'!$B$7:$B$500&amp;", ")))+SUMPRODUCT(--ISNUMBER(SEARCH(", "&amp;$B57&amp;", ",", "&amp;'Giao nhận &amp; Theo dõi đơn'!$B$7:$B$500&amp;", ")))+SUMPRODUCT(--ISNUMBER(SEARCH(", "&amp;$B57&amp;", ",", "&amp;'Bảng tin &amp; Chi tiết tin'!$B$7:$B$500&amp;", ")))+SUMPRODUCT(--ISNUMBER(SEARCH(", "&amp;$B57&amp;", ",", "&amp;'Quà cảm ơn'!$B$7:$B$500&amp;", ")))+SUMPRODUCT(--ISNUMBER(SEARCH(", "&amp;$B57&amp;", ",", "&amp;'Trang chủ'!$B$7:$B$500&amp;", ")))+SUMPRODUCT(--ISNUMBER(SEARCH(", "&amp;$B57&amp;", ",", "&amp;'Thông báo'!$B$7:$B$500&amp;", ")))+SUMPRODUCT(--ISNUMBER(SEARCH(", "&amp;$B57&amp;", ",", "&amp;'Đăng tin &amp; Quản lý tin'!$B$7:$B$500&amp;", ")))+SUMPRODUCT(--ISNUMBER(SEARCH(", "&amp;$B57&amp;", ",", "&amp;'Trust &amp; Safety'!$B$7:$B$500&amp;", ")))+SUMPRODUCT(--ISNUMBER(SEARCH(", "&amp;$B57&amp;", ",", "&amp;'Tài khoản &amp; Hồ sơ'!$B$7:$B$500&amp;", ")))</f>
        <v>3</v>
      </c>
      <c r="F57" s="51" t="n">
        <f aca="false">SUMPRODUCT(--ISNUMBER(SEARCH(", "&amp;$B57&amp;", ",", "&amp;'Hoạt động (Đơn của tôi)'!$B$7:$B$500&amp;", ")),--('Hoạt động (Đơn của tôi)'!$AT$7:$AT$500&lt;&gt;""))+SUMPRODUCT(--ISNUMBER(SEARCH(", "&amp;$B57&amp;", ",", "&amp;'Ghép nối'!$B$7:$B$500&amp;", ")),--('Ghép nối'!$AT$7:$AT$500&lt;&gt;""))+SUMPRODUCT(--ISNUMBER(SEARCH(", "&amp;$B57&amp;", ",", "&amp;'Huỷ đơn - Huỷ nhận đơn'!$B$7:$B$500&amp;", ")),--('Huỷ đơn - Huỷ nhận đơn'!$AT$7:$AT$500&lt;&gt;""))+SUMPRODUCT(--ISNUMBER(SEARCH(", "&amp;$B57&amp;", ",", "&amp;'Giao nhận &amp; Theo dõi đơn'!$B$7:$B$500&amp;", ")),--('Giao nhận &amp; Theo dõi đơn'!$AT$7:$AT$500&lt;&gt;""))+SUMPRODUCT(--ISNUMBER(SEARCH(", "&amp;$B57&amp;", ",", "&amp;'Bảng tin &amp; Chi tiết tin'!$B$7:$B$500&amp;", ")),--('Bảng tin &amp; Chi tiết tin'!$AT$7:$AT$500&lt;&gt;""))+SUMPRODUCT(--ISNUMBER(SEARCH(", "&amp;$B57&amp;", ",", "&amp;'Quà cảm ơn'!$B$7:$B$500&amp;", ")),--('Quà cảm ơn'!$AT$7:$AT$500&lt;&gt;""))+SUMPRODUCT(--ISNUMBER(SEARCH(", "&amp;$B57&amp;", ",", "&amp;'Trang chủ'!$B$7:$B$500&amp;", ")),--('Trang chủ'!$AT$7:$AT$500&lt;&gt;""))+SUMPRODUCT(--ISNUMBER(SEARCH(", "&amp;$B57&amp;", ",", "&amp;'Thông báo'!$B$7:$B$500&amp;", ")),--('Thông báo'!$AT$7:$AT$500&lt;&gt;""))+SUMPRODUCT(--ISNUMBER(SEARCH(", "&amp;$B57&amp;", ",", "&amp;'Đăng tin &amp; Quản lý tin'!$B$7:$B$500&amp;", ")),--('Đăng tin &amp; Quản lý tin'!$AT$7:$AT$500&lt;&gt;""))+SUMPRODUCT(--ISNUMBER(SEARCH(", "&amp;$B57&amp;", ",", "&amp;'Trust &amp; Safety'!$B$7:$B$500&amp;", ")),--('Trust &amp; Safety'!$AT$7:$AT$500&lt;&gt;""))+SUMPRODUCT(--ISNUMBER(SEARCH(", "&amp;$B57&amp;", ",", "&amp;'Tài khoản &amp; Hồ sơ'!$B$7:$B$500&amp;", ")),--('Tài khoản &amp; Hồ sơ'!$AT$7:$AT$500&lt;&gt;""))</f>
        <v>0</v>
      </c>
      <c r="G57" s="51" t="n">
        <f aca="false">SUMPRODUCT(--ISNUMBER(SEARCH(", "&amp;$B57&amp;", ",", "&amp;'Hoạt động (Đơn của tôi)'!$B$7:$B$500&amp;", ")),--('Hoạt động (Đơn của tôi)'!$AT$7:$AT$500="Pass"))+SUMPRODUCT(--ISNUMBER(SEARCH(", "&amp;$B57&amp;", ",", "&amp;'Ghép nối'!$B$7:$B$500&amp;", ")),--('Ghép nối'!$AT$7:$AT$500="Pass"))+SUMPRODUCT(--ISNUMBER(SEARCH(", "&amp;$B57&amp;", ",", "&amp;'Huỷ đơn - Huỷ nhận đơn'!$B$7:$B$500&amp;", ")),--('Huỷ đơn - Huỷ nhận đơn'!$AT$7:$AT$500="Pass"))+SUMPRODUCT(--ISNUMBER(SEARCH(", "&amp;$B57&amp;", ",", "&amp;'Giao nhận &amp; Theo dõi đơn'!$B$7:$B$500&amp;", ")),--('Giao nhận &amp; Theo dõi đơn'!$AT$7:$AT$500="Pass"))+SUMPRODUCT(--ISNUMBER(SEARCH(", "&amp;$B57&amp;", ",", "&amp;'Bảng tin &amp; Chi tiết tin'!$B$7:$B$500&amp;", ")),--('Bảng tin &amp; Chi tiết tin'!$AT$7:$AT$500="Pass"))+SUMPRODUCT(--ISNUMBER(SEARCH(", "&amp;$B57&amp;", ",", "&amp;'Quà cảm ơn'!$B$7:$B$500&amp;", ")),--('Quà cảm ơn'!$AT$7:$AT$500="Pass"))+SUMPRODUCT(--ISNUMBER(SEARCH(", "&amp;$B57&amp;", ",", "&amp;'Trang chủ'!$B$7:$B$500&amp;", ")),--('Trang chủ'!$AT$7:$AT$500="Pass"))+SUMPRODUCT(--ISNUMBER(SEARCH(", "&amp;$B57&amp;", ",", "&amp;'Thông báo'!$B$7:$B$500&amp;", ")),--('Thông báo'!$AT$7:$AT$500="Pass"))+SUMPRODUCT(--ISNUMBER(SEARCH(", "&amp;$B57&amp;", ",", "&amp;'Đăng tin &amp; Quản lý tin'!$B$7:$B$500&amp;", ")),--('Đăng tin &amp; Quản lý tin'!$AT$7:$AT$500="Pass"))+SUMPRODUCT(--ISNUMBER(SEARCH(", "&amp;$B57&amp;", ",", "&amp;'Trust &amp; Safety'!$B$7:$B$500&amp;", ")),--('Trust &amp; Safety'!$AT$7:$AT$500="Pass"))+SUMPRODUCT(--ISNUMBER(SEARCH(", "&amp;$B57&amp;", ",", "&amp;'Tài khoản &amp; Hồ sơ'!$B$7:$B$500&amp;", ")),--('Tài khoản &amp; Hồ sơ'!$AT$7:$AT$500="Pass"))</f>
        <v>0</v>
      </c>
      <c r="H57" s="51" t="n">
        <f aca="false">SUMPRODUCT(--ISNUMBER(SEARCH(", "&amp;$B57&amp;", ",", "&amp;'Hoạt động (Đơn của tôi)'!$B$7:$B$500&amp;", ")),--('Hoạt động (Đơn của tôi)'!$AT$7:$AT$500="Fail"))+SUMPRODUCT(--ISNUMBER(SEARCH(", "&amp;$B57&amp;", ",", "&amp;'Ghép nối'!$B$7:$B$500&amp;", ")),--('Ghép nối'!$AT$7:$AT$500="Fail"))+SUMPRODUCT(--ISNUMBER(SEARCH(", "&amp;$B57&amp;", ",", "&amp;'Huỷ đơn - Huỷ nhận đơn'!$B$7:$B$500&amp;", ")),--('Huỷ đơn - Huỷ nhận đơn'!$AT$7:$AT$500="Fail"))+SUMPRODUCT(--ISNUMBER(SEARCH(", "&amp;$B57&amp;", ",", "&amp;'Giao nhận &amp; Theo dõi đơn'!$B$7:$B$500&amp;", ")),--('Giao nhận &amp; Theo dõi đơn'!$AT$7:$AT$500="Fail"))+SUMPRODUCT(--ISNUMBER(SEARCH(", "&amp;$B57&amp;", ",", "&amp;'Bảng tin &amp; Chi tiết tin'!$B$7:$B$500&amp;", ")),--('Bảng tin &amp; Chi tiết tin'!$AT$7:$AT$500="Fail"))+SUMPRODUCT(--ISNUMBER(SEARCH(", "&amp;$B57&amp;", ",", "&amp;'Quà cảm ơn'!$B$7:$B$500&amp;", ")),--('Quà cảm ơn'!$AT$7:$AT$500="Fail"))+SUMPRODUCT(--ISNUMBER(SEARCH(", "&amp;$B57&amp;", ",", "&amp;'Trang chủ'!$B$7:$B$500&amp;", ")),--('Trang chủ'!$AT$7:$AT$500="Fail"))+SUMPRODUCT(--ISNUMBER(SEARCH(", "&amp;$B57&amp;", ",", "&amp;'Thông báo'!$B$7:$B$500&amp;", ")),--('Thông báo'!$AT$7:$AT$500="Fail"))+SUMPRODUCT(--ISNUMBER(SEARCH(", "&amp;$B57&amp;", ",", "&amp;'Đăng tin &amp; Quản lý tin'!$B$7:$B$500&amp;", ")),--('Đăng tin &amp; Quản lý tin'!$AT$7:$AT$500="Fail"))+SUMPRODUCT(--ISNUMBER(SEARCH(", "&amp;$B57&amp;", ",", "&amp;'Trust &amp; Safety'!$B$7:$B$500&amp;", ")),--('Trust &amp; Safety'!$AT$7:$AT$500="Fail"))+SUMPRODUCT(--ISNUMBER(SEARCH(", "&amp;$B57&amp;", ",", "&amp;'Tài khoản &amp; Hồ sơ'!$B$7:$B$500&amp;", ")),--('Tài khoản &amp; Hồ sơ'!$AT$7:$AT$500="Fail"))</f>
        <v>0</v>
      </c>
      <c r="I57" s="51" t="n">
        <f aca="false">SUMPRODUCT(--ISNUMBER(SEARCH(", "&amp;$B57&amp;", ",", "&amp;'Hoạt động (Đơn của tôi)'!$B$7:$B$500&amp;", ")),--('Hoạt động (Đơn của tôi)'!$AT$7:$AT$500="Block"))+SUMPRODUCT(--ISNUMBER(SEARCH(", "&amp;$B57&amp;", ",", "&amp;'Ghép nối'!$B$7:$B$500&amp;", ")),--('Ghép nối'!$AT$7:$AT$500="Block"))+SUMPRODUCT(--ISNUMBER(SEARCH(", "&amp;$B57&amp;", ",", "&amp;'Huỷ đơn - Huỷ nhận đơn'!$B$7:$B$500&amp;", ")),--('Huỷ đơn - Huỷ nhận đơn'!$AT$7:$AT$500="Block"))+SUMPRODUCT(--ISNUMBER(SEARCH(", "&amp;$B57&amp;", ",", "&amp;'Giao nhận &amp; Theo dõi đơn'!$B$7:$B$500&amp;", ")),--('Giao nhận &amp; Theo dõi đơn'!$AT$7:$AT$500="Block"))+SUMPRODUCT(--ISNUMBER(SEARCH(", "&amp;$B57&amp;", ",", "&amp;'Bảng tin &amp; Chi tiết tin'!$B$7:$B$500&amp;", ")),--('Bảng tin &amp; Chi tiết tin'!$AT$7:$AT$500="Block"))+SUMPRODUCT(--ISNUMBER(SEARCH(", "&amp;$B57&amp;", ",", "&amp;'Quà cảm ơn'!$B$7:$B$500&amp;", ")),--('Quà cảm ơn'!$AT$7:$AT$500="Block"))+SUMPRODUCT(--ISNUMBER(SEARCH(", "&amp;$B57&amp;", ",", "&amp;'Trang chủ'!$B$7:$B$500&amp;", ")),--('Trang chủ'!$AT$7:$AT$500="Block"))+SUMPRODUCT(--ISNUMBER(SEARCH(", "&amp;$B57&amp;", ",", "&amp;'Thông báo'!$B$7:$B$500&amp;", ")),--('Thông báo'!$AT$7:$AT$500="Block"))+SUMPRODUCT(--ISNUMBER(SEARCH(", "&amp;$B57&amp;", ",", "&amp;'Đăng tin &amp; Quản lý tin'!$B$7:$B$500&amp;", ")),--('Đăng tin &amp; Quản lý tin'!$AT$7:$AT$500="Block"))+SUMPRODUCT(--ISNUMBER(SEARCH(", "&amp;$B57&amp;", ",", "&amp;'Trust &amp; Safety'!$B$7:$B$500&amp;", ")),--('Trust &amp; Safety'!$AT$7:$AT$500="Block"))+SUMPRODUCT(--ISNUMBER(SEARCH(", "&amp;$B57&amp;", ",", "&amp;'Tài khoản &amp; Hồ sơ'!$B$7:$B$500&amp;", ")),--('Tài khoản &amp; Hồ sơ'!$AT$7:$AT$500="Block"))</f>
        <v>0</v>
      </c>
      <c r="J57" s="51" t="n">
        <f aca="false">SUMPRODUCT(--ISNUMBER(SEARCH(", "&amp;$B57&amp;", ",", "&amp;'Hoạt động (Đơn của tôi)'!$B$7:$B$500&amp;", ")),--('Hoạt động (Đơn của tôi)'!$AT$7:$AT$500="N/A"))+SUMPRODUCT(--ISNUMBER(SEARCH(", "&amp;$B57&amp;", ",", "&amp;'Ghép nối'!$B$7:$B$500&amp;", ")),--('Ghép nối'!$AT$7:$AT$500="N/A"))+SUMPRODUCT(--ISNUMBER(SEARCH(", "&amp;$B57&amp;", ",", "&amp;'Huỷ đơn - Huỷ nhận đơn'!$B$7:$B$500&amp;", ")),--('Huỷ đơn - Huỷ nhận đơn'!$AT$7:$AT$500="N/A"))+SUMPRODUCT(--ISNUMBER(SEARCH(", "&amp;$B57&amp;", ",", "&amp;'Giao nhận &amp; Theo dõi đơn'!$B$7:$B$500&amp;", ")),--('Giao nhận &amp; Theo dõi đơn'!$AT$7:$AT$500="N/A"))+SUMPRODUCT(--ISNUMBER(SEARCH(", "&amp;$B57&amp;", ",", "&amp;'Bảng tin &amp; Chi tiết tin'!$B$7:$B$500&amp;", ")),--('Bảng tin &amp; Chi tiết tin'!$AT$7:$AT$500="N/A"))+SUMPRODUCT(--ISNUMBER(SEARCH(", "&amp;$B57&amp;", ",", "&amp;'Quà cảm ơn'!$B$7:$B$500&amp;", ")),--('Quà cảm ơn'!$AT$7:$AT$500="N/A"))+SUMPRODUCT(--ISNUMBER(SEARCH(", "&amp;$B57&amp;", ",", "&amp;'Trang chủ'!$B$7:$B$500&amp;", ")),--('Trang chủ'!$AT$7:$AT$500="N/A"))+SUMPRODUCT(--ISNUMBER(SEARCH(", "&amp;$B57&amp;", ",", "&amp;'Thông báo'!$B$7:$B$500&amp;", ")),--('Thông báo'!$AT$7:$AT$500="N/A"))+SUMPRODUCT(--ISNUMBER(SEARCH(", "&amp;$B57&amp;", ",", "&amp;'Đăng tin &amp; Quản lý tin'!$B$7:$B$500&amp;", ")),--('Đăng tin &amp; Quản lý tin'!$AT$7:$AT$500="N/A"))+SUMPRODUCT(--ISNUMBER(SEARCH(", "&amp;$B57&amp;", ",", "&amp;'Trust &amp; Safety'!$B$7:$B$500&amp;", ")),--('Trust &amp; Safety'!$AT$7:$AT$500="N/A"))+SUMPRODUCT(--ISNUMBER(SEARCH(", "&amp;$B57&amp;", ",", "&amp;'Tài khoản &amp; Hồ sơ'!$B$7:$B$500&amp;", ")),--('Tài khoản &amp; Hồ sơ'!$AT$7:$AT$500="N/A"))</f>
        <v>0</v>
      </c>
      <c r="K57" s="52" t="n">
        <f aca="false">IFERROR(F57/E57,0)</f>
        <v>0</v>
      </c>
      <c r="L57" s="123" t="str">
        <f aca="false">IF(E57=0,"Chưa có TC (gap)",IF(H57&gt;0,"Có lỗi (Fail)",IF(I57&gt;0,"Bị block",IF(F57&lt;E57,"Đang test",IF(G57=0,"Không áp dụng (N/A)","Đã test xong")))))</f>
        <v>Đang test</v>
      </c>
      <c r="AB57" s="1" t="s">
        <v>444</v>
      </c>
    </row>
    <row r="58" customFormat="false" ht="15.75" hidden="false" customHeight="true" outlineLevel="0" collapsed="false">
      <c r="B58" s="175" t="s">
        <v>569</v>
      </c>
      <c r="C58" s="176" t="s">
        <v>570</v>
      </c>
      <c r="D58" s="123" t="s">
        <v>571</v>
      </c>
      <c r="E58" s="51" t="n">
        <f aca="false">SUMPRODUCT(--ISNUMBER(SEARCH(", "&amp;$B58&amp;", ",", "&amp;'Hoạt động (Đơn của tôi)'!$B$7:$B$500&amp;", ")))+SUMPRODUCT(--ISNUMBER(SEARCH(", "&amp;$B58&amp;", ",", "&amp;'Ghép nối'!$B$7:$B$500&amp;", ")))+SUMPRODUCT(--ISNUMBER(SEARCH(", "&amp;$B58&amp;", ",", "&amp;'Huỷ đơn - Huỷ nhận đơn'!$B$7:$B$500&amp;", ")))+SUMPRODUCT(--ISNUMBER(SEARCH(", "&amp;$B58&amp;", ",", "&amp;'Giao nhận &amp; Theo dõi đơn'!$B$7:$B$500&amp;", ")))+SUMPRODUCT(--ISNUMBER(SEARCH(", "&amp;$B58&amp;", ",", "&amp;'Bảng tin &amp; Chi tiết tin'!$B$7:$B$500&amp;", ")))+SUMPRODUCT(--ISNUMBER(SEARCH(", "&amp;$B58&amp;", ",", "&amp;'Quà cảm ơn'!$B$7:$B$500&amp;", ")))+SUMPRODUCT(--ISNUMBER(SEARCH(", "&amp;$B58&amp;", ",", "&amp;'Trang chủ'!$B$7:$B$500&amp;", ")))+SUMPRODUCT(--ISNUMBER(SEARCH(", "&amp;$B58&amp;", ",", "&amp;'Thông báo'!$B$7:$B$500&amp;", ")))+SUMPRODUCT(--ISNUMBER(SEARCH(", "&amp;$B58&amp;", ",", "&amp;'Đăng tin &amp; Quản lý tin'!$B$7:$B$500&amp;", ")))+SUMPRODUCT(--ISNUMBER(SEARCH(", "&amp;$B58&amp;", ",", "&amp;'Trust &amp; Safety'!$B$7:$B$500&amp;", ")))+SUMPRODUCT(--ISNUMBER(SEARCH(", "&amp;$B58&amp;", ",", "&amp;'Tài khoản &amp; Hồ sơ'!$B$7:$B$500&amp;", ")))</f>
        <v>1</v>
      </c>
      <c r="F58" s="51" t="n">
        <f aca="false">SUMPRODUCT(--ISNUMBER(SEARCH(", "&amp;$B58&amp;", ",", "&amp;'Hoạt động (Đơn của tôi)'!$B$7:$B$500&amp;", ")),--('Hoạt động (Đơn của tôi)'!$AT$7:$AT$500&lt;&gt;""))+SUMPRODUCT(--ISNUMBER(SEARCH(", "&amp;$B58&amp;", ",", "&amp;'Ghép nối'!$B$7:$B$500&amp;", ")),--('Ghép nối'!$AT$7:$AT$500&lt;&gt;""))+SUMPRODUCT(--ISNUMBER(SEARCH(", "&amp;$B58&amp;", ",", "&amp;'Huỷ đơn - Huỷ nhận đơn'!$B$7:$B$500&amp;", ")),--('Huỷ đơn - Huỷ nhận đơn'!$AT$7:$AT$500&lt;&gt;""))+SUMPRODUCT(--ISNUMBER(SEARCH(", "&amp;$B58&amp;", ",", "&amp;'Giao nhận &amp; Theo dõi đơn'!$B$7:$B$500&amp;", ")),--('Giao nhận &amp; Theo dõi đơn'!$AT$7:$AT$500&lt;&gt;""))+SUMPRODUCT(--ISNUMBER(SEARCH(", "&amp;$B58&amp;", ",", "&amp;'Bảng tin &amp; Chi tiết tin'!$B$7:$B$500&amp;", ")),--('Bảng tin &amp; Chi tiết tin'!$AT$7:$AT$500&lt;&gt;""))+SUMPRODUCT(--ISNUMBER(SEARCH(", "&amp;$B58&amp;", ",", "&amp;'Quà cảm ơn'!$B$7:$B$500&amp;", ")),--('Quà cảm ơn'!$AT$7:$AT$500&lt;&gt;""))+SUMPRODUCT(--ISNUMBER(SEARCH(", "&amp;$B58&amp;", ",", "&amp;'Trang chủ'!$B$7:$B$500&amp;", ")),--('Trang chủ'!$AT$7:$AT$500&lt;&gt;""))+SUMPRODUCT(--ISNUMBER(SEARCH(", "&amp;$B58&amp;", ",", "&amp;'Thông báo'!$B$7:$B$500&amp;", ")),--('Thông báo'!$AT$7:$AT$500&lt;&gt;""))+SUMPRODUCT(--ISNUMBER(SEARCH(", "&amp;$B58&amp;", ",", "&amp;'Đăng tin &amp; Quản lý tin'!$B$7:$B$500&amp;", ")),--('Đăng tin &amp; Quản lý tin'!$AT$7:$AT$500&lt;&gt;""))+SUMPRODUCT(--ISNUMBER(SEARCH(", "&amp;$B58&amp;", ",", "&amp;'Trust &amp; Safety'!$B$7:$B$500&amp;", ")),--('Trust &amp; Safety'!$AT$7:$AT$500&lt;&gt;""))+SUMPRODUCT(--ISNUMBER(SEARCH(", "&amp;$B58&amp;", ",", "&amp;'Tài khoản &amp; Hồ sơ'!$B$7:$B$500&amp;", ")),--('Tài khoản &amp; Hồ sơ'!$AT$7:$AT$500&lt;&gt;""))</f>
        <v>0</v>
      </c>
      <c r="G58" s="51" t="n">
        <f aca="false">SUMPRODUCT(--ISNUMBER(SEARCH(", "&amp;$B58&amp;", ",", "&amp;'Hoạt động (Đơn của tôi)'!$B$7:$B$500&amp;", ")),--('Hoạt động (Đơn của tôi)'!$AT$7:$AT$500="Pass"))+SUMPRODUCT(--ISNUMBER(SEARCH(", "&amp;$B58&amp;", ",", "&amp;'Ghép nối'!$B$7:$B$500&amp;", ")),--('Ghép nối'!$AT$7:$AT$500="Pass"))+SUMPRODUCT(--ISNUMBER(SEARCH(", "&amp;$B58&amp;", ",", "&amp;'Huỷ đơn - Huỷ nhận đơn'!$B$7:$B$500&amp;", ")),--('Huỷ đơn - Huỷ nhận đơn'!$AT$7:$AT$500="Pass"))+SUMPRODUCT(--ISNUMBER(SEARCH(", "&amp;$B58&amp;", ",", "&amp;'Giao nhận &amp; Theo dõi đơn'!$B$7:$B$500&amp;", ")),--('Giao nhận &amp; Theo dõi đơn'!$AT$7:$AT$500="Pass"))+SUMPRODUCT(--ISNUMBER(SEARCH(", "&amp;$B58&amp;", ",", "&amp;'Bảng tin &amp; Chi tiết tin'!$B$7:$B$500&amp;", ")),--('Bảng tin &amp; Chi tiết tin'!$AT$7:$AT$500="Pass"))+SUMPRODUCT(--ISNUMBER(SEARCH(", "&amp;$B58&amp;", ",", "&amp;'Quà cảm ơn'!$B$7:$B$500&amp;", ")),--('Quà cảm ơn'!$AT$7:$AT$500="Pass"))+SUMPRODUCT(--ISNUMBER(SEARCH(", "&amp;$B58&amp;", ",", "&amp;'Trang chủ'!$B$7:$B$500&amp;", ")),--('Trang chủ'!$AT$7:$AT$500="Pass"))+SUMPRODUCT(--ISNUMBER(SEARCH(", "&amp;$B58&amp;", ",", "&amp;'Thông báo'!$B$7:$B$500&amp;", ")),--('Thông báo'!$AT$7:$AT$500="Pass"))+SUMPRODUCT(--ISNUMBER(SEARCH(", "&amp;$B58&amp;", ",", "&amp;'Đăng tin &amp; Quản lý tin'!$B$7:$B$500&amp;", ")),--('Đăng tin &amp; Quản lý tin'!$AT$7:$AT$500="Pass"))+SUMPRODUCT(--ISNUMBER(SEARCH(", "&amp;$B58&amp;", ",", "&amp;'Trust &amp; Safety'!$B$7:$B$500&amp;", ")),--('Trust &amp; Safety'!$AT$7:$AT$500="Pass"))+SUMPRODUCT(--ISNUMBER(SEARCH(", "&amp;$B58&amp;", ",", "&amp;'Tài khoản &amp; Hồ sơ'!$B$7:$B$500&amp;", ")),--('Tài khoản &amp; Hồ sơ'!$AT$7:$AT$500="Pass"))</f>
        <v>0</v>
      </c>
      <c r="H58" s="51" t="n">
        <f aca="false">SUMPRODUCT(--ISNUMBER(SEARCH(", "&amp;$B58&amp;", ",", "&amp;'Hoạt động (Đơn của tôi)'!$B$7:$B$500&amp;", ")),--('Hoạt động (Đơn của tôi)'!$AT$7:$AT$500="Fail"))+SUMPRODUCT(--ISNUMBER(SEARCH(", "&amp;$B58&amp;", ",", "&amp;'Ghép nối'!$B$7:$B$500&amp;", ")),--('Ghép nối'!$AT$7:$AT$500="Fail"))+SUMPRODUCT(--ISNUMBER(SEARCH(", "&amp;$B58&amp;", ",", "&amp;'Huỷ đơn - Huỷ nhận đơn'!$B$7:$B$500&amp;", ")),--('Huỷ đơn - Huỷ nhận đơn'!$AT$7:$AT$500="Fail"))+SUMPRODUCT(--ISNUMBER(SEARCH(", "&amp;$B58&amp;", ",", "&amp;'Giao nhận &amp; Theo dõi đơn'!$B$7:$B$500&amp;", ")),--('Giao nhận &amp; Theo dõi đơn'!$AT$7:$AT$500="Fail"))+SUMPRODUCT(--ISNUMBER(SEARCH(", "&amp;$B58&amp;", ",", "&amp;'Bảng tin &amp; Chi tiết tin'!$B$7:$B$500&amp;", ")),--('Bảng tin &amp; Chi tiết tin'!$AT$7:$AT$500="Fail"))+SUMPRODUCT(--ISNUMBER(SEARCH(", "&amp;$B58&amp;", ",", "&amp;'Quà cảm ơn'!$B$7:$B$500&amp;", ")),--('Quà cảm ơn'!$AT$7:$AT$500="Fail"))+SUMPRODUCT(--ISNUMBER(SEARCH(", "&amp;$B58&amp;", ",", "&amp;'Trang chủ'!$B$7:$B$500&amp;", ")),--('Trang chủ'!$AT$7:$AT$500="Fail"))+SUMPRODUCT(--ISNUMBER(SEARCH(", "&amp;$B58&amp;", ",", "&amp;'Thông báo'!$B$7:$B$500&amp;", ")),--('Thông báo'!$AT$7:$AT$500="Fail"))+SUMPRODUCT(--ISNUMBER(SEARCH(", "&amp;$B58&amp;", ",", "&amp;'Đăng tin &amp; Quản lý tin'!$B$7:$B$500&amp;", ")),--('Đăng tin &amp; Quản lý tin'!$AT$7:$AT$500="Fail"))+SUMPRODUCT(--ISNUMBER(SEARCH(", "&amp;$B58&amp;", ",", "&amp;'Trust &amp; Safety'!$B$7:$B$500&amp;", ")),--('Trust &amp; Safety'!$AT$7:$AT$500="Fail"))+SUMPRODUCT(--ISNUMBER(SEARCH(", "&amp;$B58&amp;", ",", "&amp;'Tài khoản &amp; Hồ sơ'!$B$7:$B$500&amp;", ")),--('Tài khoản &amp; Hồ sơ'!$AT$7:$AT$500="Fail"))</f>
        <v>0</v>
      </c>
      <c r="I58" s="51" t="n">
        <f aca="false">SUMPRODUCT(--ISNUMBER(SEARCH(", "&amp;$B58&amp;", ",", "&amp;'Hoạt động (Đơn của tôi)'!$B$7:$B$500&amp;", ")),--('Hoạt động (Đơn của tôi)'!$AT$7:$AT$500="Block"))+SUMPRODUCT(--ISNUMBER(SEARCH(", "&amp;$B58&amp;", ",", "&amp;'Ghép nối'!$B$7:$B$500&amp;", ")),--('Ghép nối'!$AT$7:$AT$500="Block"))+SUMPRODUCT(--ISNUMBER(SEARCH(", "&amp;$B58&amp;", ",", "&amp;'Huỷ đơn - Huỷ nhận đơn'!$B$7:$B$500&amp;", ")),--('Huỷ đơn - Huỷ nhận đơn'!$AT$7:$AT$500="Block"))+SUMPRODUCT(--ISNUMBER(SEARCH(", "&amp;$B58&amp;", ",", "&amp;'Giao nhận &amp; Theo dõi đơn'!$B$7:$B$500&amp;", ")),--('Giao nhận &amp; Theo dõi đơn'!$AT$7:$AT$500="Block"))+SUMPRODUCT(--ISNUMBER(SEARCH(", "&amp;$B58&amp;", ",", "&amp;'Bảng tin &amp; Chi tiết tin'!$B$7:$B$500&amp;", ")),--('Bảng tin &amp; Chi tiết tin'!$AT$7:$AT$500="Block"))+SUMPRODUCT(--ISNUMBER(SEARCH(", "&amp;$B58&amp;", ",", "&amp;'Quà cảm ơn'!$B$7:$B$500&amp;", ")),--('Quà cảm ơn'!$AT$7:$AT$500="Block"))+SUMPRODUCT(--ISNUMBER(SEARCH(", "&amp;$B58&amp;", ",", "&amp;'Trang chủ'!$B$7:$B$500&amp;", ")),--('Trang chủ'!$AT$7:$AT$500="Block"))+SUMPRODUCT(--ISNUMBER(SEARCH(", "&amp;$B58&amp;", ",", "&amp;'Thông báo'!$B$7:$B$500&amp;", ")),--('Thông báo'!$AT$7:$AT$500="Block"))+SUMPRODUCT(--ISNUMBER(SEARCH(", "&amp;$B58&amp;", ",", "&amp;'Đăng tin &amp; Quản lý tin'!$B$7:$B$500&amp;", ")),--('Đăng tin &amp; Quản lý tin'!$AT$7:$AT$500="Block"))+SUMPRODUCT(--ISNUMBER(SEARCH(", "&amp;$B58&amp;", ",", "&amp;'Trust &amp; Safety'!$B$7:$B$500&amp;", ")),--('Trust &amp; Safety'!$AT$7:$AT$500="Block"))+SUMPRODUCT(--ISNUMBER(SEARCH(", "&amp;$B58&amp;", ",", "&amp;'Tài khoản &amp; Hồ sơ'!$B$7:$B$500&amp;", ")),--('Tài khoản &amp; Hồ sơ'!$AT$7:$AT$500="Block"))</f>
        <v>0</v>
      </c>
      <c r="J58" s="51" t="n">
        <f aca="false">SUMPRODUCT(--ISNUMBER(SEARCH(", "&amp;$B58&amp;", ",", "&amp;'Hoạt động (Đơn của tôi)'!$B$7:$B$500&amp;", ")),--('Hoạt động (Đơn của tôi)'!$AT$7:$AT$500="N/A"))+SUMPRODUCT(--ISNUMBER(SEARCH(", "&amp;$B58&amp;", ",", "&amp;'Ghép nối'!$B$7:$B$500&amp;", ")),--('Ghép nối'!$AT$7:$AT$500="N/A"))+SUMPRODUCT(--ISNUMBER(SEARCH(", "&amp;$B58&amp;", ",", "&amp;'Huỷ đơn - Huỷ nhận đơn'!$B$7:$B$500&amp;", ")),--('Huỷ đơn - Huỷ nhận đơn'!$AT$7:$AT$500="N/A"))+SUMPRODUCT(--ISNUMBER(SEARCH(", "&amp;$B58&amp;", ",", "&amp;'Giao nhận &amp; Theo dõi đơn'!$B$7:$B$500&amp;", ")),--('Giao nhận &amp; Theo dõi đơn'!$AT$7:$AT$500="N/A"))+SUMPRODUCT(--ISNUMBER(SEARCH(", "&amp;$B58&amp;", ",", "&amp;'Bảng tin &amp; Chi tiết tin'!$B$7:$B$500&amp;", ")),--('Bảng tin &amp; Chi tiết tin'!$AT$7:$AT$500="N/A"))+SUMPRODUCT(--ISNUMBER(SEARCH(", "&amp;$B58&amp;", ",", "&amp;'Quà cảm ơn'!$B$7:$B$500&amp;", ")),--('Quà cảm ơn'!$AT$7:$AT$500="N/A"))+SUMPRODUCT(--ISNUMBER(SEARCH(", "&amp;$B58&amp;", ",", "&amp;'Trang chủ'!$B$7:$B$500&amp;", ")),--('Trang chủ'!$AT$7:$AT$500="N/A"))+SUMPRODUCT(--ISNUMBER(SEARCH(", "&amp;$B58&amp;", ",", "&amp;'Thông báo'!$B$7:$B$500&amp;", ")),--('Thông báo'!$AT$7:$AT$500="N/A"))+SUMPRODUCT(--ISNUMBER(SEARCH(", "&amp;$B58&amp;", ",", "&amp;'Đăng tin &amp; Quản lý tin'!$B$7:$B$500&amp;", ")),--('Đăng tin &amp; Quản lý tin'!$AT$7:$AT$500="N/A"))+SUMPRODUCT(--ISNUMBER(SEARCH(", "&amp;$B58&amp;", ",", "&amp;'Trust &amp; Safety'!$B$7:$B$500&amp;", ")),--('Trust &amp; Safety'!$AT$7:$AT$500="N/A"))+SUMPRODUCT(--ISNUMBER(SEARCH(", "&amp;$B58&amp;", ",", "&amp;'Tài khoản &amp; Hồ sơ'!$B$7:$B$500&amp;", ")),--('Tài khoản &amp; Hồ sơ'!$AT$7:$AT$500="N/A"))</f>
        <v>0</v>
      </c>
      <c r="K58" s="52" t="n">
        <f aca="false">IFERROR(F58/E58,0)</f>
        <v>0</v>
      </c>
      <c r="L58" s="123" t="str">
        <f aca="false">IF(E58=0,"Chưa có TC (gap)",IF(H58&gt;0,"Có lỗi (Fail)",IF(I58&gt;0,"Bị block",IF(F58&lt;E58,"Đang test",IF(G58=0,"Không áp dụng (N/A)","Đã test xong")))))</f>
        <v>Đang test</v>
      </c>
      <c r="AB58" s="1" t="s">
        <v>444</v>
      </c>
    </row>
    <row r="59" customFormat="false" ht="15.75" hidden="false" customHeight="true" outlineLevel="0" collapsed="false">
      <c r="B59" s="175" t="s">
        <v>572</v>
      </c>
      <c r="C59" s="176" t="s">
        <v>573</v>
      </c>
      <c r="D59" s="123" t="s">
        <v>574</v>
      </c>
      <c r="E59" s="51" t="n">
        <f aca="false">SUMPRODUCT(--ISNUMBER(SEARCH(", "&amp;$B59&amp;", ",", "&amp;'Hoạt động (Đơn của tôi)'!$B$7:$B$500&amp;", ")))+SUMPRODUCT(--ISNUMBER(SEARCH(", "&amp;$B59&amp;", ",", "&amp;'Ghép nối'!$B$7:$B$500&amp;", ")))+SUMPRODUCT(--ISNUMBER(SEARCH(", "&amp;$B59&amp;", ",", "&amp;'Huỷ đơn - Huỷ nhận đơn'!$B$7:$B$500&amp;", ")))+SUMPRODUCT(--ISNUMBER(SEARCH(", "&amp;$B59&amp;", ",", "&amp;'Giao nhận &amp; Theo dõi đơn'!$B$7:$B$500&amp;", ")))+SUMPRODUCT(--ISNUMBER(SEARCH(", "&amp;$B59&amp;", ",", "&amp;'Bảng tin &amp; Chi tiết tin'!$B$7:$B$500&amp;", ")))+SUMPRODUCT(--ISNUMBER(SEARCH(", "&amp;$B59&amp;", ",", "&amp;'Quà cảm ơn'!$B$7:$B$500&amp;", ")))+SUMPRODUCT(--ISNUMBER(SEARCH(", "&amp;$B59&amp;", ",", "&amp;'Trang chủ'!$B$7:$B$500&amp;", ")))+SUMPRODUCT(--ISNUMBER(SEARCH(", "&amp;$B59&amp;", ",", "&amp;'Thông báo'!$B$7:$B$500&amp;", ")))+SUMPRODUCT(--ISNUMBER(SEARCH(", "&amp;$B59&amp;", ",", "&amp;'Đăng tin &amp; Quản lý tin'!$B$7:$B$500&amp;", ")))+SUMPRODUCT(--ISNUMBER(SEARCH(", "&amp;$B59&amp;", ",", "&amp;'Trust &amp; Safety'!$B$7:$B$500&amp;", ")))+SUMPRODUCT(--ISNUMBER(SEARCH(", "&amp;$B59&amp;", ",", "&amp;'Tài khoản &amp; Hồ sơ'!$B$7:$B$500&amp;", ")))</f>
        <v>1</v>
      </c>
      <c r="F59" s="51" t="n">
        <f aca="false">SUMPRODUCT(--ISNUMBER(SEARCH(", "&amp;$B59&amp;", ",", "&amp;'Hoạt động (Đơn của tôi)'!$B$7:$B$500&amp;", ")),--('Hoạt động (Đơn của tôi)'!$AT$7:$AT$500&lt;&gt;""))+SUMPRODUCT(--ISNUMBER(SEARCH(", "&amp;$B59&amp;", ",", "&amp;'Ghép nối'!$B$7:$B$500&amp;", ")),--('Ghép nối'!$AT$7:$AT$500&lt;&gt;""))+SUMPRODUCT(--ISNUMBER(SEARCH(", "&amp;$B59&amp;", ",", "&amp;'Huỷ đơn - Huỷ nhận đơn'!$B$7:$B$500&amp;", ")),--('Huỷ đơn - Huỷ nhận đơn'!$AT$7:$AT$500&lt;&gt;""))+SUMPRODUCT(--ISNUMBER(SEARCH(", "&amp;$B59&amp;", ",", "&amp;'Giao nhận &amp; Theo dõi đơn'!$B$7:$B$500&amp;", ")),--('Giao nhận &amp; Theo dõi đơn'!$AT$7:$AT$500&lt;&gt;""))+SUMPRODUCT(--ISNUMBER(SEARCH(", "&amp;$B59&amp;", ",", "&amp;'Bảng tin &amp; Chi tiết tin'!$B$7:$B$500&amp;", ")),--('Bảng tin &amp; Chi tiết tin'!$AT$7:$AT$500&lt;&gt;""))+SUMPRODUCT(--ISNUMBER(SEARCH(", "&amp;$B59&amp;", ",", "&amp;'Quà cảm ơn'!$B$7:$B$500&amp;", ")),--('Quà cảm ơn'!$AT$7:$AT$500&lt;&gt;""))+SUMPRODUCT(--ISNUMBER(SEARCH(", "&amp;$B59&amp;", ",", "&amp;'Trang chủ'!$B$7:$B$500&amp;", ")),--('Trang chủ'!$AT$7:$AT$500&lt;&gt;""))+SUMPRODUCT(--ISNUMBER(SEARCH(", "&amp;$B59&amp;", ",", "&amp;'Thông báo'!$B$7:$B$500&amp;", ")),--('Thông báo'!$AT$7:$AT$500&lt;&gt;""))+SUMPRODUCT(--ISNUMBER(SEARCH(", "&amp;$B59&amp;", ",", "&amp;'Đăng tin &amp; Quản lý tin'!$B$7:$B$500&amp;", ")),--('Đăng tin &amp; Quản lý tin'!$AT$7:$AT$500&lt;&gt;""))+SUMPRODUCT(--ISNUMBER(SEARCH(", "&amp;$B59&amp;", ",", "&amp;'Trust &amp; Safety'!$B$7:$B$500&amp;", ")),--('Trust &amp; Safety'!$AT$7:$AT$500&lt;&gt;""))+SUMPRODUCT(--ISNUMBER(SEARCH(", "&amp;$B59&amp;", ",", "&amp;'Tài khoản &amp; Hồ sơ'!$B$7:$B$500&amp;", ")),--('Tài khoản &amp; Hồ sơ'!$AT$7:$AT$500&lt;&gt;""))</f>
        <v>0</v>
      </c>
      <c r="G59" s="51" t="n">
        <f aca="false">SUMPRODUCT(--ISNUMBER(SEARCH(", "&amp;$B59&amp;", ",", "&amp;'Hoạt động (Đơn của tôi)'!$B$7:$B$500&amp;", ")),--('Hoạt động (Đơn của tôi)'!$AT$7:$AT$500="Pass"))+SUMPRODUCT(--ISNUMBER(SEARCH(", "&amp;$B59&amp;", ",", "&amp;'Ghép nối'!$B$7:$B$500&amp;", ")),--('Ghép nối'!$AT$7:$AT$500="Pass"))+SUMPRODUCT(--ISNUMBER(SEARCH(", "&amp;$B59&amp;", ",", "&amp;'Huỷ đơn - Huỷ nhận đơn'!$B$7:$B$500&amp;", ")),--('Huỷ đơn - Huỷ nhận đơn'!$AT$7:$AT$500="Pass"))+SUMPRODUCT(--ISNUMBER(SEARCH(", "&amp;$B59&amp;", ",", "&amp;'Giao nhận &amp; Theo dõi đơn'!$B$7:$B$500&amp;", ")),--('Giao nhận &amp; Theo dõi đơn'!$AT$7:$AT$500="Pass"))+SUMPRODUCT(--ISNUMBER(SEARCH(", "&amp;$B59&amp;", ",", "&amp;'Bảng tin &amp; Chi tiết tin'!$B$7:$B$500&amp;", ")),--('Bảng tin &amp; Chi tiết tin'!$AT$7:$AT$500="Pass"))+SUMPRODUCT(--ISNUMBER(SEARCH(", "&amp;$B59&amp;", ",", "&amp;'Quà cảm ơn'!$B$7:$B$500&amp;", ")),--('Quà cảm ơn'!$AT$7:$AT$500="Pass"))+SUMPRODUCT(--ISNUMBER(SEARCH(", "&amp;$B59&amp;", ",", "&amp;'Trang chủ'!$B$7:$B$500&amp;", ")),--('Trang chủ'!$AT$7:$AT$500="Pass"))+SUMPRODUCT(--ISNUMBER(SEARCH(", "&amp;$B59&amp;", ",", "&amp;'Thông báo'!$B$7:$B$500&amp;", ")),--('Thông báo'!$AT$7:$AT$500="Pass"))+SUMPRODUCT(--ISNUMBER(SEARCH(", "&amp;$B59&amp;", ",", "&amp;'Đăng tin &amp; Quản lý tin'!$B$7:$B$500&amp;", ")),--('Đăng tin &amp; Quản lý tin'!$AT$7:$AT$500="Pass"))+SUMPRODUCT(--ISNUMBER(SEARCH(", "&amp;$B59&amp;", ",", "&amp;'Trust &amp; Safety'!$B$7:$B$500&amp;", ")),--('Trust &amp; Safety'!$AT$7:$AT$500="Pass"))+SUMPRODUCT(--ISNUMBER(SEARCH(", "&amp;$B59&amp;", ",", "&amp;'Tài khoản &amp; Hồ sơ'!$B$7:$B$500&amp;", ")),--('Tài khoản &amp; Hồ sơ'!$AT$7:$AT$500="Pass"))</f>
        <v>0</v>
      </c>
      <c r="H59" s="51" t="n">
        <f aca="false">SUMPRODUCT(--ISNUMBER(SEARCH(", "&amp;$B59&amp;", ",", "&amp;'Hoạt động (Đơn của tôi)'!$B$7:$B$500&amp;", ")),--('Hoạt động (Đơn của tôi)'!$AT$7:$AT$500="Fail"))+SUMPRODUCT(--ISNUMBER(SEARCH(", "&amp;$B59&amp;", ",", "&amp;'Ghép nối'!$B$7:$B$500&amp;", ")),--('Ghép nối'!$AT$7:$AT$500="Fail"))+SUMPRODUCT(--ISNUMBER(SEARCH(", "&amp;$B59&amp;", ",", "&amp;'Huỷ đơn - Huỷ nhận đơn'!$B$7:$B$500&amp;", ")),--('Huỷ đơn - Huỷ nhận đơn'!$AT$7:$AT$500="Fail"))+SUMPRODUCT(--ISNUMBER(SEARCH(", "&amp;$B59&amp;", ",", "&amp;'Giao nhận &amp; Theo dõi đơn'!$B$7:$B$500&amp;", ")),--('Giao nhận &amp; Theo dõi đơn'!$AT$7:$AT$500="Fail"))+SUMPRODUCT(--ISNUMBER(SEARCH(", "&amp;$B59&amp;", ",", "&amp;'Bảng tin &amp; Chi tiết tin'!$B$7:$B$500&amp;", ")),--('Bảng tin &amp; Chi tiết tin'!$AT$7:$AT$500="Fail"))+SUMPRODUCT(--ISNUMBER(SEARCH(", "&amp;$B59&amp;", ",", "&amp;'Quà cảm ơn'!$B$7:$B$500&amp;", ")),--('Quà cảm ơn'!$AT$7:$AT$500="Fail"))+SUMPRODUCT(--ISNUMBER(SEARCH(", "&amp;$B59&amp;", ",", "&amp;'Trang chủ'!$B$7:$B$500&amp;", ")),--('Trang chủ'!$AT$7:$AT$500="Fail"))+SUMPRODUCT(--ISNUMBER(SEARCH(", "&amp;$B59&amp;", ",", "&amp;'Thông báo'!$B$7:$B$500&amp;", ")),--('Thông báo'!$AT$7:$AT$500="Fail"))+SUMPRODUCT(--ISNUMBER(SEARCH(", "&amp;$B59&amp;", ",", "&amp;'Đăng tin &amp; Quản lý tin'!$B$7:$B$500&amp;", ")),--('Đăng tin &amp; Quản lý tin'!$AT$7:$AT$500="Fail"))+SUMPRODUCT(--ISNUMBER(SEARCH(", "&amp;$B59&amp;", ",", "&amp;'Trust &amp; Safety'!$B$7:$B$500&amp;", ")),--('Trust &amp; Safety'!$AT$7:$AT$500="Fail"))+SUMPRODUCT(--ISNUMBER(SEARCH(", "&amp;$B59&amp;", ",", "&amp;'Tài khoản &amp; Hồ sơ'!$B$7:$B$500&amp;", ")),--('Tài khoản &amp; Hồ sơ'!$AT$7:$AT$500="Fail"))</f>
        <v>0</v>
      </c>
      <c r="I59" s="51" t="n">
        <f aca="false">SUMPRODUCT(--ISNUMBER(SEARCH(", "&amp;$B59&amp;", ",", "&amp;'Hoạt động (Đơn của tôi)'!$B$7:$B$500&amp;", ")),--('Hoạt động (Đơn của tôi)'!$AT$7:$AT$500="Block"))+SUMPRODUCT(--ISNUMBER(SEARCH(", "&amp;$B59&amp;", ",", "&amp;'Ghép nối'!$B$7:$B$500&amp;", ")),--('Ghép nối'!$AT$7:$AT$500="Block"))+SUMPRODUCT(--ISNUMBER(SEARCH(", "&amp;$B59&amp;", ",", "&amp;'Huỷ đơn - Huỷ nhận đơn'!$B$7:$B$500&amp;", ")),--('Huỷ đơn - Huỷ nhận đơn'!$AT$7:$AT$500="Block"))+SUMPRODUCT(--ISNUMBER(SEARCH(", "&amp;$B59&amp;", ",", "&amp;'Giao nhận &amp; Theo dõi đơn'!$B$7:$B$500&amp;", ")),--('Giao nhận &amp; Theo dõi đơn'!$AT$7:$AT$500="Block"))+SUMPRODUCT(--ISNUMBER(SEARCH(", "&amp;$B59&amp;", ",", "&amp;'Bảng tin &amp; Chi tiết tin'!$B$7:$B$500&amp;", ")),--('Bảng tin &amp; Chi tiết tin'!$AT$7:$AT$500="Block"))+SUMPRODUCT(--ISNUMBER(SEARCH(", "&amp;$B59&amp;", ",", "&amp;'Quà cảm ơn'!$B$7:$B$500&amp;", ")),--('Quà cảm ơn'!$AT$7:$AT$500="Block"))+SUMPRODUCT(--ISNUMBER(SEARCH(", "&amp;$B59&amp;", ",", "&amp;'Trang chủ'!$B$7:$B$500&amp;", ")),--('Trang chủ'!$AT$7:$AT$500="Block"))+SUMPRODUCT(--ISNUMBER(SEARCH(", "&amp;$B59&amp;", ",", "&amp;'Thông báo'!$B$7:$B$500&amp;", ")),--('Thông báo'!$AT$7:$AT$500="Block"))+SUMPRODUCT(--ISNUMBER(SEARCH(", "&amp;$B59&amp;", ",", "&amp;'Đăng tin &amp; Quản lý tin'!$B$7:$B$500&amp;", ")),--('Đăng tin &amp; Quản lý tin'!$AT$7:$AT$500="Block"))+SUMPRODUCT(--ISNUMBER(SEARCH(", "&amp;$B59&amp;", ",", "&amp;'Trust &amp; Safety'!$B$7:$B$500&amp;", ")),--('Trust &amp; Safety'!$AT$7:$AT$500="Block"))+SUMPRODUCT(--ISNUMBER(SEARCH(", "&amp;$B59&amp;", ",", "&amp;'Tài khoản &amp; Hồ sơ'!$B$7:$B$500&amp;", ")),--('Tài khoản &amp; Hồ sơ'!$AT$7:$AT$500="Block"))</f>
        <v>0</v>
      </c>
      <c r="J59" s="51" t="n">
        <f aca="false">SUMPRODUCT(--ISNUMBER(SEARCH(", "&amp;$B59&amp;", ",", "&amp;'Hoạt động (Đơn của tôi)'!$B$7:$B$500&amp;", ")),--('Hoạt động (Đơn của tôi)'!$AT$7:$AT$500="N/A"))+SUMPRODUCT(--ISNUMBER(SEARCH(", "&amp;$B59&amp;", ",", "&amp;'Ghép nối'!$B$7:$B$500&amp;", ")),--('Ghép nối'!$AT$7:$AT$500="N/A"))+SUMPRODUCT(--ISNUMBER(SEARCH(", "&amp;$B59&amp;", ",", "&amp;'Huỷ đơn - Huỷ nhận đơn'!$B$7:$B$500&amp;", ")),--('Huỷ đơn - Huỷ nhận đơn'!$AT$7:$AT$500="N/A"))+SUMPRODUCT(--ISNUMBER(SEARCH(", "&amp;$B59&amp;", ",", "&amp;'Giao nhận &amp; Theo dõi đơn'!$B$7:$B$500&amp;", ")),--('Giao nhận &amp; Theo dõi đơn'!$AT$7:$AT$500="N/A"))+SUMPRODUCT(--ISNUMBER(SEARCH(", "&amp;$B59&amp;", ",", "&amp;'Bảng tin &amp; Chi tiết tin'!$B$7:$B$500&amp;", ")),--('Bảng tin &amp; Chi tiết tin'!$AT$7:$AT$500="N/A"))+SUMPRODUCT(--ISNUMBER(SEARCH(", "&amp;$B59&amp;", ",", "&amp;'Quà cảm ơn'!$B$7:$B$500&amp;", ")),--('Quà cảm ơn'!$AT$7:$AT$500="N/A"))+SUMPRODUCT(--ISNUMBER(SEARCH(", "&amp;$B59&amp;", ",", "&amp;'Trang chủ'!$B$7:$B$500&amp;", ")),--('Trang chủ'!$AT$7:$AT$500="N/A"))+SUMPRODUCT(--ISNUMBER(SEARCH(", "&amp;$B59&amp;", ",", "&amp;'Thông báo'!$B$7:$B$500&amp;", ")),--('Thông báo'!$AT$7:$AT$500="N/A"))+SUMPRODUCT(--ISNUMBER(SEARCH(", "&amp;$B59&amp;", ",", "&amp;'Đăng tin &amp; Quản lý tin'!$B$7:$B$500&amp;", ")),--('Đăng tin &amp; Quản lý tin'!$AT$7:$AT$500="N/A"))+SUMPRODUCT(--ISNUMBER(SEARCH(", "&amp;$B59&amp;", ",", "&amp;'Trust &amp; Safety'!$B$7:$B$500&amp;", ")),--('Trust &amp; Safety'!$AT$7:$AT$500="N/A"))+SUMPRODUCT(--ISNUMBER(SEARCH(", "&amp;$B59&amp;", ",", "&amp;'Tài khoản &amp; Hồ sơ'!$B$7:$B$500&amp;", ")),--('Tài khoản &amp; Hồ sơ'!$AT$7:$AT$500="N/A"))</f>
        <v>0</v>
      </c>
      <c r="K59" s="52" t="n">
        <f aca="false">IFERROR(F59/E59,0)</f>
        <v>0</v>
      </c>
      <c r="L59" s="123" t="str">
        <f aca="false">IF(E59=0,"Chưa có TC (gap)",IF(H59&gt;0,"Có lỗi (Fail)",IF(I59&gt;0,"Bị block",IF(F59&lt;E59,"Đang test",IF(G59=0,"Không áp dụng (N/A)","Đã test xong")))))</f>
        <v>Đang test</v>
      </c>
      <c r="AB59" s="1" t="s">
        <v>444</v>
      </c>
    </row>
    <row r="60" customFormat="false" ht="15.75" hidden="false" customHeight="true" outlineLevel="0" collapsed="false">
      <c r="B60" s="175" t="s">
        <v>575</v>
      </c>
      <c r="C60" s="176" t="s">
        <v>576</v>
      </c>
      <c r="D60" s="123" t="s">
        <v>577</v>
      </c>
      <c r="E60" s="51" t="n">
        <f aca="false">SUMPRODUCT(--ISNUMBER(SEARCH(", "&amp;$B60&amp;", ",", "&amp;'Hoạt động (Đơn của tôi)'!$B$7:$B$500&amp;", ")))+SUMPRODUCT(--ISNUMBER(SEARCH(", "&amp;$B60&amp;", ",", "&amp;'Ghép nối'!$B$7:$B$500&amp;", ")))+SUMPRODUCT(--ISNUMBER(SEARCH(", "&amp;$B60&amp;", ",", "&amp;'Huỷ đơn - Huỷ nhận đơn'!$B$7:$B$500&amp;", ")))+SUMPRODUCT(--ISNUMBER(SEARCH(", "&amp;$B60&amp;", ",", "&amp;'Giao nhận &amp; Theo dõi đơn'!$B$7:$B$500&amp;", ")))+SUMPRODUCT(--ISNUMBER(SEARCH(", "&amp;$B60&amp;", ",", "&amp;'Bảng tin &amp; Chi tiết tin'!$B$7:$B$500&amp;", ")))+SUMPRODUCT(--ISNUMBER(SEARCH(", "&amp;$B60&amp;", ",", "&amp;'Quà cảm ơn'!$B$7:$B$500&amp;", ")))+SUMPRODUCT(--ISNUMBER(SEARCH(", "&amp;$B60&amp;", ",", "&amp;'Trang chủ'!$B$7:$B$500&amp;", ")))+SUMPRODUCT(--ISNUMBER(SEARCH(", "&amp;$B60&amp;", ",", "&amp;'Thông báo'!$B$7:$B$500&amp;", ")))+SUMPRODUCT(--ISNUMBER(SEARCH(", "&amp;$B60&amp;", ",", "&amp;'Đăng tin &amp; Quản lý tin'!$B$7:$B$500&amp;", ")))+SUMPRODUCT(--ISNUMBER(SEARCH(", "&amp;$B60&amp;", ",", "&amp;'Trust &amp; Safety'!$B$7:$B$500&amp;", ")))+SUMPRODUCT(--ISNUMBER(SEARCH(", "&amp;$B60&amp;", ",", "&amp;'Tài khoản &amp; Hồ sơ'!$B$7:$B$500&amp;", ")))</f>
        <v>3</v>
      </c>
      <c r="F60" s="51" t="n">
        <f aca="false">SUMPRODUCT(--ISNUMBER(SEARCH(", "&amp;$B60&amp;", ",", "&amp;'Hoạt động (Đơn của tôi)'!$B$7:$B$500&amp;", ")),--('Hoạt động (Đơn của tôi)'!$AT$7:$AT$500&lt;&gt;""))+SUMPRODUCT(--ISNUMBER(SEARCH(", "&amp;$B60&amp;", ",", "&amp;'Ghép nối'!$B$7:$B$500&amp;", ")),--('Ghép nối'!$AT$7:$AT$500&lt;&gt;""))+SUMPRODUCT(--ISNUMBER(SEARCH(", "&amp;$B60&amp;", ",", "&amp;'Huỷ đơn - Huỷ nhận đơn'!$B$7:$B$500&amp;", ")),--('Huỷ đơn - Huỷ nhận đơn'!$AT$7:$AT$500&lt;&gt;""))+SUMPRODUCT(--ISNUMBER(SEARCH(", "&amp;$B60&amp;", ",", "&amp;'Giao nhận &amp; Theo dõi đơn'!$B$7:$B$500&amp;", ")),--('Giao nhận &amp; Theo dõi đơn'!$AT$7:$AT$500&lt;&gt;""))+SUMPRODUCT(--ISNUMBER(SEARCH(", "&amp;$B60&amp;", ",", "&amp;'Bảng tin &amp; Chi tiết tin'!$B$7:$B$500&amp;", ")),--('Bảng tin &amp; Chi tiết tin'!$AT$7:$AT$500&lt;&gt;""))+SUMPRODUCT(--ISNUMBER(SEARCH(", "&amp;$B60&amp;", ",", "&amp;'Quà cảm ơn'!$B$7:$B$500&amp;", ")),--('Quà cảm ơn'!$AT$7:$AT$500&lt;&gt;""))+SUMPRODUCT(--ISNUMBER(SEARCH(", "&amp;$B60&amp;", ",", "&amp;'Trang chủ'!$B$7:$B$500&amp;", ")),--('Trang chủ'!$AT$7:$AT$500&lt;&gt;""))+SUMPRODUCT(--ISNUMBER(SEARCH(", "&amp;$B60&amp;", ",", "&amp;'Thông báo'!$B$7:$B$500&amp;", ")),--('Thông báo'!$AT$7:$AT$500&lt;&gt;""))+SUMPRODUCT(--ISNUMBER(SEARCH(", "&amp;$B60&amp;", ",", "&amp;'Đăng tin &amp; Quản lý tin'!$B$7:$B$500&amp;", ")),--('Đăng tin &amp; Quản lý tin'!$AT$7:$AT$500&lt;&gt;""))+SUMPRODUCT(--ISNUMBER(SEARCH(", "&amp;$B60&amp;", ",", "&amp;'Trust &amp; Safety'!$B$7:$B$500&amp;", ")),--('Trust &amp; Safety'!$AT$7:$AT$500&lt;&gt;""))+SUMPRODUCT(--ISNUMBER(SEARCH(", "&amp;$B60&amp;", ",", "&amp;'Tài khoản &amp; Hồ sơ'!$B$7:$B$500&amp;", ")),--('Tài khoản &amp; Hồ sơ'!$AT$7:$AT$500&lt;&gt;""))</f>
        <v>0</v>
      </c>
      <c r="G60" s="51" t="n">
        <f aca="false">SUMPRODUCT(--ISNUMBER(SEARCH(", "&amp;$B60&amp;", ",", "&amp;'Hoạt động (Đơn của tôi)'!$B$7:$B$500&amp;", ")),--('Hoạt động (Đơn của tôi)'!$AT$7:$AT$500="Pass"))+SUMPRODUCT(--ISNUMBER(SEARCH(", "&amp;$B60&amp;", ",", "&amp;'Ghép nối'!$B$7:$B$500&amp;", ")),--('Ghép nối'!$AT$7:$AT$500="Pass"))+SUMPRODUCT(--ISNUMBER(SEARCH(", "&amp;$B60&amp;", ",", "&amp;'Huỷ đơn - Huỷ nhận đơn'!$B$7:$B$500&amp;", ")),--('Huỷ đơn - Huỷ nhận đơn'!$AT$7:$AT$500="Pass"))+SUMPRODUCT(--ISNUMBER(SEARCH(", "&amp;$B60&amp;", ",", "&amp;'Giao nhận &amp; Theo dõi đơn'!$B$7:$B$500&amp;", ")),--('Giao nhận &amp; Theo dõi đơn'!$AT$7:$AT$500="Pass"))+SUMPRODUCT(--ISNUMBER(SEARCH(", "&amp;$B60&amp;", ",", "&amp;'Bảng tin &amp; Chi tiết tin'!$B$7:$B$500&amp;", ")),--('Bảng tin &amp; Chi tiết tin'!$AT$7:$AT$500="Pass"))+SUMPRODUCT(--ISNUMBER(SEARCH(", "&amp;$B60&amp;", ",", "&amp;'Quà cảm ơn'!$B$7:$B$500&amp;", ")),--('Quà cảm ơn'!$AT$7:$AT$500="Pass"))+SUMPRODUCT(--ISNUMBER(SEARCH(", "&amp;$B60&amp;", ",", "&amp;'Trang chủ'!$B$7:$B$500&amp;", ")),--('Trang chủ'!$AT$7:$AT$500="Pass"))+SUMPRODUCT(--ISNUMBER(SEARCH(", "&amp;$B60&amp;", ",", "&amp;'Thông báo'!$B$7:$B$500&amp;", ")),--('Thông báo'!$AT$7:$AT$500="Pass"))+SUMPRODUCT(--ISNUMBER(SEARCH(", "&amp;$B60&amp;", ",", "&amp;'Đăng tin &amp; Quản lý tin'!$B$7:$B$500&amp;", ")),--('Đăng tin &amp; Quản lý tin'!$AT$7:$AT$500="Pass"))+SUMPRODUCT(--ISNUMBER(SEARCH(", "&amp;$B60&amp;", ",", "&amp;'Trust &amp; Safety'!$B$7:$B$500&amp;", ")),--('Trust &amp; Safety'!$AT$7:$AT$500="Pass"))+SUMPRODUCT(--ISNUMBER(SEARCH(", "&amp;$B60&amp;", ",", "&amp;'Tài khoản &amp; Hồ sơ'!$B$7:$B$500&amp;", ")),--('Tài khoản &amp; Hồ sơ'!$AT$7:$AT$500="Pass"))</f>
        <v>0</v>
      </c>
      <c r="H60" s="51" t="n">
        <f aca="false">SUMPRODUCT(--ISNUMBER(SEARCH(", "&amp;$B60&amp;", ",", "&amp;'Hoạt động (Đơn của tôi)'!$B$7:$B$500&amp;", ")),--('Hoạt động (Đơn của tôi)'!$AT$7:$AT$500="Fail"))+SUMPRODUCT(--ISNUMBER(SEARCH(", "&amp;$B60&amp;", ",", "&amp;'Ghép nối'!$B$7:$B$500&amp;", ")),--('Ghép nối'!$AT$7:$AT$500="Fail"))+SUMPRODUCT(--ISNUMBER(SEARCH(", "&amp;$B60&amp;", ",", "&amp;'Huỷ đơn - Huỷ nhận đơn'!$B$7:$B$500&amp;", ")),--('Huỷ đơn - Huỷ nhận đơn'!$AT$7:$AT$500="Fail"))+SUMPRODUCT(--ISNUMBER(SEARCH(", "&amp;$B60&amp;", ",", "&amp;'Giao nhận &amp; Theo dõi đơn'!$B$7:$B$500&amp;", ")),--('Giao nhận &amp; Theo dõi đơn'!$AT$7:$AT$500="Fail"))+SUMPRODUCT(--ISNUMBER(SEARCH(", "&amp;$B60&amp;", ",", "&amp;'Bảng tin &amp; Chi tiết tin'!$B$7:$B$500&amp;", ")),--('Bảng tin &amp; Chi tiết tin'!$AT$7:$AT$500="Fail"))+SUMPRODUCT(--ISNUMBER(SEARCH(", "&amp;$B60&amp;", ",", "&amp;'Quà cảm ơn'!$B$7:$B$500&amp;", ")),--('Quà cảm ơn'!$AT$7:$AT$500="Fail"))+SUMPRODUCT(--ISNUMBER(SEARCH(", "&amp;$B60&amp;", ",", "&amp;'Trang chủ'!$B$7:$B$500&amp;", ")),--('Trang chủ'!$AT$7:$AT$500="Fail"))+SUMPRODUCT(--ISNUMBER(SEARCH(", "&amp;$B60&amp;", ",", "&amp;'Thông báo'!$B$7:$B$500&amp;", ")),--('Thông báo'!$AT$7:$AT$500="Fail"))+SUMPRODUCT(--ISNUMBER(SEARCH(", "&amp;$B60&amp;", ",", "&amp;'Đăng tin &amp; Quản lý tin'!$B$7:$B$500&amp;", ")),--('Đăng tin &amp; Quản lý tin'!$AT$7:$AT$500="Fail"))+SUMPRODUCT(--ISNUMBER(SEARCH(", "&amp;$B60&amp;", ",", "&amp;'Trust &amp; Safety'!$B$7:$B$500&amp;", ")),--('Trust &amp; Safety'!$AT$7:$AT$500="Fail"))+SUMPRODUCT(--ISNUMBER(SEARCH(", "&amp;$B60&amp;", ",", "&amp;'Tài khoản &amp; Hồ sơ'!$B$7:$B$500&amp;", ")),--('Tài khoản &amp; Hồ sơ'!$AT$7:$AT$500="Fail"))</f>
        <v>0</v>
      </c>
      <c r="I60" s="51" t="n">
        <f aca="false">SUMPRODUCT(--ISNUMBER(SEARCH(", "&amp;$B60&amp;", ",", "&amp;'Hoạt động (Đơn của tôi)'!$B$7:$B$500&amp;", ")),--('Hoạt động (Đơn của tôi)'!$AT$7:$AT$500="Block"))+SUMPRODUCT(--ISNUMBER(SEARCH(", "&amp;$B60&amp;", ",", "&amp;'Ghép nối'!$B$7:$B$500&amp;", ")),--('Ghép nối'!$AT$7:$AT$500="Block"))+SUMPRODUCT(--ISNUMBER(SEARCH(", "&amp;$B60&amp;", ",", "&amp;'Huỷ đơn - Huỷ nhận đơn'!$B$7:$B$500&amp;", ")),--('Huỷ đơn - Huỷ nhận đơn'!$AT$7:$AT$500="Block"))+SUMPRODUCT(--ISNUMBER(SEARCH(", "&amp;$B60&amp;", ",", "&amp;'Giao nhận &amp; Theo dõi đơn'!$B$7:$B$500&amp;", ")),--('Giao nhận &amp; Theo dõi đơn'!$AT$7:$AT$500="Block"))+SUMPRODUCT(--ISNUMBER(SEARCH(", "&amp;$B60&amp;", ",", "&amp;'Bảng tin &amp; Chi tiết tin'!$B$7:$B$500&amp;", ")),--('Bảng tin &amp; Chi tiết tin'!$AT$7:$AT$500="Block"))+SUMPRODUCT(--ISNUMBER(SEARCH(", "&amp;$B60&amp;", ",", "&amp;'Quà cảm ơn'!$B$7:$B$500&amp;", ")),--('Quà cảm ơn'!$AT$7:$AT$500="Block"))+SUMPRODUCT(--ISNUMBER(SEARCH(", "&amp;$B60&amp;", ",", "&amp;'Trang chủ'!$B$7:$B$500&amp;", ")),--('Trang chủ'!$AT$7:$AT$500="Block"))+SUMPRODUCT(--ISNUMBER(SEARCH(", "&amp;$B60&amp;", ",", "&amp;'Thông báo'!$B$7:$B$500&amp;", ")),--('Thông báo'!$AT$7:$AT$500="Block"))+SUMPRODUCT(--ISNUMBER(SEARCH(", "&amp;$B60&amp;", ",", "&amp;'Đăng tin &amp; Quản lý tin'!$B$7:$B$500&amp;", ")),--('Đăng tin &amp; Quản lý tin'!$AT$7:$AT$500="Block"))+SUMPRODUCT(--ISNUMBER(SEARCH(", "&amp;$B60&amp;", ",", "&amp;'Trust &amp; Safety'!$B$7:$B$500&amp;", ")),--('Trust &amp; Safety'!$AT$7:$AT$500="Block"))+SUMPRODUCT(--ISNUMBER(SEARCH(", "&amp;$B60&amp;", ",", "&amp;'Tài khoản &amp; Hồ sơ'!$B$7:$B$500&amp;", ")),--('Tài khoản &amp; Hồ sơ'!$AT$7:$AT$500="Block"))</f>
        <v>0</v>
      </c>
      <c r="J60" s="51" t="n">
        <f aca="false">SUMPRODUCT(--ISNUMBER(SEARCH(", "&amp;$B60&amp;", ",", "&amp;'Hoạt động (Đơn của tôi)'!$B$7:$B$500&amp;", ")),--('Hoạt động (Đơn của tôi)'!$AT$7:$AT$500="N/A"))+SUMPRODUCT(--ISNUMBER(SEARCH(", "&amp;$B60&amp;", ",", "&amp;'Ghép nối'!$B$7:$B$500&amp;", ")),--('Ghép nối'!$AT$7:$AT$500="N/A"))+SUMPRODUCT(--ISNUMBER(SEARCH(", "&amp;$B60&amp;", ",", "&amp;'Huỷ đơn - Huỷ nhận đơn'!$B$7:$B$500&amp;", ")),--('Huỷ đơn - Huỷ nhận đơn'!$AT$7:$AT$500="N/A"))+SUMPRODUCT(--ISNUMBER(SEARCH(", "&amp;$B60&amp;", ",", "&amp;'Giao nhận &amp; Theo dõi đơn'!$B$7:$B$500&amp;", ")),--('Giao nhận &amp; Theo dõi đơn'!$AT$7:$AT$500="N/A"))+SUMPRODUCT(--ISNUMBER(SEARCH(", "&amp;$B60&amp;", ",", "&amp;'Bảng tin &amp; Chi tiết tin'!$B$7:$B$500&amp;", ")),--('Bảng tin &amp; Chi tiết tin'!$AT$7:$AT$500="N/A"))+SUMPRODUCT(--ISNUMBER(SEARCH(", "&amp;$B60&amp;", ",", "&amp;'Quà cảm ơn'!$B$7:$B$500&amp;", ")),--('Quà cảm ơn'!$AT$7:$AT$500="N/A"))+SUMPRODUCT(--ISNUMBER(SEARCH(", "&amp;$B60&amp;", ",", "&amp;'Trang chủ'!$B$7:$B$500&amp;", ")),--('Trang chủ'!$AT$7:$AT$500="N/A"))+SUMPRODUCT(--ISNUMBER(SEARCH(", "&amp;$B60&amp;", ",", "&amp;'Thông báo'!$B$7:$B$500&amp;", ")),--('Thông báo'!$AT$7:$AT$500="N/A"))+SUMPRODUCT(--ISNUMBER(SEARCH(", "&amp;$B60&amp;", ",", "&amp;'Đăng tin &amp; Quản lý tin'!$B$7:$B$500&amp;", ")),--('Đăng tin &amp; Quản lý tin'!$AT$7:$AT$500="N/A"))+SUMPRODUCT(--ISNUMBER(SEARCH(", "&amp;$B60&amp;", ",", "&amp;'Trust &amp; Safety'!$B$7:$B$500&amp;", ")),--('Trust &amp; Safety'!$AT$7:$AT$500="N/A"))+SUMPRODUCT(--ISNUMBER(SEARCH(", "&amp;$B60&amp;", ",", "&amp;'Tài khoản &amp; Hồ sơ'!$B$7:$B$500&amp;", ")),--('Tài khoản &amp; Hồ sơ'!$AT$7:$AT$500="N/A"))</f>
        <v>0</v>
      </c>
      <c r="K60" s="52" t="n">
        <f aca="false">IFERROR(F60/E60,0)</f>
        <v>0</v>
      </c>
      <c r="L60" s="123" t="str">
        <f aca="false">IF(E60=0,"Chưa có TC (gap)",IF(H60&gt;0,"Có lỗi (Fail)",IF(I60&gt;0,"Bị block",IF(F60&lt;E60,"Đang test",IF(G60=0,"Không áp dụng (N/A)","Đã test xong")))))</f>
        <v>Đang test</v>
      </c>
      <c r="AB60" s="1" t="s">
        <v>444</v>
      </c>
    </row>
    <row r="61" customFormat="false" ht="15.75" hidden="false" customHeight="true" outlineLevel="0" collapsed="false">
      <c r="B61" s="175" t="s">
        <v>578</v>
      </c>
      <c r="C61" s="176" t="s">
        <v>579</v>
      </c>
      <c r="D61" s="123" t="s">
        <v>419</v>
      </c>
      <c r="E61" s="51" t="n">
        <f aca="false">SUMPRODUCT(--ISNUMBER(SEARCH(", "&amp;$B61&amp;", ",", "&amp;'Hoạt động (Đơn của tôi)'!$B$7:$B$500&amp;", ")))+SUMPRODUCT(--ISNUMBER(SEARCH(", "&amp;$B61&amp;", ",", "&amp;'Ghép nối'!$B$7:$B$500&amp;", ")))+SUMPRODUCT(--ISNUMBER(SEARCH(", "&amp;$B61&amp;", ",", "&amp;'Huỷ đơn - Huỷ nhận đơn'!$B$7:$B$500&amp;", ")))+SUMPRODUCT(--ISNUMBER(SEARCH(", "&amp;$B61&amp;", ",", "&amp;'Giao nhận &amp; Theo dõi đơn'!$B$7:$B$500&amp;", ")))+SUMPRODUCT(--ISNUMBER(SEARCH(", "&amp;$B61&amp;", ",", "&amp;'Bảng tin &amp; Chi tiết tin'!$B$7:$B$500&amp;", ")))+SUMPRODUCT(--ISNUMBER(SEARCH(", "&amp;$B61&amp;", ",", "&amp;'Quà cảm ơn'!$B$7:$B$500&amp;", ")))+SUMPRODUCT(--ISNUMBER(SEARCH(", "&amp;$B61&amp;", ",", "&amp;'Trang chủ'!$B$7:$B$500&amp;", ")))+SUMPRODUCT(--ISNUMBER(SEARCH(", "&amp;$B61&amp;", ",", "&amp;'Thông báo'!$B$7:$B$500&amp;", ")))+SUMPRODUCT(--ISNUMBER(SEARCH(", "&amp;$B61&amp;", ",", "&amp;'Đăng tin &amp; Quản lý tin'!$B$7:$B$500&amp;", ")))+SUMPRODUCT(--ISNUMBER(SEARCH(", "&amp;$B61&amp;", ",", "&amp;'Trust &amp; Safety'!$B$7:$B$500&amp;", ")))+SUMPRODUCT(--ISNUMBER(SEARCH(", "&amp;$B61&amp;", ",", "&amp;'Tài khoản &amp; Hồ sơ'!$B$7:$B$500&amp;", ")))</f>
        <v>2</v>
      </c>
      <c r="F61" s="51" t="n">
        <f aca="false">SUMPRODUCT(--ISNUMBER(SEARCH(", "&amp;$B61&amp;", ",", "&amp;'Hoạt động (Đơn của tôi)'!$B$7:$B$500&amp;", ")),--('Hoạt động (Đơn của tôi)'!$AT$7:$AT$500&lt;&gt;""))+SUMPRODUCT(--ISNUMBER(SEARCH(", "&amp;$B61&amp;", ",", "&amp;'Ghép nối'!$B$7:$B$500&amp;", ")),--('Ghép nối'!$AT$7:$AT$500&lt;&gt;""))+SUMPRODUCT(--ISNUMBER(SEARCH(", "&amp;$B61&amp;", ",", "&amp;'Huỷ đơn - Huỷ nhận đơn'!$B$7:$B$500&amp;", ")),--('Huỷ đơn - Huỷ nhận đơn'!$AT$7:$AT$500&lt;&gt;""))+SUMPRODUCT(--ISNUMBER(SEARCH(", "&amp;$B61&amp;", ",", "&amp;'Giao nhận &amp; Theo dõi đơn'!$B$7:$B$500&amp;", ")),--('Giao nhận &amp; Theo dõi đơn'!$AT$7:$AT$500&lt;&gt;""))+SUMPRODUCT(--ISNUMBER(SEARCH(", "&amp;$B61&amp;", ",", "&amp;'Bảng tin &amp; Chi tiết tin'!$B$7:$B$500&amp;", ")),--('Bảng tin &amp; Chi tiết tin'!$AT$7:$AT$500&lt;&gt;""))+SUMPRODUCT(--ISNUMBER(SEARCH(", "&amp;$B61&amp;", ",", "&amp;'Quà cảm ơn'!$B$7:$B$500&amp;", ")),--('Quà cảm ơn'!$AT$7:$AT$500&lt;&gt;""))+SUMPRODUCT(--ISNUMBER(SEARCH(", "&amp;$B61&amp;", ",", "&amp;'Trang chủ'!$B$7:$B$500&amp;", ")),--('Trang chủ'!$AT$7:$AT$500&lt;&gt;""))+SUMPRODUCT(--ISNUMBER(SEARCH(", "&amp;$B61&amp;", ",", "&amp;'Thông báo'!$B$7:$B$500&amp;", ")),--('Thông báo'!$AT$7:$AT$500&lt;&gt;""))+SUMPRODUCT(--ISNUMBER(SEARCH(", "&amp;$B61&amp;", ",", "&amp;'Đăng tin &amp; Quản lý tin'!$B$7:$B$500&amp;", ")),--('Đăng tin &amp; Quản lý tin'!$AT$7:$AT$500&lt;&gt;""))+SUMPRODUCT(--ISNUMBER(SEARCH(", "&amp;$B61&amp;", ",", "&amp;'Trust &amp; Safety'!$B$7:$B$500&amp;", ")),--('Trust &amp; Safety'!$AT$7:$AT$500&lt;&gt;""))+SUMPRODUCT(--ISNUMBER(SEARCH(", "&amp;$B61&amp;", ",", "&amp;'Tài khoản &amp; Hồ sơ'!$B$7:$B$500&amp;", ")),--('Tài khoản &amp; Hồ sơ'!$AT$7:$AT$500&lt;&gt;""))</f>
        <v>0</v>
      </c>
      <c r="G61" s="51" t="n">
        <f aca="false">SUMPRODUCT(--ISNUMBER(SEARCH(", "&amp;$B61&amp;", ",", "&amp;'Hoạt động (Đơn của tôi)'!$B$7:$B$500&amp;", ")),--('Hoạt động (Đơn của tôi)'!$AT$7:$AT$500="Pass"))+SUMPRODUCT(--ISNUMBER(SEARCH(", "&amp;$B61&amp;", ",", "&amp;'Ghép nối'!$B$7:$B$500&amp;", ")),--('Ghép nối'!$AT$7:$AT$500="Pass"))+SUMPRODUCT(--ISNUMBER(SEARCH(", "&amp;$B61&amp;", ",", "&amp;'Huỷ đơn - Huỷ nhận đơn'!$B$7:$B$500&amp;", ")),--('Huỷ đơn - Huỷ nhận đơn'!$AT$7:$AT$500="Pass"))+SUMPRODUCT(--ISNUMBER(SEARCH(", "&amp;$B61&amp;", ",", "&amp;'Giao nhận &amp; Theo dõi đơn'!$B$7:$B$500&amp;", ")),--('Giao nhận &amp; Theo dõi đơn'!$AT$7:$AT$500="Pass"))+SUMPRODUCT(--ISNUMBER(SEARCH(", "&amp;$B61&amp;", ",", "&amp;'Bảng tin &amp; Chi tiết tin'!$B$7:$B$500&amp;", ")),--('Bảng tin &amp; Chi tiết tin'!$AT$7:$AT$500="Pass"))+SUMPRODUCT(--ISNUMBER(SEARCH(", "&amp;$B61&amp;", ",", "&amp;'Quà cảm ơn'!$B$7:$B$500&amp;", ")),--('Quà cảm ơn'!$AT$7:$AT$500="Pass"))+SUMPRODUCT(--ISNUMBER(SEARCH(", "&amp;$B61&amp;", ",", "&amp;'Trang chủ'!$B$7:$B$500&amp;", ")),--('Trang chủ'!$AT$7:$AT$500="Pass"))+SUMPRODUCT(--ISNUMBER(SEARCH(", "&amp;$B61&amp;", ",", "&amp;'Thông báo'!$B$7:$B$500&amp;", ")),--('Thông báo'!$AT$7:$AT$500="Pass"))+SUMPRODUCT(--ISNUMBER(SEARCH(", "&amp;$B61&amp;", ",", "&amp;'Đăng tin &amp; Quản lý tin'!$B$7:$B$500&amp;", ")),--('Đăng tin &amp; Quản lý tin'!$AT$7:$AT$500="Pass"))+SUMPRODUCT(--ISNUMBER(SEARCH(", "&amp;$B61&amp;", ",", "&amp;'Trust &amp; Safety'!$B$7:$B$500&amp;", ")),--('Trust &amp; Safety'!$AT$7:$AT$500="Pass"))+SUMPRODUCT(--ISNUMBER(SEARCH(", "&amp;$B61&amp;", ",", "&amp;'Tài khoản &amp; Hồ sơ'!$B$7:$B$500&amp;", ")),--('Tài khoản &amp; Hồ sơ'!$AT$7:$AT$500="Pass"))</f>
        <v>0</v>
      </c>
      <c r="H61" s="51" t="n">
        <f aca="false">SUMPRODUCT(--ISNUMBER(SEARCH(", "&amp;$B61&amp;", ",", "&amp;'Hoạt động (Đơn của tôi)'!$B$7:$B$500&amp;", ")),--('Hoạt động (Đơn của tôi)'!$AT$7:$AT$500="Fail"))+SUMPRODUCT(--ISNUMBER(SEARCH(", "&amp;$B61&amp;", ",", "&amp;'Ghép nối'!$B$7:$B$500&amp;", ")),--('Ghép nối'!$AT$7:$AT$500="Fail"))+SUMPRODUCT(--ISNUMBER(SEARCH(", "&amp;$B61&amp;", ",", "&amp;'Huỷ đơn - Huỷ nhận đơn'!$B$7:$B$500&amp;", ")),--('Huỷ đơn - Huỷ nhận đơn'!$AT$7:$AT$500="Fail"))+SUMPRODUCT(--ISNUMBER(SEARCH(", "&amp;$B61&amp;", ",", "&amp;'Giao nhận &amp; Theo dõi đơn'!$B$7:$B$500&amp;", ")),--('Giao nhận &amp; Theo dõi đơn'!$AT$7:$AT$500="Fail"))+SUMPRODUCT(--ISNUMBER(SEARCH(", "&amp;$B61&amp;", ",", "&amp;'Bảng tin &amp; Chi tiết tin'!$B$7:$B$500&amp;", ")),--('Bảng tin &amp; Chi tiết tin'!$AT$7:$AT$500="Fail"))+SUMPRODUCT(--ISNUMBER(SEARCH(", "&amp;$B61&amp;", ",", "&amp;'Quà cảm ơn'!$B$7:$B$500&amp;", ")),--('Quà cảm ơn'!$AT$7:$AT$500="Fail"))+SUMPRODUCT(--ISNUMBER(SEARCH(", "&amp;$B61&amp;", ",", "&amp;'Trang chủ'!$B$7:$B$500&amp;", ")),--('Trang chủ'!$AT$7:$AT$500="Fail"))+SUMPRODUCT(--ISNUMBER(SEARCH(", "&amp;$B61&amp;", ",", "&amp;'Thông báo'!$B$7:$B$500&amp;", ")),--('Thông báo'!$AT$7:$AT$500="Fail"))+SUMPRODUCT(--ISNUMBER(SEARCH(", "&amp;$B61&amp;", ",", "&amp;'Đăng tin &amp; Quản lý tin'!$B$7:$B$500&amp;", ")),--('Đăng tin &amp; Quản lý tin'!$AT$7:$AT$500="Fail"))+SUMPRODUCT(--ISNUMBER(SEARCH(", "&amp;$B61&amp;", ",", "&amp;'Trust &amp; Safety'!$B$7:$B$500&amp;", ")),--('Trust &amp; Safety'!$AT$7:$AT$500="Fail"))+SUMPRODUCT(--ISNUMBER(SEARCH(", "&amp;$B61&amp;", ",", "&amp;'Tài khoản &amp; Hồ sơ'!$B$7:$B$500&amp;", ")),--('Tài khoản &amp; Hồ sơ'!$AT$7:$AT$500="Fail"))</f>
        <v>0</v>
      </c>
      <c r="I61" s="51" t="n">
        <f aca="false">SUMPRODUCT(--ISNUMBER(SEARCH(", "&amp;$B61&amp;", ",", "&amp;'Hoạt động (Đơn của tôi)'!$B$7:$B$500&amp;", ")),--('Hoạt động (Đơn của tôi)'!$AT$7:$AT$500="Block"))+SUMPRODUCT(--ISNUMBER(SEARCH(", "&amp;$B61&amp;", ",", "&amp;'Ghép nối'!$B$7:$B$500&amp;", ")),--('Ghép nối'!$AT$7:$AT$500="Block"))+SUMPRODUCT(--ISNUMBER(SEARCH(", "&amp;$B61&amp;", ",", "&amp;'Huỷ đơn - Huỷ nhận đơn'!$B$7:$B$500&amp;", ")),--('Huỷ đơn - Huỷ nhận đơn'!$AT$7:$AT$500="Block"))+SUMPRODUCT(--ISNUMBER(SEARCH(", "&amp;$B61&amp;", ",", "&amp;'Giao nhận &amp; Theo dõi đơn'!$B$7:$B$500&amp;", ")),--('Giao nhận &amp; Theo dõi đơn'!$AT$7:$AT$500="Block"))+SUMPRODUCT(--ISNUMBER(SEARCH(", "&amp;$B61&amp;", ",", "&amp;'Bảng tin &amp; Chi tiết tin'!$B$7:$B$500&amp;", ")),--('Bảng tin &amp; Chi tiết tin'!$AT$7:$AT$500="Block"))+SUMPRODUCT(--ISNUMBER(SEARCH(", "&amp;$B61&amp;", ",", "&amp;'Quà cảm ơn'!$B$7:$B$500&amp;", ")),--('Quà cảm ơn'!$AT$7:$AT$500="Block"))+SUMPRODUCT(--ISNUMBER(SEARCH(", "&amp;$B61&amp;", ",", "&amp;'Trang chủ'!$B$7:$B$500&amp;", ")),--('Trang chủ'!$AT$7:$AT$500="Block"))+SUMPRODUCT(--ISNUMBER(SEARCH(", "&amp;$B61&amp;", ",", "&amp;'Thông báo'!$B$7:$B$500&amp;", ")),--('Thông báo'!$AT$7:$AT$500="Block"))+SUMPRODUCT(--ISNUMBER(SEARCH(", "&amp;$B61&amp;", ",", "&amp;'Đăng tin &amp; Quản lý tin'!$B$7:$B$500&amp;", ")),--('Đăng tin &amp; Quản lý tin'!$AT$7:$AT$500="Block"))+SUMPRODUCT(--ISNUMBER(SEARCH(", "&amp;$B61&amp;", ",", "&amp;'Trust &amp; Safety'!$B$7:$B$500&amp;", ")),--('Trust &amp; Safety'!$AT$7:$AT$500="Block"))+SUMPRODUCT(--ISNUMBER(SEARCH(", "&amp;$B61&amp;", ",", "&amp;'Tài khoản &amp; Hồ sơ'!$B$7:$B$500&amp;", ")),--('Tài khoản &amp; Hồ sơ'!$AT$7:$AT$500="Block"))</f>
        <v>0</v>
      </c>
      <c r="J61" s="51" t="n">
        <f aca="false">SUMPRODUCT(--ISNUMBER(SEARCH(", "&amp;$B61&amp;", ",", "&amp;'Hoạt động (Đơn của tôi)'!$B$7:$B$500&amp;", ")),--('Hoạt động (Đơn của tôi)'!$AT$7:$AT$500="N/A"))+SUMPRODUCT(--ISNUMBER(SEARCH(", "&amp;$B61&amp;", ",", "&amp;'Ghép nối'!$B$7:$B$500&amp;", ")),--('Ghép nối'!$AT$7:$AT$500="N/A"))+SUMPRODUCT(--ISNUMBER(SEARCH(", "&amp;$B61&amp;", ",", "&amp;'Huỷ đơn - Huỷ nhận đơn'!$B$7:$B$500&amp;", ")),--('Huỷ đơn - Huỷ nhận đơn'!$AT$7:$AT$500="N/A"))+SUMPRODUCT(--ISNUMBER(SEARCH(", "&amp;$B61&amp;", ",", "&amp;'Giao nhận &amp; Theo dõi đơn'!$B$7:$B$500&amp;", ")),--('Giao nhận &amp; Theo dõi đơn'!$AT$7:$AT$500="N/A"))+SUMPRODUCT(--ISNUMBER(SEARCH(", "&amp;$B61&amp;", ",", "&amp;'Bảng tin &amp; Chi tiết tin'!$B$7:$B$500&amp;", ")),--('Bảng tin &amp; Chi tiết tin'!$AT$7:$AT$500="N/A"))+SUMPRODUCT(--ISNUMBER(SEARCH(", "&amp;$B61&amp;", ",", "&amp;'Quà cảm ơn'!$B$7:$B$500&amp;", ")),--('Quà cảm ơn'!$AT$7:$AT$500="N/A"))+SUMPRODUCT(--ISNUMBER(SEARCH(", "&amp;$B61&amp;", ",", "&amp;'Trang chủ'!$B$7:$B$500&amp;", ")),--('Trang chủ'!$AT$7:$AT$500="N/A"))+SUMPRODUCT(--ISNUMBER(SEARCH(", "&amp;$B61&amp;", ",", "&amp;'Thông báo'!$B$7:$B$500&amp;", ")),--('Thông báo'!$AT$7:$AT$500="N/A"))+SUMPRODUCT(--ISNUMBER(SEARCH(", "&amp;$B61&amp;", ",", "&amp;'Đăng tin &amp; Quản lý tin'!$B$7:$B$500&amp;", ")),--('Đăng tin &amp; Quản lý tin'!$AT$7:$AT$500="N/A"))+SUMPRODUCT(--ISNUMBER(SEARCH(", "&amp;$B61&amp;", ",", "&amp;'Trust &amp; Safety'!$B$7:$B$500&amp;", ")),--('Trust &amp; Safety'!$AT$7:$AT$500="N/A"))+SUMPRODUCT(--ISNUMBER(SEARCH(", "&amp;$B61&amp;", ",", "&amp;'Tài khoản &amp; Hồ sơ'!$B$7:$B$500&amp;", ")),--('Tài khoản &amp; Hồ sơ'!$AT$7:$AT$500="N/A"))</f>
        <v>0</v>
      </c>
      <c r="K61" s="52" t="n">
        <f aca="false">IFERROR(F61/E61,0)</f>
        <v>0</v>
      </c>
      <c r="L61" s="123" t="str">
        <f aca="false">IF(E61=0,"Chưa có TC (gap)",IF(H61&gt;0,"Có lỗi (Fail)",IF(I61&gt;0,"Bị block",IF(F61&lt;E61,"Đang test",IF(G61=0,"Không áp dụng (N/A)","Đã test xong")))))</f>
        <v>Đang test</v>
      </c>
      <c r="AB61" s="1" t="s">
        <v>444</v>
      </c>
    </row>
    <row r="62" customFormat="false" ht="15.75" hidden="false" customHeight="true" outlineLevel="0" collapsed="false">
      <c r="B62" s="175" t="s">
        <v>580</v>
      </c>
      <c r="C62" s="176" t="s">
        <v>581</v>
      </c>
      <c r="D62" s="123" t="s">
        <v>582</v>
      </c>
      <c r="E62" s="51" t="n">
        <f aca="false">SUMPRODUCT(--ISNUMBER(SEARCH(", "&amp;$B62&amp;", ",", "&amp;'Hoạt động (Đơn của tôi)'!$B$7:$B$500&amp;", ")))+SUMPRODUCT(--ISNUMBER(SEARCH(", "&amp;$B62&amp;", ",", "&amp;'Ghép nối'!$B$7:$B$500&amp;", ")))+SUMPRODUCT(--ISNUMBER(SEARCH(", "&amp;$B62&amp;", ",", "&amp;'Huỷ đơn - Huỷ nhận đơn'!$B$7:$B$500&amp;", ")))+SUMPRODUCT(--ISNUMBER(SEARCH(", "&amp;$B62&amp;", ",", "&amp;'Giao nhận &amp; Theo dõi đơn'!$B$7:$B$500&amp;", ")))+SUMPRODUCT(--ISNUMBER(SEARCH(", "&amp;$B62&amp;", ",", "&amp;'Bảng tin &amp; Chi tiết tin'!$B$7:$B$500&amp;", ")))+SUMPRODUCT(--ISNUMBER(SEARCH(", "&amp;$B62&amp;", ",", "&amp;'Quà cảm ơn'!$B$7:$B$500&amp;", ")))+SUMPRODUCT(--ISNUMBER(SEARCH(", "&amp;$B62&amp;", ",", "&amp;'Trang chủ'!$B$7:$B$500&amp;", ")))+SUMPRODUCT(--ISNUMBER(SEARCH(", "&amp;$B62&amp;", ",", "&amp;'Thông báo'!$B$7:$B$500&amp;", ")))+SUMPRODUCT(--ISNUMBER(SEARCH(", "&amp;$B62&amp;", ",", "&amp;'Đăng tin &amp; Quản lý tin'!$B$7:$B$500&amp;", ")))+SUMPRODUCT(--ISNUMBER(SEARCH(", "&amp;$B62&amp;", ",", "&amp;'Trust &amp; Safety'!$B$7:$B$500&amp;", ")))+SUMPRODUCT(--ISNUMBER(SEARCH(", "&amp;$B62&amp;", ",", "&amp;'Tài khoản &amp; Hồ sơ'!$B$7:$B$500&amp;", ")))</f>
        <v>2</v>
      </c>
      <c r="F62" s="51" t="n">
        <f aca="false">SUMPRODUCT(--ISNUMBER(SEARCH(", "&amp;$B62&amp;", ",", "&amp;'Hoạt động (Đơn của tôi)'!$B$7:$B$500&amp;", ")),--('Hoạt động (Đơn của tôi)'!$AT$7:$AT$500&lt;&gt;""))+SUMPRODUCT(--ISNUMBER(SEARCH(", "&amp;$B62&amp;", ",", "&amp;'Ghép nối'!$B$7:$B$500&amp;", ")),--('Ghép nối'!$AT$7:$AT$500&lt;&gt;""))+SUMPRODUCT(--ISNUMBER(SEARCH(", "&amp;$B62&amp;", ",", "&amp;'Huỷ đơn - Huỷ nhận đơn'!$B$7:$B$500&amp;", ")),--('Huỷ đơn - Huỷ nhận đơn'!$AT$7:$AT$500&lt;&gt;""))+SUMPRODUCT(--ISNUMBER(SEARCH(", "&amp;$B62&amp;", ",", "&amp;'Giao nhận &amp; Theo dõi đơn'!$B$7:$B$500&amp;", ")),--('Giao nhận &amp; Theo dõi đơn'!$AT$7:$AT$500&lt;&gt;""))+SUMPRODUCT(--ISNUMBER(SEARCH(", "&amp;$B62&amp;", ",", "&amp;'Bảng tin &amp; Chi tiết tin'!$B$7:$B$500&amp;", ")),--('Bảng tin &amp; Chi tiết tin'!$AT$7:$AT$500&lt;&gt;""))+SUMPRODUCT(--ISNUMBER(SEARCH(", "&amp;$B62&amp;", ",", "&amp;'Quà cảm ơn'!$B$7:$B$500&amp;", ")),--('Quà cảm ơn'!$AT$7:$AT$500&lt;&gt;""))+SUMPRODUCT(--ISNUMBER(SEARCH(", "&amp;$B62&amp;", ",", "&amp;'Trang chủ'!$B$7:$B$500&amp;", ")),--('Trang chủ'!$AT$7:$AT$500&lt;&gt;""))+SUMPRODUCT(--ISNUMBER(SEARCH(", "&amp;$B62&amp;", ",", "&amp;'Thông báo'!$B$7:$B$500&amp;", ")),--('Thông báo'!$AT$7:$AT$500&lt;&gt;""))+SUMPRODUCT(--ISNUMBER(SEARCH(", "&amp;$B62&amp;", ",", "&amp;'Đăng tin &amp; Quản lý tin'!$B$7:$B$500&amp;", ")),--('Đăng tin &amp; Quản lý tin'!$AT$7:$AT$500&lt;&gt;""))+SUMPRODUCT(--ISNUMBER(SEARCH(", "&amp;$B62&amp;", ",", "&amp;'Trust &amp; Safety'!$B$7:$B$500&amp;", ")),--('Trust &amp; Safety'!$AT$7:$AT$500&lt;&gt;""))+SUMPRODUCT(--ISNUMBER(SEARCH(", "&amp;$B62&amp;", ",", "&amp;'Tài khoản &amp; Hồ sơ'!$B$7:$B$500&amp;", ")),--('Tài khoản &amp; Hồ sơ'!$AT$7:$AT$500&lt;&gt;""))</f>
        <v>0</v>
      </c>
      <c r="G62" s="51" t="n">
        <f aca="false">SUMPRODUCT(--ISNUMBER(SEARCH(", "&amp;$B62&amp;", ",", "&amp;'Hoạt động (Đơn của tôi)'!$B$7:$B$500&amp;", ")),--('Hoạt động (Đơn của tôi)'!$AT$7:$AT$500="Pass"))+SUMPRODUCT(--ISNUMBER(SEARCH(", "&amp;$B62&amp;", ",", "&amp;'Ghép nối'!$B$7:$B$500&amp;", ")),--('Ghép nối'!$AT$7:$AT$500="Pass"))+SUMPRODUCT(--ISNUMBER(SEARCH(", "&amp;$B62&amp;", ",", "&amp;'Huỷ đơn - Huỷ nhận đơn'!$B$7:$B$500&amp;", ")),--('Huỷ đơn - Huỷ nhận đơn'!$AT$7:$AT$500="Pass"))+SUMPRODUCT(--ISNUMBER(SEARCH(", "&amp;$B62&amp;", ",", "&amp;'Giao nhận &amp; Theo dõi đơn'!$B$7:$B$500&amp;", ")),--('Giao nhận &amp; Theo dõi đơn'!$AT$7:$AT$500="Pass"))+SUMPRODUCT(--ISNUMBER(SEARCH(", "&amp;$B62&amp;", ",", "&amp;'Bảng tin &amp; Chi tiết tin'!$B$7:$B$500&amp;", ")),--('Bảng tin &amp; Chi tiết tin'!$AT$7:$AT$500="Pass"))+SUMPRODUCT(--ISNUMBER(SEARCH(", "&amp;$B62&amp;", ",", "&amp;'Quà cảm ơn'!$B$7:$B$500&amp;", ")),--('Quà cảm ơn'!$AT$7:$AT$500="Pass"))+SUMPRODUCT(--ISNUMBER(SEARCH(", "&amp;$B62&amp;", ",", "&amp;'Trang chủ'!$B$7:$B$500&amp;", ")),--('Trang chủ'!$AT$7:$AT$500="Pass"))+SUMPRODUCT(--ISNUMBER(SEARCH(", "&amp;$B62&amp;", ",", "&amp;'Thông báo'!$B$7:$B$500&amp;", ")),--('Thông báo'!$AT$7:$AT$500="Pass"))+SUMPRODUCT(--ISNUMBER(SEARCH(", "&amp;$B62&amp;", ",", "&amp;'Đăng tin &amp; Quản lý tin'!$B$7:$B$500&amp;", ")),--('Đăng tin &amp; Quản lý tin'!$AT$7:$AT$500="Pass"))+SUMPRODUCT(--ISNUMBER(SEARCH(", "&amp;$B62&amp;", ",", "&amp;'Trust &amp; Safety'!$B$7:$B$500&amp;", ")),--('Trust &amp; Safety'!$AT$7:$AT$500="Pass"))+SUMPRODUCT(--ISNUMBER(SEARCH(", "&amp;$B62&amp;", ",", "&amp;'Tài khoản &amp; Hồ sơ'!$B$7:$B$500&amp;", ")),--('Tài khoản &amp; Hồ sơ'!$AT$7:$AT$500="Pass"))</f>
        <v>0</v>
      </c>
      <c r="H62" s="51" t="n">
        <f aca="false">SUMPRODUCT(--ISNUMBER(SEARCH(", "&amp;$B62&amp;", ",", "&amp;'Hoạt động (Đơn của tôi)'!$B$7:$B$500&amp;", ")),--('Hoạt động (Đơn của tôi)'!$AT$7:$AT$500="Fail"))+SUMPRODUCT(--ISNUMBER(SEARCH(", "&amp;$B62&amp;", ",", "&amp;'Ghép nối'!$B$7:$B$500&amp;", ")),--('Ghép nối'!$AT$7:$AT$500="Fail"))+SUMPRODUCT(--ISNUMBER(SEARCH(", "&amp;$B62&amp;", ",", "&amp;'Huỷ đơn - Huỷ nhận đơn'!$B$7:$B$500&amp;", ")),--('Huỷ đơn - Huỷ nhận đơn'!$AT$7:$AT$500="Fail"))+SUMPRODUCT(--ISNUMBER(SEARCH(", "&amp;$B62&amp;", ",", "&amp;'Giao nhận &amp; Theo dõi đơn'!$B$7:$B$500&amp;", ")),--('Giao nhận &amp; Theo dõi đơn'!$AT$7:$AT$500="Fail"))+SUMPRODUCT(--ISNUMBER(SEARCH(", "&amp;$B62&amp;", ",", "&amp;'Bảng tin &amp; Chi tiết tin'!$B$7:$B$500&amp;", ")),--('Bảng tin &amp; Chi tiết tin'!$AT$7:$AT$500="Fail"))+SUMPRODUCT(--ISNUMBER(SEARCH(", "&amp;$B62&amp;", ",", "&amp;'Quà cảm ơn'!$B$7:$B$500&amp;", ")),--('Quà cảm ơn'!$AT$7:$AT$500="Fail"))+SUMPRODUCT(--ISNUMBER(SEARCH(", "&amp;$B62&amp;", ",", "&amp;'Trang chủ'!$B$7:$B$500&amp;", ")),--('Trang chủ'!$AT$7:$AT$500="Fail"))+SUMPRODUCT(--ISNUMBER(SEARCH(", "&amp;$B62&amp;", ",", "&amp;'Thông báo'!$B$7:$B$500&amp;", ")),--('Thông báo'!$AT$7:$AT$500="Fail"))+SUMPRODUCT(--ISNUMBER(SEARCH(", "&amp;$B62&amp;", ",", "&amp;'Đăng tin &amp; Quản lý tin'!$B$7:$B$500&amp;", ")),--('Đăng tin &amp; Quản lý tin'!$AT$7:$AT$500="Fail"))+SUMPRODUCT(--ISNUMBER(SEARCH(", "&amp;$B62&amp;", ",", "&amp;'Trust &amp; Safety'!$B$7:$B$500&amp;", ")),--('Trust &amp; Safety'!$AT$7:$AT$500="Fail"))+SUMPRODUCT(--ISNUMBER(SEARCH(", "&amp;$B62&amp;", ",", "&amp;'Tài khoản &amp; Hồ sơ'!$B$7:$B$500&amp;", ")),--('Tài khoản &amp; Hồ sơ'!$AT$7:$AT$500="Fail"))</f>
        <v>0</v>
      </c>
      <c r="I62" s="51" t="n">
        <f aca="false">SUMPRODUCT(--ISNUMBER(SEARCH(", "&amp;$B62&amp;", ",", "&amp;'Hoạt động (Đơn của tôi)'!$B$7:$B$500&amp;", ")),--('Hoạt động (Đơn của tôi)'!$AT$7:$AT$500="Block"))+SUMPRODUCT(--ISNUMBER(SEARCH(", "&amp;$B62&amp;", ",", "&amp;'Ghép nối'!$B$7:$B$500&amp;", ")),--('Ghép nối'!$AT$7:$AT$500="Block"))+SUMPRODUCT(--ISNUMBER(SEARCH(", "&amp;$B62&amp;", ",", "&amp;'Huỷ đơn - Huỷ nhận đơn'!$B$7:$B$500&amp;", ")),--('Huỷ đơn - Huỷ nhận đơn'!$AT$7:$AT$500="Block"))+SUMPRODUCT(--ISNUMBER(SEARCH(", "&amp;$B62&amp;", ",", "&amp;'Giao nhận &amp; Theo dõi đơn'!$B$7:$B$500&amp;", ")),--('Giao nhận &amp; Theo dõi đơn'!$AT$7:$AT$500="Block"))+SUMPRODUCT(--ISNUMBER(SEARCH(", "&amp;$B62&amp;", ",", "&amp;'Bảng tin &amp; Chi tiết tin'!$B$7:$B$500&amp;", ")),--('Bảng tin &amp; Chi tiết tin'!$AT$7:$AT$500="Block"))+SUMPRODUCT(--ISNUMBER(SEARCH(", "&amp;$B62&amp;", ",", "&amp;'Quà cảm ơn'!$B$7:$B$500&amp;", ")),--('Quà cảm ơn'!$AT$7:$AT$500="Block"))+SUMPRODUCT(--ISNUMBER(SEARCH(", "&amp;$B62&amp;", ",", "&amp;'Trang chủ'!$B$7:$B$500&amp;", ")),--('Trang chủ'!$AT$7:$AT$500="Block"))+SUMPRODUCT(--ISNUMBER(SEARCH(", "&amp;$B62&amp;", ",", "&amp;'Thông báo'!$B$7:$B$500&amp;", ")),--('Thông báo'!$AT$7:$AT$500="Block"))+SUMPRODUCT(--ISNUMBER(SEARCH(", "&amp;$B62&amp;", ",", "&amp;'Đăng tin &amp; Quản lý tin'!$B$7:$B$500&amp;", ")),--('Đăng tin &amp; Quản lý tin'!$AT$7:$AT$500="Block"))+SUMPRODUCT(--ISNUMBER(SEARCH(", "&amp;$B62&amp;", ",", "&amp;'Trust &amp; Safety'!$B$7:$B$500&amp;", ")),--('Trust &amp; Safety'!$AT$7:$AT$500="Block"))+SUMPRODUCT(--ISNUMBER(SEARCH(", "&amp;$B62&amp;", ",", "&amp;'Tài khoản &amp; Hồ sơ'!$B$7:$B$500&amp;", ")),--('Tài khoản &amp; Hồ sơ'!$AT$7:$AT$500="Block"))</f>
        <v>0</v>
      </c>
      <c r="J62" s="51" t="n">
        <f aca="false">SUMPRODUCT(--ISNUMBER(SEARCH(", "&amp;$B62&amp;", ",", "&amp;'Hoạt động (Đơn của tôi)'!$B$7:$B$500&amp;", ")),--('Hoạt động (Đơn của tôi)'!$AT$7:$AT$500="N/A"))+SUMPRODUCT(--ISNUMBER(SEARCH(", "&amp;$B62&amp;", ",", "&amp;'Ghép nối'!$B$7:$B$500&amp;", ")),--('Ghép nối'!$AT$7:$AT$500="N/A"))+SUMPRODUCT(--ISNUMBER(SEARCH(", "&amp;$B62&amp;", ",", "&amp;'Huỷ đơn - Huỷ nhận đơn'!$B$7:$B$500&amp;", ")),--('Huỷ đơn - Huỷ nhận đơn'!$AT$7:$AT$500="N/A"))+SUMPRODUCT(--ISNUMBER(SEARCH(", "&amp;$B62&amp;", ",", "&amp;'Giao nhận &amp; Theo dõi đơn'!$B$7:$B$500&amp;", ")),--('Giao nhận &amp; Theo dõi đơn'!$AT$7:$AT$500="N/A"))+SUMPRODUCT(--ISNUMBER(SEARCH(", "&amp;$B62&amp;", ",", "&amp;'Bảng tin &amp; Chi tiết tin'!$B$7:$B$500&amp;", ")),--('Bảng tin &amp; Chi tiết tin'!$AT$7:$AT$500="N/A"))+SUMPRODUCT(--ISNUMBER(SEARCH(", "&amp;$B62&amp;", ",", "&amp;'Quà cảm ơn'!$B$7:$B$500&amp;", ")),--('Quà cảm ơn'!$AT$7:$AT$500="N/A"))+SUMPRODUCT(--ISNUMBER(SEARCH(", "&amp;$B62&amp;", ",", "&amp;'Trang chủ'!$B$7:$B$500&amp;", ")),--('Trang chủ'!$AT$7:$AT$500="N/A"))+SUMPRODUCT(--ISNUMBER(SEARCH(", "&amp;$B62&amp;", ",", "&amp;'Thông báo'!$B$7:$B$500&amp;", ")),--('Thông báo'!$AT$7:$AT$500="N/A"))+SUMPRODUCT(--ISNUMBER(SEARCH(", "&amp;$B62&amp;", ",", "&amp;'Đăng tin &amp; Quản lý tin'!$B$7:$B$500&amp;", ")),--('Đăng tin &amp; Quản lý tin'!$AT$7:$AT$500="N/A"))+SUMPRODUCT(--ISNUMBER(SEARCH(", "&amp;$B62&amp;", ",", "&amp;'Trust &amp; Safety'!$B$7:$B$500&amp;", ")),--('Trust &amp; Safety'!$AT$7:$AT$500="N/A"))+SUMPRODUCT(--ISNUMBER(SEARCH(", "&amp;$B62&amp;", ",", "&amp;'Tài khoản &amp; Hồ sơ'!$B$7:$B$500&amp;", ")),--('Tài khoản &amp; Hồ sơ'!$AT$7:$AT$500="N/A"))</f>
        <v>0</v>
      </c>
      <c r="K62" s="52" t="n">
        <f aca="false">IFERROR(F62/E62,0)</f>
        <v>0</v>
      </c>
      <c r="L62" s="123" t="str">
        <f aca="false">IF(E62=0,"Chưa có TC (gap)",IF(H62&gt;0,"Có lỗi (Fail)",IF(I62&gt;0,"Bị block",IF(F62&lt;E62,"Đang test",IF(G62=0,"Không áp dụng (N/A)","Đã test xong")))))</f>
        <v>Đang test</v>
      </c>
      <c r="AB62" s="1" t="s">
        <v>444</v>
      </c>
    </row>
    <row r="63" customFormat="false" ht="15.75" hidden="false" customHeight="true" outlineLevel="0" collapsed="false">
      <c r="B63" s="175" t="s">
        <v>583</v>
      </c>
      <c r="C63" s="176" t="s">
        <v>584</v>
      </c>
      <c r="D63" s="123" t="s">
        <v>585</v>
      </c>
      <c r="E63" s="51" t="n">
        <f aca="false">SUMPRODUCT(--ISNUMBER(SEARCH(", "&amp;$B63&amp;", ",", "&amp;'Hoạt động (Đơn của tôi)'!$B$7:$B$500&amp;", ")))+SUMPRODUCT(--ISNUMBER(SEARCH(", "&amp;$B63&amp;", ",", "&amp;'Ghép nối'!$B$7:$B$500&amp;", ")))+SUMPRODUCT(--ISNUMBER(SEARCH(", "&amp;$B63&amp;", ",", "&amp;'Huỷ đơn - Huỷ nhận đơn'!$B$7:$B$500&amp;", ")))+SUMPRODUCT(--ISNUMBER(SEARCH(", "&amp;$B63&amp;", ",", "&amp;'Giao nhận &amp; Theo dõi đơn'!$B$7:$B$500&amp;", ")))+SUMPRODUCT(--ISNUMBER(SEARCH(", "&amp;$B63&amp;", ",", "&amp;'Bảng tin &amp; Chi tiết tin'!$B$7:$B$500&amp;", ")))+SUMPRODUCT(--ISNUMBER(SEARCH(", "&amp;$B63&amp;", ",", "&amp;'Quà cảm ơn'!$B$7:$B$500&amp;", ")))+SUMPRODUCT(--ISNUMBER(SEARCH(", "&amp;$B63&amp;", ",", "&amp;'Trang chủ'!$B$7:$B$500&amp;", ")))+SUMPRODUCT(--ISNUMBER(SEARCH(", "&amp;$B63&amp;", ",", "&amp;'Thông báo'!$B$7:$B$500&amp;", ")))+SUMPRODUCT(--ISNUMBER(SEARCH(", "&amp;$B63&amp;", ",", "&amp;'Đăng tin &amp; Quản lý tin'!$B$7:$B$500&amp;", ")))+SUMPRODUCT(--ISNUMBER(SEARCH(", "&amp;$B63&amp;", ",", "&amp;'Trust &amp; Safety'!$B$7:$B$500&amp;", ")))+SUMPRODUCT(--ISNUMBER(SEARCH(", "&amp;$B63&amp;", ",", "&amp;'Tài khoản &amp; Hồ sơ'!$B$7:$B$500&amp;", ")))</f>
        <v>4</v>
      </c>
      <c r="F63" s="51" t="n">
        <f aca="false">SUMPRODUCT(--ISNUMBER(SEARCH(", "&amp;$B63&amp;", ",", "&amp;'Hoạt động (Đơn của tôi)'!$B$7:$B$500&amp;", ")),--('Hoạt động (Đơn của tôi)'!$AT$7:$AT$500&lt;&gt;""))+SUMPRODUCT(--ISNUMBER(SEARCH(", "&amp;$B63&amp;", ",", "&amp;'Ghép nối'!$B$7:$B$500&amp;", ")),--('Ghép nối'!$AT$7:$AT$500&lt;&gt;""))+SUMPRODUCT(--ISNUMBER(SEARCH(", "&amp;$B63&amp;", ",", "&amp;'Huỷ đơn - Huỷ nhận đơn'!$B$7:$B$500&amp;", ")),--('Huỷ đơn - Huỷ nhận đơn'!$AT$7:$AT$500&lt;&gt;""))+SUMPRODUCT(--ISNUMBER(SEARCH(", "&amp;$B63&amp;", ",", "&amp;'Giao nhận &amp; Theo dõi đơn'!$B$7:$B$500&amp;", ")),--('Giao nhận &amp; Theo dõi đơn'!$AT$7:$AT$500&lt;&gt;""))+SUMPRODUCT(--ISNUMBER(SEARCH(", "&amp;$B63&amp;", ",", "&amp;'Bảng tin &amp; Chi tiết tin'!$B$7:$B$500&amp;", ")),--('Bảng tin &amp; Chi tiết tin'!$AT$7:$AT$500&lt;&gt;""))+SUMPRODUCT(--ISNUMBER(SEARCH(", "&amp;$B63&amp;", ",", "&amp;'Quà cảm ơn'!$B$7:$B$500&amp;", ")),--('Quà cảm ơn'!$AT$7:$AT$500&lt;&gt;""))+SUMPRODUCT(--ISNUMBER(SEARCH(", "&amp;$B63&amp;", ",", "&amp;'Trang chủ'!$B$7:$B$500&amp;", ")),--('Trang chủ'!$AT$7:$AT$500&lt;&gt;""))+SUMPRODUCT(--ISNUMBER(SEARCH(", "&amp;$B63&amp;", ",", "&amp;'Thông báo'!$B$7:$B$500&amp;", ")),--('Thông báo'!$AT$7:$AT$500&lt;&gt;""))+SUMPRODUCT(--ISNUMBER(SEARCH(", "&amp;$B63&amp;", ",", "&amp;'Đăng tin &amp; Quản lý tin'!$B$7:$B$500&amp;", ")),--('Đăng tin &amp; Quản lý tin'!$AT$7:$AT$500&lt;&gt;""))+SUMPRODUCT(--ISNUMBER(SEARCH(", "&amp;$B63&amp;", ",", "&amp;'Trust &amp; Safety'!$B$7:$B$500&amp;", ")),--('Trust &amp; Safety'!$AT$7:$AT$500&lt;&gt;""))+SUMPRODUCT(--ISNUMBER(SEARCH(", "&amp;$B63&amp;", ",", "&amp;'Tài khoản &amp; Hồ sơ'!$B$7:$B$500&amp;", ")),--('Tài khoản &amp; Hồ sơ'!$AT$7:$AT$500&lt;&gt;""))</f>
        <v>0</v>
      </c>
      <c r="G63" s="51" t="n">
        <f aca="false">SUMPRODUCT(--ISNUMBER(SEARCH(", "&amp;$B63&amp;", ",", "&amp;'Hoạt động (Đơn của tôi)'!$B$7:$B$500&amp;", ")),--('Hoạt động (Đơn của tôi)'!$AT$7:$AT$500="Pass"))+SUMPRODUCT(--ISNUMBER(SEARCH(", "&amp;$B63&amp;", ",", "&amp;'Ghép nối'!$B$7:$B$500&amp;", ")),--('Ghép nối'!$AT$7:$AT$500="Pass"))+SUMPRODUCT(--ISNUMBER(SEARCH(", "&amp;$B63&amp;", ",", "&amp;'Huỷ đơn - Huỷ nhận đơn'!$B$7:$B$500&amp;", ")),--('Huỷ đơn - Huỷ nhận đơn'!$AT$7:$AT$500="Pass"))+SUMPRODUCT(--ISNUMBER(SEARCH(", "&amp;$B63&amp;", ",", "&amp;'Giao nhận &amp; Theo dõi đơn'!$B$7:$B$500&amp;", ")),--('Giao nhận &amp; Theo dõi đơn'!$AT$7:$AT$500="Pass"))+SUMPRODUCT(--ISNUMBER(SEARCH(", "&amp;$B63&amp;", ",", "&amp;'Bảng tin &amp; Chi tiết tin'!$B$7:$B$500&amp;", ")),--('Bảng tin &amp; Chi tiết tin'!$AT$7:$AT$500="Pass"))+SUMPRODUCT(--ISNUMBER(SEARCH(", "&amp;$B63&amp;", ",", "&amp;'Quà cảm ơn'!$B$7:$B$500&amp;", ")),--('Quà cảm ơn'!$AT$7:$AT$500="Pass"))+SUMPRODUCT(--ISNUMBER(SEARCH(", "&amp;$B63&amp;", ",", "&amp;'Trang chủ'!$B$7:$B$500&amp;", ")),--('Trang chủ'!$AT$7:$AT$500="Pass"))+SUMPRODUCT(--ISNUMBER(SEARCH(", "&amp;$B63&amp;", ",", "&amp;'Thông báo'!$B$7:$B$500&amp;", ")),--('Thông báo'!$AT$7:$AT$500="Pass"))+SUMPRODUCT(--ISNUMBER(SEARCH(", "&amp;$B63&amp;", ",", "&amp;'Đăng tin &amp; Quản lý tin'!$B$7:$B$500&amp;", ")),--('Đăng tin &amp; Quản lý tin'!$AT$7:$AT$500="Pass"))+SUMPRODUCT(--ISNUMBER(SEARCH(", "&amp;$B63&amp;", ",", "&amp;'Trust &amp; Safety'!$B$7:$B$500&amp;", ")),--('Trust &amp; Safety'!$AT$7:$AT$500="Pass"))+SUMPRODUCT(--ISNUMBER(SEARCH(", "&amp;$B63&amp;", ",", "&amp;'Tài khoản &amp; Hồ sơ'!$B$7:$B$500&amp;", ")),--('Tài khoản &amp; Hồ sơ'!$AT$7:$AT$500="Pass"))</f>
        <v>0</v>
      </c>
      <c r="H63" s="51" t="n">
        <f aca="false">SUMPRODUCT(--ISNUMBER(SEARCH(", "&amp;$B63&amp;", ",", "&amp;'Hoạt động (Đơn của tôi)'!$B$7:$B$500&amp;", ")),--('Hoạt động (Đơn của tôi)'!$AT$7:$AT$500="Fail"))+SUMPRODUCT(--ISNUMBER(SEARCH(", "&amp;$B63&amp;", ",", "&amp;'Ghép nối'!$B$7:$B$500&amp;", ")),--('Ghép nối'!$AT$7:$AT$500="Fail"))+SUMPRODUCT(--ISNUMBER(SEARCH(", "&amp;$B63&amp;", ",", "&amp;'Huỷ đơn - Huỷ nhận đơn'!$B$7:$B$500&amp;", ")),--('Huỷ đơn - Huỷ nhận đơn'!$AT$7:$AT$500="Fail"))+SUMPRODUCT(--ISNUMBER(SEARCH(", "&amp;$B63&amp;", ",", "&amp;'Giao nhận &amp; Theo dõi đơn'!$B$7:$B$500&amp;", ")),--('Giao nhận &amp; Theo dõi đơn'!$AT$7:$AT$500="Fail"))+SUMPRODUCT(--ISNUMBER(SEARCH(", "&amp;$B63&amp;", ",", "&amp;'Bảng tin &amp; Chi tiết tin'!$B$7:$B$500&amp;", ")),--('Bảng tin &amp; Chi tiết tin'!$AT$7:$AT$500="Fail"))+SUMPRODUCT(--ISNUMBER(SEARCH(", "&amp;$B63&amp;", ",", "&amp;'Quà cảm ơn'!$B$7:$B$500&amp;", ")),--('Quà cảm ơn'!$AT$7:$AT$500="Fail"))+SUMPRODUCT(--ISNUMBER(SEARCH(", "&amp;$B63&amp;", ",", "&amp;'Trang chủ'!$B$7:$B$500&amp;", ")),--('Trang chủ'!$AT$7:$AT$500="Fail"))+SUMPRODUCT(--ISNUMBER(SEARCH(", "&amp;$B63&amp;", ",", "&amp;'Thông báo'!$B$7:$B$500&amp;", ")),--('Thông báo'!$AT$7:$AT$500="Fail"))+SUMPRODUCT(--ISNUMBER(SEARCH(", "&amp;$B63&amp;", ",", "&amp;'Đăng tin &amp; Quản lý tin'!$B$7:$B$500&amp;", ")),--('Đăng tin &amp; Quản lý tin'!$AT$7:$AT$500="Fail"))+SUMPRODUCT(--ISNUMBER(SEARCH(", "&amp;$B63&amp;", ",", "&amp;'Trust &amp; Safety'!$B$7:$B$500&amp;", ")),--('Trust &amp; Safety'!$AT$7:$AT$500="Fail"))+SUMPRODUCT(--ISNUMBER(SEARCH(", "&amp;$B63&amp;", ",", "&amp;'Tài khoản &amp; Hồ sơ'!$B$7:$B$500&amp;", ")),--('Tài khoản &amp; Hồ sơ'!$AT$7:$AT$500="Fail"))</f>
        <v>0</v>
      </c>
      <c r="I63" s="51" t="n">
        <f aca="false">SUMPRODUCT(--ISNUMBER(SEARCH(", "&amp;$B63&amp;", ",", "&amp;'Hoạt động (Đơn của tôi)'!$B$7:$B$500&amp;", ")),--('Hoạt động (Đơn của tôi)'!$AT$7:$AT$500="Block"))+SUMPRODUCT(--ISNUMBER(SEARCH(", "&amp;$B63&amp;", ",", "&amp;'Ghép nối'!$B$7:$B$500&amp;", ")),--('Ghép nối'!$AT$7:$AT$500="Block"))+SUMPRODUCT(--ISNUMBER(SEARCH(", "&amp;$B63&amp;", ",", "&amp;'Huỷ đơn - Huỷ nhận đơn'!$B$7:$B$500&amp;", ")),--('Huỷ đơn - Huỷ nhận đơn'!$AT$7:$AT$500="Block"))+SUMPRODUCT(--ISNUMBER(SEARCH(", "&amp;$B63&amp;", ",", "&amp;'Giao nhận &amp; Theo dõi đơn'!$B$7:$B$500&amp;", ")),--('Giao nhận &amp; Theo dõi đơn'!$AT$7:$AT$500="Block"))+SUMPRODUCT(--ISNUMBER(SEARCH(", "&amp;$B63&amp;", ",", "&amp;'Bảng tin &amp; Chi tiết tin'!$B$7:$B$500&amp;", ")),--('Bảng tin &amp; Chi tiết tin'!$AT$7:$AT$500="Block"))+SUMPRODUCT(--ISNUMBER(SEARCH(", "&amp;$B63&amp;", ",", "&amp;'Quà cảm ơn'!$B$7:$B$500&amp;", ")),--('Quà cảm ơn'!$AT$7:$AT$500="Block"))+SUMPRODUCT(--ISNUMBER(SEARCH(", "&amp;$B63&amp;", ",", "&amp;'Trang chủ'!$B$7:$B$500&amp;", ")),--('Trang chủ'!$AT$7:$AT$500="Block"))+SUMPRODUCT(--ISNUMBER(SEARCH(", "&amp;$B63&amp;", ",", "&amp;'Thông báo'!$B$7:$B$500&amp;", ")),--('Thông báo'!$AT$7:$AT$500="Block"))+SUMPRODUCT(--ISNUMBER(SEARCH(", "&amp;$B63&amp;", ",", "&amp;'Đăng tin &amp; Quản lý tin'!$B$7:$B$500&amp;", ")),--('Đăng tin &amp; Quản lý tin'!$AT$7:$AT$500="Block"))+SUMPRODUCT(--ISNUMBER(SEARCH(", "&amp;$B63&amp;", ",", "&amp;'Trust &amp; Safety'!$B$7:$B$500&amp;", ")),--('Trust &amp; Safety'!$AT$7:$AT$500="Block"))+SUMPRODUCT(--ISNUMBER(SEARCH(", "&amp;$B63&amp;", ",", "&amp;'Tài khoản &amp; Hồ sơ'!$B$7:$B$500&amp;", ")),--('Tài khoản &amp; Hồ sơ'!$AT$7:$AT$500="Block"))</f>
        <v>0</v>
      </c>
      <c r="J63" s="51" t="n">
        <f aca="false">SUMPRODUCT(--ISNUMBER(SEARCH(", "&amp;$B63&amp;", ",", "&amp;'Hoạt động (Đơn của tôi)'!$B$7:$B$500&amp;", ")),--('Hoạt động (Đơn của tôi)'!$AT$7:$AT$500="N/A"))+SUMPRODUCT(--ISNUMBER(SEARCH(", "&amp;$B63&amp;", ",", "&amp;'Ghép nối'!$B$7:$B$500&amp;", ")),--('Ghép nối'!$AT$7:$AT$500="N/A"))+SUMPRODUCT(--ISNUMBER(SEARCH(", "&amp;$B63&amp;", ",", "&amp;'Huỷ đơn - Huỷ nhận đơn'!$B$7:$B$500&amp;", ")),--('Huỷ đơn - Huỷ nhận đơn'!$AT$7:$AT$500="N/A"))+SUMPRODUCT(--ISNUMBER(SEARCH(", "&amp;$B63&amp;", ",", "&amp;'Giao nhận &amp; Theo dõi đơn'!$B$7:$B$500&amp;", ")),--('Giao nhận &amp; Theo dõi đơn'!$AT$7:$AT$500="N/A"))+SUMPRODUCT(--ISNUMBER(SEARCH(", "&amp;$B63&amp;", ",", "&amp;'Bảng tin &amp; Chi tiết tin'!$B$7:$B$500&amp;", ")),--('Bảng tin &amp; Chi tiết tin'!$AT$7:$AT$500="N/A"))+SUMPRODUCT(--ISNUMBER(SEARCH(", "&amp;$B63&amp;", ",", "&amp;'Quà cảm ơn'!$B$7:$B$500&amp;", ")),--('Quà cảm ơn'!$AT$7:$AT$500="N/A"))+SUMPRODUCT(--ISNUMBER(SEARCH(", "&amp;$B63&amp;", ",", "&amp;'Trang chủ'!$B$7:$B$500&amp;", ")),--('Trang chủ'!$AT$7:$AT$500="N/A"))+SUMPRODUCT(--ISNUMBER(SEARCH(", "&amp;$B63&amp;", ",", "&amp;'Thông báo'!$B$7:$B$500&amp;", ")),--('Thông báo'!$AT$7:$AT$500="N/A"))+SUMPRODUCT(--ISNUMBER(SEARCH(", "&amp;$B63&amp;", ",", "&amp;'Đăng tin &amp; Quản lý tin'!$B$7:$B$500&amp;", ")),--('Đăng tin &amp; Quản lý tin'!$AT$7:$AT$500="N/A"))+SUMPRODUCT(--ISNUMBER(SEARCH(", "&amp;$B63&amp;", ",", "&amp;'Trust &amp; Safety'!$B$7:$B$500&amp;", ")),--('Trust &amp; Safety'!$AT$7:$AT$500="N/A"))+SUMPRODUCT(--ISNUMBER(SEARCH(", "&amp;$B63&amp;", ",", "&amp;'Tài khoản &amp; Hồ sơ'!$B$7:$B$500&amp;", ")),--('Tài khoản &amp; Hồ sơ'!$AT$7:$AT$500="N/A"))</f>
        <v>0</v>
      </c>
      <c r="K63" s="52" t="n">
        <f aca="false">IFERROR(F63/E63,0)</f>
        <v>0</v>
      </c>
      <c r="L63" s="123" t="str">
        <f aca="false">IF(E63=0,"Chưa có TC (gap)",IF(H63&gt;0,"Có lỗi (Fail)",IF(I63&gt;0,"Bị block",IF(F63&lt;E63,"Đang test",IF(G63=0,"Không áp dụng (N/A)","Đã test xong")))))</f>
        <v>Đang test</v>
      </c>
      <c r="AB63" s="1" t="s">
        <v>444</v>
      </c>
    </row>
    <row r="64" customFormat="false" ht="15.75" hidden="false" customHeight="true" outlineLevel="0" collapsed="false">
      <c r="B64" s="175" t="s">
        <v>586</v>
      </c>
      <c r="C64" s="176" t="s">
        <v>587</v>
      </c>
      <c r="D64" s="123" t="s">
        <v>588</v>
      </c>
      <c r="E64" s="51" t="n">
        <f aca="false">SUMPRODUCT(--ISNUMBER(SEARCH(", "&amp;$B64&amp;", ",", "&amp;'Hoạt động (Đơn của tôi)'!$B$7:$B$500&amp;", ")))+SUMPRODUCT(--ISNUMBER(SEARCH(", "&amp;$B64&amp;", ",", "&amp;'Ghép nối'!$B$7:$B$500&amp;", ")))+SUMPRODUCT(--ISNUMBER(SEARCH(", "&amp;$B64&amp;", ",", "&amp;'Huỷ đơn - Huỷ nhận đơn'!$B$7:$B$500&amp;", ")))+SUMPRODUCT(--ISNUMBER(SEARCH(", "&amp;$B64&amp;", ",", "&amp;'Giao nhận &amp; Theo dõi đơn'!$B$7:$B$500&amp;", ")))+SUMPRODUCT(--ISNUMBER(SEARCH(", "&amp;$B64&amp;", ",", "&amp;'Bảng tin &amp; Chi tiết tin'!$B$7:$B$500&amp;", ")))+SUMPRODUCT(--ISNUMBER(SEARCH(", "&amp;$B64&amp;", ",", "&amp;'Quà cảm ơn'!$B$7:$B$500&amp;", ")))+SUMPRODUCT(--ISNUMBER(SEARCH(", "&amp;$B64&amp;", ",", "&amp;'Trang chủ'!$B$7:$B$500&amp;", ")))+SUMPRODUCT(--ISNUMBER(SEARCH(", "&amp;$B64&amp;", ",", "&amp;'Thông báo'!$B$7:$B$500&amp;", ")))+SUMPRODUCT(--ISNUMBER(SEARCH(", "&amp;$B64&amp;", ",", "&amp;'Đăng tin &amp; Quản lý tin'!$B$7:$B$500&amp;", ")))+SUMPRODUCT(--ISNUMBER(SEARCH(", "&amp;$B64&amp;", ",", "&amp;'Trust &amp; Safety'!$B$7:$B$500&amp;", ")))+SUMPRODUCT(--ISNUMBER(SEARCH(", "&amp;$B64&amp;", ",", "&amp;'Tài khoản &amp; Hồ sơ'!$B$7:$B$500&amp;", ")))</f>
        <v>2</v>
      </c>
      <c r="F64" s="51" t="n">
        <f aca="false">SUMPRODUCT(--ISNUMBER(SEARCH(", "&amp;$B64&amp;", ",", "&amp;'Hoạt động (Đơn của tôi)'!$B$7:$B$500&amp;", ")),--('Hoạt động (Đơn của tôi)'!$AT$7:$AT$500&lt;&gt;""))+SUMPRODUCT(--ISNUMBER(SEARCH(", "&amp;$B64&amp;", ",", "&amp;'Ghép nối'!$B$7:$B$500&amp;", ")),--('Ghép nối'!$AT$7:$AT$500&lt;&gt;""))+SUMPRODUCT(--ISNUMBER(SEARCH(", "&amp;$B64&amp;", ",", "&amp;'Huỷ đơn - Huỷ nhận đơn'!$B$7:$B$500&amp;", ")),--('Huỷ đơn - Huỷ nhận đơn'!$AT$7:$AT$500&lt;&gt;""))+SUMPRODUCT(--ISNUMBER(SEARCH(", "&amp;$B64&amp;", ",", "&amp;'Giao nhận &amp; Theo dõi đơn'!$B$7:$B$500&amp;", ")),--('Giao nhận &amp; Theo dõi đơn'!$AT$7:$AT$500&lt;&gt;""))+SUMPRODUCT(--ISNUMBER(SEARCH(", "&amp;$B64&amp;", ",", "&amp;'Bảng tin &amp; Chi tiết tin'!$B$7:$B$500&amp;", ")),--('Bảng tin &amp; Chi tiết tin'!$AT$7:$AT$500&lt;&gt;""))+SUMPRODUCT(--ISNUMBER(SEARCH(", "&amp;$B64&amp;", ",", "&amp;'Quà cảm ơn'!$B$7:$B$500&amp;", ")),--('Quà cảm ơn'!$AT$7:$AT$500&lt;&gt;""))+SUMPRODUCT(--ISNUMBER(SEARCH(", "&amp;$B64&amp;", ",", "&amp;'Trang chủ'!$B$7:$B$500&amp;", ")),--('Trang chủ'!$AT$7:$AT$500&lt;&gt;""))+SUMPRODUCT(--ISNUMBER(SEARCH(", "&amp;$B64&amp;", ",", "&amp;'Thông báo'!$B$7:$B$500&amp;", ")),--('Thông báo'!$AT$7:$AT$500&lt;&gt;""))+SUMPRODUCT(--ISNUMBER(SEARCH(", "&amp;$B64&amp;", ",", "&amp;'Đăng tin &amp; Quản lý tin'!$B$7:$B$500&amp;", ")),--('Đăng tin &amp; Quản lý tin'!$AT$7:$AT$500&lt;&gt;""))+SUMPRODUCT(--ISNUMBER(SEARCH(", "&amp;$B64&amp;", ",", "&amp;'Trust &amp; Safety'!$B$7:$B$500&amp;", ")),--('Trust &amp; Safety'!$AT$7:$AT$500&lt;&gt;""))+SUMPRODUCT(--ISNUMBER(SEARCH(", "&amp;$B64&amp;", ",", "&amp;'Tài khoản &amp; Hồ sơ'!$B$7:$B$500&amp;", ")),--('Tài khoản &amp; Hồ sơ'!$AT$7:$AT$500&lt;&gt;""))</f>
        <v>0</v>
      </c>
      <c r="G64" s="51" t="n">
        <f aca="false">SUMPRODUCT(--ISNUMBER(SEARCH(", "&amp;$B64&amp;", ",", "&amp;'Hoạt động (Đơn của tôi)'!$B$7:$B$500&amp;", ")),--('Hoạt động (Đơn của tôi)'!$AT$7:$AT$500="Pass"))+SUMPRODUCT(--ISNUMBER(SEARCH(", "&amp;$B64&amp;", ",", "&amp;'Ghép nối'!$B$7:$B$500&amp;", ")),--('Ghép nối'!$AT$7:$AT$500="Pass"))+SUMPRODUCT(--ISNUMBER(SEARCH(", "&amp;$B64&amp;", ",", "&amp;'Huỷ đơn - Huỷ nhận đơn'!$B$7:$B$500&amp;", ")),--('Huỷ đơn - Huỷ nhận đơn'!$AT$7:$AT$500="Pass"))+SUMPRODUCT(--ISNUMBER(SEARCH(", "&amp;$B64&amp;", ",", "&amp;'Giao nhận &amp; Theo dõi đơn'!$B$7:$B$500&amp;", ")),--('Giao nhận &amp; Theo dõi đơn'!$AT$7:$AT$500="Pass"))+SUMPRODUCT(--ISNUMBER(SEARCH(", "&amp;$B64&amp;", ",", "&amp;'Bảng tin &amp; Chi tiết tin'!$B$7:$B$500&amp;", ")),--('Bảng tin &amp; Chi tiết tin'!$AT$7:$AT$500="Pass"))+SUMPRODUCT(--ISNUMBER(SEARCH(", "&amp;$B64&amp;", ",", "&amp;'Quà cảm ơn'!$B$7:$B$500&amp;", ")),--('Quà cảm ơn'!$AT$7:$AT$500="Pass"))+SUMPRODUCT(--ISNUMBER(SEARCH(", "&amp;$B64&amp;", ",", "&amp;'Trang chủ'!$B$7:$B$500&amp;", ")),--('Trang chủ'!$AT$7:$AT$500="Pass"))+SUMPRODUCT(--ISNUMBER(SEARCH(", "&amp;$B64&amp;", ",", "&amp;'Thông báo'!$B$7:$B$500&amp;", ")),--('Thông báo'!$AT$7:$AT$500="Pass"))+SUMPRODUCT(--ISNUMBER(SEARCH(", "&amp;$B64&amp;", ",", "&amp;'Đăng tin &amp; Quản lý tin'!$B$7:$B$500&amp;", ")),--('Đăng tin &amp; Quản lý tin'!$AT$7:$AT$500="Pass"))+SUMPRODUCT(--ISNUMBER(SEARCH(", "&amp;$B64&amp;", ",", "&amp;'Trust &amp; Safety'!$B$7:$B$500&amp;", ")),--('Trust &amp; Safety'!$AT$7:$AT$500="Pass"))+SUMPRODUCT(--ISNUMBER(SEARCH(", "&amp;$B64&amp;", ",", "&amp;'Tài khoản &amp; Hồ sơ'!$B$7:$B$500&amp;", ")),--('Tài khoản &amp; Hồ sơ'!$AT$7:$AT$500="Pass"))</f>
        <v>0</v>
      </c>
      <c r="H64" s="51" t="n">
        <f aca="false">SUMPRODUCT(--ISNUMBER(SEARCH(", "&amp;$B64&amp;", ",", "&amp;'Hoạt động (Đơn của tôi)'!$B$7:$B$500&amp;", ")),--('Hoạt động (Đơn của tôi)'!$AT$7:$AT$500="Fail"))+SUMPRODUCT(--ISNUMBER(SEARCH(", "&amp;$B64&amp;", ",", "&amp;'Ghép nối'!$B$7:$B$500&amp;", ")),--('Ghép nối'!$AT$7:$AT$500="Fail"))+SUMPRODUCT(--ISNUMBER(SEARCH(", "&amp;$B64&amp;", ",", "&amp;'Huỷ đơn - Huỷ nhận đơn'!$B$7:$B$500&amp;", ")),--('Huỷ đơn - Huỷ nhận đơn'!$AT$7:$AT$500="Fail"))+SUMPRODUCT(--ISNUMBER(SEARCH(", "&amp;$B64&amp;", ",", "&amp;'Giao nhận &amp; Theo dõi đơn'!$B$7:$B$500&amp;", ")),--('Giao nhận &amp; Theo dõi đơn'!$AT$7:$AT$500="Fail"))+SUMPRODUCT(--ISNUMBER(SEARCH(", "&amp;$B64&amp;", ",", "&amp;'Bảng tin &amp; Chi tiết tin'!$B$7:$B$500&amp;", ")),--('Bảng tin &amp; Chi tiết tin'!$AT$7:$AT$500="Fail"))+SUMPRODUCT(--ISNUMBER(SEARCH(", "&amp;$B64&amp;", ",", "&amp;'Quà cảm ơn'!$B$7:$B$500&amp;", ")),--('Quà cảm ơn'!$AT$7:$AT$500="Fail"))+SUMPRODUCT(--ISNUMBER(SEARCH(", "&amp;$B64&amp;", ",", "&amp;'Trang chủ'!$B$7:$B$500&amp;", ")),--('Trang chủ'!$AT$7:$AT$500="Fail"))+SUMPRODUCT(--ISNUMBER(SEARCH(", "&amp;$B64&amp;", ",", "&amp;'Thông báo'!$B$7:$B$500&amp;", ")),--('Thông báo'!$AT$7:$AT$500="Fail"))+SUMPRODUCT(--ISNUMBER(SEARCH(", "&amp;$B64&amp;", ",", "&amp;'Đăng tin &amp; Quản lý tin'!$B$7:$B$500&amp;", ")),--('Đăng tin &amp; Quản lý tin'!$AT$7:$AT$500="Fail"))+SUMPRODUCT(--ISNUMBER(SEARCH(", "&amp;$B64&amp;", ",", "&amp;'Trust &amp; Safety'!$B$7:$B$500&amp;", ")),--('Trust &amp; Safety'!$AT$7:$AT$500="Fail"))+SUMPRODUCT(--ISNUMBER(SEARCH(", "&amp;$B64&amp;", ",", "&amp;'Tài khoản &amp; Hồ sơ'!$B$7:$B$500&amp;", ")),--('Tài khoản &amp; Hồ sơ'!$AT$7:$AT$500="Fail"))</f>
        <v>0</v>
      </c>
      <c r="I64" s="51" t="n">
        <f aca="false">SUMPRODUCT(--ISNUMBER(SEARCH(", "&amp;$B64&amp;", ",", "&amp;'Hoạt động (Đơn của tôi)'!$B$7:$B$500&amp;", ")),--('Hoạt động (Đơn của tôi)'!$AT$7:$AT$500="Block"))+SUMPRODUCT(--ISNUMBER(SEARCH(", "&amp;$B64&amp;", ",", "&amp;'Ghép nối'!$B$7:$B$500&amp;", ")),--('Ghép nối'!$AT$7:$AT$500="Block"))+SUMPRODUCT(--ISNUMBER(SEARCH(", "&amp;$B64&amp;", ",", "&amp;'Huỷ đơn - Huỷ nhận đơn'!$B$7:$B$500&amp;", ")),--('Huỷ đơn - Huỷ nhận đơn'!$AT$7:$AT$500="Block"))+SUMPRODUCT(--ISNUMBER(SEARCH(", "&amp;$B64&amp;", ",", "&amp;'Giao nhận &amp; Theo dõi đơn'!$B$7:$B$500&amp;", ")),--('Giao nhận &amp; Theo dõi đơn'!$AT$7:$AT$500="Block"))+SUMPRODUCT(--ISNUMBER(SEARCH(", "&amp;$B64&amp;", ",", "&amp;'Bảng tin &amp; Chi tiết tin'!$B$7:$B$500&amp;", ")),--('Bảng tin &amp; Chi tiết tin'!$AT$7:$AT$500="Block"))+SUMPRODUCT(--ISNUMBER(SEARCH(", "&amp;$B64&amp;", ",", "&amp;'Quà cảm ơn'!$B$7:$B$500&amp;", ")),--('Quà cảm ơn'!$AT$7:$AT$500="Block"))+SUMPRODUCT(--ISNUMBER(SEARCH(", "&amp;$B64&amp;", ",", "&amp;'Trang chủ'!$B$7:$B$500&amp;", ")),--('Trang chủ'!$AT$7:$AT$500="Block"))+SUMPRODUCT(--ISNUMBER(SEARCH(", "&amp;$B64&amp;", ",", "&amp;'Thông báo'!$B$7:$B$500&amp;", ")),--('Thông báo'!$AT$7:$AT$500="Block"))+SUMPRODUCT(--ISNUMBER(SEARCH(", "&amp;$B64&amp;", ",", "&amp;'Đăng tin &amp; Quản lý tin'!$B$7:$B$500&amp;", ")),--('Đăng tin &amp; Quản lý tin'!$AT$7:$AT$500="Block"))+SUMPRODUCT(--ISNUMBER(SEARCH(", "&amp;$B64&amp;", ",", "&amp;'Trust &amp; Safety'!$B$7:$B$500&amp;", ")),--('Trust &amp; Safety'!$AT$7:$AT$500="Block"))+SUMPRODUCT(--ISNUMBER(SEARCH(", "&amp;$B64&amp;", ",", "&amp;'Tài khoản &amp; Hồ sơ'!$B$7:$B$500&amp;", ")),--('Tài khoản &amp; Hồ sơ'!$AT$7:$AT$500="Block"))</f>
        <v>0</v>
      </c>
      <c r="J64" s="51" t="n">
        <f aca="false">SUMPRODUCT(--ISNUMBER(SEARCH(", "&amp;$B64&amp;", ",", "&amp;'Hoạt động (Đơn của tôi)'!$B$7:$B$500&amp;", ")),--('Hoạt động (Đơn của tôi)'!$AT$7:$AT$500="N/A"))+SUMPRODUCT(--ISNUMBER(SEARCH(", "&amp;$B64&amp;", ",", "&amp;'Ghép nối'!$B$7:$B$500&amp;", ")),--('Ghép nối'!$AT$7:$AT$500="N/A"))+SUMPRODUCT(--ISNUMBER(SEARCH(", "&amp;$B64&amp;", ",", "&amp;'Huỷ đơn - Huỷ nhận đơn'!$B$7:$B$500&amp;", ")),--('Huỷ đơn - Huỷ nhận đơn'!$AT$7:$AT$500="N/A"))+SUMPRODUCT(--ISNUMBER(SEARCH(", "&amp;$B64&amp;", ",", "&amp;'Giao nhận &amp; Theo dõi đơn'!$B$7:$B$500&amp;", ")),--('Giao nhận &amp; Theo dõi đơn'!$AT$7:$AT$500="N/A"))+SUMPRODUCT(--ISNUMBER(SEARCH(", "&amp;$B64&amp;", ",", "&amp;'Bảng tin &amp; Chi tiết tin'!$B$7:$B$500&amp;", ")),--('Bảng tin &amp; Chi tiết tin'!$AT$7:$AT$500="N/A"))+SUMPRODUCT(--ISNUMBER(SEARCH(", "&amp;$B64&amp;", ",", "&amp;'Quà cảm ơn'!$B$7:$B$500&amp;", ")),--('Quà cảm ơn'!$AT$7:$AT$500="N/A"))+SUMPRODUCT(--ISNUMBER(SEARCH(", "&amp;$B64&amp;", ",", "&amp;'Trang chủ'!$B$7:$B$500&amp;", ")),--('Trang chủ'!$AT$7:$AT$500="N/A"))+SUMPRODUCT(--ISNUMBER(SEARCH(", "&amp;$B64&amp;", ",", "&amp;'Thông báo'!$B$7:$B$500&amp;", ")),--('Thông báo'!$AT$7:$AT$500="N/A"))+SUMPRODUCT(--ISNUMBER(SEARCH(", "&amp;$B64&amp;", ",", "&amp;'Đăng tin &amp; Quản lý tin'!$B$7:$B$500&amp;", ")),--('Đăng tin &amp; Quản lý tin'!$AT$7:$AT$500="N/A"))+SUMPRODUCT(--ISNUMBER(SEARCH(", "&amp;$B64&amp;", ",", "&amp;'Trust &amp; Safety'!$B$7:$B$500&amp;", ")),--('Trust &amp; Safety'!$AT$7:$AT$500="N/A"))+SUMPRODUCT(--ISNUMBER(SEARCH(", "&amp;$B64&amp;", ",", "&amp;'Tài khoản &amp; Hồ sơ'!$B$7:$B$500&amp;", ")),--('Tài khoản &amp; Hồ sơ'!$AT$7:$AT$500="N/A"))</f>
        <v>0</v>
      </c>
      <c r="K64" s="52" t="n">
        <f aca="false">IFERROR(F64/E64,0)</f>
        <v>0</v>
      </c>
      <c r="L64" s="123" t="str">
        <f aca="false">IF(E64=0,"Chưa có TC (gap)",IF(H64&gt;0,"Có lỗi (Fail)",IF(I64&gt;0,"Bị block",IF(F64&lt;E64,"Đang test",IF(G64=0,"Không áp dụng (N/A)","Đã test xong")))))</f>
        <v>Đang test</v>
      </c>
      <c r="AB64" s="1" t="s">
        <v>444</v>
      </c>
    </row>
    <row r="65" customFormat="false" ht="15.75" hidden="false" customHeight="true" outlineLevel="0" collapsed="false">
      <c r="B65" s="175" t="s">
        <v>589</v>
      </c>
      <c r="C65" s="176" t="s">
        <v>590</v>
      </c>
      <c r="D65" s="123" t="s">
        <v>591</v>
      </c>
      <c r="E65" s="51" t="n">
        <f aca="false">SUMPRODUCT(--ISNUMBER(SEARCH(", "&amp;$B65&amp;", ",", "&amp;'Hoạt động (Đơn của tôi)'!$B$7:$B$500&amp;", ")))+SUMPRODUCT(--ISNUMBER(SEARCH(", "&amp;$B65&amp;", ",", "&amp;'Ghép nối'!$B$7:$B$500&amp;", ")))+SUMPRODUCT(--ISNUMBER(SEARCH(", "&amp;$B65&amp;", ",", "&amp;'Huỷ đơn - Huỷ nhận đơn'!$B$7:$B$500&amp;", ")))+SUMPRODUCT(--ISNUMBER(SEARCH(", "&amp;$B65&amp;", ",", "&amp;'Giao nhận &amp; Theo dõi đơn'!$B$7:$B$500&amp;", ")))+SUMPRODUCT(--ISNUMBER(SEARCH(", "&amp;$B65&amp;", ",", "&amp;'Bảng tin &amp; Chi tiết tin'!$B$7:$B$500&amp;", ")))+SUMPRODUCT(--ISNUMBER(SEARCH(", "&amp;$B65&amp;", ",", "&amp;'Quà cảm ơn'!$B$7:$B$500&amp;", ")))+SUMPRODUCT(--ISNUMBER(SEARCH(", "&amp;$B65&amp;", ",", "&amp;'Trang chủ'!$B$7:$B$500&amp;", ")))+SUMPRODUCT(--ISNUMBER(SEARCH(", "&amp;$B65&amp;", ",", "&amp;'Thông báo'!$B$7:$B$500&amp;", ")))+SUMPRODUCT(--ISNUMBER(SEARCH(", "&amp;$B65&amp;", ",", "&amp;'Đăng tin &amp; Quản lý tin'!$B$7:$B$500&amp;", ")))+SUMPRODUCT(--ISNUMBER(SEARCH(", "&amp;$B65&amp;", ",", "&amp;'Trust &amp; Safety'!$B$7:$B$500&amp;", ")))+SUMPRODUCT(--ISNUMBER(SEARCH(", "&amp;$B65&amp;", ",", "&amp;'Tài khoản &amp; Hồ sơ'!$B$7:$B$500&amp;", ")))</f>
        <v>5</v>
      </c>
      <c r="F65" s="51" t="n">
        <f aca="false">SUMPRODUCT(--ISNUMBER(SEARCH(", "&amp;$B65&amp;", ",", "&amp;'Hoạt động (Đơn của tôi)'!$B$7:$B$500&amp;", ")),--('Hoạt động (Đơn của tôi)'!$AT$7:$AT$500&lt;&gt;""))+SUMPRODUCT(--ISNUMBER(SEARCH(", "&amp;$B65&amp;", ",", "&amp;'Ghép nối'!$B$7:$B$500&amp;", ")),--('Ghép nối'!$AT$7:$AT$500&lt;&gt;""))+SUMPRODUCT(--ISNUMBER(SEARCH(", "&amp;$B65&amp;", ",", "&amp;'Huỷ đơn - Huỷ nhận đơn'!$B$7:$B$500&amp;", ")),--('Huỷ đơn - Huỷ nhận đơn'!$AT$7:$AT$500&lt;&gt;""))+SUMPRODUCT(--ISNUMBER(SEARCH(", "&amp;$B65&amp;", ",", "&amp;'Giao nhận &amp; Theo dõi đơn'!$B$7:$B$500&amp;", ")),--('Giao nhận &amp; Theo dõi đơn'!$AT$7:$AT$500&lt;&gt;""))+SUMPRODUCT(--ISNUMBER(SEARCH(", "&amp;$B65&amp;", ",", "&amp;'Bảng tin &amp; Chi tiết tin'!$B$7:$B$500&amp;", ")),--('Bảng tin &amp; Chi tiết tin'!$AT$7:$AT$500&lt;&gt;""))+SUMPRODUCT(--ISNUMBER(SEARCH(", "&amp;$B65&amp;", ",", "&amp;'Quà cảm ơn'!$B$7:$B$500&amp;", ")),--('Quà cảm ơn'!$AT$7:$AT$500&lt;&gt;""))+SUMPRODUCT(--ISNUMBER(SEARCH(", "&amp;$B65&amp;", ",", "&amp;'Trang chủ'!$B$7:$B$500&amp;", ")),--('Trang chủ'!$AT$7:$AT$500&lt;&gt;""))+SUMPRODUCT(--ISNUMBER(SEARCH(", "&amp;$B65&amp;", ",", "&amp;'Thông báo'!$B$7:$B$500&amp;", ")),--('Thông báo'!$AT$7:$AT$500&lt;&gt;""))+SUMPRODUCT(--ISNUMBER(SEARCH(", "&amp;$B65&amp;", ",", "&amp;'Đăng tin &amp; Quản lý tin'!$B$7:$B$500&amp;", ")),--('Đăng tin &amp; Quản lý tin'!$AT$7:$AT$500&lt;&gt;""))+SUMPRODUCT(--ISNUMBER(SEARCH(", "&amp;$B65&amp;", ",", "&amp;'Trust &amp; Safety'!$B$7:$B$500&amp;", ")),--('Trust &amp; Safety'!$AT$7:$AT$500&lt;&gt;""))+SUMPRODUCT(--ISNUMBER(SEARCH(", "&amp;$B65&amp;", ",", "&amp;'Tài khoản &amp; Hồ sơ'!$B$7:$B$500&amp;", ")),--('Tài khoản &amp; Hồ sơ'!$AT$7:$AT$500&lt;&gt;""))</f>
        <v>0</v>
      </c>
      <c r="G65" s="51" t="n">
        <f aca="false">SUMPRODUCT(--ISNUMBER(SEARCH(", "&amp;$B65&amp;", ",", "&amp;'Hoạt động (Đơn của tôi)'!$B$7:$B$500&amp;", ")),--('Hoạt động (Đơn của tôi)'!$AT$7:$AT$500="Pass"))+SUMPRODUCT(--ISNUMBER(SEARCH(", "&amp;$B65&amp;", ",", "&amp;'Ghép nối'!$B$7:$B$500&amp;", ")),--('Ghép nối'!$AT$7:$AT$500="Pass"))+SUMPRODUCT(--ISNUMBER(SEARCH(", "&amp;$B65&amp;", ",", "&amp;'Huỷ đơn - Huỷ nhận đơn'!$B$7:$B$500&amp;", ")),--('Huỷ đơn - Huỷ nhận đơn'!$AT$7:$AT$500="Pass"))+SUMPRODUCT(--ISNUMBER(SEARCH(", "&amp;$B65&amp;", ",", "&amp;'Giao nhận &amp; Theo dõi đơn'!$B$7:$B$500&amp;", ")),--('Giao nhận &amp; Theo dõi đơn'!$AT$7:$AT$500="Pass"))+SUMPRODUCT(--ISNUMBER(SEARCH(", "&amp;$B65&amp;", ",", "&amp;'Bảng tin &amp; Chi tiết tin'!$B$7:$B$500&amp;", ")),--('Bảng tin &amp; Chi tiết tin'!$AT$7:$AT$500="Pass"))+SUMPRODUCT(--ISNUMBER(SEARCH(", "&amp;$B65&amp;", ",", "&amp;'Quà cảm ơn'!$B$7:$B$500&amp;", ")),--('Quà cảm ơn'!$AT$7:$AT$500="Pass"))+SUMPRODUCT(--ISNUMBER(SEARCH(", "&amp;$B65&amp;", ",", "&amp;'Trang chủ'!$B$7:$B$500&amp;", ")),--('Trang chủ'!$AT$7:$AT$500="Pass"))+SUMPRODUCT(--ISNUMBER(SEARCH(", "&amp;$B65&amp;", ",", "&amp;'Thông báo'!$B$7:$B$500&amp;", ")),--('Thông báo'!$AT$7:$AT$500="Pass"))+SUMPRODUCT(--ISNUMBER(SEARCH(", "&amp;$B65&amp;", ",", "&amp;'Đăng tin &amp; Quản lý tin'!$B$7:$B$500&amp;", ")),--('Đăng tin &amp; Quản lý tin'!$AT$7:$AT$500="Pass"))+SUMPRODUCT(--ISNUMBER(SEARCH(", "&amp;$B65&amp;", ",", "&amp;'Trust &amp; Safety'!$B$7:$B$500&amp;", ")),--('Trust &amp; Safety'!$AT$7:$AT$500="Pass"))+SUMPRODUCT(--ISNUMBER(SEARCH(", "&amp;$B65&amp;", ",", "&amp;'Tài khoản &amp; Hồ sơ'!$B$7:$B$500&amp;", ")),--('Tài khoản &amp; Hồ sơ'!$AT$7:$AT$500="Pass"))</f>
        <v>0</v>
      </c>
      <c r="H65" s="51" t="n">
        <f aca="false">SUMPRODUCT(--ISNUMBER(SEARCH(", "&amp;$B65&amp;", ",", "&amp;'Hoạt động (Đơn của tôi)'!$B$7:$B$500&amp;", ")),--('Hoạt động (Đơn của tôi)'!$AT$7:$AT$500="Fail"))+SUMPRODUCT(--ISNUMBER(SEARCH(", "&amp;$B65&amp;", ",", "&amp;'Ghép nối'!$B$7:$B$500&amp;", ")),--('Ghép nối'!$AT$7:$AT$500="Fail"))+SUMPRODUCT(--ISNUMBER(SEARCH(", "&amp;$B65&amp;", ",", "&amp;'Huỷ đơn - Huỷ nhận đơn'!$B$7:$B$500&amp;", ")),--('Huỷ đơn - Huỷ nhận đơn'!$AT$7:$AT$500="Fail"))+SUMPRODUCT(--ISNUMBER(SEARCH(", "&amp;$B65&amp;", ",", "&amp;'Giao nhận &amp; Theo dõi đơn'!$B$7:$B$500&amp;", ")),--('Giao nhận &amp; Theo dõi đơn'!$AT$7:$AT$500="Fail"))+SUMPRODUCT(--ISNUMBER(SEARCH(", "&amp;$B65&amp;", ",", "&amp;'Bảng tin &amp; Chi tiết tin'!$B$7:$B$500&amp;", ")),--('Bảng tin &amp; Chi tiết tin'!$AT$7:$AT$500="Fail"))+SUMPRODUCT(--ISNUMBER(SEARCH(", "&amp;$B65&amp;", ",", "&amp;'Quà cảm ơn'!$B$7:$B$500&amp;", ")),--('Quà cảm ơn'!$AT$7:$AT$500="Fail"))+SUMPRODUCT(--ISNUMBER(SEARCH(", "&amp;$B65&amp;", ",", "&amp;'Trang chủ'!$B$7:$B$500&amp;", ")),--('Trang chủ'!$AT$7:$AT$500="Fail"))+SUMPRODUCT(--ISNUMBER(SEARCH(", "&amp;$B65&amp;", ",", "&amp;'Thông báo'!$B$7:$B$500&amp;", ")),--('Thông báo'!$AT$7:$AT$500="Fail"))+SUMPRODUCT(--ISNUMBER(SEARCH(", "&amp;$B65&amp;", ",", "&amp;'Đăng tin &amp; Quản lý tin'!$B$7:$B$500&amp;", ")),--('Đăng tin &amp; Quản lý tin'!$AT$7:$AT$500="Fail"))+SUMPRODUCT(--ISNUMBER(SEARCH(", "&amp;$B65&amp;", ",", "&amp;'Trust &amp; Safety'!$B$7:$B$500&amp;", ")),--('Trust &amp; Safety'!$AT$7:$AT$500="Fail"))+SUMPRODUCT(--ISNUMBER(SEARCH(", "&amp;$B65&amp;", ",", "&amp;'Tài khoản &amp; Hồ sơ'!$B$7:$B$500&amp;", ")),--('Tài khoản &amp; Hồ sơ'!$AT$7:$AT$500="Fail"))</f>
        <v>0</v>
      </c>
      <c r="I65" s="51" t="n">
        <f aca="false">SUMPRODUCT(--ISNUMBER(SEARCH(", "&amp;$B65&amp;", ",", "&amp;'Hoạt động (Đơn của tôi)'!$B$7:$B$500&amp;", ")),--('Hoạt động (Đơn của tôi)'!$AT$7:$AT$500="Block"))+SUMPRODUCT(--ISNUMBER(SEARCH(", "&amp;$B65&amp;", ",", "&amp;'Ghép nối'!$B$7:$B$500&amp;", ")),--('Ghép nối'!$AT$7:$AT$500="Block"))+SUMPRODUCT(--ISNUMBER(SEARCH(", "&amp;$B65&amp;", ",", "&amp;'Huỷ đơn - Huỷ nhận đơn'!$B$7:$B$500&amp;", ")),--('Huỷ đơn - Huỷ nhận đơn'!$AT$7:$AT$500="Block"))+SUMPRODUCT(--ISNUMBER(SEARCH(", "&amp;$B65&amp;", ",", "&amp;'Giao nhận &amp; Theo dõi đơn'!$B$7:$B$500&amp;", ")),--('Giao nhận &amp; Theo dõi đơn'!$AT$7:$AT$500="Block"))+SUMPRODUCT(--ISNUMBER(SEARCH(", "&amp;$B65&amp;", ",", "&amp;'Bảng tin &amp; Chi tiết tin'!$B$7:$B$500&amp;", ")),--('Bảng tin &amp; Chi tiết tin'!$AT$7:$AT$500="Block"))+SUMPRODUCT(--ISNUMBER(SEARCH(", "&amp;$B65&amp;", ",", "&amp;'Quà cảm ơn'!$B$7:$B$500&amp;", ")),--('Quà cảm ơn'!$AT$7:$AT$500="Block"))+SUMPRODUCT(--ISNUMBER(SEARCH(", "&amp;$B65&amp;", ",", "&amp;'Trang chủ'!$B$7:$B$500&amp;", ")),--('Trang chủ'!$AT$7:$AT$500="Block"))+SUMPRODUCT(--ISNUMBER(SEARCH(", "&amp;$B65&amp;", ",", "&amp;'Thông báo'!$B$7:$B$500&amp;", ")),--('Thông báo'!$AT$7:$AT$500="Block"))+SUMPRODUCT(--ISNUMBER(SEARCH(", "&amp;$B65&amp;", ",", "&amp;'Đăng tin &amp; Quản lý tin'!$B$7:$B$500&amp;", ")),--('Đăng tin &amp; Quản lý tin'!$AT$7:$AT$500="Block"))+SUMPRODUCT(--ISNUMBER(SEARCH(", "&amp;$B65&amp;", ",", "&amp;'Trust &amp; Safety'!$B$7:$B$500&amp;", ")),--('Trust &amp; Safety'!$AT$7:$AT$500="Block"))+SUMPRODUCT(--ISNUMBER(SEARCH(", "&amp;$B65&amp;", ",", "&amp;'Tài khoản &amp; Hồ sơ'!$B$7:$B$500&amp;", ")),--('Tài khoản &amp; Hồ sơ'!$AT$7:$AT$500="Block"))</f>
        <v>0</v>
      </c>
      <c r="J65" s="51" t="n">
        <f aca="false">SUMPRODUCT(--ISNUMBER(SEARCH(", "&amp;$B65&amp;", ",", "&amp;'Hoạt động (Đơn của tôi)'!$B$7:$B$500&amp;", ")),--('Hoạt động (Đơn của tôi)'!$AT$7:$AT$500="N/A"))+SUMPRODUCT(--ISNUMBER(SEARCH(", "&amp;$B65&amp;", ",", "&amp;'Ghép nối'!$B$7:$B$500&amp;", ")),--('Ghép nối'!$AT$7:$AT$500="N/A"))+SUMPRODUCT(--ISNUMBER(SEARCH(", "&amp;$B65&amp;", ",", "&amp;'Huỷ đơn - Huỷ nhận đơn'!$B$7:$B$500&amp;", ")),--('Huỷ đơn - Huỷ nhận đơn'!$AT$7:$AT$500="N/A"))+SUMPRODUCT(--ISNUMBER(SEARCH(", "&amp;$B65&amp;", ",", "&amp;'Giao nhận &amp; Theo dõi đơn'!$B$7:$B$500&amp;", ")),--('Giao nhận &amp; Theo dõi đơn'!$AT$7:$AT$500="N/A"))+SUMPRODUCT(--ISNUMBER(SEARCH(", "&amp;$B65&amp;", ",", "&amp;'Bảng tin &amp; Chi tiết tin'!$B$7:$B$500&amp;", ")),--('Bảng tin &amp; Chi tiết tin'!$AT$7:$AT$500="N/A"))+SUMPRODUCT(--ISNUMBER(SEARCH(", "&amp;$B65&amp;", ",", "&amp;'Quà cảm ơn'!$B$7:$B$500&amp;", ")),--('Quà cảm ơn'!$AT$7:$AT$500="N/A"))+SUMPRODUCT(--ISNUMBER(SEARCH(", "&amp;$B65&amp;", ",", "&amp;'Trang chủ'!$B$7:$B$500&amp;", ")),--('Trang chủ'!$AT$7:$AT$500="N/A"))+SUMPRODUCT(--ISNUMBER(SEARCH(", "&amp;$B65&amp;", ",", "&amp;'Thông báo'!$B$7:$B$500&amp;", ")),--('Thông báo'!$AT$7:$AT$500="N/A"))+SUMPRODUCT(--ISNUMBER(SEARCH(", "&amp;$B65&amp;", ",", "&amp;'Đăng tin &amp; Quản lý tin'!$B$7:$B$500&amp;", ")),--('Đăng tin &amp; Quản lý tin'!$AT$7:$AT$500="N/A"))+SUMPRODUCT(--ISNUMBER(SEARCH(", "&amp;$B65&amp;", ",", "&amp;'Trust &amp; Safety'!$B$7:$B$500&amp;", ")),--('Trust &amp; Safety'!$AT$7:$AT$500="N/A"))+SUMPRODUCT(--ISNUMBER(SEARCH(", "&amp;$B65&amp;", ",", "&amp;'Tài khoản &amp; Hồ sơ'!$B$7:$B$500&amp;", ")),--('Tài khoản &amp; Hồ sơ'!$AT$7:$AT$500="N/A"))</f>
        <v>0</v>
      </c>
      <c r="K65" s="52" t="n">
        <f aca="false">IFERROR(F65/E65,0)</f>
        <v>0</v>
      </c>
      <c r="L65" s="123" t="str">
        <f aca="false">IF(E65=0,"Chưa có TC (gap)",IF(H65&gt;0,"Có lỗi (Fail)",IF(I65&gt;0,"Bị block",IF(F65&lt;E65,"Đang test",IF(G65=0,"Không áp dụng (N/A)","Đã test xong")))))</f>
        <v>Đang test</v>
      </c>
      <c r="AB65" s="1" t="s">
        <v>444</v>
      </c>
    </row>
    <row r="66" customFormat="false" ht="15.75" hidden="false" customHeight="true" outlineLevel="0" collapsed="false">
      <c r="B66" s="175" t="s">
        <v>592</v>
      </c>
      <c r="C66" s="176" t="s">
        <v>593</v>
      </c>
      <c r="D66" s="123" t="s">
        <v>594</v>
      </c>
      <c r="E66" s="51" t="n">
        <f aca="false">SUMPRODUCT(--ISNUMBER(SEARCH(", "&amp;$B66&amp;", ",", "&amp;'Hoạt động (Đơn của tôi)'!$B$7:$B$500&amp;", ")))+SUMPRODUCT(--ISNUMBER(SEARCH(", "&amp;$B66&amp;", ",", "&amp;'Ghép nối'!$B$7:$B$500&amp;", ")))+SUMPRODUCT(--ISNUMBER(SEARCH(", "&amp;$B66&amp;", ",", "&amp;'Huỷ đơn - Huỷ nhận đơn'!$B$7:$B$500&amp;", ")))+SUMPRODUCT(--ISNUMBER(SEARCH(", "&amp;$B66&amp;", ",", "&amp;'Giao nhận &amp; Theo dõi đơn'!$B$7:$B$500&amp;", ")))+SUMPRODUCT(--ISNUMBER(SEARCH(", "&amp;$B66&amp;", ",", "&amp;'Bảng tin &amp; Chi tiết tin'!$B$7:$B$500&amp;", ")))+SUMPRODUCT(--ISNUMBER(SEARCH(", "&amp;$B66&amp;", ",", "&amp;'Quà cảm ơn'!$B$7:$B$500&amp;", ")))+SUMPRODUCT(--ISNUMBER(SEARCH(", "&amp;$B66&amp;", ",", "&amp;'Trang chủ'!$B$7:$B$500&amp;", ")))+SUMPRODUCT(--ISNUMBER(SEARCH(", "&amp;$B66&amp;", ",", "&amp;'Thông báo'!$B$7:$B$500&amp;", ")))+SUMPRODUCT(--ISNUMBER(SEARCH(", "&amp;$B66&amp;", ",", "&amp;'Đăng tin &amp; Quản lý tin'!$B$7:$B$500&amp;", ")))+SUMPRODUCT(--ISNUMBER(SEARCH(", "&amp;$B66&amp;", ",", "&amp;'Trust &amp; Safety'!$B$7:$B$500&amp;", ")))+SUMPRODUCT(--ISNUMBER(SEARCH(", "&amp;$B66&amp;", ",", "&amp;'Tài khoản &amp; Hồ sơ'!$B$7:$B$500&amp;", ")))</f>
        <v>4</v>
      </c>
      <c r="F66" s="51" t="n">
        <f aca="false">SUMPRODUCT(--ISNUMBER(SEARCH(", "&amp;$B66&amp;", ",", "&amp;'Hoạt động (Đơn của tôi)'!$B$7:$B$500&amp;", ")),--('Hoạt động (Đơn của tôi)'!$AT$7:$AT$500&lt;&gt;""))+SUMPRODUCT(--ISNUMBER(SEARCH(", "&amp;$B66&amp;", ",", "&amp;'Ghép nối'!$B$7:$B$500&amp;", ")),--('Ghép nối'!$AT$7:$AT$500&lt;&gt;""))+SUMPRODUCT(--ISNUMBER(SEARCH(", "&amp;$B66&amp;", ",", "&amp;'Huỷ đơn - Huỷ nhận đơn'!$B$7:$B$500&amp;", ")),--('Huỷ đơn - Huỷ nhận đơn'!$AT$7:$AT$500&lt;&gt;""))+SUMPRODUCT(--ISNUMBER(SEARCH(", "&amp;$B66&amp;", ",", "&amp;'Giao nhận &amp; Theo dõi đơn'!$B$7:$B$500&amp;", ")),--('Giao nhận &amp; Theo dõi đơn'!$AT$7:$AT$500&lt;&gt;""))+SUMPRODUCT(--ISNUMBER(SEARCH(", "&amp;$B66&amp;", ",", "&amp;'Bảng tin &amp; Chi tiết tin'!$B$7:$B$500&amp;", ")),--('Bảng tin &amp; Chi tiết tin'!$AT$7:$AT$500&lt;&gt;""))+SUMPRODUCT(--ISNUMBER(SEARCH(", "&amp;$B66&amp;", ",", "&amp;'Quà cảm ơn'!$B$7:$B$500&amp;", ")),--('Quà cảm ơn'!$AT$7:$AT$500&lt;&gt;""))+SUMPRODUCT(--ISNUMBER(SEARCH(", "&amp;$B66&amp;", ",", "&amp;'Trang chủ'!$B$7:$B$500&amp;", ")),--('Trang chủ'!$AT$7:$AT$500&lt;&gt;""))+SUMPRODUCT(--ISNUMBER(SEARCH(", "&amp;$B66&amp;", ",", "&amp;'Thông báo'!$B$7:$B$500&amp;", ")),--('Thông báo'!$AT$7:$AT$500&lt;&gt;""))+SUMPRODUCT(--ISNUMBER(SEARCH(", "&amp;$B66&amp;", ",", "&amp;'Đăng tin &amp; Quản lý tin'!$B$7:$B$500&amp;", ")),--('Đăng tin &amp; Quản lý tin'!$AT$7:$AT$500&lt;&gt;""))+SUMPRODUCT(--ISNUMBER(SEARCH(", "&amp;$B66&amp;", ",", "&amp;'Trust &amp; Safety'!$B$7:$B$500&amp;", ")),--('Trust &amp; Safety'!$AT$7:$AT$500&lt;&gt;""))+SUMPRODUCT(--ISNUMBER(SEARCH(", "&amp;$B66&amp;", ",", "&amp;'Tài khoản &amp; Hồ sơ'!$B$7:$B$500&amp;", ")),--('Tài khoản &amp; Hồ sơ'!$AT$7:$AT$500&lt;&gt;""))</f>
        <v>0</v>
      </c>
      <c r="G66" s="51" t="n">
        <f aca="false">SUMPRODUCT(--ISNUMBER(SEARCH(", "&amp;$B66&amp;", ",", "&amp;'Hoạt động (Đơn của tôi)'!$B$7:$B$500&amp;", ")),--('Hoạt động (Đơn của tôi)'!$AT$7:$AT$500="Pass"))+SUMPRODUCT(--ISNUMBER(SEARCH(", "&amp;$B66&amp;", ",", "&amp;'Ghép nối'!$B$7:$B$500&amp;", ")),--('Ghép nối'!$AT$7:$AT$500="Pass"))+SUMPRODUCT(--ISNUMBER(SEARCH(", "&amp;$B66&amp;", ",", "&amp;'Huỷ đơn - Huỷ nhận đơn'!$B$7:$B$500&amp;", ")),--('Huỷ đơn - Huỷ nhận đơn'!$AT$7:$AT$500="Pass"))+SUMPRODUCT(--ISNUMBER(SEARCH(", "&amp;$B66&amp;", ",", "&amp;'Giao nhận &amp; Theo dõi đơn'!$B$7:$B$500&amp;", ")),--('Giao nhận &amp; Theo dõi đơn'!$AT$7:$AT$500="Pass"))+SUMPRODUCT(--ISNUMBER(SEARCH(", "&amp;$B66&amp;", ",", "&amp;'Bảng tin &amp; Chi tiết tin'!$B$7:$B$500&amp;", ")),--('Bảng tin &amp; Chi tiết tin'!$AT$7:$AT$500="Pass"))+SUMPRODUCT(--ISNUMBER(SEARCH(", "&amp;$B66&amp;", ",", "&amp;'Quà cảm ơn'!$B$7:$B$500&amp;", ")),--('Quà cảm ơn'!$AT$7:$AT$500="Pass"))+SUMPRODUCT(--ISNUMBER(SEARCH(", "&amp;$B66&amp;", ",", "&amp;'Trang chủ'!$B$7:$B$500&amp;", ")),--('Trang chủ'!$AT$7:$AT$500="Pass"))+SUMPRODUCT(--ISNUMBER(SEARCH(", "&amp;$B66&amp;", ",", "&amp;'Thông báo'!$B$7:$B$500&amp;", ")),--('Thông báo'!$AT$7:$AT$500="Pass"))+SUMPRODUCT(--ISNUMBER(SEARCH(", "&amp;$B66&amp;", ",", "&amp;'Đăng tin &amp; Quản lý tin'!$B$7:$B$500&amp;", ")),--('Đăng tin &amp; Quản lý tin'!$AT$7:$AT$500="Pass"))+SUMPRODUCT(--ISNUMBER(SEARCH(", "&amp;$B66&amp;", ",", "&amp;'Trust &amp; Safety'!$B$7:$B$500&amp;", ")),--('Trust &amp; Safety'!$AT$7:$AT$500="Pass"))+SUMPRODUCT(--ISNUMBER(SEARCH(", "&amp;$B66&amp;", ",", "&amp;'Tài khoản &amp; Hồ sơ'!$B$7:$B$500&amp;", ")),--('Tài khoản &amp; Hồ sơ'!$AT$7:$AT$500="Pass"))</f>
        <v>0</v>
      </c>
      <c r="H66" s="51" t="n">
        <f aca="false">SUMPRODUCT(--ISNUMBER(SEARCH(", "&amp;$B66&amp;", ",", "&amp;'Hoạt động (Đơn của tôi)'!$B$7:$B$500&amp;", ")),--('Hoạt động (Đơn của tôi)'!$AT$7:$AT$500="Fail"))+SUMPRODUCT(--ISNUMBER(SEARCH(", "&amp;$B66&amp;", ",", "&amp;'Ghép nối'!$B$7:$B$500&amp;", ")),--('Ghép nối'!$AT$7:$AT$500="Fail"))+SUMPRODUCT(--ISNUMBER(SEARCH(", "&amp;$B66&amp;", ",", "&amp;'Huỷ đơn - Huỷ nhận đơn'!$B$7:$B$500&amp;", ")),--('Huỷ đơn - Huỷ nhận đơn'!$AT$7:$AT$500="Fail"))+SUMPRODUCT(--ISNUMBER(SEARCH(", "&amp;$B66&amp;", ",", "&amp;'Giao nhận &amp; Theo dõi đơn'!$B$7:$B$500&amp;", ")),--('Giao nhận &amp; Theo dõi đơn'!$AT$7:$AT$500="Fail"))+SUMPRODUCT(--ISNUMBER(SEARCH(", "&amp;$B66&amp;", ",", "&amp;'Bảng tin &amp; Chi tiết tin'!$B$7:$B$500&amp;", ")),--('Bảng tin &amp; Chi tiết tin'!$AT$7:$AT$500="Fail"))+SUMPRODUCT(--ISNUMBER(SEARCH(", "&amp;$B66&amp;", ",", "&amp;'Quà cảm ơn'!$B$7:$B$500&amp;", ")),--('Quà cảm ơn'!$AT$7:$AT$500="Fail"))+SUMPRODUCT(--ISNUMBER(SEARCH(", "&amp;$B66&amp;", ",", "&amp;'Trang chủ'!$B$7:$B$500&amp;", ")),--('Trang chủ'!$AT$7:$AT$500="Fail"))+SUMPRODUCT(--ISNUMBER(SEARCH(", "&amp;$B66&amp;", ",", "&amp;'Thông báo'!$B$7:$B$500&amp;", ")),--('Thông báo'!$AT$7:$AT$500="Fail"))+SUMPRODUCT(--ISNUMBER(SEARCH(", "&amp;$B66&amp;", ",", "&amp;'Đăng tin &amp; Quản lý tin'!$B$7:$B$500&amp;", ")),--('Đăng tin &amp; Quản lý tin'!$AT$7:$AT$500="Fail"))+SUMPRODUCT(--ISNUMBER(SEARCH(", "&amp;$B66&amp;", ",", "&amp;'Trust &amp; Safety'!$B$7:$B$500&amp;", ")),--('Trust &amp; Safety'!$AT$7:$AT$500="Fail"))+SUMPRODUCT(--ISNUMBER(SEARCH(", "&amp;$B66&amp;", ",", "&amp;'Tài khoản &amp; Hồ sơ'!$B$7:$B$500&amp;", ")),--('Tài khoản &amp; Hồ sơ'!$AT$7:$AT$500="Fail"))</f>
        <v>0</v>
      </c>
      <c r="I66" s="51" t="n">
        <f aca="false">SUMPRODUCT(--ISNUMBER(SEARCH(", "&amp;$B66&amp;", ",", "&amp;'Hoạt động (Đơn của tôi)'!$B$7:$B$500&amp;", ")),--('Hoạt động (Đơn của tôi)'!$AT$7:$AT$500="Block"))+SUMPRODUCT(--ISNUMBER(SEARCH(", "&amp;$B66&amp;", ",", "&amp;'Ghép nối'!$B$7:$B$500&amp;", ")),--('Ghép nối'!$AT$7:$AT$500="Block"))+SUMPRODUCT(--ISNUMBER(SEARCH(", "&amp;$B66&amp;", ",", "&amp;'Huỷ đơn - Huỷ nhận đơn'!$B$7:$B$500&amp;", ")),--('Huỷ đơn - Huỷ nhận đơn'!$AT$7:$AT$500="Block"))+SUMPRODUCT(--ISNUMBER(SEARCH(", "&amp;$B66&amp;", ",", "&amp;'Giao nhận &amp; Theo dõi đơn'!$B$7:$B$500&amp;", ")),--('Giao nhận &amp; Theo dõi đơn'!$AT$7:$AT$500="Block"))+SUMPRODUCT(--ISNUMBER(SEARCH(", "&amp;$B66&amp;", ",", "&amp;'Bảng tin &amp; Chi tiết tin'!$B$7:$B$500&amp;", ")),--('Bảng tin &amp; Chi tiết tin'!$AT$7:$AT$500="Block"))+SUMPRODUCT(--ISNUMBER(SEARCH(", "&amp;$B66&amp;", ",", "&amp;'Quà cảm ơn'!$B$7:$B$500&amp;", ")),--('Quà cảm ơn'!$AT$7:$AT$500="Block"))+SUMPRODUCT(--ISNUMBER(SEARCH(", "&amp;$B66&amp;", ",", "&amp;'Trang chủ'!$B$7:$B$500&amp;", ")),--('Trang chủ'!$AT$7:$AT$500="Block"))+SUMPRODUCT(--ISNUMBER(SEARCH(", "&amp;$B66&amp;", ",", "&amp;'Thông báo'!$B$7:$B$500&amp;", ")),--('Thông báo'!$AT$7:$AT$500="Block"))+SUMPRODUCT(--ISNUMBER(SEARCH(", "&amp;$B66&amp;", ",", "&amp;'Đăng tin &amp; Quản lý tin'!$B$7:$B$500&amp;", ")),--('Đăng tin &amp; Quản lý tin'!$AT$7:$AT$500="Block"))+SUMPRODUCT(--ISNUMBER(SEARCH(", "&amp;$B66&amp;", ",", "&amp;'Trust &amp; Safety'!$B$7:$B$500&amp;", ")),--('Trust &amp; Safety'!$AT$7:$AT$500="Block"))+SUMPRODUCT(--ISNUMBER(SEARCH(", "&amp;$B66&amp;", ",", "&amp;'Tài khoản &amp; Hồ sơ'!$B$7:$B$500&amp;", ")),--('Tài khoản &amp; Hồ sơ'!$AT$7:$AT$500="Block"))</f>
        <v>0</v>
      </c>
      <c r="J66" s="51" t="n">
        <f aca="false">SUMPRODUCT(--ISNUMBER(SEARCH(", "&amp;$B66&amp;", ",", "&amp;'Hoạt động (Đơn của tôi)'!$B$7:$B$500&amp;", ")),--('Hoạt động (Đơn của tôi)'!$AT$7:$AT$500="N/A"))+SUMPRODUCT(--ISNUMBER(SEARCH(", "&amp;$B66&amp;", ",", "&amp;'Ghép nối'!$B$7:$B$500&amp;", ")),--('Ghép nối'!$AT$7:$AT$500="N/A"))+SUMPRODUCT(--ISNUMBER(SEARCH(", "&amp;$B66&amp;", ",", "&amp;'Huỷ đơn - Huỷ nhận đơn'!$B$7:$B$500&amp;", ")),--('Huỷ đơn - Huỷ nhận đơn'!$AT$7:$AT$500="N/A"))+SUMPRODUCT(--ISNUMBER(SEARCH(", "&amp;$B66&amp;", ",", "&amp;'Giao nhận &amp; Theo dõi đơn'!$B$7:$B$500&amp;", ")),--('Giao nhận &amp; Theo dõi đơn'!$AT$7:$AT$500="N/A"))+SUMPRODUCT(--ISNUMBER(SEARCH(", "&amp;$B66&amp;", ",", "&amp;'Bảng tin &amp; Chi tiết tin'!$B$7:$B$500&amp;", ")),--('Bảng tin &amp; Chi tiết tin'!$AT$7:$AT$500="N/A"))+SUMPRODUCT(--ISNUMBER(SEARCH(", "&amp;$B66&amp;", ",", "&amp;'Quà cảm ơn'!$B$7:$B$500&amp;", ")),--('Quà cảm ơn'!$AT$7:$AT$500="N/A"))+SUMPRODUCT(--ISNUMBER(SEARCH(", "&amp;$B66&amp;", ",", "&amp;'Trang chủ'!$B$7:$B$500&amp;", ")),--('Trang chủ'!$AT$7:$AT$500="N/A"))+SUMPRODUCT(--ISNUMBER(SEARCH(", "&amp;$B66&amp;", ",", "&amp;'Thông báo'!$B$7:$B$500&amp;", ")),--('Thông báo'!$AT$7:$AT$500="N/A"))+SUMPRODUCT(--ISNUMBER(SEARCH(", "&amp;$B66&amp;", ",", "&amp;'Đăng tin &amp; Quản lý tin'!$B$7:$B$500&amp;", ")),--('Đăng tin &amp; Quản lý tin'!$AT$7:$AT$500="N/A"))+SUMPRODUCT(--ISNUMBER(SEARCH(", "&amp;$B66&amp;", ",", "&amp;'Trust &amp; Safety'!$B$7:$B$500&amp;", ")),--('Trust &amp; Safety'!$AT$7:$AT$500="N/A"))+SUMPRODUCT(--ISNUMBER(SEARCH(", "&amp;$B66&amp;", ",", "&amp;'Tài khoản &amp; Hồ sơ'!$B$7:$B$500&amp;", ")),--('Tài khoản &amp; Hồ sơ'!$AT$7:$AT$500="N/A"))</f>
        <v>0</v>
      </c>
      <c r="K66" s="52" t="n">
        <f aca="false">IFERROR(F66/E66,0)</f>
        <v>0</v>
      </c>
      <c r="L66" s="123" t="str">
        <f aca="false">IF(E66=0,"Chưa có TC (gap)",IF(H66&gt;0,"Có lỗi (Fail)",IF(I66&gt;0,"Bị block",IF(F66&lt;E66,"Đang test",IF(G66=0,"Không áp dụng (N/A)","Đã test xong")))))</f>
        <v>Đang test</v>
      </c>
      <c r="AB66" s="1" t="s">
        <v>444</v>
      </c>
    </row>
    <row r="67" customFormat="false" ht="15.75" hidden="false" customHeight="true" outlineLevel="0" collapsed="false">
      <c r="B67" s="175" t="s">
        <v>595</v>
      </c>
      <c r="C67" s="176" t="s">
        <v>596</v>
      </c>
      <c r="D67" s="123" t="s">
        <v>597</v>
      </c>
      <c r="E67" s="51" t="n">
        <f aca="false">SUMPRODUCT(--ISNUMBER(SEARCH(", "&amp;$B67&amp;", ",", "&amp;'Hoạt động (Đơn của tôi)'!$B$7:$B$500&amp;", ")))+SUMPRODUCT(--ISNUMBER(SEARCH(", "&amp;$B67&amp;", ",", "&amp;'Ghép nối'!$B$7:$B$500&amp;", ")))+SUMPRODUCT(--ISNUMBER(SEARCH(", "&amp;$B67&amp;", ",", "&amp;'Huỷ đơn - Huỷ nhận đơn'!$B$7:$B$500&amp;", ")))+SUMPRODUCT(--ISNUMBER(SEARCH(", "&amp;$B67&amp;", ",", "&amp;'Giao nhận &amp; Theo dõi đơn'!$B$7:$B$500&amp;", ")))+SUMPRODUCT(--ISNUMBER(SEARCH(", "&amp;$B67&amp;", ",", "&amp;'Bảng tin &amp; Chi tiết tin'!$B$7:$B$500&amp;", ")))+SUMPRODUCT(--ISNUMBER(SEARCH(", "&amp;$B67&amp;", ",", "&amp;'Quà cảm ơn'!$B$7:$B$500&amp;", ")))+SUMPRODUCT(--ISNUMBER(SEARCH(", "&amp;$B67&amp;", ",", "&amp;'Trang chủ'!$B$7:$B$500&amp;", ")))+SUMPRODUCT(--ISNUMBER(SEARCH(", "&amp;$B67&amp;", ",", "&amp;'Thông báo'!$B$7:$B$500&amp;", ")))+SUMPRODUCT(--ISNUMBER(SEARCH(", "&amp;$B67&amp;", ",", "&amp;'Đăng tin &amp; Quản lý tin'!$B$7:$B$500&amp;", ")))+SUMPRODUCT(--ISNUMBER(SEARCH(", "&amp;$B67&amp;", ",", "&amp;'Trust &amp; Safety'!$B$7:$B$500&amp;", ")))+SUMPRODUCT(--ISNUMBER(SEARCH(", "&amp;$B67&amp;", ",", "&amp;'Tài khoản &amp; Hồ sơ'!$B$7:$B$500&amp;", ")))</f>
        <v>2</v>
      </c>
      <c r="F67" s="51" t="n">
        <f aca="false">SUMPRODUCT(--ISNUMBER(SEARCH(", "&amp;$B67&amp;", ",", "&amp;'Hoạt động (Đơn của tôi)'!$B$7:$B$500&amp;", ")),--('Hoạt động (Đơn của tôi)'!$AT$7:$AT$500&lt;&gt;""))+SUMPRODUCT(--ISNUMBER(SEARCH(", "&amp;$B67&amp;", ",", "&amp;'Ghép nối'!$B$7:$B$500&amp;", ")),--('Ghép nối'!$AT$7:$AT$500&lt;&gt;""))+SUMPRODUCT(--ISNUMBER(SEARCH(", "&amp;$B67&amp;", ",", "&amp;'Huỷ đơn - Huỷ nhận đơn'!$B$7:$B$500&amp;", ")),--('Huỷ đơn - Huỷ nhận đơn'!$AT$7:$AT$500&lt;&gt;""))+SUMPRODUCT(--ISNUMBER(SEARCH(", "&amp;$B67&amp;", ",", "&amp;'Giao nhận &amp; Theo dõi đơn'!$B$7:$B$500&amp;", ")),--('Giao nhận &amp; Theo dõi đơn'!$AT$7:$AT$500&lt;&gt;""))+SUMPRODUCT(--ISNUMBER(SEARCH(", "&amp;$B67&amp;", ",", "&amp;'Bảng tin &amp; Chi tiết tin'!$B$7:$B$500&amp;", ")),--('Bảng tin &amp; Chi tiết tin'!$AT$7:$AT$500&lt;&gt;""))+SUMPRODUCT(--ISNUMBER(SEARCH(", "&amp;$B67&amp;", ",", "&amp;'Quà cảm ơn'!$B$7:$B$500&amp;", ")),--('Quà cảm ơn'!$AT$7:$AT$500&lt;&gt;""))+SUMPRODUCT(--ISNUMBER(SEARCH(", "&amp;$B67&amp;", ",", "&amp;'Trang chủ'!$B$7:$B$500&amp;", ")),--('Trang chủ'!$AT$7:$AT$500&lt;&gt;""))+SUMPRODUCT(--ISNUMBER(SEARCH(", "&amp;$B67&amp;", ",", "&amp;'Thông báo'!$B$7:$B$500&amp;", ")),--('Thông báo'!$AT$7:$AT$500&lt;&gt;""))+SUMPRODUCT(--ISNUMBER(SEARCH(", "&amp;$B67&amp;", ",", "&amp;'Đăng tin &amp; Quản lý tin'!$B$7:$B$500&amp;", ")),--('Đăng tin &amp; Quản lý tin'!$AT$7:$AT$500&lt;&gt;""))+SUMPRODUCT(--ISNUMBER(SEARCH(", "&amp;$B67&amp;", ",", "&amp;'Trust &amp; Safety'!$B$7:$B$500&amp;", ")),--('Trust &amp; Safety'!$AT$7:$AT$500&lt;&gt;""))+SUMPRODUCT(--ISNUMBER(SEARCH(", "&amp;$B67&amp;", ",", "&amp;'Tài khoản &amp; Hồ sơ'!$B$7:$B$500&amp;", ")),--('Tài khoản &amp; Hồ sơ'!$AT$7:$AT$500&lt;&gt;""))</f>
        <v>0</v>
      </c>
      <c r="G67" s="51" t="n">
        <f aca="false">SUMPRODUCT(--ISNUMBER(SEARCH(", "&amp;$B67&amp;", ",", "&amp;'Hoạt động (Đơn của tôi)'!$B$7:$B$500&amp;", ")),--('Hoạt động (Đơn của tôi)'!$AT$7:$AT$500="Pass"))+SUMPRODUCT(--ISNUMBER(SEARCH(", "&amp;$B67&amp;", ",", "&amp;'Ghép nối'!$B$7:$B$500&amp;", ")),--('Ghép nối'!$AT$7:$AT$500="Pass"))+SUMPRODUCT(--ISNUMBER(SEARCH(", "&amp;$B67&amp;", ",", "&amp;'Huỷ đơn - Huỷ nhận đơn'!$B$7:$B$500&amp;", ")),--('Huỷ đơn - Huỷ nhận đơn'!$AT$7:$AT$500="Pass"))+SUMPRODUCT(--ISNUMBER(SEARCH(", "&amp;$B67&amp;", ",", "&amp;'Giao nhận &amp; Theo dõi đơn'!$B$7:$B$500&amp;", ")),--('Giao nhận &amp; Theo dõi đơn'!$AT$7:$AT$500="Pass"))+SUMPRODUCT(--ISNUMBER(SEARCH(", "&amp;$B67&amp;", ",", "&amp;'Bảng tin &amp; Chi tiết tin'!$B$7:$B$500&amp;", ")),--('Bảng tin &amp; Chi tiết tin'!$AT$7:$AT$500="Pass"))+SUMPRODUCT(--ISNUMBER(SEARCH(", "&amp;$B67&amp;", ",", "&amp;'Quà cảm ơn'!$B$7:$B$500&amp;", ")),--('Quà cảm ơn'!$AT$7:$AT$500="Pass"))+SUMPRODUCT(--ISNUMBER(SEARCH(", "&amp;$B67&amp;", ",", "&amp;'Trang chủ'!$B$7:$B$500&amp;", ")),--('Trang chủ'!$AT$7:$AT$500="Pass"))+SUMPRODUCT(--ISNUMBER(SEARCH(", "&amp;$B67&amp;", ",", "&amp;'Thông báo'!$B$7:$B$500&amp;", ")),--('Thông báo'!$AT$7:$AT$500="Pass"))+SUMPRODUCT(--ISNUMBER(SEARCH(", "&amp;$B67&amp;", ",", "&amp;'Đăng tin &amp; Quản lý tin'!$B$7:$B$500&amp;", ")),--('Đăng tin &amp; Quản lý tin'!$AT$7:$AT$500="Pass"))+SUMPRODUCT(--ISNUMBER(SEARCH(", "&amp;$B67&amp;", ",", "&amp;'Trust &amp; Safety'!$B$7:$B$500&amp;", ")),--('Trust &amp; Safety'!$AT$7:$AT$500="Pass"))+SUMPRODUCT(--ISNUMBER(SEARCH(", "&amp;$B67&amp;", ",", "&amp;'Tài khoản &amp; Hồ sơ'!$B$7:$B$500&amp;", ")),--('Tài khoản &amp; Hồ sơ'!$AT$7:$AT$500="Pass"))</f>
        <v>0</v>
      </c>
      <c r="H67" s="51" t="n">
        <f aca="false">SUMPRODUCT(--ISNUMBER(SEARCH(", "&amp;$B67&amp;", ",", "&amp;'Hoạt động (Đơn của tôi)'!$B$7:$B$500&amp;", ")),--('Hoạt động (Đơn của tôi)'!$AT$7:$AT$500="Fail"))+SUMPRODUCT(--ISNUMBER(SEARCH(", "&amp;$B67&amp;", ",", "&amp;'Ghép nối'!$B$7:$B$500&amp;", ")),--('Ghép nối'!$AT$7:$AT$500="Fail"))+SUMPRODUCT(--ISNUMBER(SEARCH(", "&amp;$B67&amp;", ",", "&amp;'Huỷ đơn - Huỷ nhận đơn'!$B$7:$B$500&amp;", ")),--('Huỷ đơn - Huỷ nhận đơn'!$AT$7:$AT$500="Fail"))+SUMPRODUCT(--ISNUMBER(SEARCH(", "&amp;$B67&amp;", ",", "&amp;'Giao nhận &amp; Theo dõi đơn'!$B$7:$B$500&amp;", ")),--('Giao nhận &amp; Theo dõi đơn'!$AT$7:$AT$500="Fail"))+SUMPRODUCT(--ISNUMBER(SEARCH(", "&amp;$B67&amp;", ",", "&amp;'Bảng tin &amp; Chi tiết tin'!$B$7:$B$500&amp;", ")),--('Bảng tin &amp; Chi tiết tin'!$AT$7:$AT$500="Fail"))+SUMPRODUCT(--ISNUMBER(SEARCH(", "&amp;$B67&amp;", ",", "&amp;'Quà cảm ơn'!$B$7:$B$500&amp;", ")),--('Quà cảm ơn'!$AT$7:$AT$500="Fail"))+SUMPRODUCT(--ISNUMBER(SEARCH(", "&amp;$B67&amp;", ",", "&amp;'Trang chủ'!$B$7:$B$500&amp;", ")),--('Trang chủ'!$AT$7:$AT$500="Fail"))+SUMPRODUCT(--ISNUMBER(SEARCH(", "&amp;$B67&amp;", ",", "&amp;'Thông báo'!$B$7:$B$500&amp;", ")),--('Thông báo'!$AT$7:$AT$500="Fail"))+SUMPRODUCT(--ISNUMBER(SEARCH(", "&amp;$B67&amp;", ",", "&amp;'Đăng tin &amp; Quản lý tin'!$B$7:$B$500&amp;", ")),--('Đăng tin &amp; Quản lý tin'!$AT$7:$AT$500="Fail"))+SUMPRODUCT(--ISNUMBER(SEARCH(", "&amp;$B67&amp;", ",", "&amp;'Trust &amp; Safety'!$B$7:$B$500&amp;", ")),--('Trust &amp; Safety'!$AT$7:$AT$500="Fail"))+SUMPRODUCT(--ISNUMBER(SEARCH(", "&amp;$B67&amp;", ",", "&amp;'Tài khoản &amp; Hồ sơ'!$B$7:$B$500&amp;", ")),--('Tài khoản &amp; Hồ sơ'!$AT$7:$AT$500="Fail"))</f>
        <v>0</v>
      </c>
      <c r="I67" s="51" t="n">
        <f aca="false">SUMPRODUCT(--ISNUMBER(SEARCH(", "&amp;$B67&amp;", ",", "&amp;'Hoạt động (Đơn của tôi)'!$B$7:$B$500&amp;", ")),--('Hoạt động (Đơn của tôi)'!$AT$7:$AT$500="Block"))+SUMPRODUCT(--ISNUMBER(SEARCH(", "&amp;$B67&amp;", ",", "&amp;'Ghép nối'!$B$7:$B$500&amp;", ")),--('Ghép nối'!$AT$7:$AT$500="Block"))+SUMPRODUCT(--ISNUMBER(SEARCH(", "&amp;$B67&amp;", ",", "&amp;'Huỷ đơn - Huỷ nhận đơn'!$B$7:$B$500&amp;", ")),--('Huỷ đơn - Huỷ nhận đơn'!$AT$7:$AT$500="Block"))+SUMPRODUCT(--ISNUMBER(SEARCH(", "&amp;$B67&amp;", ",", "&amp;'Giao nhận &amp; Theo dõi đơn'!$B$7:$B$500&amp;", ")),--('Giao nhận &amp; Theo dõi đơn'!$AT$7:$AT$500="Block"))+SUMPRODUCT(--ISNUMBER(SEARCH(", "&amp;$B67&amp;", ",", "&amp;'Bảng tin &amp; Chi tiết tin'!$B$7:$B$500&amp;", ")),--('Bảng tin &amp; Chi tiết tin'!$AT$7:$AT$500="Block"))+SUMPRODUCT(--ISNUMBER(SEARCH(", "&amp;$B67&amp;", ",", "&amp;'Quà cảm ơn'!$B$7:$B$500&amp;", ")),--('Quà cảm ơn'!$AT$7:$AT$500="Block"))+SUMPRODUCT(--ISNUMBER(SEARCH(", "&amp;$B67&amp;", ",", "&amp;'Trang chủ'!$B$7:$B$500&amp;", ")),--('Trang chủ'!$AT$7:$AT$500="Block"))+SUMPRODUCT(--ISNUMBER(SEARCH(", "&amp;$B67&amp;", ",", "&amp;'Thông báo'!$B$7:$B$500&amp;", ")),--('Thông báo'!$AT$7:$AT$500="Block"))+SUMPRODUCT(--ISNUMBER(SEARCH(", "&amp;$B67&amp;", ",", "&amp;'Đăng tin &amp; Quản lý tin'!$B$7:$B$500&amp;", ")),--('Đăng tin &amp; Quản lý tin'!$AT$7:$AT$500="Block"))+SUMPRODUCT(--ISNUMBER(SEARCH(", "&amp;$B67&amp;", ",", "&amp;'Trust &amp; Safety'!$B$7:$B$500&amp;", ")),--('Trust &amp; Safety'!$AT$7:$AT$500="Block"))+SUMPRODUCT(--ISNUMBER(SEARCH(", "&amp;$B67&amp;", ",", "&amp;'Tài khoản &amp; Hồ sơ'!$B$7:$B$500&amp;", ")),--('Tài khoản &amp; Hồ sơ'!$AT$7:$AT$500="Block"))</f>
        <v>0</v>
      </c>
      <c r="J67" s="51" t="n">
        <f aca="false">SUMPRODUCT(--ISNUMBER(SEARCH(", "&amp;$B67&amp;", ",", "&amp;'Hoạt động (Đơn của tôi)'!$B$7:$B$500&amp;", ")),--('Hoạt động (Đơn của tôi)'!$AT$7:$AT$500="N/A"))+SUMPRODUCT(--ISNUMBER(SEARCH(", "&amp;$B67&amp;", ",", "&amp;'Ghép nối'!$B$7:$B$500&amp;", ")),--('Ghép nối'!$AT$7:$AT$500="N/A"))+SUMPRODUCT(--ISNUMBER(SEARCH(", "&amp;$B67&amp;", ",", "&amp;'Huỷ đơn - Huỷ nhận đơn'!$B$7:$B$500&amp;", ")),--('Huỷ đơn - Huỷ nhận đơn'!$AT$7:$AT$500="N/A"))+SUMPRODUCT(--ISNUMBER(SEARCH(", "&amp;$B67&amp;", ",", "&amp;'Giao nhận &amp; Theo dõi đơn'!$B$7:$B$500&amp;", ")),--('Giao nhận &amp; Theo dõi đơn'!$AT$7:$AT$500="N/A"))+SUMPRODUCT(--ISNUMBER(SEARCH(", "&amp;$B67&amp;", ",", "&amp;'Bảng tin &amp; Chi tiết tin'!$B$7:$B$500&amp;", ")),--('Bảng tin &amp; Chi tiết tin'!$AT$7:$AT$500="N/A"))+SUMPRODUCT(--ISNUMBER(SEARCH(", "&amp;$B67&amp;", ",", "&amp;'Quà cảm ơn'!$B$7:$B$500&amp;", ")),--('Quà cảm ơn'!$AT$7:$AT$500="N/A"))+SUMPRODUCT(--ISNUMBER(SEARCH(", "&amp;$B67&amp;", ",", "&amp;'Trang chủ'!$B$7:$B$500&amp;", ")),--('Trang chủ'!$AT$7:$AT$500="N/A"))+SUMPRODUCT(--ISNUMBER(SEARCH(", "&amp;$B67&amp;", ",", "&amp;'Thông báo'!$B$7:$B$500&amp;", ")),--('Thông báo'!$AT$7:$AT$500="N/A"))+SUMPRODUCT(--ISNUMBER(SEARCH(", "&amp;$B67&amp;", ",", "&amp;'Đăng tin &amp; Quản lý tin'!$B$7:$B$500&amp;", ")),--('Đăng tin &amp; Quản lý tin'!$AT$7:$AT$500="N/A"))+SUMPRODUCT(--ISNUMBER(SEARCH(", "&amp;$B67&amp;", ",", "&amp;'Trust &amp; Safety'!$B$7:$B$500&amp;", ")),--('Trust &amp; Safety'!$AT$7:$AT$500="N/A"))+SUMPRODUCT(--ISNUMBER(SEARCH(", "&amp;$B67&amp;", ",", "&amp;'Tài khoản &amp; Hồ sơ'!$B$7:$B$500&amp;", ")),--('Tài khoản &amp; Hồ sơ'!$AT$7:$AT$500="N/A"))</f>
        <v>0</v>
      </c>
      <c r="K67" s="52" t="n">
        <f aca="false">IFERROR(F67/E67,0)</f>
        <v>0</v>
      </c>
      <c r="L67" s="123" t="str">
        <f aca="false">IF(E67=0,"Chưa có TC (gap)",IF(H67&gt;0,"Có lỗi (Fail)",IF(I67&gt;0,"Bị block",IF(F67&lt;E67,"Đang test",IF(G67=0,"Không áp dụng (N/A)","Đã test xong")))))</f>
        <v>Đang test</v>
      </c>
      <c r="AB67" s="1" t="s">
        <v>444</v>
      </c>
    </row>
    <row r="68" customFormat="false" ht="15.75" hidden="false" customHeight="true" outlineLevel="0" collapsed="false">
      <c r="B68" s="175" t="s">
        <v>598</v>
      </c>
      <c r="C68" s="176" t="s">
        <v>599</v>
      </c>
      <c r="D68" s="123" t="s">
        <v>600</v>
      </c>
      <c r="E68" s="51" t="n">
        <f aca="false">SUMPRODUCT(--ISNUMBER(SEARCH(", "&amp;$B68&amp;", ",", "&amp;'Hoạt động (Đơn của tôi)'!$B$7:$B$500&amp;", ")))+SUMPRODUCT(--ISNUMBER(SEARCH(", "&amp;$B68&amp;", ",", "&amp;'Ghép nối'!$B$7:$B$500&amp;", ")))+SUMPRODUCT(--ISNUMBER(SEARCH(", "&amp;$B68&amp;", ",", "&amp;'Huỷ đơn - Huỷ nhận đơn'!$B$7:$B$500&amp;", ")))+SUMPRODUCT(--ISNUMBER(SEARCH(", "&amp;$B68&amp;", ",", "&amp;'Giao nhận &amp; Theo dõi đơn'!$B$7:$B$500&amp;", ")))+SUMPRODUCT(--ISNUMBER(SEARCH(", "&amp;$B68&amp;", ",", "&amp;'Bảng tin &amp; Chi tiết tin'!$B$7:$B$500&amp;", ")))+SUMPRODUCT(--ISNUMBER(SEARCH(", "&amp;$B68&amp;", ",", "&amp;'Quà cảm ơn'!$B$7:$B$500&amp;", ")))+SUMPRODUCT(--ISNUMBER(SEARCH(", "&amp;$B68&amp;", ",", "&amp;'Trang chủ'!$B$7:$B$500&amp;", ")))+SUMPRODUCT(--ISNUMBER(SEARCH(", "&amp;$B68&amp;", ",", "&amp;'Thông báo'!$B$7:$B$500&amp;", ")))+SUMPRODUCT(--ISNUMBER(SEARCH(", "&amp;$B68&amp;", ",", "&amp;'Đăng tin &amp; Quản lý tin'!$B$7:$B$500&amp;", ")))+SUMPRODUCT(--ISNUMBER(SEARCH(", "&amp;$B68&amp;", ",", "&amp;'Trust &amp; Safety'!$B$7:$B$500&amp;", ")))+SUMPRODUCT(--ISNUMBER(SEARCH(", "&amp;$B68&amp;", ",", "&amp;'Tài khoản &amp; Hồ sơ'!$B$7:$B$500&amp;", ")))</f>
        <v>1</v>
      </c>
      <c r="F68" s="51" t="n">
        <f aca="false">SUMPRODUCT(--ISNUMBER(SEARCH(", "&amp;$B68&amp;", ",", "&amp;'Hoạt động (Đơn của tôi)'!$B$7:$B$500&amp;", ")),--('Hoạt động (Đơn của tôi)'!$AT$7:$AT$500&lt;&gt;""))+SUMPRODUCT(--ISNUMBER(SEARCH(", "&amp;$B68&amp;", ",", "&amp;'Ghép nối'!$B$7:$B$500&amp;", ")),--('Ghép nối'!$AT$7:$AT$500&lt;&gt;""))+SUMPRODUCT(--ISNUMBER(SEARCH(", "&amp;$B68&amp;", ",", "&amp;'Huỷ đơn - Huỷ nhận đơn'!$B$7:$B$500&amp;", ")),--('Huỷ đơn - Huỷ nhận đơn'!$AT$7:$AT$500&lt;&gt;""))+SUMPRODUCT(--ISNUMBER(SEARCH(", "&amp;$B68&amp;", ",", "&amp;'Giao nhận &amp; Theo dõi đơn'!$B$7:$B$500&amp;", ")),--('Giao nhận &amp; Theo dõi đơn'!$AT$7:$AT$500&lt;&gt;""))+SUMPRODUCT(--ISNUMBER(SEARCH(", "&amp;$B68&amp;", ",", "&amp;'Bảng tin &amp; Chi tiết tin'!$B$7:$B$500&amp;", ")),--('Bảng tin &amp; Chi tiết tin'!$AT$7:$AT$500&lt;&gt;""))+SUMPRODUCT(--ISNUMBER(SEARCH(", "&amp;$B68&amp;", ",", "&amp;'Quà cảm ơn'!$B$7:$B$500&amp;", ")),--('Quà cảm ơn'!$AT$7:$AT$500&lt;&gt;""))+SUMPRODUCT(--ISNUMBER(SEARCH(", "&amp;$B68&amp;", ",", "&amp;'Trang chủ'!$B$7:$B$500&amp;", ")),--('Trang chủ'!$AT$7:$AT$500&lt;&gt;""))+SUMPRODUCT(--ISNUMBER(SEARCH(", "&amp;$B68&amp;", ",", "&amp;'Thông báo'!$B$7:$B$500&amp;", ")),--('Thông báo'!$AT$7:$AT$500&lt;&gt;""))+SUMPRODUCT(--ISNUMBER(SEARCH(", "&amp;$B68&amp;", ",", "&amp;'Đăng tin &amp; Quản lý tin'!$B$7:$B$500&amp;", ")),--('Đăng tin &amp; Quản lý tin'!$AT$7:$AT$500&lt;&gt;""))+SUMPRODUCT(--ISNUMBER(SEARCH(", "&amp;$B68&amp;", ",", "&amp;'Trust &amp; Safety'!$B$7:$B$500&amp;", ")),--('Trust &amp; Safety'!$AT$7:$AT$500&lt;&gt;""))+SUMPRODUCT(--ISNUMBER(SEARCH(", "&amp;$B68&amp;", ",", "&amp;'Tài khoản &amp; Hồ sơ'!$B$7:$B$500&amp;", ")),--('Tài khoản &amp; Hồ sơ'!$AT$7:$AT$500&lt;&gt;""))</f>
        <v>0</v>
      </c>
      <c r="G68" s="51" t="n">
        <f aca="false">SUMPRODUCT(--ISNUMBER(SEARCH(", "&amp;$B68&amp;", ",", "&amp;'Hoạt động (Đơn của tôi)'!$B$7:$B$500&amp;", ")),--('Hoạt động (Đơn của tôi)'!$AT$7:$AT$500="Pass"))+SUMPRODUCT(--ISNUMBER(SEARCH(", "&amp;$B68&amp;", ",", "&amp;'Ghép nối'!$B$7:$B$500&amp;", ")),--('Ghép nối'!$AT$7:$AT$500="Pass"))+SUMPRODUCT(--ISNUMBER(SEARCH(", "&amp;$B68&amp;", ",", "&amp;'Huỷ đơn - Huỷ nhận đơn'!$B$7:$B$500&amp;", ")),--('Huỷ đơn - Huỷ nhận đơn'!$AT$7:$AT$500="Pass"))+SUMPRODUCT(--ISNUMBER(SEARCH(", "&amp;$B68&amp;", ",", "&amp;'Giao nhận &amp; Theo dõi đơn'!$B$7:$B$500&amp;", ")),--('Giao nhận &amp; Theo dõi đơn'!$AT$7:$AT$500="Pass"))+SUMPRODUCT(--ISNUMBER(SEARCH(", "&amp;$B68&amp;", ",", "&amp;'Bảng tin &amp; Chi tiết tin'!$B$7:$B$500&amp;", ")),--('Bảng tin &amp; Chi tiết tin'!$AT$7:$AT$500="Pass"))+SUMPRODUCT(--ISNUMBER(SEARCH(", "&amp;$B68&amp;", ",", "&amp;'Quà cảm ơn'!$B$7:$B$500&amp;", ")),--('Quà cảm ơn'!$AT$7:$AT$500="Pass"))+SUMPRODUCT(--ISNUMBER(SEARCH(", "&amp;$B68&amp;", ",", "&amp;'Trang chủ'!$B$7:$B$500&amp;", ")),--('Trang chủ'!$AT$7:$AT$500="Pass"))+SUMPRODUCT(--ISNUMBER(SEARCH(", "&amp;$B68&amp;", ",", "&amp;'Thông báo'!$B$7:$B$500&amp;", ")),--('Thông báo'!$AT$7:$AT$500="Pass"))+SUMPRODUCT(--ISNUMBER(SEARCH(", "&amp;$B68&amp;", ",", "&amp;'Đăng tin &amp; Quản lý tin'!$B$7:$B$500&amp;", ")),--('Đăng tin &amp; Quản lý tin'!$AT$7:$AT$500="Pass"))+SUMPRODUCT(--ISNUMBER(SEARCH(", "&amp;$B68&amp;", ",", "&amp;'Trust &amp; Safety'!$B$7:$B$500&amp;", ")),--('Trust &amp; Safety'!$AT$7:$AT$500="Pass"))+SUMPRODUCT(--ISNUMBER(SEARCH(", "&amp;$B68&amp;", ",", "&amp;'Tài khoản &amp; Hồ sơ'!$B$7:$B$500&amp;", ")),--('Tài khoản &amp; Hồ sơ'!$AT$7:$AT$500="Pass"))</f>
        <v>0</v>
      </c>
      <c r="H68" s="51" t="n">
        <f aca="false">SUMPRODUCT(--ISNUMBER(SEARCH(", "&amp;$B68&amp;", ",", "&amp;'Hoạt động (Đơn của tôi)'!$B$7:$B$500&amp;", ")),--('Hoạt động (Đơn của tôi)'!$AT$7:$AT$500="Fail"))+SUMPRODUCT(--ISNUMBER(SEARCH(", "&amp;$B68&amp;", ",", "&amp;'Ghép nối'!$B$7:$B$500&amp;", ")),--('Ghép nối'!$AT$7:$AT$500="Fail"))+SUMPRODUCT(--ISNUMBER(SEARCH(", "&amp;$B68&amp;", ",", "&amp;'Huỷ đơn - Huỷ nhận đơn'!$B$7:$B$500&amp;", ")),--('Huỷ đơn - Huỷ nhận đơn'!$AT$7:$AT$500="Fail"))+SUMPRODUCT(--ISNUMBER(SEARCH(", "&amp;$B68&amp;", ",", "&amp;'Giao nhận &amp; Theo dõi đơn'!$B$7:$B$500&amp;", ")),--('Giao nhận &amp; Theo dõi đơn'!$AT$7:$AT$500="Fail"))+SUMPRODUCT(--ISNUMBER(SEARCH(", "&amp;$B68&amp;", ",", "&amp;'Bảng tin &amp; Chi tiết tin'!$B$7:$B$500&amp;", ")),--('Bảng tin &amp; Chi tiết tin'!$AT$7:$AT$500="Fail"))+SUMPRODUCT(--ISNUMBER(SEARCH(", "&amp;$B68&amp;", ",", "&amp;'Quà cảm ơn'!$B$7:$B$500&amp;", ")),--('Quà cảm ơn'!$AT$7:$AT$500="Fail"))+SUMPRODUCT(--ISNUMBER(SEARCH(", "&amp;$B68&amp;", ",", "&amp;'Trang chủ'!$B$7:$B$500&amp;", ")),--('Trang chủ'!$AT$7:$AT$500="Fail"))+SUMPRODUCT(--ISNUMBER(SEARCH(", "&amp;$B68&amp;", ",", "&amp;'Thông báo'!$B$7:$B$500&amp;", ")),--('Thông báo'!$AT$7:$AT$500="Fail"))+SUMPRODUCT(--ISNUMBER(SEARCH(", "&amp;$B68&amp;", ",", "&amp;'Đăng tin &amp; Quản lý tin'!$B$7:$B$500&amp;", ")),--('Đăng tin &amp; Quản lý tin'!$AT$7:$AT$500="Fail"))+SUMPRODUCT(--ISNUMBER(SEARCH(", "&amp;$B68&amp;", ",", "&amp;'Trust &amp; Safety'!$B$7:$B$500&amp;", ")),--('Trust &amp; Safety'!$AT$7:$AT$500="Fail"))+SUMPRODUCT(--ISNUMBER(SEARCH(", "&amp;$B68&amp;", ",", "&amp;'Tài khoản &amp; Hồ sơ'!$B$7:$B$500&amp;", ")),--('Tài khoản &amp; Hồ sơ'!$AT$7:$AT$500="Fail"))</f>
        <v>0</v>
      </c>
      <c r="I68" s="51" t="n">
        <f aca="false">SUMPRODUCT(--ISNUMBER(SEARCH(", "&amp;$B68&amp;", ",", "&amp;'Hoạt động (Đơn của tôi)'!$B$7:$B$500&amp;", ")),--('Hoạt động (Đơn của tôi)'!$AT$7:$AT$500="Block"))+SUMPRODUCT(--ISNUMBER(SEARCH(", "&amp;$B68&amp;", ",", "&amp;'Ghép nối'!$B$7:$B$500&amp;", ")),--('Ghép nối'!$AT$7:$AT$500="Block"))+SUMPRODUCT(--ISNUMBER(SEARCH(", "&amp;$B68&amp;", ",", "&amp;'Huỷ đơn - Huỷ nhận đơn'!$B$7:$B$500&amp;", ")),--('Huỷ đơn - Huỷ nhận đơn'!$AT$7:$AT$500="Block"))+SUMPRODUCT(--ISNUMBER(SEARCH(", "&amp;$B68&amp;", ",", "&amp;'Giao nhận &amp; Theo dõi đơn'!$B$7:$B$500&amp;", ")),--('Giao nhận &amp; Theo dõi đơn'!$AT$7:$AT$500="Block"))+SUMPRODUCT(--ISNUMBER(SEARCH(", "&amp;$B68&amp;", ",", "&amp;'Bảng tin &amp; Chi tiết tin'!$B$7:$B$500&amp;", ")),--('Bảng tin &amp; Chi tiết tin'!$AT$7:$AT$500="Block"))+SUMPRODUCT(--ISNUMBER(SEARCH(", "&amp;$B68&amp;", ",", "&amp;'Quà cảm ơn'!$B$7:$B$500&amp;", ")),--('Quà cảm ơn'!$AT$7:$AT$500="Block"))+SUMPRODUCT(--ISNUMBER(SEARCH(", "&amp;$B68&amp;", ",", "&amp;'Trang chủ'!$B$7:$B$500&amp;", ")),--('Trang chủ'!$AT$7:$AT$500="Block"))+SUMPRODUCT(--ISNUMBER(SEARCH(", "&amp;$B68&amp;", ",", "&amp;'Thông báo'!$B$7:$B$500&amp;", ")),--('Thông báo'!$AT$7:$AT$500="Block"))+SUMPRODUCT(--ISNUMBER(SEARCH(", "&amp;$B68&amp;", ",", "&amp;'Đăng tin &amp; Quản lý tin'!$B$7:$B$500&amp;", ")),--('Đăng tin &amp; Quản lý tin'!$AT$7:$AT$500="Block"))+SUMPRODUCT(--ISNUMBER(SEARCH(", "&amp;$B68&amp;", ",", "&amp;'Trust &amp; Safety'!$B$7:$B$500&amp;", ")),--('Trust &amp; Safety'!$AT$7:$AT$500="Block"))+SUMPRODUCT(--ISNUMBER(SEARCH(", "&amp;$B68&amp;", ",", "&amp;'Tài khoản &amp; Hồ sơ'!$B$7:$B$500&amp;", ")),--('Tài khoản &amp; Hồ sơ'!$AT$7:$AT$500="Block"))</f>
        <v>0</v>
      </c>
      <c r="J68" s="51" t="n">
        <f aca="false">SUMPRODUCT(--ISNUMBER(SEARCH(", "&amp;$B68&amp;", ",", "&amp;'Hoạt động (Đơn của tôi)'!$B$7:$B$500&amp;", ")),--('Hoạt động (Đơn của tôi)'!$AT$7:$AT$500="N/A"))+SUMPRODUCT(--ISNUMBER(SEARCH(", "&amp;$B68&amp;", ",", "&amp;'Ghép nối'!$B$7:$B$500&amp;", ")),--('Ghép nối'!$AT$7:$AT$500="N/A"))+SUMPRODUCT(--ISNUMBER(SEARCH(", "&amp;$B68&amp;", ",", "&amp;'Huỷ đơn - Huỷ nhận đơn'!$B$7:$B$500&amp;", ")),--('Huỷ đơn - Huỷ nhận đơn'!$AT$7:$AT$500="N/A"))+SUMPRODUCT(--ISNUMBER(SEARCH(", "&amp;$B68&amp;", ",", "&amp;'Giao nhận &amp; Theo dõi đơn'!$B$7:$B$500&amp;", ")),--('Giao nhận &amp; Theo dõi đơn'!$AT$7:$AT$500="N/A"))+SUMPRODUCT(--ISNUMBER(SEARCH(", "&amp;$B68&amp;", ",", "&amp;'Bảng tin &amp; Chi tiết tin'!$B$7:$B$500&amp;", ")),--('Bảng tin &amp; Chi tiết tin'!$AT$7:$AT$500="N/A"))+SUMPRODUCT(--ISNUMBER(SEARCH(", "&amp;$B68&amp;", ",", "&amp;'Quà cảm ơn'!$B$7:$B$500&amp;", ")),--('Quà cảm ơn'!$AT$7:$AT$500="N/A"))+SUMPRODUCT(--ISNUMBER(SEARCH(", "&amp;$B68&amp;", ",", "&amp;'Trang chủ'!$B$7:$B$500&amp;", ")),--('Trang chủ'!$AT$7:$AT$500="N/A"))+SUMPRODUCT(--ISNUMBER(SEARCH(", "&amp;$B68&amp;", ",", "&amp;'Thông báo'!$B$7:$B$500&amp;", ")),--('Thông báo'!$AT$7:$AT$500="N/A"))+SUMPRODUCT(--ISNUMBER(SEARCH(", "&amp;$B68&amp;", ",", "&amp;'Đăng tin &amp; Quản lý tin'!$B$7:$B$500&amp;", ")),--('Đăng tin &amp; Quản lý tin'!$AT$7:$AT$500="N/A"))+SUMPRODUCT(--ISNUMBER(SEARCH(", "&amp;$B68&amp;", ",", "&amp;'Trust &amp; Safety'!$B$7:$B$500&amp;", ")),--('Trust &amp; Safety'!$AT$7:$AT$500="N/A"))+SUMPRODUCT(--ISNUMBER(SEARCH(", "&amp;$B68&amp;", ",", "&amp;'Tài khoản &amp; Hồ sơ'!$B$7:$B$500&amp;", ")),--('Tài khoản &amp; Hồ sơ'!$AT$7:$AT$500="N/A"))</f>
        <v>0</v>
      </c>
      <c r="K68" s="52" t="n">
        <f aca="false">IFERROR(F68/E68,0)</f>
        <v>0</v>
      </c>
      <c r="L68" s="123" t="str">
        <f aca="false">IF(E68=0,"Chưa có TC (gap)",IF(H68&gt;0,"Có lỗi (Fail)",IF(I68&gt;0,"Bị block",IF(F68&lt;E68,"Đang test",IF(G68=0,"Không áp dụng (N/A)","Đã test xong")))))</f>
        <v>Đang test</v>
      </c>
      <c r="AB68" s="1" t="s">
        <v>444</v>
      </c>
    </row>
    <row r="69" customFormat="false" ht="15.75" hidden="false" customHeight="true" outlineLevel="0" collapsed="false">
      <c r="B69" s="175" t="s">
        <v>601</v>
      </c>
      <c r="C69" s="176" t="s">
        <v>602</v>
      </c>
      <c r="D69" s="123" t="s">
        <v>603</v>
      </c>
      <c r="E69" s="51" t="n">
        <f aca="false">SUMPRODUCT(--ISNUMBER(SEARCH(", "&amp;$B69&amp;", ",", "&amp;'Hoạt động (Đơn của tôi)'!$B$7:$B$500&amp;", ")))+SUMPRODUCT(--ISNUMBER(SEARCH(", "&amp;$B69&amp;", ",", "&amp;'Ghép nối'!$B$7:$B$500&amp;", ")))+SUMPRODUCT(--ISNUMBER(SEARCH(", "&amp;$B69&amp;", ",", "&amp;'Huỷ đơn - Huỷ nhận đơn'!$B$7:$B$500&amp;", ")))+SUMPRODUCT(--ISNUMBER(SEARCH(", "&amp;$B69&amp;", ",", "&amp;'Giao nhận &amp; Theo dõi đơn'!$B$7:$B$500&amp;", ")))+SUMPRODUCT(--ISNUMBER(SEARCH(", "&amp;$B69&amp;", ",", "&amp;'Bảng tin &amp; Chi tiết tin'!$B$7:$B$500&amp;", ")))+SUMPRODUCT(--ISNUMBER(SEARCH(", "&amp;$B69&amp;", ",", "&amp;'Quà cảm ơn'!$B$7:$B$500&amp;", ")))+SUMPRODUCT(--ISNUMBER(SEARCH(", "&amp;$B69&amp;", ",", "&amp;'Trang chủ'!$B$7:$B$500&amp;", ")))+SUMPRODUCT(--ISNUMBER(SEARCH(", "&amp;$B69&amp;", ",", "&amp;'Thông báo'!$B$7:$B$500&amp;", ")))+SUMPRODUCT(--ISNUMBER(SEARCH(", "&amp;$B69&amp;", ",", "&amp;'Đăng tin &amp; Quản lý tin'!$B$7:$B$500&amp;", ")))+SUMPRODUCT(--ISNUMBER(SEARCH(", "&amp;$B69&amp;", ",", "&amp;'Trust &amp; Safety'!$B$7:$B$500&amp;", ")))+SUMPRODUCT(--ISNUMBER(SEARCH(", "&amp;$B69&amp;", ",", "&amp;'Tài khoản &amp; Hồ sơ'!$B$7:$B$500&amp;", ")))</f>
        <v>2</v>
      </c>
      <c r="F69" s="51" t="n">
        <f aca="false">SUMPRODUCT(--ISNUMBER(SEARCH(", "&amp;$B69&amp;", ",", "&amp;'Hoạt động (Đơn của tôi)'!$B$7:$B$500&amp;", ")),--('Hoạt động (Đơn của tôi)'!$AT$7:$AT$500&lt;&gt;""))+SUMPRODUCT(--ISNUMBER(SEARCH(", "&amp;$B69&amp;", ",", "&amp;'Ghép nối'!$B$7:$B$500&amp;", ")),--('Ghép nối'!$AT$7:$AT$500&lt;&gt;""))+SUMPRODUCT(--ISNUMBER(SEARCH(", "&amp;$B69&amp;", ",", "&amp;'Huỷ đơn - Huỷ nhận đơn'!$B$7:$B$500&amp;", ")),--('Huỷ đơn - Huỷ nhận đơn'!$AT$7:$AT$500&lt;&gt;""))+SUMPRODUCT(--ISNUMBER(SEARCH(", "&amp;$B69&amp;", ",", "&amp;'Giao nhận &amp; Theo dõi đơn'!$B$7:$B$500&amp;", ")),--('Giao nhận &amp; Theo dõi đơn'!$AT$7:$AT$500&lt;&gt;""))+SUMPRODUCT(--ISNUMBER(SEARCH(", "&amp;$B69&amp;", ",", "&amp;'Bảng tin &amp; Chi tiết tin'!$B$7:$B$500&amp;", ")),--('Bảng tin &amp; Chi tiết tin'!$AT$7:$AT$500&lt;&gt;""))+SUMPRODUCT(--ISNUMBER(SEARCH(", "&amp;$B69&amp;", ",", "&amp;'Quà cảm ơn'!$B$7:$B$500&amp;", ")),--('Quà cảm ơn'!$AT$7:$AT$500&lt;&gt;""))+SUMPRODUCT(--ISNUMBER(SEARCH(", "&amp;$B69&amp;", ",", "&amp;'Trang chủ'!$B$7:$B$500&amp;", ")),--('Trang chủ'!$AT$7:$AT$500&lt;&gt;""))+SUMPRODUCT(--ISNUMBER(SEARCH(", "&amp;$B69&amp;", ",", "&amp;'Thông báo'!$B$7:$B$500&amp;", ")),--('Thông báo'!$AT$7:$AT$500&lt;&gt;""))+SUMPRODUCT(--ISNUMBER(SEARCH(", "&amp;$B69&amp;", ",", "&amp;'Đăng tin &amp; Quản lý tin'!$B$7:$B$500&amp;", ")),--('Đăng tin &amp; Quản lý tin'!$AT$7:$AT$500&lt;&gt;""))+SUMPRODUCT(--ISNUMBER(SEARCH(", "&amp;$B69&amp;", ",", "&amp;'Trust &amp; Safety'!$B$7:$B$500&amp;", ")),--('Trust &amp; Safety'!$AT$7:$AT$500&lt;&gt;""))+SUMPRODUCT(--ISNUMBER(SEARCH(", "&amp;$B69&amp;", ",", "&amp;'Tài khoản &amp; Hồ sơ'!$B$7:$B$500&amp;", ")),--('Tài khoản &amp; Hồ sơ'!$AT$7:$AT$500&lt;&gt;""))</f>
        <v>0</v>
      </c>
      <c r="G69" s="51" t="n">
        <f aca="false">SUMPRODUCT(--ISNUMBER(SEARCH(", "&amp;$B69&amp;", ",", "&amp;'Hoạt động (Đơn của tôi)'!$B$7:$B$500&amp;", ")),--('Hoạt động (Đơn của tôi)'!$AT$7:$AT$500="Pass"))+SUMPRODUCT(--ISNUMBER(SEARCH(", "&amp;$B69&amp;", ",", "&amp;'Ghép nối'!$B$7:$B$500&amp;", ")),--('Ghép nối'!$AT$7:$AT$500="Pass"))+SUMPRODUCT(--ISNUMBER(SEARCH(", "&amp;$B69&amp;", ",", "&amp;'Huỷ đơn - Huỷ nhận đơn'!$B$7:$B$500&amp;", ")),--('Huỷ đơn - Huỷ nhận đơn'!$AT$7:$AT$500="Pass"))+SUMPRODUCT(--ISNUMBER(SEARCH(", "&amp;$B69&amp;", ",", "&amp;'Giao nhận &amp; Theo dõi đơn'!$B$7:$B$500&amp;", ")),--('Giao nhận &amp; Theo dõi đơn'!$AT$7:$AT$500="Pass"))+SUMPRODUCT(--ISNUMBER(SEARCH(", "&amp;$B69&amp;", ",", "&amp;'Bảng tin &amp; Chi tiết tin'!$B$7:$B$500&amp;", ")),--('Bảng tin &amp; Chi tiết tin'!$AT$7:$AT$500="Pass"))+SUMPRODUCT(--ISNUMBER(SEARCH(", "&amp;$B69&amp;", ",", "&amp;'Quà cảm ơn'!$B$7:$B$500&amp;", ")),--('Quà cảm ơn'!$AT$7:$AT$500="Pass"))+SUMPRODUCT(--ISNUMBER(SEARCH(", "&amp;$B69&amp;", ",", "&amp;'Trang chủ'!$B$7:$B$500&amp;", ")),--('Trang chủ'!$AT$7:$AT$500="Pass"))+SUMPRODUCT(--ISNUMBER(SEARCH(", "&amp;$B69&amp;", ",", "&amp;'Thông báo'!$B$7:$B$500&amp;", ")),--('Thông báo'!$AT$7:$AT$500="Pass"))+SUMPRODUCT(--ISNUMBER(SEARCH(", "&amp;$B69&amp;", ",", "&amp;'Đăng tin &amp; Quản lý tin'!$B$7:$B$500&amp;", ")),--('Đăng tin &amp; Quản lý tin'!$AT$7:$AT$500="Pass"))+SUMPRODUCT(--ISNUMBER(SEARCH(", "&amp;$B69&amp;", ",", "&amp;'Trust &amp; Safety'!$B$7:$B$500&amp;", ")),--('Trust &amp; Safety'!$AT$7:$AT$500="Pass"))+SUMPRODUCT(--ISNUMBER(SEARCH(", "&amp;$B69&amp;", ",", "&amp;'Tài khoản &amp; Hồ sơ'!$B$7:$B$500&amp;", ")),--('Tài khoản &amp; Hồ sơ'!$AT$7:$AT$500="Pass"))</f>
        <v>0</v>
      </c>
      <c r="H69" s="51" t="n">
        <f aca="false">SUMPRODUCT(--ISNUMBER(SEARCH(", "&amp;$B69&amp;", ",", "&amp;'Hoạt động (Đơn của tôi)'!$B$7:$B$500&amp;", ")),--('Hoạt động (Đơn của tôi)'!$AT$7:$AT$500="Fail"))+SUMPRODUCT(--ISNUMBER(SEARCH(", "&amp;$B69&amp;", ",", "&amp;'Ghép nối'!$B$7:$B$500&amp;", ")),--('Ghép nối'!$AT$7:$AT$500="Fail"))+SUMPRODUCT(--ISNUMBER(SEARCH(", "&amp;$B69&amp;", ",", "&amp;'Huỷ đơn - Huỷ nhận đơn'!$B$7:$B$500&amp;", ")),--('Huỷ đơn - Huỷ nhận đơn'!$AT$7:$AT$500="Fail"))+SUMPRODUCT(--ISNUMBER(SEARCH(", "&amp;$B69&amp;", ",", "&amp;'Giao nhận &amp; Theo dõi đơn'!$B$7:$B$500&amp;", ")),--('Giao nhận &amp; Theo dõi đơn'!$AT$7:$AT$500="Fail"))+SUMPRODUCT(--ISNUMBER(SEARCH(", "&amp;$B69&amp;", ",", "&amp;'Bảng tin &amp; Chi tiết tin'!$B$7:$B$500&amp;", ")),--('Bảng tin &amp; Chi tiết tin'!$AT$7:$AT$500="Fail"))+SUMPRODUCT(--ISNUMBER(SEARCH(", "&amp;$B69&amp;", ",", "&amp;'Quà cảm ơn'!$B$7:$B$500&amp;", ")),--('Quà cảm ơn'!$AT$7:$AT$500="Fail"))+SUMPRODUCT(--ISNUMBER(SEARCH(", "&amp;$B69&amp;", ",", "&amp;'Trang chủ'!$B$7:$B$500&amp;", ")),--('Trang chủ'!$AT$7:$AT$500="Fail"))+SUMPRODUCT(--ISNUMBER(SEARCH(", "&amp;$B69&amp;", ",", "&amp;'Thông báo'!$B$7:$B$500&amp;", ")),--('Thông báo'!$AT$7:$AT$500="Fail"))+SUMPRODUCT(--ISNUMBER(SEARCH(", "&amp;$B69&amp;", ",", "&amp;'Đăng tin &amp; Quản lý tin'!$B$7:$B$500&amp;", ")),--('Đăng tin &amp; Quản lý tin'!$AT$7:$AT$500="Fail"))+SUMPRODUCT(--ISNUMBER(SEARCH(", "&amp;$B69&amp;", ",", "&amp;'Trust &amp; Safety'!$B$7:$B$500&amp;", ")),--('Trust &amp; Safety'!$AT$7:$AT$500="Fail"))+SUMPRODUCT(--ISNUMBER(SEARCH(", "&amp;$B69&amp;", ",", "&amp;'Tài khoản &amp; Hồ sơ'!$B$7:$B$500&amp;", ")),--('Tài khoản &amp; Hồ sơ'!$AT$7:$AT$500="Fail"))</f>
        <v>0</v>
      </c>
      <c r="I69" s="51" t="n">
        <f aca="false">SUMPRODUCT(--ISNUMBER(SEARCH(", "&amp;$B69&amp;", ",", "&amp;'Hoạt động (Đơn của tôi)'!$B$7:$B$500&amp;", ")),--('Hoạt động (Đơn của tôi)'!$AT$7:$AT$500="Block"))+SUMPRODUCT(--ISNUMBER(SEARCH(", "&amp;$B69&amp;", ",", "&amp;'Ghép nối'!$B$7:$B$500&amp;", ")),--('Ghép nối'!$AT$7:$AT$500="Block"))+SUMPRODUCT(--ISNUMBER(SEARCH(", "&amp;$B69&amp;", ",", "&amp;'Huỷ đơn - Huỷ nhận đơn'!$B$7:$B$500&amp;", ")),--('Huỷ đơn - Huỷ nhận đơn'!$AT$7:$AT$500="Block"))+SUMPRODUCT(--ISNUMBER(SEARCH(", "&amp;$B69&amp;", ",", "&amp;'Giao nhận &amp; Theo dõi đơn'!$B$7:$B$500&amp;", ")),--('Giao nhận &amp; Theo dõi đơn'!$AT$7:$AT$500="Block"))+SUMPRODUCT(--ISNUMBER(SEARCH(", "&amp;$B69&amp;", ",", "&amp;'Bảng tin &amp; Chi tiết tin'!$B$7:$B$500&amp;", ")),--('Bảng tin &amp; Chi tiết tin'!$AT$7:$AT$500="Block"))+SUMPRODUCT(--ISNUMBER(SEARCH(", "&amp;$B69&amp;", ",", "&amp;'Quà cảm ơn'!$B$7:$B$500&amp;", ")),--('Quà cảm ơn'!$AT$7:$AT$500="Block"))+SUMPRODUCT(--ISNUMBER(SEARCH(", "&amp;$B69&amp;", ",", "&amp;'Trang chủ'!$B$7:$B$500&amp;", ")),--('Trang chủ'!$AT$7:$AT$500="Block"))+SUMPRODUCT(--ISNUMBER(SEARCH(", "&amp;$B69&amp;", ",", "&amp;'Thông báo'!$B$7:$B$500&amp;", ")),--('Thông báo'!$AT$7:$AT$500="Block"))+SUMPRODUCT(--ISNUMBER(SEARCH(", "&amp;$B69&amp;", ",", "&amp;'Đăng tin &amp; Quản lý tin'!$B$7:$B$500&amp;", ")),--('Đăng tin &amp; Quản lý tin'!$AT$7:$AT$500="Block"))+SUMPRODUCT(--ISNUMBER(SEARCH(", "&amp;$B69&amp;", ",", "&amp;'Trust &amp; Safety'!$B$7:$B$500&amp;", ")),--('Trust &amp; Safety'!$AT$7:$AT$500="Block"))+SUMPRODUCT(--ISNUMBER(SEARCH(", "&amp;$B69&amp;", ",", "&amp;'Tài khoản &amp; Hồ sơ'!$B$7:$B$500&amp;", ")),--('Tài khoản &amp; Hồ sơ'!$AT$7:$AT$500="Block"))</f>
        <v>0</v>
      </c>
      <c r="J69" s="51" t="n">
        <f aca="false">SUMPRODUCT(--ISNUMBER(SEARCH(", "&amp;$B69&amp;", ",", "&amp;'Hoạt động (Đơn của tôi)'!$B$7:$B$500&amp;", ")),--('Hoạt động (Đơn của tôi)'!$AT$7:$AT$500="N/A"))+SUMPRODUCT(--ISNUMBER(SEARCH(", "&amp;$B69&amp;", ",", "&amp;'Ghép nối'!$B$7:$B$500&amp;", ")),--('Ghép nối'!$AT$7:$AT$500="N/A"))+SUMPRODUCT(--ISNUMBER(SEARCH(", "&amp;$B69&amp;", ",", "&amp;'Huỷ đơn - Huỷ nhận đơn'!$B$7:$B$500&amp;", ")),--('Huỷ đơn - Huỷ nhận đơn'!$AT$7:$AT$500="N/A"))+SUMPRODUCT(--ISNUMBER(SEARCH(", "&amp;$B69&amp;", ",", "&amp;'Giao nhận &amp; Theo dõi đơn'!$B$7:$B$500&amp;", ")),--('Giao nhận &amp; Theo dõi đơn'!$AT$7:$AT$500="N/A"))+SUMPRODUCT(--ISNUMBER(SEARCH(", "&amp;$B69&amp;", ",", "&amp;'Bảng tin &amp; Chi tiết tin'!$B$7:$B$500&amp;", ")),--('Bảng tin &amp; Chi tiết tin'!$AT$7:$AT$500="N/A"))+SUMPRODUCT(--ISNUMBER(SEARCH(", "&amp;$B69&amp;", ",", "&amp;'Quà cảm ơn'!$B$7:$B$500&amp;", ")),--('Quà cảm ơn'!$AT$7:$AT$500="N/A"))+SUMPRODUCT(--ISNUMBER(SEARCH(", "&amp;$B69&amp;", ",", "&amp;'Trang chủ'!$B$7:$B$500&amp;", ")),--('Trang chủ'!$AT$7:$AT$500="N/A"))+SUMPRODUCT(--ISNUMBER(SEARCH(", "&amp;$B69&amp;", ",", "&amp;'Thông báo'!$B$7:$B$500&amp;", ")),--('Thông báo'!$AT$7:$AT$500="N/A"))+SUMPRODUCT(--ISNUMBER(SEARCH(", "&amp;$B69&amp;", ",", "&amp;'Đăng tin &amp; Quản lý tin'!$B$7:$B$500&amp;", ")),--('Đăng tin &amp; Quản lý tin'!$AT$7:$AT$500="N/A"))+SUMPRODUCT(--ISNUMBER(SEARCH(", "&amp;$B69&amp;", ",", "&amp;'Trust &amp; Safety'!$B$7:$B$500&amp;", ")),--('Trust &amp; Safety'!$AT$7:$AT$500="N/A"))+SUMPRODUCT(--ISNUMBER(SEARCH(", "&amp;$B69&amp;", ",", "&amp;'Tài khoản &amp; Hồ sơ'!$B$7:$B$500&amp;", ")),--('Tài khoản &amp; Hồ sơ'!$AT$7:$AT$500="N/A"))</f>
        <v>0</v>
      </c>
      <c r="K69" s="52" t="n">
        <f aca="false">IFERROR(F69/E69,0)</f>
        <v>0</v>
      </c>
      <c r="L69" s="123" t="str">
        <f aca="false">IF(E69=0,"Chưa có TC (gap)",IF(H69&gt;0,"Có lỗi (Fail)",IF(I69&gt;0,"Bị block",IF(F69&lt;E69,"Đang test",IF(G69=0,"Không áp dụng (N/A)","Đã test xong")))))</f>
        <v>Đang test</v>
      </c>
      <c r="AB69" s="1" t="s">
        <v>444</v>
      </c>
    </row>
    <row r="70" customFormat="false" ht="15.75" hidden="false" customHeight="true" outlineLevel="0" collapsed="false">
      <c r="B70" s="175" t="s">
        <v>604</v>
      </c>
      <c r="C70" s="176" t="s">
        <v>605</v>
      </c>
      <c r="D70" s="123" t="s">
        <v>606</v>
      </c>
      <c r="E70" s="51" t="n">
        <f aca="false">SUMPRODUCT(--ISNUMBER(SEARCH(", "&amp;$B70&amp;", ",", "&amp;'Hoạt động (Đơn của tôi)'!$B$7:$B$500&amp;", ")))+SUMPRODUCT(--ISNUMBER(SEARCH(", "&amp;$B70&amp;", ",", "&amp;'Ghép nối'!$B$7:$B$500&amp;", ")))+SUMPRODUCT(--ISNUMBER(SEARCH(", "&amp;$B70&amp;", ",", "&amp;'Huỷ đơn - Huỷ nhận đơn'!$B$7:$B$500&amp;", ")))+SUMPRODUCT(--ISNUMBER(SEARCH(", "&amp;$B70&amp;", ",", "&amp;'Giao nhận &amp; Theo dõi đơn'!$B$7:$B$500&amp;", ")))+SUMPRODUCT(--ISNUMBER(SEARCH(", "&amp;$B70&amp;", ",", "&amp;'Bảng tin &amp; Chi tiết tin'!$B$7:$B$500&amp;", ")))+SUMPRODUCT(--ISNUMBER(SEARCH(", "&amp;$B70&amp;", ",", "&amp;'Quà cảm ơn'!$B$7:$B$500&amp;", ")))+SUMPRODUCT(--ISNUMBER(SEARCH(", "&amp;$B70&amp;", ",", "&amp;'Trang chủ'!$B$7:$B$500&amp;", ")))+SUMPRODUCT(--ISNUMBER(SEARCH(", "&amp;$B70&amp;", ",", "&amp;'Thông báo'!$B$7:$B$500&amp;", ")))+SUMPRODUCT(--ISNUMBER(SEARCH(", "&amp;$B70&amp;", ",", "&amp;'Đăng tin &amp; Quản lý tin'!$B$7:$B$500&amp;", ")))+SUMPRODUCT(--ISNUMBER(SEARCH(", "&amp;$B70&amp;", ",", "&amp;'Trust &amp; Safety'!$B$7:$B$500&amp;", ")))+SUMPRODUCT(--ISNUMBER(SEARCH(", "&amp;$B70&amp;", ",", "&amp;'Tài khoản &amp; Hồ sơ'!$B$7:$B$500&amp;", ")))</f>
        <v>2</v>
      </c>
      <c r="F70" s="51" t="n">
        <f aca="false">SUMPRODUCT(--ISNUMBER(SEARCH(", "&amp;$B70&amp;", ",", "&amp;'Hoạt động (Đơn của tôi)'!$B$7:$B$500&amp;", ")),--('Hoạt động (Đơn của tôi)'!$AT$7:$AT$500&lt;&gt;""))+SUMPRODUCT(--ISNUMBER(SEARCH(", "&amp;$B70&amp;", ",", "&amp;'Ghép nối'!$B$7:$B$500&amp;", ")),--('Ghép nối'!$AT$7:$AT$500&lt;&gt;""))+SUMPRODUCT(--ISNUMBER(SEARCH(", "&amp;$B70&amp;", ",", "&amp;'Huỷ đơn - Huỷ nhận đơn'!$B$7:$B$500&amp;", ")),--('Huỷ đơn - Huỷ nhận đơn'!$AT$7:$AT$500&lt;&gt;""))+SUMPRODUCT(--ISNUMBER(SEARCH(", "&amp;$B70&amp;", ",", "&amp;'Giao nhận &amp; Theo dõi đơn'!$B$7:$B$500&amp;", ")),--('Giao nhận &amp; Theo dõi đơn'!$AT$7:$AT$500&lt;&gt;""))+SUMPRODUCT(--ISNUMBER(SEARCH(", "&amp;$B70&amp;", ",", "&amp;'Bảng tin &amp; Chi tiết tin'!$B$7:$B$500&amp;", ")),--('Bảng tin &amp; Chi tiết tin'!$AT$7:$AT$500&lt;&gt;""))+SUMPRODUCT(--ISNUMBER(SEARCH(", "&amp;$B70&amp;", ",", "&amp;'Quà cảm ơn'!$B$7:$B$500&amp;", ")),--('Quà cảm ơn'!$AT$7:$AT$500&lt;&gt;""))+SUMPRODUCT(--ISNUMBER(SEARCH(", "&amp;$B70&amp;", ",", "&amp;'Trang chủ'!$B$7:$B$500&amp;", ")),--('Trang chủ'!$AT$7:$AT$500&lt;&gt;""))+SUMPRODUCT(--ISNUMBER(SEARCH(", "&amp;$B70&amp;", ",", "&amp;'Thông báo'!$B$7:$B$500&amp;", ")),--('Thông báo'!$AT$7:$AT$500&lt;&gt;""))+SUMPRODUCT(--ISNUMBER(SEARCH(", "&amp;$B70&amp;", ",", "&amp;'Đăng tin &amp; Quản lý tin'!$B$7:$B$500&amp;", ")),--('Đăng tin &amp; Quản lý tin'!$AT$7:$AT$500&lt;&gt;""))+SUMPRODUCT(--ISNUMBER(SEARCH(", "&amp;$B70&amp;", ",", "&amp;'Trust &amp; Safety'!$B$7:$B$500&amp;", ")),--('Trust &amp; Safety'!$AT$7:$AT$500&lt;&gt;""))+SUMPRODUCT(--ISNUMBER(SEARCH(", "&amp;$B70&amp;", ",", "&amp;'Tài khoản &amp; Hồ sơ'!$B$7:$B$500&amp;", ")),--('Tài khoản &amp; Hồ sơ'!$AT$7:$AT$500&lt;&gt;""))</f>
        <v>0</v>
      </c>
      <c r="G70" s="51" t="n">
        <f aca="false">SUMPRODUCT(--ISNUMBER(SEARCH(", "&amp;$B70&amp;", ",", "&amp;'Hoạt động (Đơn của tôi)'!$B$7:$B$500&amp;", ")),--('Hoạt động (Đơn của tôi)'!$AT$7:$AT$500="Pass"))+SUMPRODUCT(--ISNUMBER(SEARCH(", "&amp;$B70&amp;", ",", "&amp;'Ghép nối'!$B$7:$B$500&amp;", ")),--('Ghép nối'!$AT$7:$AT$500="Pass"))+SUMPRODUCT(--ISNUMBER(SEARCH(", "&amp;$B70&amp;", ",", "&amp;'Huỷ đơn - Huỷ nhận đơn'!$B$7:$B$500&amp;", ")),--('Huỷ đơn - Huỷ nhận đơn'!$AT$7:$AT$500="Pass"))+SUMPRODUCT(--ISNUMBER(SEARCH(", "&amp;$B70&amp;", ",", "&amp;'Giao nhận &amp; Theo dõi đơn'!$B$7:$B$500&amp;", ")),--('Giao nhận &amp; Theo dõi đơn'!$AT$7:$AT$500="Pass"))+SUMPRODUCT(--ISNUMBER(SEARCH(", "&amp;$B70&amp;", ",", "&amp;'Bảng tin &amp; Chi tiết tin'!$B$7:$B$500&amp;", ")),--('Bảng tin &amp; Chi tiết tin'!$AT$7:$AT$500="Pass"))+SUMPRODUCT(--ISNUMBER(SEARCH(", "&amp;$B70&amp;", ",", "&amp;'Quà cảm ơn'!$B$7:$B$500&amp;", ")),--('Quà cảm ơn'!$AT$7:$AT$500="Pass"))+SUMPRODUCT(--ISNUMBER(SEARCH(", "&amp;$B70&amp;", ",", "&amp;'Trang chủ'!$B$7:$B$500&amp;", ")),--('Trang chủ'!$AT$7:$AT$500="Pass"))+SUMPRODUCT(--ISNUMBER(SEARCH(", "&amp;$B70&amp;", ",", "&amp;'Thông báo'!$B$7:$B$500&amp;", ")),--('Thông báo'!$AT$7:$AT$500="Pass"))+SUMPRODUCT(--ISNUMBER(SEARCH(", "&amp;$B70&amp;", ",", "&amp;'Đăng tin &amp; Quản lý tin'!$B$7:$B$500&amp;", ")),--('Đăng tin &amp; Quản lý tin'!$AT$7:$AT$500="Pass"))+SUMPRODUCT(--ISNUMBER(SEARCH(", "&amp;$B70&amp;", ",", "&amp;'Trust &amp; Safety'!$B$7:$B$500&amp;", ")),--('Trust &amp; Safety'!$AT$7:$AT$500="Pass"))+SUMPRODUCT(--ISNUMBER(SEARCH(", "&amp;$B70&amp;", ",", "&amp;'Tài khoản &amp; Hồ sơ'!$B$7:$B$500&amp;", ")),--('Tài khoản &amp; Hồ sơ'!$AT$7:$AT$500="Pass"))</f>
        <v>0</v>
      </c>
      <c r="H70" s="51" t="n">
        <f aca="false">SUMPRODUCT(--ISNUMBER(SEARCH(", "&amp;$B70&amp;", ",", "&amp;'Hoạt động (Đơn của tôi)'!$B$7:$B$500&amp;", ")),--('Hoạt động (Đơn của tôi)'!$AT$7:$AT$500="Fail"))+SUMPRODUCT(--ISNUMBER(SEARCH(", "&amp;$B70&amp;", ",", "&amp;'Ghép nối'!$B$7:$B$500&amp;", ")),--('Ghép nối'!$AT$7:$AT$500="Fail"))+SUMPRODUCT(--ISNUMBER(SEARCH(", "&amp;$B70&amp;", ",", "&amp;'Huỷ đơn - Huỷ nhận đơn'!$B$7:$B$500&amp;", ")),--('Huỷ đơn - Huỷ nhận đơn'!$AT$7:$AT$500="Fail"))+SUMPRODUCT(--ISNUMBER(SEARCH(", "&amp;$B70&amp;", ",", "&amp;'Giao nhận &amp; Theo dõi đơn'!$B$7:$B$500&amp;", ")),--('Giao nhận &amp; Theo dõi đơn'!$AT$7:$AT$500="Fail"))+SUMPRODUCT(--ISNUMBER(SEARCH(", "&amp;$B70&amp;", ",", "&amp;'Bảng tin &amp; Chi tiết tin'!$B$7:$B$500&amp;", ")),--('Bảng tin &amp; Chi tiết tin'!$AT$7:$AT$500="Fail"))+SUMPRODUCT(--ISNUMBER(SEARCH(", "&amp;$B70&amp;", ",", "&amp;'Quà cảm ơn'!$B$7:$B$500&amp;", ")),--('Quà cảm ơn'!$AT$7:$AT$500="Fail"))+SUMPRODUCT(--ISNUMBER(SEARCH(", "&amp;$B70&amp;", ",", "&amp;'Trang chủ'!$B$7:$B$500&amp;", ")),--('Trang chủ'!$AT$7:$AT$500="Fail"))+SUMPRODUCT(--ISNUMBER(SEARCH(", "&amp;$B70&amp;", ",", "&amp;'Thông báo'!$B$7:$B$500&amp;", ")),--('Thông báo'!$AT$7:$AT$500="Fail"))+SUMPRODUCT(--ISNUMBER(SEARCH(", "&amp;$B70&amp;", ",", "&amp;'Đăng tin &amp; Quản lý tin'!$B$7:$B$500&amp;", ")),--('Đăng tin &amp; Quản lý tin'!$AT$7:$AT$500="Fail"))+SUMPRODUCT(--ISNUMBER(SEARCH(", "&amp;$B70&amp;", ",", "&amp;'Trust &amp; Safety'!$B$7:$B$500&amp;", ")),--('Trust &amp; Safety'!$AT$7:$AT$500="Fail"))+SUMPRODUCT(--ISNUMBER(SEARCH(", "&amp;$B70&amp;", ",", "&amp;'Tài khoản &amp; Hồ sơ'!$B$7:$B$500&amp;", ")),--('Tài khoản &amp; Hồ sơ'!$AT$7:$AT$500="Fail"))</f>
        <v>0</v>
      </c>
      <c r="I70" s="51" t="n">
        <f aca="false">SUMPRODUCT(--ISNUMBER(SEARCH(", "&amp;$B70&amp;", ",", "&amp;'Hoạt động (Đơn của tôi)'!$B$7:$B$500&amp;", ")),--('Hoạt động (Đơn của tôi)'!$AT$7:$AT$500="Block"))+SUMPRODUCT(--ISNUMBER(SEARCH(", "&amp;$B70&amp;", ",", "&amp;'Ghép nối'!$B$7:$B$500&amp;", ")),--('Ghép nối'!$AT$7:$AT$500="Block"))+SUMPRODUCT(--ISNUMBER(SEARCH(", "&amp;$B70&amp;", ",", "&amp;'Huỷ đơn - Huỷ nhận đơn'!$B$7:$B$500&amp;", ")),--('Huỷ đơn - Huỷ nhận đơn'!$AT$7:$AT$500="Block"))+SUMPRODUCT(--ISNUMBER(SEARCH(", "&amp;$B70&amp;", ",", "&amp;'Giao nhận &amp; Theo dõi đơn'!$B$7:$B$500&amp;", ")),--('Giao nhận &amp; Theo dõi đơn'!$AT$7:$AT$500="Block"))+SUMPRODUCT(--ISNUMBER(SEARCH(", "&amp;$B70&amp;", ",", "&amp;'Bảng tin &amp; Chi tiết tin'!$B$7:$B$500&amp;", ")),--('Bảng tin &amp; Chi tiết tin'!$AT$7:$AT$500="Block"))+SUMPRODUCT(--ISNUMBER(SEARCH(", "&amp;$B70&amp;", ",", "&amp;'Quà cảm ơn'!$B$7:$B$500&amp;", ")),--('Quà cảm ơn'!$AT$7:$AT$500="Block"))+SUMPRODUCT(--ISNUMBER(SEARCH(", "&amp;$B70&amp;", ",", "&amp;'Trang chủ'!$B$7:$B$500&amp;", ")),--('Trang chủ'!$AT$7:$AT$500="Block"))+SUMPRODUCT(--ISNUMBER(SEARCH(", "&amp;$B70&amp;", ",", "&amp;'Thông báo'!$B$7:$B$500&amp;", ")),--('Thông báo'!$AT$7:$AT$500="Block"))+SUMPRODUCT(--ISNUMBER(SEARCH(", "&amp;$B70&amp;", ",", "&amp;'Đăng tin &amp; Quản lý tin'!$B$7:$B$500&amp;", ")),--('Đăng tin &amp; Quản lý tin'!$AT$7:$AT$500="Block"))+SUMPRODUCT(--ISNUMBER(SEARCH(", "&amp;$B70&amp;", ",", "&amp;'Trust &amp; Safety'!$B$7:$B$500&amp;", ")),--('Trust &amp; Safety'!$AT$7:$AT$500="Block"))+SUMPRODUCT(--ISNUMBER(SEARCH(", "&amp;$B70&amp;", ",", "&amp;'Tài khoản &amp; Hồ sơ'!$B$7:$B$500&amp;", ")),--('Tài khoản &amp; Hồ sơ'!$AT$7:$AT$500="Block"))</f>
        <v>0</v>
      </c>
      <c r="J70" s="51" t="n">
        <f aca="false">SUMPRODUCT(--ISNUMBER(SEARCH(", "&amp;$B70&amp;", ",", "&amp;'Hoạt động (Đơn của tôi)'!$B$7:$B$500&amp;", ")),--('Hoạt động (Đơn của tôi)'!$AT$7:$AT$500="N/A"))+SUMPRODUCT(--ISNUMBER(SEARCH(", "&amp;$B70&amp;", ",", "&amp;'Ghép nối'!$B$7:$B$500&amp;", ")),--('Ghép nối'!$AT$7:$AT$500="N/A"))+SUMPRODUCT(--ISNUMBER(SEARCH(", "&amp;$B70&amp;", ",", "&amp;'Huỷ đơn - Huỷ nhận đơn'!$B$7:$B$500&amp;", ")),--('Huỷ đơn - Huỷ nhận đơn'!$AT$7:$AT$500="N/A"))+SUMPRODUCT(--ISNUMBER(SEARCH(", "&amp;$B70&amp;", ",", "&amp;'Giao nhận &amp; Theo dõi đơn'!$B$7:$B$500&amp;", ")),--('Giao nhận &amp; Theo dõi đơn'!$AT$7:$AT$500="N/A"))+SUMPRODUCT(--ISNUMBER(SEARCH(", "&amp;$B70&amp;", ",", "&amp;'Bảng tin &amp; Chi tiết tin'!$B$7:$B$500&amp;", ")),--('Bảng tin &amp; Chi tiết tin'!$AT$7:$AT$500="N/A"))+SUMPRODUCT(--ISNUMBER(SEARCH(", "&amp;$B70&amp;", ",", "&amp;'Quà cảm ơn'!$B$7:$B$500&amp;", ")),--('Quà cảm ơn'!$AT$7:$AT$500="N/A"))+SUMPRODUCT(--ISNUMBER(SEARCH(", "&amp;$B70&amp;", ",", "&amp;'Trang chủ'!$B$7:$B$500&amp;", ")),--('Trang chủ'!$AT$7:$AT$500="N/A"))+SUMPRODUCT(--ISNUMBER(SEARCH(", "&amp;$B70&amp;", ",", "&amp;'Thông báo'!$B$7:$B$500&amp;", ")),--('Thông báo'!$AT$7:$AT$500="N/A"))+SUMPRODUCT(--ISNUMBER(SEARCH(", "&amp;$B70&amp;", ",", "&amp;'Đăng tin &amp; Quản lý tin'!$B$7:$B$500&amp;", ")),--('Đăng tin &amp; Quản lý tin'!$AT$7:$AT$500="N/A"))+SUMPRODUCT(--ISNUMBER(SEARCH(", "&amp;$B70&amp;", ",", "&amp;'Trust &amp; Safety'!$B$7:$B$500&amp;", ")),--('Trust &amp; Safety'!$AT$7:$AT$500="N/A"))+SUMPRODUCT(--ISNUMBER(SEARCH(", "&amp;$B70&amp;", ",", "&amp;'Tài khoản &amp; Hồ sơ'!$B$7:$B$500&amp;", ")),--('Tài khoản &amp; Hồ sơ'!$AT$7:$AT$500="N/A"))</f>
        <v>0</v>
      </c>
      <c r="K70" s="52" t="n">
        <f aca="false">IFERROR(F70/E70,0)</f>
        <v>0</v>
      </c>
      <c r="L70" s="123" t="str">
        <f aca="false">IF(E70=0,"Chưa có TC (gap)",IF(H70&gt;0,"Có lỗi (Fail)",IF(I70&gt;0,"Bị block",IF(F70&lt;E70,"Đang test",IF(G70=0,"Không áp dụng (N/A)","Đã test xong")))))</f>
        <v>Đang test</v>
      </c>
      <c r="AB70" s="1" t="s">
        <v>444</v>
      </c>
    </row>
    <row r="71" customFormat="false" ht="15.75" hidden="false" customHeight="true" outlineLevel="0" collapsed="false">
      <c r="B71" s="175" t="s">
        <v>607</v>
      </c>
      <c r="C71" s="176" t="s">
        <v>608</v>
      </c>
      <c r="D71" s="123" t="s">
        <v>609</v>
      </c>
      <c r="E71" s="51" t="n">
        <f aca="false">SUMPRODUCT(--ISNUMBER(SEARCH(", "&amp;$B71&amp;", ",", "&amp;'Hoạt động (Đơn của tôi)'!$B$7:$B$500&amp;", ")))+SUMPRODUCT(--ISNUMBER(SEARCH(", "&amp;$B71&amp;", ",", "&amp;'Ghép nối'!$B$7:$B$500&amp;", ")))+SUMPRODUCT(--ISNUMBER(SEARCH(", "&amp;$B71&amp;", ",", "&amp;'Huỷ đơn - Huỷ nhận đơn'!$B$7:$B$500&amp;", ")))+SUMPRODUCT(--ISNUMBER(SEARCH(", "&amp;$B71&amp;", ",", "&amp;'Giao nhận &amp; Theo dõi đơn'!$B$7:$B$500&amp;", ")))+SUMPRODUCT(--ISNUMBER(SEARCH(", "&amp;$B71&amp;", ",", "&amp;'Bảng tin &amp; Chi tiết tin'!$B$7:$B$500&amp;", ")))+SUMPRODUCT(--ISNUMBER(SEARCH(", "&amp;$B71&amp;", ",", "&amp;'Quà cảm ơn'!$B$7:$B$500&amp;", ")))+SUMPRODUCT(--ISNUMBER(SEARCH(", "&amp;$B71&amp;", ",", "&amp;'Trang chủ'!$B$7:$B$500&amp;", ")))+SUMPRODUCT(--ISNUMBER(SEARCH(", "&amp;$B71&amp;", ",", "&amp;'Thông báo'!$B$7:$B$500&amp;", ")))+SUMPRODUCT(--ISNUMBER(SEARCH(", "&amp;$B71&amp;", ",", "&amp;'Đăng tin &amp; Quản lý tin'!$B$7:$B$500&amp;", ")))+SUMPRODUCT(--ISNUMBER(SEARCH(", "&amp;$B71&amp;", ",", "&amp;'Trust &amp; Safety'!$B$7:$B$500&amp;", ")))+SUMPRODUCT(--ISNUMBER(SEARCH(", "&amp;$B71&amp;", ",", "&amp;'Tài khoản &amp; Hồ sơ'!$B$7:$B$500&amp;", ")))</f>
        <v>17</v>
      </c>
      <c r="F71" s="51" t="n">
        <f aca="false">SUMPRODUCT(--ISNUMBER(SEARCH(", "&amp;$B71&amp;", ",", "&amp;'Hoạt động (Đơn của tôi)'!$B$7:$B$500&amp;", ")),--('Hoạt động (Đơn của tôi)'!$AT$7:$AT$500&lt;&gt;""))+SUMPRODUCT(--ISNUMBER(SEARCH(", "&amp;$B71&amp;", ",", "&amp;'Ghép nối'!$B$7:$B$500&amp;", ")),--('Ghép nối'!$AT$7:$AT$500&lt;&gt;""))+SUMPRODUCT(--ISNUMBER(SEARCH(", "&amp;$B71&amp;", ",", "&amp;'Huỷ đơn - Huỷ nhận đơn'!$B$7:$B$500&amp;", ")),--('Huỷ đơn - Huỷ nhận đơn'!$AT$7:$AT$500&lt;&gt;""))+SUMPRODUCT(--ISNUMBER(SEARCH(", "&amp;$B71&amp;", ",", "&amp;'Giao nhận &amp; Theo dõi đơn'!$B$7:$B$500&amp;", ")),--('Giao nhận &amp; Theo dõi đơn'!$AT$7:$AT$500&lt;&gt;""))+SUMPRODUCT(--ISNUMBER(SEARCH(", "&amp;$B71&amp;", ",", "&amp;'Bảng tin &amp; Chi tiết tin'!$B$7:$B$500&amp;", ")),--('Bảng tin &amp; Chi tiết tin'!$AT$7:$AT$500&lt;&gt;""))+SUMPRODUCT(--ISNUMBER(SEARCH(", "&amp;$B71&amp;", ",", "&amp;'Quà cảm ơn'!$B$7:$B$500&amp;", ")),--('Quà cảm ơn'!$AT$7:$AT$500&lt;&gt;""))+SUMPRODUCT(--ISNUMBER(SEARCH(", "&amp;$B71&amp;", ",", "&amp;'Trang chủ'!$B$7:$B$500&amp;", ")),--('Trang chủ'!$AT$7:$AT$500&lt;&gt;""))+SUMPRODUCT(--ISNUMBER(SEARCH(", "&amp;$B71&amp;", ",", "&amp;'Thông báo'!$B$7:$B$500&amp;", ")),--('Thông báo'!$AT$7:$AT$500&lt;&gt;""))+SUMPRODUCT(--ISNUMBER(SEARCH(", "&amp;$B71&amp;", ",", "&amp;'Đăng tin &amp; Quản lý tin'!$B$7:$B$500&amp;", ")),--('Đăng tin &amp; Quản lý tin'!$AT$7:$AT$500&lt;&gt;""))+SUMPRODUCT(--ISNUMBER(SEARCH(", "&amp;$B71&amp;", ",", "&amp;'Trust &amp; Safety'!$B$7:$B$500&amp;", ")),--('Trust &amp; Safety'!$AT$7:$AT$500&lt;&gt;""))+SUMPRODUCT(--ISNUMBER(SEARCH(", "&amp;$B71&amp;", ",", "&amp;'Tài khoản &amp; Hồ sơ'!$B$7:$B$500&amp;", ")),--('Tài khoản &amp; Hồ sơ'!$AT$7:$AT$500&lt;&gt;""))</f>
        <v>0</v>
      </c>
      <c r="G71" s="51" t="n">
        <f aca="false">SUMPRODUCT(--ISNUMBER(SEARCH(", "&amp;$B71&amp;", ",", "&amp;'Hoạt động (Đơn của tôi)'!$B$7:$B$500&amp;", ")),--('Hoạt động (Đơn của tôi)'!$AT$7:$AT$500="Pass"))+SUMPRODUCT(--ISNUMBER(SEARCH(", "&amp;$B71&amp;", ",", "&amp;'Ghép nối'!$B$7:$B$500&amp;", ")),--('Ghép nối'!$AT$7:$AT$500="Pass"))+SUMPRODUCT(--ISNUMBER(SEARCH(", "&amp;$B71&amp;", ",", "&amp;'Huỷ đơn - Huỷ nhận đơn'!$B$7:$B$500&amp;", ")),--('Huỷ đơn - Huỷ nhận đơn'!$AT$7:$AT$500="Pass"))+SUMPRODUCT(--ISNUMBER(SEARCH(", "&amp;$B71&amp;", ",", "&amp;'Giao nhận &amp; Theo dõi đơn'!$B$7:$B$500&amp;", ")),--('Giao nhận &amp; Theo dõi đơn'!$AT$7:$AT$500="Pass"))+SUMPRODUCT(--ISNUMBER(SEARCH(", "&amp;$B71&amp;", ",", "&amp;'Bảng tin &amp; Chi tiết tin'!$B$7:$B$500&amp;", ")),--('Bảng tin &amp; Chi tiết tin'!$AT$7:$AT$500="Pass"))+SUMPRODUCT(--ISNUMBER(SEARCH(", "&amp;$B71&amp;", ",", "&amp;'Quà cảm ơn'!$B$7:$B$500&amp;", ")),--('Quà cảm ơn'!$AT$7:$AT$500="Pass"))+SUMPRODUCT(--ISNUMBER(SEARCH(", "&amp;$B71&amp;", ",", "&amp;'Trang chủ'!$B$7:$B$500&amp;", ")),--('Trang chủ'!$AT$7:$AT$500="Pass"))+SUMPRODUCT(--ISNUMBER(SEARCH(", "&amp;$B71&amp;", ",", "&amp;'Thông báo'!$B$7:$B$500&amp;", ")),--('Thông báo'!$AT$7:$AT$500="Pass"))+SUMPRODUCT(--ISNUMBER(SEARCH(", "&amp;$B71&amp;", ",", "&amp;'Đăng tin &amp; Quản lý tin'!$B$7:$B$500&amp;", ")),--('Đăng tin &amp; Quản lý tin'!$AT$7:$AT$500="Pass"))+SUMPRODUCT(--ISNUMBER(SEARCH(", "&amp;$B71&amp;", ",", "&amp;'Trust &amp; Safety'!$B$7:$B$500&amp;", ")),--('Trust &amp; Safety'!$AT$7:$AT$500="Pass"))+SUMPRODUCT(--ISNUMBER(SEARCH(", "&amp;$B71&amp;", ",", "&amp;'Tài khoản &amp; Hồ sơ'!$B$7:$B$500&amp;", ")),--('Tài khoản &amp; Hồ sơ'!$AT$7:$AT$500="Pass"))</f>
        <v>0</v>
      </c>
      <c r="H71" s="51" t="n">
        <f aca="false">SUMPRODUCT(--ISNUMBER(SEARCH(", "&amp;$B71&amp;", ",", "&amp;'Hoạt động (Đơn của tôi)'!$B$7:$B$500&amp;", ")),--('Hoạt động (Đơn của tôi)'!$AT$7:$AT$500="Fail"))+SUMPRODUCT(--ISNUMBER(SEARCH(", "&amp;$B71&amp;", ",", "&amp;'Ghép nối'!$B$7:$B$500&amp;", ")),--('Ghép nối'!$AT$7:$AT$500="Fail"))+SUMPRODUCT(--ISNUMBER(SEARCH(", "&amp;$B71&amp;", ",", "&amp;'Huỷ đơn - Huỷ nhận đơn'!$B$7:$B$500&amp;", ")),--('Huỷ đơn - Huỷ nhận đơn'!$AT$7:$AT$500="Fail"))+SUMPRODUCT(--ISNUMBER(SEARCH(", "&amp;$B71&amp;", ",", "&amp;'Giao nhận &amp; Theo dõi đơn'!$B$7:$B$500&amp;", ")),--('Giao nhận &amp; Theo dõi đơn'!$AT$7:$AT$500="Fail"))+SUMPRODUCT(--ISNUMBER(SEARCH(", "&amp;$B71&amp;", ",", "&amp;'Bảng tin &amp; Chi tiết tin'!$B$7:$B$500&amp;", ")),--('Bảng tin &amp; Chi tiết tin'!$AT$7:$AT$500="Fail"))+SUMPRODUCT(--ISNUMBER(SEARCH(", "&amp;$B71&amp;", ",", "&amp;'Quà cảm ơn'!$B$7:$B$500&amp;", ")),--('Quà cảm ơn'!$AT$7:$AT$500="Fail"))+SUMPRODUCT(--ISNUMBER(SEARCH(", "&amp;$B71&amp;", ",", "&amp;'Trang chủ'!$B$7:$B$500&amp;", ")),--('Trang chủ'!$AT$7:$AT$500="Fail"))+SUMPRODUCT(--ISNUMBER(SEARCH(", "&amp;$B71&amp;", ",", "&amp;'Thông báo'!$B$7:$B$500&amp;", ")),--('Thông báo'!$AT$7:$AT$500="Fail"))+SUMPRODUCT(--ISNUMBER(SEARCH(", "&amp;$B71&amp;", ",", "&amp;'Đăng tin &amp; Quản lý tin'!$B$7:$B$500&amp;", ")),--('Đăng tin &amp; Quản lý tin'!$AT$7:$AT$500="Fail"))+SUMPRODUCT(--ISNUMBER(SEARCH(", "&amp;$B71&amp;", ",", "&amp;'Trust &amp; Safety'!$B$7:$B$500&amp;", ")),--('Trust &amp; Safety'!$AT$7:$AT$500="Fail"))+SUMPRODUCT(--ISNUMBER(SEARCH(", "&amp;$B71&amp;", ",", "&amp;'Tài khoản &amp; Hồ sơ'!$B$7:$B$500&amp;", ")),--('Tài khoản &amp; Hồ sơ'!$AT$7:$AT$500="Fail"))</f>
        <v>0</v>
      </c>
      <c r="I71" s="51" t="n">
        <f aca="false">SUMPRODUCT(--ISNUMBER(SEARCH(", "&amp;$B71&amp;", ",", "&amp;'Hoạt động (Đơn của tôi)'!$B$7:$B$500&amp;", ")),--('Hoạt động (Đơn của tôi)'!$AT$7:$AT$500="Block"))+SUMPRODUCT(--ISNUMBER(SEARCH(", "&amp;$B71&amp;", ",", "&amp;'Ghép nối'!$B$7:$B$500&amp;", ")),--('Ghép nối'!$AT$7:$AT$500="Block"))+SUMPRODUCT(--ISNUMBER(SEARCH(", "&amp;$B71&amp;", ",", "&amp;'Huỷ đơn - Huỷ nhận đơn'!$B$7:$B$500&amp;", ")),--('Huỷ đơn - Huỷ nhận đơn'!$AT$7:$AT$500="Block"))+SUMPRODUCT(--ISNUMBER(SEARCH(", "&amp;$B71&amp;", ",", "&amp;'Giao nhận &amp; Theo dõi đơn'!$B$7:$B$500&amp;", ")),--('Giao nhận &amp; Theo dõi đơn'!$AT$7:$AT$500="Block"))+SUMPRODUCT(--ISNUMBER(SEARCH(", "&amp;$B71&amp;", ",", "&amp;'Bảng tin &amp; Chi tiết tin'!$B$7:$B$500&amp;", ")),--('Bảng tin &amp; Chi tiết tin'!$AT$7:$AT$500="Block"))+SUMPRODUCT(--ISNUMBER(SEARCH(", "&amp;$B71&amp;", ",", "&amp;'Quà cảm ơn'!$B$7:$B$500&amp;", ")),--('Quà cảm ơn'!$AT$7:$AT$500="Block"))+SUMPRODUCT(--ISNUMBER(SEARCH(", "&amp;$B71&amp;", ",", "&amp;'Trang chủ'!$B$7:$B$500&amp;", ")),--('Trang chủ'!$AT$7:$AT$500="Block"))+SUMPRODUCT(--ISNUMBER(SEARCH(", "&amp;$B71&amp;", ",", "&amp;'Thông báo'!$B$7:$B$500&amp;", ")),--('Thông báo'!$AT$7:$AT$500="Block"))+SUMPRODUCT(--ISNUMBER(SEARCH(", "&amp;$B71&amp;", ",", "&amp;'Đăng tin &amp; Quản lý tin'!$B$7:$B$500&amp;", ")),--('Đăng tin &amp; Quản lý tin'!$AT$7:$AT$500="Block"))+SUMPRODUCT(--ISNUMBER(SEARCH(", "&amp;$B71&amp;", ",", "&amp;'Trust &amp; Safety'!$B$7:$B$500&amp;", ")),--('Trust &amp; Safety'!$AT$7:$AT$500="Block"))+SUMPRODUCT(--ISNUMBER(SEARCH(", "&amp;$B71&amp;", ",", "&amp;'Tài khoản &amp; Hồ sơ'!$B$7:$B$500&amp;", ")),--('Tài khoản &amp; Hồ sơ'!$AT$7:$AT$500="Block"))</f>
        <v>0</v>
      </c>
      <c r="J71" s="51" t="n">
        <f aca="false">SUMPRODUCT(--ISNUMBER(SEARCH(", "&amp;$B71&amp;", ",", "&amp;'Hoạt động (Đơn của tôi)'!$B$7:$B$500&amp;", ")),--('Hoạt động (Đơn của tôi)'!$AT$7:$AT$500="N/A"))+SUMPRODUCT(--ISNUMBER(SEARCH(", "&amp;$B71&amp;", ",", "&amp;'Ghép nối'!$B$7:$B$500&amp;", ")),--('Ghép nối'!$AT$7:$AT$500="N/A"))+SUMPRODUCT(--ISNUMBER(SEARCH(", "&amp;$B71&amp;", ",", "&amp;'Huỷ đơn - Huỷ nhận đơn'!$B$7:$B$500&amp;", ")),--('Huỷ đơn - Huỷ nhận đơn'!$AT$7:$AT$500="N/A"))+SUMPRODUCT(--ISNUMBER(SEARCH(", "&amp;$B71&amp;", ",", "&amp;'Giao nhận &amp; Theo dõi đơn'!$B$7:$B$500&amp;", ")),--('Giao nhận &amp; Theo dõi đơn'!$AT$7:$AT$500="N/A"))+SUMPRODUCT(--ISNUMBER(SEARCH(", "&amp;$B71&amp;", ",", "&amp;'Bảng tin &amp; Chi tiết tin'!$B$7:$B$500&amp;", ")),--('Bảng tin &amp; Chi tiết tin'!$AT$7:$AT$500="N/A"))+SUMPRODUCT(--ISNUMBER(SEARCH(", "&amp;$B71&amp;", ",", "&amp;'Quà cảm ơn'!$B$7:$B$500&amp;", ")),--('Quà cảm ơn'!$AT$7:$AT$500="N/A"))+SUMPRODUCT(--ISNUMBER(SEARCH(", "&amp;$B71&amp;", ",", "&amp;'Trang chủ'!$B$7:$B$500&amp;", ")),--('Trang chủ'!$AT$7:$AT$500="N/A"))+SUMPRODUCT(--ISNUMBER(SEARCH(", "&amp;$B71&amp;", ",", "&amp;'Thông báo'!$B$7:$B$500&amp;", ")),--('Thông báo'!$AT$7:$AT$500="N/A"))+SUMPRODUCT(--ISNUMBER(SEARCH(", "&amp;$B71&amp;", ",", "&amp;'Đăng tin &amp; Quản lý tin'!$B$7:$B$500&amp;", ")),--('Đăng tin &amp; Quản lý tin'!$AT$7:$AT$500="N/A"))+SUMPRODUCT(--ISNUMBER(SEARCH(", "&amp;$B71&amp;", ",", "&amp;'Trust &amp; Safety'!$B$7:$B$500&amp;", ")),--('Trust &amp; Safety'!$AT$7:$AT$500="N/A"))+SUMPRODUCT(--ISNUMBER(SEARCH(", "&amp;$B71&amp;", ",", "&amp;'Tài khoản &amp; Hồ sơ'!$B$7:$B$500&amp;", ")),--('Tài khoản &amp; Hồ sơ'!$AT$7:$AT$500="N/A"))</f>
        <v>0</v>
      </c>
      <c r="K71" s="52" t="n">
        <f aca="false">IFERROR(F71/E71,0)</f>
        <v>0</v>
      </c>
      <c r="L71" s="123" t="str">
        <f aca="false">IF(E71=0,"Chưa có TC (gap)",IF(H71&gt;0,"Có lỗi (Fail)",IF(I71&gt;0,"Bị block",IF(F71&lt;E71,"Đang test",IF(G71=0,"Không áp dụng (N/A)","Đã test xong")))))</f>
        <v>Đang test</v>
      </c>
      <c r="AB71" s="1" t="s">
        <v>448</v>
      </c>
    </row>
    <row r="72" customFormat="false" ht="15.75" hidden="false" customHeight="true" outlineLevel="0" collapsed="false">
      <c r="B72" s="175" t="s">
        <v>610</v>
      </c>
      <c r="C72" s="176" t="s">
        <v>611</v>
      </c>
      <c r="D72" s="123" t="s">
        <v>612</v>
      </c>
      <c r="E72" s="51" t="n">
        <f aca="false">SUMPRODUCT(--ISNUMBER(SEARCH(", "&amp;$B72&amp;", ",", "&amp;'Hoạt động (Đơn của tôi)'!$B$7:$B$500&amp;", ")))+SUMPRODUCT(--ISNUMBER(SEARCH(", "&amp;$B72&amp;", ",", "&amp;'Ghép nối'!$B$7:$B$500&amp;", ")))+SUMPRODUCT(--ISNUMBER(SEARCH(", "&amp;$B72&amp;", ",", "&amp;'Huỷ đơn - Huỷ nhận đơn'!$B$7:$B$500&amp;", ")))+SUMPRODUCT(--ISNUMBER(SEARCH(", "&amp;$B72&amp;", ",", "&amp;'Giao nhận &amp; Theo dõi đơn'!$B$7:$B$500&amp;", ")))+SUMPRODUCT(--ISNUMBER(SEARCH(", "&amp;$B72&amp;", ",", "&amp;'Bảng tin &amp; Chi tiết tin'!$B$7:$B$500&amp;", ")))+SUMPRODUCT(--ISNUMBER(SEARCH(", "&amp;$B72&amp;", ",", "&amp;'Quà cảm ơn'!$B$7:$B$500&amp;", ")))+SUMPRODUCT(--ISNUMBER(SEARCH(", "&amp;$B72&amp;", ",", "&amp;'Trang chủ'!$B$7:$B$500&amp;", ")))+SUMPRODUCT(--ISNUMBER(SEARCH(", "&amp;$B72&amp;", ",", "&amp;'Thông báo'!$B$7:$B$500&amp;", ")))+SUMPRODUCT(--ISNUMBER(SEARCH(", "&amp;$B72&amp;", ",", "&amp;'Đăng tin &amp; Quản lý tin'!$B$7:$B$500&amp;", ")))+SUMPRODUCT(--ISNUMBER(SEARCH(", "&amp;$B72&amp;", ",", "&amp;'Trust &amp; Safety'!$B$7:$B$500&amp;", ")))+SUMPRODUCT(--ISNUMBER(SEARCH(", "&amp;$B72&amp;", ",", "&amp;'Tài khoản &amp; Hồ sơ'!$B$7:$B$500&amp;", ")))</f>
        <v>3</v>
      </c>
      <c r="F72" s="51" t="n">
        <f aca="false">SUMPRODUCT(--ISNUMBER(SEARCH(", "&amp;$B72&amp;", ",", "&amp;'Hoạt động (Đơn của tôi)'!$B$7:$B$500&amp;", ")),--('Hoạt động (Đơn của tôi)'!$AT$7:$AT$500&lt;&gt;""))+SUMPRODUCT(--ISNUMBER(SEARCH(", "&amp;$B72&amp;", ",", "&amp;'Ghép nối'!$B$7:$B$500&amp;", ")),--('Ghép nối'!$AT$7:$AT$500&lt;&gt;""))+SUMPRODUCT(--ISNUMBER(SEARCH(", "&amp;$B72&amp;", ",", "&amp;'Huỷ đơn - Huỷ nhận đơn'!$B$7:$B$500&amp;", ")),--('Huỷ đơn - Huỷ nhận đơn'!$AT$7:$AT$500&lt;&gt;""))+SUMPRODUCT(--ISNUMBER(SEARCH(", "&amp;$B72&amp;", ",", "&amp;'Giao nhận &amp; Theo dõi đơn'!$B$7:$B$500&amp;", ")),--('Giao nhận &amp; Theo dõi đơn'!$AT$7:$AT$500&lt;&gt;""))+SUMPRODUCT(--ISNUMBER(SEARCH(", "&amp;$B72&amp;", ",", "&amp;'Bảng tin &amp; Chi tiết tin'!$B$7:$B$500&amp;", ")),--('Bảng tin &amp; Chi tiết tin'!$AT$7:$AT$500&lt;&gt;""))+SUMPRODUCT(--ISNUMBER(SEARCH(", "&amp;$B72&amp;", ",", "&amp;'Quà cảm ơn'!$B$7:$B$500&amp;", ")),--('Quà cảm ơn'!$AT$7:$AT$500&lt;&gt;""))+SUMPRODUCT(--ISNUMBER(SEARCH(", "&amp;$B72&amp;", ",", "&amp;'Trang chủ'!$B$7:$B$500&amp;", ")),--('Trang chủ'!$AT$7:$AT$500&lt;&gt;""))+SUMPRODUCT(--ISNUMBER(SEARCH(", "&amp;$B72&amp;", ",", "&amp;'Thông báo'!$B$7:$B$500&amp;", ")),--('Thông báo'!$AT$7:$AT$500&lt;&gt;""))+SUMPRODUCT(--ISNUMBER(SEARCH(", "&amp;$B72&amp;", ",", "&amp;'Đăng tin &amp; Quản lý tin'!$B$7:$B$500&amp;", ")),--('Đăng tin &amp; Quản lý tin'!$AT$7:$AT$500&lt;&gt;""))+SUMPRODUCT(--ISNUMBER(SEARCH(", "&amp;$B72&amp;", ",", "&amp;'Trust &amp; Safety'!$B$7:$B$500&amp;", ")),--('Trust &amp; Safety'!$AT$7:$AT$500&lt;&gt;""))+SUMPRODUCT(--ISNUMBER(SEARCH(", "&amp;$B72&amp;", ",", "&amp;'Tài khoản &amp; Hồ sơ'!$B$7:$B$500&amp;", ")),--('Tài khoản &amp; Hồ sơ'!$AT$7:$AT$500&lt;&gt;""))</f>
        <v>0</v>
      </c>
      <c r="G72" s="51" t="n">
        <f aca="false">SUMPRODUCT(--ISNUMBER(SEARCH(", "&amp;$B72&amp;", ",", "&amp;'Hoạt động (Đơn của tôi)'!$B$7:$B$500&amp;", ")),--('Hoạt động (Đơn của tôi)'!$AT$7:$AT$500="Pass"))+SUMPRODUCT(--ISNUMBER(SEARCH(", "&amp;$B72&amp;", ",", "&amp;'Ghép nối'!$B$7:$B$500&amp;", ")),--('Ghép nối'!$AT$7:$AT$500="Pass"))+SUMPRODUCT(--ISNUMBER(SEARCH(", "&amp;$B72&amp;", ",", "&amp;'Huỷ đơn - Huỷ nhận đơn'!$B$7:$B$500&amp;", ")),--('Huỷ đơn - Huỷ nhận đơn'!$AT$7:$AT$500="Pass"))+SUMPRODUCT(--ISNUMBER(SEARCH(", "&amp;$B72&amp;", ",", "&amp;'Giao nhận &amp; Theo dõi đơn'!$B$7:$B$500&amp;", ")),--('Giao nhận &amp; Theo dõi đơn'!$AT$7:$AT$500="Pass"))+SUMPRODUCT(--ISNUMBER(SEARCH(", "&amp;$B72&amp;", ",", "&amp;'Bảng tin &amp; Chi tiết tin'!$B$7:$B$500&amp;", ")),--('Bảng tin &amp; Chi tiết tin'!$AT$7:$AT$500="Pass"))+SUMPRODUCT(--ISNUMBER(SEARCH(", "&amp;$B72&amp;", ",", "&amp;'Quà cảm ơn'!$B$7:$B$500&amp;", ")),--('Quà cảm ơn'!$AT$7:$AT$500="Pass"))+SUMPRODUCT(--ISNUMBER(SEARCH(", "&amp;$B72&amp;", ",", "&amp;'Trang chủ'!$B$7:$B$500&amp;", ")),--('Trang chủ'!$AT$7:$AT$500="Pass"))+SUMPRODUCT(--ISNUMBER(SEARCH(", "&amp;$B72&amp;", ",", "&amp;'Thông báo'!$B$7:$B$500&amp;", ")),--('Thông báo'!$AT$7:$AT$500="Pass"))+SUMPRODUCT(--ISNUMBER(SEARCH(", "&amp;$B72&amp;", ",", "&amp;'Đăng tin &amp; Quản lý tin'!$B$7:$B$500&amp;", ")),--('Đăng tin &amp; Quản lý tin'!$AT$7:$AT$500="Pass"))+SUMPRODUCT(--ISNUMBER(SEARCH(", "&amp;$B72&amp;", ",", "&amp;'Trust &amp; Safety'!$B$7:$B$500&amp;", ")),--('Trust &amp; Safety'!$AT$7:$AT$500="Pass"))+SUMPRODUCT(--ISNUMBER(SEARCH(", "&amp;$B72&amp;", ",", "&amp;'Tài khoản &amp; Hồ sơ'!$B$7:$B$500&amp;", ")),--('Tài khoản &amp; Hồ sơ'!$AT$7:$AT$500="Pass"))</f>
        <v>0</v>
      </c>
      <c r="H72" s="51" t="n">
        <f aca="false">SUMPRODUCT(--ISNUMBER(SEARCH(", "&amp;$B72&amp;", ",", "&amp;'Hoạt động (Đơn của tôi)'!$B$7:$B$500&amp;", ")),--('Hoạt động (Đơn của tôi)'!$AT$7:$AT$500="Fail"))+SUMPRODUCT(--ISNUMBER(SEARCH(", "&amp;$B72&amp;", ",", "&amp;'Ghép nối'!$B$7:$B$500&amp;", ")),--('Ghép nối'!$AT$7:$AT$500="Fail"))+SUMPRODUCT(--ISNUMBER(SEARCH(", "&amp;$B72&amp;", ",", "&amp;'Huỷ đơn - Huỷ nhận đơn'!$B$7:$B$500&amp;", ")),--('Huỷ đơn - Huỷ nhận đơn'!$AT$7:$AT$500="Fail"))+SUMPRODUCT(--ISNUMBER(SEARCH(", "&amp;$B72&amp;", ",", "&amp;'Giao nhận &amp; Theo dõi đơn'!$B$7:$B$500&amp;", ")),--('Giao nhận &amp; Theo dõi đơn'!$AT$7:$AT$500="Fail"))+SUMPRODUCT(--ISNUMBER(SEARCH(", "&amp;$B72&amp;", ",", "&amp;'Bảng tin &amp; Chi tiết tin'!$B$7:$B$500&amp;", ")),--('Bảng tin &amp; Chi tiết tin'!$AT$7:$AT$500="Fail"))+SUMPRODUCT(--ISNUMBER(SEARCH(", "&amp;$B72&amp;", ",", "&amp;'Quà cảm ơn'!$B$7:$B$500&amp;", ")),--('Quà cảm ơn'!$AT$7:$AT$500="Fail"))+SUMPRODUCT(--ISNUMBER(SEARCH(", "&amp;$B72&amp;", ",", "&amp;'Trang chủ'!$B$7:$B$500&amp;", ")),--('Trang chủ'!$AT$7:$AT$500="Fail"))+SUMPRODUCT(--ISNUMBER(SEARCH(", "&amp;$B72&amp;", ",", "&amp;'Thông báo'!$B$7:$B$500&amp;", ")),--('Thông báo'!$AT$7:$AT$500="Fail"))+SUMPRODUCT(--ISNUMBER(SEARCH(", "&amp;$B72&amp;", ",", "&amp;'Đăng tin &amp; Quản lý tin'!$B$7:$B$500&amp;", ")),--('Đăng tin &amp; Quản lý tin'!$AT$7:$AT$500="Fail"))+SUMPRODUCT(--ISNUMBER(SEARCH(", "&amp;$B72&amp;", ",", "&amp;'Trust &amp; Safety'!$B$7:$B$500&amp;", ")),--('Trust &amp; Safety'!$AT$7:$AT$500="Fail"))+SUMPRODUCT(--ISNUMBER(SEARCH(", "&amp;$B72&amp;", ",", "&amp;'Tài khoản &amp; Hồ sơ'!$B$7:$B$500&amp;", ")),--('Tài khoản &amp; Hồ sơ'!$AT$7:$AT$500="Fail"))</f>
        <v>0</v>
      </c>
      <c r="I72" s="51" t="n">
        <f aca="false">SUMPRODUCT(--ISNUMBER(SEARCH(", "&amp;$B72&amp;", ",", "&amp;'Hoạt động (Đơn của tôi)'!$B$7:$B$500&amp;", ")),--('Hoạt động (Đơn của tôi)'!$AT$7:$AT$500="Block"))+SUMPRODUCT(--ISNUMBER(SEARCH(", "&amp;$B72&amp;", ",", "&amp;'Ghép nối'!$B$7:$B$500&amp;", ")),--('Ghép nối'!$AT$7:$AT$500="Block"))+SUMPRODUCT(--ISNUMBER(SEARCH(", "&amp;$B72&amp;", ",", "&amp;'Huỷ đơn - Huỷ nhận đơn'!$B$7:$B$500&amp;", ")),--('Huỷ đơn - Huỷ nhận đơn'!$AT$7:$AT$500="Block"))+SUMPRODUCT(--ISNUMBER(SEARCH(", "&amp;$B72&amp;", ",", "&amp;'Giao nhận &amp; Theo dõi đơn'!$B$7:$B$500&amp;", ")),--('Giao nhận &amp; Theo dõi đơn'!$AT$7:$AT$500="Block"))+SUMPRODUCT(--ISNUMBER(SEARCH(", "&amp;$B72&amp;", ",", "&amp;'Bảng tin &amp; Chi tiết tin'!$B$7:$B$500&amp;", ")),--('Bảng tin &amp; Chi tiết tin'!$AT$7:$AT$500="Block"))+SUMPRODUCT(--ISNUMBER(SEARCH(", "&amp;$B72&amp;", ",", "&amp;'Quà cảm ơn'!$B$7:$B$500&amp;", ")),--('Quà cảm ơn'!$AT$7:$AT$500="Block"))+SUMPRODUCT(--ISNUMBER(SEARCH(", "&amp;$B72&amp;", ",", "&amp;'Trang chủ'!$B$7:$B$500&amp;", ")),--('Trang chủ'!$AT$7:$AT$500="Block"))+SUMPRODUCT(--ISNUMBER(SEARCH(", "&amp;$B72&amp;", ",", "&amp;'Thông báo'!$B$7:$B$500&amp;", ")),--('Thông báo'!$AT$7:$AT$500="Block"))+SUMPRODUCT(--ISNUMBER(SEARCH(", "&amp;$B72&amp;", ",", "&amp;'Đăng tin &amp; Quản lý tin'!$B$7:$B$500&amp;", ")),--('Đăng tin &amp; Quản lý tin'!$AT$7:$AT$500="Block"))+SUMPRODUCT(--ISNUMBER(SEARCH(", "&amp;$B72&amp;", ",", "&amp;'Trust &amp; Safety'!$B$7:$B$500&amp;", ")),--('Trust &amp; Safety'!$AT$7:$AT$500="Block"))+SUMPRODUCT(--ISNUMBER(SEARCH(", "&amp;$B72&amp;", ",", "&amp;'Tài khoản &amp; Hồ sơ'!$B$7:$B$500&amp;", ")),--('Tài khoản &amp; Hồ sơ'!$AT$7:$AT$500="Block"))</f>
        <v>0</v>
      </c>
      <c r="J72" s="51" t="n">
        <f aca="false">SUMPRODUCT(--ISNUMBER(SEARCH(", "&amp;$B72&amp;", ",", "&amp;'Hoạt động (Đơn của tôi)'!$B$7:$B$500&amp;", ")),--('Hoạt động (Đơn của tôi)'!$AT$7:$AT$500="N/A"))+SUMPRODUCT(--ISNUMBER(SEARCH(", "&amp;$B72&amp;", ",", "&amp;'Ghép nối'!$B$7:$B$500&amp;", ")),--('Ghép nối'!$AT$7:$AT$500="N/A"))+SUMPRODUCT(--ISNUMBER(SEARCH(", "&amp;$B72&amp;", ",", "&amp;'Huỷ đơn - Huỷ nhận đơn'!$B$7:$B$500&amp;", ")),--('Huỷ đơn - Huỷ nhận đơn'!$AT$7:$AT$500="N/A"))+SUMPRODUCT(--ISNUMBER(SEARCH(", "&amp;$B72&amp;", ",", "&amp;'Giao nhận &amp; Theo dõi đơn'!$B$7:$B$500&amp;", ")),--('Giao nhận &amp; Theo dõi đơn'!$AT$7:$AT$500="N/A"))+SUMPRODUCT(--ISNUMBER(SEARCH(", "&amp;$B72&amp;", ",", "&amp;'Bảng tin &amp; Chi tiết tin'!$B$7:$B$500&amp;", ")),--('Bảng tin &amp; Chi tiết tin'!$AT$7:$AT$500="N/A"))+SUMPRODUCT(--ISNUMBER(SEARCH(", "&amp;$B72&amp;", ",", "&amp;'Quà cảm ơn'!$B$7:$B$500&amp;", ")),--('Quà cảm ơn'!$AT$7:$AT$500="N/A"))+SUMPRODUCT(--ISNUMBER(SEARCH(", "&amp;$B72&amp;", ",", "&amp;'Trang chủ'!$B$7:$B$500&amp;", ")),--('Trang chủ'!$AT$7:$AT$500="N/A"))+SUMPRODUCT(--ISNUMBER(SEARCH(", "&amp;$B72&amp;", ",", "&amp;'Thông báo'!$B$7:$B$500&amp;", ")),--('Thông báo'!$AT$7:$AT$500="N/A"))+SUMPRODUCT(--ISNUMBER(SEARCH(", "&amp;$B72&amp;", ",", "&amp;'Đăng tin &amp; Quản lý tin'!$B$7:$B$500&amp;", ")),--('Đăng tin &amp; Quản lý tin'!$AT$7:$AT$500="N/A"))+SUMPRODUCT(--ISNUMBER(SEARCH(", "&amp;$B72&amp;", ",", "&amp;'Trust &amp; Safety'!$B$7:$B$500&amp;", ")),--('Trust &amp; Safety'!$AT$7:$AT$500="N/A"))+SUMPRODUCT(--ISNUMBER(SEARCH(", "&amp;$B72&amp;", ",", "&amp;'Tài khoản &amp; Hồ sơ'!$B$7:$B$500&amp;", ")),--('Tài khoản &amp; Hồ sơ'!$AT$7:$AT$500="N/A"))</f>
        <v>0</v>
      </c>
      <c r="K72" s="52" t="n">
        <f aca="false">IFERROR(F72/E72,0)</f>
        <v>0</v>
      </c>
      <c r="L72" s="123" t="str">
        <f aca="false">IF(E72=0,"Chưa có TC (gap)",IF(H72&gt;0,"Có lỗi (Fail)",IF(I72&gt;0,"Bị block",IF(F72&lt;E72,"Đang test",IF(G72=0,"Không áp dụng (N/A)","Đã test xong")))))</f>
        <v>Đang test</v>
      </c>
      <c r="AB72" s="1" t="s">
        <v>452</v>
      </c>
    </row>
    <row r="73" customFormat="false" ht="15.75" hidden="false" customHeight="true" outlineLevel="0" collapsed="false">
      <c r="B73" s="175" t="s">
        <v>613</v>
      </c>
      <c r="C73" s="176" t="s">
        <v>614</v>
      </c>
      <c r="D73" s="123" t="s">
        <v>615</v>
      </c>
      <c r="E73" s="51" t="n">
        <f aca="false">SUMPRODUCT(--ISNUMBER(SEARCH(", "&amp;$B73&amp;", ",", "&amp;'Hoạt động (Đơn của tôi)'!$B$7:$B$500&amp;", ")))+SUMPRODUCT(--ISNUMBER(SEARCH(", "&amp;$B73&amp;", ",", "&amp;'Ghép nối'!$B$7:$B$500&amp;", ")))+SUMPRODUCT(--ISNUMBER(SEARCH(", "&amp;$B73&amp;", ",", "&amp;'Huỷ đơn - Huỷ nhận đơn'!$B$7:$B$500&amp;", ")))+SUMPRODUCT(--ISNUMBER(SEARCH(", "&amp;$B73&amp;", ",", "&amp;'Giao nhận &amp; Theo dõi đơn'!$B$7:$B$500&amp;", ")))+SUMPRODUCT(--ISNUMBER(SEARCH(", "&amp;$B73&amp;", ",", "&amp;'Bảng tin &amp; Chi tiết tin'!$B$7:$B$500&amp;", ")))+SUMPRODUCT(--ISNUMBER(SEARCH(", "&amp;$B73&amp;", ",", "&amp;'Quà cảm ơn'!$B$7:$B$500&amp;", ")))+SUMPRODUCT(--ISNUMBER(SEARCH(", "&amp;$B73&amp;", ",", "&amp;'Trang chủ'!$B$7:$B$500&amp;", ")))+SUMPRODUCT(--ISNUMBER(SEARCH(", "&amp;$B73&amp;", ",", "&amp;'Thông báo'!$B$7:$B$500&amp;", ")))+SUMPRODUCT(--ISNUMBER(SEARCH(", "&amp;$B73&amp;", ",", "&amp;'Đăng tin &amp; Quản lý tin'!$B$7:$B$500&amp;", ")))+SUMPRODUCT(--ISNUMBER(SEARCH(", "&amp;$B73&amp;", ",", "&amp;'Trust &amp; Safety'!$B$7:$B$500&amp;", ")))+SUMPRODUCT(--ISNUMBER(SEARCH(", "&amp;$B73&amp;", ",", "&amp;'Tài khoản &amp; Hồ sơ'!$B$7:$B$500&amp;", ")))</f>
        <v>2</v>
      </c>
      <c r="F73" s="51" t="n">
        <f aca="false">SUMPRODUCT(--ISNUMBER(SEARCH(", "&amp;$B73&amp;", ",", "&amp;'Hoạt động (Đơn của tôi)'!$B$7:$B$500&amp;", ")),--('Hoạt động (Đơn của tôi)'!$AT$7:$AT$500&lt;&gt;""))+SUMPRODUCT(--ISNUMBER(SEARCH(", "&amp;$B73&amp;", ",", "&amp;'Ghép nối'!$B$7:$B$500&amp;", ")),--('Ghép nối'!$AT$7:$AT$500&lt;&gt;""))+SUMPRODUCT(--ISNUMBER(SEARCH(", "&amp;$B73&amp;", ",", "&amp;'Huỷ đơn - Huỷ nhận đơn'!$B$7:$B$500&amp;", ")),--('Huỷ đơn - Huỷ nhận đơn'!$AT$7:$AT$500&lt;&gt;""))+SUMPRODUCT(--ISNUMBER(SEARCH(", "&amp;$B73&amp;", ",", "&amp;'Giao nhận &amp; Theo dõi đơn'!$B$7:$B$500&amp;", ")),--('Giao nhận &amp; Theo dõi đơn'!$AT$7:$AT$500&lt;&gt;""))+SUMPRODUCT(--ISNUMBER(SEARCH(", "&amp;$B73&amp;", ",", "&amp;'Bảng tin &amp; Chi tiết tin'!$B$7:$B$500&amp;", ")),--('Bảng tin &amp; Chi tiết tin'!$AT$7:$AT$500&lt;&gt;""))+SUMPRODUCT(--ISNUMBER(SEARCH(", "&amp;$B73&amp;", ",", "&amp;'Quà cảm ơn'!$B$7:$B$500&amp;", ")),--('Quà cảm ơn'!$AT$7:$AT$500&lt;&gt;""))+SUMPRODUCT(--ISNUMBER(SEARCH(", "&amp;$B73&amp;", ",", "&amp;'Trang chủ'!$B$7:$B$500&amp;", ")),--('Trang chủ'!$AT$7:$AT$500&lt;&gt;""))+SUMPRODUCT(--ISNUMBER(SEARCH(", "&amp;$B73&amp;", ",", "&amp;'Thông báo'!$B$7:$B$500&amp;", ")),--('Thông báo'!$AT$7:$AT$500&lt;&gt;""))+SUMPRODUCT(--ISNUMBER(SEARCH(", "&amp;$B73&amp;", ",", "&amp;'Đăng tin &amp; Quản lý tin'!$B$7:$B$500&amp;", ")),--('Đăng tin &amp; Quản lý tin'!$AT$7:$AT$500&lt;&gt;""))+SUMPRODUCT(--ISNUMBER(SEARCH(", "&amp;$B73&amp;", ",", "&amp;'Trust &amp; Safety'!$B$7:$B$500&amp;", ")),--('Trust &amp; Safety'!$AT$7:$AT$500&lt;&gt;""))+SUMPRODUCT(--ISNUMBER(SEARCH(", "&amp;$B73&amp;", ",", "&amp;'Tài khoản &amp; Hồ sơ'!$B$7:$B$500&amp;", ")),--('Tài khoản &amp; Hồ sơ'!$AT$7:$AT$500&lt;&gt;""))</f>
        <v>0</v>
      </c>
      <c r="G73" s="51" t="n">
        <f aca="false">SUMPRODUCT(--ISNUMBER(SEARCH(", "&amp;$B73&amp;", ",", "&amp;'Hoạt động (Đơn của tôi)'!$B$7:$B$500&amp;", ")),--('Hoạt động (Đơn của tôi)'!$AT$7:$AT$500="Pass"))+SUMPRODUCT(--ISNUMBER(SEARCH(", "&amp;$B73&amp;", ",", "&amp;'Ghép nối'!$B$7:$B$500&amp;", ")),--('Ghép nối'!$AT$7:$AT$500="Pass"))+SUMPRODUCT(--ISNUMBER(SEARCH(", "&amp;$B73&amp;", ",", "&amp;'Huỷ đơn - Huỷ nhận đơn'!$B$7:$B$500&amp;", ")),--('Huỷ đơn - Huỷ nhận đơn'!$AT$7:$AT$500="Pass"))+SUMPRODUCT(--ISNUMBER(SEARCH(", "&amp;$B73&amp;", ",", "&amp;'Giao nhận &amp; Theo dõi đơn'!$B$7:$B$500&amp;", ")),--('Giao nhận &amp; Theo dõi đơn'!$AT$7:$AT$500="Pass"))+SUMPRODUCT(--ISNUMBER(SEARCH(", "&amp;$B73&amp;", ",", "&amp;'Bảng tin &amp; Chi tiết tin'!$B$7:$B$500&amp;", ")),--('Bảng tin &amp; Chi tiết tin'!$AT$7:$AT$500="Pass"))+SUMPRODUCT(--ISNUMBER(SEARCH(", "&amp;$B73&amp;", ",", "&amp;'Quà cảm ơn'!$B$7:$B$500&amp;", ")),--('Quà cảm ơn'!$AT$7:$AT$500="Pass"))+SUMPRODUCT(--ISNUMBER(SEARCH(", "&amp;$B73&amp;", ",", "&amp;'Trang chủ'!$B$7:$B$500&amp;", ")),--('Trang chủ'!$AT$7:$AT$500="Pass"))+SUMPRODUCT(--ISNUMBER(SEARCH(", "&amp;$B73&amp;", ",", "&amp;'Thông báo'!$B$7:$B$500&amp;", ")),--('Thông báo'!$AT$7:$AT$500="Pass"))+SUMPRODUCT(--ISNUMBER(SEARCH(", "&amp;$B73&amp;", ",", "&amp;'Đăng tin &amp; Quản lý tin'!$B$7:$B$500&amp;", ")),--('Đăng tin &amp; Quản lý tin'!$AT$7:$AT$500="Pass"))+SUMPRODUCT(--ISNUMBER(SEARCH(", "&amp;$B73&amp;", ",", "&amp;'Trust &amp; Safety'!$B$7:$B$500&amp;", ")),--('Trust &amp; Safety'!$AT$7:$AT$500="Pass"))+SUMPRODUCT(--ISNUMBER(SEARCH(", "&amp;$B73&amp;", ",", "&amp;'Tài khoản &amp; Hồ sơ'!$B$7:$B$500&amp;", ")),--('Tài khoản &amp; Hồ sơ'!$AT$7:$AT$500="Pass"))</f>
        <v>0</v>
      </c>
      <c r="H73" s="51" t="n">
        <f aca="false">SUMPRODUCT(--ISNUMBER(SEARCH(", "&amp;$B73&amp;", ",", "&amp;'Hoạt động (Đơn của tôi)'!$B$7:$B$500&amp;", ")),--('Hoạt động (Đơn của tôi)'!$AT$7:$AT$500="Fail"))+SUMPRODUCT(--ISNUMBER(SEARCH(", "&amp;$B73&amp;", ",", "&amp;'Ghép nối'!$B$7:$B$500&amp;", ")),--('Ghép nối'!$AT$7:$AT$500="Fail"))+SUMPRODUCT(--ISNUMBER(SEARCH(", "&amp;$B73&amp;", ",", "&amp;'Huỷ đơn - Huỷ nhận đơn'!$B$7:$B$500&amp;", ")),--('Huỷ đơn - Huỷ nhận đơn'!$AT$7:$AT$500="Fail"))+SUMPRODUCT(--ISNUMBER(SEARCH(", "&amp;$B73&amp;", ",", "&amp;'Giao nhận &amp; Theo dõi đơn'!$B$7:$B$500&amp;", ")),--('Giao nhận &amp; Theo dõi đơn'!$AT$7:$AT$500="Fail"))+SUMPRODUCT(--ISNUMBER(SEARCH(", "&amp;$B73&amp;", ",", "&amp;'Bảng tin &amp; Chi tiết tin'!$B$7:$B$500&amp;", ")),--('Bảng tin &amp; Chi tiết tin'!$AT$7:$AT$500="Fail"))+SUMPRODUCT(--ISNUMBER(SEARCH(", "&amp;$B73&amp;", ",", "&amp;'Quà cảm ơn'!$B$7:$B$500&amp;", ")),--('Quà cảm ơn'!$AT$7:$AT$500="Fail"))+SUMPRODUCT(--ISNUMBER(SEARCH(", "&amp;$B73&amp;", ",", "&amp;'Trang chủ'!$B$7:$B$500&amp;", ")),--('Trang chủ'!$AT$7:$AT$500="Fail"))+SUMPRODUCT(--ISNUMBER(SEARCH(", "&amp;$B73&amp;", ",", "&amp;'Thông báo'!$B$7:$B$500&amp;", ")),--('Thông báo'!$AT$7:$AT$500="Fail"))+SUMPRODUCT(--ISNUMBER(SEARCH(", "&amp;$B73&amp;", ",", "&amp;'Đăng tin &amp; Quản lý tin'!$B$7:$B$500&amp;", ")),--('Đăng tin &amp; Quản lý tin'!$AT$7:$AT$500="Fail"))+SUMPRODUCT(--ISNUMBER(SEARCH(", "&amp;$B73&amp;", ",", "&amp;'Trust &amp; Safety'!$B$7:$B$500&amp;", ")),--('Trust &amp; Safety'!$AT$7:$AT$500="Fail"))+SUMPRODUCT(--ISNUMBER(SEARCH(", "&amp;$B73&amp;", ",", "&amp;'Tài khoản &amp; Hồ sơ'!$B$7:$B$500&amp;", ")),--('Tài khoản &amp; Hồ sơ'!$AT$7:$AT$500="Fail"))</f>
        <v>0</v>
      </c>
      <c r="I73" s="51" t="n">
        <f aca="false">SUMPRODUCT(--ISNUMBER(SEARCH(", "&amp;$B73&amp;", ",", "&amp;'Hoạt động (Đơn của tôi)'!$B$7:$B$500&amp;", ")),--('Hoạt động (Đơn của tôi)'!$AT$7:$AT$500="Block"))+SUMPRODUCT(--ISNUMBER(SEARCH(", "&amp;$B73&amp;", ",", "&amp;'Ghép nối'!$B$7:$B$500&amp;", ")),--('Ghép nối'!$AT$7:$AT$500="Block"))+SUMPRODUCT(--ISNUMBER(SEARCH(", "&amp;$B73&amp;", ",", "&amp;'Huỷ đơn - Huỷ nhận đơn'!$B$7:$B$500&amp;", ")),--('Huỷ đơn - Huỷ nhận đơn'!$AT$7:$AT$500="Block"))+SUMPRODUCT(--ISNUMBER(SEARCH(", "&amp;$B73&amp;", ",", "&amp;'Giao nhận &amp; Theo dõi đơn'!$B$7:$B$500&amp;", ")),--('Giao nhận &amp; Theo dõi đơn'!$AT$7:$AT$500="Block"))+SUMPRODUCT(--ISNUMBER(SEARCH(", "&amp;$B73&amp;", ",", "&amp;'Bảng tin &amp; Chi tiết tin'!$B$7:$B$500&amp;", ")),--('Bảng tin &amp; Chi tiết tin'!$AT$7:$AT$500="Block"))+SUMPRODUCT(--ISNUMBER(SEARCH(", "&amp;$B73&amp;", ",", "&amp;'Quà cảm ơn'!$B$7:$B$500&amp;", ")),--('Quà cảm ơn'!$AT$7:$AT$500="Block"))+SUMPRODUCT(--ISNUMBER(SEARCH(", "&amp;$B73&amp;", ",", "&amp;'Trang chủ'!$B$7:$B$500&amp;", ")),--('Trang chủ'!$AT$7:$AT$500="Block"))+SUMPRODUCT(--ISNUMBER(SEARCH(", "&amp;$B73&amp;", ",", "&amp;'Thông báo'!$B$7:$B$500&amp;", ")),--('Thông báo'!$AT$7:$AT$500="Block"))+SUMPRODUCT(--ISNUMBER(SEARCH(", "&amp;$B73&amp;", ",", "&amp;'Đăng tin &amp; Quản lý tin'!$B$7:$B$500&amp;", ")),--('Đăng tin &amp; Quản lý tin'!$AT$7:$AT$500="Block"))+SUMPRODUCT(--ISNUMBER(SEARCH(", "&amp;$B73&amp;", ",", "&amp;'Trust &amp; Safety'!$B$7:$B$500&amp;", ")),--('Trust &amp; Safety'!$AT$7:$AT$500="Block"))+SUMPRODUCT(--ISNUMBER(SEARCH(", "&amp;$B73&amp;", ",", "&amp;'Tài khoản &amp; Hồ sơ'!$B$7:$B$500&amp;", ")),--('Tài khoản &amp; Hồ sơ'!$AT$7:$AT$500="Block"))</f>
        <v>0</v>
      </c>
      <c r="J73" s="51" t="n">
        <f aca="false">SUMPRODUCT(--ISNUMBER(SEARCH(", "&amp;$B73&amp;", ",", "&amp;'Hoạt động (Đơn của tôi)'!$B$7:$B$500&amp;", ")),--('Hoạt động (Đơn của tôi)'!$AT$7:$AT$500="N/A"))+SUMPRODUCT(--ISNUMBER(SEARCH(", "&amp;$B73&amp;", ",", "&amp;'Ghép nối'!$B$7:$B$500&amp;", ")),--('Ghép nối'!$AT$7:$AT$500="N/A"))+SUMPRODUCT(--ISNUMBER(SEARCH(", "&amp;$B73&amp;", ",", "&amp;'Huỷ đơn - Huỷ nhận đơn'!$B$7:$B$500&amp;", ")),--('Huỷ đơn - Huỷ nhận đơn'!$AT$7:$AT$500="N/A"))+SUMPRODUCT(--ISNUMBER(SEARCH(", "&amp;$B73&amp;", ",", "&amp;'Giao nhận &amp; Theo dõi đơn'!$B$7:$B$500&amp;", ")),--('Giao nhận &amp; Theo dõi đơn'!$AT$7:$AT$500="N/A"))+SUMPRODUCT(--ISNUMBER(SEARCH(", "&amp;$B73&amp;", ",", "&amp;'Bảng tin &amp; Chi tiết tin'!$B$7:$B$500&amp;", ")),--('Bảng tin &amp; Chi tiết tin'!$AT$7:$AT$500="N/A"))+SUMPRODUCT(--ISNUMBER(SEARCH(", "&amp;$B73&amp;", ",", "&amp;'Quà cảm ơn'!$B$7:$B$500&amp;", ")),--('Quà cảm ơn'!$AT$7:$AT$500="N/A"))+SUMPRODUCT(--ISNUMBER(SEARCH(", "&amp;$B73&amp;", ",", "&amp;'Trang chủ'!$B$7:$B$500&amp;", ")),--('Trang chủ'!$AT$7:$AT$500="N/A"))+SUMPRODUCT(--ISNUMBER(SEARCH(", "&amp;$B73&amp;", ",", "&amp;'Thông báo'!$B$7:$B$500&amp;", ")),--('Thông báo'!$AT$7:$AT$500="N/A"))+SUMPRODUCT(--ISNUMBER(SEARCH(", "&amp;$B73&amp;", ",", "&amp;'Đăng tin &amp; Quản lý tin'!$B$7:$B$500&amp;", ")),--('Đăng tin &amp; Quản lý tin'!$AT$7:$AT$500="N/A"))+SUMPRODUCT(--ISNUMBER(SEARCH(", "&amp;$B73&amp;", ",", "&amp;'Trust &amp; Safety'!$B$7:$B$500&amp;", ")),--('Trust &amp; Safety'!$AT$7:$AT$500="N/A"))+SUMPRODUCT(--ISNUMBER(SEARCH(", "&amp;$B73&amp;", ",", "&amp;'Tài khoản &amp; Hồ sơ'!$B$7:$B$500&amp;", ")),--('Tài khoản &amp; Hồ sơ'!$AT$7:$AT$500="N/A"))</f>
        <v>0</v>
      </c>
      <c r="K73" s="52" t="n">
        <f aca="false">IFERROR(F73/E73,0)</f>
        <v>0</v>
      </c>
      <c r="L73" s="123" t="str">
        <f aca="false">IF(E73=0,"Chưa có TC (gap)",IF(H73&gt;0,"Có lỗi (Fail)",IF(I73&gt;0,"Bị block",IF(F73&lt;E73,"Đang test",IF(G73=0,"Không áp dụng (N/A)","Đã test xong")))))</f>
        <v>Đang test</v>
      </c>
      <c r="AB73" s="1" t="s">
        <v>452</v>
      </c>
    </row>
    <row r="74" customFormat="false" ht="15.75" hidden="false" customHeight="true" outlineLevel="0" collapsed="false">
      <c r="B74" s="175" t="s">
        <v>616</v>
      </c>
      <c r="C74" s="176" t="s">
        <v>617</v>
      </c>
      <c r="D74" s="123" t="s">
        <v>618</v>
      </c>
      <c r="E74" s="51" t="n">
        <f aca="false">SUMPRODUCT(--ISNUMBER(SEARCH(", "&amp;$B74&amp;", ",", "&amp;'Hoạt động (Đơn của tôi)'!$B$7:$B$500&amp;", ")))+SUMPRODUCT(--ISNUMBER(SEARCH(", "&amp;$B74&amp;", ",", "&amp;'Ghép nối'!$B$7:$B$500&amp;", ")))+SUMPRODUCT(--ISNUMBER(SEARCH(", "&amp;$B74&amp;", ",", "&amp;'Huỷ đơn - Huỷ nhận đơn'!$B$7:$B$500&amp;", ")))+SUMPRODUCT(--ISNUMBER(SEARCH(", "&amp;$B74&amp;", ",", "&amp;'Giao nhận &amp; Theo dõi đơn'!$B$7:$B$500&amp;", ")))+SUMPRODUCT(--ISNUMBER(SEARCH(", "&amp;$B74&amp;", ",", "&amp;'Bảng tin &amp; Chi tiết tin'!$B$7:$B$500&amp;", ")))+SUMPRODUCT(--ISNUMBER(SEARCH(", "&amp;$B74&amp;", ",", "&amp;'Quà cảm ơn'!$B$7:$B$500&amp;", ")))+SUMPRODUCT(--ISNUMBER(SEARCH(", "&amp;$B74&amp;", ",", "&amp;'Trang chủ'!$B$7:$B$500&amp;", ")))+SUMPRODUCT(--ISNUMBER(SEARCH(", "&amp;$B74&amp;", ",", "&amp;'Thông báo'!$B$7:$B$500&amp;", ")))+SUMPRODUCT(--ISNUMBER(SEARCH(", "&amp;$B74&amp;", ",", "&amp;'Đăng tin &amp; Quản lý tin'!$B$7:$B$500&amp;", ")))+SUMPRODUCT(--ISNUMBER(SEARCH(", "&amp;$B74&amp;", ",", "&amp;'Trust &amp; Safety'!$B$7:$B$500&amp;", ")))+SUMPRODUCT(--ISNUMBER(SEARCH(", "&amp;$B74&amp;", ",", "&amp;'Tài khoản &amp; Hồ sơ'!$B$7:$B$500&amp;", ")))</f>
        <v>2</v>
      </c>
      <c r="F74" s="51" t="n">
        <f aca="false">SUMPRODUCT(--ISNUMBER(SEARCH(", "&amp;$B74&amp;", ",", "&amp;'Hoạt động (Đơn của tôi)'!$B$7:$B$500&amp;", ")),--('Hoạt động (Đơn của tôi)'!$AT$7:$AT$500&lt;&gt;""))+SUMPRODUCT(--ISNUMBER(SEARCH(", "&amp;$B74&amp;", ",", "&amp;'Ghép nối'!$B$7:$B$500&amp;", ")),--('Ghép nối'!$AT$7:$AT$500&lt;&gt;""))+SUMPRODUCT(--ISNUMBER(SEARCH(", "&amp;$B74&amp;", ",", "&amp;'Huỷ đơn - Huỷ nhận đơn'!$B$7:$B$500&amp;", ")),--('Huỷ đơn - Huỷ nhận đơn'!$AT$7:$AT$500&lt;&gt;""))+SUMPRODUCT(--ISNUMBER(SEARCH(", "&amp;$B74&amp;", ",", "&amp;'Giao nhận &amp; Theo dõi đơn'!$B$7:$B$500&amp;", ")),--('Giao nhận &amp; Theo dõi đơn'!$AT$7:$AT$500&lt;&gt;""))+SUMPRODUCT(--ISNUMBER(SEARCH(", "&amp;$B74&amp;", ",", "&amp;'Bảng tin &amp; Chi tiết tin'!$B$7:$B$500&amp;", ")),--('Bảng tin &amp; Chi tiết tin'!$AT$7:$AT$500&lt;&gt;""))+SUMPRODUCT(--ISNUMBER(SEARCH(", "&amp;$B74&amp;", ",", "&amp;'Quà cảm ơn'!$B$7:$B$500&amp;", ")),--('Quà cảm ơn'!$AT$7:$AT$500&lt;&gt;""))+SUMPRODUCT(--ISNUMBER(SEARCH(", "&amp;$B74&amp;", ",", "&amp;'Trang chủ'!$B$7:$B$500&amp;", ")),--('Trang chủ'!$AT$7:$AT$500&lt;&gt;""))+SUMPRODUCT(--ISNUMBER(SEARCH(", "&amp;$B74&amp;", ",", "&amp;'Thông báo'!$B$7:$B$500&amp;", ")),--('Thông báo'!$AT$7:$AT$500&lt;&gt;""))+SUMPRODUCT(--ISNUMBER(SEARCH(", "&amp;$B74&amp;", ",", "&amp;'Đăng tin &amp; Quản lý tin'!$B$7:$B$500&amp;", ")),--('Đăng tin &amp; Quản lý tin'!$AT$7:$AT$500&lt;&gt;""))+SUMPRODUCT(--ISNUMBER(SEARCH(", "&amp;$B74&amp;", ",", "&amp;'Trust &amp; Safety'!$B$7:$B$500&amp;", ")),--('Trust &amp; Safety'!$AT$7:$AT$500&lt;&gt;""))+SUMPRODUCT(--ISNUMBER(SEARCH(", "&amp;$B74&amp;", ",", "&amp;'Tài khoản &amp; Hồ sơ'!$B$7:$B$500&amp;", ")),--('Tài khoản &amp; Hồ sơ'!$AT$7:$AT$500&lt;&gt;""))</f>
        <v>0</v>
      </c>
      <c r="G74" s="51" t="n">
        <f aca="false">SUMPRODUCT(--ISNUMBER(SEARCH(", "&amp;$B74&amp;", ",", "&amp;'Hoạt động (Đơn của tôi)'!$B$7:$B$500&amp;", ")),--('Hoạt động (Đơn của tôi)'!$AT$7:$AT$500="Pass"))+SUMPRODUCT(--ISNUMBER(SEARCH(", "&amp;$B74&amp;", ",", "&amp;'Ghép nối'!$B$7:$B$500&amp;", ")),--('Ghép nối'!$AT$7:$AT$500="Pass"))+SUMPRODUCT(--ISNUMBER(SEARCH(", "&amp;$B74&amp;", ",", "&amp;'Huỷ đơn - Huỷ nhận đơn'!$B$7:$B$500&amp;", ")),--('Huỷ đơn - Huỷ nhận đơn'!$AT$7:$AT$500="Pass"))+SUMPRODUCT(--ISNUMBER(SEARCH(", "&amp;$B74&amp;", ",", "&amp;'Giao nhận &amp; Theo dõi đơn'!$B$7:$B$500&amp;", ")),--('Giao nhận &amp; Theo dõi đơn'!$AT$7:$AT$500="Pass"))+SUMPRODUCT(--ISNUMBER(SEARCH(", "&amp;$B74&amp;", ",", "&amp;'Bảng tin &amp; Chi tiết tin'!$B$7:$B$500&amp;", ")),--('Bảng tin &amp; Chi tiết tin'!$AT$7:$AT$500="Pass"))+SUMPRODUCT(--ISNUMBER(SEARCH(", "&amp;$B74&amp;", ",", "&amp;'Quà cảm ơn'!$B$7:$B$500&amp;", ")),--('Quà cảm ơn'!$AT$7:$AT$500="Pass"))+SUMPRODUCT(--ISNUMBER(SEARCH(", "&amp;$B74&amp;", ",", "&amp;'Trang chủ'!$B$7:$B$500&amp;", ")),--('Trang chủ'!$AT$7:$AT$500="Pass"))+SUMPRODUCT(--ISNUMBER(SEARCH(", "&amp;$B74&amp;", ",", "&amp;'Thông báo'!$B$7:$B$500&amp;", ")),--('Thông báo'!$AT$7:$AT$500="Pass"))+SUMPRODUCT(--ISNUMBER(SEARCH(", "&amp;$B74&amp;", ",", "&amp;'Đăng tin &amp; Quản lý tin'!$B$7:$B$500&amp;", ")),--('Đăng tin &amp; Quản lý tin'!$AT$7:$AT$500="Pass"))+SUMPRODUCT(--ISNUMBER(SEARCH(", "&amp;$B74&amp;", ",", "&amp;'Trust &amp; Safety'!$B$7:$B$500&amp;", ")),--('Trust &amp; Safety'!$AT$7:$AT$500="Pass"))+SUMPRODUCT(--ISNUMBER(SEARCH(", "&amp;$B74&amp;", ",", "&amp;'Tài khoản &amp; Hồ sơ'!$B$7:$B$500&amp;", ")),--('Tài khoản &amp; Hồ sơ'!$AT$7:$AT$500="Pass"))</f>
        <v>0</v>
      </c>
      <c r="H74" s="51" t="n">
        <f aca="false">SUMPRODUCT(--ISNUMBER(SEARCH(", "&amp;$B74&amp;", ",", "&amp;'Hoạt động (Đơn của tôi)'!$B$7:$B$500&amp;", ")),--('Hoạt động (Đơn của tôi)'!$AT$7:$AT$500="Fail"))+SUMPRODUCT(--ISNUMBER(SEARCH(", "&amp;$B74&amp;", ",", "&amp;'Ghép nối'!$B$7:$B$500&amp;", ")),--('Ghép nối'!$AT$7:$AT$500="Fail"))+SUMPRODUCT(--ISNUMBER(SEARCH(", "&amp;$B74&amp;", ",", "&amp;'Huỷ đơn - Huỷ nhận đơn'!$B$7:$B$500&amp;", ")),--('Huỷ đơn - Huỷ nhận đơn'!$AT$7:$AT$500="Fail"))+SUMPRODUCT(--ISNUMBER(SEARCH(", "&amp;$B74&amp;", ",", "&amp;'Giao nhận &amp; Theo dõi đơn'!$B$7:$B$500&amp;", ")),--('Giao nhận &amp; Theo dõi đơn'!$AT$7:$AT$500="Fail"))+SUMPRODUCT(--ISNUMBER(SEARCH(", "&amp;$B74&amp;", ",", "&amp;'Bảng tin &amp; Chi tiết tin'!$B$7:$B$500&amp;", ")),--('Bảng tin &amp; Chi tiết tin'!$AT$7:$AT$500="Fail"))+SUMPRODUCT(--ISNUMBER(SEARCH(", "&amp;$B74&amp;", ",", "&amp;'Quà cảm ơn'!$B$7:$B$500&amp;", ")),--('Quà cảm ơn'!$AT$7:$AT$500="Fail"))+SUMPRODUCT(--ISNUMBER(SEARCH(", "&amp;$B74&amp;", ",", "&amp;'Trang chủ'!$B$7:$B$500&amp;", ")),--('Trang chủ'!$AT$7:$AT$500="Fail"))+SUMPRODUCT(--ISNUMBER(SEARCH(", "&amp;$B74&amp;", ",", "&amp;'Thông báo'!$B$7:$B$500&amp;", ")),--('Thông báo'!$AT$7:$AT$500="Fail"))+SUMPRODUCT(--ISNUMBER(SEARCH(", "&amp;$B74&amp;", ",", "&amp;'Đăng tin &amp; Quản lý tin'!$B$7:$B$500&amp;", ")),--('Đăng tin &amp; Quản lý tin'!$AT$7:$AT$500="Fail"))+SUMPRODUCT(--ISNUMBER(SEARCH(", "&amp;$B74&amp;", ",", "&amp;'Trust &amp; Safety'!$B$7:$B$500&amp;", ")),--('Trust &amp; Safety'!$AT$7:$AT$500="Fail"))+SUMPRODUCT(--ISNUMBER(SEARCH(", "&amp;$B74&amp;", ",", "&amp;'Tài khoản &amp; Hồ sơ'!$B$7:$B$500&amp;", ")),--('Tài khoản &amp; Hồ sơ'!$AT$7:$AT$500="Fail"))</f>
        <v>0</v>
      </c>
      <c r="I74" s="51" t="n">
        <f aca="false">SUMPRODUCT(--ISNUMBER(SEARCH(", "&amp;$B74&amp;", ",", "&amp;'Hoạt động (Đơn của tôi)'!$B$7:$B$500&amp;", ")),--('Hoạt động (Đơn của tôi)'!$AT$7:$AT$500="Block"))+SUMPRODUCT(--ISNUMBER(SEARCH(", "&amp;$B74&amp;", ",", "&amp;'Ghép nối'!$B$7:$B$500&amp;", ")),--('Ghép nối'!$AT$7:$AT$500="Block"))+SUMPRODUCT(--ISNUMBER(SEARCH(", "&amp;$B74&amp;", ",", "&amp;'Huỷ đơn - Huỷ nhận đơn'!$B$7:$B$500&amp;", ")),--('Huỷ đơn - Huỷ nhận đơn'!$AT$7:$AT$500="Block"))+SUMPRODUCT(--ISNUMBER(SEARCH(", "&amp;$B74&amp;", ",", "&amp;'Giao nhận &amp; Theo dõi đơn'!$B$7:$B$500&amp;", ")),--('Giao nhận &amp; Theo dõi đơn'!$AT$7:$AT$500="Block"))+SUMPRODUCT(--ISNUMBER(SEARCH(", "&amp;$B74&amp;", ",", "&amp;'Bảng tin &amp; Chi tiết tin'!$B$7:$B$500&amp;", ")),--('Bảng tin &amp; Chi tiết tin'!$AT$7:$AT$500="Block"))+SUMPRODUCT(--ISNUMBER(SEARCH(", "&amp;$B74&amp;", ",", "&amp;'Quà cảm ơn'!$B$7:$B$500&amp;", ")),--('Quà cảm ơn'!$AT$7:$AT$500="Block"))+SUMPRODUCT(--ISNUMBER(SEARCH(", "&amp;$B74&amp;", ",", "&amp;'Trang chủ'!$B$7:$B$500&amp;", ")),--('Trang chủ'!$AT$7:$AT$500="Block"))+SUMPRODUCT(--ISNUMBER(SEARCH(", "&amp;$B74&amp;", ",", "&amp;'Thông báo'!$B$7:$B$500&amp;", ")),--('Thông báo'!$AT$7:$AT$500="Block"))+SUMPRODUCT(--ISNUMBER(SEARCH(", "&amp;$B74&amp;", ",", "&amp;'Đăng tin &amp; Quản lý tin'!$B$7:$B$500&amp;", ")),--('Đăng tin &amp; Quản lý tin'!$AT$7:$AT$500="Block"))+SUMPRODUCT(--ISNUMBER(SEARCH(", "&amp;$B74&amp;", ",", "&amp;'Trust &amp; Safety'!$B$7:$B$500&amp;", ")),--('Trust &amp; Safety'!$AT$7:$AT$500="Block"))+SUMPRODUCT(--ISNUMBER(SEARCH(", "&amp;$B74&amp;", ",", "&amp;'Tài khoản &amp; Hồ sơ'!$B$7:$B$500&amp;", ")),--('Tài khoản &amp; Hồ sơ'!$AT$7:$AT$500="Block"))</f>
        <v>0</v>
      </c>
      <c r="J74" s="51" t="n">
        <f aca="false">SUMPRODUCT(--ISNUMBER(SEARCH(", "&amp;$B74&amp;", ",", "&amp;'Hoạt động (Đơn của tôi)'!$B$7:$B$500&amp;", ")),--('Hoạt động (Đơn của tôi)'!$AT$7:$AT$500="N/A"))+SUMPRODUCT(--ISNUMBER(SEARCH(", "&amp;$B74&amp;", ",", "&amp;'Ghép nối'!$B$7:$B$500&amp;", ")),--('Ghép nối'!$AT$7:$AT$500="N/A"))+SUMPRODUCT(--ISNUMBER(SEARCH(", "&amp;$B74&amp;", ",", "&amp;'Huỷ đơn - Huỷ nhận đơn'!$B$7:$B$500&amp;", ")),--('Huỷ đơn - Huỷ nhận đơn'!$AT$7:$AT$500="N/A"))+SUMPRODUCT(--ISNUMBER(SEARCH(", "&amp;$B74&amp;", ",", "&amp;'Giao nhận &amp; Theo dõi đơn'!$B$7:$B$500&amp;", ")),--('Giao nhận &amp; Theo dõi đơn'!$AT$7:$AT$500="N/A"))+SUMPRODUCT(--ISNUMBER(SEARCH(", "&amp;$B74&amp;", ",", "&amp;'Bảng tin &amp; Chi tiết tin'!$B$7:$B$500&amp;", ")),--('Bảng tin &amp; Chi tiết tin'!$AT$7:$AT$500="N/A"))+SUMPRODUCT(--ISNUMBER(SEARCH(", "&amp;$B74&amp;", ",", "&amp;'Quà cảm ơn'!$B$7:$B$500&amp;", ")),--('Quà cảm ơn'!$AT$7:$AT$500="N/A"))+SUMPRODUCT(--ISNUMBER(SEARCH(", "&amp;$B74&amp;", ",", "&amp;'Trang chủ'!$B$7:$B$500&amp;", ")),--('Trang chủ'!$AT$7:$AT$500="N/A"))+SUMPRODUCT(--ISNUMBER(SEARCH(", "&amp;$B74&amp;", ",", "&amp;'Thông báo'!$B$7:$B$500&amp;", ")),--('Thông báo'!$AT$7:$AT$500="N/A"))+SUMPRODUCT(--ISNUMBER(SEARCH(", "&amp;$B74&amp;", ",", "&amp;'Đăng tin &amp; Quản lý tin'!$B$7:$B$500&amp;", ")),--('Đăng tin &amp; Quản lý tin'!$AT$7:$AT$500="N/A"))+SUMPRODUCT(--ISNUMBER(SEARCH(", "&amp;$B74&amp;", ",", "&amp;'Trust &amp; Safety'!$B$7:$B$500&amp;", ")),--('Trust &amp; Safety'!$AT$7:$AT$500="N/A"))+SUMPRODUCT(--ISNUMBER(SEARCH(", "&amp;$B74&amp;", ",", "&amp;'Tài khoản &amp; Hồ sơ'!$B$7:$B$500&amp;", ")),--('Tài khoản &amp; Hồ sơ'!$AT$7:$AT$500="N/A"))</f>
        <v>0</v>
      </c>
      <c r="K74" s="52" t="n">
        <f aca="false">IFERROR(F74/E74,0)</f>
        <v>0</v>
      </c>
      <c r="L74" s="123" t="str">
        <f aca="false">IF(E74=0,"Chưa có TC (gap)",IF(H74&gt;0,"Có lỗi (Fail)",IF(I74&gt;0,"Bị block",IF(F74&lt;E74,"Đang test",IF(G74=0,"Không áp dụng (N/A)","Đã test xong")))))</f>
        <v>Đang test</v>
      </c>
      <c r="AB74" s="1" t="s">
        <v>452</v>
      </c>
    </row>
    <row r="75" customFormat="false" ht="15.75" hidden="false" customHeight="true" outlineLevel="0" collapsed="false">
      <c r="B75" s="175" t="s">
        <v>619</v>
      </c>
      <c r="C75" s="176" t="s">
        <v>620</v>
      </c>
      <c r="D75" s="123" t="s">
        <v>621</v>
      </c>
      <c r="E75" s="51" t="n">
        <f aca="false">SUMPRODUCT(--ISNUMBER(SEARCH(", "&amp;$B75&amp;", ",", "&amp;'Hoạt động (Đơn của tôi)'!$B$7:$B$500&amp;", ")))+SUMPRODUCT(--ISNUMBER(SEARCH(", "&amp;$B75&amp;", ",", "&amp;'Ghép nối'!$B$7:$B$500&amp;", ")))+SUMPRODUCT(--ISNUMBER(SEARCH(", "&amp;$B75&amp;", ",", "&amp;'Huỷ đơn - Huỷ nhận đơn'!$B$7:$B$500&amp;", ")))+SUMPRODUCT(--ISNUMBER(SEARCH(", "&amp;$B75&amp;", ",", "&amp;'Giao nhận &amp; Theo dõi đơn'!$B$7:$B$500&amp;", ")))+SUMPRODUCT(--ISNUMBER(SEARCH(", "&amp;$B75&amp;", ",", "&amp;'Bảng tin &amp; Chi tiết tin'!$B$7:$B$500&amp;", ")))+SUMPRODUCT(--ISNUMBER(SEARCH(", "&amp;$B75&amp;", ",", "&amp;'Quà cảm ơn'!$B$7:$B$500&amp;", ")))+SUMPRODUCT(--ISNUMBER(SEARCH(", "&amp;$B75&amp;", ",", "&amp;'Trang chủ'!$B$7:$B$500&amp;", ")))+SUMPRODUCT(--ISNUMBER(SEARCH(", "&amp;$B75&amp;", ",", "&amp;'Thông báo'!$B$7:$B$500&amp;", ")))+SUMPRODUCT(--ISNUMBER(SEARCH(", "&amp;$B75&amp;", ",", "&amp;'Đăng tin &amp; Quản lý tin'!$B$7:$B$500&amp;", ")))+SUMPRODUCT(--ISNUMBER(SEARCH(", "&amp;$B75&amp;", ",", "&amp;'Trust &amp; Safety'!$B$7:$B$500&amp;", ")))+SUMPRODUCT(--ISNUMBER(SEARCH(", "&amp;$B75&amp;", ",", "&amp;'Tài khoản &amp; Hồ sơ'!$B$7:$B$500&amp;", ")))</f>
        <v>31</v>
      </c>
      <c r="F75" s="51" t="n">
        <f aca="false">SUMPRODUCT(--ISNUMBER(SEARCH(", "&amp;$B75&amp;", ",", "&amp;'Hoạt động (Đơn của tôi)'!$B$7:$B$500&amp;", ")),--('Hoạt động (Đơn của tôi)'!$AT$7:$AT$500&lt;&gt;""))+SUMPRODUCT(--ISNUMBER(SEARCH(", "&amp;$B75&amp;", ",", "&amp;'Ghép nối'!$B$7:$B$500&amp;", ")),--('Ghép nối'!$AT$7:$AT$500&lt;&gt;""))+SUMPRODUCT(--ISNUMBER(SEARCH(", "&amp;$B75&amp;", ",", "&amp;'Huỷ đơn - Huỷ nhận đơn'!$B$7:$B$500&amp;", ")),--('Huỷ đơn - Huỷ nhận đơn'!$AT$7:$AT$500&lt;&gt;""))+SUMPRODUCT(--ISNUMBER(SEARCH(", "&amp;$B75&amp;", ",", "&amp;'Giao nhận &amp; Theo dõi đơn'!$B$7:$B$500&amp;", ")),--('Giao nhận &amp; Theo dõi đơn'!$AT$7:$AT$500&lt;&gt;""))+SUMPRODUCT(--ISNUMBER(SEARCH(", "&amp;$B75&amp;", ",", "&amp;'Bảng tin &amp; Chi tiết tin'!$B$7:$B$500&amp;", ")),--('Bảng tin &amp; Chi tiết tin'!$AT$7:$AT$500&lt;&gt;""))+SUMPRODUCT(--ISNUMBER(SEARCH(", "&amp;$B75&amp;", ",", "&amp;'Quà cảm ơn'!$B$7:$B$500&amp;", ")),--('Quà cảm ơn'!$AT$7:$AT$500&lt;&gt;""))+SUMPRODUCT(--ISNUMBER(SEARCH(", "&amp;$B75&amp;", ",", "&amp;'Trang chủ'!$B$7:$B$500&amp;", ")),--('Trang chủ'!$AT$7:$AT$500&lt;&gt;""))+SUMPRODUCT(--ISNUMBER(SEARCH(", "&amp;$B75&amp;", ",", "&amp;'Thông báo'!$B$7:$B$500&amp;", ")),--('Thông báo'!$AT$7:$AT$500&lt;&gt;""))+SUMPRODUCT(--ISNUMBER(SEARCH(", "&amp;$B75&amp;", ",", "&amp;'Đăng tin &amp; Quản lý tin'!$B$7:$B$500&amp;", ")),--('Đăng tin &amp; Quản lý tin'!$AT$7:$AT$500&lt;&gt;""))+SUMPRODUCT(--ISNUMBER(SEARCH(", "&amp;$B75&amp;", ",", "&amp;'Trust &amp; Safety'!$B$7:$B$500&amp;", ")),--('Trust &amp; Safety'!$AT$7:$AT$500&lt;&gt;""))+SUMPRODUCT(--ISNUMBER(SEARCH(", "&amp;$B75&amp;", ",", "&amp;'Tài khoản &amp; Hồ sơ'!$B$7:$B$500&amp;", ")),--('Tài khoản &amp; Hồ sơ'!$AT$7:$AT$500&lt;&gt;""))</f>
        <v>0</v>
      </c>
      <c r="G75" s="51" t="n">
        <f aca="false">SUMPRODUCT(--ISNUMBER(SEARCH(", "&amp;$B75&amp;", ",", "&amp;'Hoạt động (Đơn của tôi)'!$B$7:$B$500&amp;", ")),--('Hoạt động (Đơn của tôi)'!$AT$7:$AT$500="Pass"))+SUMPRODUCT(--ISNUMBER(SEARCH(", "&amp;$B75&amp;", ",", "&amp;'Ghép nối'!$B$7:$B$500&amp;", ")),--('Ghép nối'!$AT$7:$AT$500="Pass"))+SUMPRODUCT(--ISNUMBER(SEARCH(", "&amp;$B75&amp;", ",", "&amp;'Huỷ đơn - Huỷ nhận đơn'!$B$7:$B$500&amp;", ")),--('Huỷ đơn - Huỷ nhận đơn'!$AT$7:$AT$500="Pass"))+SUMPRODUCT(--ISNUMBER(SEARCH(", "&amp;$B75&amp;", ",", "&amp;'Giao nhận &amp; Theo dõi đơn'!$B$7:$B$500&amp;", ")),--('Giao nhận &amp; Theo dõi đơn'!$AT$7:$AT$500="Pass"))+SUMPRODUCT(--ISNUMBER(SEARCH(", "&amp;$B75&amp;", ",", "&amp;'Bảng tin &amp; Chi tiết tin'!$B$7:$B$500&amp;", ")),--('Bảng tin &amp; Chi tiết tin'!$AT$7:$AT$500="Pass"))+SUMPRODUCT(--ISNUMBER(SEARCH(", "&amp;$B75&amp;", ",", "&amp;'Quà cảm ơn'!$B$7:$B$500&amp;", ")),--('Quà cảm ơn'!$AT$7:$AT$500="Pass"))+SUMPRODUCT(--ISNUMBER(SEARCH(", "&amp;$B75&amp;", ",", "&amp;'Trang chủ'!$B$7:$B$500&amp;", ")),--('Trang chủ'!$AT$7:$AT$500="Pass"))+SUMPRODUCT(--ISNUMBER(SEARCH(", "&amp;$B75&amp;", ",", "&amp;'Thông báo'!$B$7:$B$500&amp;", ")),--('Thông báo'!$AT$7:$AT$500="Pass"))+SUMPRODUCT(--ISNUMBER(SEARCH(", "&amp;$B75&amp;", ",", "&amp;'Đăng tin &amp; Quản lý tin'!$B$7:$B$500&amp;", ")),--('Đăng tin &amp; Quản lý tin'!$AT$7:$AT$500="Pass"))+SUMPRODUCT(--ISNUMBER(SEARCH(", "&amp;$B75&amp;", ",", "&amp;'Trust &amp; Safety'!$B$7:$B$500&amp;", ")),--('Trust &amp; Safety'!$AT$7:$AT$500="Pass"))+SUMPRODUCT(--ISNUMBER(SEARCH(", "&amp;$B75&amp;", ",", "&amp;'Tài khoản &amp; Hồ sơ'!$B$7:$B$500&amp;", ")),--('Tài khoản &amp; Hồ sơ'!$AT$7:$AT$500="Pass"))</f>
        <v>0</v>
      </c>
      <c r="H75" s="51" t="n">
        <f aca="false">SUMPRODUCT(--ISNUMBER(SEARCH(", "&amp;$B75&amp;", ",", "&amp;'Hoạt động (Đơn của tôi)'!$B$7:$B$500&amp;", ")),--('Hoạt động (Đơn của tôi)'!$AT$7:$AT$500="Fail"))+SUMPRODUCT(--ISNUMBER(SEARCH(", "&amp;$B75&amp;", ",", "&amp;'Ghép nối'!$B$7:$B$500&amp;", ")),--('Ghép nối'!$AT$7:$AT$500="Fail"))+SUMPRODUCT(--ISNUMBER(SEARCH(", "&amp;$B75&amp;", ",", "&amp;'Huỷ đơn - Huỷ nhận đơn'!$B$7:$B$500&amp;", ")),--('Huỷ đơn - Huỷ nhận đơn'!$AT$7:$AT$500="Fail"))+SUMPRODUCT(--ISNUMBER(SEARCH(", "&amp;$B75&amp;", ",", "&amp;'Giao nhận &amp; Theo dõi đơn'!$B$7:$B$500&amp;", ")),--('Giao nhận &amp; Theo dõi đơn'!$AT$7:$AT$500="Fail"))+SUMPRODUCT(--ISNUMBER(SEARCH(", "&amp;$B75&amp;", ",", "&amp;'Bảng tin &amp; Chi tiết tin'!$B$7:$B$500&amp;", ")),--('Bảng tin &amp; Chi tiết tin'!$AT$7:$AT$500="Fail"))+SUMPRODUCT(--ISNUMBER(SEARCH(", "&amp;$B75&amp;", ",", "&amp;'Quà cảm ơn'!$B$7:$B$500&amp;", ")),--('Quà cảm ơn'!$AT$7:$AT$500="Fail"))+SUMPRODUCT(--ISNUMBER(SEARCH(", "&amp;$B75&amp;", ",", "&amp;'Trang chủ'!$B$7:$B$500&amp;", ")),--('Trang chủ'!$AT$7:$AT$500="Fail"))+SUMPRODUCT(--ISNUMBER(SEARCH(", "&amp;$B75&amp;", ",", "&amp;'Thông báo'!$B$7:$B$500&amp;", ")),--('Thông báo'!$AT$7:$AT$500="Fail"))+SUMPRODUCT(--ISNUMBER(SEARCH(", "&amp;$B75&amp;", ",", "&amp;'Đăng tin &amp; Quản lý tin'!$B$7:$B$500&amp;", ")),--('Đăng tin &amp; Quản lý tin'!$AT$7:$AT$500="Fail"))+SUMPRODUCT(--ISNUMBER(SEARCH(", "&amp;$B75&amp;", ",", "&amp;'Trust &amp; Safety'!$B$7:$B$500&amp;", ")),--('Trust &amp; Safety'!$AT$7:$AT$500="Fail"))+SUMPRODUCT(--ISNUMBER(SEARCH(", "&amp;$B75&amp;", ",", "&amp;'Tài khoản &amp; Hồ sơ'!$B$7:$B$500&amp;", ")),--('Tài khoản &amp; Hồ sơ'!$AT$7:$AT$500="Fail"))</f>
        <v>0</v>
      </c>
      <c r="I75" s="51" t="n">
        <f aca="false">SUMPRODUCT(--ISNUMBER(SEARCH(", "&amp;$B75&amp;", ",", "&amp;'Hoạt động (Đơn của tôi)'!$B$7:$B$500&amp;", ")),--('Hoạt động (Đơn của tôi)'!$AT$7:$AT$500="Block"))+SUMPRODUCT(--ISNUMBER(SEARCH(", "&amp;$B75&amp;", ",", "&amp;'Ghép nối'!$B$7:$B$500&amp;", ")),--('Ghép nối'!$AT$7:$AT$500="Block"))+SUMPRODUCT(--ISNUMBER(SEARCH(", "&amp;$B75&amp;", ",", "&amp;'Huỷ đơn - Huỷ nhận đơn'!$B$7:$B$500&amp;", ")),--('Huỷ đơn - Huỷ nhận đơn'!$AT$7:$AT$500="Block"))+SUMPRODUCT(--ISNUMBER(SEARCH(", "&amp;$B75&amp;", ",", "&amp;'Giao nhận &amp; Theo dõi đơn'!$B$7:$B$500&amp;", ")),--('Giao nhận &amp; Theo dõi đơn'!$AT$7:$AT$500="Block"))+SUMPRODUCT(--ISNUMBER(SEARCH(", "&amp;$B75&amp;", ",", "&amp;'Bảng tin &amp; Chi tiết tin'!$B$7:$B$500&amp;", ")),--('Bảng tin &amp; Chi tiết tin'!$AT$7:$AT$500="Block"))+SUMPRODUCT(--ISNUMBER(SEARCH(", "&amp;$B75&amp;", ",", "&amp;'Quà cảm ơn'!$B$7:$B$500&amp;", ")),--('Quà cảm ơn'!$AT$7:$AT$500="Block"))+SUMPRODUCT(--ISNUMBER(SEARCH(", "&amp;$B75&amp;", ",", "&amp;'Trang chủ'!$B$7:$B$500&amp;", ")),--('Trang chủ'!$AT$7:$AT$500="Block"))+SUMPRODUCT(--ISNUMBER(SEARCH(", "&amp;$B75&amp;", ",", "&amp;'Thông báo'!$B$7:$B$500&amp;", ")),--('Thông báo'!$AT$7:$AT$500="Block"))+SUMPRODUCT(--ISNUMBER(SEARCH(", "&amp;$B75&amp;", ",", "&amp;'Đăng tin &amp; Quản lý tin'!$B$7:$B$500&amp;", ")),--('Đăng tin &amp; Quản lý tin'!$AT$7:$AT$500="Block"))+SUMPRODUCT(--ISNUMBER(SEARCH(", "&amp;$B75&amp;", ",", "&amp;'Trust &amp; Safety'!$B$7:$B$500&amp;", ")),--('Trust &amp; Safety'!$AT$7:$AT$500="Block"))+SUMPRODUCT(--ISNUMBER(SEARCH(", "&amp;$B75&amp;", ",", "&amp;'Tài khoản &amp; Hồ sơ'!$B$7:$B$500&amp;", ")),--('Tài khoản &amp; Hồ sơ'!$AT$7:$AT$500="Block"))</f>
        <v>0</v>
      </c>
      <c r="J75" s="51" t="n">
        <f aca="false">SUMPRODUCT(--ISNUMBER(SEARCH(", "&amp;$B75&amp;", ",", "&amp;'Hoạt động (Đơn của tôi)'!$B$7:$B$500&amp;", ")),--('Hoạt động (Đơn của tôi)'!$AT$7:$AT$500="N/A"))+SUMPRODUCT(--ISNUMBER(SEARCH(", "&amp;$B75&amp;", ",", "&amp;'Ghép nối'!$B$7:$B$500&amp;", ")),--('Ghép nối'!$AT$7:$AT$500="N/A"))+SUMPRODUCT(--ISNUMBER(SEARCH(", "&amp;$B75&amp;", ",", "&amp;'Huỷ đơn - Huỷ nhận đơn'!$B$7:$B$500&amp;", ")),--('Huỷ đơn - Huỷ nhận đơn'!$AT$7:$AT$500="N/A"))+SUMPRODUCT(--ISNUMBER(SEARCH(", "&amp;$B75&amp;", ",", "&amp;'Giao nhận &amp; Theo dõi đơn'!$B$7:$B$500&amp;", ")),--('Giao nhận &amp; Theo dõi đơn'!$AT$7:$AT$500="N/A"))+SUMPRODUCT(--ISNUMBER(SEARCH(", "&amp;$B75&amp;", ",", "&amp;'Bảng tin &amp; Chi tiết tin'!$B$7:$B$500&amp;", ")),--('Bảng tin &amp; Chi tiết tin'!$AT$7:$AT$500="N/A"))+SUMPRODUCT(--ISNUMBER(SEARCH(", "&amp;$B75&amp;", ",", "&amp;'Quà cảm ơn'!$B$7:$B$500&amp;", ")),--('Quà cảm ơn'!$AT$7:$AT$500="N/A"))+SUMPRODUCT(--ISNUMBER(SEARCH(", "&amp;$B75&amp;", ",", "&amp;'Trang chủ'!$B$7:$B$500&amp;", ")),--('Trang chủ'!$AT$7:$AT$500="N/A"))+SUMPRODUCT(--ISNUMBER(SEARCH(", "&amp;$B75&amp;", ",", "&amp;'Thông báo'!$B$7:$B$500&amp;", ")),--('Thông báo'!$AT$7:$AT$500="N/A"))+SUMPRODUCT(--ISNUMBER(SEARCH(", "&amp;$B75&amp;", ",", "&amp;'Đăng tin &amp; Quản lý tin'!$B$7:$B$500&amp;", ")),--('Đăng tin &amp; Quản lý tin'!$AT$7:$AT$500="N/A"))+SUMPRODUCT(--ISNUMBER(SEARCH(", "&amp;$B75&amp;", ",", "&amp;'Trust &amp; Safety'!$B$7:$B$500&amp;", ")),--('Trust &amp; Safety'!$AT$7:$AT$500="N/A"))+SUMPRODUCT(--ISNUMBER(SEARCH(", "&amp;$B75&amp;", ",", "&amp;'Tài khoản &amp; Hồ sơ'!$B$7:$B$500&amp;", ")),--('Tài khoản &amp; Hồ sơ'!$AT$7:$AT$500="N/A"))</f>
        <v>0</v>
      </c>
      <c r="K75" s="52" t="n">
        <f aca="false">IFERROR(F75/E75,0)</f>
        <v>0</v>
      </c>
      <c r="L75" s="123" t="str">
        <f aca="false">IF(E75=0,"Chưa có TC (gap)",IF(H75&gt;0,"Có lỗi (Fail)",IF(I75&gt;0,"Bị block",IF(F75&lt;E75,"Đang test",IF(G75=0,"Không áp dụng (N/A)","Đã test xong")))))</f>
        <v>Đang test</v>
      </c>
      <c r="AB75" s="1" t="s">
        <v>452</v>
      </c>
    </row>
    <row r="76" customFormat="false" ht="15.75" hidden="false" customHeight="true" outlineLevel="0" collapsed="false">
      <c r="B76" s="175" t="s">
        <v>622</v>
      </c>
      <c r="C76" s="176" t="s">
        <v>623</v>
      </c>
      <c r="D76" s="123" t="s">
        <v>624</v>
      </c>
      <c r="E76" s="51" t="n">
        <f aca="false">SUMPRODUCT(--ISNUMBER(SEARCH(", "&amp;$B76&amp;", ",", "&amp;'Hoạt động (Đơn của tôi)'!$B$7:$B$500&amp;", ")))+SUMPRODUCT(--ISNUMBER(SEARCH(", "&amp;$B76&amp;", ",", "&amp;'Ghép nối'!$B$7:$B$500&amp;", ")))+SUMPRODUCT(--ISNUMBER(SEARCH(", "&amp;$B76&amp;", ",", "&amp;'Huỷ đơn - Huỷ nhận đơn'!$B$7:$B$500&amp;", ")))+SUMPRODUCT(--ISNUMBER(SEARCH(", "&amp;$B76&amp;", ",", "&amp;'Giao nhận &amp; Theo dõi đơn'!$B$7:$B$500&amp;", ")))+SUMPRODUCT(--ISNUMBER(SEARCH(", "&amp;$B76&amp;", ",", "&amp;'Bảng tin &amp; Chi tiết tin'!$B$7:$B$500&amp;", ")))+SUMPRODUCT(--ISNUMBER(SEARCH(", "&amp;$B76&amp;", ",", "&amp;'Quà cảm ơn'!$B$7:$B$500&amp;", ")))+SUMPRODUCT(--ISNUMBER(SEARCH(", "&amp;$B76&amp;", ",", "&amp;'Trang chủ'!$B$7:$B$500&amp;", ")))+SUMPRODUCT(--ISNUMBER(SEARCH(", "&amp;$B76&amp;", ",", "&amp;'Thông báo'!$B$7:$B$500&amp;", ")))+SUMPRODUCT(--ISNUMBER(SEARCH(", "&amp;$B76&amp;", ",", "&amp;'Đăng tin &amp; Quản lý tin'!$B$7:$B$500&amp;", ")))+SUMPRODUCT(--ISNUMBER(SEARCH(", "&amp;$B76&amp;", ",", "&amp;'Trust &amp; Safety'!$B$7:$B$500&amp;", ")))+SUMPRODUCT(--ISNUMBER(SEARCH(", "&amp;$B76&amp;", ",", "&amp;'Tài khoản &amp; Hồ sơ'!$B$7:$B$500&amp;", ")))</f>
        <v>1</v>
      </c>
      <c r="F76" s="51" t="n">
        <f aca="false">SUMPRODUCT(--ISNUMBER(SEARCH(", "&amp;$B76&amp;", ",", "&amp;'Hoạt động (Đơn của tôi)'!$B$7:$B$500&amp;", ")),--('Hoạt động (Đơn của tôi)'!$AT$7:$AT$500&lt;&gt;""))+SUMPRODUCT(--ISNUMBER(SEARCH(", "&amp;$B76&amp;", ",", "&amp;'Ghép nối'!$B$7:$B$500&amp;", ")),--('Ghép nối'!$AT$7:$AT$500&lt;&gt;""))+SUMPRODUCT(--ISNUMBER(SEARCH(", "&amp;$B76&amp;", ",", "&amp;'Huỷ đơn - Huỷ nhận đơn'!$B$7:$B$500&amp;", ")),--('Huỷ đơn - Huỷ nhận đơn'!$AT$7:$AT$500&lt;&gt;""))+SUMPRODUCT(--ISNUMBER(SEARCH(", "&amp;$B76&amp;", ",", "&amp;'Giao nhận &amp; Theo dõi đơn'!$B$7:$B$500&amp;", ")),--('Giao nhận &amp; Theo dõi đơn'!$AT$7:$AT$500&lt;&gt;""))+SUMPRODUCT(--ISNUMBER(SEARCH(", "&amp;$B76&amp;", ",", "&amp;'Bảng tin &amp; Chi tiết tin'!$B$7:$B$500&amp;", ")),--('Bảng tin &amp; Chi tiết tin'!$AT$7:$AT$500&lt;&gt;""))+SUMPRODUCT(--ISNUMBER(SEARCH(", "&amp;$B76&amp;", ",", "&amp;'Quà cảm ơn'!$B$7:$B$500&amp;", ")),--('Quà cảm ơn'!$AT$7:$AT$500&lt;&gt;""))+SUMPRODUCT(--ISNUMBER(SEARCH(", "&amp;$B76&amp;", ",", "&amp;'Trang chủ'!$B$7:$B$500&amp;", ")),--('Trang chủ'!$AT$7:$AT$500&lt;&gt;""))+SUMPRODUCT(--ISNUMBER(SEARCH(", "&amp;$B76&amp;", ",", "&amp;'Thông báo'!$B$7:$B$500&amp;", ")),--('Thông báo'!$AT$7:$AT$500&lt;&gt;""))+SUMPRODUCT(--ISNUMBER(SEARCH(", "&amp;$B76&amp;", ",", "&amp;'Đăng tin &amp; Quản lý tin'!$B$7:$B$500&amp;", ")),--('Đăng tin &amp; Quản lý tin'!$AT$7:$AT$500&lt;&gt;""))+SUMPRODUCT(--ISNUMBER(SEARCH(", "&amp;$B76&amp;", ",", "&amp;'Trust &amp; Safety'!$B$7:$B$500&amp;", ")),--('Trust &amp; Safety'!$AT$7:$AT$500&lt;&gt;""))+SUMPRODUCT(--ISNUMBER(SEARCH(", "&amp;$B76&amp;", ",", "&amp;'Tài khoản &amp; Hồ sơ'!$B$7:$B$500&amp;", ")),--('Tài khoản &amp; Hồ sơ'!$AT$7:$AT$500&lt;&gt;""))</f>
        <v>0</v>
      </c>
      <c r="G76" s="51" t="n">
        <f aca="false">SUMPRODUCT(--ISNUMBER(SEARCH(", "&amp;$B76&amp;", ",", "&amp;'Hoạt động (Đơn của tôi)'!$B$7:$B$500&amp;", ")),--('Hoạt động (Đơn của tôi)'!$AT$7:$AT$500="Pass"))+SUMPRODUCT(--ISNUMBER(SEARCH(", "&amp;$B76&amp;", ",", "&amp;'Ghép nối'!$B$7:$B$500&amp;", ")),--('Ghép nối'!$AT$7:$AT$500="Pass"))+SUMPRODUCT(--ISNUMBER(SEARCH(", "&amp;$B76&amp;", ",", "&amp;'Huỷ đơn - Huỷ nhận đơn'!$B$7:$B$500&amp;", ")),--('Huỷ đơn - Huỷ nhận đơn'!$AT$7:$AT$500="Pass"))+SUMPRODUCT(--ISNUMBER(SEARCH(", "&amp;$B76&amp;", ",", "&amp;'Giao nhận &amp; Theo dõi đơn'!$B$7:$B$500&amp;", ")),--('Giao nhận &amp; Theo dõi đơn'!$AT$7:$AT$500="Pass"))+SUMPRODUCT(--ISNUMBER(SEARCH(", "&amp;$B76&amp;", ",", "&amp;'Bảng tin &amp; Chi tiết tin'!$B$7:$B$500&amp;", ")),--('Bảng tin &amp; Chi tiết tin'!$AT$7:$AT$500="Pass"))+SUMPRODUCT(--ISNUMBER(SEARCH(", "&amp;$B76&amp;", ",", "&amp;'Quà cảm ơn'!$B$7:$B$500&amp;", ")),--('Quà cảm ơn'!$AT$7:$AT$500="Pass"))+SUMPRODUCT(--ISNUMBER(SEARCH(", "&amp;$B76&amp;", ",", "&amp;'Trang chủ'!$B$7:$B$500&amp;", ")),--('Trang chủ'!$AT$7:$AT$500="Pass"))+SUMPRODUCT(--ISNUMBER(SEARCH(", "&amp;$B76&amp;", ",", "&amp;'Thông báo'!$B$7:$B$500&amp;", ")),--('Thông báo'!$AT$7:$AT$500="Pass"))+SUMPRODUCT(--ISNUMBER(SEARCH(", "&amp;$B76&amp;", ",", "&amp;'Đăng tin &amp; Quản lý tin'!$B$7:$B$500&amp;", ")),--('Đăng tin &amp; Quản lý tin'!$AT$7:$AT$500="Pass"))+SUMPRODUCT(--ISNUMBER(SEARCH(", "&amp;$B76&amp;", ",", "&amp;'Trust &amp; Safety'!$B$7:$B$500&amp;", ")),--('Trust &amp; Safety'!$AT$7:$AT$500="Pass"))+SUMPRODUCT(--ISNUMBER(SEARCH(", "&amp;$B76&amp;", ",", "&amp;'Tài khoản &amp; Hồ sơ'!$B$7:$B$500&amp;", ")),--('Tài khoản &amp; Hồ sơ'!$AT$7:$AT$500="Pass"))</f>
        <v>0</v>
      </c>
      <c r="H76" s="51" t="n">
        <f aca="false">SUMPRODUCT(--ISNUMBER(SEARCH(", "&amp;$B76&amp;", ",", "&amp;'Hoạt động (Đơn của tôi)'!$B$7:$B$500&amp;", ")),--('Hoạt động (Đơn của tôi)'!$AT$7:$AT$500="Fail"))+SUMPRODUCT(--ISNUMBER(SEARCH(", "&amp;$B76&amp;", ",", "&amp;'Ghép nối'!$B$7:$B$500&amp;", ")),--('Ghép nối'!$AT$7:$AT$500="Fail"))+SUMPRODUCT(--ISNUMBER(SEARCH(", "&amp;$B76&amp;", ",", "&amp;'Huỷ đơn - Huỷ nhận đơn'!$B$7:$B$500&amp;", ")),--('Huỷ đơn - Huỷ nhận đơn'!$AT$7:$AT$500="Fail"))+SUMPRODUCT(--ISNUMBER(SEARCH(", "&amp;$B76&amp;", ",", "&amp;'Giao nhận &amp; Theo dõi đơn'!$B$7:$B$500&amp;", ")),--('Giao nhận &amp; Theo dõi đơn'!$AT$7:$AT$500="Fail"))+SUMPRODUCT(--ISNUMBER(SEARCH(", "&amp;$B76&amp;", ",", "&amp;'Bảng tin &amp; Chi tiết tin'!$B$7:$B$500&amp;", ")),--('Bảng tin &amp; Chi tiết tin'!$AT$7:$AT$500="Fail"))+SUMPRODUCT(--ISNUMBER(SEARCH(", "&amp;$B76&amp;", ",", "&amp;'Quà cảm ơn'!$B$7:$B$500&amp;", ")),--('Quà cảm ơn'!$AT$7:$AT$500="Fail"))+SUMPRODUCT(--ISNUMBER(SEARCH(", "&amp;$B76&amp;", ",", "&amp;'Trang chủ'!$B$7:$B$500&amp;", ")),--('Trang chủ'!$AT$7:$AT$500="Fail"))+SUMPRODUCT(--ISNUMBER(SEARCH(", "&amp;$B76&amp;", ",", "&amp;'Thông báo'!$B$7:$B$500&amp;", ")),--('Thông báo'!$AT$7:$AT$500="Fail"))+SUMPRODUCT(--ISNUMBER(SEARCH(", "&amp;$B76&amp;", ",", "&amp;'Đăng tin &amp; Quản lý tin'!$B$7:$B$500&amp;", ")),--('Đăng tin &amp; Quản lý tin'!$AT$7:$AT$500="Fail"))+SUMPRODUCT(--ISNUMBER(SEARCH(", "&amp;$B76&amp;", ",", "&amp;'Trust &amp; Safety'!$B$7:$B$500&amp;", ")),--('Trust &amp; Safety'!$AT$7:$AT$500="Fail"))+SUMPRODUCT(--ISNUMBER(SEARCH(", "&amp;$B76&amp;", ",", "&amp;'Tài khoản &amp; Hồ sơ'!$B$7:$B$500&amp;", ")),--('Tài khoản &amp; Hồ sơ'!$AT$7:$AT$500="Fail"))</f>
        <v>0</v>
      </c>
      <c r="I76" s="51" t="n">
        <f aca="false">SUMPRODUCT(--ISNUMBER(SEARCH(", "&amp;$B76&amp;", ",", "&amp;'Hoạt động (Đơn của tôi)'!$B$7:$B$500&amp;", ")),--('Hoạt động (Đơn của tôi)'!$AT$7:$AT$500="Block"))+SUMPRODUCT(--ISNUMBER(SEARCH(", "&amp;$B76&amp;", ",", "&amp;'Ghép nối'!$B$7:$B$500&amp;", ")),--('Ghép nối'!$AT$7:$AT$500="Block"))+SUMPRODUCT(--ISNUMBER(SEARCH(", "&amp;$B76&amp;", ",", "&amp;'Huỷ đơn - Huỷ nhận đơn'!$B$7:$B$500&amp;", ")),--('Huỷ đơn - Huỷ nhận đơn'!$AT$7:$AT$500="Block"))+SUMPRODUCT(--ISNUMBER(SEARCH(", "&amp;$B76&amp;", ",", "&amp;'Giao nhận &amp; Theo dõi đơn'!$B$7:$B$500&amp;", ")),--('Giao nhận &amp; Theo dõi đơn'!$AT$7:$AT$500="Block"))+SUMPRODUCT(--ISNUMBER(SEARCH(", "&amp;$B76&amp;", ",", "&amp;'Bảng tin &amp; Chi tiết tin'!$B$7:$B$500&amp;", ")),--('Bảng tin &amp; Chi tiết tin'!$AT$7:$AT$500="Block"))+SUMPRODUCT(--ISNUMBER(SEARCH(", "&amp;$B76&amp;", ",", "&amp;'Quà cảm ơn'!$B$7:$B$500&amp;", ")),--('Quà cảm ơn'!$AT$7:$AT$500="Block"))+SUMPRODUCT(--ISNUMBER(SEARCH(", "&amp;$B76&amp;", ",", "&amp;'Trang chủ'!$B$7:$B$500&amp;", ")),--('Trang chủ'!$AT$7:$AT$500="Block"))+SUMPRODUCT(--ISNUMBER(SEARCH(", "&amp;$B76&amp;", ",", "&amp;'Thông báo'!$B$7:$B$500&amp;", ")),--('Thông báo'!$AT$7:$AT$500="Block"))+SUMPRODUCT(--ISNUMBER(SEARCH(", "&amp;$B76&amp;", ",", "&amp;'Đăng tin &amp; Quản lý tin'!$B$7:$B$500&amp;", ")),--('Đăng tin &amp; Quản lý tin'!$AT$7:$AT$500="Block"))+SUMPRODUCT(--ISNUMBER(SEARCH(", "&amp;$B76&amp;", ",", "&amp;'Trust &amp; Safety'!$B$7:$B$500&amp;", ")),--('Trust &amp; Safety'!$AT$7:$AT$500="Block"))+SUMPRODUCT(--ISNUMBER(SEARCH(", "&amp;$B76&amp;", ",", "&amp;'Tài khoản &amp; Hồ sơ'!$B$7:$B$500&amp;", ")),--('Tài khoản &amp; Hồ sơ'!$AT$7:$AT$500="Block"))</f>
        <v>0</v>
      </c>
      <c r="J76" s="51" t="n">
        <f aca="false">SUMPRODUCT(--ISNUMBER(SEARCH(", "&amp;$B76&amp;", ",", "&amp;'Hoạt động (Đơn của tôi)'!$B$7:$B$500&amp;", ")),--('Hoạt động (Đơn của tôi)'!$AT$7:$AT$500="N/A"))+SUMPRODUCT(--ISNUMBER(SEARCH(", "&amp;$B76&amp;", ",", "&amp;'Ghép nối'!$B$7:$B$500&amp;", ")),--('Ghép nối'!$AT$7:$AT$500="N/A"))+SUMPRODUCT(--ISNUMBER(SEARCH(", "&amp;$B76&amp;", ",", "&amp;'Huỷ đơn - Huỷ nhận đơn'!$B$7:$B$500&amp;", ")),--('Huỷ đơn - Huỷ nhận đơn'!$AT$7:$AT$500="N/A"))+SUMPRODUCT(--ISNUMBER(SEARCH(", "&amp;$B76&amp;", ",", "&amp;'Giao nhận &amp; Theo dõi đơn'!$B$7:$B$500&amp;", ")),--('Giao nhận &amp; Theo dõi đơn'!$AT$7:$AT$500="N/A"))+SUMPRODUCT(--ISNUMBER(SEARCH(", "&amp;$B76&amp;", ",", "&amp;'Bảng tin &amp; Chi tiết tin'!$B$7:$B$500&amp;", ")),--('Bảng tin &amp; Chi tiết tin'!$AT$7:$AT$500="N/A"))+SUMPRODUCT(--ISNUMBER(SEARCH(", "&amp;$B76&amp;", ",", "&amp;'Quà cảm ơn'!$B$7:$B$500&amp;", ")),--('Quà cảm ơn'!$AT$7:$AT$500="N/A"))+SUMPRODUCT(--ISNUMBER(SEARCH(", "&amp;$B76&amp;", ",", "&amp;'Trang chủ'!$B$7:$B$500&amp;", ")),--('Trang chủ'!$AT$7:$AT$500="N/A"))+SUMPRODUCT(--ISNUMBER(SEARCH(", "&amp;$B76&amp;", ",", "&amp;'Thông báo'!$B$7:$B$500&amp;", ")),--('Thông báo'!$AT$7:$AT$500="N/A"))+SUMPRODUCT(--ISNUMBER(SEARCH(", "&amp;$B76&amp;", ",", "&amp;'Đăng tin &amp; Quản lý tin'!$B$7:$B$500&amp;", ")),--('Đăng tin &amp; Quản lý tin'!$AT$7:$AT$500="N/A"))+SUMPRODUCT(--ISNUMBER(SEARCH(", "&amp;$B76&amp;", ",", "&amp;'Trust &amp; Safety'!$B$7:$B$500&amp;", ")),--('Trust &amp; Safety'!$AT$7:$AT$500="N/A"))+SUMPRODUCT(--ISNUMBER(SEARCH(", "&amp;$B76&amp;", ",", "&amp;'Tài khoản &amp; Hồ sơ'!$B$7:$B$500&amp;", ")),--('Tài khoản &amp; Hồ sơ'!$AT$7:$AT$500="N/A"))</f>
        <v>0</v>
      </c>
      <c r="K76" s="52" t="n">
        <f aca="false">IFERROR(F76/E76,0)</f>
        <v>0</v>
      </c>
      <c r="L76" s="123" t="str">
        <f aca="false">IF(E76=0,"Chưa có TC (gap)",IF(H76&gt;0,"Có lỗi (Fail)",IF(I76&gt;0,"Bị block",IF(F76&lt;E76,"Đang test",IF(G76=0,"Không áp dụng (N/A)","Đã test xong")))))</f>
        <v>Đang test</v>
      </c>
      <c r="AB76" s="1" t="s">
        <v>452</v>
      </c>
    </row>
    <row r="77" customFormat="false" ht="15.75" hidden="false" customHeight="true" outlineLevel="0" collapsed="false">
      <c r="B77" s="175" t="s">
        <v>625</v>
      </c>
      <c r="C77" s="176" t="s">
        <v>626</v>
      </c>
      <c r="D77" s="123" t="s">
        <v>627</v>
      </c>
      <c r="E77" s="51" t="n">
        <f aca="false">SUMPRODUCT(--ISNUMBER(SEARCH(", "&amp;$B77&amp;", ",", "&amp;'Hoạt động (Đơn của tôi)'!$B$7:$B$500&amp;", ")))+SUMPRODUCT(--ISNUMBER(SEARCH(", "&amp;$B77&amp;", ",", "&amp;'Ghép nối'!$B$7:$B$500&amp;", ")))+SUMPRODUCT(--ISNUMBER(SEARCH(", "&amp;$B77&amp;", ",", "&amp;'Huỷ đơn - Huỷ nhận đơn'!$B$7:$B$500&amp;", ")))+SUMPRODUCT(--ISNUMBER(SEARCH(", "&amp;$B77&amp;", ",", "&amp;'Giao nhận &amp; Theo dõi đơn'!$B$7:$B$500&amp;", ")))+SUMPRODUCT(--ISNUMBER(SEARCH(", "&amp;$B77&amp;", ",", "&amp;'Bảng tin &amp; Chi tiết tin'!$B$7:$B$500&amp;", ")))+SUMPRODUCT(--ISNUMBER(SEARCH(", "&amp;$B77&amp;", ",", "&amp;'Quà cảm ơn'!$B$7:$B$500&amp;", ")))+SUMPRODUCT(--ISNUMBER(SEARCH(", "&amp;$B77&amp;", ",", "&amp;'Trang chủ'!$B$7:$B$500&amp;", ")))+SUMPRODUCT(--ISNUMBER(SEARCH(", "&amp;$B77&amp;", ",", "&amp;'Thông báo'!$B$7:$B$500&amp;", ")))+SUMPRODUCT(--ISNUMBER(SEARCH(", "&amp;$B77&amp;", ",", "&amp;'Đăng tin &amp; Quản lý tin'!$B$7:$B$500&amp;", ")))+SUMPRODUCT(--ISNUMBER(SEARCH(", "&amp;$B77&amp;", ",", "&amp;'Trust &amp; Safety'!$B$7:$B$500&amp;", ")))+SUMPRODUCT(--ISNUMBER(SEARCH(", "&amp;$B77&amp;", ",", "&amp;'Tài khoản &amp; Hồ sơ'!$B$7:$B$500&amp;", ")))</f>
        <v>1</v>
      </c>
      <c r="F77" s="51" t="n">
        <f aca="false">SUMPRODUCT(--ISNUMBER(SEARCH(", "&amp;$B77&amp;", ",", "&amp;'Hoạt động (Đơn của tôi)'!$B$7:$B$500&amp;", ")),--('Hoạt động (Đơn của tôi)'!$AT$7:$AT$500&lt;&gt;""))+SUMPRODUCT(--ISNUMBER(SEARCH(", "&amp;$B77&amp;", ",", "&amp;'Ghép nối'!$B$7:$B$500&amp;", ")),--('Ghép nối'!$AT$7:$AT$500&lt;&gt;""))+SUMPRODUCT(--ISNUMBER(SEARCH(", "&amp;$B77&amp;", ",", "&amp;'Huỷ đơn - Huỷ nhận đơn'!$B$7:$B$500&amp;", ")),--('Huỷ đơn - Huỷ nhận đơn'!$AT$7:$AT$500&lt;&gt;""))+SUMPRODUCT(--ISNUMBER(SEARCH(", "&amp;$B77&amp;", ",", "&amp;'Giao nhận &amp; Theo dõi đơn'!$B$7:$B$500&amp;", ")),--('Giao nhận &amp; Theo dõi đơn'!$AT$7:$AT$500&lt;&gt;""))+SUMPRODUCT(--ISNUMBER(SEARCH(", "&amp;$B77&amp;", ",", "&amp;'Bảng tin &amp; Chi tiết tin'!$B$7:$B$500&amp;", ")),--('Bảng tin &amp; Chi tiết tin'!$AT$7:$AT$500&lt;&gt;""))+SUMPRODUCT(--ISNUMBER(SEARCH(", "&amp;$B77&amp;", ",", "&amp;'Quà cảm ơn'!$B$7:$B$500&amp;", ")),--('Quà cảm ơn'!$AT$7:$AT$500&lt;&gt;""))+SUMPRODUCT(--ISNUMBER(SEARCH(", "&amp;$B77&amp;", ",", "&amp;'Trang chủ'!$B$7:$B$500&amp;", ")),--('Trang chủ'!$AT$7:$AT$500&lt;&gt;""))+SUMPRODUCT(--ISNUMBER(SEARCH(", "&amp;$B77&amp;", ",", "&amp;'Thông báo'!$B$7:$B$500&amp;", ")),--('Thông báo'!$AT$7:$AT$500&lt;&gt;""))+SUMPRODUCT(--ISNUMBER(SEARCH(", "&amp;$B77&amp;", ",", "&amp;'Đăng tin &amp; Quản lý tin'!$B$7:$B$500&amp;", ")),--('Đăng tin &amp; Quản lý tin'!$AT$7:$AT$500&lt;&gt;""))+SUMPRODUCT(--ISNUMBER(SEARCH(", "&amp;$B77&amp;", ",", "&amp;'Trust &amp; Safety'!$B$7:$B$500&amp;", ")),--('Trust &amp; Safety'!$AT$7:$AT$500&lt;&gt;""))+SUMPRODUCT(--ISNUMBER(SEARCH(", "&amp;$B77&amp;", ",", "&amp;'Tài khoản &amp; Hồ sơ'!$B$7:$B$500&amp;", ")),--('Tài khoản &amp; Hồ sơ'!$AT$7:$AT$500&lt;&gt;""))</f>
        <v>0</v>
      </c>
      <c r="G77" s="51" t="n">
        <f aca="false">SUMPRODUCT(--ISNUMBER(SEARCH(", "&amp;$B77&amp;", ",", "&amp;'Hoạt động (Đơn của tôi)'!$B$7:$B$500&amp;", ")),--('Hoạt động (Đơn của tôi)'!$AT$7:$AT$500="Pass"))+SUMPRODUCT(--ISNUMBER(SEARCH(", "&amp;$B77&amp;", ",", "&amp;'Ghép nối'!$B$7:$B$500&amp;", ")),--('Ghép nối'!$AT$7:$AT$500="Pass"))+SUMPRODUCT(--ISNUMBER(SEARCH(", "&amp;$B77&amp;", ",", "&amp;'Huỷ đơn - Huỷ nhận đơn'!$B$7:$B$500&amp;", ")),--('Huỷ đơn - Huỷ nhận đơn'!$AT$7:$AT$500="Pass"))+SUMPRODUCT(--ISNUMBER(SEARCH(", "&amp;$B77&amp;", ",", "&amp;'Giao nhận &amp; Theo dõi đơn'!$B$7:$B$500&amp;", ")),--('Giao nhận &amp; Theo dõi đơn'!$AT$7:$AT$500="Pass"))+SUMPRODUCT(--ISNUMBER(SEARCH(", "&amp;$B77&amp;", ",", "&amp;'Bảng tin &amp; Chi tiết tin'!$B$7:$B$500&amp;", ")),--('Bảng tin &amp; Chi tiết tin'!$AT$7:$AT$500="Pass"))+SUMPRODUCT(--ISNUMBER(SEARCH(", "&amp;$B77&amp;", ",", "&amp;'Quà cảm ơn'!$B$7:$B$500&amp;", ")),--('Quà cảm ơn'!$AT$7:$AT$500="Pass"))+SUMPRODUCT(--ISNUMBER(SEARCH(", "&amp;$B77&amp;", ",", "&amp;'Trang chủ'!$B$7:$B$500&amp;", ")),--('Trang chủ'!$AT$7:$AT$500="Pass"))+SUMPRODUCT(--ISNUMBER(SEARCH(", "&amp;$B77&amp;", ",", "&amp;'Thông báo'!$B$7:$B$500&amp;", ")),--('Thông báo'!$AT$7:$AT$500="Pass"))+SUMPRODUCT(--ISNUMBER(SEARCH(", "&amp;$B77&amp;", ",", "&amp;'Đăng tin &amp; Quản lý tin'!$B$7:$B$500&amp;", ")),--('Đăng tin &amp; Quản lý tin'!$AT$7:$AT$500="Pass"))+SUMPRODUCT(--ISNUMBER(SEARCH(", "&amp;$B77&amp;", ",", "&amp;'Trust &amp; Safety'!$B$7:$B$500&amp;", ")),--('Trust &amp; Safety'!$AT$7:$AT$500="Pass"))+SUMPRODUCT(--ISNUMBER(SEARCH(", "&amp;$B77&amp;", ",", "&amp;'Tài khoản &amp; Hồ sơ'!$B$7:$B$500&amp;", ")),--('Tài khoản &amp; Hồ sơ'!$AT$7:$AT$500="Pass"))</f>
        <v>0</v>
      </c>
      <c r="H77" s="51" t="n">
        <f aca="false">SUMPRODUCT(--ISNUMBER(SEARCH(", "&amp;$B77&amp;", ",", "&amp;'Hoạt động (Đơn của tôi)'!$B$7:$B$500&amp;", ")),--('Hoạt động (Đơn của tôi)'!$AT$7:$AT$500="Fail"))+SUMPRODUCT(--ISNUMBER(SEARCH(", "&amp;$B77&amp;", ",", "&amp;'Ghép nối'!$B$7:$B$500&amp;", ")),--('Ghép nối'!$AT$7:$AT$500="Fail"))+SUMPRODUCT(--ISNUMBER(SEARCH(", "&amp;$B77&amp;", ",", "&amp;'Huỷ đơn - Huỷ nhận đơn'!$B$7:$B$500&amp;", ")),--('Huỷ đơn - Huỷ nhận đơn'!$AT$7:$AT$500="Fail"))+SUMPRODUCT(--ISNUMBER(SEARCH(", "&amp;$B77&amp;", ",", "&amp;'Giao nhận &amp; Theo dõi đơn'!$B$7:$B$500&amp;", ")),--('Giao nhận &amp; Theo dõi đơn'!$AT$7:$AT$500="Fail"))+SUMPRODUCT(--ISNUMBER(SEARCH(", "&amp;$B77&amp;", ",", "&amp;'Bảng tin &amp; Chi tiết tin'!$B$7:$B$500&amp;", ")),--('Bảng tin &amp; Chi tiết tin'!$AT$7:$AT$500="Fail"))+SUMPRODUCT(--ISNUMBER(SEARCH(", "&amp;$B77&amp;", ",", "&amp;'Quà cảm ơn'!$B$7:$B$500&amp;", ")),--('Quà cảm ơn'!$AT$7:$AT$500="Fail"))+SUMPRODUCT(--ISNUMBER(SEARCH(", "&amp;$B77&amp;", ",", "&amp;'Trang chủ'!$B$7:$B$500&amp;", ")),--('Trang chủ'!$AT$7:$AT$500="Fail"))+SUMPRODUCT(--ISNUMBER(SEARCH(", "&amp;$B77&amp;", ",", "&amp;'Thông báo'!$B$7:$B$500&amp;", ")),--('Thông báo'!$AT$7:$AT$500="Fail"))+SUMPRODUCT(--ISNUMBER(SEARCH(", "&amp;$B77&amp;", ",", "&amp;'Đăng tin &amp; Quản lý tin'!$B$7:$B$500&amp;", ")),--('Đăng tin &amp; Quản lý tin'!$AT$7:$AT$500="Fail"))+SUMPRODUCT(--ISNUMBER(SEARCH(", "&amp;$B77&amp;", ",", "&amp;'Trust &amp; Safety'!$B$7:$B$500&amp;", ")),--('Trust &amp; Safety'!$AT$7:$AT$500="Fail"))+SUMPRODUCT(--ISNUMBER(SEARCH(", "&amp;$B77&amp;", ",", "&amp;'Tài khoản &amp; Hồ sơ'!$B$7:$B$500&amp;", ")),--('Tài khoản &amp; Hồ sơ'!$AT$7:$AT$500="Fail"))</f>
        <v>0</v>
      </c>
      <c r="I77" s="51" t="n">
        <f aca="false">SUMPRODUCT(--ISNUMBER(SEARCH(", "&amp;$B77&amp;", ",", "&amp;'Hoạt động (Đơn của tôi)'!$B$7:$B$500&amp;", ")),--('Hoạt động (Đơn của tôi)'!$AT$7:$AT$500="Block"))+SUMPRODUCT(--ISNUMBER(SEARCH(", "&amp;$B77&amp;", ",", "&amp;'Ghép nối'!$B$7:$B$500&amp;", ")),--('Ghép nối'!$AT$7:$AT$500="Block"))+SUMPRODUCT(--ISNUMBER(SEARCH(", "&amp;$B77&amp;", ",", "&amp;'Huỷ đơn - Huỷ nhận đơn'!$B$7:$B$500&amp;", ")),--('Huỷ đơn - Huỷ nhận đơn'!$AT$7:$AT$500="Block"))+SUMPRODUCT(--ISNUMBER(SEARCH(", "&amp;$B77&amp;", ",", "&amp;'Giao nhận &amp; Theo dõi đơn'!$B$7:$B$500&amp;", ")),--('Giao nhận &amp; Theo dõi đơn'!$AT$7:$AT$500="Block"))+SUMPRODUCT(--ISNUMBER(SEARCH(", "&amp;$B77&amp;", ",", "&amp;'Bảng tin &amp; Chi tiết tin'!$B$7:$B$500&amp;", ")),--('Bảng tin &amp; Chi tiết tin'!$AT$7:$AT$500="Block"))+SUMPRODUCT(--ISNUMBER(SEARCH(", "&amp;$B77&amp;", ",", "&amp;'Quà cảm ơn'!$B$7:$B$500&amp;", ")),--('Quà cảm ơn'!$AT$7:$AT$500="Block"))+SUMPRODUCT(--ISNUMBER(SEARCH(", "&amp;$B77&amp;", ",", "&amp;'Trang chủ'!$B$7:$B$500&amp;", ")),--('Trang chủ'!$AT$7:$AT$500="Block"))+SUMPRODUCT(--ISNUMBER(SEARCH(", "&amp;$B77&amp;", ",", "&amp;'Thông báo'!$B$7:$B$500&amp;", ")),--('Thông báo'!$AT$7:$AT$500="Block"))+SUMPRODUCT(--ISNUMBER(SEARCH(", "&amp;$B77&amp;", ",", "&amp;'Đăng tin &amp; Quản lý tin'!$B$7:$B$500&amp;", ")),--('Đăng tin &amp; Quản lý tin'!$AT$7:$AT$500="Block"))+SUMPRODUCT(--ISNUMBER(SEARCH(", "&amp;$B77&amp;", ",", "&amp;'Trust &amp; Safety'!$B$7:$B$500&amp;", ")),--('Trust &amp; Safety'!$AT$7:$AT$500="Block"))+SUMPRODUCT(--ISNUMBER(SEARCH(", "&amp;$B77&amp;", ",", "&amp;'Tài khoản &amp; Hồ sơ'!$B$7:$B$500&amp;", ")),--('Tài khoản &amp; Hồ sơ'!$AT$7:$AT$500="Block"))</f>
        <v>0</v>
      </c>
      <c r="J77" s="51" t="n">
        <f aca="false">SUMPRODUCT(--ISNUMBER(SEARCH(", "&amp;$B77&amp;", ",", "&amp;'Hoạt động (Đơn của tôi)'!$B$7:$B$500&amp;", ")),--('Hoạt động (Đơn của tôi)'!$AT$7:$AT$500="N/A"))+SUMPRODUCT(--ISNUMBER(SEARCH(", "&amp;$B77&amp;", ",", "&amp;'Ghép nối'!$B$7:$B$500&amp;", ")),--('Ghép nối'!$AT$7:$AT$500="N/A"))+SUMPRODUCT(--ISNUMBER(SEARCH(", "&amp;$B77&amp;", ",", "&amp;'Huỷ đơn - Huỷ nhận đơn'!$B$7:$B$500&amp;", ")),--('Huỷ đơn - Huỷ nhận đơn'!$AT$7:$AT$500="N/A"))+SUMPRODUCT(--ISNUMBER(SEARCH(", "&amp;$B77&amp;", ",", "&amp;'Giao nhận &amp; Theo dõi đơn'!$B$7:$B$500&amp;", ")),--('Giao nhận &amp; Theo dõi đơn'!$AT$7:$AT$500="N/A"))+SUMPRODUCT(--ISNUMBER(SEARCH(", "&amp;$B77&amp;", ",", "&amp;'Bảng tin &amp; Chi tiết tin'!$B$7:$B$500&amp;", ")),--('Bảng tin &amp; Chi tiết tin'!$AT$7:$AT$500="N/A"))+SUMPRODUCT(--ISNUMBER(SEARCH(", "&amp;$B77&amp;", ",", "&amp;'Quà cảm ơn'!$B$7:$B$500&amp;", ")),--('Quà cảm ơn'!$AT$7:$AT$500="N/A"))+SUMPRODUCT(--ISNUMBER(SEARCH(", "&amp;$B77&amp;", ",", "&amp;'Trang chủ'!$B$7:$B$500&amp;", ")),--('Trang chủ'!$AT$7:$AT$500="N/A"))+SUMPRODUCT(--ISNUMBER(SEARCH(", "&amp;$B77&amp;", ",", "&amp;'Thông báo'!$B$7:$B$500&amp;", ")),--('Thông báo'!$AT$7:$AT$500="N/A"))+SUMPRODUCT(--ISNUMBER(SEARCH(", "&amp;$B77&amp;", ",", "&amp;'Đăng tin &amp; Quản lý tin'!$B$7:$B$500&amp;", ")),--('Đăng tin &amp; Quản lý tin'!$AT$7:$AT$500="N/A"))+SUMPRODUCT(--ISNUMBER(SEARCH(", "&amp;$B77&amp;", ",", "&amp;'Trust &amp; Safety'!$B$7:$B$500&amp;", ")),--('Trust &amp; Safety'!$AT$7:$AT$500="N/A"))+SUMPRODUCT(--ISNUMBER(SEARCH(", "&amp;$B77&amp;", ",", "&amp;'Tài khoản &amp; Hồ sơ'!$B$7:$B$500&amp;", ")),--('Tài khoản &amp; Hồ sơ'!$AT$7:$AT$500="N/A"))</f>
        <v>0</v>
      </c>
      <c r="K77" s="52" t="n">
        <f aca="false">IFERROR(F77/E77,0)</f>
        <v>0</v>
      </c>
      <c r="L77" s="123" t="str">
        <f aca="false">IF(E77=0,"Chưa có TC (gap)",IF(H77&gt;0,"Có lỗi (Fail)",IF(I77&gt;0,"Bị block",IF(F77&lt;E77,"Đang test",IF(G77=0,"Không áp dụng (N/A)","Đã test xong")))))</f>
        <v>Đang test</v>
      </c>
      <c r="AB77" s="1" t="s">
        <v>452</v>
      </c>
    </row>
    <row r="78" customFormat="false" ht="15.75" hidden="false" customHeight="true" outlineLevel="0" collapsed="false">
      <c r="B78" s="125" t="s">
        <v>116</v>
      </c>
      <c r="C78" s="177"/>
      <c r="D78" s="178"/>
      <c r="E78" s="42" t="n">
        <f aca="false">SUM(E6:E77)</f>
        <v>231</v>
      </c>
      <c r="F78" s="42" t="n">
        <f aca="false">SUM(F6:F77)</f>
        <v>0</v>
      </c>
      <c r="G78" s="42" t="n">
        <f aca="false">SUM(G6:G77)</f>
        <v>0</v>
      </c>
      <c r="H78" s="42" t="n">
        <f aca="false">SUM(H6:H77)</f>
        <v>0</v>
      </c>
      <c r="I78" s="42" t="n">
        <f aca="false">SUM(I6:I77)</f>
        <v>0</v>
      </c>
      <c r="J78" s="42" t="n">
        <f aca="false">SUM(J6:J77)</f>
        <v>0</v>
      </c>
      <c r="K78" s="55" t="n">
        <f aca="false">IFERROR(F78/E78,0)</f>
        <v>0</v>
      </c>
      <c r="L78" s="126"/>
    </row>
    <row r="79" customFormat="false" ht="15.75" hidden="false" customHeight="true" outlineLevel="0" collapsed="false">
      <c r="B79" s="179" t="s">
        <v>628</v>
      </c>
      <c r="C79" s="179"/>
      <c r="D79" s="179"/>
      <c r="E79" s="179"/>
      <c r="F79" s="179"/>
      <c r="G79" s="179"/>
      <c r="H79" s="179"/>
      <c r="I79" s="179"/>
      <c r="J79" s="179"/>
      <c r="K79" s="179"/>
      <c r="L79" s="179"/>
    </row>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B3:L3"/>
    <mergeCell ref="B79:L79"/>
  </mergeCells>
  <conditionalFormatting sqref="B6:L77">
    <cfRule type="expression" priority="2" aboveAverage="0" equalAverage="0" bottom="0" percent="0" rank="0" text="" dxfId="4">
      <formula>$E6=0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V1000"/>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1" ySplit="6" topLeftCell="B13" activePane="bottomRight" state="frozen"/>
      <selection pane="topLeft" activeCell="A1" activeCellId="0" sqref="A1"/>
      <selection pane="topRight" activeCell="B1" activeCellId="0" sqref="B1"/>
      <selection pane="bottomLeft" activeCell="A13" activeCellId="0" sqref="A13"/>
      <selection pane="bottomRight" activeCell="L13" activeCellId="0" sqref="L13"/>
    </sheetView>
  </sheetViews>
  <sheetFormatPr defaultColWidth="14.43359375" defaultRowHeight="15" customHeight="true" zeroHeight="false" outlineLevelRow="0" outlineLevelCol="0"/>
  <cols>
    <col collapsed="false" customWidth="true" hidden="false" outlineLevel="0" max="2" min="1" style="1" width="14"/>
    <col collapsed="false" customWidth="true" hidden="false" outlineLevel="0" max="4" min="3" style="1" width="13"/>
    <col collapsed="false" customWidth="true" hidden="false" outlineLevel="0" max="5" min="5" style="1" width="11"/>
    <col collapsed="false" customWidth="true" hidden="false" outlineLevel="0" max="6" min="6" style="1" width="34"/>
    <col collapsed="false" customWidth="true" hidden="false" outlineLevel="0" max="7" min="7" style="1" width="28"/>
    <col collapsed="false" customWidth="true" hidden="false" outlineLevel="0" max="8" min="8" style="1" width="40"/>
    <col collapsed="false" customWidth="true" hidden="false" outlineLevel="0" max="9" min="9" style="1" width="34"/>
    <col collapsed="false" customWidth="true" hidden="false" outlineLevel="0" max="10" min="10" style="1" width="10"/>
    <col collapsed="false" customWidth="true" hidden="false" outlineLevel="0" max="11" min="11" style="1" width="12.43"/>
    <col collapsed="false" customWidth="true" hidden="false" outlineLevel="0" max="12" min="12" style="1" width="14"/>
    <col collapsed="false" customWidth="true" hidden="false" outlineLevel="0" max="13" min="13" style="1" width="26.16"/>
    <col collapsed="false" customWidth="true" hidden="false" outlineLevel="0" max="14" min="14" style="1" width="9"/>
    <col collapsed="false" customWidth="true" hidden="false" outlineLevel="0" max="15" min="15" style="1" width="10"/>
    <col collapsed="false" customWidth="true" hidden="false" outlineLevel="0" max="16" min="16" style="1" width="9"/>
    <col collapsed="false" customWidth="true" hidden="false" outlineLevel="0" max="17" min="17" style="1" width="13"/>
    <col collapsed="false" customWidth="true" hidden="false" outlineLevel="0" max="18" min="18" style="1" width="11"/>
    <col collapsed="false" customWidth="true" hidden="false" outlineLevel="0" max="19" min="19" style="1" width="22"/>
    <col collapsed="false" customWidth="true" hidden="false" outlineLevel="0" max="20" min="20" style="1" width="9"/>
    <col collapsed="false" customWidth="true" hidden="false" outlineLevel="0" max="21" min="21" style="1" width="10"/>
    <col collapsed="false" customWidth="true" hidden="false" outlineLevel="0" max="22" min="22" style="1" width="9"/>
    <col collapsed="false" customWidth="true" hidden="false" outlineLevel="0" max="23" min="23" style="1" width="13"/>
    <col collapsed="false" customWidth="true" hidden="false" outlineLevel="0" max="24" min="24" style="1" width="11"/>
    <col collapsed="false" customWidth="true" hidden="false" outlineLevel="0" max="25" min="25" style="1" width="22"/>
    <col collapsed="false" customWidth="true" hidden="false" outlineLevel="0" max="26" min="26" style="1" width="9"/>
    <col collapsed="false" customWidth="true" hidden="false" outlineLevel="0" max="27" min="27" style="1" width="10"/>
    <col collapsed="false" customWidth="true" hidden="false" outlineLevel="0" max="28" min="28" style="1" width="9"/>
    <col collapsed="false" customWidth="true" hidden="false" outlineLevel="0" max="29" min="29" style="1" width="13"/>
    <col collapsed="false" customWidth="true" hidden="false" outlineLevel="0" max="30" min="30" style="1" width="11"/>
    <col collapsed="false" customWidth="true" hidden="false" outlineLevel="0" max="31" min="31" style="1" width="22"/>
    <col collapsed="false" customWidth="true" hidden="false" outlineLevel="0" max="32" min="32" style="1" width="9"/>
    <col collapsed="false" customWidth="true" hidden="false" outlineLevel="0" max="33" min="33" style="1" width="10"/>
    <col collapsed="false" customWidth="true" hidden="false" outlineLevel="0" max="34" min="34" style="1" width="9"/>
    <col collapsed="false" customWidth="true" hidden="false" outlineLevel="0" max="35" min="35" style="1" width="13"/>
    <col collapsed="false" customWidth="true" hidden="false" outlineLevel="0" max="36" min="36" style="1" width="11"/>
    <col collapsed="false" customWidth="true" hidden="false" outlineLevel="0" max="37" min="37" style="1" width="22"/>
    <col collapsed="false" customWidth="true" hidden="false" outlineLevel="0" max="38" min="38" style="1" width="9"/>
    <col collapsed="false" customWidth="true" hidden="false" outlineLevel="0" max="39" min="39" style="1" width="10"/>
    <col collapsed="false" customWidth="true" hidden="false" outlineLevel="0" max="40" min="40" style="1" width="9"/>
    <col collapsed="false" customWidth="true" hidden="false" outlineLevel="0" max="41" min="41" style="1" width="13"/>
    <col collapsed="false" customWidth="true" hidden="false" outlineLevel="0" max="42" min="42" style="1" width="11"/>
    <col collapsed="false" customWidth="true" hidden="false" outlineLevel="0" max="43" min="43" style="1" width="22"/>
    <col collapsed="false" customWidth="true" hidden="false" outlineLevel="0" max="44" min="44" style="1" width="12"/>
    <col collapsed="false" customWidth="true" hidden="false" outlineLevel="0" max="45" min="45" style="1" width="14"/>
    <col collapsed="false" customWidth="true" hidden="false" outlineLevel="0" max="46" min="46" style="1" width="11"/>
    <col collapsed="false" customWidth="true" hidden="false" outlineLevel="0" max="47" min="47" style="1" width="24"/>
  </cols>
  <sheetData>
    <row r="1" customFormat="false" ht="15" hidden="false" customHeight="true" outlineLevel="0" collapsed="false">
      <c r="A1" s="172"/>
    </row>
    <row r="2" customFormat="false" ht="15" hidden="false" customHeight="true" outlineLevel="0" collapsed="false">
      <c r="A2" s="180" t="s">
        <v>629</v>
      </c>
      <c r="B2" s="180"/>
      <c r="C2" s="181" t="s">
        <v>195</v>
      </c>
      <c r="D2" s="181"/>
      <c r="E2" s="181"/>
    </row>
    <row r="3" customFormat="false" ht="15" hidden="false" customHeight="true" outlineLevel="0" collapsed="false">
      <c r="A3" s="180" t="s">
        <v>630</v>
      </c>
      <c r="B3" s="180"/>
      <c r="C3" s="181" t="s">
        <v>196</v>
      </c>
      <c r="D3" s="181"/>
      <c r="E3" s="181"/>
      <c r="G3" s="180" t="s">
        <v>82</v>
      </c>
      <c r="H3" s="180"/>
      <c r="I3" s="38" t="str">
        <f aca="false">Summary!$C$8</f>
        <v>v1.1</v>
      </c>
      <c r="J3" s="38"/>
    </row>
    <row r="4" customFormat="false" ht="15" hidden="false" customHeight="true" outlineLevel="0" collapsed="false">
      <c r="A4" s="180" t="s">
        <v>145</v>
      </c>
      <c r="B4" s="180"/>
      <c r="C4" s="38" t="str">
        <f aca="false">TEXT(Summary!$C$10,"DD/MM/YYYY")&amp;"  →  "&amp;TEXT(Summary!$C$11,"DD/MM/YYYY")</f>
        <v>18/09/2026  →  25/09/2026</v>
      </c>
      <c r="D4" s="38"/>
      <c r="E4" s="38"/>
      <c r="G4" s="180" t="s">
        <v>103</v>
      </c>
      <c r="H4" s="180"/>
      <c r="I4" s="38" t="str">
        <f aca="false">Summary!$C$13</f>
        <v>GiangDC2</v>
      </c>
      <c r="J4" s="38"/>
    </row>
    <row r="5" customFormat="false" ht="15" hidden="false" customHeight="true" outlineLevel="0" collapsed="false">
      <c r="A5" s="182" t="s">
        <v>631</v>
      </c>
      <c r="B5" s="182"/>
      <c r="C5" s="182"/>
      <c r="D5" s="117" t="s">
        <v>632</v>
      </c>
      <c r="E5" s="117"/>
      <c r="F5" s="117"/>
      <c r="G5" s="117"/>
      <c r="H5" s="117"/>
      <c r="I5" s="117"/>
      <c r="J5" s="136" t="s">
        <v>58</v>
      </c>
      <c r="K5" s="136"/>
      <c r="L5" s="136"/>
      <c r="M5" s="136"/>
      <c r="N5" s="183" t="s">
        <v>633</v>
      </c>
      <c r="O5" s="183"/>
      <c r="P5" s="183"/>
      <c r="Q5" s="183"/>
      <c r="R5" s="183"/>
      <c r="S5" s="183"/>
      <c r="T5" s="184" t="s">
        <v>634</v>
      </c>
      <c r="U5" s="184"/>
      <c r="V5" s="184"/>
      <c r="W5" s="184"/>
      <c r="X5" s="184"/>
      <c r="Y5" s="184"/>
      <c r="Z5" s="183" t="s">
        <v>635</v>
      </c>
      <c r="AA5" s="183"/>
      <c r="AB5" s="183"/>
      <c r="AC5" s="183"/>
      <c r="AD5" s="183"/>
      <c r="AE5" s="183"/>
      <c r="AF5" s="184" t="s">
        <v>636</v>
      </c>
      <c r="AG5" s="184"/>
      <c r="AH5" s="184"/>
      <c r="AI5" s="184"/>
      <c r="AJ5" s="184"/>
      <c r="AK5" s="184"/>
      <c r="AL5" s="183" t="s">
        <v>637</v>
      </c>
      <c r="AM5" s="183"/>
      <c r="AN5" s="183"/>
      <c r="AO5" s="183"/>
      <c r="AP5" s="183"/>
      <c r="AQ5" s="183"/>
      <c r="AR5" s="185" t="s">
        <v>638</v>
      </c>
      <c r="AS5" s="185"/>
      <c r="AT5" s="185"/>
      <c r="AU5" s="185"/>
    </row>
    <row r="6" customFormat="false" ht="30" hidden="false" customHeight="true" outlineLevel="0" collapsed="false">
      <c r="A6" s="186" t="s">
        <v>639</v>
      </c>
      <c r="B6" s="186" t="s">
        <v>405</v>
      </c>
      <c r="C6" s="186" t="s">
        <v>640</v>
      </c>
      <c r="D6" s="125" t="s">
        <v>40</v>
      </c>
      <c r="E6" s="125" t="s">
        <v>32</v>
      </c>
      <c r="F6" s="125" t="s">
        <v>641</v>
      </c>
      <c r="G6" s="125" t="s">
        <v>642</v>
      </c>
      <c r="H6" s="125" t="s">
        <v>643</v>
      </c>
      <c r="I6" s="125" t="s">
        <v>644</v>
      </c>
      <c r="J6" s="175" t="s">
        <v>645</v>
      </c>
      <c r="K6" s="175" t="s">
        <v>62</v>
      </c>
      <c r="L6" s="175" t="s">
        <v>64</v>
      </c>
      <c r="M6" s="175" t="s">
        <v>66</v>
      </c>
      <c r="N6" s="187" t="s">
        <v>68</v>
      </c>
      <c r="O6" s="187" t="s">
        <v>70</v>
      </c>
      <c r="P6" s="187" t="s">
        <v>646</v>
      </c>
      <c r="Q6" s="187" t="s">
        <v>647</v>
      </c>
      <c r="R6" s="187" t="s">
        <v>648</v>
      </c>
      <c r="S6" s="187" t="s">
        <v>265</v>
      </c>
      <c r="T6" s="187" t="s">
        <v>68</v>
      </c>
      <c r="U6" s="187" t="s">
        <v>70</v>
      </c>
      <c r="V6" s="187" t="s">
        <v>646</v>
      </c>
      <c r="W6" s="187" t="s">
        <v>647</v>
      </c>
      <c r="X6" s="187" t="s">
        <v>648</v>
      </c>
      <c r="Y6" s="187" t="s">
        <v>265</v>
      </c>
      <c r="Z6" s="187" t="s">
        <v>68</v>
      </c>
      <c r="AA6" s="187" t="s">
        <v>70</v>
      </c>
      <c r="AB6" s="187" t="s">
        <v>646</v>
      </c>
      <c r="AC6" s="187" t="s">
        <v>647</v>
      </c>
      <c r="AD6" s="187" t="s">
        <v>648</v>
      </c>
      <c r="AE6" s="187" t="s">
        <v>265</v>
      </c>
      <c r="AF6" s="187" t="s">
        <v>68</v>
      </c>
      <c r="AG6" s="187" t="s">
        <v>70</v>
      </c>
      <c r="AH6" s="187" t="s">
        <v>646</v>
      </c>
      <c r="AI6" s="187" t="s">
        <v>647</v>
      </c>
      <c r="AJ6" s="187" t="s">
        <v>648</v>
      </c>
      <c r="AK6" s="187" t="s">
        <v>265</v>
      </c>
      <c r="AL6" s="187" t="s">
        <v>68</v>
      </c>
      <c r="AM6" s="187" t="s">
        <v>70</v>
      </c>
      <c r="AN6" s="187" t="s">
        <v>646</v>
      </c>
      <c r="AO6" s="187" t="s">
        <v>647</v>
      </c>
      <c r="AP6" s="187" t="s">
        <v>648</v>
      </c>
      <c r="AQ6" s="187" t="s">
        <v>265</v>
      </c>
      <c r="AR6" s="188" t="s">
        <v>649</v>
      </c>
      <c r="AS6" s="188" t="s">
        <v>650</v>
      </c>
      <c r="AT6" s="188" t="s">
        <v>50</v>
      </c>
      <c r="AU6" s="188" t="s">
        <v>651</v>
      </c>
    </row>
    <row r="7" customFormat="false" ht="15" hidden="false" customHeight="true" outlineLevel="0" collapsed="false">
      <c r="A7" s="189"/>
      <c r="B7" s="189"/>
      <c r="C7" s="190" t="s">
        <v>652</v>
      </c>
      <c r="D7" s="190"/>
      <c r="E7" s="190"/>
      <c r="F7" s="190"/>
      <c r="G7" s="190"/>
      <c r="H7" s="190"/>
      <c r="I7" s="190"/>
      <c r="J7" s="190"/>
      <c r="K7" s="190"/>
      <c r="L7" s="190"/>
      <c r="M7" s="190"/>
      <c r="N7" s="190"/>
      <c r="O7" s="190"/>
      <c r="P7" s="190"/>
      <c r="Q7" s="190"/>
      <c r="R7" s="190"/>
      <c r="S7" s="190"/>
      <c r="T7" s="190"/>
      <c r="U7" s="190"/>
      <c r="V7" s="190"/>
      <c r="W7" s="190"/>
      <c r="X7" s="190"/>
      <c r="Y7" s="190"/>
      <c r="Z7" s="190"/>
      <c r="AA7" s="190"/>
      <c r="AB7" s="190"/>
      <c r="AC7" s="190"/>
      <c r="AD7" s="190"/>
      <c r="AE7" s="190"/>
      <c r="AF7" s="190"/>
      <c r="AG7" s="190"/>
      <c r="AH7" s="190"/>
      <c r="AI7" s="190"/>
      <c r="AJ7" s="190"/>
      <c r="AK7" s="190"/>
      <c r="AL7" s="190"/>
      <c r="AM7" s="190"/>
      <c r="AN7" s="190"/>
      <c r="AO7" s="190"/>
      <c r="AP7" s="190"/>
      <c r="AQ7" s="190"/>
      <c r="AR7" s="190"/>
      <c r="AS7" s="190"/>
      <c r="AT7" s="190"/>
      <c r="AU7" s="190"/>
    </row>
    <row r="8" customFormat="false" ht="57.45" hidden="false" customHeight="false" outlineLevel="0" collapsed="false">
      <c r="A8" s="191" t="str">
        <f aca="false">IF($F8="","",$C$2&amp;"."&amp;COUNTA($F$7:$F8)&amp;"")</f>
        <v>TC_01.1</v>
      </c>
      <c r="B8" s="191" t="s">
        <v>409</v>
      </c>
      <c r="C8" s="191" t="s">
        <v>653</v>
      </c>
      <c r="D8" s="191" t="s">
        <v>43</v>
      </c>
      <c r="E8" s="191" t="s">
        <v>159</v>
      </c>
      <c r="F8" s="13" t="s">
        <v>654</v>
      </c>
      <c r="G8" s="13" t="s">
        <v>655</v>
      </c>
      <c r="H8" s="13" t="s">
        <v>656</v>
      </c>
      <c r="I8" s="13" t="s">
        <v>657</v>
      </c>
      <c r="J8" s="191" t="s">
        <v>658</v>
      </c>
      <c r="K8" s="191" t="s">
        <v>245</v>
      </c>
      <c r="L8" s="191"/>
      <c r="M8" s="191"/>
      <c r="N8" s="192"/>
      <c r="O8" s="192"/>
      <c r="P8" s="192"/>
      <c r="Q8" s="192"/>
      <c r="R8" s="192"/>
      <c r="S8" s="192"/>
      <c r="T8" s="192"/>
      <c r="U8" s="192"/>
      <c r="V8" s="192"/>
      <c r="W8" s="192"/>
      <c r="X8" s="192"/>
      <c r="Y8" s="192"/>
      <c r="Z8" s="192"/>
      <c r="AA8" s="192"/>
      <c r="AB8" s="192"/>
      <c r="AC8" s="192"/>
      <c r="AD8" s="192"/>
      <c r="AE8" s="192"/>
      <c r="AF8" s="192"/>
      <c r="AG8" s="192"/>
      <c r="AH8" s="192"/>
      <c r="AI8" s="192"/>
      <c r="AJ8" s="192"/>
      <c r="AK8" s="192"/>
      <c r="AL8" s="192"/>
      <c r="AM8" s="192"/>
      <c r="AN8" s="192"/>
      <c r="AO8" s="192"/>
      <c r="AP8" s="192"/>
      <c r="AQ8" s="192"/>
      <c r="AR8" s="193" t="str">
        <f aca="false">IF($A8="","",IF(OR($N8="Yes",$T8="Yes",$Z8="Yes",$AF8="Yes",$AL8="Yes"),"Yes","No"))</f>
        <v>No</v>
      </c>
      <c r="AS8" s="193" t="str">
        <f aca="false">IF($A8="","",IFERROR(IF($AM8&lt;&gt;"",$AM8,IF($AG8&lt;&gt;"",$AG8,IF($AA8&lt;&gt;"",$AA8,IF($U8&lt;&gt;"",$U8,IF($O8&lt;&gt;"",$O8,""))))),""))</f>
        <v/>
      </c>
      <c r="AT8" s="193" t="str">
        <f aca="false">IFERROR(IF($AN8&lt;&gt;"",$AN8,IF($AH8&lt;&gt;"",$AH8,IF($AB8&lt;&gt;"",$AB8,IF($V8&lt;&gt;"",$V8,IF($P8&lt;&gt;"",$P8,""))))),"")</f>
        <v/>
      </c>
      <c r="AU8" s="194"/>
    </row>
    <row r="9" customFormat="false" ht="15" hidden="false" customHeight="false" outlineLevel="0" collapsed="false">
      <c r="A9" s="189"/>
      <c r="B9" s="189"/>
      <c r="C9" s="190" t="s">
        <v>659</v>
      </c>
      <c r="D9" s="190"/>
      <c r="E9" s="190"/>
      <c r="F9" s="190"/>
      <c r="G9" s="190"/>
      <c r="H9" s="190"/>
      <c r="I9" s="190"/>
      <c r="J9" s="190"/>
      <c r="K9" s="190"/>
      <c r="L9" s="190"/>
      <c r="M9" s="190"/>
      <c r="N9" s="190"/>
      <c r="O9" s="190"/>
      <c r="P9" s="190"/>
      <c r="Q9" s="190"/>
      <c r="R9" s="190"/>
      <c r="S9" s="190"/>
      <c r="T9" s="190"/>
      <c r="U9" s="190"/>
      <c r="V9" s="190"/>
      <c r="W9" s="190"/>
      <c r="X9" s="190"/>
      <c r="Y9" s="190"/>
      <c r="Z9" s="190"/>
      <c r="AA9" s="190"/>
      <c r="AB9" s="190"/>
      <c r="AC9" s="190"/>
      <c r="AD9" s="190"/>
      <c r="AE9" s="190"/>
      <c r="AF9" s="190"/>
      <c r="AG9" s="190"/>
      <c r="AH9" s="190"/>
      <c r="AI9" s="190"/>
      <c r="AJ9" s="190"/>
      <c r="AK9" s="190"/>
      <c r="AL9" s="190"/>
      <c r="AM9" s="190"/>
      <c r="AN9" s="190"/>
      <c r="AO9" s="190"/>
      <c r="AP9" s="190"/>
      <c r="AQ9" s="190"/>
      <c r="AR9" s="190"/>
      <c r="AS9" s="190"/>
      <c r="AT9" s="190"/>
      <c r="AU9" s="190"/>
    </row>
    <row r="10" customFormat="false" ht="57.45" hidden="false" customHeight="false" outlineLevel="0" collapsed="false">
      <c r="A10" s="191" t="str">
        <f aca="false">IF($F10="","",$C$2&amp;"."&amp;COUNTA($F$7:$F10)&amp;"")</f>
        <v>TC_01.2</v>
      </c>
      <c r="B10" s="191" t="s">
        <v>413</v>
      </c>
      <c r="C10" s="191" t="s">
        <v>530</v>
      </c>
      <c r="D10" s="191" t="s">
        <v>41</v>
      </c>
      <c r="E10" s="191" t="s">
        <v>159</v>
      </c>
      <c r="F10" s="13" t="s">
        <v>660</v>
      </c>
      <c r="G10" s="13" t="s">
        <v>661</v>
      </c>
      <c r="H10" s="13" t="s">
        <v>662</v>
      </c>
      <c r="I10" s="13" t="s">
        <v>663</v>
      </c>
      <c r="J10" s="191" t="s">
        <v>658</v>
      </c>
      <c r="K10" s="191" t="s">
        <v>245</v>
      </c>
      <c r="L10" s="191"/>
      <c r="M10" s="191"/>
      <c r="N10" s="192"/>
      <c r="O10" s="192"/>
      <c r="P10" s="192"/>
      <c r="Q10" s="192"/>
      <c r="R10" s="192"/>
      <c r="S10" s="192"/>
      <c r="T10" s="192"/>
      <c r="U10" s="192"/>
      <c r="V10" s="192"/>
      <c r="W10" s="192"/>
      <c r="X10" s="192"/>
      <c r="Y10" s="192"/>
      <c r="Z10" s="192"/>
      <c r="AA10" s="192"/>
      <c r="AB10" s="192"/>
      <c r="AC10" s="192"/>
      <c r="AD10" s="192"/>
      <c r="AE10" s="192"/>
      <c r="AF10" s="192"/>
      <c r="AG10" s="192"/>
      <c r="AH10" s="192"/>
      <c r="AI10" s="192"/>
      <c r="AJ10" s="192"/>
      <c r="AK10" s="192"/>
      <c r="AL10" s="192"/>
      <c r="AM10" s="192"/>
      <c r="AN10" s="192"/>
      <c r="AO10" s="192"/>
      <c r="AP10" s="192"/>
      <c r="AQ10" s="192"/>
      <c r="AR10" s="193" t="str">
        <f aca="false">IF($A10="","",IF(OR($N10="Yes",$T10="Yes",$Z10="Yes",$AF10="Yes",$AL10="Yes"),"Yes","No"))</f>
        <v>No</v>
      </c>
      <c r="AS10" s="193" t="str">
        <f aca="false">IF($A10="","",IFERROR(IF($AM10&lt;&gt;"",$AM10,IF($AG10&lt;&gt;"",$AG10,IF($AA10&lt;&gt;"",$AA10,IF($U10&lt;&gt;"",$U10,IF($O10&lt;&gt;"",$O10,""))))),""))</f>
        <v/>
      </c>
      <c r="AT10" s="193" t="str">
        <f aca="false">IFERROR(IF($AN10&lt;&gt;"",$AN10,IF($AH10&lt;&gt;"",$AH10,IF($AB10&lt;&gt;"",$AB10,IF($V10&lt;&gt;"",$V10,IF($P10&lt;&gt;"",$P10,""))))),"")</f>
        <v/>
      </c>
      <c r="AU10" s="194"/>
    </row>
    <row r="11" customFormat="false" ht="91" hidden="false" customHeight="false" outlineLevel="0" collapsed="false">
      <c r="A11" s="191" t="str">
        <f aca="false">IF($F11="","",$C$2&amp;"."&amp;COUNTA($F$7:$F11)&amp;"")</f>
        <v>TC_01.3</v>
      </c>
      <c r="B11" s="191" t="s">
        <v>413</v>
      </c>
      <c r="C11" s="191" t="s">
        <v>530</v>
      </c>
      <c r="D11" s="191" t="s">
        <v>41</v>
      </c>
      <c r="E11" s="191" t="s">
        <v>159</v>
      </c>
      <c r="F11" s="13" t="s">
        <v>664</v>
      </c>
      <c r="G11" s="13" t="s">
        <v>665</v>
      </c>
      <c r="H11" s="13" t="s">
        <v>666</v>
      </c>
      <c r="I11" s="13" t="s">
        <v>667</v>
      </c>
      <c r="J11" s="191" t="s">
        <v>658</v>
      </c>
      <c r="K11" s="191" t="s">
        <v>245</v>
      </c>
      <c r="L11" s="191"/>
      <c r="M11" s="191"/>
      <c r="N11" s="192"/>
      <c r="O11" s="192"/>
      <c r="P11" s="192"/>
      <c r="Q11" s="192"/>
      <c r="R11" s="192"/>
      <c r="S11" s="192"/>
      <c r="T11" s="192"/>
      <c r="U11" s="192"/>
      <c r="V11" s="192"/>
      <c r="W11" s="192"/>
      <c r="X11" s="192"/>
      <c r="Y11" s="192"/>
      <c r="Z11" s="192"/>
      <c r="AA11" s="192"/>
      <c r="AB11" s="192"/>
      <c r="AC11" s="192"/>
      <c r="AD11" s="192"/>
      <c r="AE11" s="192"/>
      <c r="AF11" s="192"/>
      <c r="AG11" s="192"/>
      <c r="AH11" s="192"/>
      <c r="AI11" s="192"/>
      <c r="AJ11" s="192"/>
      <c r="AK11" s="192"/>
      <c r="AL11" s="192"/>
      <c r="AM11" s="192"/>
      <c r="AN11" s="192"/>
      <c r="AO11" s="192"/>
      <c r="AP11" s="192"/>
      <c r="AQ11" s="192"/>
      <c r="AR11" s="193" t="str">
        <f aca="false">IF($A11="","",IF(OR($N11="Yes",$T11="Yes",$Z11="Yes",$AF11="Yes",$AL11="Yes"),"Yes","No"))</f>
        <v>No</v>
      </c>
      <c r="AS11" s="193" t="str">
        <f aca="false">IF($A11="","",IFERROR(IF($AM11&lt;&gt;"",$AM11,IF($AG11&lt;&gt;"",$AG11,IF($AA11&lt;&gt;"",$AA11,IF($U11&lt;&gt;"",$U11,IF($O11&lt;&gt;"",$O11,""))))),""))</f>
        <v/>
      </c>
      <c r="AT11" s="193" t="str">
        <f aca="false">IFERROR(IF($AN11&lt;&gt;"",$AN11,IF($AH11&lt;&gt;"",$AH11,IF($AB11&lt;&gt;"",$AB11,IF($V11&lt;&gt;"",$V11,IF($P11&lt;&gt;"",$P11,""))))),"")</f>
        <v/>
      </c>
      <c r="AU11" s="194"/>
    </row>
    <row r="12" customFormat="false" ht="15" hidden="false" customHeight="false" outlineLevel="0" collapsed="false">
      <c r="A12" s="189"/>
      <c r="B12" s="189"/>
      <c r="C12" s="190" t="s">
        <v>668</v>
      </c>
      <c r="D12" s="190"/>
      <c r="E12" s="190"/>
      <c r="F12" s="190"/>
      <c r="G12" s="190"/>
      <c r="H12" s="190"/>
      <c r="I12" s="190"/>
      <c r="J12" s="190"/>
      <c r="K12" s="190"/>
      <c r="L12" s="190"/>
      <c r="M12" s="190"/>
      <c r="N12" s="190"/>
      <c r="O12" s="190"/>
      <c r="P12" s="190"/>
      <c r="Q12" s="190"/>
      <c r="R12" s="190"/>
      <c r="S12" s="190"/>
      <c r="T12" s="190"/>
      <c r="U12" s="190"/>
      <c r="V12" s="190"/>
      <c r="W12" s="190"/>
      <c r="X12" s="190"/>
      <c r="Y12" s="190"/>
      <c r="Z12" s="190"/>
      <c r="AA12" s="190"/>
      <c r="AB12" s="190"/>
      <c r="AC12" s="190"/>
      <c r="AD12" s="190"/>
      <c r="AE12" s="190"/>
      <c r="AF12" s="190"/>
      <c r="AG12" s="190"/>
      <c r="AH12" s="190"/>
      <c r="AI12" s="190"/>
      <c r="AJ12" s="190"/>
      <c r="AK12" s="190"/>
      <c r="AL12" s="190"/>
      <c r="AM12" s="190"/>
      <c r="AN12" s="190"/>
      <c r="AO12" s="190"/>
      <c r="AP12" s="190"/>
      <c r="AQ12" s="190"/>
      <c r="AR12" s="190"/>
      <c r="AS12" s="190"/>
      <c r="AT12" s="190"/>
      <c r="AU12" s="190"/>
    </row>
    <row r="13" customFormat="false" ht="91" hidden="false" customHeight="false" outlineLevel="0" collapsed="false">
      <c r="A13" s="191" t="str">
        <f aca="false">IF($F13="","",$C$2&amp;"."&amp;COUNTA($F$7:$F13)&amp;"")</f>
        <v>TC_01.4</v>
      </c>
      <c r="B13" s="191" t="s">
        <v>417</v>
      </c>
      <c r="C13" s="191" t="s">
        <v>530</v>
      </c>
      <c r="D13" s="191" t="s">
        <v>43</v>
      </c>
      <c r="E13" s="191" t="s">
        <v>160</v>
      </c>
      <c r="F13" s="13" t="s">
        <v>669</v>
      </c>
      <c r="G13" s="13" t="s">
        <v>670</v>
      </c>
      <c r="H13" s="13" t="s">
        <v>671</v>
      </c>
      <c r="I13" s="13" t="s">
        <v>672</v>
      </c>
      <c r="J13" s="191" t="s">
        <v>658</v>
      </c>
      <c r="K13" s="191" t="s">
        <v>245</v>
      </c>
      <c r="L13" s="191"/>
      <c r="M13" s="191"/>
      <c r="N13" s="192"/>
      <c r="O13" s="192"/>
      <c r="P13" s="192"/>
      <c r="Q13" s="192"/>
      <c r="R13" s="192"/>
      <c r="S13" s="192"/>
      <c r="T13" s="192"/>
      <c r="U13" s="192"/>
      <c r="V13" s="192"/>
      <c r="W13" s="192"/>
      <c r="X13" s="192"/>
      <c r="Y13" s="192"/>
      <c r="Z13" s="192"/>
      <c r="AA13" s="192"/>
      <c r="AB13" s="192"/>
      <c r="AC13" s="192"/>
      <c r="AD13" s="192"/>
      <c r="AE13" s="192"/>
      <c r="AF13" s="192"/>
      <c r="AG13" s="192"/>
      <c r="AH13" s="192"/>
      <c r="AI13" s="192"/>
      <c r="AJ13" s="192"/>
      <c r="AK13" s="192"/>
      <c r="AL13" s="192"/>
      <c r="AM13" s="192"/>
      <c r="AN13" s="192"/>
      <c r="AO13" s="192"/>
      <c r="AP13" s="192"/>
      <c r="AQ13" s="192"/>
      <c r="AR13" s="193" t="str">
        <f aca="false">IF($A13="","",IF(OR($N13="Yes",$T13="Yes",$Z13="Yes",$AF13="Yes",$AL13="Yes"),"Yes","No"))</f>
        <v>No</v>
      </c>
      <c r="AS13" s="193" t="str">
        <f aca="false">IF($A13="","",IFERROR(IF($AM13&lt;&gt;"",$AM13,IF($AG13&lt;&gt;"",$AG13,IF($AA13&lt;&gt;"",$AA13,IF($U13&lt;&gt;"",$U13,IF($O13&lt;&gt;"",$O13,""))))),""))</f>
        <v/>
      </c>
      <c r="AT13" s="193" t="str">
        <f aca="false">IFERROR(IF($AN13&lt;&gt;"",$AN13,IF($AH13&lt;&gt;"",$AH13,IF($AB13&lt;&gt;"",$AB13,IF($V13&lt;&gt;"",$V13,IF($P13&lt;&gt;"",$P13,""))))),"")</f>
        <v/>
      </c>
      <c r="AU13" s="194"/>
    </row>
    <row r="14" customFormat="false" ht="15" hidden="false" customHeight="false" outlineLevel="0" collapsed="false">
      <c r="A14" s="189"/>
      <c r="B14" s="189"/>
      <c r="C14" s="190" t="s">
        <v>673</v>
      </c>
      <c r="D14" s="190"/>
      <c r="E14" s="190"/>
      <c r="F14" s="190"/>
      <c r="G14" s="190"/>
      <c r="H14" s="190"/>
      <c r="I14" s="190"/>
      <c r="J14" s="190"/>
      <c r="K14" s="190"/>
      <c r="L14" s="190"/>
      <c r="M14" s="190"/>
      <c r="N14" s="190"/>
      <c r="O14" s="190"/>
      <c r="P14" s="190"/>
      <c r="Q14" s="190"/>
      <c r="R14" s="190"/>
      <c r="S14" s="190"/>
      <c r="T14" s="190"/>
      <c r="U14" s="190"/>
      <c r="V14" s="190"/>
      <c r="W14" s="190"/>
      <c r="X14" s="190"/>
      <c r="Y14" s="190"/>
      <c r="Z14" s="190"/>
      <c r="AA14" s="190"/>
      <c r="AB14" s="190"/>
      <c r="AC14" s="190"/>
      <c r="AD14" s="190"/>
      <c r="AE14" s="190"/>
      <c r="AF14" s="190"/>
      <c r="AG14" s="190"/>
      <c r="AH14" s="190"/>
      <c r="AI14" s="190"/>
      <c r="AJ14" s="190"/>
      <c r="AK14" s="190"/>
      <c r="AL14" s="190"/>
      <c r="AM14" s="190"/>
      <c r="AN14" s="190"/>
      <c r="AO14" s="190"/>
      <c r="AP14" s="190"/>
      <c r="AQ14" s="190"/>
      <c r="AR14" s="190"/>
      <c r="AS14" s="190"/>
      <c r="AT14" s="190"/>
      <c r="AU14" s="190"/>
    </row>
    <row r="15" customFormat="false" ht="102.2" hidden="false" customHeight="false" outlineLevel="0" collapsed="false">
      <c r="A15" s="191" t="str">
        <f aca="false">IF($F15="","",$C$2&amp;"."&amp;COUNTA($F$7:$F15)&amp;"")</f>
        <v>TC_01.5</v>
      </c>
      <c r="B15" s="191" t="s">
        <v>421</v>
      </c>
      <c r="C15" s="191" t="s">
        <v>530</v>
      </c>
      <c r="D15" s="191" t="s">
        <v>43</v>
      </c>
      <c r="E15" s="191" t="s">
        <v>159</v>
      </c>
      <c r="F15" s="13" t="s">
        <v>674</v>
      </c>
      <c r="G15" s="13" t="s">
        <v>675</v>
      </c>
      <c r="H15" s="13" t="s">
        <v>676</v>
      </c>
      <c r="I15" s="13" t="s">
        <v>677</v>
      </c>
      <c r="J15" s="191" t="s">
        <v>658</v>
      </c>
      <c r="K15" s="191" t="s">
        <v>245</v>
      </c>
      <c r="L15" s="191"/>
      <c r="M15" s="191"/>
      <c r="N15" s="192"/>
      <c r="O15" s="192"/>
      <c r="P15" s="192"/>
      <c r="Q15" s="192"/>
      <c r="R15" s="192"/>
      <c r="S15" s="192"/>
      <c r="T15" s="192"/>
      <c r="U15" s="192"/>
      <c r="V15" s="192"/>
      <c r="W15" s="192"/>
      <c r="X15" s="192"/>
      <c r="Y15" s="192"/>
      <c r="Z15" s="192"/>
      <c r="AA15" s="192"/>
      <c r="AB15" s="192"/>
      <c r="AC15" s="192"/>
      <c r="AD15" s="192"/>
      <c r="AE15" s="192"/>
      <c r="AF15" s="192"/>
      <c r="AG15" s="192"/>
      <c r="AH15" s="192"/>
      <c r="AI15" s="192"/>
      <c r="AJ15" s="192"/>
      <c r="AK15" s="192"/>
      <c r="AL15" s="192"/>
      <c r="AM15" s="192"/>
      <c r="AN15" s="192"/>
      <c r="AO15" s="192"/>
      <c r="AP15" s="192"/>
      <c r="AQ15" s="192"/>
      <c r="AR15" s="193" t="str">
        <f aca="false">IF($A15="","",IF(OR($N15="Yes",$T15="Yes",$Z15="Yes",$AF15="Yes",$AL15="Yes"),"Yes","No"))</f>
        <v>No</v>
      </c>
      <c r="AS15" s="193" t="str">
        <f aca="false">IF($A15="","",IFERROR(IF($AM15&lt;&gt;"",$AM15,IF($AG15&lt;&gt;"",$AG15,IF($AA15&lt;&gt;"",$AA15,IF($U15&lt;&gt;"",$U15,IF($O15&lt;&gt;"",$O15,""))))),""))</f>
        <v/>
      </c>
      <c r="AT15" s="193" t="str">
        <f aca="false">IFERROR(IF($AN15&lt;&gt;"",$AN15,IF($AH15&lt;&gt;"",$AH15,IF($AB15&lt;&gt;"",$AB15,IF($V15&lt;&gt;"",$V15,IF($P15&lt;&gt;"",$P15,""))))),"")</f>
        <v/>
      </c>
      <c r="AU15" s="194"/>
    </row>
    <row r="16" customFormat="false" ht="102.2" hidden="false" customHeight="false" outlineLevel="0" collapsed="false">
      <c r="A16" s="191" t="str">
        <f aca="false">IF($F16="","",$C$2&amp;"."&amp;COUNTA($F$7:$F16)&amp;"")</f>
        <v>TC_01.6</v>
      </c>
      <c r="B16" s="191" t="s">
        <v>421</v>
      </c>
      <c r="C16" s="191" t="s">
        <v>530</v>
      </c>
      <c r="D16" s="191" t="s">
        <v>43</v>
      </c>
      <c r="E16" s="191" t="s">
        <v>159</v>
      </c>
      <c r="F16" s="13" t="s">
        <v>678</v>
      </c>
      <c r="G16" s="13" t="s">
        <v>679</v>
      </c>
      <c r="H16" s="13" t="s">
        <v>680</v>
      </c>
      <c r="I16" s="13" t="s">
        <v>681</v>
      </c>
      <c r="J16" s="191" t="s">
        <v>658</v>
      </c>
      <c r="K16" s="191" t="s">
        <v>245</v>
      </c>
      <c r="L16" s="191"/>
      <c r="M16" s="191"/>
      <c r="N16" s="192"/>
      <c r="O16" s="192"/>
      <c r="P16" s="192"/>
      <c r="Q16" s="192"/>
      <c r="R16" s="192"/>
      <c r="S16" s="192"/>
      <c r="T16" s="192"/>
      <c r="U16" s="192"/>
      <c r="V16" s="192"/>
      <c r="W16" s="192"/>
      <c r="X16" s="192"/>
      <c r="Y16" s="192"/>
      <c r="Z16" s="192"/>
      <c r="AA16" s="192"/>
      <c r="AB16" s="192"/>
      <c r="AC16" s="192"/>
      <c r="AD16" s="192"/>
      <c r="AE16" s="192"/>
      <c r="AF16" s="192"/>
      <c r="AG16" s="192"/>
      <c r="AH16" s="192"/>
      <c r="AI16" s="192"/>
      <c r="AJ16" s="192"/>
      <c r="AK16" s="192"/>
      <c r="AL16" s="192"/>
      <c r="AM16" s="192"/>
      <c r="AN16" s="192"/>
      <c r="AO16" s="192"/>
      <c r="AP16" s="192"/>
      <c r="AQ16" s="192"/>
      <c r="AR16" s="193" t="str">
        <f aca="false">IF($A16="","",IF(OR($N16="Yes",$T16="Yes",$Z16="Yes",$AF16="Yes",$AL16="Yes"),"Yes","No"))</f>
        <v>No</v>
      </c>
      <c r="AS16" s="193" t="str">
        <f aca="false">IF($A16="","",IFERROR(IF($AM16&lt;&gt;"",$AM16,IF($AG16&lt;&gt;"",$AG16,IF($AA16&lt;&gt;"",$AA16,IF($U16&lt;&gt;"",$U16,IF($O16&lt;&gt;"",$O16,""))))),""))</f>
        <v/>
      </c>
      <c r="AT16" s="193" t="str">
        <f aca="false">IFERROR(IF($AN16&lt;&gt;"",$AN16,IF($AH16&lt;&gt;"",$AH16,IF($AB16&lt;&gt;"",$AB16,IF($V16&lt;&gt;"",$V16,IF($P16&lt;&gt;"",$P16,""))))),"")</f>
        <v/>
      </c>
      <c r="AU16" s="194"/>
    </row>
    <row r="17" customFormat="false" ht="15" hidden="false" customHeight="false" outlineLevel="0" collapsed="false">
      <c r="A17" s="189"/>
      <c r="B17" s="189"/>
      <c r="C17" s="190" t="s">
        <v>682</v>
      </c>
      <c r="D17" s="190"/>
      <c r="E17" s="190"/>
      <c r="F17" s="190"/>
      <c r="G17" s="190"/>
      <c r="H17" s="190"/>
      <c r="I17" s="190"/>
      <c r="J17" s="190"/>
      <c r="K17" s="190"/>
      <c r="L17" s="190"/>
      <c r="M17" s="190"/>
      <c r="N17" s="190"/>
      <c r="O17" s="190"/>
      <c r="P17" s="190"/>
      <c r="Q17" s="190"/>
      <c r="R17" s="190"/>
      <c r="S17" s="190"/>
      <c r="T17" s="190"/>
      <c r="U17" s="190"/>
      <c r="V17" s="190"/>
      <c r="W17" s="190"/>
      <c r="X17" s="190"/>
      <c r="Y17" s="190"/>
      <c r="Z17" s="190"/>
      <c r="AA17" s="190"/>
      <c r="AB17" s="190"/>
      <c r="AC17" s="190"/>
      <c r="AD17" s="190"/>
      <c r="AE17" s="190"/>
      <c r="AF17" s="190"/>
      <c r="AG17" s="190"/>
      <c r="AH17" s="190"/>
      <c r="AI17" s="190"/>
      <c r="AJ17" s="190"/>
      <c r="AK17" s="190"/>
      <c r="AL17" s="190"/>
      <c r="AM17" s="190"/>
      <c r="AN17" s="190"/>
      <c r="AO17" s="190"/>
      <c r="AP17" s="190"/>
      <c r="AQ17" s="190"/>
      <c r="AR17" s="190"/>
      <c r="AS17" s="190"/>
      <c r="AT17" s="190"/>
      <c r="AU17" s="190"/>
    </row>
    <row r="18" customFormat="false" ht="57.45" hidden="false" customHeight="false" outlineLevel="0" collapsed="false">
      <c r="A18" s="191" t="str">
        <f aca="false">IF($F18="","",$C$2&amp;"."&amp;COUNTA($F$7:$F18)&amp;"")</f>
        <v>TC_01.7</v>
      </c>
      <c r="B18" s="191" t="s">
        <v>425</v>
      </c>
      <c r="C18" s="191" t="s">
        <v>530</v>
      </c>
      <c r="D18" s="191" t="s">
        <v>41</v>
      </c>
      <c r="E18" s="191" t="s">
        <v>159</v>
      </c>
      <c r="F18" s="13" t="s">
        <v>683</v>
      </c>
      <c r="G18" s="13" t="s">
        <v>661</v>
      </c>
      <c r="H18" s="13" t="s">
        <v>684</v>
      </c>
      <c r="I18" s="13" t="s">
        <v>685</v>
      </c>
      <c r="J18" s="191" t="s">
        <v>658</v>
      </c>
      <c r="K18" s="191" t="s">
        <v>245</v>
      </c>
      <c r="L18" s="191"/>
      <c r="M18" s="191"/>
      <c r="N18" s="192"/>
      <c r="O18" s="192"/>
      <c r="P18" s="192"/>
      <c r="Q18" s="192"/>
      <c r="R18" s="192"/>
      <c r="S18" s="192"/>
      <c r="T18" s="192"/>
      <c r="U18" s="192"/>
      <c r="V18" s="192"/>
      <c r="W18" s="192"/>
      <c r="X18" s="192"/>
      <c r="Y18" s="192"/>
      <c r="Z18" s="192"/>
      <c r="AA18" s="192"/>
      <c r="AB18" s="192"/>
      <c r="AC18" s="192"/>
      <c r="AD18" s="192"/>
      <c r="AE18" s="192"/>
      <c r="AF18" s="192"/>
      <c r="AG18" s="192"/>
      <c r="AH18" s="192"/>
      <c r="AI18" s="192"/>
      <c r="AJ18" s="192"/>
      <c r="AK18" s="192"/>
      <c r="AL18" s="192"/>
      <c r="AM18" s="192"/>
      <c r="AN18" s="192"/>
      <c r="AO18" s="192"/>
      <c r="AP18" s="192"/>
      <c r="AQ18" s="192"/>
      <c r="AR18" s="193" t="str">
        <f aca="false">IF($A18="","",IF(OR($N18="Yes",$T18="Yes",$Z18="Yes",$AF18="Yes",$AL18="Yes"),"Yes","No"))</f>
        <v>No</v>
      </c>
      <c r="AS18" s="193" t="str">
        <f aca="false">IF($A18="","",IFERROR(IF($AM18&lt;&gt;"",$AM18,IF($AG18&lt;&gt;"",$AG18,IF($AA18&lt;&gt;"",$AA18,IF($U18&lt;&gt;"",$U18,IF($O18&lt;&gt;"",$O18,""))))),""))</f>
        <v/>
      </c>
      <c r="AT18" s="193" t="str">
        <f aca="false">IFERROR(IF($AN18&lt;&gt;"",$AN18,IF($AH18&lt;&gt;"",$AH18,IF($AB18&lt;&gt;"",$AB18,IF($V18&lt;&gt;"",$V18,IF($P18&lt;&gt;"",$P18,""))))),"")</f>
        <v/>
      </c>
      <c r="AU18" s="194"/>
    </row>
    <row r="19" customFormat="false" ht="15" hidden="false" customHeight="false" outlineLevel="0" collapsed="false">
      <c r="A19" s="189"/>
      <c r="B19" s="189"/>
      <c r="C19" s="190" t="s">
        <v>686</v>
      </c>
      <c r="D19" s="190"/>
      <c r="E19" s="190"/>
      <c r="F19" s="190"/>
      <c r="G19" s="190"/>
      <c r="H19" s="190"/>
      <c r="I19" s="190"/>
      <c r="J19" s="190"/>
      <c r="K19" s="190"/>
      <c r="L19" s="190"/>
      <c r="M19" s="190"/>
      <c r="N19" s="190"/>
      <c r="O19" s="190"/>
      <c r="P19" s="190"/>
      <c r="Q19" s="190"/>
      <c r="R19" s="190"/>
      <c r="S19" s="190"/>
      <c r="T19" s="190"/>
      <c r="U19" s="190"/>
      <c r="V19" s="190"/>
      <c r="W19" s="190"/>
      <c r="X19" s="190"/>
      <c r="Y19" s="190"/>
      <c r="Z19" s="190"/>
      <c r="AA19" s="190"/>
      <c r="AB19" s="190"/>
      <c r="AC19" s="190"/>
      <c r="AD19" s="190"/>
      <c r="AE19" s="190"/>
      <c r="AF19" s="190"/>
      <c r="AG19" s="190"/>
      <c r="AH19" s="190"/>
      <c r="AI19" s="190"/>
      <c r="AJ19" s="190"/>
      <c r="AK19" s="190"/>
      <c r="AL19" s="190"/>
      <c r="AM19" s="190"/>
      <c r="AN19" s="190"/>
      <c r="AO19" s="190"/>
      <c r="AP19" s="190"/>
      <c r="AQ19" s="190"/>
      <c r="AR19" s="190"/>
      <c r="AS19" s="190"/>
      <c r="AT19" s="190"/>
      <c r="AU19" s="190"/>
    </row>
    <row r="20" customFormat="false" ht="102.2" hidden="false" customHeight="false" outlineLevel="0" collapsed="false">
      <c r="A20" s="191" t="str">
        <f aca="false">IF($F20="","",$C$2&amp;"."&amp;COUNTA($F$7:$F20)&amp;"")</f>
        <v>TC_01.8</v>
      </c>
      <c r="B20" s="191" t="s">
        <v>429</v>
      </c>
      <c r="C20" s="191" t="s">
        <v>530</v>
      </c>
      <c r="D20" s="191" t="s">
        <v>43</v>
      </c>
      <c r="E20" s="191" t="s">
        <v>160</v>
      </c>
      <c r="F20" s="13" t="s">
        <v>687</v>
      </c>
      <c r="G20" s="13" t="s">
        <v>688</v>
      </c>
      <c r="H20" s="13" t="s">
        <v>689</v>
      </c>
      <c r="I20" s="13" t="s">
        <v>690</v>
      </c>
      <c r="J20" s="191" t="s">
        <v>658</v>
      </c>
      <c r="K20" s="191" t="s">
        <v>245</v>
      </c>
      <c r="L20" s="191"/>
      <c r="M20" s="191"/>
      <c r="N20" s="192"/>
      <c r="O20" s="192"/>
      <c r="P20" s="192"/>
      <c r="Q20" s="192"/>
      <c r="R20" s="192"/>
      <c r="S20" s="192"/>
      <c r="T20" s="192"/>
      <c r="U20" s="192"/>
      <c r="V20" s="192"/>
      <c r="W20" s="192"/>
      <c r="X20" s="192"/>
      <c r="Y20" s="192"/>
      <c r="Z20" s="192"/>
      <c r="AA20" s="192"/>
      <c r="AB20" s="192"/>
      <c r="AC20" s="192"/>
      <c r="AD20" s="192"/>
      <c r="AE20" s="192"/>
      <c r="AF20" s="192"/>
      <c r="AG20" s="192"/>
      <c r="AH20" s="192"/>
      <c r="AI20" s="192"/>
      <c r="AJ20" s="192"/>
      <c r="AK20" s="192"/>
      <c r="AL20" s="192"/>
      <c r="AM20" s="192"/>
      <c r="AN20" s="192"/>
      <c r="AO20" s="192"/>
      <c r="AP20" s="192"/>
      <c r="AQ20" s="192"/>
      <c r="AR20" s="193" t="str">
        <f aca="false">IF($A20="","",IF(OR($N20="Yes",$T20="Yes",$Z20="Yes",$AF20="Yes",$AL20="Yes"),"Yes","No"))</f>
        <v>No</v>
      </c>
      <c r="AS20" s="193" t="str">
        <f aca="false">IF($A20="","",IFERROR(IF($AM20&lt;&gt;"",$AM20,IF($AG20&lt;&gt;"",$AG20,IF($AA20&lt;&gt;"",$AA20,IF($U20&lt;&gt;"",$U20,IF($O20&lt;&gt;"",$O20,""))))),""))</f>
        <v/>
      </c>
      <c r="AT20" s="193" t="str">
        <f aca="false">IFERROR(IF($AN20&lt;&gt;"",$AN20,IF($AH20&lt;&gt;"",$AH20,IF($AB20&lt;&gt;"",$AB20,IF($V20&lt;&gt;"",$V20,IF($P20&lt;&gt;"",$P20,""))))),"")</f>
        <v/>
      </c>
      <c r="AU20" s="194"/>
    </row>
    <row r="21" customFormat="false" ht="102.2" hidden="false" customHeight="false" outlineLevel="0" collapsed="false">
      <c r="A21" s="191" t="str">
        <f aca="false">IF($F21="","",$C$2&amp;"."&amp;COUNTA($F$7:$F21)&amp;"")</f>
        <v>TC_01.9</v>
      </c>
      <c r="B21" s="191" t="s">
        <v>429</v>
      </c>
      <c r="C21" s="191" t="s">
        <v>530</v>
      </c>
      <c r="D21" s="191" t="s">
        <v>43</v>
      </c>
      <c r="E21" s="191" t="s">
        <v>160</v>
      </c>
      <c r="F21" s="13" t="s">
        <v>691</v>
      </c>
      <c r="G21" s="13" t="s">
        <v>692</v>
      </c>
      <c r="H21" s="13" t="s">
        <v>693</v>
      </c>
      <c r="I21" s="13" t="s">
        <v>694</v>
      </c>
      <c r="J21" s="191" t="s">
        <v>658</v>
      </c>
      <c r="K21" s="191" t="s">
        <v>245</v>
      </c>
      <c r="L21" s="191"/>
      <c r="M21" s="191"/>
      <c r="N21" s="192"/>
      <c r="O21" s="192"/>
      <c r="P21" s="192"/>
      <c r="Q21" s="192"/>
      <c r="R21" s="192"/>
      <c r="S21" s="192"/>
      <c r="T21" s="192"/>
      <c r="U21" s="192"/>
      <c r="V21" s="192"/>
      <c r="W21" s="192"/>
      <c r="X21" s="192"/>
      <c r="Y21" s="192"/>
      <c r="Z21" s="192"/>
      <c r="AA21" s="192"/>
      <c r="AB21" s="192"/>
      <c r="AC21" s="192"/>
      <c r="AD21" s="192"/>
      <c r="AE21" s="192"/>
      <c r="AF21" s="192"/>
      <c r="AG21" s="192"/>
      <c r="AH21" s="192"/>
      <c r="AI21" s="192"/>
      <c r="AJ21" s="192"/>
      <c r="AK21" s="192"/>
      <c r="AL21" s="192"/>
      <c r="AM21" s="192"/>
      <c r="AN21" s="192"/>
      <c r="AO21" s="192"/>
      <c r="AP21" s="192"/>
      <c r="AQ21" s="192"/>
      <c r="AR21" s="193" t="str">
        <f aca="false">IF($A21="","",IF(OR($N21="Yes",$T21="Yes",$Z21="Yes",$AF21="Yes",$AL21="Yes"),"Yes","No"))</f>
        <v>No</v>
      </c>
      <c r="AS21" s="193" t="str">
        <f aca="false">IF($A21="","",IFERROR(IF($AM21&lt;&gt;"",$AM21,IF($AG21&lt;&gt;"",$AG21,IF($AA21&lt;&gt;"",$AA21,IF($U21&lt;&gt;"",$U21,IF($O21&lt;&gt;"",$O21,""))))),""))</f>
        <v/>
      </c>
      <c r="AT21" s="193" t="str">
        <f aca="false">IFERROR(IF($AN21&lt;&gt;"",$AN21,IF($AH21&lt;&gt;"",$AH21,IF($AB21&lt;&gt;"",$AB21,IF($V21&lt;&gt;"",$V21,IF($P21&lt;&gt;"",$P21,""))))),"")</f>
        <v/>
      </c>
      <c r="AU21" s="194"/>
    </row>
    <row r="22" customFormat="false" ht="124.6" hidden="false" customHeight="false" outlineLevel="0" collapsed="false">
      <c r="A22" s="191" t="str">
        <f aca="false">IF($F22="","",$C$2&amp;"."&amp;COUNTA($F$7:$F22)&amp;"")</f>
        <v>TC_01.10</v>
      </c>
      <c r="B22" s="191" t="s">
        <v>429</v>
      </c>
      <c r="C22" s="191" t="s">
        <v>530</v>
      </c>
      <c r="D22" s="191" t="s">
        <v>43</v>
      </c>
      <c r="E22" s="191" t="s">
        <v>160</v>
      </c>
      <c r="F22" s="13" t="s">
        <v>695</v>
      </c>
      <c r="G22" s="13" t="s">
        <v>696</v>
      </c>
      <c r="H22" s="13" t="s">
        <v>697</v>
      </c>
      <c r="I22" s="13" t="s">
        <v>698</v>
      </c>
      <c r="J22" s="191" t="s">
        <v>658</v>
      </c>
      <c r="K22" s="191" t="s">
        <v>245</v>
      </c>
      <c r="L22" s="191"/>
      <c r="M22" s="191"/>
      <c r="N22" s="192"/>
      <c r="O22" s="192"/>
      <c r="P22" s="192"/>
      <c r="Q22" s="192"/>
      <c r="R22" s="192"/>
      <c r="S22" s="192"/>
      <c r="T22" s="192"/>
      <c r="U22" s="192"/>
      <c r="V22" s="192"/>
      <c r="W22" s="192"/>
      <c r="X22" s="192"/>
      <c r="Y22" s="192"/>
      <c r="Z22" s="192"/>
      <c r="AA22" s="192"/>
      <c r="AB22" s="192"/>
      <c r="AC22" s="192"/>
      <c r="AD22" s="192"/>
      <c r="AE22" s="192"/>
      <c r="AF22" s="192"/>
      <c r="AG22" s="192"/>
      <c r="AH22" s="192"/>
      <c r="AI22" s="192"/>
      <c r="AJ22" s="192"/>
      <c r="AK22" s="192"/>
      <c r="AL22" s="192"/>
      <c r="AM22" s="192"/>
      <c r="AN22" s="192"/>
      <c r="AO22" s="192"/>
      <c r="AP22" s="192"/>
      <c r="AQ22" s="192"/>
      <c r="AR22" s="193" t="str">
        <f aca="false">IF($A22="","",IF(OR($N22="Yes",$T22="Yes",$Z22="Yes",$AF22="Yes",$AL22="Yes"),"Yes","No"))</f>
        <v>No</v>
      </c>
      <c r="AS22" s="193" t="str">
        <f aca="false">IF($A22="","",IFERROR(IF($AM22&lt;&gt;"",$AM22,IF($AG22&lt;&gt;"",$AG22,IF($AA22&lt;&gt;"",$AA22,IF($U22&lt;&gt;"",$U22,IF($O22&lt;&gt;"",$O22,""))))),""))</f>
        <v/>
      </c>
      <c r="AT22" s="193" t="str">
        <f aca="false">IFERROR(IF($AN22&lt;&gt;"",$AN22,IF($AH22&lt;&gt;"",$AH22,IF($AB22&lt;&gt;"",$AB22,IF($V22&lt;&gt;"",$V22,IF($P22&lt;&gt;"",$P22,""))))),"")</f>
        <v/>
      </c>
      <c r="AU22" s="194"/>
    </row>
    <row r="23" customFormat="false" ht="15" hidden="false" customHeight="false" outlineLevel="0" collapsed="false">
      <c r="A23" s="191"/>
      <c r="B23" s="191"/>
      <c r="C23" s="191"/>
      <c r="D23" s="191"/>
      <c r="E23" s="191"/>
      <c r="F23" s="191"/>
      <c r="G23" s="191"/>
      <c r="H23" s="191"/>
      <c r="I23" s="191"/>
      <c r="J23" s="191"/>
      <c r="K23" s="191"/>
      <c r="L23" s="191"/>
      <c r="M23" s="191"/>
      <c r="N23" s="191"/>
      <c r="O23" s="191"/>
      <c r="P23" s="191"/>
      <c r="Q23" s="191"/>
      <c r="AR23" s="195"/>
      <c r="AS23" s="195"/>
    </row>
    <row r="24" customFormat="false" ht="15" hidden="false" customHeight="false" outlineLevel="0" collapsed="false">
      <c r="A24" s="191"/>
      <c r="B24" s="191"/>
      <c r="C24" s="191"/>
      <c r="D24" s="191"/>
      <c r="E24" s="191"/>
      <c r="F24" s="191"/>
      <c r="G24" s="191"/>
      <c r="H24" s="191"/>
      <c r="I24" s="191"/>
      <c r="J24" s="191"/>
      <c r="K24" s="191"/>
      <c r="L24" s="191"/>
      <c r="M24" s="191"/>
      <c r="N24" s="191"/>
      <c r="O24" s="191"/>
      <c r="P24" s="191"/>
      <c r="Q24" s="191"/>
      <c r="AR24" s="195"/>
      <c r="AS24" s="195"/>
    </row>
    <row r="25" customFormat="false" ht="15" hidden="false" customHeight="false" outlineLevel="0" collapsed="false">
      <c r="A25" s="191"/>
      <c r="B25" s="191"/>
      <c r="C25" s="191"/>
      <c r="D25" s="191"/>
      <c r="E25" s="191"/>
      <c r="F25" s="191"/>
      <c r="G25" s="191"/>
      <c r="H25" s="191"/>
      <c r="I25" s="191"/>
      <c r="J25" s="191"/>
      <c r="K25" s="191"/>
      <c r="L25" s="191"/>
      <c r="M25" s="191"/>
      <c r="N25" s="191"/>
      <c r="O25" s="191"/>
      <c r="P25" s="191"/>
      <c r="Q25" s="191"/>
      <c r="AR25" s="195"/>
      <c r="AS25" s="195"/>
    </row>
    <row r="26" customFormat="false" ht="15" hidden="false" customHeight="false" outlineLevel="0" collapsed="false">
      <c r="A26" s="191"/>
      <c r="B26" s="191"/>
      <c r="C26" s="191"/>
      <c r="D26" s="191"/>
      <c r="E26" s="191"/>
      <c r="F26" s="191"/>
      <c r="G26" s="191"/>
      <c r="H26" s="191"/>
      <c r="I26" s="191"/>
      <c r="J26" s="191"/>
      <c r="K26" s="191"/>
      <c r="L26" s="191"/>
      <c r="M26" s="191"/>
      <c r="N26" s="191"/>
      <c r="O26" s="191"/>
      <c r="P26" s="191"/>
      <c r="Q26" s="191"/>
      <c r="AR26" s="195"/>
      <c r="AS26" s="195"/>
    </row>
    <row r="27" customFormat="false" ht="15" hidden="false" customHeight="false" outlineLevel="0" collapsed="false">
      <c r="A27" s="191"/>
      <c r="B27" s="191"/>
      <c r="C27" s="191"/>
      <c r="D27" s="191"/>
      <c r="E27" s="191"/>
      <c r="F27" s="191"/>
      <c r="G27" s="191"/>
      <c r="H27" s="191"/>
      <c r="I27" s="191"/>
      <c r="J27" s="191"/>
      <c r="K27" s="191"/>
      <c r="L27" s="191"/>
      <c r="M27" s="191"/>
      <c r="N27" s="191"/>
      <c r="O27" s="191"/>
      <c r="P27" s="191"/>
      <c r="Q27" s="191"/>
      <c r="AR27" s="195"/>
      <c r="AS27" s="195"/>
    </row>
    <row r="28" customFormat="false" ht="15" hidden="false" customHeight="false" outlineLevel="0" collapsed="false">
      <c r="A28" s="191"/>
      <c r="B28" s="191"/>
      <c r="C28" s="191"/>
      <c r="D28" s="191"/>
      <c r="E28" s="191"/>
      <c r="F28" s="191"/>
      <c r="G28" s="191"/>
      <c r="H28" s="191"/>
      <c r="I28" s="191"/>
      <c r="J28" s="191"/>
      <c r="K28" s="191"/>
      <c r="L28" s="191"/>
      <c r="M28" s="191"/>
      <c r="N28" s="191"/>
      <c r="O28" s="191"/>
      <c r="P28" s="191"/>
      <c r="Q28" s="191"/>
      <c r="AR28" s="195"/>
      <c r="AS28" s="195"/>
    </row>
    <row r="29" customFormat="false" ht="15" hidden="false" customHeight="false" outlineLevel="0" collapsed="false">
      <c r="A29" s="191"/>
      <c r="B29" s="191"/>
      <c r="C29" s="191"/>
      <c r="D29" s="191"/>
      <c r="E29" s="191"/>
      <c r="F29" s="191"/>
      <c r="G29" s="191"/>
      <c r="H29" s="191"/>
      <c r="I29" s="191"/>
      <c r="J29" s="191"/>
      <c r="K29" s="191"/>
      <c r="L29" s="191"/>
      <c r="M29" s="191"/>
      <c r="N29" s="191"/>
      <c r="O29" s="191"/>
      <c r="P29" s="191"/>
      <c r="Q29" s="191"/>
      <c r="AR29" s="195"/>
      <c r="AS29" s="195"/>
    </row>
    <row r="30" customFormat="false" ht="15" hidden="false" customHeight="false" outlineLevel="0" collapsed="false">
      <c r="A30" s="191"/>
      <c r="B30" s="191"/>
      <c r="C30" s="191"/>
      <c r="D30" s="191"/>
      <c r="E30" s="191"/>
      <c r="F30" s="191"/>
      <c r="G30" s="191"/>
      <c r="H30" s="191"/>
      <c r="I30" s="191"/>
      <c r="J30" s="191"/>
      <c r="K30" s="191"/>
      <c r="L30" s="191"/>
      <c r="M30" s="191"/>
      <c r="N30" s="191"/>
      <c r="O30" s="191"/>
      <c r="P30" s="191"/>
      <c r="Q30" s="191"/>
      <c r="AR30" s="195"/>
      <c r="AS30" s="195"/>
    </row>
    <row r="31" customFormat="false" ht="15" hidden="false" customHeight="false" outlineLevel="0" collapsed="false">
      <c r="A31" s="191"/>
      <c r="B31" s="191"/>
      <c r="C31" s="191"/>
      <c r="D31" s="191"/>
      <c r="E31" s="191"/>
      <c r="F31" s="191"/>
      <c r="G31" s="191"/>
      <c r="H31" s="191"/>
      <c r="I31" s="191"/>
      <c r="J31" s="191"/>
      <c r="K31" s="191"/>
      <c r="L31" s="191"/>
      <c r="M31" s="191"/>
      <c r="N31" s="191"/>
      <c r="O31" s="191"/>
      <c r="P31" s="191"/>
      <c r="Q31" s="191"/>
      <c r="AR31" s="195"/>
      <c r="AS31" s="195"/>
    </row>
    <row r="32" customFormat="false" ht="15" hidden="false" customHeight="false" outlineLevel="0" collapsed="false">
      <c r="A32" s="191"/>
      <c r="B32" s="191"/>
      <c r="C32" s="191"/>
      <c r="D32" s="191"/>
      <c r="E32" s="191"/>
      <c r="F32" s="191"/>
      <c r="G32" s="191"/>
      <c r="H32" s="191"/>
      <c r="I32" s="191"/>
      <c r="J32" s="191"/>
      <c r="K32" s="191"/>
      <c r="L32" s="191"/>
      <c r="M32" s="191"/>
      <c r="N32" s="191"/>
      <c r="O32" s="191"/>
      <c r="P32" s="191"/>
      <c r="Q32" s="191"/>
      <c r="AR32" s="195"/>
      <c r="AS32" s="195"/>
    </row>
    <row r="33" customFormat="false" ht="15" hidden="false" customHeight="false" outlineLevel="0" collapsed="false">
      <c r="A33" s="191"/>
      <c r="B33" s="191"/>
      <c r="C33" s="191"/>
      <c r="D33" s="191"/>
      <c r="E33" s="191"/>
      <c r="F33" s="191"/>
      <c r="G33" s="191"/>
      <c r="H33" s="191"/>
      <c r="I33" s="191"/>
      <c r="J33" s="191"/>
      <c r="K33" s="191"/>
      <c r="L33" s="191"/>
      <c r="M33" s="191"/>
      <c r="N33" s="191"/>
      <c r="O33" s="191"/>
      <c r="P33" s="191"/>
      <c r="Q33" s="191"/>
      <c r="AR33" s="195"/>
      <c r="AS33" s="195"/>
    </row>
    <row r="34" customFormat="false" ht="15" hidden="false" customHeight="false" outlineLevel="0" collapsed="false">
      <c r="A34" s="191"/>
      <c r="B34" s="191"/>
      <c r="C34" s="191"/>
      <c r="D34" s="191"/>
      <c r="E34" s="191"/>
      <c r="F34" s="191"/>
      <c r="G34" s="191"/>
      <c r="H34" s="191"/>
      <c r="I34" s="191"/>
      <c r="J34" s="191"/>
      <c r="K34" s="191"/>
      <c r="L34" s="191"/>
      <c r="M34" s="191"/>
      <c r="N34" s="191"/>
      <c r="O34" s="191"/>
      <c r="P34" s="191"/>
      <c r="Q34" s="191"/>
      <c r="AR34" s="195"/>
      <c r="AS34" s="195"/>
    </row>
    <row r="35" customFormat="false" ht="15" hidden="false" customHeight="false" outlineLevel="0" collapsed="false">
      <c r="A35" s="191"/>
      <c r="B35" s="191"/>
      <c r="C35" s="191"/>
      <c r="D35" s="191"/>
      <c r="E35" s="191"/>
      <c r="F35" s="191"/>
      <c r="G35" s="191"/>
      <c r="H35" s="191"/>
      <c r="I35" s="191"/>
      <c r="J35" s="191"/>
      <c r="K35" s="191"/>
      <c r="L35" s="191"/>
      <c r="M35" s="191"/>
      <c r="N35" s="191"/>
      <c r="O35" s="191"/>
      <c r="P35" s="191"/>
      <c r="Q35" s="191"/>
      <c r="AR35" s="195"/>
      <c r="AS35" s="195"/>
    </row>
    <row r="36" customFormat="false" ht="15" hidden="false" customHeight="false" outlineLevel="0" collapsed="false">
      <c r="A36" s="191"/>
      <c r="B36" s="191"/>
      <c r="C36" s="191"/>
      <c r="D36" s="191"/>
      <c r="E36" s="191"/>
      <c r="F36" s="191"/>
      <c r="G36" s="191"/>
      <c r="H36" s="191"/>
      <c r="I36" s="191"/>
      <c r="J36" s="191"/>
      <c r="K36" s="191"/>
      <c r="L36" s="191"/>
      <c r="M36" s="191"/>
      <c r="N36" s="191"/>
      <c r="O36" s="191"/>
      <c r="P36" s="191"/>
      <c r="Q36" s="191"/>
      <c r="AR36" s="195"/>
      <c r="AS36" s="195"/>
    </row>
    <row r="37" customFormat="false" ht="15" hidden="false" customHeight="false" outlineLevel="0" collapsed="false">
      <c r="A37" s="191"/>
      <c r="B37" s="191"/>
      <c r="C37" s="191"/>
      <c r="D37" s="191"/>
      <c r="E37" s="191"/>
      <c r="F37" s="191"/>
      <c r="G37" s="191"/>
      <c r="H37" s="191"/>
      <c r="I37" s="191"/>
      <c r="J37" s="191"/>
      <c r="K37" s="191"/>
      <c r="L37" s="191"/>
      <c r="M37" s="191"/>
      <c r="N37" s="191"/>
      <c r="O37" s="191"/>
      <c r="P37" s="191"/>
      <c r="Q37" s="191"/>
      <c r="AR37" s="195"/>
      <c r="AS37" s="195"/>
    </row>
    <row r="38" customFormat="false" ht="15" hidden="false" customHeight="false" outlineLevel="0" collapsed="false">
      <c r="A38" s="191"/>
      <c r="B38" s="191"/>
      <c r="C38" s="191"/>
      <c r="D38" s="191"/>
      <c r="E38" s="191"/>
      <c r="F38" s="191"/>
      <c r="G38" s="191"/>
      <c r="H38" s="191"/>
      <c r="I38" s="191"/>
      <c r="J38" s="191"/>
      <c r="K38" s="191"/>
      <c r="L38" s="191"/>
      <c r="M38" s="191"/>
      <c r="N38" s="191"/>
      <c r="O38" s="191"/>
      <c r="P38" s="191"/>
      <c r="Q38" s="191"/>
      <c r="AR38" s="195"/>
      <c r="AS38" s="195"/>
    </row>
    <row r="39" customFormat="false" ht="15" hidden="false" customHeight="false" outlineLevel="0" collapsed="false">
      <c r="A39" s="191"/>
      <c r="B39" s="191"/>
      <c r="C39" s="191"/>
      <c r="D39" s="191"/>
      <c r="E39" s="191"/>
      <c r="F39" s="191"/>
      <c r="G39" s="191"/>
      <c r="H39" s="191"/>
      <c r="I39" s="191"/>
      <c r="J39" s="191"/>
      <c r="K39" s="191"/>
      <c r="L39" s="191"/>
      <c r="M39" s="191"/>
      <c r="N39" s="191"/>
      <c r="O39" s="191"/>
      <c r="P39" s="191"/>
      <c r="Q39" s="191"/>
      <c r="AR39" s="195"/>
      <c r="AS39" s="195"/>
    </row>
    <row r="40" customFormat="false" ht="15" hidden="false" customHeight="false" outlineLevel="0" collapsed="false">
      <c r="A40" s="191"/>
      <c r="B40" s="191"/>
      <c r="C40" s="191"/>
      <c r="D40" s="191"/>
      <c r="E40" s="191"/>
      <c r="F40" s="191"/>
      <c r="G40" s="191"/>
      <c r="H40" s="191"/>
      <c r="I40" s="191"/>
      <c r="J40" s="191"/>
      <c r="K40" s="191"/>
      <c r="L40" s="191"/>
      <c r="M40" s="191"/>
      <c r="N40" s="191"/>
      <c r="O40" s="191"/>
      <c r="P40" s="191"/>
      <c r="Q40" s="191"/>
      <c r="AR40" s="195"/>
      <c r="AS40" s="195"/>
    </row>
    <row r="41" customFormat="false" ht="15" hidden="false" customHeight="false" outlineLevel="0" collapsed="false">
      <c r="A41" s="191"/>
      <c r="B41" s="191"/>
      <c r="C41" s="191"/>
      <c r="D41" s="191"/>
      <c r="E41" s="191"/>
      <c r="F41" s="191"/>
      <c r="G41" s="191"/>
      <c r="H41" s="191"/>
      <c r="I41" s="191"/>
      <c r="J41" s="191"/>
      <c r="K41" s="191"/>
      <c r="L41" s="191"/>
      <c r="M41" s="191"/>
      <c r="N41" s="191"/>
      <c r="O41" s="191"/>
      <c r="P41" s="191"/>
      <c r="Q41" s="191"/>
      <c r="AR41" s="195"/>
      <c r="AS41" s="195"/>
    </row>
    <row r="42" customFormat="false" ht="15" hidden="false" customHeight="false" outlineLevel="0" collapsed="false">
      <c r="A42" s="191"/>
      <c r="B42" s="191"/>
      <c r="C42" s="191"/>
      <c r="D42" s="191"/>
      <c r="E42" s="191"/>
      <c r="F42" s="191"/>
      <c r="G42" s="191"/>
      <c r="H42" s="191"/>
      <c r="I42" s="191"/>
      <c r="J42" s="191"/>
      <c r="K42" s="191"/>
      <c r="L42" s="191"/>
      <c r="M42" s="191"/>
      <c r="N42" s="191"/>
      <c r="O42" s="191"/>
      <c r="P42" s="191"/>
      <c r="Q42" s="191"/>
      <c r="AR42" s="195"/>
      <c r="AS42" s="195"/>
    </row>
    <row r="43" customFormat="false" ht="15" hidden="false" customHeight="false" outlineLevel="0" collapsed="false">
      <c r="A43" s="191"/>
      <c r="B43" s="191"/>
      <c r="C43" s="191"/>
      <c r="D43" s="191"/>
      <c r="E43" s="191"/>
      <c r="F43" s="191"/>
      <c r="G43" s="191"/>
      <c r="H43" s="191"/>
      <c r="I43" s="191"/>
      <c r="J43" s="191"/>
      <c r="K43" s="191"/>
      <c r="L43" s="191"/>
      <c r="M43" s="191"/>
      <c r="N43" s="191"/>
      <c r="O43" s="191"/>
      <c r="P43" s="191"/>
      <c r="Q43" s="191"/>
      <c r="AR43" s="195"/>
      <c r="AS43" s="195"/>
    </row>
    <row r="44" customFormat="false" ht="15" hidden="false" customHeight="false" outlineLevel="0" collapsed="false">
      <c r="A44" s="191"/>
      <c r="B44" s="191"/>
      <c r="C44" s="191"/>
      <c r="D44" s="191"/>
      <c r="E44" s="191"/>
      <c r="F44" s="191"/>
      <c r="G44" s="191"/>
      <c r="H44" s="191"/>
      <c r="I44" s="191"/>
      <c r="J44" s="191"/>
      <c r="K44" s="191"/>
      <c r="L44" s="191"/>
      <c r="M44" s="191"/>
      <c r="N44" s="191"/>
      <c r="O44" s="191"/>
      <c r="P44" s="191"/>
      <c r="Q44" s="191"/>
      <c r="AR44" s="195"/>
      <c r="AS44" s="195"/>
    </row>
    <row r="45" customFormat="false" ht="15" hidden="false" customHeight="false" outlineLevel="0" collapsed="false">
      <c r="A45" s="191"/>
      <c r="B45" s="191"/>
      <c r="C45" s="191"/>
      <c r="D45" s="191"/>
      <c r="E45" s="191"/>
      <c r="F45" s="191"/>
      <c r="G45" s="191"/>
      <c r="H45" s="191"/>
      <c r="I45" s="191"/>
      <c r="J45" s="191"/>
      <c r="K45" s="191"/>
      <c r="L45" s="191"/>
      <c r="M45" s="191"/>
      <c r="N45" s="191"/>
      <c r="O45" s="191"/>
      <c r="P45" s="191"/>
      <c r="Q45" s="191"/>
      <c r="AR45" s="195"/>
      <c r="AS45" s="195"/>
    </row>
    <row r="46" customFormat="false" ht="15" hidden="false" customHeight="false" outlineLevel="0" collapsed="false">
      <c r="A46" s="191"/>
      <c r="B46" s="191"/>
      <c r="C46" s="191"/>
      <c r="D46" s="191"/>
      <c r="E46" s="191"/>
      <c r="F46" s="191"/>
      <c r="G46" s="191"/>
      <c r="H46" s="191"/>
      <c r="I46" s="191"/>
      <c r="J46" s="191"/>
      <c r="K46" s="191"/>
      <c r="L46" s="191"/>
      <c r="M46" s="191"/>
      <c r="N46" s="191"/>
      <c r="O46" s="191"/>
      <c r="P46" s="191"/>
      <c r="Q46" s="191"/>
      <c r="AR46" s="195"/>
      <c r="AS46" s="195"/>
    </row>
    <row r="47" customFormat="false" ht="15" hidden="false" customHeight="false" outlineLevel="0" collapsed="false">
      <c r="A47" s="191"/>
      <c r="B47" s="191"/>
      <c r="C47" s="191"/>
      <c r="D47" s="191"/>
      <c r="E47" s="191"/>
      <c r="F47" s="191"/>
      <c r="G47" s="191"/>
      <c r="H47" s="191"/>
      <c r="I47" s="191"/>
      <c r="J47" s="191"/>
      <c r="K47" s="191"/>
      <c r="L47" s="191"/>
      <c r="M47" s="191"/>
      <c r="N47" s="191"/>
      <c r="O47" s="191"/>
      <c r="P47" s="191"/>
      <c r="Q47" s="191"/>
      <c r="AR47" s="195"/>
      <c r="AS47" s="195"/>
    </row>
    <row r="48" customFormat="false" ht="15" hidden="false" customHeight="false" outlineLevel="0" collapsed="false">
      <c r="A48" s="191"/>
      <c r="B48" s="191"/>
      <c r="C48" s="191"/>
      <c r="D48" s="191"/>
      <c r="E48" s="191"/>
      <c r="F48" s="191"/>
      <c r="G48" s="191"/>
      <c r="H48" s="191"/>
      <c r="I48" s="191"/>
      <c r="J48" s="191"/>
      <c r="K48" s="191"/>
      <c r="L48" s="191"/>
      <c r="M48" s="191"/>
      <c r="N48" s="191"/>
      <c r="O48" s="191"/>
      <c r="P48" s="191"/>
      <c r="Q48" s="191"/>
      <c r="AR48" s="195"/>
      <c r="AS48" s="195"/>
    </row>
    <row r="49" customFormat="false" ht="15" hidden="false" customHeight="false" outlineLevel="0" collapsed="false">
      <c r="A49" s="191"/>
      <c r="B49" s="191"/>
      <c r="C49" s="191"/>
      <c r="D49" s="191"/>
      <c r="E49" s="191"/>
      <c r="F49" s="191"/>
      <c r="G49" s="191"/>
      <c r="H49" s="191"/>
      <c r="I49" s="191"/>
      <c r="J49" s="191"/>
      <c r="K49" s="191"/>
      <c r="L49" s="191"/>
      <c r="M49" s="191"/>
      <c r="N49" s="191"/>
      <c r="O49" s="191"/>
      <c r="P49" s="191"/>
      <c r="Q49" s="191"/>
      <c r="AR49" s="195"/>
      <c r="AS49" s="195"/>
    </row>
    <row r="50" customFormat="false" ht="15" hidden="false" customHeight="false" outlineLevel="0" collapsed="false">
      <c r="A50" s="191"/>
      <c r="B50" s="191"/>
      <c r="C50" s="191"/>
      <c r="D50" s="191"/>
      <c r="E50" s="191"/>
      <c r="F50" s="191"/>
      <c r="G50" s="191"/>
      <c r="H50" s="191"/>
      <c r="I50" s="191"/>
      <c r="J50" s="191"/>
      <c r="K50" s="191"/>
      <c r="L50" s="191"/>
      <c r="M50" s="191"/>
      <c r="N50" s="191"/>
      <c r="O50" s="191"/>
      <c r="P50" s="191"/>
      <c r="Q50" s="191"/>
      <c r="AR50" s="195"/>
      <c r="AS50" s="195"/>
    </row>
    <row r="51" customFormat="false" ht="15" hidden="false" customHeight="false" outlineLevel="0" collapsed="false">
      <c r="A51" s="191"/>
      <c r="B51" s="191"/>
      <c r="C51" s="191"/>
      <c r="D51" s="191"/>
      <c r="E51" s="191"/>
      <c r="F51" s="191"/>
      <c r="G51" s="191"/>
      <c r="H51" s="191"/>
      <c r="I51" s="191"/>
      <c r="J51" s="191"/>
      <c r="K51" s="191"/>
      <c r="L51" s="191"/>
      <c r="M51" s="191"/>
      <c r="N51" s="191"/>
      <c r="O51" s="191"/>
      <c r="P51" s="191"/>
      <c r="Q51" s="191"/>
      <c r="AR51" s="195"/>
      <c r="AS51" s="195"/>
    </row>
    <row r="52" customFormat="false" ht="15" hidden="false" customHeight="false" outlineLevel="0" collapsed="false">
      <c r="A52" s="191"/>
      <c r="B52" s="191"/>
      <c r="C52" s="191"/>
      <c r="D52" s="191"/>
      <c r="E52" s="191"/>
      <c r="F52" s="191"/>
      <c r="G52" s="191"/>
      <c r="H52" s="191"/>
      <c r="I52" s="191"/>
      <c r="J52" s="191"/>
      <c r="K52" s="191"/>
      <c r="L52" s="191"/>
      <c r="M52" s="191"/>
      <c r="N52" s="191"/>
      <c r="O52" s="191"/>
      <c r="P52" s="191"/>
      <c r="Q52" s="191"/>
      <c r="AR52" s="195"/>
      <c r="AS52" s="195"/>
    </row>
    <row r="53" customFormat="false" ht="15" hidden="false" customHeight="false" outlineLevel="0" collapsed="false">
      <c r="A53" s="191"/>
      <c r="B53" s="191"/>
      <c r="C53" s="191"/>
      <c r="D53" s="191"/>
      <c r="E53" s="191"/>
      <c r="F53" s="191"/>
      <c r="G53" s="191"/>
      <c r="H53" s="191"/>
      <c r="I53" s="191"/>
      <c r="J53" s="191"/>
      <c r="K53" s="191"/>
      <c r="L53" s="191"/>
      <c r="M53" s="191"/>
      <c r="N53" s="191"/>
      <c r="O53" s="191"/>
      <c r="P53" s="191"/>
      <c r="Q53" s="191"/>
      <c r="AR53" s="195"/>
      <c r="AS53" s="195"/>
    </row>
    <row r="54" customFormat="false" ht="15" hidden="false" customHeight="false" outlineLevel="0" collapsed="false">
      <c r="A54" s="191"/>
      <c r="B54" s="191"/>
      <c r="C54" s="191"/>
      <c r="D54" s="191"/>
      <c r="E54" s="191"/>
      <c r="F54" s="191"/>
      <c r="G54" s="191"/>
      <c r="H54" s="191"/>
      <c r="I54" s="191"/>
      <c r="J54" s="191"/>
      <c r="K54" s="191"/>
      <c r="L54" s="191"/>
      <c r="M54" s="191"/>
      <c r="N54" s="191"/>
      <c r="O54" s="191"/>
      <c r="P54" s="191"/>
      <c r="Q54" s="191"/>
      <c r="AR54" s="195"/>
      <c r="AS54" s="195"/>
    </row>
    <row r="55" customFormat="false" ht="15" hidden="false" customHeight="false" outlineLevel="0" collapsed="false">
      <c r="A55" s="191"/>
      <c r="B55" s="191"/>
      <c r="C55" s="191"/>
      <c r="D55" s="191"/>
      <c r="E55" s="191"/>
      <c r="F55" s="191"/>
      <c r="G55" s="191"/>
      <c r="H55" s="191"/>
      <c r="I55" s="191"/>
      <c r="J55" s="191"/>
      <c r="K55" s="191"/>
      <c r="L55" s="191"/>
      <c r="M55" s="191"/>
      <c r="N55" s="191"/>
      <c r="O55" s="191"/>
      <c r="P55" s="191"/>
      <c r="Q55" s="191"/>
      <c r="AR55" s="195"/>
      <c r="AS55" s="195"/>
    </row>
    <row r="56" customFormat="false" ht="15" hidden="false" customHeight="false" outlineLevel="0" collapsed="false">
      <c r="A56" s="191"/>
      <c r="B56" s="191"/>
      <c r="C56" s="191"/>
      <c r="D56" s="191"/>
      <c r="E56" s="191"/>
      <c r="F56" s="191"/>
      <c r="G56" s="191"/>
      <c r="H56" s="191"/>
      <c r="I56" s="191"/>
      <c r="J56" s="191"/>
      <c r="K56" s="191"/>
      <c r="L56" s="191"/>
      <c r="M56" s="191"/>
      <c r="N56" s="191"/>
      <c r="O56" s="191"/>
      <c r="P56" s="191"/>
      <c r="Q56" s="191"/>
      <c r="AR56" s="195"/>
      <c r="AS56" s="195"/>
    </row>
    <row r="57" customFormat="false" ht="15" hidden="false" customHeight="false" outlineLevel="0" collapsed="false">
      <c r="A57" s="191"/>
      <c r="B57" s="191"/>
      <c r="C57" s="191"/>
      <c r="D57" s="191"/>
      <c r="E57" s="191"/>
      <c r="F57" s="191"/>
      <c r="G57" s="191"/>
      <c r="H57" s="191"/>
      <c r="I57" s="191"/>
      <c r="J57" s="191"/>
      <c r="K57" s="191"/>
      <c r="L57" s="191"/>
      <c r="M57" s="191"/>
      <c r="N57" s="191"/>
      <c r="O57" s="191"/>
      <c r="P57" s="191"/>
      <c r="Q57" s="191"/>
      <c r="AR57" s="195"/>
      <c r="AS57" s="195"/>
    </row>
    <row r="58" customFormat="false" ht="15.75" hidden="false" customHeight="true" outlineLevel="0" collapsed="false">
      <c r="A58" s="191"/>
      <c r="B58" s="191"/>
      <c r="C58" s="191"/>
      <c r="D58" s="191"/>
      <c r="E58" s="191"/>
      <c r="F58" s="191"/>
      <c r="G58" s="191"/>
      <c r="H58" s="191"/>
      <c r="I58" s="191"/>
      <c r="J58" s="191"/>
      <c r="K58" s="191"/>
      <c r="L58" s="191"/>
      <c r="M58" s="191"/>
      <c r="N58" s="191"/>
      <c r="O58" s="191"/>
      <c r="P58" s="191"/>
      <c r="Q58" s="191"/>
      <c r="AR58" s="195"/>
      <c r="AS58" s="195"/>
    </row>
    <row r="59" customFormat="false" ht="15.75" hidden="false" customHeight="true" outlineLevel="0" collapsed="false">
      <c r="A59" s="191"/>
      <c r="B59" s="191"/>
      <c r="C59" s="191"/>
      <c r="D59" s="191"/>
      <c r="E59" s="191"/>
      <c r="F59" s="191"/>
      <c r="G59" s="191"/>
      <c r="H59" s="191"/>
      <c r="I59" s="191"/>
      <c r="J59" s="191"/>
      <c r="K59" s="191"/>
      <c r="L59" s="191"/>
      <c r="M59" s="191"/>
      <c r="N59" s="191"/>
      <c r="O59" s="191"/>
      <c r="P59" s="191"/>
      <c r="Q59" s="191"/>
      <c r="AR59" s="195"/>
      <c r="AS59" s="195"/>
    </row>
    <row r="60" customFormat="false" ht="15.75" hidden="false" customHeight="true" outlineLevel="0" collapsed="false">
      <c r="A60" s="191"/>
      <c r="B60" s="191"/>
      <c r="C60" s="191"/>
      <c r="D60" s="191"/>
      <c r="E60" s="191"/>
      <c r="F60" s="191"/>
      <c r="G60" s="191"/>
      <c r="H60" s="191"/>
      <c r="I60" s="191"/>
      <c r="J60" s="191"/>
      <c r="K60" s="191"/>
      <c r="L60" s="191"/>
      <c r="M60" s="191"/>
      <c r="N60" s="191"/>
      <c r="O60" s="191"/>
      <c r="P60" s="191"/>
      <c r="Q60" s="191"/>
      <c r="AR60" s="195"/>
      <c r="AS60" s="195"/>
    </row>
    <row r="61" customFormat="false" ht="15.75" hidden="false" customHeight="true" outlineLevel="0" collapsed="false">
      <c r="AV61" s="1"/>
    </row>
    <row r="62" customFormat="false" ht="15.75" hidden="false" customHeight="true" outlineLevel="0" collapsed="false">
      <c r="AV62" s="1"/>
    </row>
    <row r="63" customFormat="false" ht="15.75" hidden="false" customHeight="true" outlineLevel="0" collapsed="false">
      <c r="AV63" s="1"/>
    </row>
    <row r="64" customFormat="false" ht="15.75" hidden="false" customHeight="true" outlineLevel="0" collapsed="false">
      <c r="AV64" s="1"/>
    </row>
    <row r="65" customFormat="false" ht="15.75" hidden="false" customHeight="true" outlineLevel="0" collapsed="false">
      <c r="AV65" s="1"/>
    </row>
    <row r="66" customFormat="false" ht="15.75" hidden="false" customHeight="true" outlineLevel="0" collapsed="false">
      <c r="AV66" s="1"/>
    </row>
    <row r="67" customFormat="false" ht="15.75" hidden="false" customHeight="true" outlineLevel="0" collapsed="false">
      <c r="AV67" s="1"/>
    </row>
    <row r="68" customFormat="false" ht="15.75" hidden="false" customHeight="true" outlineLevel="0" collapsed="false">
      <c r="AV68" s="1"/>
    </row>
    <row r="69" customFormat="false" ht="15.75" hidden="false" customHeight="true" outlineLevel="0" collapsed="false">
      <c r="AV69" s="1"/>
    </row>
    <row r="70" customFormat="false" ht="15.75" hidden="false" customHeight="true" outlineLevel="0" collapsed="false">
      <c r="AV70" s="1"/>
    </row>
    <row r="71" customFormat="false" ht="15.75" hidden="false" customHeight="true" outlineLevel="0" collapsed="false">
      <c r="AV71" s="1"/>
    </row>
    <row r="72" customFormat="false" ht="15.75" hidden="false" customHeight="true" outlineLevel="0" collapsed="false">
      <c r="AV72" s="1"/>
    </row>
    <row r="73" customFormat="false" ht="15.75" hidden="false" customHeight="true" outlineLevel="0" collapsed="false">
      <c r="AV73" s="1"/>
    </row>
    <row r="74" customFormat="false" ht="15.75" hidden="false" customHeight="true" outlineLevel="0" collapsed="false">
      <c r="AV74" s="1"/>
    </row>
    <row r="75" customFormat="false" ht="15.75" hidden="false" customHeight="true" outlineLevel="0" collapsed="false">
      <c r="AV75" s="1"/>
    </row>
    <row r="76" customFormat="false" ht="15.75" hidden="false" customHeight="true" outlineLevel="0" collapsed="false">
      <c r="AV76" s="1"/>
    </row>
    <row r="77" customFormat="false" ht="15.75" hidden="false" customHeight="true" outlineLevel="0" collapsed="false">
      <c r="AV77" s="1"/>
    </row>
    <row r="78" customFormat="false" ht="15.75" hidden="false" customHeight="true" outlineLevel="0" collapsed="false">
      <c r="AV78" s="1"/>
    </row>
    <row r="79" customFormat="false" ht="15.75" hidden="false" customHeight="true" outlineLevel="0" collapsed="false">
      <c r="AV79" s="1"/>
    </row>
    <row r="80" customFormat="false" ht="15.75" hidden="false" customHeight="true" outlineLevel="0" collapsed="false">
      <c r="AV80" s="1"/>
    </row>
    <row r="81" customFormat="false" ht="15.75" hidden="false" customHeight="true" outlineLevel="0" collapsed="false">
      <c r="AV81" s="1"/>
    </row>
    <row r="82" customFormat="false" ht="15.75" hidden="false" customHeight="true" outlineLevel="0" collapsed="false">
      <c r="AV82" s="1"/>
    </row>
    <row r="83" customFormat="false" ht="15.75" hidden="false" customHeight="true" outlineLevel="0" collapsed="false">
      <c r="AV83" s="1"/>
    </row>
    <row r="84" customFormat="false" ht="15.75" hidden="false" customHeight="true" outlineLevel="0" collapsed="false">
      <c r="AV84" s="1"/>
    </row>
    <row r="85" customFormat="false" ht="15.75" hidden="false" customHeight="true" outlineLevel="0" collapsed="false">
      <c r="AV85" s="1"/>
    </row>
    <row r="86" customFormat="false" ht="15.75" hidden="false" customHeight="true" outlineLevel="0" collapsed="false">
      <c r="AV86" s="1"/>
    </row>
    <row r="87" customFormat="false" ht="15.75" hidden="false" customHeight="true" outlineLevel="0" collapsed="false">
      <c r="AV87" s="1"/>
    </row>
    <row r="88" customFormat="false" ht="15.75" hidden="false" customHeight="true" outlineLevel="0" collapsed="false">
      <c r="AV88" s="1"/>
    </row>
    <row r="89" customFormat="false" ht="15.75" hidden="false" customHeight="true" outlineLevel="0" collapsed="false">
      <c r="AV89" s="1"/>
    </row>
    <row r="90" customFormat="false" ht="15.75" hidden="false" customHeight="true" outlineLevel="0" collapsed="false">
      <c r="AV90" s="1"/>
    </row>
    <row r="91" customFormat="false" ht="15.75" hidden="false" customHeight="true" outlineLevel="0" collapsed="false">
      <c r="AV91" s="1"/>
    </row>
    <row r="92" customFormat="false" ht="15.75" hidden="false" customHeight="true" outlineLevel="0" collapsed="false">
      <c r="AV92" s="1"/>
    </row>
    <row r="93" customFormat="false" ht="15.75" hidden="false" customHeight="true" outlineLevel="0" collapsed="false">
      <c r="AV93" s="1"/>
    </row>
    <row r="94" customFormat="false" ht="15.75" hidden="false" customHeight="true" outlineLevel="0" collapsed="false">
      <c r="AV94" s="1"/>
    </row>
    <row r="95" customFormat="false" ht="15.75" hidden="false" customHeight="true" outlineLevel="0" collapsed="false">
      <c r="AV95" s="1"/>
    </row>
    <row r="96" customFormat="false" ht="15.75" hidden="false" customHeight="true" outlineLevel="0" collapsed="false">
      <c r="AV96" s="1"/>
    </row>
    <row r="97" customFormat="false" ht="15.75" hidden="false" customHeight="true" outlineLevel="0" collapsed="false">
      <c r="AV97" s="1"/>
    </row>
    <row r="98" customFormat="false" ht="15.75" hidden="false" customHeight="true" outlineLevel="0" collapsed="false">
      <c r="AV98" s="1"/>
    </row>
    <row r="99" customFormat="false" ht="15.75" hidden="false" customHeight="true" outlineLevel="0" collapsed="false">
      <c r="AV99" s="1"/>
    </row>
    <row r="100" customFormat="false" ht="15.75" hidden="false" customHeight="true" outlineLevel="0" collapsed="false">
      <c r="AV100" s="1"/>
    </row>
    <row r="101" customFormat="false" ht="15.75" hidden="false" customHeight="true" outlineLevel="0" collapsed="false">
      <c r="AV101" s="1"/>
    </row>
    <row r="102" customFormat="false" ht="15.75" hidden="false" customHeight="true" outlineLevel="0" collapsed="false">
      <c r="AV102" s="1"/>
    </row>
    <row r="103" customFormat="false" ht="15.75" hidden="false" customHeight="true" outlineLevel="0" collapsed="false">
      <c r="AV103" s="1"/>
    </row>
    <row r="104" customFormat="false" ht="15.75" hidden="false" customHeight="true" outlineLevel="0" collapsed="false">
      <c r="AV104" s="1"/>
    </row>
    <row r="105" customFormat="false" ht="15.75" hidden="false" customHeight="true" outlineLevel="0" collapsed="false">
      <c r="AV105" s="1"/>
    </row>
    <row r="106" customFormat="false" ht="15.75" hidden="false" customHeight="true" outlineLevel="0" collapsed="false">
      <c r="AV106" s="1"/>
    </row>
    <row r="107" customFormat="false" ht="15.75" hidden="false" customHeight="true" outlineLevel="0" collapsed="false">
      <c r="AV107" s="1"/>
    </row>
    <row r="108" customFormat="false" ht="15.75" hidden="false" customHeight="true" outlineLevel="0" collapsed="false">
      <c r="AV108" s="1"/>
    </row>
    <row r="109" customFormat="false" ht="15.75" hidden="false" customHeight="true" outlineLevel="0" collapsed="false">
      <c r="AV109" s="1"/>
    </row>
    <row r="110" customFormat="false" ht="15.75" hidden="false" customHeight="true" outlineLevel="0" collapsed="false">
      <c r="AV110" s="1"/>
    </row>
    <row r="111" customFormat="false" ht="15.75" hidden="false" customHeight="true" outlineLevel="0" collapsed="false">
      <c r="AV111" s="1"/>
    </row>
    <row r="112" customFormat="false" ht="15.75" hidden="false" customHeight="true" outlineLevel="0" collapsed="false">
      <c r="AV112" s="1"/>
    </row>
    <row r="113" customFormat="false" ht="15.75" hidden="false" customHeight="true" outlineLevel="0" collapsed="false">
      <c r="AV113" s="1"/>
    </row>
    <row r="114" customFormat="false" ht="15.75" hidden="false" customHeight="true" outlineLevel="0" collapsed="false">
      <c r="AV114" s="1"/>
    </row>
    <row r="115" customFormat="false" ht="15.75" hidden="false" customHeight="true" outlineLevel="0" collapsed="false">
      <c r="AV115" s="1"/>
    </row>
    <row r="116" customFormat="false" ht="15.75" hidden="false" customHeight="true" outlineLevel="0" collapsed="false">
      <c r="AV116" s="1"/>
    </row>
    <row r="117" customFormat="false" ht="15.75" hidden="false" customHeight="true" outlineLevel="0" collapsed="false">
      <c r="AV117" s="1"/>
    </row>
    <row r="118" customFormat="false" ht="15.75" hidden="false" customHeight="true" outlineLevel="0" collapsed="false">
      <c r="AV118" s="1"/>
    </row>
    <row r="119" customFormat="false" ht="15.75" hidden="false" customHeight="true" outlineLevel="0" collapsed="false">
      <c r="AV119" s="1"/>
    </row>
    <row r="120" customFormat="false" ht="15.75" hidden="false" customHeight="true" outlineLevel="0" collapsed="false">
      <c r="AV120" s="1"/>
    </row>
    <row r="121" customFormat="false" ht="15.75" hidden="false" customHeight="true" outlineLevel="0" collapsed="false">
      <c r="AV121" s="1"/>
    </row>
    <row r="122" customFormat="false" ht="15.75" hidden="false" customHeight="true" outlineLevel="0" collapsed="false">
      <c r="AV122" s="1"/>
    </row>
    <row r="123" customFormat="false" ht="15.75" hidden="false" customHeight="true" outlineLevel="0" collapsed="false">
      <c r="AV123" s="1"/>
    </row>
    <row r="124" customFormat="false" ht="15.75" hidden="false" customHeight="true" outlineLevel="0" collapsed="false">
      <c r="AV124" s="1"/>
    </row>
    <row r="125" customFormat="false" ht="15.75" hidden="false" customHeight="true" outlineLevel="0" collapsed="false">
      <c r="AV125" s="1"/>
    </row>
    <row r="126" customFormat="false" ht="15.75" hidden="false" customHeight="true" outlineLevel="0" collapsed="false">
      <c r="AV126" s="1"/>
    </row>
    <row r="127" customFormat="false" ht="15.75" hidden="false" customHeight="true" outlineLevel="0" collapsed="false">
      <c r="AV127" s="1"/>
    </row>
    <row r="128" customFormat="false" ht="15.75" hidden="false" customHeight="true" outlineLevel="0" collapsed="false">
      <c r="AV128" s="1"/>
    </row>
    <row r="129" customFormat="false" ht="15.75" hidden="false" customHeight="true" outlineLevel="0" collapsed="false">
      <c r="AV129" s="1"/>
    </row>
    <row r="130" customFormat="false" ht="15.75" hidden="false" customHeight="true" outlineLevel="0" collapsed="false">
      <c r="AV130" s="1"/>
    </row>
    <row r="131" customFormat="false" ht="15.75" hidden="false" customHeight="true" outlineLevel="0" collapsed="false">
      <c r="AV131" s="1"/>
    </row>
    <row r="132" customFormat="false" ht="15.75" hidden="false" customHeight="true" outlineLevel="0" collapsed="false">
      <c r="AV132" s="1"/>
    </row>
    <row r="133" customFormat="false" ht="15.75" hidden="false" customHeight="true" outlineLevel="0" collapsed="false">
      <c r="AV133" s="1"/>
    </row>
    <row r="134" customFormat="false" ht="15.75" hidden="false" customHeight="true" outlineLevel="0" collapsed="false">
      <c r="AV134" s="1"/>
    </row>
    <row r="135" customFormat="false" ht="15.75" hidden="false" customHeight="true" outlineLevel="0" collapsed="false">
      <c r="AV135" s="1"/>
    </row>
    <row r="136" customFormat="false" ht="15.75" hidden="false" customHeight="true" outlineLevel="0" collapsed="false">
      <c r="AV136" s="1"/>
    </row>
    <row r="137" customFormat="false" ht="15.75" hidden="false" customHeight="true" outlineLevel="0" collapsed="false">
      <c r="AV137" s="1"/>
    </row>
    <row r="138" customFormat="false" ht="15.75" hidden="false" customHeight="true" outlineLevel="0" collapsed="false">
      <c r="AV138" s="1"/>
    </row>
    <row r="139" customFormat="false" ht="15.75" hidden="false" customHeight="true" outlineLevel="0" collapsed="false">
      <c r="AV139" s="1"/>
    </row>
    <row r="140" customFormat="false" ht="15.75" hidden="false" customHeight="true" outlineLevel="0" collapsed="false">
      <c r="AV140" s="1"/>
    </row>
    <row r="141" customFormat="false" ht="15.75" hidden="false" customHeight="true" outlineLevel="0" collapsed="false">
      <c r="AV141" s="1"/>
    </row>
    <row r="142" customFormat="false" ht="15.75" hidden="false" customHeight="true" outlineLevel="0" collapsed="false">
      <c r="AV142" s="1"/>
    </row>
    <row r="143" customFormat="false" ht="15.75" hidden="false" customHeight="true" outlineLevel="0" collapsed="false">
      <c r="AV143" s="1"/>
    </row>
    <row r="144" customFormat="false" ht="15.75" hidden="false" customHeight="true" outlineLevel="0" collapsed="false">
      <c r="AV144" s="1"/>
    </row>
    <row r="145" customFormat="false" ht="15.75" hidden="false" customHeight="true" outlineLevel="0" collapsed="false">
      <c r="AV145" s="1"/>
    </row>
    <row r="146" customFormat="false" ht="15.75" hidden="false" customHeight="true" outlineLevel="0" collapsed="false">
      <c r="AV146" s="1"/>
    </row>
    <row r="147" customFormat="false" ht="15.75" hidden="false" customHeight="true" outlineLevel="0" collapsed="false">
      <c r="AV147" s="1"/>
    </row>
    <row r="148" customFormat="false" ht="15.75" hidden="false" customHeight="true" outlineLevel="0" collapsed="false">
      <c r="AV148" s="1"/>
    </row>
    <row r="149" customFormat="false" ht="15.75" hidden="false" customHeight="true" outlineLevel="0" collapsed="false">
      <c r="AV149" s="1"/>
    </row>
    <row r="150" customFormat="false" ht="15.75" hidden="false" customHeight="true" outlineLevel="0" collapsed="false">
      <c r="AV150" s="1"/>
    </row>
    <row r="151" customFormat="false" ht="15.75" hidden="false" customHeight="true" outlineLevel="0" collapsed="false">
      <c r="AV151" s="1"/>
    </row>
    <row r="152" customFormat="false" ht="15.75" hidden="false" customHeight="true" outlineLevel="0" collapsed="false">
      <c r="AV152" s="1"/>
    </row>
    <row r="153" customFormat="false" ht="15.75" hidden="false" customHeight="true" outlineLevel="0" collapsed="false">
      <c r="AV153" s="1"/>
    </row>
    <row r="154" customFormat="false" ht="15.75" hidden="false" customHeight="true" outlineLevel="0" collapsed="false">
      <c r="AV154" s="1"/>
    </row>
    <row r="155" customFormat="false" ht="15.75" hidden="false" customHeight="true" outlineLevel="0" collapsed="false">
      <c r="AV155" s="1"/>
    </row>
    <row r="156" customFormat="false" ht="15.75" hidden="false" customHeight="true" outlineLevel="0" collapsed="false">
      <c r="AV156" s="1"/>
    </row>
    <row r="157" customFormat="false" ht="15.75" hidden="false" customHeight="true" outlineLevel="0" collapsed="false">
      <c r="AV157" s="1"/>
    </row>
    <row r="158" customFormat="false" ht="15.75" hidden="false" customHeight="true" outlineLevel="0" collapsed="false">
      <c r="AV158" s="1"/>
    </row>
    <row r="159" customFormat="false" ht="15.75" hidden="false" customHeight="true" outlineLevel="0" collapsed="false">
      <c r="AV159" s="1"/>
    </row>
    <row r="160" customFormat="false" ht="15.75" hidden="false" customHeight="true" outlineLevel="0" collapsed="false">
      <c r="AV160" s="1"/>
    </row>
    <row r="161" customFormat="false" ht="15.75" hidden="false" customHeight="true" outlineLevel="0" collapsed="false">
      <c r="AV161" s="1"/>
    </row>
    <row r="162" customFormat="false" ht="15.75" hidden="false" customHeight="true" outlineLevel="0" collapsed="false">
      <c r="AV162" s="1"/>
    </row>
    <row r="163" customFormat="false" ht="15.75" hidden="false" customHeight="true" outlineLevel="0" collapsed="false">
      <c r="AV163" s="1"/>
    </row>
    <row r="164" customFormat="false" ht="15.75" hidden="false" customHeight="true" outlineLevel="0" collapsed="false">
      <c r="AV164" s="1"/>
    </row>
    <row r="165" customFormat="false" ht="15.75" hidden="false" customHeight="true" outlineLevel="0" collapsed="false">
      <c r="AV165" s="1"/>
    </row>
    <row r="166" customFormat="false" ht="15.75" hidden="false" customHeight="true" outlineLevel="0" collapsed="false">
      <c r="AV166" s="1"/>
    </row>
    <row r="167" customFormat="false" ht="15.75" hidden="false" customHeight="true" outlineLevel="0" collapsed="false">
      <c r="AV167" s="1"/>
    </row>
    <row r="168" customFormat="false" ht="15.75" hidden="false" customHeight="true" outlineLevel="0" collapsed="false">
      <c r="AV168" s="1"/>
    </row>
    <row r="169" customFormat="false" ht="15.75" hidden="false" customHeight="true" outlineLevel="0" collapsed="false">
      <c r="AV169" s="1"/>
    </row>
    <row r="170" customFormat="false" ht="15.75" hidden="false" customHeight="true" outlineLevel="0" collapsed="false">
      <c r="AV170" s="1"/>
    </row>
    <row r="171" customFormat="false" ht="15.75" hidden="false" customHeight="true" outlineLevel="0" collapsed="false">
      <c r="AV171" s="1"/>
    </row>
    <row r="172" customFormat="false" ht="15.75" hidden="false" customHeight="true" outlineLevel="0" collapsed="false">
      <c r="AV172" s="1"/>
    </row>
    <row r="173" customFormat="false" ht="15.75" hidden="false" customHeight="true" outlineLevel="0" collapsed="false">
      <c r="AV173" s="1"/>
    </row>
    <row r="174" customFormat="false" ht="15.75" hidden="false" customHeight="true" outlineLevel="0" collapsed="false">
      <c r="AV174" s="1"/>
    </row>
    <row r="175" customFormat="false" ht="15.75" hidden="false" customHeight="true" outlineLevel="0" collapsed="false">
      <c r="AV175" s="1"/>
    </row>
    <row r="176" customFormat="false" ht="15.75" hidden="false" customHeight="true" outlineLevel="0" collapsed="false">
      <c r="AV176" s="1"/>
    </row>
    <row r="177" customFormat="false" ht="15.75" hidden="false" customHeight="true" outlineLevel="0" collapsed="false">
      <c r="AV177" s="1"/>
    </row>
    <row r="178" customFormat="false" ht="15.75" hidden="false" customHeight="true" outlineLevel="0" collapsed="false">
      <c r="AV178" s="1"/>
    </row>
    <row r="179" customFormat="false" ht="15.75" hidden="false" customHeight="true" outlineLevel="0" collapsed="false">
      <c r="AV179" s="1"/>
    </row>
    <row r="180" customFormat="false" ht="15.75" hidden="false" customHeight="true" outlineLevel="0" collapsed="false">
      <c r="AV180" s="1"/>
    </row>
    <row r="181" customFormat="false" ht="15.75" hidden="false" customHeight="true" outlineLevel="0" collapsed="false">
      <c r="AV181" s="1"/>
    </row>
    <row r="182" customFormat="false" ht="15.75" hidden="false" customHeight="true" outlineLevel="0" collapsed="false">
      <c r="AV182" s="1"/>
    </row>
    <row r="183" customFormat="false" ht="15.75" hidden="false" customHeight="true" outlineLevel="0" collapsed="false">
      <c r="AV183" s="1"/>
    </row>
    <row r="184" customFormat="false" ht="15.75" hidden="false" customHeight="true" outlineLevel="0" collapsed="false">
      <c r="AV184" s="1"/>
    </row>
    <row r="185" customFormat="false" ht="15.75" hidden="false" customHeight="true" outlineLevel="0" collapsed="false">
      <c r="AV185" s="1"/>
    </row>
    <row r="186" customFormat="false" ht="15.75" hidden="false" customHeight="true" outlineLevel="0" collapsed="false">
      <c r="AV186" s="1"/>
    </row>
    <row r="187" customFormat="false" ht="15.75" hidden="false" customHeight="true" outlineLevel="0" collapsed="false">
      <c r="AV187" s="1"/>
    </row>
    <row r="188" customFormat="false" ht="15.75" hidden="false" customHeight="true" outlineLevel="0" collapsed="false">
      <c r="AV188" s="1"/>
    </row>
    <row r="189" customFormat="false" ht="15.75" hidden="false" customHeight="true" outlineLevel="0" collapsed="false">
      <c r="AV189" s="1"/>
    </row>
    <row r="190" customFormat="false" ht="15.75" hidden="false" customHeight="true" outlineLevel="0" collapsed="false">
      <c r="AV190" s="1"/>
    </row>
    <row r="191" customFormat="false" ht="15.75" hidden="false" customHeight="true" outlineLevel="0" collapsed="false">
      <c r="AV191" s="1"/>
    </row>
    <row r="192" customFormat="false" ht="15.75" hidden="false" customHeight="true" outlineLevel="0" collapsed="false">
      <c r="AV192" s="1"/>
    </row>
    <row r="193" customFormat="false" ht="15.75" hidden="false" customHeight="true" outlineLevel="0" collapsed="false">
      <c r="AV193" s="1"/>
    </row>
    <row r="194" customFormat="false" ht="15.75" hidden="false" customHeight="true" outlineLevel="0" collapsed="false">
      <c r="AV194" s="1"/>
    </row>
    <row r="195" customFormat="false" ht="15.75" hidden="false" customHeight="true" outlineLevel="0" collapsed="false">
      <c r="AV195" s="1"/>
    </row>
    <row r="196" customFormat="false" ht="15.75" hidden="false" customHeight="true" outlineLevel="0" collapsed="false">
      <c r="AV196" s="1"/>
    </row>
    <row r="197" customFormat="false" ht="15.75" hidden="false" customHeight="true" outlineLevel="0" collapsed="false">
      <c r="AV197" s="1"/>
    </row>
    <row r="198" customFormat="false" ht="15.75" hidden="false" customHeight="true" outlineLevel="0" collapsed="false">
      <c r="AV198" s="1"/>
    </row>
    <row r="199" customFormat="false" ht="15.75" hidden="false" customHeight="true" outlineLevel="0" collapsed="false">
      <c r="AV199" s="1"/>
    </row>
    <row r="200" customFormat="false" ht="15.75" hidden="false" customHeight="true" outlineLevel="0" collapsed="false">
      <c r="AV200" s="1"/>
    </row>
    <row r="201" customFormat="false" ht="15.75" hidden="false" customHeight="true" outlineLevel="0" collapsed="false">
      <c r="AV201" s="1"/>
    </row>
    <row r="202" customFormat="false" ht="15.75" hidden="false" customHeight="true" outlineLevel="0" collapsed="false">
      <c r="AV202" s="1"/>
    </row>
    <row r="203" customFormat="false" ht="15.75" hidden="false" customHeight="true" outlineLevel="0" collapsed="false">
      <c r="AV203" s="1"/>
    </row>
    <row r="204" customFormat="false" ht="15.75" hidden="false" customHeight="true" outlineLevel="0" collapsed="false">
      <c r="AV204" s="1"/>
    </row>
    <row r="205" customFormat="false" ht="15.75" hidden="false" customHeight="true" outlineLevel="0" collapsed="false">
      <c r="AV205" s="1"/>
    </row>
    <row r="206" customFormat="false" ht="15.75" hidden="false" customHeight="true" outlineLevel="0" collapsed="false">
      <c r="AV206" s="1"/>
    </row>
    <row r="207" customFormat="false" ht="15.75" hidden="false" customHeight="true" outlineLevel="0" collapsed="false">
      <c r="AV207" s="1"/>
    </row>
    <row r="208" customFormat="false" ht="15.75" hidden="false" customHeight="true" outlineLevel="0" collapsed="false">
      <c r="AV208" s="1"/>
    </row>
    <row r="209" customFormat="false" ht="15.75" hidden="false" customHeight="true" outlineLevel="0" collapsed="false">
      <c r="AV209" s="1"/>
    </row>
    <row r="210" customFormat="false" ht="15.75" hidden="false" customHeight="true" outlineLevel="0" collapsed="false">
      <c r="AV210" s="1"/>
    </row>
    <row r="211" customFormat="false" ht="15.75" hidden="false" customHeight="true" outlineLevel="0" collapsed="false">
      <c r="AV211" s="1"/>
    </row>
    <row r="212" customFormat="false" ht="15.75" hidden="false" customHeight="true" outlineLevel="0" collapsed="false">
      <c r="AV212" s="1"/>
    </row>
    <row r="213" customFormat="false" ht="15.75" hidden="false" customHeight="true" outlineLevel="0" collapsed="false">
      <c r="AV213" s="1"/>
    </row>
    <row r="214" customFormat="false" ht="15.75" hidden="false" customHeight="true" outlineLevel="0" collapsed="false">
      <c r="AV214" s="1"/>
    </row>
    <row r="215" customFormat="false" ht="15.75" hidden="false" customHeight="true" outlineLevel="0" collapsed="false">
      <c r="AV215" s="1"/>
    </row>
    <row r="216" customFormat="false" ht="15.75" hidden="false" customHeight="true" outlineLevel="0" collapsed="false">
      <c r="AV216" s="1"/>
    </row>
    <row r="217" customFormat="false" ht="15.75" hidden="false" customHeight="true" outlineLevel="0" collapsed="false">
      <c r="AV217" s="1"/>
    </row>
    <row r="218" customFormat="false" ht="15.75" hidden="false" customHeight="true" outlineLevel="0" collapsed="false">
      <c r="AV218" s="1"/>
    </row>
    <row r="219" customFormat="false" ht="15.75" hidden="false" customHeight="true" outlineLevel="0" collapsed="false">
      <c r="AV219" s="1"/>
    </row>
    <row r="220" customFormat="false" ht="15.75" hidden="false" customHeight="true" outlineLevel="0" collapsed="false">
      <c r="AV220" s="1"/>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6:AU6"/>
  <mergeCells count="25">
    <mergeCell ref="A2:B2"/>
    <mergeCell ref="C2:E2"/>
    <mergeCell ref="A3:B3"/>
    <mergeCell ref="C3:E3"/>
    <mergeCell ref="G3:H3"/>
    <mergeCell ref="I3:J3"/>
    <mergeCell ref="A4:B4"/>
    <mergeCell ref="C4:E4"/>
    <mergeCell ref="G4:H4"/>
    <mergeCell ref="I4:J4"/>
    <mergeCell ref="A5:C5"/>
    <mergeCell ref="D5:I5"/>
    <mergeCell ref="J5:M5"/>
    <mergeCell ref="N5:S5"/>
    <mergeCell ref="T5:Y5"/>
    <mergeCell ref="Z5:AE5"/>
    <mergeCell ref="AF5:AK5"/>
    <mergeCell ref="AL5:AQ5"/>
    <mergeCell ref="AR5:AU5"/>
    <mergeCell ref="C7:AU7"/>
    <mergeCell ref="C9:AU9"/>
    <mergeCell ref="C12:AU12"/>
    <mergeCell ref="C14:AU14"/>
    <mergeCell ref="C17:AU17"/>
    <mergeCell ref="C19:AU19"/>
  </mergeCells>
  <conditionalFormatting sqref="O7:O500 P7:P500 U7:U500 V7:V500 AA7:AA500 AB7:AB500 AG7:AG500 AH7:AH500 AM7:AM500 AN7:AN500 AS7:AS500 AT7:AT500">
    <cfRule type="cellIs" priority="2" operator="equal" aboveAverage="0" equalAverage="0" bottom="0" percent="0" rank="0" text="" dxfId="0">
      <formula>"Pass"</formula>
    </cfRule>
    <cfRule type="cellIs" priority="3" operator="equal" aboveAverage="0" equalAverage="0" bottom="0" percent="0" rank="0" text="" dxfId="1">
      <formula>"Fail"</formula>
    </cfRule>
    <cfRule type="cellIs" priority="4" operator="equal" aboveAverage="0" equalAverage="0" bottom="0" percent="0" rank="0" text="" dxfId="2">
      <formula>"Block"</formula>
    </cfRule>
    <cfRule type="cellIs" priority="5" operator="equal" aboveAverage="0" equalAverage="0" bottom="0" percent="0" rank="0" text="" dxfId="3">
      <formula>"N/A"</formula>
    </cfRule>
  </conditionalFormatting>
  <dataValidations count="8">
    <dataValidation allowBlank="true" errorStyle="stop" operator="between" showDropDown="false" showErrorMessage="false" showInputMessage="false" sqref="J7:J500" type="list">
      <formula1>"AI,QC"</formula1>
      <formula2>0</formula2>
    </dataValidation>
    <dataValidation allowBlank="true" errorStyle="stop" operator="between" showDropDown="false" showErrorMessage="false" showInputMessage="false" sqref="E7:E500" type="list">
      <formula1>"High,Medium,Low"</formula1>
      <formula2>0</formula2>
    </dataValidation>
    <dataValidation allowBlank="true" errorStyle="stop" operator="between" showDropDown="false" showErrorMessage="false" showInputMessage="false" sqref="P7:P500 V7:V500 AB7:AB500 AH7:AH500 AN7:AN500" type="list">
      <formula1>"Pass,Fail,Block,N/A"</formula1>
      <formula2>0</formula2>
    </dataValidation>
    <dataValidation allowBlank="true" errorStyle="stop" operator="between" showDropDown="false" showErrorMessage="false" showInputMessage="false" sqref="N7:N500 T7:T500 Z7:Z500 AF7:AF500 AL7:AL500" type="list">
      <formula1>"Yes,No,N/A"</formula1>
      <formula2>0</formula2>
    </dataValidation>
    <dataValidation allowBlank="true" errorStyle="stop" operator="between" showDropDown="false" showErrorMessage="false" showInputMessage="false" sqref="O7:O500 U7:U500 AA7:AA500 AG7:AG500 AM7:AM500" type="list">
      <formula1>"Pass,Fail,Block,N/A,Chưa chạy"</formula1>
      <formula2>0</formula2>
    </dataValidation>
    <dataValidation allowBlank="true" errorStyle="stop" operator="between" showDropDown="false" showErrorMessage="false" showInputMessage="false" sqref="D7:D500" type="list">
      <formula1>"Functional,UI,Integration,Database Test Case"</formula1>
      <formula2>0</formula2>
    </dataValidation>
    <dataValidation allowBlank="true" errorStyle="stop" operator="between" showDropDown="false" showErrorMessage="false" showInputMessage="false" sqref="K7:K500" type="list">
      <formula1>"Reviewed,Pending,N/A"</formula1>
      <formula2>0</formula2>
    </dataValidation>
    <dataValidation allowBlank="true" errorStyle="stop" operator="between" showDropDown="false" showErrorMessage="false" showInputMessage="false" sqref="L7:L500"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V1000"/>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1" ySplit="6" topLeftCell="AF13" activePane="bottomRight" state="frozen"/>
      <selection pane="topLeft" activeCell="A1" activeCellId="0" sqref="A1"/>
      <selection pane="topRight" activeCell="AF1" activeCellId="0" sqref="AF1"/>
      <selection pane="bottomLeft" activeCell="A13" activeCellId="0" sqref="A13"/>
      <selection pane="bottomRight" activeCell="AX13" activeCellId="0" sqref="AX13"/>
    </sheetView>
  </sheetViews>
  <sheetFormatPr defaultColWidth="14.43359375" defaultRowHeight="15" customHeight="true" zeroHeight="false" outlineLevelRow="0" outlineLevelCol="0"/>
  <cols>
    <col collapsed="false" customWidth="true" hidden="false" outlineLevel="0" max="2" min="1" style="1" width="14"/>
    <col collapsed="false" customWidth="true" hidden="false" outlineLevel="0" max="4" min="3" style="1" width="13"/>
    <col collapsed="false" customWidth="true" hidden="false" outlineLevel="0" max="5" min="5" style="1" width="11"/>
    <col collapsed="false" customWidth="true" hidden="false" outlineLevel="0" max="6" min="6" style="1" width="34"/>
    <col collapsed="false" customWidth="true" hidden="false" outlineLevel="0" max="7" min="7" style="1" width="28"/>
    <col collapsed="false" customWidth="true" hidden="false" outlineLevel="0" max="8" min="8" style="1" width="40"/>
    <col collapsed="false" customWidth="true" hidden="false" outlineLevel="0" max="9" min="9" style="1" width="34"/>
    <col collapsed="false" customWidth="true" hidden="false" outlineLevel="0" max="10" min="10" style="1" width="10"/>
    <col collapsed="false" customWidth="true" hidden="false" outlineLevel="0" max="11" min="11" style="1" width="12.43"/>
    <col collapsed="false" customWidth="true" hidden="false" outlineLevel="0" max="12" min="12" style="1" width="14"/>
    <col collapsed="false" customWidth="true" hidden="false" outlineLevel="0" max="13" min="13" style="1" width="26.16"/>
    <col collapsed="false" customWidth="true" hidden="false" outlineLevel="0" max="14" min="14" style="1" width="9"/>
    <col collapsed="false" customWidth="true" hidden="false" outlineLevel="0" max="15" min="15" style="1" width="10"/>
    <col collapsed="false" customWidth="true" hidden="false" outlineLevel="0" max="16" min="16" style="1" width="9"/>
    <col collapsed="false" customWidth="true" hidden="false" outlineLevel="0" max="17" min="17" style="1" width="13"/>
    <col collapsed="false" customWidth="true" hidden="false" outlineLevel="0" max="18" min="18" style="1" width="11"/>
    <col collapsed="false" customWidth="true" hidden="false" outlineLevel="0" max="19" min="19" style="1" width="22"/>
    <col collapsed="false" customWidth="true" hidden="false" outlineLevel="0" max="20" min="20" style="1" width="9"/>
    <col collapsed="false" customWidth="true" hidden="false" outlineLevel="0" max="21" min="21" style="1" width="10"/>
    <col collapsed="false" customWidth="true" hidden="false" outlineLevel="0" max="22" min="22" style="1" width="9"/>
    <col collapsed="false" customWidth="true" hidden="false" outlineLevel="0" max="23" min="23" style="1" width="13"/>
    <col collapsed="false" customWidth="true" hidden="false" outlineLevel="0" max="24" min="24" style="1" width="11"/>
    <col collapsed="false" customWidth="true" hidden="false" outlineLevel="0" max="25" min="25" style="1" width="22"/>
    <col collapsed="false" customWidth="true" hidden="false" outlineLevel="0" max="26" min="26" style="1" width="9"/>
    <col collapsed="false" customWidth="true" hidden="false" outlineLevel="0" max="27" min="27" style="1" width="10"/>
    <col collapsed="false" customWidth="true" hidden="false" outlineLevel="0" max="28" min="28" style="1" width="9"/>
    <col collapsed="false" customWidth="true" hidden="false" outlineLevel="0" max="29" min="29" style="1" width="13"/>
    <col collapsed="false" customWidth="true" hidden="false" outlineLevel="0" max="30" min="30" style="1" width="11"/>
    <col collapsed="false" customWidth="true" hidden="false" outlineLevel="0" max="31" min="31" style="1" width="22"/>
    <col collapsed="false" customWidth="true" hidden="false" outlineLevel="0" max="32" min="32" style="1" width="9"/>
    <col collapsed="false" customWidth="true" hidden="false" outlineLevel="0" max="33" min="33" style="1" width="10"/>
    <col collapsed="false" customWidth="true" hidden="false" outlineLevel="0" max="34" min="34" style="1" width="9"/>
    <col collapsed="false" customWidth="true" hidden="false" outlineLevel="0" max="35" min="35" style="1" width="13"/>
    <col collapsed="false" customWidth="true" hidden="false" outlineLevel="0" max="36" min="36" style="1" width="11"/>
    <col collapsed="false" customWidth="true" hidden="false" outlineLevel="0" max="37" min="37" style="1" width="22"/>
    <col collapsed="false" customWidth="true" hidden="false" outlineLevel="0" max="38" min="38" style="1" width="9"/>
    <col collapsed="false" customWidth="true" hidden="false" outlineLevel="0" max="39" min="39" style="1" width="10"/>
    <col collapsed="false" customWidth="true" hidden="false" outlineLevel="0" max="40" min="40" style="1" width="9"/>
    <col collapsed="false" customWidth="true" hidden="false" outlineLevel="0" max="41" min="41" style="1" width="13"/>
    <col collapsed="false" customWidth="true" hidden="false" outlineLevel="0" max="42" min="42" style="1" width="11"/>
    <col collapsed="false" customWidth="true" hidden="false" outlineLevel="0" max="43" min="43" style="1" width="22"/>
    <col collapsed="false" customWidth="true" hidden="false" outlineLevel="0" max="44" min="44" style="1" width="12"/>
    <col collapsed="false" customWidth="true" hidden="false" outlineLevel="0" max="45" min="45" style="1" width="14"/>
    <col collapsed="false" customWidth="true" hidden="false" outlineLevel="0" max="46" min="46" style="1" width="11"/>
    <col collapsed="false" customWidth="true" hidden="false" outlineLevel="0" max="47" min="47" style="1" width="24"/>
  </cols>
  <sheetData>
    <row r="1" customFormat="false" ht="15" hidden="false" customHeight="true" outlineLevel="0" collapsed="false">
      <c r="A1" s="172"/>
    </row>
    <row r="2" customFormat="false" ht="15" hidden="false" customHeight="true" outlineLevel="0" collapsed="false">
      <c r="A2" s="180" t="s">
        <v>629</v>
      </c>
      <c r="B2" s="180"/>
      <c r="C2" s="181" t="s">
        <v>197</v>
      </c>
      <c r="D2" s="181"/>
      <c r="E2" s="181"/>
    </row>
    <row r="3" customFormat="false" ht="15" hidden="false" customHeight="true" outlineLevel="0" collapsed="false">
      <c r="A3" s="180" t="s">
        <v>630</v>
      </c>
      <c r="B3" s="180"/>
      <c r="C3" s="181" t="s">
        <v>198</v>
      </c>
      <c r="D3" s="181"/>
      <c r="E3" s="181"/>
      <c r="G3" s="180" t="s">
        <v>82</v>
      </c>
      <c r="H3" s="180"/>
      <c r="I3" s="38" t="str">
        <f aca="false">Summary!$C$8</f>
        <v>v1.1</v>
      </c>
      <c r="J3" s="38"/>
    </row>
    <row r="4" customFormat="false" ht="15" hidden="false" customHeight="true" outlineLevel="0" collapsed="false">
      <c r="A4" s="180" t="s">
        <v>145</v>
      </c>
      <c r="B4" s="180"/>
      <c r="C4" s="38" t="str">
        <f aca="false">TEXT(Summary!$C$10,"DD/MM/YYYY")&amp;"  →  "&amp;TEXT(Summary!$C$11,"DD/MM/YYYY")</f>
        <v>18/09/2026  →  25/09/2026</v>
      </c>
      <c r="D4" s="38"/>
      <c r="E4" s="38"/>
      <c r="G4" s="180" t="s">
        <v>103</v>
      </c>
      <c r="H4" s="180"/>
      <c r="I4" s="38" t="str">
        <f aca="false">Summary!$C$13</f>
        <v>GiangDC2</v>
      </c>
      <c r="J4" s="38"/>
    </row>
    <row r="5" customFormat="false" ht="15" hidden="false" customHeight="true" outlineLevel="0" collapsed="false">
      <c r="A5" s="182" t="s">
        <v>631</v>
      </c>
      <c r="B5" s="182"/>
      <c r="C5" s="182"/>
      <c r="D5" s="117" t="s">
        <v>632</v>
      </c>
      <c r="E5" s="117"/>
      <c r="F5" s="117"/>
      <c r="G5" s="117"/>
      <c r="H5" s="117"/>
      <c r="I5" s="117"/>
      <c r="J5" s="136" t="s">
        <v>58</v>
      </c>
      <c r="K5" s="136"/>
      <c r="L5" s="136"/>
      <c r="M5" s="136"/>
      <c r="N5" s="183" t="s">
        <v>633</v>
      </c>
      <c r="O5" s="183"/>
      <c r="P5" s="183"/>
      <c r="Q5" s="183"/>
      <c r="R5" s="183"/>
      <c r="S5" s="183"/>
      <c r="T5" s="184" t="s">
        <v>634</v>
      </c>
      <c r="U5" s="184"/>
      <c r="V5" s="184"/>
      <c r="W5" s="184"/>
      <c r="X5" s="184"/>
      <c r="Y5" s="184"/>
      <c r="Z5" s="183" t="s">
        <v>635</v>
      </c>
      <c r="AA5" s="183"/>
      <c r="AB5" s="183"/>
      <c r="AC5" s="183"/>
      <c r="AD5" s="183"/>
      <c r="AE5" s="183"/>
      <c r="AF5" s="184" t="s">
        <v>636</v>
      </c>
      <c r="AG5" s="184"/>
      <c r="AH5" s="184"/>
      <c r="AI5" s="184"/>
      <c r="AJ5" s="184"/>
      <c r="AK5" s="184"/>
      <c r="AL5" s="183" t="s">
        <v>637</v>
      </c>
      <c r="AM5" s="183"/>
      <c r="AN5" s="183"/>
      <c r="AO5" s="183"/>
      <c r="AP5" s="183"/>
      <c r="AQ5" s="183"/>
      <c r="AR5" s="185" t="s">
        <v>638</v>
      </c>
      <c r="AS5" s="185"/>
      <c r="AT5" s="185"/>
      <c r="AU5" s="185"/>
    </row>
    <row r="6" customFormat="false" ht="30" hidden="false" customHeight="true" outlineLevel="0" collapsed="false">
      <c r="A6" s="186" t="s">
        <v>639</v>
      </c>
      <c r="B6" s="186" t="s">
        <v>405</v>
      </c>
      <c r="C6" s="186" t="s">
        <v>640</v>
      </c>
      <c r="D6" s="125" t="s">
        <v>40</v>
      </c>
      <c r="E6" s="125" t="s">
        <v>32</v>
      </c>
      <c r="F6" s="125" t="s">
        <v>641</v>
      </c>
      <c r="G6" s="125" t="s">
        <v>642</v>
      </c>
      <c r="H6" s="125" t="s">
        <v>643</v>
      </c>
      <c r="I6" s="125" t="s">
        <v>644</v>
      </c>
      <c r="J6" s="175" t="s">
        <v>645</v>
      </c>
      <c r="K6" s="175" t="s">
        <v>62</v>
      </c>
      <c r="L6" s="175" t="s">
        <v>64</v>
      </c>
      <c r="M6" s="175" t="s">
        <v>66</v>
      </c>
      <c r="N6" s="187" t="s">
        <v>68</v>
      </c>
      <c r="O6" s="187" t="s">
        <v>70</v>
      </c>
      <c r="P6" s="187" t="s">
        <v>646</v>
      </c>
      <c r="Q6" s="187" t="s">
        <v>647</v>
      </c>
      <c r="R6" s="187" t="s">
        <v>648</v>
      </c>
      <c r="S6" s="187" t="s">
        <v>265</v>
      </c>
      <c r="T6" s="187" t="s">
        <v>68</v>
      </c>
      <c r="U6" s="187" t="s">
        <v>70</v>
      </c>
      <c r="V6" s="187" t="s">
        <v>646</v>
      </c>
      <c r="W6" s="187" t="s">
        <v>647</v>
      </c>
      <c r="X6" s="187" t="s">
        <v>648</v>
      </c>
      <c r="Y6" s="187" t="s">
        <v>265</v>
      </c>
      <c r="Z6" s="187" t="s">
        <v>68</v>
      </c>
      <c r="AA6" s="187" t="s">
        <v>70</v>
      </c>
      <c r="AB6" s="187" t="s">
        <v>646</v>
      </c>
      <c r="AC6" s="187" t="s">
        <v>647</v>
      </c>
      <c r="AD6" s="187" t="s">
        <v>648</v>
      </c>
      <c r="AE6" s="187" t="s">
        <v>265</v>
      </c>
      <c r="AF6" s="187" t="s">
        <v>68</v>
      </c>
      <c r="AG6" s="187" t="s">
        <v>70</v>
      </c>
      <c r="AH6" s="187" t="s">
        <v>646</v>
      </c>
      <c r="AI6" s="187" t="s">
        <v>647</v>
      </c>
      <c r="AJ6" s="187" t="s">
        <v>648</v>
      </c>
      <c r="AK6" s="187" t="s">
        <v>265</v>
      </c>
      <c r="AL6" s="187" t="s">
        <v>68</v>
      </c>
      <c r="AM6" s="187" t="s">
        <v>70</v>
      </c>
      <c r="AN6" s="187" t="s">
        <v>646</v>
      </c>
      <c r="AO6" s="187" t="s">
        <v>647</v>
      </c>
      <c r="AP6" s="187" t="s">
        <v>648</v>
      </c>
      <c r="AQ6" s="187" t="s">
        <v>265</v>
      </c>
      <c r="AR6" s="188" t="s">
        <v>649</v>
      </c>
      <c r="AS6" s="188" t="s">
        <v>650</v>
      </c>
      <c r="AT6" s="188" t="s">
        <v>50</v>
      </c>
      <c r="AU6" s="188" t="s">
        <v>651</v>
      </c>
    </row>
    <row r="7" customFormat="false" ht="60" hidden="false" customHeight="true" outlineLevel="0" collapsed="false">
      <c r="A7" s="189"/>
      <c r="B7" s="189"/>
      <c r="C7" s="190" t="s">
        <v>699</v>
      </c>
      <c r="D7" s="190"/>
      <c r="E7" s="190"/>
      <c r="F7" s="190"/>
      <c r="G7" s="190"/>
      <c r="H7" s="190"/>
      <c r="I7" s="190"/>
      <c r="J7" s="190"/>
      <c r="K7" s="190"/>
      <c r="L7" s="190"/>
      <c r="M7" s="190"/>
      <c r="N7" s="190"/>
      <c r="O7" s="190"/>
      <c r="P7" s="190"/>
      <c r="Q7" s="190"/>
      <c r="R7" s="190"/>
      <c r="S7" s="190"/>
      <c r="T7" s="190"/>
      <c r="U7" s="190"/>
      <c r="V7" s="190"/>
      <c r="W7" s="190"/>
      <c r="X7" s="190"/>
      <c r="Y7" s="190"/>
      <c r="Z7" s="190"/>
      <c r="AA7" s="190"/>
      <c r="AB7" s="190"/>
      <c r="AC7" s="190"/>
      <c r="AD7" s="190"/>
      <c r="AE7" s="190"/>
      <c r="AF7" s="190"/>
      <c r="AG7" s="190"/>
      <c r="AH7" s="190"/>
      <c r="AI7" s="190"/>
      <c r="AJ7" s="190"/>
      <c r="AK7" s="190"/>
      <c r="AL7" s="190"/>
      <c r="AM7" s="190"/>
      <c r="AN7" s="190"/>
      <c r="AO7" s="190"/>
      <c r="AP7" s="190"/>
      <c r="AQ7" s="190"/>
      <c r="AR7" s="190"/>
      <c r="AS7" s="190"/>
      <c r="AT7" s="190"/>
      <c r="AU7" s="190"/>
    </row>
    <row r="8" customFormat="false" ht="60" hidden="false" customHeight="true" outlineLevel="0" collapsed="false">
      <c r="A8" s="191" t="str">
        <f aca="false">IF($F8="","",$C$2&amp;"."&amp;COUNTA($F$7:$F8)&amp;"")</f>
        <v>TC_02.1</v>
      </c>
      <c r="B8" s="191" t="s">
        <v>433</v>
      </c>
      <c r="C8" s="191" t="s">
        <v>530</v>
      </c>
      <c r="D8" s="191" t="s">
        <v>41</v>
      </c>
      <c r="E8" s="191" t="s">
        <v>158</v>
      </c>
      <c r="F8" s="13" t="s">
        <v>700</v>
      </c>
      <c r="G8" s="13" t="s">
        <v>701</v>
      </c>
      <c r="H8" s="13" t="s">
        <v>702</v>
      </c>
      <c r="I8" s="13" t="s">
        <v>703</v>
      </c>
      <c r="J8" s="191" t="s">
        <v>658</v>
      </c>
      <c r="K8" s="191" t="s">
        <v>245</v>
      </c>
      <c r="L8" s="191"/>
      <c r="M8" s="191"/>
      <c r="N8" s="192"/>
      <c r="O8" s="192"/>
      <c r="P8" s="192"/>
      <c r="Q8" s="192"/>
      <c r="R8" s="192"/>
      <c r="S8" s="192"/>
      <c r="T8" s="192"/>
      <c r="U8" s="192"/>
      <c r="V8" s="192"/>
      <c r="W8" s="192"/>
      <c r="X8" s="192"/>
      <c r="Y8" s="192"/>
      <c r="Z8" s="192"/>
      <c r="AA8" s="192"/>
      <c r="AB8" s="192"/>
      <c r="AC8" s="192"/>
      <c r="AD8" s="192"/>
      <c r="AE8" s="192"/>
      <c r="AF8" s="192"/>
      <c r="AG8" s="192"/>
      <c r="AH8" s="192"/>
      <c r="AI8" s="192"/>
      <c r="AJ8" s="192"/>
      <c r="AK8" s="192"/>
      <c r="AL8" s="192"/>
      <c r="AM8" s="192"/>
      <c r="AN8" s="192"/>
      <c r="AO8" s="192"/>
      <c r="AP8" s="192"/>
      <c r="AQ8" s="192"/>
      <c r="AR8" s="193" t="str">
        <f aca="false">IF($A8="","",IF(OR($N8="Yes",$T8="Yes",$Z8="Yes",$AF8="Yes",$AL8="Yes"),"Yes","No"))</f>
        <v>No</v>
      </c>
      <c r="AS8" s="193" t="str">
        <f aca="false">IF($A8="","",IFERROR(IF($AM8&lt;&gt;"",$AM8,IF($AG8&lt;&gt;"",$AG8,IF($AA8&lt;&gt;"",$AA8,IF($U8&lt;&gt;"",$U8,IF($O8&lt;&gt;"",$O8,""))))),""))</f>
        <v/>
      </c>
      <c r="AT8" s="193" t="str">
        <f aca="false">IFERROR(IF($AN8&lt;&gt;"",$AN8,IF($AH8&lt;&gt;"",$AH8,IF($AB8&lt;&gt;"",$AB8,IF($V8&lt;&gt;"",$V8,IF($P8&lt;&gt;"",$P8,""))))),"")</f>
        <v/>
      </c>
      <c r="AU8" s="194"/>
    </row>
    <row r="9" customFormat="false" ht="60" hidden="false" customHeight="true" outlineLevel="0" collapsed="false">
      <c r="A9" s="191" t="str">
        <f aca="false">IF($F9="","",$C$2&amp;"."&amp;COUNTA($F$7:$F9)&amp;"")</f>
        <v>TC_02.2</v>
      </c>
      <c r="B9" s="191" t="s">
        <v>433</v>
      </c>
      <c r="C9" s="191" t="s">
        <v>530</v>
      </c>
      <c r="D9" s="191" t="s">
        <v>41</v>
      </c>
      <c r="E9" s="191" t="s">
        <v>158</v>
      </c>
      <c r="F9" s="13" t="s">
        <v>704</v>
      </c>
      <c r="G9" s="13" t="s">
        <v>705</v>
      </c>
      <c r="H9" s="13" t="s">
        <v>706</v>
      </c>
      <c r="I9" s="13" t="s">
        <v>707</v>
      </c>
      <c r="J9" s="191" t="s">
        <v>658</v>
      </c>
      <c r="K9" s="191" t="s">
        <v>245</v>
      </c>
      <c r="L9" s="191"/>
      <c r="M9" s="191"/>
      <c r="N9" s="192"/>
      <c r="O9" s="192"/>
      <c r="P9" s="192"/>
      <c r="Q9" s="192"/>
      <c r="R9" s="192"/>
      <c r="S9" s="192"/>
      <c r="T9" s="192"/>
      <c r="U9" s="192"/>
      <c r="V9" s="192"/>
      <c r="W9" s="192"/>
      <c r="X9" s="192"/>
      <c r="Y9" s="192"/>
      <c r="Z9" s="192"/>
      <c r="AA9" s="192"/>
      <c r="AB9" s="192"/>
      <c r="AC9" s="192"/>
      <c r="AD9" s="192"/>
      <c r="AE9" s="192"/>
      <c r="AF9" s="192"/>
      <c r="AG9" s="192"/>
      <c r="AH9" s="192"/>
      <c r="AI9" s="192"/>
      <c r="AJ9" s="192"/>
      <c r="AK9" s="192"/>
      <c r="AL9" s="192"/>
      <c r="AM9" s="192"/>
      <c r="AN9" s="192"/>
      <c r="AO9" s="192"/>
      <c r="AP9" s="192"/>
      <c r="AQ9" s="192"/>
      <c r="AR9" s="193" t="str">
        <f aca="false">IF($A9="","",IF(OR($N9="Yes",$T9="Yes",$Z9="Yes",$AF9="Yes",$AL9="Yes"),"Yes","No"))</f>
        <v>No</v>
      </c>
      <c r="AS9" s="193" t="str">
        <f aca="false">IF($A9="","",IFERROR(IF($AM9&lt;&gt;"",$AM9,IF($AG9&lt;&gt;"",$AG9,IF($AA9&lt;&gt;"",$AA9,IF($U9&lt;&gt;"",$U9,IF($O9&lt;&gt;"",$O9,""))))),""))</f>
        <v/>
      </c>
      <c r="AT9" s="193" t="str">
        <f aca="false">IFERROR(IF($AN9&lt;&gt;"",$AN9,IF($AH9&lt;&gt;"",$AH9,IF($AB9&lt;&gt;"",$AB9,IF($V9&lt;&gt;"",$V9,IF($P9&lt;&gt;"",$P9,""))))),"")</f>
        <v/>
      </c>
      <c r="AU9" s="194"/>
    </row>
    <row r="10" customFormat="false" ht="15" hidden="false" customHeight="true" outlineLevel="0" collapsed="false">
      <c r="A10" s="189"/>
      <c r="B10" s="189"/>
      <c r="C10" s="190" t="s">
        <v>708</v>
      </c>
      <c r="D10" s="190"/>
      <c r="E10" s="190"/>
      <c r="F10" s="190"/>
      <c r="G10" s="190"/>
      <c r="H10" s="190"/>
      <c r="I10" s="190"/>
      <c r="J10" s="190"/>
      <c r="K10" s="190"/>
      <c r="L10" s="190"/>
      <c r="M10" s="190"/>
      <c r="N10" s="190"/>
      <c r="O10" s="190"/>
      <c r="P10" s="190"/>
      <c r="Q10" s="190"/>
      <c r="R10" s="190"/>
      <c r="S10" s="190"/>
      <c r="T10" s="190"/>
      <c r="U10" s="190"/>
      <c r="V10" s="190"/>
      <c r="W10" s="190"/>
      <c r="X10" s="190"/>
      <c r="Y10" s="190"/>
      <c r="Z10" s="190"/>
      <c r="AA10" s="190"/>
      <c r="AB10" s="190"/>
      <c r="AC10" s="190"/>
      <c r="AD10" s="190"/>
      <c r="AE10" s="190"/>
      <c r="AF10" s="190"/>
      <c r="AG10" s="190"/>
      <c r="AH10" s="190"/>
      <c r="AI10" s="190"/>
      <c r="AJ10" s="190"/>
      <c r="AK10" s="190"/>
      <c r="AL10" s="190"/>
      <c r="AM10" s="190"/>
      <c r="AN10" s="190"/>
      <c r="AO10" s="190"/>
      <c r="AP10" s="190"/>
      <c r="AQ10" s="190"/>
      <c r="AR10" s="190"/>
      <c r="AS10" s="190"/>
      <c r="AT10" s="190"/>
      <c r="AU10" s="190"/>
    </row>
    <row r="11" customFormat="false" ht="124.5" hidden="false" customHeight="true" outlineLevel="0" collapsed="false">
      <c r="A11" s="191" t="str">
        <f aca="false">IF($F11="","",$C$2&amp;"."&amp;COUNTA($F$7:$F11)&amp;"")</f>
        <v>TC_02.3</v>
      </c>
      <c r="B11" s="191" t="s">
        <v>437</v>
      </c>
      <c r="C11" s="191" t="s">
        <v>530</v>
      </c>
      <c r="D11" s="191" t="s">
        <v>41</v>
      </c>
      <c r="E11" s="191" t="s">
        <v>159</v>
      </c>
      <c r="F11" s="13" t="s">
        <v>709</v>
      </c>
      <c r="G11" s="13" t="s">
        <v>710</v>
      </c>
      <c r="H11" s="13" t="s">
        <v>711</v>
      </c>
      <c r="I11" s="13" t="s">
        <v>712</v>
      </c>
      <c r="J11" s="191" t="s">
        <v>658</v>
      </c>
      <c r="K11" s="191" t="s">
        <v>245</v>
      </c>
      <c r="L11" s="191"/>
      <c r="M11" s="191"/>
      <c r="N11" s="192"/>
      <c r="O11" s="192"/>
      <c r="P11" s="192"/>
      <c r="Q11" s="192"/>
      <c r="R11" s="192"/>
      <c r="S11" s="192"/>
      <c r="T11" s="192"/>
      <c r="U11" s="192"/>
      <c r="V11" s="192"/>
      <c r="W11" s="192"/>
      <c r="X11" s="192"/>
      <c r="Y11" s="192"/>
      <c r="Z11" s="192"/>
      <c r="AA11" s="192"/>
      <c r="AB11" s="192"/>
      <c r="AC11" s="192"/>
      <c r="AD11" s="192"/>
      <c r="AE11" s="192"/>
      <c r="AF11" s="192"/>
      <c r="AG11" s="192"/>
      <c r="AH11" s="192"/>
      <c r="AI11" s="192"/>
      <c r="AJ11" s="192"/>
      <c r="AK11" s="192"/>
      <c r="AL11" s="192"/>
      <c r="AM11" s="192"/>
      <c r="AN11" s="192"/>
      <c r="AO11" s="192"/>
      <c r="AP11" s="192"/>
      <c r="AQ11" s="192"/>
      <c r="AR11" s="193" t="str">
        <f aca="false">IF($A11="","",IF(OR($N11="Yes",$T11="Yes",$Z11="Yes",$AF11="Yes",$AL11="Yes"),"Yes","No"))</f>
        <v>No</v>
      </c>
      <c r="AS11" s="193" t="str">
        <f aca="false">IF($A11="","",IFERROR(IF($AM11&lt;&gt;"",$AM11,IF($AG11&lt;&gt;"",$AG11,IF($AA11&lt;&gt;"",$AA11,IF($U11&lt;&gt;"",$U11,IF($O11&lt;&gt;"",$O11,""))))),""))</f>
        <v/>
      </c>
      <c r="AT11" s="193" t="str">
        <f aca="false">IFERROR(IF($AN11&lt;&gt;"",$AN11,IF($AH11&lt;&gt;"",$AH11,IF($AB11&lt;&gt;"",$AB11,IF($V11&lt;&gt;"",$V11,IF($P11&lt;&gt;"",$P11,""))))),"")</f>
        <v/>
      </c>
      <c r="AU11" s="194"/>
    </row>
    <row r="12" customFormat="false" ht="15" hidden="false" customHeight="true" outlineLevel="0" collapsed="false">
      <c r="A12" s="189"/>
      <c r="B12" s="189"/>
      <c r="C12" s="190" t="s">
        <v>713</v>
      </c>
      <c r="D12" s="190"/>
      <c r="E12" s="190"/>
      <c r="F12" s="190"/>
      <c r="G12" s="190"/>
      <c r="H12" s="190"/>
      <c r="I12" s="190"/>
      <c r="J12" s="190"/>
      <c r="K12" s="190"/>
      <c r="L12" s="190"/>
      <c r="M12" s="190"/>
      <c r="N12" s="190"/>
      <c r="O12" s="190"/>
      <c r="P12" s="190"/>
      <c r="Q12" s="190"/>
      <c r="R12" s="190"/>
      <c r="S12" s="190"/>
      <c r="T12" s="190"/>
      <c r="U12" s="190"/>
      <c r="V12" s="190"/>
      <c r="W12" s="190"/>
      <c r="X12" s="190"/>
      <c r="Y12" s="190"/>
      <c r="Z12" s="190"/>
      <c r="AA12" s="190"/>
      <c r="AB12" s="190"/>
      <c r="AC12" s="190"/>
      <c r="AD12" s="190"/>
      <c r="AE12" s="190"/>
      <c r="AF12" s="190"/>
      <c r="AG12" s="190"/>
      <c r="AH12" s="190"/>
      <c r="AI12" s="190"/>
      <c r="AJ12" s="190"/>
      <c r="AK12" s="190"/>
      <c r="AL12" s="190"/>
      <c r="AM12" s="190"/>
      <c r="AN12" s="190"/>
      <c r="AO12" s="190"/>
      <c r="AP12" s="190"/>
      <c r="AQ12" s="190"/>
      <c r="AR12" s="190"/>
      <c r="AS12" s="190"/>
      <c r="AT12" s="190"/>
      <c r="AU12" s="190"/>
    </row>
    <row r="13" customFormat="false" ht="168.75" hidden="false" customHeight="true" outlineLevel="0" collapsed="false">
      <c r="A13" s="191" t="str">
        <f aca="false">IF($F13="","",$C$2&amp;"."&amp;COUNTA($F$7:$F13)&amp;"")</f>
        <v>TC_02.4</v>
      </c>
      <c r="B13" s="191" t="s">
        <v>441</v>
      </c>
      <c r="C13" s="191" t="s">
        <v>530</v>
      </c>
      <c r="D13" s="191" t="s">
        <v>41</v>
      </c>
      <c r="E13" s="191" t="s">
        <v>159</v>
      </c>
      <c r="F13" s="13" t="s">
        <v>714</v>
      </c>
      <c r="G13" s="13" t="s">
        <v>715</v>
      </c>
      <c r="H13" s="13" t="s">
        <v>716</v>
      </c>
      <c r="I13" s="13" t="s">
        <v>717</v>
      </c>
      <c r="J13" s="191" t="s">
        <v>658</v>
      </c>
      <c r="K13" s="191" t="s">
        <v>245</v>
      </c>
      <c r="L13" s="191"/>
      <c r="M13" s="191"/>
      <c r="N13" s="192"/>
      <c r="O13" s="192"/>
      <c r="P13" s="192"/>
      <c r="Q13" s="192"/>
      <c r="R13" s="192"/>
      <c r="S13" s="192"/>
      <c r="T13" s="192"/>
      <c r="U13" s="192"/>
      <c r="V13" s="192"/>
      <c r="W13" s="192"/>
      <c r="X13" s="192"/>
      <c r="Y13" s="192"/>
      <c r="Z13" s="192"/>
      <c r="AA13" s="192"/>
      <c r="AB13" s="192"/>
      <c r="AC13" s="192"/>
      <c r="AD13" s="192"/>
      <c r="AE13" s="192"/>
      <c r="AF13" s="192"/>
      <c r="AG13" s="192"/>
      <c r="AH13" s="192"/>
      <c r="AI13" s="192"/>
      <c r="AJ13" s="192"/>
      <c r="AK13" s="192"/>
      <c r="AL13" s="192"/>
      <c r="AM13" s="192"/>
      <c r="AN13" s="192"/>
      <c r="AO13" s="192"/>
      <c r="AP13" s="192"/>
      <c r="AQ13" s="192"/>
      <c r="AR13" s="193" t="str">
        <f aca="false">IF($A13="","",IF(OR($N13="Yes",$T13="Yes",$Z13="Yes",$AF13="Yes",$AL13="Yes"),"Yes","No"))</f>
        <v>No</v>
      </c>
      <c r="AS13" s="193" t="str">
        <f aca="false">IF($A13="","",IFERROR(IF($AM13&lt;&gt;"",$AM13,IF($AG13&lt;&gt;"",$AG13,IF($AA13&lt;&gt;"",$AA13,IF($U13&lt;&gt;"",$U13,IF($O13&lt;&gt;"",$O13,""))))),""))</f>
        <v/>
      </c>
      <c r="AT13" s="193" t="str">
        <f aca="false">IFERROR(IF($AN13&lt;&gt;"",$AN13,IF($AH13&lt;&gt;"",$AH13,IF($AB13&lt;&gt;"",$AB13,IF($V13&lt;&gt;"",$V13,IF($P13&lt;&gt;"",$P13,""))))),"")</f>
        <v/>
      </c>
      <c r="AU13" s="194"/>
    </row>
    <row r="14" customFormat="false" ht="180" hidden="false" customHeight="true" outlineLevel="0" collapsed="false">
      <c r="A14" s="191" t="str">
        <f aca="false">IF($F14="","",$C$2&amp;"."&amp;COUNTA($F$7:$F14)&amp;"")</f>
        <v>TC_02.5</v>
      </c>
      <c r="B14" s="191" t="s">
        <v>441</v>
      </c>
      <c r="C14" s="191" t="s">
        <v>530</v>
      </c>
      <c r="D14" s="191" t="s">
        <v>41</v>
      </c>
      <c r="E14" s="191" t="s">
        <v>159</v>
      </c>
      <c r="F14" s="13" t="s">
        <v>718</v>
      </c>
      <c r="G14" s="13" t="s">
        <v>719</v>
      </c>
      <c r="H14" s="13" t="s">
        <v>720</v>
      </c>
      <c r="I14" s="13" t="s">
        <v>717</v>
      </c>
      <c r="J14" s="191" t="s">
        <v>658</v>
      </c>
      <c r="K14" s="191" t="s">
        <v>245</v>
      </c>
      <c r="L14" s="191"/>
      <c r="M14" s="191"/>
      <c r="N14" s="192"/>
      <c r="O14" s="192"/>
      <c r="P14" s="192"/>
      <c r="Q14" s="192"/>
      <c r="R14" s="192"/>
      <c r="S14" s="192"/>
      <c r="T14" s="192"/>
      <c r="U14" s="192"/>
      <c r="V14" s="192"/>
      <c r="W14" s="192"/>
      <c r="X14" s="192"/>
      <c r="Y14" s="192"/>
      <c r="Z14" s="192"/>
      <c r="AA14" s="192"/>
      <c r="AB14" s="192"/>
      <c r="AC14" s="192"/>
      <c r="AD14" s="192"/>
      <c r="AE14" s="192"/>
      <c r="AF14" s="192"/>
      <c r="AG14" s="192"/>
      <c r="AH14" s="192"/>
      <c r="AI14" s="192"/>
      <c r="AJ14" s="192"/>
      <c r="AK14" s="192"/>
      <c r="AL14" s="192"/>
      <c r="AM14" s="192"/>
      <c r="AN14" s="192"/>
      <c r="AO14" s="192"/>
      <c r="AP14" s="192"/>
      <c r="AQ14" s="192"/>
      <c r="AR14" s="193" t="str">
        <f aca="false">IF($A14="","",IF(OR($N14="Yes",$T14="Yes",$Z14="Yes",$AF14="Yes",$AL14="Yes"),"Yes","No"))</f>
        <v>No</v>
      </c>
      <c r="AS14" s="193" t="str">
        <f aca="false">IF($A14="","",IFERROR(IF($AM14&lt;&gt;"",$AM14,IF($AG14&lt;&gt;"",$AG14,IF($AA14&lt;&gt;"",$AA14,IF($U14&lt;&gt;"",$U14,IF($O14&lt;&gt;"",$O14,""))))),""))</f>
        <v/>
      </c>
      <c r="AT14" s="193" t="str">
        <f aca="false">IFERROR(IF($AN14&lt;&gt;"",$AN14,IF($AH14&lt;&gt;"",$AH14,IF($AB14&lt;&gt;"",$AB14,IF($V14&lt;&gt;"",$V14,IF($P14&lt;&gt;"",$P14,""))))),"")</f>
        <v/>
      </c>
      <c r="AU14" s="194"/>
    </row>
    <row r="15" customFormat="false" ht="147" hidden="false" customHeight="true" outlineLevel="0" collapsed="false">
      <c r="A15" s="191" t="str">
        <f aca="false">IF($F15="","",$C$2&amp;"."&amp;COUNTA($F$7:$F15)&amp;"")</f>
        <v>TC_02.6</v>
      </c>
      <c r="B15" s="191" t="s">
        <v>441</v>
      </c>
      <c r="C15" s="191" t="s">
        <v>530</v>
      </c>
      <c r="D15" s="191" t="s">
        <v>41</v>
      </c>
      <c r="E15" s="191" t="s">
        <v>159</v>
      </c>
      <c r="F15" s="13" t="s">
        <v>721</v>
      </c>
      <c r="G15" s="13" t="s">
        <v>722</v>
      </c>
      <c r="H15" s="13" t="s">
        <v>723</v>
      </c>
      <c r="I15" s="13" t="s">
        <v>717</v>
      </c>
      <c r="J15" s="191" t="s">
        <v>658</v>
      </c>
      <c r="K15" s="191" t="s">
        <v>245</v>
      </c>
      <c r="L15" s="191"/>
      <c r="M15" s="191"/>
      <c r="N15" s="192"/>
      <c r="O15" s="192"/>
      <c r="P15" s="192"/>
      <c r="Q15" s="192"/>
      <c r="R15" s="192"/>
      <c r="S15" s="192"/>
      <c r="T15" s="192"/>
      <c r="U15" s="192"/>
      <c r="V15" s="192"/>
      <c r="W15" s="192"/>
      <c r="X15" s="192"/>
      <c r="Y15" s="192"/>
      <c r="Z15" s="192"/>
      <c r="AA15" s="192"/>
      <c r="AB15" s="192"/>
      <c r="AC15" s="192"/>
      <c r="AD15" s="192"/>
      <c r="AE15" s="192"/>
      <c r="AF15" s="192"/>
      <c r="AG15" s="192"/>
      <c r="AH15" s="192"/>
      <c r="AI15" s="192"/>
      <c r="AJ15" s="192"/>
      <c r="AK15" s="192"/>
      <c r="AL15" s="192"/>
      <c r="AM15" s="192"/>
      <c r="AN15" s="192"/>
      <c r="AO15" s="192"/>
      <c r="AP15" s="192"/>
      <c r="AQ15" s="192"/>
      <c r="AR15" s="193" t="str">
        <f aca="false">IF($A15="","",IF(OR($N15="Yes",$T15="Yes",$Z15="Yes",$AF15="Yes",$AL15="Yes"),"Yes","No"))</f>
        <v>No</v>
      </c>
      <c r="AS15" s="193" t="str">
        <f aca="false">IF($A15="","",IFERROR(IF($AM15&lt;&gt;"",$AM15,IF($AG15&lt;&gt;"",$AG15,IF($AA15&lt;&gt;"",$AA15,IF($U15&lt;&gt;"",$U15,IF($O15&lt;&gt;"",$O15,""))))),""))</f>
        <v/>
      </c>
      <c r="AT15" s="193" t="str">
        <f aca="false">IFERROR(IF($AN15&lt;&gt;"",$AN15,IF($AH15&lt;&gt;"",$AH15,IF($AB15&lt;&gt;"",$AB15,IF($V15&lt;&gt;"",$V15,IF($P15&lt;&gt;"",$P15,""))))),"")</f>
        <v/>
      </c>
      <c r="AU15" s="194"/>
    </row>
    <row r="16" customFormat="false" ht="191.25" hidden="false" customHeight="true" outlineLevel="0" collapsed="false">
      <c r="A16" s="191" t="str">
        <f aca="false">IF($F16="","",$C$2&amp;"."&amp;COUNTA($F$7:$F16)&amp;"")</f>
        <v>TC_02.7</v>
      </c>
      <c r="B16" s="191" t="s">
        <v>441</v>
      </c>
      <c r="C16" s="191" t="s">
        <v>530</v>
      </c>
      <c r="D16" s="191" t="s">
        <v>41</v>
      </c>
      <c r="E16" s="191" t="s">
        <v>159</v>
      </c>
      <c r="F16" s="13" t="s">
        <v>724</v>
      </c>
      <c r="G16" s="13" t="s">
        <v>722</v>
      </c>
      <c r="H16" s="13" t="s">
        <v>725</v>
      </c>
      <c r="I16" s="13" t="s">
        <v>726</v>
      </c>
      <c r="J16" s="191" t="s">
        <v>658</v>
      </c>
      <c r="K16" s="191" t="s">
        <v>245</v>
      </c>
      <c r="L16" s="191"/>
      <c r="M16" s="191"/>
      <c r="N16" s="192"/>
      <c r="O16" s="192"/>
      <c r="P16" s="192"/>
      <c r="Q16" s="192"/>
      <c r="R16" s="192"/>
      <c r="S16" s="192"/>
      <c r="T16" s="192"/>
      <c r="U16" s="192"/>
      <c r="V16" s="192"/>
      <c r="W16" s="192"/>
      <c r="X16" s="192"/>
      <c r="Y16" s="192"/>
      <c r="Z16" s="192"/>
      <c r="AA16" s="192"/>
      <c r="AB16" s="192"/>
      <c r="AC16" s="192"/>
      <c r="AD16" s="192"/>
      <c r="AE16" s="192"/>
      <c r="AF16" s="192"/>
      <c r="AG16" s="192"/>
      <c r="AH16" s="192"/>
      <c r="AI16" s="192"/>
      <c r="AJ16" s="192"/>
      <c r="AK16" s="192"/>
      <c r="AL16" s="192"/>
      <c r="AM16" s="192"/>
      <c r="AN16" s="192"/>
      <c r="AO16" s="192"/>
      <c r="AP16" s="192"/>
      <c r="AQ16" s="192"/>
      <c r="AR16" s="193" t="str">
        <f aca="false">IF($A16="","",IF(OR($N16="Yes",$T16="Yes",$Z16="Yes",$AF16="Yes",$AL16="Yes"),"Yes","No"))</f>
        <v>No</v>
      </c>
      <c r="AS16" s="193" t="str">
        <f aca="false">IF($A16="","",IFERROR(IF($AM16&lt;&gt;"",$AM16,IF($AG16&lt;&gt;"",$AG16,IF($AA16&lt;&gt;"",$AA16,IF($U16&lt;&gt;"",$U16,IF($O16&lt;&gt;"",$O16,""))))),""))</f>
        <v/>
      </c>
      <c r="AT16" s="193" t="str">
        <f aca="false">IFERROR(IF($AN16&lt;&gt;"",$AN16,IF($AH16&lt;&gt;"",$AH16,IF($AB16&lt;&gt;"",$AB16,IF($V16&lt;&gt;"",$V16,IF($P16&lt;&gt;"",$P16,""))))),"")</f>
        <v/>
      </c>
      <c r="AU16" s="194"/>
    </row>
    <row r="17" customFormat="false" ht="15" hidden="false" customHeight="true" outlineLevel="0" collapsed="false">
      <c r="A17" s="189"/>
      <c r="B17" s="189"/>
      <c r="C17" s="190" t="s">
        <v>727</v>
      </c>
      <c r="D17" s="190"/>
      <c r="E17" s="190"/>
      <c r="F17" s="190"/>
      <c r="G17" s="190"/>
      <c r="H17" s="190"/>
      <c r="I17" s="190"/>
      <c r="J17" s="190"/>
      <c r="K17" s="190"/>
      <c r="L17" s="190"/>
      <c r="M17" s="190"/>
      <c r="N17" s="190"/>
      <c r="O17" s="190"/>
      <c r="P17" s="190"/>
      <c r="Q17" s="190"/>
      <c r="R17" s="190"/>
      <c r="S17" s="190"/>
      <c r="T17" s="190"/>
      <c r="U17" s="190"/>
      <c r="V17" s="190"/>
      <c r="W17" s="190"/>
      <c r="X17" s="190"/>
      <c r="Y17" s="190"/>
      <c r="Z17" s="190"/>
      <c r="AA17" s="190"/>
      <c r="AB17" s="190"/>
      <c r="AC17" s="190"/>
      <c r="AD17" s="190"/>
      <c r="AE17" s="190"/>
      <c r="AF17" s="190"/>
      <c r="AG17" s="190"/>
      <c r="AH17" s="190"/>
      <c r="AI17" s="190"/>
      <c r="AJ17" s="190"/>
      <c r="AK17" s="190"/>
      <c r="AL17" s="190"/>
      <c r="AM17" s="190"/>
      <c r="AN17" s="190"/>
      <c r="AO17" s="190"/>
      <c r="AP17" s="190"/>
      <c r="AQ17" s="190"/>
      <c r="AR17" s="190"/>
      <c r="AS17" s="190"/>
      <c r="AT17" s="190"/>
      <c r="AU17" s="190"/>
    </row>
    <row r="18" customFormat="false" ht="168.75" hidden="false" customHeight="true" outlineLevel="0" collapsed="false">
      <c r="A18" s="191" t="str">
        <f aca="false">IF($F18="","",$C$2&amp;"."&amp;COUNTA($F$7:$F18)&amp;"")</f>
        <v>TC_02.8</v>
      </c>
      <c r="B18" s="191" t="s">
        <v>445</v>
      </c>
      <c r="C18" s="191" t="s">
        <v>530</v>
      </c>
      <c r="D18" s="191" t="s">
        <v>41</v>
      </c>
      <c r="E18" s="191" t="s">
        <v>159</v>
      </c>
      <c r="F18" s="13" t="s">
        <v>728</v>
      </c>
      <c r="G18" s="13" t="s">
        <v>729</v>
      </c>
      <c r="H18" s="13" t="s">
        <v>730</v>
      </c>
      <c r="I18" s="13" t="s">
        <v>731</v>
      </c>
      <c r="J18" s="191" t="s">
        <v>658</v>
      </c>
      <c r="K18" s="191" t="s">
        <v>245</v>
      </c>
      <c r="L18" s="191"/>
      <c r="M18" s="191"/>
      <c r="N18" s="192"/>
      <c r="O18" s="192"/>
      <c r="P18" s="192"/>
      <c r="Q18" s="192"/>
      <c r="R18" s="192"/>
      <c r="S18" s="192"/>
      <c r="T18" s="192"/>
      <c r="U18" s="192"/>
      <c r="V18" s="192"/>
      <c r="W18" s="192"/>
      <c r="X18" s="192"/>
      <c r="Y18" s="192"/>
      <c r="Z18" s="192"/>
      <c r="AA18" s="192"/>
      <c r="AB18" s="192"/>
      <c r="AC18" s="192"/>
      <c r="AD18" s="192"/>
      <c r="AE18" s="192"/>
      <c r="AF18" s="192"/>
      <c r="AG18" s="192"/>
      <c r="AH18" s="192"/>
      <c r="AI18" s="192"/>
      <c r="AJ18" s="192"/>
      <c r="AK18" s="192"/>
      <c r="AL18" s="192"/>
      <c r="AM18" s="192"/>
      <c r="AN18" s="192"/>
      <c r="AO18" s="192"/>
      <c r="AP18" s="192"/>
      <c r="AQ18" s="192"/>
      <c r="AR18" s="193" t="str">
        <f aca="false">IF($A18="","",IF(OR($N18="Yes",$T18="Yes",$Z18="Yes",$AF18="Yes",$AL18="Yes"),"Yes","No"))</f>
        <v>No</v>
      </c>
      <c r="AS18" s="193" t="str">
        <f aca="false">IF($A18="","",IFERROR(IF($AM18&lt;&gt;"",$AM18,IF($AG18&lt;&gt;"",$AG18,IF($AA18&lt;&gt;"",$AA18,IF($U18&lt;&gt;"",$U18,IF($O18&lt;&gt;"",$O18,""))))),""))</f>
        <v/>
      </c>
      <c r="AT18" s="193" t="str">
        <f aca="false">IFERROR(IF($AN18&lt;&gt;"",$AN18,IF($AH18&lt;&gt;"",$AH18,IF($AB18&lt;&gt;"",$AB18,IF($V18&lt;&gt;"",$V18,IF($P18&lt;&gt;"",$P18,""))))),"")</f>
        <v/>
      </c>
      <c r="AU18" s="194"/>
    </row>
    <row r="19" customFormat="false" ht="113.25" hidden="false" customHeight="true" outlineLevel="0" collapsed="false">
      <c r="A19" s="191" t="str">
        <f aca="false">IF($F19="","",$C$2&amp;"."&amp;COUNTA($F$7:$F19)&amp;"")</f>
        <v>TC_02.9</v>
      </c>
      <c r="B19" s="191" t="s">
        <v>445</v>
      </c>
      <c r="C19" s="191" t="s">
        <v>530</v>
      </c>
      <c r="D19" s="191" t="s">
        <v>41</v>
      </c>
      <c r="E19" s="191" t="s">
        <v>159</v>
      </c>
      <c r="F19" s="13" t="s">
        <v>732</v>
      </c>
      <c r="G19" s="13" t="s">
        <v>729</v>
      </c>
      <c r="H19" s="13" t="s">
        <v>733</v>
      </c>
      <c r="I19" s="13" t="s">
        <v>734</v>
      </c>
      <c r="J19" s="191" t="s">
        <v>658</v>
      </c>
      <c r="K19" s="191" t="s">
        <v>245</v>
      </c>
      <c r="L19" s="191"/>
      <c r="M19" s="191"/>
      <c r="N19" s="192"/>
      <c r="O19" s="192"/>
      <c r="P19" s="192"/>
      <c r="Q19" s="192"/>
      <c r="R19" s="192"/>
      <c r="S19" s="192"/>
      <c r="T19" s="192"/>
      <c r="U19" s="192"/>
      <c r="V19" s="192"/>
      <c r="W19" s="192"/>
      <c r="X19" s="192"/>
      <c r="Y19" s="192"/>
      <c r="Z19" s="192"/>
      <c r="AA19" s="192"/>
      <c r="AB19" s="192"/>
      <c r="AC19" s="192"/>
      <c r="AD19" s="192"/>
      <c r="AE19" s="192"/>
      <c r="AF19" s="192"/>
      <c r="AG19" s="192"/>
      <c r="AH19" s="192"/>
      <c r="AI19" s="192"/>
      <c r="AJ19" s="192"/>
      <c r="AK19" s="192"/>
      <c r="AL19" s="192"/>
      <c r="AM19" s="192"/>
      <c r="AN19" s="192"/>
      <c r="AO19" s="192"/>
      <c r="AP19" s="192"/>
      <c r="AQ19" s="192"/>
      <c r="AR19" s="193" t="str">
        <f aca="false">IF($A19="","",IF(OR($N19="Yes",$T19="Yes",$Z19="Yes",$AF19="Yes",$AL19="Yes"),"Yes","No"))</f>
        <v>No</v>
      </c>
      <c r="AS19" s="193" t="str">
        <f aca="false">IF($A19="","",IFERROR(IF($AM19&lt;&gt;"",$AM19,IF($AG19&lt;&gt;"",$AG19,IF($AA19&lt;&gt;"",$AA19,IF($U19&lt;&gt;"",$U19,IF($O19&lt;&gt;"",$O19,""))))),""))</f>
        <v/>
      </c>
      <c r="AT19" s="193" t="str">
        <f aca="false">IFERROR(IF($AN19&lt;&gt;"",$AN19,IF($AH19&lt;&gt;"",$AH19,IF($AB19&lt;&gt;"",$AB19,IF($V19&lt;&gt;"",$V19,IF($P19&lt;&gt;"",$P19,""))))),"")</f>
        <v/>
      </c>
      <c r="AU19" s="194"/>
    </row>
    <row r="20" customFormat="false" ht="168.75" hidden="false" customHeight="true" outlineLevel="0" collapsed="false">
      <c r="A20" s="191" t="str">
        <f aca="false">IF($F20="","",$C$2&amp;"."&amp;COUNTA($F$7:$F20)&amp;"")</f>
        <v>TC_02.10</v>
      </c>
      <c r="B20" s="191" t="s">
        <v>445</v>
      </c>
      <c r="C20" s="191" t="s">
        <v>530</v>
      </c>
      <c r="D20" s="191" t="s">
        <v>41</v>
      </c>
      <c r="E20" s="191" t="s">
        <v>159</v>
      </c>
      <c r="F20" s="13" t="s">
        <v>735</v>
      </c>
      <c r="G20" s="13" t="s">
        <v>729</v>
      </c>
      <c r="H20" s="13" t="s">
        <v>736</v>
      </c>
      <c r="I20" s="13" t="s">
        <v>737</v>
      </c>
      <c r="J20" s="191" t="s">
        <v>658</v>
      </c>
      <c r="K20" s="191" t="s">
        <v>245</v>
      </c>
      <c r="L20" s="191"/>
      <c r="M20" s="191"/>
      <c r="N20" s="192"/>
      <c r="O20" s="192"/>
      <c r="P20" s="192"/>
      <c r="Q20" s="192"/>
      <c r="R20" s="192"/>
      <c r="S20" s="192"/>
      <c r="T20" s="192"/>
      <c r="U20" s="192"/>
      <c r="V20" s="192"/>
      <c r="W20" s="192"/>
      <c r="X20" s="192"/>
      <c r="Y20" s="192"/>
      <c r="Z20" s="192"/>
      <c r="AA20" s="192"/>
      <c r="AB20" s="192"/>
      <c r="AC20" s="192"/>
      <c r="AD20" s="192"/>
      <c r="AE20" s="192"/>
      <c r="AF20" s="192"/>
      <c r="AG20" s="192"/>
      <c r="AH20" s="192"/>
      <c r="AI20" s="192"/>
      <c r="AJ20" s="192"/>
      <c r="AK20" s="192"/>
      <c r="AL20" s="192"/>
      <c r="AM20" s="192"/>
      <c r="AN20" s="192"/>
      <c r="AO20" s="192"/>
      <c r="AP20" s="192"/>
      <c r="AQ20" s="192"/>
      <c r="AR20" s="193" t="str">
        <f aca="false">IF($A20="","",IF(OR($N20="Yes",$T20="Yes",$Z20="Yes",$AF20="Yes",$AL20="Yes"),"Yes","No"))</f>
        <v>No</v>
      </c>
      <c r="AS20" s="193" t="str">
        <f aca="false">IF($A20="","",IFERROR(IF($AM20&lt;&gt;"",$AM20,IF($AG20&lt;&gt;"",$AG20,IF($AA20&lt;&gt;"",$AA20,IF($U20&lt;&gt;"",$U20,IF($O20&lt;&gt;"",$O20,""))))),""))</f>
        <v/>
      </c>
      <c r="AT20" s="193" t="str">
        <f aca="false">IFERROR(IF($AN20&lt;&gt;"",$AN20,IF($AH20&lt;&gt;"",$AH20,IF($AB20&lt;&gt;"",$AB20,IF($V20&lt;&gt;"",$V20,IF($P20&lt;&gt;"",$P20,""))))),"")</f>
        <v/>
      </c>
      <c r="AU20" s="194"/>
    </row>
    <row r="21" customFormat="false" ht="15.75" hidden="false" customHeight="true" outlineLevel="0" collapsed="false">
      <c r="A21" s="191" t="str">
        <f aca="false">IF($F21="","",$C$2&amp;"."&amp;COUNTA($F$7:$F21)&amp;"")</f>
        <v>TC_02.11</v>
      </c>
      <c r="B21" s="191" t="s">
        <v>445</v>
      </c>
      <c r="C21" s="191" t="s">
        <v>530</v>
      </c>
      <c r="D21" s="191" t="s">
        <v>41</v>
      </c>
      <c r="E21" s="191" t="s">
        <v>159</v>
      </c>
      <c r="F21" s="13" t="s">
        <v>738</v>
      </c>
      <c r="G21" s="13" t="s">
        <v>739</v>
      </c>
      <c r="H21" s="13" t="s">
        <v>740</v>
      </c>
      <c r="I21" s="13" t="s">
        <v>741</v>
      </c>
      <c r="J21" s="191" t="s">
        <v>658</v>
      </c>
      <c r="K21" s="191" t="s">
        <v>245</v>
      </c>
      <c r="L21" s="191"/>
      <c r="M21" s="191"/>
      <c r="N21" s="192"/>
      <c r="O21" s="192"/>
      <c r="P21" s="192"/>
      <c r="Q21" s="192"/>
      <c r="R21" s="192"/>
      <c r="S21" s="192"/>
      <c r="T21" s="192"/>
      <c r="U21" s="192"/>
      <c r="V21" s="192"/>
      <c r="W21" s="192"/>
      <c r="X21" s="192"/>
      <c r="Y21" s="192"/>
      <c r="Z21" s="192"/>
      <c r="AA21" s="192"/>
      <c r="AB21" s="192"/>
      <c r="AC21" s="192"/>
      <c r="AD21" s="192"/>
      <c r="AE21" s="192"/>
      <c r="AF21" s="192"/>
      <c r="AG21" s="192"/>
      <c r="AH21" s="192"/>
      <c r="AI21" s="192"/>
      <c r="AJ21" s="192"/>
      <c r="AK21" s="192"/>
      <c r="AL21" s="192"/>
      <c r="AM21" s="192"/>
      <c r="AN21" s="192"/>
      <c r="AO21" s="192"/>
      <c r="AP21" s="192"/>
      <c r="AQ21" s="192"/>
      <c r="AR21" s="193" t="str">
        <f aca="false">IF($A21="","",IF(OR($N21="Yes",$T21="Yes",$Z21="Yes",$AF21="Yes",$AL21="Yes"),"Yes","No"))</f>
        <v>No</v>
      </c>
      <c r="AS21" s="193" t="str">
        <f aca="false">IF($A21="","",IFERROR(IF($AM21&lt;&gt;"",$AM21,IF($AG21&lt;&gt;"",$AG21,IF($AA21&lt;&gt;"",$AA21,IF($U21&lt;&gt;"",$U21,IF($O21&lt;&gt;"",$O21,""))))),""))</f>
        <v/>
      </c>
      <c r="AT21" s="193" t="str">
        <f aca="false">IFERROR(IF($AN21&lt;&gt;"",$AN21,IF($AH21&lt;&gt;"",$AH21,IF($AB21&lt;&gt;"",$AB21,IF($V21&lt;&gt;"",$V21,IF($P21&lt;&gt;"",$P21,""))))),"")</f>
        <v/>
      </c>
      <c r="AU21" s="194"/>
    </row>
    <row r="22" customFormat="false" ht="15.75" hidden="false" customHeight="true" outlineLevel="0" collapsed="false">
      <c r="A22" s="189"/>
      <c r="B22" s="189"/>
      <c r="C22" s="190" t="s">
        <v>742</v>
      </c>
      <c r="D22" s="190"/>
      <c r="E22" s="190"/>
      <c r="F22" s="190"/>
      <c r="G22" s="190"/>
      <c r="H22" s="190"/>
      <c r="I22" s="190"/>
      <c r="J22" s="190"/>
      <c r="K22" s="190"/>
      <c r="L22" s="190"/>
      <c r="M22" s="190"/>
      <c r="N22" s="190"/>
      <c r="O22" s="190"/>
      <c r="P22" s="190"/>
      <c r="Q22" s="190"/>
      <c r="R22" s="190"/>
      <c r="S22" s="190"/>
      <c r="T22" s="190"/>
      <c r="U22" s="190"/>
      <c r="V22" s="190"/>
      <c r="W22" s="190"/>
      <c r="X22" s="190"/>
      <c r="Y22" s="190"/>
      <c r="Z22" s="190"/>
      <c r="AA22" s="190"/>
      <c r="AB22" s="190"/>
      <c r="AC22" s="190"/>
      <c r="AD22" s="190"/>
      <c r="AE22" s="190"/>
      <c r="AF22" s="190"/>
      <c r="AG22" s="190"/>
      <c r="AH22" s="190"/>
      <c r="AI22" s="190"/>
      <c r="AJ22" s="190"/>
      <c r="AK22" s="190"/>
      <c r="AL22" s="190"/>
      <c r="AM22" s="190"/>
      <c r="AN22" s="190"/>
      <c r="AO22" s="190"/>
      <c r="AP22" s="190"/>
      <c r="AQ22" s="190"/>
      <c r="AR22" s="190"/>
      <c r="AS22" s="190"/>
      <c r="AT22" s="190"/>
      <c r="AU22" s="190"/>
    </row>
    <row r="23" customFormat="false" ht="15.75" hidden="false" customHeight="true" outlineLevel="0" collapsed="false">
      <c r="A23" s="191" t="str">
        <f aca="false">IF($F23="","",$C$2&amp;"."&amp;COUNTA($F$7:$F23)&amp;"")</f>
        <v>TC_02.12</v>
      </c>
      <c r="B23" s="191" t="s">
        <v>449</v>
      </c>
      <c r="C23" s="191" t="s">
        <v>530</v>
      </c>
      <c r="D23" s="191" t="s">
        <v>41</v>
      </c>
      <c r="E23" s="191" t="s">
        <v>160</v>
      </c>
      <c r="F23" s="13" t="s">
        <v>743</v>
      </c>
      <c r="G23" s="13" t="s">
        <v>744</v>
      </c>
      <c r="H23" s="13" t="s">
        <v>745</v>
      </c>
      <c r="I23" s="13" t="s">
        <v>746</v>
      </c>
      <c r="J23" s="191" t="s">
        <v>658</v>
      </c>
      <c r="K23" s="191" t="s">
        <v>245</v>
      </c>
      <c r="L23" s="191"/>
      <c r="M23" s="191"/>
      <c r="N23" s="192"/>
      <c r="O23" s="192"/>
      <c r="P23" s="192"/>
      <c r="Q23" s="192"/>
      <c r="R23" s="192"/>
      <c r="S23" s="192"/>
      <c r="T23" s="192"/>
      <c r="U23" s="192"/>
      <c r="V23" s="192"/>
      <c r="W23" s="192"/>
      <c r="X23" s="192"/>
      <c r="Y23" s="192"/>
      <c r="Z23" s="192"/>
      <c r="AA23" s="192"/>
      <c r="AB23" s="192"/>
      <c r="AC23" s="192"/>
      <c r="AD23" s="192"/>
      <c r="AE23" s="192"/>
      <c r="AF23" s="192"/>
      <c r="AG23" s="192"/>
      <c r="AH23" s="192"/>
      <c r="AI23" s="192"/>
      <c r="AJ23" s="192"/>
      <c r="AK23" s="192"/>
      <c r="AL23" s="192"/>
      <c r="AM23" s="192"/>
      <c r="AN23" s="192"/>
      <c r="AO23" s="192"/>
      <c r="AP23" s="192"/>
      <c r="AQ23" s="192"/>
      <c r="AR23" s="193" t="str">
        <f aca="false">IF($A23="","",IF(OR($N23="Yes",$T23="Yes",$Z23="Yes",$AF23="Yes",$AL23="Yes"),"Yes","No"))</f>
        <v>No</v>
      </c>
      <c r="AS23" s="193" t="str">
        <f aca="false">IF($A23="","",IFERROR(IF($AM23&lt;&gt;"",$AM23,IF($AG23&lt;&gt;"",$AG23,IF($AA23&lt;&gt;"",$AA23,IF($U23&lt;&gt;"",$U23,IF($O23&lt;&gt;"",$O23,""))))),""))</f>
        <v/>
      </c>
      <c r="AT23" s="193" t="str">
        <f aca="false">IFERROR(IF($AN23&lt;&gt;"",$AN23,IF($AH23&lt;&gt;"",$AH23,IF($AB23&lt;&gt;"",$AB23,IF($V23&lt;&gt;"",$V23,IF($P23&lt;&gt;"",$P23,""))))),"")</f>
        <v/>
      </c>
      <c r="AU23" s="194"/>
    </row>
    <row r="24" customFormat="false" ht="15.75" hidden="false" customHeight="true" outlineLevel="0" collapsed="false">
      <c r="A24" s="189"/>
      <c r="B24" s="189"/>
      <c r="C24" s="190" t="s">
        <v>747</v>
      </c>
      <c r="D24" s="190"/>
      <c r="E24" s="190"/>
      <c r="F24" s="190"/>
      <c r="G24" s="190"/>
      <c r="H24" s="190"/>
      <c r="I24" s="190"/>
      <c r="J24" s="190"/>
      <c r="K24" s="190"/>
      <c r="L24" s="190"/>
      <c r="M24" s="190"/>
      <c r="N24" s="190"/>
      <c r="O24" s="190"/>
      <c r="P24" s="190"/>
      <c r="Q24" s="190"/>
      <c r="R24" s="190"/>
      <c r="S24" s="190"/>
      <c r="T24" s="190"/>
      <c r="U24" s="190"/>
      <c r="V24" s="190"/>
      <c r="W24" s="190"/>
      <c r="X24" s="190"/>
      <c r="Y24" s="190"/>
      <c r="Z24" s="190"/>
      <c r="AA24" s="190"/>
      <c r="AB24" s="190"/>
      <c r="AC24" s="190"/>
      <c r="AD24" s="190"/>
      <c r="AE24" s="190"/>
      <c r="AF24" s="190"/>
      <c r="AG24" s="190"/>
      <c r="AH24" s="190"/>
      <c r="AI24" s="190"/>
      <c r="AJ24" s="190"/>
      <c r="AK24" s="190"/>
      <c r="AL24" s="190"/>
      <c r="AM24" s="190"/>
      <c r="AN24" s="190"/>
      <c r="AO24" s="190"/>
      <c r="AP24" s="190"/>
      <c r="AQ24" s="190"/>
      <c r="AR24" s="190"/>
      <c r="AS24" s="190"/>
      <c r="AT24" s="190"/>
      <c r="AU24" s="190"/>
    </row>
    <row r="25" customFormat="false" ht="15.75" hidden="false" customHeight="true" outlineLevel="0" collapsed="false">
      <c r="A25" s="191" t="str">
        <f aca="false">IF($F25="","",$C$2&amp;"."&amp;COUNTA($F$7:$F25)&amp;"")</f>
        <v>TC_02.13</v>
      </c>
      <c r="B25" s="191" t="s">
        <v>453</v>
      </c>
      <c r="C25" s="191" t="s">
        <v>530</v>
      </c>
      <c r="D25" s="191" t="s">
        <v>41</v>
      </c>
      <c r="E25" s="191" t="s">
        <v>159</v>
      </c>
      <c r="F25" s="13" t="s">
        <v>748</v>
      </c>
      <c r="G25" s="13" t="s">
        <v>749</v>
      </c>
      <c r="H25" s="13" t="s">
        <v>750</v>
      </c>
      <c r="I25" s="13" t="s">
        <v>751</v>
      </c>
      <c r="J25" s="191" t="s">
        <v>658</v>
      </c>
      <c r="K25" s="191" t="s">
        <v>245</v>
      </c>
      <c r="L25" s="191"/>
      <c r="M25" s="191"/>
      <c r="N25" s="192"/>
      <c r="O25" s="192"/>
      <c r="P25" s="192"/>
      <c r="Q25" s="192"/>
      <c r="R25" s="192"/>
      <c r="S25" s="192"/>
      <c r="T25" s="192"/>
      <c r="U25" s="192"/>
      <c r="V25" s="192"/>
      <c r="W25" s="192"/>
      <c r="X25" s="192"/>
      <c r="Y25" s="192"/>
      <c r="Z25" s="192"/>
      <c r="AA25" s="192"/>
      <c r="AB25" s="192"/>
      <c r="AC25" s="192"/>
      <c r="AD25" s="192"/>
      <c r="AE25" s="192"/>
      <c r="AF25" s="192"/>
      <c r="AG25" s="192"/>
      <c r="AH25" s="192"/>
      <c r="AI25" s="192"/>
      <c r="AJ25" s="192"/>
      <c r="AK25" s="192"/>
      <c r="AL25" s="192"/>
      <c r="AM25" s="192"/>
      <c r="AN25" s="192"/>
      <c r="AO25" s="192"/>
      <c r="AP25" s="192"/>
      <c r="AQ25" s="192"/>
      <c r="AR25" s="193" t="str">
        <f aca="false">IF($A25="","",IF(OR($N25="Yes",$T25="Yes",$Z25="Yes",$AF25="Yes",$AL25="Yes"),"Yes","No"))</f>
        <v>No</v>
      </c>
      <c r="AS25" s="193" t="str">
        <f aca="false">IF($A25="","",IFERROR(IF($AM25&lt;&gt;"",$AM25,IF($AG25&lt;&gt;"",$AG25,IF($AA25&lt;&gt;"",$AA25,IF($U25&lt;&gt;"",$U25,IF($O25&lt;&gt;"",$O25,""))))),""))</f>
        <v/>
      </c>
      <c r="AT25" s="193" t="str">
        <f aca="false">IFERROR(IF($AN25&lt;&gt;"",$AN25,IF($AH25&lt;&gt;"",$AH25,IF($AB25&lt;&gt;"",$AB25,IF($V25&lt;&gt;"",$V25,IF($P25&lt;&gt;"",$P25,""))))),"")</f>
        <v/>
      </c>
      <c r="AU25" s="194"/>
    </row>
    <row r="26" customFormat="false" ht="15.75" hidden="false" customHeight="true" outlineLevel="0" collapsed="false">
      <c r="A26" s="191"/>
      <c r="B26" s="191"/>
      <c r="C26" s="191"/>
      <c r="D26" s="191"/>
      <c r="E26" s="191"/>
      <c r="F26" s="191"/>
      <c r="G26" s="191"/>
      <c r="H26" s="191"/>
      <c r="I26" s="191"/>
      <c r="J26" s="191"/>
      <c r="K26" s="191"/>
      <c r="L26" s="191"/>
      <c r="M26" s="191"/>
      <c r="N26" s="191"/>
      <c r="O26" s="191"/>
      <c r="P26" s="191"/>
      <c r="Q26" s="191"/>
      <c r="AR26" s="195"/>
      <c r="AS26" s="195"/>
    </row>
    <row r="27" customFormat="false" ht="15.75" hidden="false" customHeight="true" outlineLevel="0" collapsed="false">
      <c r="A27" s="191"/>
      <c r="B27" s="191"/>
      <c r="C27" s="191"/>
      <c r="D27" s="191"/>
      <c r="E27" s="191"/>
      <c r="F27" s="191"/>
      <c r="G27" s="191"/>
      <c r="H27" s="191"/>
      <c r="I27" s="191"/>
      <c r="J27" s="191"/>
      <c r="K27" s="191"/>
      <c r="L27" s="191"/>
      <c r="M27" s="191"/>
      <c r="N27" s="191"/>
      <c r="O27" s="191"/>
      <c r="P27" s="191"/>
      <c r="Q27" s="191"/>
      <c r="AR27" s="195"/>
      <c r="AS27" s="195"/>
    </row>
    <row r="28" customFormat="false" ht="15.75" hidden="false" customHeight="true" outlineLevel="0" collapsed="false">
      <c r="A28" s="191"/>
      <c r="B28" s="191"/>
      <c r="C28" s="191"/>
      <c r="D28" s="191"/>
      <c r="E28" s="191"/>
      <c r="F28" s="191"/>
      <c r="G28" s="191"/>
      <c r="H28" s="191"/>
      <c r="I28" s="191"/>
      <c r="J28" s="191"/>
      <c r="K28" s="191"/>
      <c r="L28" s="191"/>
      <c r="M28" s="191"/>
      <c r="N28" s="191"/>
      <c r="O28" s="191"/>
      <c r="P28" s="191"/>
      <c r="Q28" s="191"/>
      <c r="AR28" s="195"/>
      <c r="AS28" s="195"/>
    </row>
    <row r="29" customFormat="false" ht="15.75" hidden="false" customHeight="true" outlineLevel="0" collapsed="false">
      <c r="A29" s="191"/>
      <c r="B29" s="191"/>
      <c r="C29" s="191"/>
      <c r="D29" s="191"/>
      <c r="E29" s="191"/>
      <c r="F29" s="191"/>
      <c r="G29" s="191"/>
      <c r="H29" s="191"/>
      <c r="I29" s="191"/>
      <c r="J29" s="191"/>
      <c r="K29" s="191"/>
      <c r="L29" s="191"/>
      <c r="M29" s="191"/>
      <c r="N29" s="191"/>
      <c r="O29" s="191"/>
      <c r="P29" s="191"/>
      <c r="Q29" s="191"/>
      <c r="AR29" s="195"/>
      <c r="AS29" s="195"/>
    </row>
    <row r="30" customFormat="false" ht="15.75" hidden="false" customHeight="true" outlineLevel="0" collapsed="false">
      <c r="A30" s="191"/>
      <c r="B30" s="191"/>
      <c r="C30" s="191"/>
      <c r="D30" s="191"/>
      <c r="E30" s="191"/>
      <c r="F30" s="191"/>
      <c r="G30" s="191"/>
      <c r="H30" s="191"/>
      <c r="I30" s="191"/>
      <c r="J30" s="191"/>
      <c r="K30" s="191"/>
      <c r="L30" s="191"/>
      <c r="M30" s="191"/>
      <c r="N30" s="191"/>
      <c r="O30" s="191"/>
      <c r="P30" s="191"/>
      <c r="Q30" s="191"/>
      <c r="AR30" s="195"/>
      <c r="AS30" s="195"/>
    </row>
    <row r="31" customFormat="false" ht="15.75" hidden="false" customHeight="true" outlineLevel="0" collapsed="false">
      <c r="A31" s="191"/>
      <c r="B31" s="191"/>
      <c r="C31" s="191"/>
      <c r="D31" s="191"/>
      <c r="E31" s="191"/>
      <c r="F31" s="191"/>
      <c r="G31" s="191"/>
      <c r="H31" s="191"/>
      <c r="I31" s="191"/>
      <c r="J31" s="191"/>
      <c r="K31" s="191"/>
      <c r="L31" s="191"/>
      <c r="M31" s="191"/>
      <c r="N31" s="191"/>
      <c r="O31" s="191"/>
      <c r="P31" s="191"/>
      <c r="Q31" s="191"/>
      <c r="AR31" s="195"/>
      <c r="AS31" s="195"/>
    </row>
    <row r="32" customFormat="false" ht="15.75" hidden="false" customHeight="true" outlineLevel="0" collapsed="false">
      <c r="A32" s="191"/>
      <c r="B32" s="191"/>
      <c r="C32" s="191"/>
      <c r="D32" s="191"/>
      <c r="E32" s="191"/>
      <c r="F32" s="191"/>
      <c r="G32" s="191"/>
      <c r="H32" s="191"/>
      <c r="I32" s="191"/>
      <c r="J32" s="191"/>
      <c r="K32" s="191"/>
      <c r="L32" s="191"/>
      <c r="M32" s="191"/>
      <c r="N32" s="191"/>
      <c r="O32" s="191"/>
      <c r="P32" s="191"/>
      <c r="Q32" s="191"/>
      <c r="AR32" s="195"/>
      <c r="AS32" s="195"/>
    </row>
    <row r="33" customFormat="false" ht="15.75" hidden="false" customHeight="true" outlineLevel="0" collapsed="false">
      <c r="A33" s="191"/>
      <c r="B33" s="191"/>
      <c r="C33" s="191"/>
      <c r="D33" s="191"/>
      <c r="E33" s="191"/>
      <c r="F33" s="191"/>
      <c r="G33" s="191"/>
      <c r="H33" s="191"/>
      <c r="I33" s="191"/>
      <c r="J33" s="191"/>
      <c r="K33" s="191"/>
      <c r="L33" s="191"/>
      <c r="M33" s="191"/>
      <c r="N33" s="191"/>
      <c r="O33" s="191"/>
      <c r="P33" s="191"/>
      <c r="Q33" s="191"/>
      <c r="AR33" s="195"/>
      <c r="AS33" s="195"/>
    </row>
    <row r="34" customFormat="false" ht="15.75" hidden="false" customHeight="true" outlineLevel="0" collapsed="false">
      <c r="A34" s="191"/>
      <c r="B34" s="191"/>
      <c r="C34" s="191"/>
      <c r="D34" s="191"/>
      <c r="E34" s="191"/>
      <c r="F34" s="191"/>
      <c r="G34" s="191"/>
      <c r="H34" s="191"/>
      <c r="I34" s="191"/>
      <c r="J34" s="191"/>
      <c r="K34" s="191"/>
      <c r="L34" s="191"/>
      <c r="M34" s="191"/>
      <c r="N34" s="191"/>
      <c r="O34" s="191"/>
      <c r="P34" s="191"/>
      <c r="Q34" s="191"/>
      <c r="AR34" s="195"/>
      <c r="AS34" s="195"/>
    </row>
    <row r="35" customFormat="false" ht="15.75" hidden="false" customHeight="true" outlineLevel="0" collapsed="false">
      <c r="A35" s="191"/>
      <c r="B35" s="191"/>
      <c r="C35" s="191"/>
      <c r="D35" s="191"/>
      <c r="E35" s="191"/>
      <c r="F35" s="191"/>
      <c r="G35" s="191"/>
      <c r="H35" s="191"/>
      <c r="I35" s="191"/>
      <c r="J35" s="191"/>
      <c r="K35" s="191"/>
      <c r="L35" s="191"/>
      <c r="M35" s="191"/>
      <c r="N35" s="191"/>
      <c r="O35" s="191"/>
      <c r="P35" s="191"/>
      <c r="Q35" s="191"/>
      <c r="AR35" s="195"/>
      <c r="AS35" s="195"/>
    </row>
    <row r="36" customFormat="false" ht="15.75" hidden="false" customHeight="true" outlineLevel="0" collapsed="false">
      <c r="A36" s="191"/>
      <c r="B36" s="191"/>
      <c r="C36" s="191"/>
      <c r="D36" s="191"/>
      <c r="E36" s="191"/>
      <c r="F36" s="191"/>
      <c r="G36" s="191"/>
      <c r="H36" s="191"/>
      <c r="I36" s="191"/>
      <c r="J36" s="191"/>
      <c r="K36" s="191"/>
      <c r="L36" s="191"/>
      <c r="M36" s="191"/>
      <c r="N36" s="191"/>
      <c r="O36" s="191"/>
      <c r="P36" s="191"/>
      <c r="Q36" s="191"/>
      <c r="AR36" s="195"/>
      <c r="AS36" s="195"/>
    </row>
    <row r="37" customFormat="false" ht="15.75" hidden="false" customHeight="true" outlineLevel="0" collapsed="false">
      <c r="A37" s="191"/>
      <c r="B37" s="191"/>
      <c r="C37" s="191"/>
      <c r="D37" s="191"/>
      <c r="E37" s="191"/>
      <c r="F37" s="191"/>
      <c r="G37" s="191"/>
      <c r="H37" s="191"/>
      <c r="I37" s="191"/>
      <c r="J37" s="191"/>
      <c r="K37" s="191"/>
      <c r="L37" s="191"/>
      <c r="M37" s="191"/>
      <c r="N37" s="191"/>
      <c r="O37" s="191"/>
      <c r="P37" s="191"/>
      <c r="Q37" s="191"/>
      <c r="AR37" s="195"/>
      <c r="AS37" s="195"/>
    </row>
    <row r="38" customFormat="false" ht="15.75" hidden="false" customHeight="true" outlineLevel="0" collapsed="false">
      <c r="A38" s="191"/>
      <c r="B38" s="191"/>
      <c r="C38" s="191"/>
      <c r="D38" s="191"/>
      <c r="E38" s="191"/>
      <c r="F38" s="191"/>
      <c r="G38" s="191"/>
      <c r="H38" s="191"/>
      <c r="I38" s="191"/>
      <c r="J38" s="191"/>
      <c r="K38" s="191"/>
      <c r="L38" s="191"/>
      <c r="M38" s="191"/>
      <c r="N38" s="191"/>
      <c r="O38" s="191"/>
      <c r="P38" s="191"/>
      <c r="Q38" s="191"/>
      <c r="AR38" s="195"/>
      <c r="AS38" s="195"/>
    </row>
    <row r="39" customFormat="false" ht="15.75" hidden="false" customHeight="true" outlineLevel="0" collapsed="false">
      <c r="A39" s="191"/>
      <c r="B39" s="191"/>
      <c r="C39" s="191"/>
      <c r="D39" s="191"/>
      <c r="E39" s="191"/>
      <c r="F39" s="191"/>
      <c r="G39" s="191"/>
      <c r="H39" s="191"/>
      <c r="I39" s="191"/>
      <c r="J39" s="191"/>
      <c r="K39" s="191"/>
      <c r="L39" s="191"/>
      <c r="M39" s="191"/>
      <c r="N39" s="191"/>
      <c r="O39" s="191"/>
      <c r="P39" s="191"/>
      <c r="Q39" s="191"/>
      <c r="AR39" s="195"/>
      <c r="AS39" s="195"/>
    </row>
    <row r="40" customFormat="false" ht="15.75" hidden="false" customHeight="true" outlineLevel="0" collapsed="false">
      <c r="A40" s="191"/>
      <c r="B40" s="191"/>
      <c r="C40" s="191"/>
      <c r="D40" s="191"/>
      <c r="E40" s="191"/>
      <c r="F40" s="191"/>
      <c r="G40" s="191"/>
      <c r="H40" s="191"/>
      <c r="I40" s="191"/>
      <c r="J40" s="191"/>
      <c r="K40" s="191"/>
      <c r="L40" s="191"/>
      <c r="M40" s="191"/>
      <c r="N40" s="191"/>
      <c r="O40" s="191"/>
      <c r="P40" s="191"/>
      <c r="Q40" s="191"/>
      <c r="AR40" s="195"/>
      <c r="AS40" s="195"/>
    </row>
    <row r="41" customFormat="false" ht="15.75" hidden="false" customHeight="true" outlineLevel="0" collapsed="false">
      <c r="A41" s="191"/>
      <c r="B41" s="191"/>
      <c r="C41" s="191"/>
      <c r="D41" s="191"/>
      <c r="E41" s="191"/>
      <c r="F41" s="191"/>
      <c r="G41" s="191"/>
      <c r="H41" s="191"/>
      <c r="I41" s="191"/>
      <c r="J41" s="191"/>
      <c r="K41" s="191"/>
      <c r="L41" s="191"/>
      <c r="M41" s="191"/>
      <c r="N41" s="191"/>
      <c r="O41" s="191"/>
      <c r="P41" s="191"/>
      <c r="Q41" s="191"/>
      <c r="AR41" s="195"/>
      <c r="AS41" s="195"/>
    </row>
    <row r="42" customFormat="false" ht="15.75" hidden="false" customHeight="true" outlineLevel="0" collapsed="false">
      <c r="A42" s="191"/>
      <c r="B42" s="191"/>
      <c r="C42" s="191"/>
      <c r="D42" s="191"/>
      <c r="E42" s="191"/>
      <c r="F42" s="191"/>
      <c r="G42" s="191"/>
      <c r="H42" s="191"/>
      <c r="I42" s="191"/>
      <c r="J42" s="191"/>
      <c r="K42" s="191"/>
      <c r="L42" s="191"/>
      <c r="M42" s="191"/>
      <c r="N42" s="191"/>
      <c r="O42" s="191"/>
      <c r="P42" s="191"/>
      <c r="Q42" s="191"/>
      <c r="AR42" s="195"/>
      <c r="AS42" s="195"/>
    </row>
    <row r="43" customFormat="false" ht="15.75" hidden="false" customHeight="true" outlineLevel="0" collapsed="false">
      <c r="A43" s="191"/>
      <c r="B43" s="191"/>
      <c r="C43" s="191"/>
      <c r="D43" s="191"/>
      <c r="E43" s="191"/>
      <c r="F43" s="191"/>
      <c r="G43" s="191"/>
      <c r="H43" s="191"/>
      <c r="I43" s="191"/>
      <c r="J43" s="191"/>
      <c r="K43" s="191"/>
      <c r="L43" s="191"/>
      <c r="M43" s="191"/>
      <c r="N43" s="191"/>
      <c r="O43" s="191"/>
      <c r="P43" s="191"/>
      <c r="Q43" s="191"/>
      <c r="AR43" s="195"/>
      <c r="AS43" s="195"/>
    </row>
    <row r="44" customFormat="false" ht="15.75" hidden="false" customHeight="true" outlineLevel="0" collapsed="false">
      <c r="A44" s="191"/>
      <c r="B44" s="191"/>
      <c r="C44" s="191"/>
      <c r="D44" s="191"/>
      <c r="E44" s="191"/>
      <c r="F44" s="191"/>
      <c r="G44" s="191"/>
      <c r="H44" s="191"/>
      <c r="I44" s="191"/>
      <c r="J44" s="191"/>
      <c r="K44" s="191"/>
      <c r="L44" s="191"/>
      <c r="M44" s="191"/>
      <c r="N44" s="191"/>
      <c r="O44" s="191"/>
      <c r="P44" s="191"/>
      <c r="Q44" s="191"/>
      <c r="AR44" s="195"/>
      <c r="AS44" s="195"/>
    </row>
    <row r="45" customFormat="false" ht="15.75" hidden="false" customHeight="true" outlineLevel="0" collapsed="false">
      <c r="A45" s="191"/>
      <c r="B45" s="191"/>
      <c r="C45" s="191"/>
      <c r="D45" s="191"/>
      <c r="E45" s="191"/>
      <c r="F45" s="191"/>
      <c r="G45" s="191"/>
      <c r="H45" s="191"/>
      <c r="I45" s="191"/>
      <c r="J45" s="191"/>
      <c r="K45" s="191"/>
      <c r="L45" s="191"/>
      <c r="M45" s="191"/>
      <c r="N45" s="191"/>
      <c r="O45" s="191"/>
      <c r="P45" s="191"/>
      <c r="Q45" s="191"/>
      <c r="AR45" s="195"/>
      <c r="AS45" s="195"/>
    </row>
    <row r="46" customFormat="false" ht="15.75" hidden="false" customHeight="true" outlineLevel="0" collapsed="false">
      <c r="A46" s="191"/>
      <c r="B46" s="191"/>
      <c r="C46" s="191"/>
      <c r="D46" s="191"/>
      <c r="E46" s="191"/>
      <c r="F46" s="191"/>
      <c r="G46" s="191"/>
      <c r="H46" s="191"/>
      <c r="I46" s="191"/>
      <c r="J46" s="191"/>
      <c r="K46" s="191"/>
      <c r="L46" s="191"/>
      <c r="M46" s="191"/>
      <c r="N46" s="191"/>
      <c r="O46" s="191"/>
      <c r="P46" s="191"/>
      <c r="Q46" s="191"/>
      <c r="AR46" s="195"/>
      <c r="AS46" s="195"/>
    </row>
    <row r="47" customFormat="false" ht="15.75" hidden="false" customHeight="true" outlineLevel="0" collapsed="false">
      <c r="A47" s="191"/>
      <c r="B47" s="191"/>
      <c r="C47" s="191"/>
      <c r="D47" s="191"/>
      <c r="E47" s="191"/>
      <c r="F47" s="191"/>
      <c r="G47" s="191"/>
      <c r="H47" s="191"/>
      <c r="I47" s="191"/>
      <c r="J47" s="191"/>
      <c r="K47" s="191"/>
      <c r="L47" s="191"/>
      <c r="M47" s="191"/>
      <c r="N47" s="191"/>
      <c r="O47" s="191"/>
      <c r="P47" s="191"/>
      <c r="Q47" s="191"/>
      <c r="AR47" s="195"/>
      <c r="AS47" s="195"/>
    </row>
    <row r="48" customFormat="false" ht="15.75" hidden="false" customHeight="true" outlineLevel="0" collapsed="false">
      <c r="A48" s="191"/>
      <c r="B48" s="191"/>
      <c r="C48" s="191"/>
      <c r="D48" s="191"/>
      <c r="E48" s="191"/>
      <c r="F48" s="191"/>
      <c r="G48" s="191"/>
      <c r="H48" s="191"/>
      <c r="I48" s="191"/>
      <c r="J48" s="191"/>
      <c r="K48" s="191"/>
      <c r="L48" s="191"/>
      <c r="M48" s="191"/>
      <c r="N48" s="191"/>
      <c r="O48" s="191"/>
      <c r="P48" s="191"/>
      <c r="Q48" s="191"/>
      <c r="AR48" s="195"/>
      <c r="AS48" s="195"/>
    </row>
    <row r="49" customFormat="false" ht="15.75" hidden="false" customHeight="true" outlineLevel="0" collapsed="false">
      <c r="A49" s="191"/>
      <c r="B49" s="191"/>
      <c r="C49" s="191"/>
      <c r="D49" s="191"/>
      <c r="E49" s="191"/>
      <c r="F49" s="191"/>
      <c r="G49" s="191"/>
      <c r="H49" s="191"/>
      <c r="I49" s="191"/>
      <c r="J49" s="191"/>
      <c r="K49" s="191"/>
      <c r="L49" s="191"/>
      <c r="M49" s="191"/>
      <c r="N49" s="191"/>
      <c r="O49" s="191"/>
      <c r="P49" s="191"/>
      <c r="Q49" s="191"/>
      <c r="AR49" s="195"/>
      <c r="AS49" s="195"/>
    </row>
    <row r="50" customFormat="false" ht="15.75" hidden="false" customHeight="true" outlineLevel="0" collapsed="false">
      <c r="A50" s="191"/>
      <c r="B50" s="191"/>
      <c r="C50" s="191"/>
      <c r="D50" s="191"/>
      <c r="E50" s="191"/>
      <c r="F50" s="191"/>
      <c r="G50" s="191"/>
      <c r="H50" s="191"/>
      <c r="I50" s="191"/>
      <c r="J50" s="191"/>
      <c r="K50" s="191"/>
      <c r="L50" s="191"/>
      <c r="M50" s="191"/>
      <c r="N50" s="191"/>
      <c r="O50" s="191"/>
      <c r="P50" s="191"/>
      <c r="Q50" s="191"/>
      <c r="AR50" s="195"/>
      <c r="AS50" s="195"/>
    </row>
    <row r="51" customFormat="false" ht="15.75" hidden="false" customHeight="true" outlineLevel="0" collapsed="false">
      <c r="A51" s="191"/>
      <c r="B51" s="191"/>
      <c r="C51" s="191"/>
      <c r="D51" s="191"/>
      <c r="E51" s="191"/>
      <c r="F51" s="191"/>
      <c r="G51" s="191"/>
      <c r="H51" s="191"/>
      <c r="I51" s="191"/>
      <c r="J51" s="191"/>
      <c r="K51" s="191"/>
      <c r="L51" s="191"/>
      <c r="M51" s="191"/>
      <c r="N51" s="191"/>
      <c r="O51" s="191"/>
      <c r="P51" s="191"/>
      <c r="Q51" s="191"/>
      <c r="AR51" s="195"/>
      <c r="AS51" s="195"/>
    </row>
    <row r="52" customFormat="false" ht="15.75" hidden="false" customHeight="true" outlineLevel="0" collapsed="false">
      <c r="A52" s="191"/>
      <c r="B52" s="191"/>
      <c r="C52" s="191"/>
      <c r="D52" s="191"/>
      <c r="E52" s="191"/>
      <c r="F52" s="191"/>
      <c r="G52" s="191"/>
      <c r="H52" s="191"/>
      <c r="I52" s="191"/>
      <c r="J52" s="191"/>
      <c r="K52" s="191"/>
      <c r="L52" s="191"/>
      <c r="M52" s="191"/>
      <c r="N52" s="191"/>
      <c r="O52" s="191"/>
      <c r="P52" s="191"/>
      <c r="Q52" s="191"/>
      <c r="AR52" s="195"/>
      <c r="AS52" s="195"/>
    </row>
    <row r="53" customFormat="false" ht="15.75" hidden="false" customHeight="true" outlineLevel="0" collapsed="false">
      <c r="A53" s="191"/>
      <c r="B53" s="191"/>
      <c r="C53" s="191"/>
      <c r="D53" s="191"/>
      <c r="E53" s="191"/>
      <c r="F53" s="191"/>
      <c r="G53" s="191"/>
      <c r="H53" s="191"/>
      <c r="I53" s="191"/>
      <c r="J53" s="191"/>
      <c r="K53" s="191"/>
      <c r="L53" s="191"/>
      <c r="M53" s="191"/>
      <c r="N53" s="191"/>
      <c r="O53" s="191"/>
      <c r="P53" s="191"/>
      <c r="Q53" s="191"/>
      <c r="AR53" s="195"/>
      <c r="AS53" s="195"/>
    </row>
    <row r="54" customFormat="false" ht="15.75" hidden="false" customHeight="true" outlineLevel="0" collapsed="false">
      <c r="A54" s="191"/>
      <c r="B54" s="191"/>
      <c r="C54" s="191"/>
      <c r="D54" s="191"/>
      <c r="E54" s="191"/>
      <c r="F54" s="191"/>
      <c r="G54" s="191"/>
      <c r="H54" s="191"/>
      <c r="I54" s="191"/>
      <c r="J54" s="191"/>
      <c r="K54" s="191"/>
      <c r="L54" s="191"/>
      <c r="M54" s="191"/>
      <c r="N54" s="191"/>
      <c r="O54" s="191"/>
      <c r="P54" s="191"/>
      <c r="Q54" s="191"/>
      <c r="AR54" s="195"/>
      <c r="AS54" s="195"/>
    </row>
    <row r="55" customFormat="false" ht="15.75" hidden="false" customHeight="true" outlineLevel="0" collapsed="false">
      <c r="A55" s="191"/>
      <c r="B55" s="191"/>
      <c r="C55" s="191"/>
      <c r="D55" s="191"/>
      <c r="E55" s="191"/>
      <c r="F55" s="191"/>
      <c r="G55" s="191"/>
      <c r="H55" s="191"/>
      <c r="I55" s="191"/>
      <c r="J55" s="191"/>
      <c r="K55" s="191"/>
      <c r="L55" s="191"/>
      <c r="M55" s="191"/>
      <c r="N55" s="191"/>
      <c r="O55" s="191"/>
      <c r="P55" s="191"/>
      <c r="Q55" s="191"/>
      <c r="AR55" s="195"/>
      <c r="AS55" s="195"/>
    </row>
    <row r="56" customFormat="false" ht="15.75" hidden="false" customHeight="true" outlineLevel="0" collapsed="false">
      <c r="A56" s="191"/>
      <c r="B56" s="191"/>
      <c r="C56" s="191"/>
      <c r="D56" s="191"/>
      <c r="E56" s="191"/>
      <c r="F56" s="191"/>
      <c r="G56" s="191"/>
      <c r="H56" s="191"/>
      <c r="I56" s="191"/>
      <c r="J56" s="191"/>
      <c r="K56" s="191"/>
      <c r="L56" s="191"/>
      <c r="M56" s="191"/>
      <c r="N56" s="191"/>
      <c r="O56" s="191"/>
      <c r="P56" s="191"/>
      <c r="Q56" s="191"/>
      <c r="AR56" s="195"/>
      <c r="AS56" s="195"/>
    </row>
    <row r="57" customFormat="false" ht="15.75" hidden="false" customHeight="true" outlineLevel="0" collapsed="false">
      <c r="A57" s="191"/>
      <c r="B57" s="191"/>
      <c r="C57" s="191"/>
      <c r="D57" s="191"/>
      <c r="E57" s="191"/>
      <c r="F57" s="191"/>
      <c r="G57" s="191"/>
      <c r="H57" s="191"/>
      <c r="I57" s="191"/>
      <c r="J57" s="191"/>
      <c r="K57" s="191"/>
      <c r="L57" s="191"/>
      <c r="M57" s="191"/>
      <c r="N57" s="191"/>
      <c r="O57" s="191"/>
      <c r="P57" s="191"/>
      <c r="Q57" s="191"/>
      <c r="AR57" s="195"/>
      <c r="AS57" s="195"/>
    </row>
    <row r="58" customFormat="false" ht="15.75" hidden="false" customHeight="true" outlineLevel="0" collapsed="false">
      <c r="A58" s="191"/>
      <c r="B58" s="191"/>
      <c r="C58" s="191"/>
      <c r="D58" s="191"/>
      <c r="E58" s="191"/>
      <c r="F58" s="191"/>
      <c r="G58" s="191"/>
      <c r="H58" s="191"/>
      <c r="I58" s="191"/>
      <c r="J58" s="191"/>
      <c r="K58" s="191"/>
      <c r="L58" s="191"/>
      <c r="M58" s="191"/>
      <c r="N58" s="191"/>
      <c r="O58" s="191"/>
      <c r="P58" s="191"/>
      <c r="Q58" s="191"/>
      <c r="AR58" s="195"/>
      <c r="AS58" s="195"/>
    </row>
    <row r="59" customFormat="false" ht="15.75" hidden="false" customHeight="true" outlineLevel="0" collapsed="false">
      <c r="A59" s="191"/>
      <c r="B59" s="191"/>
      <c r="C59" s="191"/>
      <c r="D59" s="191"/>
      <c r="E59" s="191"/>
      <c r="F59" s="191"/>
      <c r="G59" s="191"/>
      <c r="H59" s="191"/>
      <c r="I59" s="191"/>
      <c r="J59" s="191"/>
      <c r="K59" s="191"/>
      <c r="L59" s="191"/>
      <c r="M59" s="191"/>
      <c r="N59" s="191"/>
      <c r="O59" s="191"/>
      <c r="P59" s="191"/>
      <c r="Q59" s="191"/>
      <c r="AR59" s="195"/>
      <c r="AS59" s="195"/>
    </row>
    <row r="60" customFormat="false" ht="15.75" hidden="false" customHeight="true" outlineLevel="0" collapsed="false">
      <c r="A60" s="191"/>
      <c r="B60" s="191"/>
      <c r="C60" s="191"/>
      <c r="D60" s="191"/>
      <c r="E60" s="191"/>
      <c r="F60" s="191"/>
      <c r="G60" s="191"/>
      <c r="H60" s="191"/>
      <c r="I60" s="191"/>
      <c r="J60" s="191"/>
      <c r="K60" s="191"/>
      <c r="L60" s="191"/>
      <c r="M60" s="191"/>
      <c r="N60" s="191"/>
      <c r="O60" s="191"/>
      <c r="P60" s="191"/>
      <c r="Q60" s="191"/>
      <c r="AR60" s="195"/>
      <c r="AS60" s="195"/>
    </row>
    <row r="61" customFormat="false" ht="15.75" hidden="false" customHeight="true" outlineLevel="0" collapsed="false">
      <c r="AV61" s="1"/>
    </row>
    <row r="62" customFormat="false" ht="15.75" hidden="false" customHeight="true" outlineLevel="0" collapsed="false">
      <c r="AV62" s="1"/>
    </row>
    <row r="63" customFormat="false" ht="15.75" hidden="false" customHeight="true" outlineLevel="0" collapsed="false">
      <c r="AV63" s="1"/>
    </row>
    <row r="64" customFormat="false" ht="15.75" hidden="false" customHeight="true" outlineLevel="0" collapsed="false">
      <c r="AV64" s="1"/>
    </row>
    <row r="65" customFormat="false" ht="15.75" hidden="false" customHeight="true" outlineLevel="0" collapsed="false">
      <c r="AV65" s="1"/>
    </row>
    <row r="66" customFormat="false" ht="15.75" hidden="false" customHeight="true" outlineLevel="0" collapsed="false">
      <c r="AV66" s="1"/>
    </row>
    <row r="67" customFormat="false" ht="15.75" hidden="false" customHeight="true" outlineLevel="0" collapsed="false">
      <c r="AV67" s="1"/>
    </row>
    <row r="68" customFormat="false" ht="15.75" hidden="false" customHeight="true" outlineLevel="0" collapsed="false">
      <c r="AV68" s="1"/>
    </row>
    <row r="69" customFormat="false" ht="15.75" hidden="false" customHeight="true" outlineLevel="0" collapsed="false">
      <c r="AV69" s="1"/>
    </row>
    <row r="70" customFormat="false" ht="15.75" hidden="false" customHeight="true" outlineLevel="0" collapsed="false">
      <c r="AV70" s="1"/>
    </row>
    <row r="71" customFormat="false" ht="15.75" hidden="false" customHeight="true" outlineLevel="0" collapsed="false">
      <c r="AV71" s="1"/>
    </row>
    <row r="72" customFormat="false" ht="15.75" hidden="false" customHeight="true" outlineLevel="0" collapsed="false">
      <c r="AV72" s="1"/>
    </row>
    <row r="73" customFormat="false" ht="15.75" hidden="false" customHeight="true" outlineLevel="0" collapsed="false">
      <c r="AV73" s="1"/>
    </row>
    <row r="74" customFormat="false" ht="15.75" hidden="false" customHeight="true" outlineLevel="0" collapsed="false">
      <c r="AV74" s="1"/>
    </row>
    <row r="75" customFormat="false" ht="15.75" hidden="false" customHeight="true" outlineLevel="0" collapsed="false">
      <c r="AV75" s="1"/>
    </row>
    <row r="76" customFormat="false" ht="15.75" hidden="false" customHeight="true" outlineLevel="0" collapsed="false">
      <c r="AV76" s="1"/>
    </row>
    <row r="77" customFormat="false" ht="15.75" hidden="false" customHeight="true" outlineLevel="0" collapsed="false">
      <c r="AV77" s="1"/>
    </row>
    <row r="78" customFormat="false" ht="15.75" hidden="false" customHeight="true" outlineLevel="0" collapsed="false">
      <c r="AV78" s="1"/>
    </row>
    <row r="79" customFormat="false" ht="15.75" hidden="false" customHeight="true" outlineLevel="0" collapsed="false">
      <c r="AV79" s="1"/>
    </row>
    <row r="80" customFormat="false" ht="15.75" hidden="false" customHeight="true" outlineLevel="0" collapsed="false">
      <c r="AV80" s="1"/>
    </row>
    <row r="81" customFormat="false" ht="15.75" hidden="false" customHeight="true" outlineLevel="0" collapsed="false">
      <c r="AV81" s="1"/>
    </row>
    <row r="82" customFormat="false" ht="15.75" hidden="false" customHeight="true" outlineLevel="0" collapsed="false">
      <c r="AV82" s="1"/>
    </row>
    <row r="83" customFormat="false" ht="15.75" hidden="false" customHeight="true" outlineLevel="0" collapsed="false">
      <c r="AV83" s="1"/>
    </row>
    <row r="84" customFormat="false" ht="15.75" hidden="false" customHeight="true" outlineLevel="0" collapsed="false">
      <c r="AV84" s="1"/>
    </row>
    <row r="85" customFormat="false" ht="15.75" hidden="false" customHeight="true" outlineLevel="0" collapsed="false">
      <c r="AV85" s="1"/>
    </row>
    <row r="86" customFormat="false" ht="15.75" hidden="false" customHeight="true" outlineLevel="0" collapsed="false">
      <c r="AV86" s="1"/>
    </row>
    <row r="87" customFormat="false" ht="15.75" hidden="false" customHeight="true" outlineLevel="0" collapsed="false">
      <c r="AV87" s="1"/>
    </row>
    <row r="88" customFormat="false" ht="15.75" hidden="false" customHeight="true" outlineLevel="0" collapsed="false">
      <c r="AV88" s="1"/>
    </row>
    <row r="89" customFormat="false" ht="15.75" hidden="false" customHeight="true" outlineLevel="0" collapsed="false">
      <c r="AV89" s="1"/>
    </row>
    <row r="90" customFormat="false" ht="15.75" hidden="false" customHeight="true" outlineLevel="0" collapsed="false">
      <c r="AV90" s="1"/>
    </row>
    <row r="91" customFormat="false" ht="15.75" hidden="false" customHeight="true" outlineLevel="0" collapsed="false">
      <c r="AV91" s="1"/>
    </row>
    <row r="92" customFormat="false" ht="15.75" hidden="false" customHeight="true" outlineLevel="0" collapsed="false">
      <c r="AV92" s="1"/>
    </row>
    <row r="93" customFormat="false" ht="15.75" hidden="false" customHeight="true" outlineLevel="0" collapsed="false">
      <c r="AV93" s="1"/>
    </row>
    <row r="94" customFormat="false" ht="15.75" hidden="false" customHeight="true" outlineLevel="0" collapsed="false">
      <c r="AV94" s="1"/>
    </row>
    <row r="95" customFormat="false" ht="15.75" hidden="false" customHeight="true" outlineLevel="0" collapsed="false">
      <c r="AV95" s="1"/>
    </row>
    <row r="96" customFormat="false" ht="15.75" hidden="false" customHeight="true" outlineLevel="0" collapsed="false">
      <c r="AV96" s="1"/>
    </row>
    <row r="97" customFormat="false" ht="15.75" hidden="false" customHeight="true" outlineLevel="0" collapsed="false">
      <c r="AV97" s="1"/>
    </row>
    <row r="98" customFormat="false" ht="15.75" hidden="false" customHeight="true" outlineLevel="0" collapsed="false">
      <c r="AV98" s="1"/>
    </row>
    <row r="99" customFormat="false" ht="15.75" hidden="false" customHeight="true" outlineLevel="0" collapsed="false">
      <c r="AV99" s="1"/>
    </row>
    <row r="100" customFormat="false" ht="15.75" hidden="false" customHeight="true" outlineLevel="0" collapsed="false">
      <c r="AV100" s="1"/>
    </row>
    <row r="101" customFormat="false" ht="15.75" hidden="false" customHeight="true" outlineLevel="0" collapsed="false">
      <c r="AV101" s="1"/>
    </row>
    <row r="102" customFormat="false" ht="15.75" hidden="false" customHeight="true" outlineLevel="0" collapsed="false">
      <c r="AV102" s="1"/>
    </row>
    <row r="103" customFormat="false" ht="15.75" hidden="false" customHeight="true" outlineLevel="0" collapsed="false">
      <c r="AV103" s="1"/>
    </row>
    <row r="104" customFormat="false" ht="15.75" hidden="false" customHeight="true" outlineLevel="0" collapsed="false">
      <c r="AV104" s="1"/>
    </row>
    <row r="105" customFormat="false" ht="15.75" hidden="false" customHeight="true" outlineLevel="0" collapsed="false">
      <c r="AV105" s="1"/>
    </row>
    <row r="106" customFormat="false" ht="15.75" hidden="false" customHeight="true" outlineLevel="0" collapsed="false">
      <c r="AV106" s="1"/>
    </row>
    <row r="107" customFormat="false" ht="15.75" hidden="false" customHeight="true" outlineLevel="0" collapsed="false">
      <c r="AV107" s="1"/>
    </row>
    <row r="108" customFormat="false" ht="15.75" hidden="false" customHeight="true" outlineLevel="0" collapsed="false">
      <c r="AV108" s="1"/>
    </row>
    <row r="109" customFormat="false" ht="15.75" hidden="false" customHeight="true" outlineLevel="0" collapsed="false">
      <c r="AV109" s="1"/>
    </row>
    <row r="110" customFormat="false" ht="15.75" hidden="false" customHeight="true" outlineLevel="0" collapsed="false">
      <c r="AV110" s="1"/>
    </row>
    <row r="111" customFormat="false" ht="15.75" hidden="false" customHeight="true" outlineLevel="0" collapsed="false">
      <c r="AV111" s="1"/>
    </row>
    <row r="112" customFormat="false" ht="15.75" hidden="false" customHeight="true" outlineLevel="0" collapsed="false">
      <c r="AV112" s="1"/>
    </row>
    <row r="113" customFormat="false" ht="15.75" hidden="false" customHeight="true" outlineLevel="0" collapsed="false">
      <c r="AV113" s="1"/>
    </row>
    <row r="114" customFormat="false" ht="15.75" hidden="false" customHeight="true" outlineLevel="0" collapsed="false">
      <c r="AV114" s="1"/>
    </row>
    <row r="115" customFormat="false" ht="15.75" hidden="false" customHeight="true" outlineLevel="0" collapsed="false">
      <c r="AV115" s="1"/>
    </row>
    <row r="116" customFormat="false" ht="15.75" hidden="false" customHeight="true" outlineLevel="0" collapsed="false">
      <c r="AV116" s="1"/>
    </row>
    <row r="117" customFormat="false" ht="15.75" hidden="false" customHeight="true" outlineLevel="0" collapsed="false">
      <c r="AV117" s="1"/>
    </row>
    <row r="118" customFormat="false" ht="15.75" hidden="false" customHeight="true" outlineLevel="0" collapsed="false">
      <c r="AV118" s="1"/>
    </row>
    <row r="119" customFormat="false" ht="15.75" hidden="false" customHeight="true" outlineLevel="0" collapsed="false">
      <c r="AV119" s="1"/>
    </row>
    <row r="120" customFormat="false" ht="15.75" hidden="false" customHeight="true" outlineLevel="0" collapsed="false">
      <c r="AV120" s="1"/>
    </row>
    <row r="121" customFormat="false" ht="15.75" hidden="false" customHeight="true" outlineLevel="0" collapsed="false">
      <c r="AV121" s="1"/>
    </row>
    <row r="122" customFormat="false" ht="15.75" hidden="false" customHeight="true" outlineLevel="0" collapsed="false">
      <c r="AV122" s="1"/>
    </row>
    <row r="123" customFormat="false" ht="15.75" hidden="false" customHeight="true" outlineLevel="0" collapsed="false">
      <c r="AV123" s="1"/>
    </row>
    <row r="124" customFormat="false" ht="15.75" hidden="false" customHeight="true" outlineLevel="0" collapsed="false">
      <c r="AV124" s="1"/>
    </row>
    <row r="125" customFormat="false" ht="15.75" hidden="false" customHeight="true" outlineLevel="0" collapsed="false">
      <c r="AV125" s="1"/>
    </row>
    <row r="126" customFormat="false" ht="15.75" hidden="false" customHeight="true" outlineLevel="0" collapsed="false">
      <c r="AV126" s="1"/>
    </row>
    <row r="127" customFormat="false" ht="15.75" hidden="false" customHeight="true" outlineLevel="0" collapsed="false">
      <c r="AV127" s="1"/>
    </row>
    <row r="128" customFormat="false" ht="15.75" hidden="false" customHeight="true" outlineLevel="0" collapsed="false">
      <c r="AV128" s="1"/>
    </row>
    <row r="129" customFormat="false" ht="15.75" hidden="false" customHeight="true" outlineLevel="0" collapsed="false">
      <c r="AV129" s="1"/>
    </row>
    <row r="130" customFormat="false" ht="15.75" hidden="false" customHeight="true" outlineLevel="0" collapsed="false">
      <c r="AV130" s="1"/>
    </row>
    <row r="131" customFormat="false" ht="15.75" hidden="false" customHeight="true" outlineLevel="0" collapsed="false">
      <c r="AV131" s="1"/>
    </row>
    <row r="132" customFormat="false" ht="15.75" hidden="false" customHeight="true" outlineLevel="0" collapsed="false">
      <c r="AV132" s="1"/>
    </row>
    <row r="133" customFormat="false" ht="15.75" hidden="false" customHeight="true" outlineLevel="0" collapsed="false">
      <c r="AV133" s="1"/>
    </row>
    <row r="134" customFormat="false" ht="15.75" hidden="false" customHeight="true" outlineLevel="0" collapsed="false">
      <c r="AV134" s="1"/>
    </row>
    <row r="135" customFormat="false" ht="15.75" hidden="false" customHeight="true" outlineLevel="0" collapsed="false">
      <c r="AV135" s="1"/>
    </row>
    <row r="136" customFormat="false" ht="15.75" hidden="false" customHeight="true" outlineLevel="0" collapsed="false">
      <c r="AV136" s="1"/>
    </row>
    <row r="137" customFormat="false" ht="15.75" hidden="false" customHeight="true" outlineLevel="0" collapsed="false">
      <c r="AV137" s="1"/>
    </row>
    <row r="138" customFormat="false" ht="15.75" hidden="false" customHeight="true" outlineLevel="0" collapsed="false">
      <c r="AV138" s="1"/>
    </row>
    <row r="139" customFormat="false" ht="15.75" hidden="false" customHeight="true" outlineLevel="0" collapsed="false">
      <c r="AV139" s="1"/>
    </row>
    <row r="140" customFormat="false" ht="15.75" hidden="false" customHeight="true" outlineLevel="0" collapsed="false">
      <c r="AV140" s="1"/>
    </row>
    <row r="141" customFormat="false" ht="15.75" hidden="false" customHeight="true" outlineLevel="0" collapsed="false">
      <c r="AV141" s="1"/>
    </row>
    <row r="142" customFormat="false" ht="15.75" hidden="false" customHeight="true" outlineLevel="0" collapsed="false">
      <c r="AV142" s="1"/>
    </row>
    <row r="143" customFormat="false" ht="15.75" hidden="false" customHeight="true" outlineLevel="0" collapsed="false">
      <c r="AV143" s="1"/>
    </row>
    <row r="144" customFormat="false" ht="15.75" hidden="false" customHeight="true" outlineLevel="0" collapsed="false">
      <c r="AV144" s="1"/>
    </row>
    <row r="145" customFormat="false" ht="15.75" hidden="false" customHeight="true" outlineLevel="0" collapsed="false">
      <c r="AV145" s="1"/>
    </row>
    <row r="146" customFormat="false" ht="15.75" hidden="false" customHeight="true" outlineLevel="0" collapsed="false">
      <c r="AV146" s="1"/>
    </row>
    <row r="147" customFormat="false" ht="15.75" hidden="false" customHeight="true" outlineLevel="0" collapsed="false">
      <c r="AV147" s="1"/>
    </row>
    <row r="148" customFormat="false" ht="15.75" hidden="false" customHeight="true" outlineLevel="0" collapsed="false">
      <c r="AV148" s="1"/>
    </row>
    <row r="149" customFormat="false" ht="15.75" hidden="false" customHeight="true" outlineLevel="0" collapsed="false">
      <c r="AV149" s="1"/>
    </row>
    <row r="150" customFormat="false" ht="15.75" hidden="false" customHeight="true" outlineLevel="0" collapsed="false">
      <c r="AV150" s="1"/>
    </row>
    <row r="151" customFormat="false" ht="15.75" hidden="false" customHeight="true" outlineLevel="0" collapsed="false">
      <c r="AV151" s="1"/>
    </row>
    <row r="152" customFormat="false" ht="15.75" hidden="false" customHeight="true" outlineLevel="0" collapsed="false">
      <c r="AV152" s="1"/>
    </row>
    <row r="153" customFormat="false" ht="15.75" hidden="false" customHeight="true" outlineLevel="0" collapsed="false">
      <c r="AV153" s="1"/>
    </row>
    <row r="154" customFormat="false" ht="15.75" hidden="false" customHeight="true" outlineLevel="0" collapsed="false">
      <c r="AV154" s="1"/>
    </row>
    <row r="155" customFormat="false" ht="15.75" hidden="false" customHeight="true" outlineLevel="0" collapsed="false">
      <c r="AV155" s="1"/>
    </row>
    <row r="156" customFormat="false" ht="15.75" hidden="false" customHeight="true" outlineLevel="0" collapsed="false">
      <c r="AV156" s="1"/>
    </row>
    <row r="157" customFormat="false" ht="15.75" hidden="false" customHeight="true" outlineLevel="0" collapsed="false">
      <c r="AV157" s="1"/>
    </row>
    <row r="158" customFormat="false" ht="15.75" hidden="false" customHeight="true" outlineLevel="0" collapsed="false">
      <c r="AV158" s="1"/>
    </row>
    <row r="159" customFormat="false" ht="15.75" hidden="false" customHeight="true" outlineLevel="0" collapsed="false">
      <c r="AV159" s="1"/>
    </row>
    <row r="160" customFormat="false" ht="15.75" hidden="false" customHeight="true" outlineLevel="0" collapsed="false">
      <c r="AV160" s="1"/>
    </row>
    <row r="161" customFormat="false" ht="15.75" hidden="false" customHeight="true" outlineLevel="0" collapsed="false">
      <c r="AV161" s="1"/>
    </row>
    <row r="162" customFormat="false" ht="15.75" hidden="false" customHeight="true" outlineLevel="0" collapsed="false">
      <c r="AV162" s="1"/>
    </row>
    <row r="163" customFormat="false" ht="15.75" hidden="false" customHeight="true" outlineLevel="0" collapsed="false">
      <c r="AV163" s="1"/>
    </row>
    <row r="164" customFormat="false" ht="15.75" hidden="false" customHeight="true" outlineLevel="0" collapsed="false">
      <c r="AV164" s="1"/>
    </row>
    <row r="165" customFormat="false" ht="15.75" hidden="false" customHeight="true" outlineLevel="0" collapsed="false">
      <c r="AV165" s="1"/>
    </row>
    <row r="166" customFormat="false" ht="15.75" hidden="false" customHeight="true" outlineLevel="0" collapsed="false">
      <c r="AV166" s="1"/>
    </row>
    <row r="167" customFormat="false" ht="15.75" hidden="false" customHeight="true" outlineLevel="0" collapsed="false">
      <c r="AV167" s="1"/>
    </row>
    <row r="168" customFormat="false" ht="15.75" hidden="false" customHeight="true" outlineLevel="0" collapsed="false">
      <c r="AV168" s="1"/>
    </row>
    <row r="169" customFormat="false" ht="15.75" hidden="false" customHeight="true" outlineLevel="0" collapsed="false">
      <c r="AV169" s="1"/>
    </row>
    <row r="170" customFormat="false" ht="15.75" hidden="false" customHeight="true" outlineLevel="0" collapsed="false">
      <c r="AV170" s="1"/>
    </row>
    <row r="171" customFormat="false" ht="15.75" hidden="false" customHeight="true" outlineLevel="0" collapsed="false">
      <c r="AV171" s="1"/>
    </row>
    <row r="172" customFormat="false" ht="15.75" hidden="false" customHeight="true" outlineLevel="0" collapsed="false">
      <c r="AV172" s="1"/>
    </row>
    <row r="173" customFormat="false" ht="15.75" hidden="false" customHeight="true" outlineLevel="0" collapsed="false">
      <c r="AV173" s="1"/>
    </row>
    <row r="174" customFormat="false" ht="15.75" hidden="false" customHeight="true" outlineLevel="0" collapsed="false">
      <c r="AV174" s="1"/>
    </row>
    <row r="175" customFormat="false" ht="15.75" hidden="false" customHeight="true" outlineLevel="0" collapsed="false">
      <c r="AV175" s="1"/>
    </row>
    <row r="176" customFormat="false" ht="15.75" hidden="false" customHeight="true" outlineLevel="0" collapsed="false">
      <c r="AV176" s="1"/>
    </row>
    <row r="177" customFormat="false" ht="15.75" hidden="false" customHeight="true" outlineLevel="0" collapsed="false">
      <c r="AV177" s="1"/>
    </row>
    <row r="178" customFormat="false" ht="15.75" hidden="false" customHeight="true" outlineLevel="0" collapsed="false">
      <c r="AV178" s="1"/>
    </row>
    <row r="179" customFormat="false" ht="15.75" hidden="false" customHeight="true" outlineLevel="0" collapsed="false">
      <c r="AV179" s="1"/>
    </row>
    <row r="180" customFormat="false" ht="15.75" hidden="false" customHeight="true" outlineLevel="0" collapsed="false">
      <c r="AV180" s="1"/>
    </row>
    <row r="181" customFormat="false" ht="15.75" hidden="false" customHeight="true" outlineLevel="0" collapsed="false">
      <c r="AV181" s="1"/>
    </row>
    <row r="182" customFormat="false" ht="15.75" hidden="false" customHeight="true" outlineLevel="0" collapsed="false">
      <c r="AV182" s="1"/>
    </row>
    <row r="183" customFormat="false" ht="15.75" hidden="false" customHeight="true" outlineLevel="0" collapsed="false">
      <c r="AV183" s="1"/>
    </row>
    <row r="184" customFormat="false" ht="15.75" hidden="false" customHeight="true" outlineLevel="0" collapsed="false">
      <c r="AV184" s="1"/>
    </row>
    <row r="185" customFormat="false" ht="15.75" hidden="false" customHeight="true" outlineLevel="0" collapsed="false">
      <c r="AV185" s="1"/>
    </row>
    <row r="186" customFormat="false" ht="15.75" hidden="false" customHeight="true" outlineLevel="0" collapsed="false">
      <c r="AV186" s="1"/>
    </row>
    <row r="187" customFormat="false" ht="15.75" hidden="false" customHeight="true" outlineLevel="0" collapsed="false">
      <c r="AV187" s="1"/>
    </row>
    <row r="188" customFormat="false" ht="15.75" hidden="false" customHeight="true" outlineLevel="0" collapsed="false">
      <c r="AV188" s="1"/>
    </row>
    <row r="189" customFormat="false" ht="15.75" hidden="false" customHeight="true" outlineLevel="0" collapsed="false">
      <c r="AV189" s="1"/>
    </row>
    <row r="190" customFormat="false" ht="15.75" hidden="false" customHeight="true" outlineLevel="0" collapsed="false">
      <c r="AV190" s="1"/>
    </row>
    <row r="191" customFormat="false" ht="15.75" hidden="false" customHeight="true" outlineLevel="0" collapsed="false">
      <c r="AV191" s="1"/>
    </row>
    <row r="192" customFormat="false" ht="15.75" hidden="false" customHeight="true" outlineLevel="0" collapsed="false">
      <c r="AV192" s="1"/>
    </row>
    <row r="193" customFormat="false" ht="15.75" hidden="false" customHeight="true" outlineLevel="0" collapsed="false">
      <c r="AV193" s="1"/>
    </row>
    <row r="194" customFormat="false" ht="15.75" hidden="false" customHeight="true" outlineLevel="0" collapsed="false">
      <c r="AV194" s="1"/>
    </row>
    <row r="195" customFormat="false" ht="15.75" hidden="false" customHeight="true" outlineLevel="0" collapsed="false">
      <c r="AV195" s="1"/>
    </row>
    <row r="196" customFormat="false" ht="15.75" hidden="false" customHeight="true" outlineLevel="0" collapsed="false">
      <c r="AV196" s="1"/>
    </row>
    <row r="197" customFormat="false" ht="15.75" hidden="false" customHeight="true" outlineLevel="0" collapsed="false">
      <c r="AV197" s="1"/>
    </row>
    <row r="198" customFormat="false" ht="15.75" hidden="false" customHeight="true" outlineLevel="0" collapsed="false">
      <c r="AV198" s="1"/>
    </row>
    <row r="199" customFormat="false" ht="15.75" hidden="false" customHeight="true" outlineLevel="0" collapsed="false">
      <c r="AV199" s="1"/>
    </row>
    <row r="200" customFormat="false" ht="15.75" hidden="false" customHeight="true" outlineLevel="0" collapsed="false">
      <c r="AV200" s="1"/>
    </row>
    <row r="201" customFormat="false" ht="15.75" hidden="false" customHeight="true" outlineLevel="0" collapsed="false">
      <c r="AV201" s="1"/>
    </row>
    <row r="202" customFormat="false" ht="15.75" hidden="false" customHeight="true" outlineLevel="0" collapsed="false">
      <c r="AV202" s="1"/>
    </row>
    <row r="203" customFormat="false" ht="15.75" hidden="false" customHeight="true" outlineLevel="0" collapsed="false">
      <c r="AV203" s="1"/>
    </row>
    <row r="204" customFormat="false" ht="15.75" hidden="false" customHeight="true" outlineLevel="0" collapsed="false">
      <c r="AV204" s="1"/>
    </row>
    <row r="205" customFormat="false" ht="15.75" hidden="false" customHeight="true" outlineLevel="0" collapsed="false">
      <c r="AV205" s="1"/>
    </row>
    <row r="206" customFormat="false" ht="15.75" hidden="false" customHeight="true" outlineLevel="0" collapsed="false">
      <c r="AV206" s="1"/>
    </row>
    <row r="207" customFormat="false" ht="15.75" hidden="false" customHeight="true" outlineLevel="0" collapsed="false">
      <c r="AV207" s="1"/>
    </row>
    <row r="208" customFormat="false" ht="15.75" hidden="false" customHeight="true" outlineLevel="0" collapsed="false">
      <c r="AV208" s="1"/>
    </row>
    <row r="209" customFormat="false" ht="15.75" hidden="false" customHeight="true" outlineLevel="0" collapsed="false">
      <c r="AV209" s="1"/>
    </row>
    <row r="210" customFormat="false" ht="15.75" hidden="false" customHeight="true" outlineLevel="0" collapsed="false">
      <c r="AV210" s="1"/>
    </row>
    <row r="211" customFormat="false" ht="15.75" hidden="false" customHeight="true" outlineLevel="0" collapsed="false">
      <c r="AV211" s="1"/>
    </row>
    <row r="212" customFormat="false" ht="15.75" hidden="false" customHeight="true" outlineLevel="0" collapsed="false">
      <c r="AV212" s="1"/>
    </row>
    <row r="213" customFormat="false" ht="15.75" hidden="false" customHeight="true" outlineLevel="0" collapsed="false">
      <c r="AV213" s="1"/>
    </row>
    <row r="214" customFormat="false" ht="15.75" hidden="false" customHeight="true" outlineLevel="0" collapsed="false">
      <c r="AV214" s="1"/>
    </row>
    <row r="215" customFormat="false" ht="15.75" hidden="false" customHeight="true" outlineLevel="0" collapsed="false">
      <c r="AV215" s="1"/>
    </row>
    <row r="216" customFormat="false" ht="15.75" hidden="false" customHeight="true" outlineLevel="0" collapsed="false">
      <c r="AV216" s="1"/>
    </row>
    <row r="217" customFormat="false" ht="15.75" hidden="false" customHeight="true" outlineLevel="0" collapsed="false">
      <c r="AV217" s="1"/>
    </row>
    <row r="218" customFormat="false" ht="15.75" hidden="false" customHeight="true" outlineLevel="0" collapsed="false">
      <c r="AV218" s="1"/>
    </row>
    <row r="219" customFormat="false" ht="15.75" hidden="false" customHeight="true" outlineLevel="0" collapsed="false">
      <c r="AV219" s="1"/>
    </row>
    <row r="220" customFormat="false" ht="15.75" hidden="false" customHeight="true" outlineLevel="0" collapsed="false">
      <c r="AV220" s="1"/>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6:AU6"/>
  <mergeCells count="25">
    <mergeCell ref="A2:B2"/>
    <mergeCell ref="C2:E2"/>
    <mergeCell ref="A3:B3"/>
    <mergeCell ref="C3:E3"/>
    <mergeCell ref="G3:H3"/>
    <mergeCell ref="I3:J3"/>
    <mergeCell ref="A4:B4"/>
    <mergeCell ref="C4:E4"/>
    <mergeCell ref="G4:H4"/>
    <mergeCell ref="I4:J4"/>
    <mergeCell ref="A5:C5"/>
    <mergeCell ref="D5:I5"/>
    <mergeCell ref="J5:M5"/>
    <mergeCell ref="N5:S5"/>
    <mergeCell ref="T5:Y5"/>
    <mergeCell ref="Z5:AE5"/>
    <mergeCell ref="AF5:AK5"/>
    <mergeCell ref="AL5:AQ5"/>
    <mergeCell ref="AR5:AU5"/>
    <mergeCell ref="C7:AU7"/>
    <mergeCell ref="C10:AU10"/>
    <mergeCell ref="C12:AU12"/>
    <mergeCell ref="C17:AU17"/>
    <mergeCell ref="C22:AU22"/>
    <mergeCell ref="C24:AU24"/>
  </mergeCells>
  <conditionalFormatting sqref="O7:O500 P7:P500 U7:U500 V7:V500 AA7:AA500 AB7:AB500 AG7:AG500 AH7:AH500 AM7:AM500 AN7:AN500 AS7:AS500 AT7:AT500">
    <cfRule type="cellIs" priority="2" operator="equal" aboveAverage="0" equalAverage="0" bottom="0" percent="0" rank="0" text="" dxfId="0">
      <formula>"Pass"</formula>
    </cfRule>
    <cfRule type="cellIs" priority="3" operator="equal" aboveAverage="0" equalAverage="0" bottom="0" percent="0" rank="0" text="" dxfId="1">
      <formula>"Fail"</formula>
    </cfRule>
    <cfRule type="cellIs" priority="4" operator="equal" aboveAverage="0" equalAverage="0" bottom="0" percent="0" rank="0" text="" dxfId="2">
      <formula>"Block"</formula>
    </cfRule>
    <cfRule type="cellIs" priority="5" operator="equal" aboveAverage="0" equalAverage="0" bottom="0" percent="0" rank="0" text="" dxfId="3">
      <formula>"N/A"</formula>
    </cfRule>
  </conditionalFormatting>
  <dataValidations count="8">
    <dataValidation allowBlank="true" errorStyle="stop" operator="between" showDropDown="false" showErrorMessage="false" showInputMessage="false" sqref="J7:J500" type="list">
      <formula1>"AI,QC"</formula1>
      <formula2>0</formula2>
    </dataValidation>
    <dataValidation allowBlank="true" errorStyle="stop" operator="between" showDropDown="false" showErrorMessage="false" showInputMessage="false" sqref="E7:E500" type="list">
      <formula1>"High,Medium,Low"</formula1>
      <formula2>0</formula2>
    </dataValidation>
    <dataValidation allowBlank="true" errorStyle="stop" operator="between" showDropDown="false" showErrorMessage="false" showInputMessage="false" sqref="P7:P500 V7:V500 AB7:AB500 AH7:AH500 AN7:AN500" type="list">
      <formula1>"Pass,Fail,Block,N/A"</formula1>
      <formula2>0</formula2>
    </dataValidation>
    <dataValidation allowBlank="true" errorStyle="stop" operator="between" showDropDown="false" showErrorMessage="false" showInputMessage="false" sqref="N7:N500 T7:T500 Z7:Z500 AF7:AF500 AL7:AL500" type="list">
      <formula1>"Yes,No,N/A"</formula1>
      <formula2>0</formula2>
    </dataValidation>
    <dataValidation allowBlank="true" errorStyle="stop" operator="between" showDropDown="false" showErrorMessage="false" showInputMessage="false" sqref="O7:O500 U7:U500 AA7:AA500 AG7:AG500 AM7:AM500" type="list">
      <formula1>"Pass,Fail,Block,N/A,Chưa chạy"</formula1>
      <formula2>0</formula2>
    </dataValidation>
    <dataValidation allowBlank="true" errorStyle="stop" operator="between" showDropDown="false" showErrorMessage="false" showInputMessage="false" sqref="D7:D500" type="list">
      <formula1>"Functional,UI,Integration,Database Test Case"</formula1>
      <formula2>0</formula2>
    </dataValidation>
    <dataValidation allowBlank="true" errorStyle="stop" operator="between" showDropDown="false" showErrorMessage="false" showInputMessage="false" sqref="K7:K500" type="list">
      <formula1>"Reviewed,Pending,N/A"</formula1>
      <formula2>0</formula2>
    </dataValidation>
    <dataValidation allowBlank="true" errorStyle="stop" operator="between" showDropDown="false" showErrorMessage="false" showInputMessage="false" sqref="L7:L500"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V220"/>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1" ySplit="6" topLeftCell="B19" activePane="bottomRight" state="frozen"/>
      <selection pane="topLeft" activeCell="A1" activeCellId="0" sqref="A1"/>
      <selection pane="topRight" activeCell="B1" activeCellId="0" sqref="B1"/>
      <selection pane="bottomLeft" activeCell="A19" activeCellId="0" sqref="A19"/>
      <selection pane="bottomRight" activeCell="M21" activeCellId="0" sqref="M21"/>
    </sheetView>
  </sheetViews>
  <sheetFormatPr defaultColWidth="14.43359375" defaultRowHeight="15" customHeight="false" zeroHeight="false" outlineLevelRow="0" outlineLevelCol="0"/>
  <cols>
    <col collapsed="false" customWidth="true" hidden="false" outlineLevel="0" max="2" min="1" style="1" width="14"/>
    <col collapsed="false" customWidth="true" hidden="false" outlineLevel="0" max="4" min="3" style="1" width="13"/>
    <col collapsed="false" customWidth="true" hidden="false" outlineLevel="0" max="5" min="5" style="1" width="11"/>
    <col collapsed="false" customWidth="true" hidden="false" outlineLevel="0" max="6" min="6" style="1" width="34"/>
    <col collapsed="false" customWidth="true" hidden="false" outlineLevel="0" max="7" min="7" style="1" width="28"/>
    <col collapsed="false" customWidth="true" hidden="false" outlineLevel="0" max="8" min="8" style="1" width="40"/>
    <col collapsed="false" customWidth="true" hidden="false" outlineLevel="0" max="9" min="9" style="1" width="34"/>
    <col collapsed="false" customWidth="true" hidden="false" outlineLevel="0" max="10" min="10" style="1" width="10"/>
    <col collapsed="false" customWidth="true" hidden="false" outlineLevel="0" max="11" min="11" style="1" width="12.43"/>
    <col collapsed="false" customWidth="true" hidden="false" outlineLevel="0" max="12" min="12" style="1" width="14"/>
    <col collapsed="false" customWidth="true" hidden="false" outlineLevel="0" max="13" min="13" style="1" width="26.16"/>
    <col collapsed="false" customWidth="true" hidden="false" outlineLevel="0" max="14" min="14" style="1" width="9"/>
    <col collapsed="false" customWidth="true" hidden="false" outlineLevel="0" max="15" min="15" style="1" width="10"/>
    <col collapsed="false" customWidth="true" hidden="false" outlineLevel="0" max="16" min="16" style="1" width="9"/>
    <col collapsed="false" customWidth="true" hidden="false" outlineLevel="0" max="17" min="17" style="1" width="13"/>
    <col collapsed="false" customWidth="true" hidden="false" outlineLevel="0" max="18" min="18" style="1" width="11"/>
    <col collapsed="false" customWidth="true" hidden="false" outlineLevel="0" max="19" min="19" style="1" width="22"/>
    <col collapsed="false" customWidth="true" hidden="false" outlineLevel="0" max="20" min="20" style="1" width="9"/>
    <col collapsed="false" customWidth="true" hidden="false" outlineLevel="0" max="21" min="21" style="1" width="10"/>
    <col collapsed="false" customWidth="true" hidden="false" outlineLevel="0" max="22" min="22" style="1" width="9"/>
    <col collapsed="false" customWidth="true" hidden="false" outlineLevel="0" max="23" min="23" style="1" width="13"/>
    <col collapsed="false" customWidth="true" hidden="false" outlineLevel="0" max="24" min="24" style="1" width="11"/>
    <col collapsed="false" customWidth="true" hidden="false" outlineLevel="0" max="25" min="25" style="1" width="22"/>
    <col collapsed="false" customWidth="true" hidden="false" outlineLevel="0" max="26" min="26" style="1" width="9"/>
    <col collapsed="false" customWidth="true" hidden="false" outlineLevel="0" max="27" min="27" style="1" width="10"/>
    <col collapsed="false" customWidth="true" hidden="false" outlineLevel="0" max="28" min="28" style="1" width="9"/>
    <col collapsed="false" customWidth="true" hidden="false" outlineLevel="0" max="29" min="29" style="1" width="13"/>
    <col collapsed="false" customWidth="true" hidden="false" outlineLevel="0" max="30" min="30" style="1" width="11"/>
    <col collapsed="false" customWidth="true" hidden="false" outlineLevel="0" max="31" min="31" style="1" width="22"/>
    <col collapsed="false" customWidth="true" hidden="false" outlineLevel="0" max="32" min="32" style="1" width="9"/>
    <col collapsed="false" customWidth="true" hidden="false" outlineLevel="0" max="33" min="33" style="1" width="10"/>
    <col collapsed="false" customWidth="true" hidden="false" outlineLevel="0" max="34" min="34" style="1" width="9"/>
    <col collapsed="false" customWidth="true" hidden="false" outlineLevel="0" max="35" min="35" style="1" width="13"/>
    <col collapsed="false" customWidth="true" hidden="false" outlineLevel="0" max="36" min="36" style="1" width="11"/>
    <col collapsed="false" customWidth="true" hidden="false" outlineLevel="0" max="37" min="37" style="1" width="22"/>
    <col collapsed="false" customWidth="true" hidden="false" outlineLevel="0" max="38" min="38" style="1" width="9"/>
    <col collapsed="false" customWidth="true" hidden="false" outlineLevel="0" max="39" min="39" style="1" width="10"/>
    <col collapsed="false" customWidth="true" hidden="false" outlineLevel="0" max="40" min="40" style="1" width="9"/>
    <col collapsed="false" customWidth="true" hidden="false" outlineLevel="0" max="41" min="41" style="1" width="13"/>
    <col collapsed="false" customWidth="true" hidden="false" outlineLevel="0" max="42" min="42" style="1" width="11"/>
    <col collapsed="false" customWidth="true" hidden="false" outlineLevel="0" max="43" min="43" style="1" width="22"/>
    <col collapsed="false" customWidth="true" hidden="false" outlineLevel="0" max="44" min="44" style="1" width="12"/>
    <col collapsed="false" customWidth="true" hidden="false" outlineLevel="0" max="45" min="45" style="1" width="14"/>
    <col collapsed="false" customWidth="true" hidden="false" outlineLevel="0" max="46" min="46" style="1" width="11"/>
    <col collapsed="false" customWidth="true" hidden="false" outlineLevel="0" max="47" min="47" style="1" width="24"/>
  </cols>
  <sheetData>
    <row r="1" customFormat="false" ht="15" hidden="false" customHeight="true" outlineLevel="0" collapsed="false">
      <c r="A1" s="172"/>
    </row>
    <row r="2" customFormat="false" ht="15" hidden="false" customHeight="true" outlineLevel="0" collapsed="false">
      <c r="A2" s="180" t="s">
        <v>629</v>
      </c>
      <c r="B2" s="180"/>
      <c r="C2" s="181" t="s">
        <v>199</v>
      </c>
      <c r="D2" s="181"/>
      <c r="E2" s="181"/>
    </row>
    <row r="3" customFormat="false" ht="15" hidden="false" customHeight="true" outlineLevel="0" collapsed="false">
      <c r="A3" s="180" t="s">
        <v>630</v>
      </c>
      <c r="B3" s="180"/>
      <c r="C3" s="181" t="s">
        <v>200</v>
      </c>
      <c r="D3" s="181"/>
      <c r="E3" s="181"/>
      <c r="G3" s="180" t="s">
        <v>82</v>
      </c>
      <c r="H3" s="180"/>
      <c r="I3" s="38" t="str">
        <f aca="false">Summary!$C$8</f>
        <v>v1.1</v>
      </c>
      <c r="J3" s="38"/>
    </row>
    <row r="4" customFormat="false" ht="15" hidden="false" customHeight="true" outlineLevel="0" collapsed="false">
      <c r="A4" s="180" t="s">
        <v>145</v>
      </c>
      <c r="B4" s="180"/>
      <c r="C4" s="38" t="str">
        <f aca="false">TEXT(Summary!$C$10,"DD/MM/YYYY")&amp;"  →  "&amp;TEXT(Summary!$C$11,"DD/MM/YYYY")</f>
        <v>18/09/2026  →  25/09/2026</v>
      </c>
      <c r="D4" s="38"/>
      <c r="E4" s="38"/>
      <c r="G4" s="180" t="s">
        <v>103</v>
      </c>
      <c r="H4" s="180"/>
      <c r="I4" s="38" t="str">
        <f aca="false">Summary!$C$13</f>
        <v>GiangDC2</v>
      </c>
      <c r="J4" s="38"/>
    </row>
    <row r="5" customFormat="false" ht="15" hidden="false" customHeight="true" outlineLevel="0" collapsed="false">
      <c r="A5" s="182" t="s">
        <v>631</v>
      </c>
      <c r="B5" s="182"/>
      <c r="C5" s="182"/>
      <c r="D5" s="117" t="s">
        <v>632</v>
      </c>
      <c r="E5" s="117"/>
      <c r="F5" s="117"/>
      <c r="G5" s="117"/>
      <c r="H5" s="117"/>
      <c r="I5" s="117"/>
      <c r="J5" s="136" t="s">
        <v>58</v>
      </c>
      <c r="K5" s="136"/>
      <c r="L5" s="136"/>
      <c r="M5" s="136"/>
      <c r="N5" s="183" t="s">
        <v>633</v>
      </c>
      <c r="O5" s="183"/>
      <c r="P5" s="183"/>
      <c r="Q5" s="183"/>
      <c r="R5" s="183"/>
      <c r="S5" s="183"/>
      <c r="T5" s="184" t="s">
        <v>634</v>
      </c>
      <c r="U5" s="184"/>
      <c r="V5" s="184"/>
      <c r="W5" s="184"/>
      <c r="X5" s="184"/>
      <c r="Y5" s="184"/>
      <c r="Z5" s="183" t="s">
        <v>635</v>
      </c>
      <c r="AA5" s="183"/>
      <c r="AB5" s="183"/>
      <c r="AC5" s="183"/>
      <c r="AD5" s="183"/>
      <c r="AE5" s="183"/>
      <c r="AF5" s="184" t="s">
        <v>636</v>
      </c>
      <c r="AG5" s="184"/>
      <c r="AH5" s="184"/>
      <c r="AI5" s="184"/>
      <c r="AJ5" s="184"/>
      <c r="AK5" s="184"/>
      <c r="AL5" s="183" t="s">
        <v>637</v>
      </c>
      <c r="AM5" s="183"/>
      <c r="AN5" s="183"/>
      <c r="AO5" s="183"/>
      <c r="AP5" s="183"/>
      <c r="AQ5" s="183"/>
      <c r="AR5" s="185" t="s">
        <v>638</v>
      </c>
      <c r="AS5" s="185"/>
      <c r="AT5" s="185"/>
      <c r="AU5" s="185"/>
    </row>
    <row r="6" customFormat="false" ht="30" hidden="false" customHeight="true" outlineLevel="0" collapsed="false">
      <c r="A6" s="186" t="s">
        <v>639</v>
      </c>
      <c r="B6" s="186" t="s">
        <v>405</v>
      </c>
      <c r="C6" s="186" t="s">
        <v>640</v>
      </c>
      <c r="D6" s="125" t="s">
        <v>40</v>
      </c>
      <c r="E6" s="125" t="s">
        <v>32</v>
      </c>
      <c r="F6" s="125" t="s">
        <v>641</v>
      </c>
      <c r="G6" s="125" t="s">
        <v>642</v>
      </c>
      <c r="H6" s="125" t="s">
        <v>643</v>
      </c>
      <c r="I6" s="125" t="s">
        <v>644</v>
      </c>
      <c r="J6" s="175" t="s">
        <v>645</v>
      </c>
      <c r="K6" s="175" t="s">
        <v>62</v>
      </c>
      <c r="L6" s="175" t="s">
        <v>64</v>
      </c>
      <c r="M6" s="175" t="s">
        <v>66</v>
      </c>
      <c r="N6" s="187" t="s">
        <v>68</v>
      </c>
      <c r="O6" s="187" t="s">
        <v>70</v>
      </c>
      <c r="P6" s="187" t="s">
        <v>646</v>
      </c>
      <c r="Q6" s="187" t="s">
        <v>647</v>
      </c>
      <c r="R6" s="187" t="s">
        <v>648</v>
      </c>
      <c r="S6" s="187" t="s">
        <v>265</v>
      </c>
      <c r="T6" s="187" t="s">
        <v>68</v>
      </c>
      <c r="U6" s="187" t="s">
        <v>70</v>
      </c>
      <c r="V6" s="187" t="s">
        <v>646</v>
      </c>
      <c r="W6" s="187" t="s">
        <v>647</v>
      </c>
      <c r="X6" s="187" t="s">
        <v>648</v>
      </c>
      <c r="Y6" s="187" t="s">
        <v>265</v>
      </c>
      <c r="Z6" s="187" t="s">
        <v>68</v>
      </c>
      <c r="AA6" s="187" t="s">
        <v>70</v>
      </c>
      <c r="AB6" s="187" t="s">
        <v>646</v>
      </c>
      <c r="AC6" s="187" t="s">
        <v>647</v>
      </c>
      <c r="AD6" s="187" t="s">
        <v>648</v>
      </c>
      <c r="AE6" s="187" t="s">
        <v>265</v>
      </c>
      <c r="AF6" s="187" t="s">
        <v>68</v>
      </c>
      <c r="AG6" s="187" t="s">
        <v>70</v>
      </c>
      <c r="AH6" s="187" t="s">
        <v>646</v>
      </c>
      <c r="AI6" s="187" t="s">
        <v>647</v>
      </c>
      <c r="AJ6" s="187" t="s">
        <v>648</v>
      </c>
      <c r="AK6" s="187" t="s">
        <v>265</v>
      </c>
      <c r="AL6" s="187" t="s">
        <v>68</v>
      </c>
      <c r="AM6" s="187" t="s">
        <v>70</v>
      </c>
      <c r="AN6" s="187" t="s">
        <v>646</v>
      </c>
      <c r="AO6" s="187" t="s">
        <v>647</v>
      </c>
      <c r="AP6" s="187" t="s">
        <v>648</v>
      </c>
      <c r="AQ6" s="187" t="s">
        <v>265</v>
      </c>
      <c r="AR6" s="188" t="s">
        <v>649</v>
      </c>
      <c r="AS6" s="188" t="s">
        <v>650</v>
      </c>
      <c r="AT6" s="188" t="s">
        <v>50</v>
      </c>
      <c r="AU6" s="188" t="s">
        <v>651</v>
      </c>
    </row>
    <row r="7" customFormat="false" ht="15" hidden="false" customHeight="true" outlineLevel="0" collapsed="false">
      <c r="A7" s="189"/>
      <c r="B7" s="189"/>
      <c r="C7" s="190" t="s">
        <v>752</v>
      </c>
      <c r="D7" s="190"/>
      <c r="E7" s="190"/>
      <c r="F7" s="190"/>
      <c r="G7" s="190"/>
      <c r="H7" s="190"/>
      <c r="I7" s="190"/>
      <c r="J7" s="190"/>
      <c r="K7" s="190"/>
      <c r="L7" s="190"/>
      <c r="M7" s="190"/>
      <c r="N7" s="190"/>
      <c r="O7" s="190"/>
      <c r="P7" s="190"/>
      <c r="Q7" s="190"/>
      <c r="R7" s="190"/>
      <c r="S7" s="190"/>
      <c r="T7" s="190"/>
      <c r="U7" s="190"/>
      <c r="V7" s="190"/>
      <c r="W7" s="190"/>
      <c r="X7" s="190"/>
      <c r="Y7" s="190"/>
      <c r="Z7" s="190"/>
      <c r="AA7" s="190"/>
      <c r="AB7" s="190"/>
      <c r="AC7" s="190"/>
      <c r="AD7" s="190"/>
      <c r="AE7" s="190"/>
      <c r="AF7" s="190"/>
      <c r="AG7" s="190"/>
      <c r="AH7" s="190"/>
      <c r="AI7" s="190"/>
      <c r="AJ7" s="190"/>
      <c r="AK7" s="190"/>
      <c r="AL7" s="190"/>
      <c r="AM7" s="190"/>
      <c r="AN7" s="190"/>
      <c r="AO7" s="190"/>
      <c r="AP7" s="190"/>
      <c r="AQ7" s="190"/>
      <c r="AR7" s="190"/>
      <c r="AS7" s="190"/>
      <c r="AT7" s="190"/>
      <c r="AU7" s="190"/>
    </row>
    <row r="8" customFormat="false" ht="79.5" hidden="false" customHeight="true" outlineLevel="0" collapsed="false">
      <c r="A8" s="191" t="str">
        <f aca="false">IF($F8="","",$C$2&amp;"."&amp;COUNTA($F$7:$F8)&amp;"")</f>
        <v>TC_03.1</v>
      </c>
      <c r="B8" s="191" t="s">
        <v>456</v>
      </c>
      <c r="C8" s="191" t="s">
        <v>530</v>
      </c>
      <c r="D8" s="191" t="s">
        <v>41</v>
      </c>
      <c r="E8" s="191" t="s">
        <v>159</v>
      </c>
      <c r="F8" s="13" t="s">
        <v>753</v>
      </c>
      <c r="G8" s="13" t="s">
        <v>655</v>
      </c>
      <c r="H8" s="13" t="s">
        <v>754</v>
      </c>
      <c r="I8" s="13" t="s">
        <v>755</v>
      </c>
      <c r="J8" s="191" t="s">
        <v>658</v>
      </c>
      <c r="K8" s="191" t="s">
        <v>245</v>
      </c>
      <c r="L8" s="191"/>
      <c r="M8" s="191"/>
      <c r="N8" s="192"/>
      <c r="O8" s="192"/>
      <c r="P8" s="192"/>
      <c r="Q8" s="192"/>
      <c r="R8" s="192"/>
      <c r="S8" s="192"/>
      <c r="T8" s="192"/>
      <c r="U8" s="192"/>
      <c r="V8" s="192"/>
      <c r="W8" s="192"/>
      <c r="X8" s="192"/>
      <c r="Y8" s="192"/>
      <c r="Z8" s="192"/>
      <c r="AA8" s="192"/>
      <c r="AB8" s="192"/>
      <c r="AC8" s="192"/>
      <c r="AD8" s="192"/>
      <c r="AE8" s="192"/>
      <c r="AF8" s="192"/>
      <c r="AG8" s="192"/>
      <c r="AH8" s="192"/>
      <c r="AI8" s="192"/>
      <c r="AJ8" s="192"/>
      <c r="AK8" s="192"/>
      <c r="AL8" s="192"/>
      <c r="AM8" s="192"/>
      <c r="AN8" s="192"/>
      <c r="AO8" s="192"/>
      <c r="AP8" s="192"/>
      <c r="AQ8" s="192"/>
      <c r="AR8" s="193" t="str">
        <f aca="false">IF($A8="","",IF(OR($N8="Yes",$T8="Yes",$Z8="Yes",$AF8="Yes",$AL8="Yes"),"Yes","No"))</f>
        <v>No</v>
      </c>
      <c r="AS8" s="193" t="str">
        <f aca="false">IF($A8="","",IFERROR(IF($AM8&lt;&gt;"",$AM8,IF($AG8&lt;&gt;"",$AG8,IF($AA8&lt;&gt;"",$AA8,IF($U8&lt;&gt;"",$U8,IF($O8&lt;&gt;"",$O8,""))))),""))</f>
        <v/>
      </c>
      <c r="AT8" s="193" t="str">
        <f aca="false">IFERROR(IF($AN8&lt;&gt;"",$AN8,IF($AH8&lt;&gt;"",$AH8,IF($AB8&lt;&gt;"",$AB8,IF($V8&lt;&gt;"",$V8,IF($P8&lt;&gt;"",$P8,""))))),"")</f>
        <v/>
      </c>
      <c r="AU8" s="194"/>
    </row>
    <row r="9" customFormat="false" ht="79.5" hidden="false" customHeight="true" outlineLevel="0" collapsed="false">
      <c r="A9" s="191" t="str">
        <f aca="false">IF($F9="","",$C$2&amp;"."&amp;COUNTA($F$7:$F9)&amp;"")</f>
        <v>TC_03.2</v>
      </c>
      <c r="B9" s="191" t="s">
        <v>456</v>
      </c>
      <c r="C9" s="191" t="s">
        <v>530</v>
      </c>
      <c r="D9" s="191" t="s">
        <v>41</v>
      </c>
      <c r="E9" s="191" t="s">
        <v>160</v>
      </c>
      <c r="F9" s="13" t="s">
        <v>756</v>
      </c>
      <c r="G9" s="13" t="s">
        <v>655</v>
      </c>
      <c r="H9" s="13" t="s">
        <v>757</v>
      </c>
      <c r="I9" s="13" t="s">
        <v>758</v>
      </c>
      <c r="J9" s="191" t="s">
        <v>658</v>
      </c>
      <c r="K9" s="191" t="s">
        <v>245</v>
      </c>
      <c r="L9" s="191"/>
      <c r="M9" s="191"/>
      <c r="N9" s="192"/>
      <c r="O9" s="192"/>
      <c r="P9" s="192"/>
      <c r="Q9" s="192"/>
      <c r="R9" s="192"/>
      <c r="S9" s="192"/>
      <c r="T9" s="192"/>
      <c r="U9" s="192"/>
      <c r="V9" s="192"/>
      <c r="W9" s="192"/>
      <c r="X9" s="192"/>
      <c r="Y9" s="192"/>
      <c r="Z9" s="192"/>
      <c r="AA9" s="192"/>
      <c r="AB9" s="192"/>
      <c r="AC9" s="192"/>
      <c r="AD9" s="192"/>
      <c r="AE9" s="192"/>
      <c r="AF9" s="192"/>
      <c r="AG9" s="192"/>
      <c r="AH9" s="192"/>
      <c r="AI9" s="192"/>
      <c r="AJ9" s="192"/>
      <c r="AK9" s="192"/>
      <c r="AL9" s="192"/>
      <c r="AM9" s="192"/>
      <c r="AN9" s="192"/>
      <c r="AO9" s="192"/>
      <c r="AP9" s="192"/>
      <c r="AQ9" s="192"/>
      <c r="AR9" s="193" t="str">
        <f aca="false">IF($A9="","",IF(OR($N9="Yes",$T9="Yes",$Z9="Yes",$AF9="Yes",$AL9="Yes"),"Yes","No"))</f>
        <v>No</v>
      </c>
      <c r="AS9" s="193" t="str">
        <f aca="false">IF($A9="","",IFERROR(IF($AM9&lt;&gt;"",$AM9,IF($AG9&lt;&gt;"",$AG9,IF($AA9&lt;&gt;"",$AA9,IF($U9&lt;&gt;"",$U9,IF($O9&lt;&gt;"",$O9,""))))),""))</f>
        <v/>
      </c>
      <c r="AT9" s="193" t="str">
        <f aca="false">IFERROR(IF($AN9&lt;&gt;"",$AN9,IF($AH9&lt;&gt;"",$AH9,IF($AB9&lt;&gt;"",$AB9,IF($V9&lt;&gt;"",$V9,IF($P9&lt;&gt;"",$P9,""))))),"")</f>
        <v/>
      </c>
      <c r="AU9" s="194"/>
    </row>
    <row r="10" customFormat="false" ht="15" hidden="false" customHeight="true" outlineLevel="0" collapsed="false">
      <c r="A10" s="189"/>
      <c r="B10" s="189"/>
      <c r="C10" s="190" t="s">
        <v>759</v>
      </c>
      <c r="D10" s="190"/>
      <c r="E10" s="190"/>
      <c r="F10" s="190"/>
      <c r="G10" s="190"/>
      <c r="H10" s="190"/>
      <c r="I10" s="190"/>
      <c r="J10" s="190"/>
      <c r="K10" s="190"/>
      <c r="L10" s="190"/>
      <c r="M10" s="190"/>
      <c r="N10" s="190"/>
      <c r="O10" s="190"/>
      <c r="P10" s="190"/>
      <c r="Q10" s="190"/>
      <c r="R10" s="190"/>
      <c r="S10" s="190"/>
      <c r="T10" s="190"/>
      <c r="U10" s="190"/>
      <c r="V10" s="190"/>
      <c r="W10" s="190"/>
      <c r="X10" s="190"/>
      <c r="Y10" s="190"/>
      <c r="Z10" s="190"/>
      <c r="AA10" s="190"/>
      <c r="AB10" s="190"/>
      <c r="AC10" s="190"/>
      <c r="AD10" s="190"/>
      <c r="AE10" s="190"/>
      <c r="AF10" s="190"/>
      <c r="AG10" s="190"/>
      <c r="AH10" s="190"/>
      <c r="AI10" s="190"/>
      <c r="AJ10" s="190"/>
      <c r="AK10" s="190"/>
      <c r="AL10" s="190"/>
      <c r="AM10" s="190"/>
      <c r="AN10" s="190"/>
      <c r="AO10" s="190"/>
      <c r="AP10" s="190"/>
      <c r="AQ10" s="190"/>
      <c r="AR10" s="190"/>
      <c r="AS10" s="190"/>
      <c r="AT10" s="190"/>
      <c r="AU10" s="190"/>
    </row>
    <row r="11" customFormat="false" ht="113.25" hidden="false" customHeight="true" outlineLevel="0" collapsed="false">
      <c r="A11" s="191" t="str">
        <f aca="false">IF($F11="","",$C$2&amp;"."&amp;COUNTA($F$7:$F11)&amp;"")</f>
        <v>TC_03.3</v>
      </c>
      <c r="B11" s="191" t="s">
        <v>760</v>
      </c>
      <c r="C11" s="191" t="s">
        <v>530</v>
      </c>
      <c r="D11" s="191" t="s">
        <v>41</v>
      </c>
      <c r="E11" s="191" t="s">
        <v>159</v>
      </c>
      <c r="F11" s="13" t="s">
        <v>761</v>
      </c>
      <c r="G11" s="13" t="s">
        <v>762</v>
      </c>
      <c r="H11" s="13" t="s">
        <v>763</v>
      </c>
      <c r="I11" s="13" t="s">
        <v>764</v>
      </c>
      <c r="J11" s="191" t="s">
        <v>658</v>
      </c>
      <c r="K11" s="191" t="s">
        <v>245</v>
      </c>
      <c r="L11" s="191"/>
      <c r="M11" s="191"/>
      <c r="N11" s="192"/>
      <c r="O11" s="192"/>
      <c r="P11" s="192"/>
      <c r="Q11" s="192"/>
      <c r="R11" s="192"/>
      <c r="S11" s="192"/>
      <c r="T11" s="192"/>
      <c r="U11" s="192"/>
      <c r="V11" s="192"/>
      <c r="W11" s="192"/>
      <c r="X11" s="192"/>
      <c r="Y11" s="192"/>
      <c r="Z11" s="192"/>
      <c r="AA11" s="192"/>
      <c r="AB11" s="192"/>
      <c r="AC11" s="192"/>
      <c r="AD11" s="192"/>
      <c r="AE11" s="192"/>
      <c r="AF11" s="192"/>
      <c r="AG11" s="192"/>
      <c r="AH11" s="192"/>
      <c r="AI11" s="192"/>
      <c r="AJ11" s="192"/>
      <c r="AK11" s="192"/>
      <c r="AL11" s="192"/>
      <c r="AM11" s="192"/>
      <c r="AN11" s="192"/>
      <c r="AO11" s="192"/>
      <c r="AP11" s="192"/>
      <c r="AQ11" s="192"/>
      <c r="AR11" s="193" t="str">
        <f aca="false">IF($A11="","",IF(OR($N11="Yes",$T11="Yes",$Z11="Yes",$AF11="Yes",$AL11="Yes"),"Yes","No"))</f>
        <v>No</v>
      </c>
      <c r="AS11" s="193" t="str">
        <f aca="false">IF($A11="","",IFERROR(IF($AM11&lt;&gt;"",$AM11,IF($AG11&lt;&gt;"",$AG11,IF($AA11&lt;&gt;"",$AA11,IF($U11&lt;&gt;"",$U11,IF($O11&lt;&gt;"",$O11,""))))),""))</f>
        <v/>
      </c>
      <c r="AT11" s="193" t="str">
        <f aca="false">IFERROR(IF($AN11&lt;&gt;"",$AN11,IF($AH11&lt;&gt;"",$AH11,IF($AB11&lt;&gt;"",$AB11,IF($V11&lt;&gt;"",$V11,IF($P11&lt;&gt;"",$P11,""))))),"")</f>
        <v/>
      </c>
      <c r="AU11" s="194"/>
    </row>
    <row r="12" customFormat="false" ht="113.25" hidden="false" customHeight="true" outlineLevel="0" collapsed="false">
      <c r="A12" s="191" t="str">
        <f aca="false">IF($F12="","",$C$2&amp;"."&amp;COUNTA($F$7:$F12)&amp;"")</f>
        <v>TC_03.4</v>
      </c>
      <c r="B12" s="191" t="s">
        <v>760</v>
      </c>
      <c r="C12" s="191" t="s">
        <v>530</v>
      </c>
      <c r="D12" s="191" t="s">
        <v>41</v>
      </c>
      <c r="E12" s="191" t="s">
        <v>159</v>
      </c>
      <c r="F12" s="13" t="s">
        <v>765</v>
      </c>
      <c r="G12" s="13" t="s">
        <v>762</v>
      </c>
      <c r="H12" s="13" t="s">
        <v>766</v>
      </c>
      <c r="I12" s="13" t="s">
        <v>764</v>
      </c>
      <c r="J12" s="191" t="s">
        <v>658</v>
      </c>
      <c r="K12" s="191" t="s">
        <v>245</v>
      </c>
      <c r="L12" s="191"/>
      <c r="M12" s="191"/>
      <c r="N12" s="192"/>
      <c r="O12" s="192"/>
      <c r="P12" s="192"/>
      <c r="Q12" s="192"/>
      <c r="R12" s="192"/>
      <c r="S12" s="192"/>
      <c r="T12" s="192"/>
      <c r="U12" s="192"/>
      <c r="V12" s="192"/>
      <c r="W12" s="192"/>
      <c r="X12" s="192"/>
      <c r="Y12" s="192"/>
      <c r="Z12" s="192"/>
      <c r="AA12" s="192"/>
      <c r="AB12" s="192"/>
      <c r="AC12" s="192"/>
      <c r="AD12" s="192"/>
      <c r="AE12" s="192"/>
      <c r="AF12" s="192"/>
      <c r="AG12" s="192"/>
      <c r="AH12" s="192"/>
      <c r="AI12" s="192"/>
      <c r="AJ12" s="192"/>
      <c r="AK12" s="192"/>
      <c r="AL12" s="192"/>
      <c r="AM12" s="192"/>
      <c r="AN12" s="192"/>
      <c r="AO12" s="192"/>
      <c r="AP12" s="192"/>
      <c r="AQ12" s="192"/>
      <c r="AR12" s="193" t="str">
        <f aca="false">IF($A12="","",IF(OR($N12="Yes",$T12="Yes",$Z12="Yes",$AF12="Yes",$AL12="Yes"),"Yes","No"))</f>
        <v>No</v>
      </c>
      <c r="AS12" s="193" t="str">
        <f aca="false">IF($A12="","",IFERROR(IF($AM12&lt;&gt;"",$AM12,IF($AG12&lt;&gt;"",$AG12,IF($AA12&lt;&gt;"",$AA12,IF($U12&lt;&gt;"",$U12,IF($O12&lt;&gt;"",$O12,""))))),""))</f>
        <v/>
      </c>
      <c r="AT12" s="193" t="str">
        <f aca="false">IFERROR(IF($AN12&lt;&gt;"",$AN12,IF($AH12&lt;&gt;"",$AH12,IF($AB12&lt;&gt;"",$AB12,IF($V12&lt;&gt;"",$V12,IF($P12&lt;&gt;"",$P12,""))))),"")</f>
        <v/>
      </c>
      <c r="AU12" s="194"/>
    </row>
    <row r="13" customFormat="false" ht="113.25" hidden="false" customHeight="true" outlineLevel="0" collapsed="false">
      <c r="A13" s="191" t="str">
        <f aca="false">IF($F13="","",$C$2&amp;"."&amp;COUNTA($F$7:$F13)&amp;"")</f>
        <v>TC_03.5</v>
      </c>
      <c r="B13" s="191" t="s">
        <v>760</v>
      </c>
      <c r="C13" s="191" t="s">
        <v>530</v>
      </c>
      <c r="D13" s="191" t="s">
        <v>41</v>
      </c>
      <c r="E13" s="191" t="s">
        <v>159</v>
      </c>
      <c r="F13" s="13" t="s">
        <v>767</v>
      </c>
      <c r="G13" s="13" t="s">
        <v>762</v>
      </c>
      <c r="H13" s="13" t="s">
        <v>768</v>
      </c>
      <c r="I13" s="13" t="s">
        <v>764</v>
      </c>
      <c r="J13" s="191" t="s">
        <v>658</v>
      </c>
      <c r="K13" s="191" t="s">
        <v>245</v>
      </c>
      <c r="L13" s="191"/>
      <c r="M13" s="191"/>
      <c r="N13" s="192"/>
      <c r="O13" s="192"/>
      <c r="P13" s="192"/>
      <c r="Q13" s="192"/>
      <c r="R13" s="192"/>
      <c r="S13" s="192"/>
      <c r="T13" s="192"/>
      <c r="U13" s="192"/>
      <c r="V13" s="192"/>
      <c r="W13" s="192"/>
      <c r="X13" s="192"/>
      <c r="Y13" s="192"/>
      <c r="Z13" s="192"/>
      <c r="AA13" s="192"/>
      <c r="AB13" s="192"/>
      <c r="AC13" s="192"/>
      <c r="AD13" s="192"/>
      <c r="AE13" s="192"/>
      <c r="AF13" s="192"/>
      <c r="AG13" s="192"/>
      <c r="AH13" s="192"/>
      <c r="AI13" s="192"/>
      <c r="AJ13" s="192"/>
      <c r="AK13" s="192"/>
      <c r="AL13" s="192"/>
      <c r="AM13" s="192"/>
      <c r="AN13" s="192"/>
      <c r="AO13" s="192"/>
      <c r="AP13" s="192"/>
      <c r="AQ13" s="192"/>
      <c r="AR13" s="193" t="str">
        <f aca="false">IF($A13="","",IF(OR($N13="Yes",$T13="Yes",$Z13="Yes",$AF13="Yes",$AL13="Yes"),"Yes","No"))</f>
        <v>No</v>
      </c>
      <c r="AS13" s="193" t="str">
        <f aca="false">IF($A13="","",IFERROR(IF($AM13&lt;&gt;"",$AM13,IF($AG13&lt;&gt;"",$AG13,IF($AA13&lt;&gt;"",$AA13,IF($U13&lt;&gt;"",$U13,IF($O13&lt;&gt;"",$O13,""))))),""))</f>
        <v/>
      </c>
      <c r="AT13" s="193" t="str">
        <f aca="false">IFERROR(IF($AN13&lt;&gt;"",$AN13,IF($AH13&lt;&gt;"",$AH13,IF($AB13&lt;&gt;"",$AB13,IF($V13&lt;&gt;"",$V13,IF($P13&lt;&gt;"",$P13,""))))),"")</f>
        <v/>
      </c>
      <c r="AU13" s="194"/>
    </row>
    <row r="14" customFormat="false" ht="15" hidden="false" customHeight="true" outlineLevel="0" collapsed="false">
      <c r="A14" s="189"/>
      <c r="B14" s="189"/>
      <c r="C14" s="190" t="s">
        <v>769</v>
      </c>
      <c r="D14" s="190"/>
      <c r="E14" s="190"/>
      <c r="F14" s="190"/>
      <c r="G14" s="190"/>
      <c r="H14" s="190"/>
      <c r="I14" s="190"/>
      <c r="J14" s="190"/>
      <c r="K14" s="190"/>
      <c r="L14" s="190"/>
      <c r="M14" s="190"/>
      <c r="N14" s="190"/>
      <c r="O14" s="190"/>
      <c r="P14" s="190"/>
      <c r="Q14" s="190"/>
      <c r="R14" s="190"/>
      <c r="S14" s="190"/>
      <c r="T14" s="190"/>
      <c r="U14" s="190"/>
      <c r="V14" s="190"/>
      <c r="W14" s="190"/>
      <c r="X14" s="190"/>
      <c r="Y14" s="190"/>
      <c r="Z14" s="190"/>
      <c r="AA14" s="190"/>
      <c r="AB14" s="190"/>
      <c r="AC14" s="190"/>
      <c r="AD14" s="190"/>
      <c r="AE14" s="190"/>
      <c r="AF14" s="190"/>
      <c r="AG14" s="190"/>
      <c r="AH14" s="190"/>
      <c r="AI14" s="190"/>
      <c r="AJ14" s="190"/>
      <c r="AK14" s="190"/>
      <c r="AL14" s="190"/>
      <c r="AM14" s="190"/>
      <c r="AN14" s="190"/>
      <c r="AO14" s="190"/>
      <c r="AP14" s="190"/>
      <c r="AQ14" s="190"/>
      <c r="AR14" s="190"/>
      <c r="AS14" s="190"/>
      <c r="AT14" s="190"/>
      <c r="AU14" s="190"/>
    </row>
    <row r="15" customFormat="false" ht="151.5" hidden="false" customHeight="true" outlineLevel="0" collapsed="false">
      <c r="A15" s="191" t="str">
        <f aca="false">IF($F15="","",$C$2&amp;"."&amp;COUNTA($F$7:$F15)&amp;"")</f>
        <v>TC_03.6</v>
      </c>
      <c r="B15" s="191" t="s">
        <v>465</v>
      </c>
      <c r="C15" s="191" t="s">
        <v>530</v>
      </c>
      <c r="D15" s="191" t="s">
        <v>41</v>
      </c>
      <c r="E15" s="191" t="s">
        <v>159</v>
      </c>
      <c r="F15" s="13" t="s">
        <v>770</v>
      </c>
      <c r="G15" s="13" t="s">
        <v>729</v>
      </c>
      <c r="H15" s="13" t="s">
        <v>771</v>
      </c>
      <c r="I15" s="13" t="s">
        <v>772</v>
      </c>
      <c r="J15" s="191" t="s">
        <v>658</v>
      </c>
      <c r="K15" s="191" t="s">
        <v>245</v>
      </c>
      <c r="L15" s="191"/>
      <c r="M15" s="191"/>
      <c r="N15" s="192"/>
      <c r="O15" s="192"/>
      <c r="P15" s="192"/>
      <c r="Q15" s="192"/>
      <c r="R15" s="192"/>
      <c r="S15" s="192"/>
      <c r="T15" s="192"/>
      <c r="U15" s="192"/>
      <c r="V15" s="192"/>
      <c r="W15" s="192"/>
      <c r="X15" s="192"/>
      <c r="Y15" s="192"/>
      <c r="Z15" s="192"/>
      <c r="AA15" s="192"/>
      <c r="AB15" s="192"/>
      <c r="AC15" s="192"/>
      <c r="AD15" s="192"/>
      <c r="AE15" s="192"/>
      <c r="AF15" s="192"/>
      <c r="AG15" s="192"/>
      <c r="AH15" s="192"/>
      <c r="AI15" s="192"/>
      <c r="AJ15" s="192"/>
      <c r="AK15" s="192"/>
      <c r="AL15" s="192"/>
      <c r="AM15" s="192"/>
      <c r="AN15" s="192"/>
      <c r="AO15" s="192"/>
      <c r="AP15" s="192"/>
      <c r="AQ15" s="192"/>
      <c r="AR15" s="193" t="str">
        <f aca="false">IF($A15="","",IF(OR($N15="Yes",$T15="Yes",$Z15="Yes",$AF15="Yes",$AL15="Yes"),"Yes","No"))</f>
        <v>No</v>
      </c>
      <c r="AS15" s="193" t="str">
        <f aca="false">IF($A15="","",IFERROR(IF($AM15&lt;&gt;"",$AM15,IF($AG15&lt;&gt;"",$AG15,IF($AA15&lt;&gt;"",$AA15,IF($U15&lt;&gt;"",$U15,IF($O15&lt;&gt;"",$O15,""))))),""))</f>
        <v/>
      </c>
      <c r="AT15" s="193" t="str">
        <f aca="false">IFERROR(IF($AN15&lt;&gt;"",$AN15,IF($AH15&lt;&gt;"",$AH15,IF($AB15&lt;&gt;"",$AB15,IF($V15&lt;&gt;"",$V15,IF($P15&lt;&gt;"",$P15,""))))),"")</f>
        <v/>
      </c>
      <c r="AU15" s="194"/>
    </row>
    <row r="16" customFormat="false" ht="255.75" hidden="false" customHeight="true" outlineLevel="0" collapsed="false">
      <c r="A16" s="191" t="str">
        <f aca="false">IF($F16="","",$C$2&amp;"."&amp;COUNTA($F$7:$F16)&amp;"")</f>
        <v>TC_03.7</v>
      </c>
      <c r="B16" s="191" t="s">
        <v>465</v>
      </c>
      <c r="C16" s="191" t="s">
        <v>530</v>
      </c>
      <c r="D16" s="191" t="s">
        <v>41</v>
      </c>
      <c r="E16" s="191" t="s">
        <v>158</v>
      </c>
      <c r="F16" s="13" t="s">
        <v>773</v>
      </c>
      <c r="G16" s="13" t="s">
        <v>729</v>
      </c>
      <c r="H16" s="13" t="s">
        <v>774</v>
      </c>
      <c r="I16" s="13" t="s">
        <v>775</v>
      </c>
      <c r="J16" s="191" t="s">
        <v>658</v>
      </c>
      <c r="K16" s="191" t="s">
        <v>245</v>
      </c>
      <c r="L16" s="191"/>
      <c r="M16" s="191"/>
      <c r="N16" s="192"/>
      <c r="O16" s="192"/>
      <c r="P16" s="192"/>
      <c r="Q16" s="192"/>
      <c r="R16" s="192"/>
      <c r="S16" s="192"/>
      <c r="T16" s="192"/>
      <c r="U16" s="192"/>
      <c r="V16" s="192"/>
      <c r="W16" s="192"/>
      <c r="X16" s="192"/>
      <c r="Y16" s="192"/>
      <c r="Z16" s="192"/>
      <c r="AA16" s="192"/>
      <c r="AB16" s="192"/>
      <c r="AC16" s="192"/>
      <c r="AD16" s="192"/>
      <c r="AE16" s="192"/>
      <c r="AF16" s="192"/>
      <c r="AG16" s="192"/>
      <c r="AH16" s="192"/>
      <c r="AI16" s="192"/>
      <c r="AJ16" s="192"/>
      <c r="AK16" s="192"/>
      <c r="AL16" s="192"/>
      <c r="AM16" s="192"/>
      <c r="AN16" s="192"/>
      <c r="AO16" s="192"/>
      <c r="AP16" s="192"/>
      <c r="AQ16" s="192"/>
      <c r="AR16" s="193" t="str">
        <f aca="false">IF($A16="","",IF(OR($N16="Yes",$T16="Yes",$Z16="Yes",$AF16="Yes",$AL16="Yes"),"Yes","No"))</f>
        <v>No</v>
      </c>
      <c r="AS16" s="193" t="str">
        <f aca="false">IF($A16="","",IFERROR(IF($AM16&lt;&gt;"",$AM16,IF($AG16&lt;&gt;"",$AG16,IF($AA16&lt;&gt;"",$AA16,IF($U16&lt;&gt;"",$U16,IF($O16&lt;&gt;"",$O16,""))))),""))</f>
        <v/>
      </c>
      <c r="AT16" s="193" t="str">
        <f aca="false">IFERROR(IF($AN16&lt;&gt;"",$AN16,IF($AH16&lt;&gt;"",$AH16,IF($AB16&lt;&gt;"",$AB16,IF($V16&lt;&gt;"",$V16,IF($P16&lt;&gt;"",$P16,""))))),"")</f>
        <v/>
      </c>
      <c r="AU16" s="194"/>
    </row>
    <row r="17" customFormat="false" ht="15" hidden="false" customHeight="true" outlineLevel="0" collapsed="false">
      <c r="A17" s="189"/>
      <c r="B17" s="189"/>
      <c r="C17" s="190" t="s">
        <v>776</v>
      </c>
      <c r="D17" s="190"/>
      <c r="E17" s="190"/>
      <c r="F17" s="190"/>
      <c r="G17" s="190"/>
      <c r="H17" s="190"/>
      <c r="I17" s="190"/>
      <c r="J17" s="190"/>
      <c r="K17" s="190"/>
      <c r="L17" s="190"/>
      <c r="M17" s="190"/>
      <c r="N17" s="190"/>
      <c r="O17" s="190"/>
      <c r="P17" s="190"/>
      <c r="Q17" s="190"/>
      <c r="R17" s="190"/>
      <c r="S17" s="190"/>
      <c r="T17" s="190"/>
      <c r="U17" s="190"/>
      <c r="V17" s="190"/>
      <c r="W17" s="190"/>
      <c r="X17" s="190"/>
      <c r="Y17" s="190"/>
      <c r="Z17" s="190"/>
      <c r="AA17" s="190"/>
      <c r="AB17" s="190"/>
      <c r="AC17" s="190"/>
      <c r="AD17" s="190"/>
      <c r="AE17" s="190"/>
      <c r="AF17" s="190"/>
      <c r="AG17" s="190"/>
      <c r="AH17" s="190"/>
      <c r="AI17" s="190"/>
      <c r="AJ17" s="190"/>
      <c r="AK17" s="190"/>
      <c r="AL17" s="190"/>
      <c r="AM17" s="190"/>
      <c r="AN17" s="190"/>
      <c r="AO17" s="190"/>
      <c r="AP17" s="190"/>
      <c r="AQ17" s="190"/>
      <c r="AR17" s="190"/>
      <c r="AS17" s="190"/>
      <c r="AT17" s="190"/>
      <c r="AU17" s="190"/>
    </row>
    <row r="18" customFormat="false" ht="113.25" hidden="false" customHeight="true" outlineLevel="0" collapsed="false">
      <c r="A18" s="191" t="str">
        <f aca="false">IF($F18="","",$C$2&amp;"."&amp;COUNTA($F$7:$F18)&amp;"")</f>
        <v>TC_03.8</v>
      </c>
      <c r="B18" s="191" t="s">
        <v>468</v>
      </c>
      <c r="C18" s="191" t="s">
        <v>530</v>
      </c>
      <c r="D18" s="191" t="s">
        <v>41</v>
      </c>
      <c r="E18" s="191" t="s">
        <v>158</v>
      </c>
      <c r="F18" s="13" t="s">
        <v>777</v>
      </c>
      <c r="G18" s="13" t="s">
        <v>762</v>
      </c>
      <c r="H18" s="13" t="s">
        <v>778</v>
      </c>
      <c r="I18" s="13" t="s">
        <v>779</v>
      </c>
      <c r="J18" s="191" t="s">
        <v>658</v>
      </c>
      <c r="K18" s="191" t="s">
        <v>245</v>
      </c>
      <c r="L18" s="191"/>
      <c r="M18" s="191"/>
      <c r="N18" s="192"/>
      <c r="O18" s="192"/>
      <c r="P18" s="192"/>
      <c r="Q18" s="192"/>
      <c r="R18" s="192"/>
      <c r="S18" s="192"/>
      <c r="T18" s="192"/>
      <c r="U18" s="192"/>
      <c r="V18" s="192"/>
      <c r="W18" s="192"/>
      <c r="X18" s="192"/>
      <c r="Y18" s="192"/>
      <c r="Z18" s="192"/>
      <c r="AA18" s="192"/>
      <c r="AB18" s="192"/>
      <c r="AC18" s="192"/>
      <c r="AD18" s="192"/>
      <c r="AE18" s="192"/>
      <c r="AF18" s="192"/>
      <c r="AG18" s="192"/>
      <c r="AH18" s="192"/>
      <c r="AI18" s="192"/>
      <c r="AJ18" s="192"/>
      <c r="AK18" s="192"/>
      <c r="AL18" s="192"/>
      <c r="AM18" s="192"/>
      <c r="AN18" s="192"/>
      <c r="AO18" s="192"/>
      <c r="AP18" s="192"/>
      <c r="AQ18" s="192"/>
      <c r="AR18" s="193" t="str">
        <f aca="false">IF($A18="","",IF(OR($N18="Yes",$T18="Yes",$Z18="Yes",$AF18="Yes",$AL18="Yes"),"Yes","No"))</f>
        <v>No</v>
      </c>
      <c r="AS18" s="193" t="str">
        <f aca="false">IF($A18="","",IFERROR(IF($AM18&lt;&gt;"",$AM18,IF($AG18&lt;&gt;"",$AG18,IF($AA18&lt;&gt;"",$AA18,IF($U18&lt;&gt;"",$U18,IF($O18&lt;&gt;"",$O18,""))))),""))</f>
        <v/>
      </c>
      <c r="AT18" s="193" t="str">
        <f aca="false">IFERROR(IF($AN18&lt;&gt;"",$AN18,IF($AH18&lt;&gt;"",$AH18,IF($AB18&lt;&gt;"",$AB18,IF($V18&lt;&gt;"",$V18,IF($P18&lt;&gt;"",$P18,""))))),"")</f>
        <v/>
      </c>
      <c r="AU18" s="194"/>
    </row>
    <row r="19" customFormat="false" ht="113.25" hidden="false" customHeight="true" outlineLevel="0" collapsed="false">
      <c r="A19" s="191" t="str">
        <f aca="false">IF($F19="","",$C$2&amp;"."&amp;COUNTA($F$7:$F19)&amp;"")</f>
        <v>TC_03.9</v>
      </c>
      <c r="B19" s="191" t="s">
        <v>468</v>
      </c>
      <c r="C19" s="191" t="s">
        <v>530</v>
      </c>
      <c r="D19" s="191" t="s">
        <v>41</v>
      </c>
      <c r="E19" s="191" t="s">
        <v>158</v>
      </c>
      <c r="F19" s="13" t="s">
        <v>780</v>
      </c>
      <c r="G19" s="13" t="s">
        <v>762</v>
      </c>
      <c r="H19" s="13" t="s">
        <v>781</v>
      </c>
      <c r="I19" s="13" t="s">
        <v>779</v>
      </c>
      <c r="J19" s="191" t="s">
        <v>658</v>
      </c>
      <c r="K19" s="191" t="s">
        <v>245</v>
      </c>
      <c r="L19" s="191"/>
      <c r="M19" s="191"/>
      <c r="N19" s="192"/>
      <c r="O19" s="192"/>
      <c r="P19" s="192"/>
      <c r="Q19" s="192"/>
      <c r="R19" s="192"/>
      <c r="S19" s="192"/>
      <c r="T19" s="192"/>
      <c r="U19" s="192"/>
      <c r="V19" s="192"/>
      <c r="W19" s="192"/>
      <c r="X19" s="192"/>
      <c r="Y19" s="192"/>
      <c r="Z19" s="192"/>
      <c r="AA19" s="192"/>
      <c r="AB19" s="192"/>
      <c r="AC19" s="192"/>
      <c r="AD19" s="192"/>
      <c r="AE19" s="192"/>
      <c r="AF19" s="192"/>
      <c r="AG19" s="192"/>
      <c r="AH19" s="192"/>
      <c r="AI19" s="192"/>
      <c r="AJ19" s="192"/>
      <c r="AK19" s="192"/>
      <c r="AL19" s="192"/>
      <c r="AM19" s="192"/>
      <c r="AN19" s="192"/>
      <c r="AO19" s="192"/>
      <c r="AP19" s="192"/>
      <c r="AQ19" s="192"/>
      <c r="AR19" s="193" t="str">
        <f aca="false">IF($A19="","",IF(OR($N19="Yes",$T19="Yes",$Z19="Yes",$AF19="Yes",$AL19="Yes"),"Yes","No"))</f>
        <v>No</v>
      </c>
      <c r="AS19" s="193" t="str">
        <f aca="false">IF($A19="","",IFERROR(IF($AM19&lt;&gt;"",$AM19,IF($AG19&lt;&gt;"",$AG19,IF($AA19&lt;&gt;"",$AA19,IF($U19&lt;&gt;"",$U19,IF($O19&lt;&gt;"",$O19,""))))),""))</f>
        <v/>
      </c>
      <c r="AT19" s="193" t="str">
        <f aca="false">IFERROR(IF($AN19&lt;&gt;"",$AN19,IF($AH19&lt;&gt;"",$AH19,IF($AB19&lt;&gt;"",$AB19,IF($V19&lt;&gt;"",$V19,IF($P19&lt;&gt;"",$P19,""))))),"")</f>
        <v/>
      </c>
      <c r="AU19" s="194"/>
    </row>
    <row r="20" customFormat="false" ht="113.25" hidden="false" customHeight="true" outlineLevel="0" collapsed="false">
      <c r="A20" s="191" t="str">
        <f aca="false">IF($F20="","",$C$2&amp;"."&amp;COUNTA($F$7:$F20)&amp;"")</f>
        <v>TC_03.10</v>
      </c>
      <c r="B20" s="191" t="s">
        <v>468</v>
      </c>
      <c r="C20" s="191" t="s">
        <v>530</v>
      </c>
      <c r="D20" s="191" t="s">
        <v>41</v>
      </c>
      <c r="E20" s="191" t="s">
        <v>158</v>
      </c>
      <c r="F20" s="13" t="s">
        <v>782</v>
      </c>
      <c r="G20" s="13" t="s">
        <v>762</v>
      </c>
      <c r="H20" s="13" t="s">
        <v>783</v>
      </c>
      <c r="I20" s="13" t="s">
        <v>779</v>
      </c>
      <c r="J20" s="191" t="s">
        <v>658</v>
      </c>
      <c r="K20" s="191" t="s">
        <v>245</v>
      </c>
      <c r="L20" s="191"/>
      <c r="M20" s="191"/>
      <c r="N20" s="192"/>
      <c r="O20" s="192"/>
      <c r="P20" s="192"/>
      <c r="Q20" s="192"/>
      <c r="R20" s="192"/>
      <c r="S20" s="192"/>
      <c r="T20" s="192"/>
      <c r="U20" s="192"/>
      <c r="V20" s="192"/>
      <c r="W20" s="192"/>
      <c r="X20" s="192"/>
      <c r="Y20" s="192"/>
      <c r="Z20" s="192"/>
      <c r="AA20" s="192"/>
      <c r="AB20" s="192"/>
      <c r="AC20" s="192"/>
      <c r="AD20" s="192"/>
      <c r="AE20" s="192"/>
      <c r="AF20" s="192"/>
      <c r="AG20" s="192"/>
      <c r="AH20" s="192"/>
      <c r="AI20" s="192"/>
      <c r="AJ20" s="192"/>
      <c r="AK20" s="192"/>
      <c r="AL20" s="192"/>
      <c r="AM20" s="192"/>
      <c r="AN20" s="192"/>
      <c r="AO20" s="192"/>
      <c r="AP20" s="192"/>
      <c r="AQ20" s="192"/>
      <c r="AR20" s="193" t="str">
        <f aca="false">IF($A20="","",IF(OR($N20="Yes",$T20="Yes",$Z20="Yes",$AF20="Yes",$AL20="Yes"),"Yes","No"))</f>
        <v>No</v>
      </c>
      <c r="AS20" s="193" t="str">
        <f aca="false">IF($A20="","",IFERROR(IF($AM20&lt;&gt;"",$AM20,IF($AG20&lt;&gt;"",$AG20,IF($AA20&lt;&gt;"",$AA20,IF($U20&lt;&gt;"",$U20,IF($O20&lt;&gt;"",$O20,""))))),""))</f>
        <v/>
      </c>
      <c r="AT20" s="193" t="str">
        <f aca="false">IFERROR(IF($AN20&lt;&gt;"",$AN20,IF($AH20&lt;&gt;"",$AH20,IF($AB20&lt;&gt;"",$AB20,IF($V20&lt;&gt;"",$V20,IF($P20&lt;&gt;"",$P20,""))))),"")</f>
        <v/>
      </c>
      <c r="AU20" s="194"/>
    </row>
    <row r="21" customFormat="false" ht="141.75" hidden="false" customHeight="true" outlineLevel="0" collapsed="false">
      <c r="A21" s="191" t="str">
        <f aca="false">IF($F21="","",$C$2&amp;"."&amp;COUNTA($F$7:$F21)&amp;"")</f>
        <v>TC_03.11</v>
      </c>
      <c r="B21" s="191" t="s">
        <v>468</v>
      </c>
      <c r="C21" s="191" t="s">
        <v>530</v>
      </c>
      <c r="D21" s="191" t="s">
        <v>41</v>
      </c>
      <c r="E21" s="191" t="s">
        <v>159</v>
      </c>
      <c r="F21" s="13" t="s">
        <v>784</v>
      </c>
      <c r="G21" s="13" t="s">
        <v>785</v>
      </c>
      <c r="H21" s="13" t="s">
        <v>786</v>
      </c>
      <c r="I21" s="13" t="s">
        <v>787</v>
      </c>
      <c r="J21" s="191" t="s">
        <v>658</v>
      </c>
      <c r="K21" s="191" t="s">
        <v>245</v>
      </c>
      <c r="L21" s="191"/>
      <c r="M21" s="191"/>
      <c r="N21" s="192"/>
      <c r="O21" s="192"/>
      <c r="P21" s="192"/>
      <c r="Q21" s="192"/>
      <c r="R21" s="192"/>
      <c r="S21" s="192"/>
      <c r="T21" s="192"/>
      <c r="U21" s="192"/>
      <c r="V21" s="192"/>
      <c r="W21" s="192"/>
      <c r="X21" s="192"/>
      <c r="Y21" s="192"/>
      <c r="Z21" s="192"/>
      <c r="AA21" s="192"/>
      <c r="AB21" s="192"/>
      <c r="AC21" s="192"/>
      <c r="AD21" s="192"/>
      <c r="AE21" s="192"/>
      <c r="AF21" s="192"/>
      <c r="AG21" s="192"/>
      <c r="AH21" s="192"/>
      <c r="AI21" s="192"/>
      <c r="AJ21" s="192"/>
      <c r="AK21" s="192"/>
      <c r="AL21" s="192"/>
      <c r="AM21" s="192"/>
      <c r="AN21" s="192"/>
      <c r="AO21" s="192"/>
      <c r="AP21" s="192"/>
      <c r="AQ21" s="192"/>
      <c r="AR21" s="193" t="str">
        <f aca="false">IF($A21="","",IF(OR($N21="Yes",$T21="Yes",$Z21="Yes",$AF21="Yes",$AL21="Yes"),"Yes","No"))</f>
        <v>No</v>
      </c>
      <c r="AS21" s="193" t="str">
        <f aca="false">IF($A21="","",IFERROR(IF($AM21&lt;&gt;"",$AM21,IF($AG21&lt;&gt;"",$AG21,IF($AA21&lt;&gt;"",$AA21,IF($U21&lt;&gt;"",$U21,IF($O21&lt;&gt;"",$O21,""))))),""))</f>
        <v/>
      </c>
      <c r="AT21" s="193" t="str">
        <f aca="false">IFERROR(IF($AN21&lt;&gt;"",$AN21,IF($AH21&lt;&gt;"",$AH21,IF($AB21&lt;&gt;"",$AB21,IF($V21&lt;&gt;"",$V21,IF($P21&lt;&gt;"",$P21,""))))),"")</f>
        <v/>
      </c>
      <c r="AU21" s="194"/>
    </row>
    <row r="22" customFormat="false" ht="15.75" hidden="false" customHeight="true" outlineLevel="0" collapsed="false">
      <c r="A22" s="189"/>
      <c r="B22" s="189"/>
      <c r="C22" s="190" t="s">
        <v>788</v>
      </c>
      <c r="D22" s="190"/>
      <c r="E22" s="190"/>
      <c r="F22" s="190"/>
      <c r="G22" s="190"/>
      <c r="H22" s="190"/>
      <c r="I22" s="190"/>
      <c r="J22" s="190"/>
      <c r="K22" s="190"/>
      <c r="L22" s="190"/>
      <c r="M22" s="190"/>
      <c r="N22" s="190"/>
      <c r="O22" s="190"/>
      <c r="P22" s="190"/>
      <c r="Q22" s="190"/>
      <c r="R22" s="190"/>
      <c r="S22" s="190"/>
      <c r="T22" s="190"/>
      <c r="U22" s="190"/>
      <c r="V22" s="190"/>
      <c r="W22" s="190"/>
      <c r="X22" s="190"/>
      <c r="Y22" s="190"/>
      <c r="Z22" s="190"/>
      <c r="AA22" s="190"/>
      <c r="AB22" s="190"/>
      <c r="AC22" s="190"/>
      <c r="AD22" s="190"/>
      <c r="AE22" s="190"/>
      <c r="AF22" s="190"/>
      <c r="AG22" s="190"/>
      <c r="AH22" s="190"/>
      <c r="AI22" s="190"/>
      <c r="AJ22" s="190"/>
      <c r="AK22" s="190"/>
      <c r="AL22" s="190"/>
      <c r="AM22" s="190"/>
      <c r="AN22" s="190"/>
      <c r="AO22" s="190"/>
      <c r="AP22" s="190"/>
      <c r="AQ22" s="190"/>
      <c r="AR22" s="190"/>
      <c r="AS22" s="190"/>
      <c r="AT22" s="190"/>
      <c r="AU22" s="190"/>
    </row>
    <row r="23" customFormat="false" ht="151.5" hidden="false" customHeight="true" outlineLevel="0" collapsed="false">
      <c r="A23" s="191" t="str">
        <f aca="false">IF($F23="","",$C$2&amp;"."&amp;COUNTA($F$7:$F23)&amp;"")</f>
        <v>TC_03.12</v>
      </c>
      <c r="B23" s="191" t="s">
        <v>459</v>
      </c>
      <c r="C23" s="191" t="s">
        <v>530</v>
      </c>
      <c r="D23" s="191" t="s">
        <v>41</v>
      </c>
      <c r="E23" s="191" t="s">
        <v>159</v>
      </c>
      <c r="F23" s="13" t="s">
        <v>789</v>
      </c>
      <c r="G23" s="13" t="s">
        <v>790</v>
      </c>
      <c r="H23" s="13" t="s">
        <v>791</v>
      </c>
      <c r="I23" s="13" t="s">
        <v>792</v>
      </c>
      <c r="J23" s="191" t="s">
        <v>658</v>
      </c>
      <c r="K23" s="191" t="s">
        <v>245</v>
      </c>
      <c r="L23" s="191"/>
      <c r="M23" s="191"/>
      <c r="N23" s="192"/>
      <c r="O23" s="192"/>
      <c r="P23" s="192"/>
      <c r="Q23" s="192"/>
      <c r="R23" s="192"/>
      <c r="S23" s="192"/>
      <c r="T23" s="192"/>
      <c r="U23" s="192"/>
      <c r="V23" s="192"/>
      <c r="W23" s="192"/>
      <c r="X23" s="192"/>
      <c r="Y23" s="192"/>
      <c r="Z23" s="192"/>
      <c r="AA23" s="192"/>
      <c r="AB23" s="192"/>
      <c r="AC23" s="192"/>
      <c r="AD23" s="192"/>
      <c r="AE23" s="192"/>
      <c r="AF23" s="192"/>
      <c r="AG23" s="192"/>
      <c r="AH23" s="192"/>
      <c r="AI23" s="192"/>
      <c r="AJ23" s="192"/>
      <c r="AK23" s="192"/>
      <c r="AL23" s="192"/>
      <c r="AM23" s="192"/>
      <c r="AN23" s="192"/>
      <c r="AO23" s="192"/>
      <c r="AP23" s="192"/>
      <c r="AQ23" s="192"/>
      <c r="AR23" s="193" t="str">
        <f aca="false">IF($A23="","",IF(OR($N23="Yes",$T23="Yes",$Z23="Yes",$AF23="Yes",$AL23="Yes"),"Yes","No"))</f>
        <v>No</v>
      </c>
      <c r="AS23" s="193" t="str">
        <f aca="false">IF($A23="","",IFERROR(IF($AM23&lt;&gt;"",$AM23,IF($AG23&lt;&gt;"",$AG23,IF($AA23&lt;&gt;"",$AA23,IF($U23&lt;&gt;"",$U23,IF($O23&lt;&gt;"",$O23,""))))),""))</f>
        <v/>
      </c>
      <c r="AT23" s="193" t="str">
        <f aca="false">IFERROR(IF($AN23&lt;&gt;"",$AN23,IF($AH23&lt;&gt;"",$AH23,IF($AB23&lt;&gt;"",$AB23,IF($V23&lt;&gt;"",$V23,IF($P23&lt;&gt;"",$P23,""))))),"")</f>
        <v/>
      </c>
      <c r="AU23" s="194"/>
    </row>
    <row r="24" customFormat="false" ht="15.75" hidden="false" customHeight="true" outlineLevel="0" collapsed="false">
      <c r="A24" s="189"/>
      <c r="B24" s="189"/>
      <c r="C24" s="190" t="s">
        <v>793</v>
      </c>
      <c r="D24" s="190"/>
      <c r="E24" s="190"/>
      <c r="F24" s="190"/>
      <c r="G24" s="190"/>
      <c r="H24" s="190"/>
      <c r="I24" s="190"/>
      <c r="J24" s="190"/>
      <c r="K24" s="190"/>
      <c r="L24" s="190"/>
      <c r="M24" s="190"/>
      <c r="N24" s="190"/>
      <c r="O24" s="190"/>
      <c r="P24" s="190"/>
      <c r="Q24" s="190"/>
      <c r="R24" s="190"/>
      <c r="S24" s="190"/>
      <c r="T24" s="190"/>
      <c r="U24" s="190"/>
      <c r="V24" s="190"/>
      <c r="W24" s="190"/>
      <c r="X24" s="190"/>
      <c r="Y24" s="190"/>
      <c r="Z24" s="190"/>
      <c r="AA24" s="190"/>
      <c r="AB24" s="190"/>
      <c r="AC24" s="190"/>
      <c r="AD24" s="190"/>
      <c r="AE24" s="190"/>
      <c r="AF24" s="190"/>
      <c r="AG24" s="190"/>
      <c r="AH24" s="190"/>
      <c r="AI24" s="190"/>
      <c r="AJ24" s="190"/>
      <c r="AK24" s="190"/>
      <c r="AL24" s="190"/>
      <c r="AM24" s="190"/>
      <c r="AN24" s="190"/>
      <c r="AO24" s="190"/>
      <c r="AP24" s="190"/>
      <c r="AQ24" s="190"/>
      <c r="AR24" s="190"/>
      <c r="AS24" s="190"/>
      <c r="AT24" s="190"/>
      <c r="AU24" s="190"/>
    </row>
    <row r="25" customFormat="false" ht="141.75" hidden="false" customHeight="true" outlineLevel="0" collapsed="false">
      <c r="A25" s="191" t="str">
        <f aca="false">IF($F25="","",$C$2&amp;"."&amp;COUNTA($F$7:$F25)&amp;"")</f>
        <v>TC_03.13</v>
      </c>
      <c r="B25" s="191" t="s">
        <v>471</v>
      </c>
      <c r="C25" s="191" t="s">
        <v>530</v>
      </c>
      <c r="D25" s="191" t="s">
        <v>41</v>
      </c>
      <c r="E25" s="191" t="s">
        <v>160</v>
      </c>
      <c r="F25" s="13" t="s">
        <v>794</v>
      </c>
      <c r="G25" s="13" t="s">
        <v>795</v>
      </c>
      <c r="H25" s="13" t="s">
        <v>796</v>
      </c>
      <c r="I25" s="13" t="s">
        <v>797</v>
      </c>
      <c r="J25" s="191" t="s">
        <v>658</v>
      </c>
      <c r="K25" s="191" t="s">
        <v>245</v>
      </c>
      <c r="L25" s="191"/>
      <c r="M25" s="191"/>
      <c r="N25" s="192"/>
      <c r="O25" s="192"/>
      <c r="P25" s="192"/>
      <c r="Q25" s="192"/>
      <c r="R25" s="192"/>
      <c r="S25" s="192"/>
      <c r="T25" s="192"/>
      <c r="U25" s="192"/>
      <c r="V25" s="192"/>
      <c r="W25" s="192"/>
      <c r="X25" s="192"/>
      <c r="Y25" s="192"/>
      <c r="Z25" s="192"/>
      <c r="AA25" s="192"/>
      <c r="AB25" s="192"/>
      <c r="AC25" s="192"/>
      <c r="AD25" s="192"/>
      <c r="AE25" s="192"/>
      <c r="AF25" s="192"/>
      <c r="AG25" s="192"/>
      <c r="AH25" s="192"/>
      <c r="AI25" s="192"/>
      <c r="AJ25" s="192"/>
      <c r="AK25" s="192"/>
      <c r="AL25" s="192"/>
      <c r="AM25" s="192"/>
      <c r="AN25" s="192"/>
      <c r="AO25" s="192"/>
      <c r="AP25" s="192"/>
      <c r="AQ25" s="192"/>
      <c r="AR25" s="193" t="str">
        <f aca="false">IF($A25="","",IF(OR($N25="Yes",$T25="Yes",$Z25="Yes",$AF25="Yes",$AL25="Yes"),"Yes","No"))</f>
        <v>No</v>
      </c>
      <c r="AS25" s="193" t="str">
        <f aca="false">IF($A25="","",IFERROR(IF($AM25&lt;&gt;"",$AM25,IF($AG25&lt;&gt;"",$AG25,IF($AA25&lt;&gt;"",$AA25,IF($U25&lt;&gt;"",$U25,IF($O25&lt;&gt;"",$O25,""))))),""))</f>
        <v/>
      </c>
      <c r="AT25" s="193" t="str">
        <f aca="false">IFERROR(IF($AN25&lt;&gt;"",$AN25,IF($AH25&lt;&gt;"",$AH25,IF($AB25&lt;&gt;"",$AB25,IF($V25&lt;&gt;"",$V25,IF($P25&lt;&gt;"",$P25,""))))),"")</f>
        <v/>
      </c>
      <c r="AU25" s="194"/>
    </row>
    <row r="26" customFormat="false" ht="15" hidden="false" customHeight="true" outlineLevel="0" collapsed="false">
      <c r="A26" s="191"/>
      <c r="B26" s="191"/>
      <c r="C26" s="191"/>
      <c r="D26" s="191"/>
      <c r="E26" s="191"/>
      <c r="F26" s="191"/>
      <c r="G26" s="191"/>
      <c r="H26" s="191"/>
      <c r="I26" s="191"/>
      <c r="J26" s="191"/>
      <c r="K26" s="191"/>
      <c r="L26" s="191"/>
      <c r="M26" s="191"/>
      <c r="N26" s="191"/>
      <c r="O26" s="191"/>
      <c r="P26" s="191"/>
      <c r="Q26" s="191"/>
      <c r="AR26" s="195"/>
      <c r="AS26" s="195"/>
    </row>
    <row r="27" customFormat="false" ht="15" hidden="false" customHeight="true" outlineLevel="0" collapsed="false">
      <c r="A27" s="191"/>
      <c r="B27" s="191"/>
      <c r="C27" s="191"/>
      <c r="D27" s="191"/>
      <c r="E27" s="191"/>
      <c r="F27" s="191"/>
      <c r="G27" s="191"/>
      <c r="H27" s="191"/>
      <c r="I27" s="191"/>
      <c r="J27" s="191"/>
      <c r="K27" s="191"/>
      <c r="L27" s="191"/>
      <c r="M27" s="191"/>
      <c r="N27" s="191"/>
      <c r="O27" s="191"/>
      <c r="P27" s="191"/>
      <c r="Q27" s="191"/>
      <c r="AR27" s="195"/>
      <c r="AS27" s="195"/>
    </row>
    <row r="28" customFormat="false" ht="15" hidden="false" customHeight="true" outlineLevel="0" collapsed="false">
      <c r="A28" s="191"/>
      <c r="B28" s="191"/>
      <c r="C28" s="191"/>
      <c r="D28" s="191"/>
      <c r="E28" s="191"/>
      <c r="F28" s="191"/>
      <c r="G28" s="191"/>
      <c r="H28" s="191"/>
      <c r="I28" s="191"/>
      <c r="J28" s="191"/>
      <c r="K28" s="191"/>
      <c r="L28" s="191"/>
      <c r="M28" s="191"/>
      <c r="N28" s="191"/>
      <c r="O28" s="191"/>
      <c r="P28" s="191"/>
      <c r="Q28" s="191"/>
      <c r="AR28" s="195"/>
      <c r="AS28" s="195"/>
    </row>
    <row r="29" customFormat="false" ht="15" hidden="false" customHeight="true" outlineLevel="0" collapsed="false">
      <c r="A29" s="191"/>
      <c r="B29" s="191"/>
      <c r="C29" s="191"/>
      <c r="D29" s="191"/>
      <c r="E29" s="191"/>
      <c r="F29" s="191"/>
      <c r="G29" s="191"/>
      <c r="H29" s="191"/>
      <c r="I29" s="191"/>
      <c r="J29" s="191"/>
      <c r="K29" s="191"/>
      <c r="L29" s="191"/>
      <c r="M29" s="191"/>
      <c r="N29" s="191"/>
      <c r="O29" s="191"/>
      <c r="P29" s="191"/>
      <c r="Q29" s="191"/>
      <c r="AR29" s="195"/>
      <c r="AS29" s="195"/>
    </row>
    <row r="30" customFormat="false" ht="15" hidden="false" customHeight="true" outlineLevel="0" collapsed="false">
      <c r="A30" s="191"/>
      <c r="B30" s="191"/>
      <c r="C30" s="191"/>
      <c r="D30" s="191"/>
      <c r="E30" s="191"/>
      <c r="F30" s="191"/>
      <c r="G30" s="191"/>
      <c r="H30" s="191"/>
      <c r="I30" s="191"/>
      <c r="J30" s="191"/>
      <c r="K30" s="191"/>
      <c r="L30" s="191"/>
      <c r="M30" s="191"/>
      <c r="N30" s="191"/>
      <c r="O30" s="191"/>
      <c r="P30" s="191"/>
      <c r="Q30" s="191"/>
      <c r="AR30" s="195"/>
      <c r="AS30" s="195"/>
    </row>
    <row r="31" customFormat="false" ht="15" hidden="false" customHeight="true" outlineLevel="0" collapsed="false">
      <c r="A31" s="191"/>
      <c r="B31" s="191"/>
      <c r="C31" s="191"/>
      <c r="D31" s="191"/>
      <c r="E31" s="191"/>
      <c r="F31" s="191"/>
      <c r="G31" s="191"/>
      <c r="H31" s="191"/>
      <c r="I31" s="191"/>
      <c r="J31" s="191"/>
      <c r="K31" s="191"/>
      <c r="L31" s="191"/>
      <c r="M31" s="191"/>
      <c r="N31" s="191"/>
      <c r="O31" s="191"/>
      <c r="P31" s="191"/>
      <c r="Q31" s="191"/>
      <c r="AR31" s="195"/>
      <c r="AS31" s="195"/>
    </row>
    <row r="32" customFormat="false" ht="15" hidden="false" customHeight="true" outlineLevel="0" collapsed="false">
      <c r="A32" s="191"/>
      <c r="B32" s="191"/>
      <c r="C32" s="191"/>
      <c r="D32" s="191"/>
      <c r="E32" s="191"/>
      <c r="F32" s="191"/>
      <c r="G32" s="191"/>
      <c r="H32" s="191"/>
      <c r="I32" s="191"/>
      <c r="J32" s="191"/>
      <c r="K32" s="191"/>
      <c r="L32" s="191"/>
      <c r="M32" s="191"/>
      <c r="N32" s="191"/>
      <c r="O32" s="191"/>
      <c r="P32" s="191"/>
      <c r="Q32" s="191"/>
      <c r="AR32" s="195"/>
      <c r="AS32" s="195"/>
    </row>
    <row r="33" customFormat="false" ht="15" hidden="false" customHeight="true" outlineLevel="0" collapsed="false">
      <c r="A33" s="191"/>
      <c r="B33" s="191"/>
      <c r="C33" s="191"/>
      <c r="D33" s="191"/>
      <c r="E33" s="191"/>
      <c r="F33" s="191"/>
      <c r="G33" s="191"/>
      <c r="H33" s="191"/>
      <c r="I33" s="191"/>
      <c r="J33" s="191"/>
      <c r="K33" s="191"/>
      <c r="L33" s="191"/>
      <c r="M33" s="191"/>
      <c r="N33" s="191"/>
      <c r="O33" s="191"/>
      <c r="P33" s="191"/>
      <c r="Q33" s="191"/>
      <c r="AR33" s="195"/>
      <c r="AS33" s="195"/>
    </row>
    <row r="34" customFormat="false" ht="15" hidden="false" customHeight="true" outlineLevel="0" collapsed="false">
      <c r="A34" s="191"/>
      <c r="B34" s="191"/>
      <c r="C34" s="191"/>
      <c r="D34" s="191"/>
      <c r="E34" s="191"/>
      <c r="F34" s="191"/>
      <c r="G34" s="191"/>
      <c r="H34" s="191"/>
      <c r="I34" s="191"/>
      <c r="J34" s="191"/>
      <c r="K34" s="191"/>
      <c r="L34" s="191"/>
      <c r="M34" s="191"/>
      <c r="N34" s="191"/>
      <c r="O34" s="191"/>
      <c r="P34" s="191"/>
      <c r="Q34" s="191"/>
      <c r="AR34" s="195"/>
      <c r="AS34" s="195"/>
    </row>
    <row r="35" customFormat="false" ht="15" hidden="false" customHeight="true" outlineLevel="0" collapsed="false">
      <c r="A35" s="191"/>
      <c r="B35" s="191"/>
      <c r="C35" s="191"/>
      <c r="D35" s="191"/>
      <c r="E35" s="191"/>
      <c r="F35" s="191"/>
      <c r="G35" s="191"/>
      <c r="H35" s="191"/>
      <c r="I35" s="191"/>
      <c r="J35" s="191"/>
      <c r="K35" s="191"/>
      <c r="L35" s="191"/>
      <c r="M35" s="191"/>
      <c r="N35" s="191"/>
      <c r="O35" s="191"/>
      <c r="P35" s="191"/>
      <c r="Q35" s="191"/>
      <c r="AR35" s="195"/>
      <c r="AS35" s="195"/>
    </row>
    <row r="36" customFormat="false" ht="15" hidden="false" customHeight="true" outlineLevel="0" collapsed="false">
      <c r="A36" s="191"/>
      <c r="B36" s="191"/>
      <c r="C36" s="191"/>
      <c r="D36" s="191"/>
      <c r="E36" s="191"/>
      <c r="F36" s="191"/>
      <c r="G36" s="191"/>
      <c r="H36" s="191"/>
      <c r="I36" s="191"/>
      <c r="J36" s="191"/>
      <c r="K36" s="191"/>
      <c r="L36" s="191"/>
      <c r="M36" s="191"/>
      <c r="N36" s="191"/>
      <c r="O36" s="191"/>
      <c r="P36" s="191"/>
      <c r="Q36" s="191"/>
      <c r="AR36" s="195"/>
      <c r="AS36" s="195"/>
    </row>
    <row r="37" customFormat="false" ht="15" hidden="false" customHeight="true" outlineLevel="0" collapsed="false">
      <c r="A37" s="191"/>
      <c r="B37" s="191"/>
      <c r="C37" s="191"/>
      <c r="D37" s="191"/>
      <c r="E37" s="191"/>
      <c r="F37" s="191"/>
      <c r="G37" s="191"/>
      <c r="H37" s="191"/>
      <c r="I37" s="191"/>
      <c r="J37" s="191"/>
      <c r="K37" s="191"/>
      <c r="L37" s="191"/>
      <c r="M37" s="191"/>
      <c r="N37" s="191"/>
      <c r="O37" s="191"/>
      <c r="P37" s="191"/>
      <c r="Q37" s="191"/>
      <c r="AR37" s="195"/>
      <c r="AS37" s="195"/>
    </row>
    <row r="38" customFormat="false" ht="15" hidden="false" customHeight="true" outlineLevel="0" collapsed="false">
      <c r="A38" s="191"/>
      <c r="B38" s="191"/>
      <c r="C38" s="191"/>
      <c r="D38" s="191"/>
      <c r="E38" s="191"/>
      <c r="F38" s="191"/>
      <c r="G38" s="191"/>
      <c r="H38" s="191"/>
      <c r="I38" s="191"/>
      <c r="J38" s="191"/>
      <c r="K38" s="191"/>
      <c r="L38" s="191"/>
      <c r="M38" s="191"/>
      <c r="N38" s="191"/>
      <c r="O38" s="191"/>
      <c r="P38" s="191"/>
      <c r="Q38" s="191"/>
      <c r="AR38" s="195"/>
      <c r="AS38" s="195"/>
    </row>
    <row r="39" customFormat="false" ht="15" hidden="false" customHeight="true" outlineLevel="0" collapsed="false">
      <c r="A39" s="191"/>
      <c r="B39" s="191"/>
      <c r="C39" s="191"/>
      <c r="D39" s="191"/>
      <c r="E39" s="191"/>
      <c r="F39" s="191"/>
      <c r="G39" s="191"/>
      <c r="H39" s="191"/>
      <c r="I39" s="191"/>
      <c r="J39" s="191"/>
      <c r="K39" s="191"/>
      <c r="L39" s="191"/>
      <c r="M39" s="191"/>
      <c r="N39" s="191"/>
      <c r="O39" s="191"/>
      <c r="P39" s="191"/>
      <c r="Q39" s="191"/>
      <c r="AR39" s="195"/>
      <c r="AS39" s="195"/>
    </row>
    <row r="40" customFormat="false" ht="15" hidden="false" customHeight="true" outlineLevel="0" collapsed="false">
      <c r="A40" s="191"/>
      <c r="B40" s="191"/>
      <c r="C40" s="191"/>
      <c r="D40" s="191"/>
      <c r="E40" s="191"/>
      <c r="F40" s="191"/>
      <c r="G40" s="191"/>
      <c r="H40" s="191"/>
      <c r="I40" s="191"/>
      <c r="J40" s="191"/>
      <c r="K40" s="191"/>
      <c r="L40" s="191"/>
      <c r="M40" s="191"/>
      <c r="N40" s="191"/>
      <c r="O40" s="191"/>
      <c r="P40" s="191"/>
      <c r="Q40" s="191"/>
      <c r="AR40" s="195"/>
      <c r="AS40" s="195"/>
    </row>
    <row r="41" customFormat="false" ht="15" hidden="false" customHeight="true" outlineLevel="0" collapsed="false">
      <c r="A41" s="191"/>
      <c r="B41" s="191"/>
      <c r="C41" s="191"/>
      <c r="D41" s="191"/>
      <c r="E41" s="191"/>
      <c r="F41" s="191"/>
      <c r="G41" s="191"/>
      <c r="H41" s="191"/>
      <c r="I41" s="191"/>
      <c r="J41" s="191"/>
      <c r="K41" s="191"/>
      <c r="L41" s="191"/>
      <c r="M41" s="191"/>
      <c r="N41" s="191"/>
      <c r="O41" s="191"/>
      <c r="P41" s="191"/>
      <c r="Q41" s="191"/>
      <c r="AR41" s="195"/>
      <c r="AS41" s="195"/>
    </row>
    <row r="42" customFormat="false" ht="15" hidden="false" customHeight="true" outlineLevel="0" collapsed="false">
      <c r="A42" s="191"/>
      <c r="B42" s="191"/>
      <c r="C42" s="191"/>
      <c r="D42" s="191"/>
      <c r="E42" s="191"/>
      <c r="F42" s="191"/>
      <c r="G42" s="191"/>
      <c r="H42" s="191"/>
      <c r="I42" s="191"/>
      <c r="J42" s="191"/>
      <c r="K42" s="191"/>
      <c r="L42" s="191"/>
      <c r="M42" s="191"/>
      <c r="N42" s="191"/>
      <c r="O42" s="191"/>
      <c r="P42" s="191"/>
      <c r="Q42" s="191"/>
      <c r="AR42" s="195"/>
      <c r="AS42" s="195"/>
    </row>
    <row r="43" customFormat="false" ht="15" hidden="false" customHeight="true" outlineLevel="0" collapsed="false">
      <c r="A43" s="191"/>
      <c r="B43" s="191"/>
      <c r="C43" s="191"/>
      <c r="D43" s="191"/>
      <c r="E43" s="191"/>
      <c r="F43" s="191"/>
      <c r="G43" s="191"/>
      <c r="H43" s="191"/>
      <c r="I43" s="191"/>
      <c r="J43" s="191"/>
      <c r="K43" s="191"/>
      <c r="L43" s="191"/>
      <c r="M43" s="191"/>
      <c r="N43" s="191"/>
      <c r="O43" s="191"/>
      <c r="P43" s="191"/>
      <c r="Q43" s="191"/>
      <c r="AR43" s="195"/>
      <c r="AS43" s="195"/>
    </row>
    <row r="44" customFormat="false" ht="15" hidden="false" customHeight="true" outlineLevel="0" collapsed="false">
      <c r="A44" s="191"/>
      <c r="B44" s="191"/>
      <c r="C44" s="191"/>
      <c r="D44" s="191"/>
      <c r="E44" s="191"/>
      <c r="F44" s="191"/>
      <c r="G44" s="191"/>
      <c r="H44" s="191"/>
      <c r="I44" s="191"/>
      <c r="J44" s="191"/>
      <c r="K44" s="191"/>
      <c r="L44" s="191"/>
      <c r="M44" s="191"/>
      <c r="N44" s="191"/>
      <c r="O44" s="191"/>
      <c r="P44" s="191"/>
      <c r="Q44" s="191"/>
      <c r="AR44" s="195"/>
      <c r="AS44" s="195"/>
    </row>
    <row r="45" customFormat="false" ht="15" hidden="false" customHeight="true" outlineLevel="0" collapsed="false">
      <c r="A45" s="191"/>
      <c r="B45" s="191"/>
      <c r="C45" s="191"/>
      <c r="D45" s="191"/>
      <c r="E45" s="191"/>
      <c r="F45" s="191"/>
      <c r="G45" s="191"/>
      <c r="H45" s="191"/>
      <c r="I45" s="191"/>
      <c r="J45" s="191"/>
      <c r="K45" s="191"/>
      <c r="L45" s="191"/>
      <c r="M45" s="191"/>
      <c r="N45" s="191"/>
      <c r="O45" s="191"/>
      <c r="P45" s="191"/>
      <c r="Q45" s="191"/>
      <c r="AR45" s="195"/>
      <c r="AS45" s="195"/>
    </row>
    <row r="46" customFormat="false" ht="15" hidden="false" customHeight="true" outlineLevel="0" collapsed="false">
      <c r="A46" s="191"/>
      <c r="B46" s="191"/>
      <c r="C46" s="191"/>
      <c r="D46" s="191"/>
      <c r="E46" s="191"/>
      <c r="F46" s="191"/>
      <c r="G46" s="191"/>
      <c r="H46" s="191"/>
      <c r="I46" s="191"/>
      <c r="J46" s="191"/>
      <c r="K46" s="191"/>
      <c r="L46" s="191"/>
      <c r="M46" s="191"/>
      <c r="N46" s="191"/>
      <c r="O46" s="191"/>
      <c r="P46" s="191"/>
      <c r="Q46" s="191"/>
      <c r="AR46" s="195"/>
      <c r="AS46" s="195"/>
    </row>
    <row r="47" customFormat="false" ht="15" hidden="false" customHeight="true" outlineLevel="0" collapsed="false">
      <c r="A47" s="191"/>
      <c r="B47" s="191"/>
      <c r="C47" s="191"/>
      <c r="D47" s="191"/>
      <c r="E47" s="191"/>
      <c r="F47" s="191"/>
      <c r="G47" s="191"/>
      <c r="H47" s="191"/>
      <c r="I47" s="191"/>
      <c r="J47" s="191"/>
      <c r="K47" s="191"/>
      <c r="L47" s="191"/>
      <c r="M47" s="191"/>
      <c r="N47" s="191"/>
      <c r="O47" s="191"/>
      <c r="P47" s="191"/>
      <c r="Q47" s="191"/>
      <c r="AR47" s="195"/>
      <c r="AS47" s="195"/>
    </row>
    <row r="48" customFormat="false" ht="15" hidden="false" customHeight="true" outlineLevel="0" collapsed="false">
      <c r="A48" s="191"/>
      <c r="B48" s="191"/>
      <c r="C48" s="191"/>
      <c r="D48" s="191"/>
      <c r="E48" s="191"/>
      <c r="F48" s="191"/>
      <c r="G48" s="191"/>
      <c r="H48" s="191"/>
      <c r="I48" s="191"/>
      <c r="J48" s="191"/>
      <c r="K48" s="191"/>
      <c r="L48" s="191"/>
      <c r="M48" s="191"/>
      <c r="N48" s="191"/>
      <c r="O48" s="191"/>
      <c r="P48" s="191"/>
      <c r="Q48" s="191"/>
      <c r="AR48" s="195"/>
      <c r="AS48" s="195"/>
    </row>
    <row r="49" customFormat="false" ht="15" hidden="false" customHeight="true" outlineLevel="0" collapsed="false">
      <c r="A49" s="191"/>
      <c r="B49" s="191"/>
      <c r="C49" s="191"/>
      <c r="D49" s="191"/>
      <c r="E49" s="191"/>
      <c r="F49" s="191"/>
      <c r="G49" s="191"/>
      <c r="H49" s="191"/>
      <c r="I49" s="191"/>
      <c r="J49" s="191"/>
      <c r="K49" s="191"/>
      <c r="L49" s="191"/>
      <c r="M49" s="191"/>
      <c r="N49" s="191"/>
      <c r="O49" s="191"/>
      <c r="P49" s="191"/>
      <c r="Q49" s="191"/>
      <c r="AR49" s="195"/>
      <c r="AS49" s="195"/>
    </row>
    <row r="50" customFormat="false" ht="15" hidden="false" customHeight="true" outlineLevel="0" collapsed="false">
      <c r="A50" s="191"/>
      <c r="B50" s="191"/>
      <c r="C50" s="191"/>
      <c r="D50" s="191"/>
      <c r="E50" s="191"/>
      <c r="F50" s="191"/>
      <c r="G50" s="191"/>
      <c r="H50" s="191"/>
      <c r="I50" s="191"/>
      <c r="J50" s="191"/>
      <c r="K50" s="191"/>
      <c r="L50" s="191"/>
      <c r="M50" s="191"/>
      <c r="N50" s="191"/>
      <c r="O50" s="191"/>
      <c r="P50" s="191"/>
      <c r="Q50" s="191"/>
      <c r="AR50" s="195"/>
      <c r="AS50" s="195"/>
    </row>
    <row r="51" customFormat="false" ht="15" hidden="false" customHeight="true" outlineLevel="0" collapsed="false">
      <c r="A51" s="191"/>
      <c r="B51" s="191"/>
      <c r="C51" s="191"/>
      <c r="D51" s="191"/>
      <c r="E51" s="191"/>
      <c r="F51" s="191"/>
      <c r="G51" s="191"/>
      <c r="H51" s="191"/>
      <c r="I51" s="191"/>
      <c r="J51" s="191"/>
      <c r="K51" s="191"/>
      <c r="L51" s="191"/>
      <c r="M51" s="191"/>
      <c r="N51" s="191"/>
      <c r="O51" s="191"/>
      <c r="P51" s="191"/>
      <c r="Q51" s="191"/>
      <c r="AR51" s="195"/>
      <c r="AS51" s="195"/>
    </row>
    <row r="52" customFormat="false" ht="15" hidden="false" customHeight="true" outlineLevel="0" collapsed="false">
      <c r="A52" s="191"/>
      <c r="B52" s="191"/>
      <c r="C52" s="191"/>
      <c r="D52" s="191"/>
      <c r="E52" s="191"/>
      <c r="F52" s="191"/>
      <c r="G52" s="191"/>
      <c r="H52" s="191"/>
      <c r="I52" s="191"/>
      <c r="J52" s="191"/>
      <c r="K52" s="191"/>
      <c r="L52" s="191"/>
      <c r="M52" s="191"/>
      <c r="N52" s="191"/>
      <c r="O52" s="191"/>
      <c r="P52" s="191"/>
      <c r="Q52" s="191"/>
      <c r="AR52" s="195"/>
      <c r="AS52" s="195"/>
    </row>
    <row r="53" customFormat="false" ht="15" hidden="false" customHeight="true" outlineLevel="0" collapsed="false">
      <c r="A53" s="191"/>
      <c r="B53" s="191"/>
      <c r="C53" s="191"/>
      <c r="D53" s="191"/>
      <c r="E53" s="191"/>
      <c r="F53" s="191"/>
      <c r="G53" s="191"/>
      <c r="H53" s="191"/>
      <c r="I53" s="191"/>
      <c r="J53" s="191"/>
      <c r="K53" s="191"/>
      <c r="L53" s="191"/>
      <c r="M53" s="191"/>
      <c r="N53" s="191"/>
      <c r="O53" s="191"/>
      <c r="P53" s="191"/>
      <c r="Q53" s="191"/>
      <c r="AR53" s="195"/>
      <c r="AS53" s="195"/>
    </row>
    <row r="54" customFormat="false" ht="15" hidden="false" customHeight="true" outlineLevel="0" collapsed="false">
      <c r="A54" s="191"/>
      <c r="B54" s="191"/>
      <c r="C54" s="191"/>
      <c r="D54" s="191"/>
      <c r="E54" s="191"/>
      <c r="F54" s="191"/>
      <c r="G54" s="191"/>
      <c r="H54" s="191"/>
      <c r="I54" s="191"/>
      <c r="J54" s="191"/>
      <c r="K54" s="191"/>
      <c r="L54" s="191"/>
      <c r="M54" s="191"/>
      <c r="N54" s="191"/>
      <c r="O54" s="191"/>
      <c r="P54" s="191"/>
      <c r="Q54" s="191"/>
      <c r="AR54" s="195"/>
      <c r="AS54" s="195"/>
    </row>
    <row r="55" customFormat="false" ht="15" hidden="false" customHeight="true" outlineLevel="0" collapsed="false">
      <c r="A55" s="191"/>
      <c r="B55" s="191"/>
      <c r="C55" s="191"/>
      <c r="D55" s="191"/>
      <c r="E55" s="191"/>
      <c r="F55" s="191"/>
      <c r="G55" s="191"/>
      <c r="H55" s="191"/>
      <c r="I55" s="191"/>
      <c r="J55" s="191"/>
      <c r="K55" s="191"/>
      <c r="L55" s="191"/>
      <c r="M55" s="191"/>
      <c r="N55" s="191"/>
      <c r="O55" s="191"/>
      <c r="P55" s="191"/>
      <c r="Q55" s="191"/>
      <c r="AR55" s="195"/>
      <c r="AS55" s="195"/>
    </row>
    <row r="56" customFormat="false" ht="15" hidden="false" customHeight="true" outlineLevel="0" collapsed="false">
      <c r="A56" s="191"/>
      <c r="B56" s="191"/>
      <c r="C56" s="191"/>
      <c r="D56" s="191"/>
      <c r="E56" s="191"/>
      <c r="F56" s="191"/>
      <c r="G56" s="191"/>
      <c r="H56" s="191"/>
      <c r="I56" s="191"/>
      <c r="J56" s="191"/>
      <c r="K56" s="191"/>
      <c r="L56" s="191"/>
      <c r="M56" s="191"/>
      <c r="N56" s="191"/>
      <c r="O56" s="191"/>
      <c r="P56" s="191"/>
      <c r="Q56" s="191"/>
      <c r="AR56" s="195"/>
      <c r="AS56" s="195"/>
    </row>
    <row r="57" customFormat="false" ht="15" hidden="false" customHeight="true" outlineLevel="0" collapsed="false">
      <c r="A57" s="191"/>
      <c r="B57" s="191"/>
      <c r="C57" s="191"/>
      <c r="D57" s="191"/>
      <c r="E57" s="191"/>
      <c r="F57" s="191"/>
      <c r="G57" s="191"/>
      <c r="H57" s="191"/>
      <c r="I57" s="191"/>
      <c r="J57" s="191"/>
      <c r="K57" s="191"/>
      <c r="L57" s="191"/>
      <c r="M57" s="191"/>
      <c r="N57" s="191"/>
      <c r="O57" s="191"/>
      <c r="P57" s="191"/>
      <c r="Q57" s="191"/>
      <c r="AR57" s="195"/>
      <c r="AS57" s="195"/>
    </row>
    <row r="58" customFormat="false" ht="15" hidden="false" customHeight="true" outlineLevel="0" collapsed="false">
      <c r="A58" s="191"/>
      <c r="B58" s="191"/>
      <c r="C58" s="191"/>
      <c r="D58" s="191"/>
      <c r="E58" s="191"/>
      <c r="F58" s="191"/>
      <c r="G58" s="191"/>
      <c r="H58" s="191"/>
      <c r="I58" s="191"/>
      <c r="J58" s="191"/>
      <c r="K58" s="191"/>
      <c r="L58" s="191"/>
      <c r="M58" s="191"/>
      <c r="N58" s="191"/>
      <c r="O58" s="191"/>
      <c r="P58" s="191"/>
      <c r="Q58" s="191"/>
      <c r="AR58" s="195"/>
      <c r="AS58" s="195"/>
    </row>
    <row r="59" customFormat="false" ht="15" hidden="false" customHeight="true" outlineLevel="0" collapsed="false">
      <c r="A59" s="191"/>
      <c r="B59" s="191"/>
      <c r="C59" s="191"/>
      <c r="D59" s="191"/>
      <c r="E59" s="191"/>
      <c r="F59" s="191"/>
      <c r="G59" s="191"/>
      <c r="H59" s="191"/>
      <c r="I59" s="191"/>
      <c r="J59" s="191"/>
      <c r="K59" s="191"/>
      <c r="L59" s="191"/>
      <c r="M59" s="191"/>
      <c r="N59" s="191"/>
      <c r="O59" s="191"/>
      <c r="P59" s="191"/>
      <c r="Q59" s="191"/>
      <c r="AR59" s="195"/>
      <c r="AS59" s="195"/>
    </row>
    <row r="60" customFormat="false" ht="15" hidden="false" customHeight="true" outlineLevel="0" collapsed="false">
      <c r="A60" s="191"/>
      <c r="B60" s="191"/>
      <c r="C60" s="191"/>
      <c r="D60" s="191"/>
      <c r="E60" s="191"/>
      <c r="F60" s="191"/>
      <c r="G60" s="191"/>
      <c r="H60" s="191"/>
      <c r="I60" s="191"/>
      <c r="J60" s="191"/>
      <c r="K60" s="191"/>
      <c r="L60" s="191"/>
      <c r="M60" s="191"/>
      <c r="N60" s="191"/>
      <c r="O60" s="191"/>
      <c r="P60" s="191"/>
      <c r="Q60" s="191"/>
      <c r="AR60" s="195"/>
      <c r="AS60" s="195"/>
    </row>
    <row r="61" customFormat="false" ht="15" hidden="false" customHeight="true" outlineLevel="0" collapsed="false">
      <c r="AV61" s="1"/>
    </row>
    <row r="62" customFormat="false" ht="15" hidden="false" customHeight="true" outlineLevel="0" collapsed="false">
      <c r="AV62" s="1"/>
    </row>
    <row r="63" customFormat="false" ht="15" hidden="false" customHeight="true" outlineLevel="0" collapsed="false">
      <c r="AV63" s="1"/>
    </row>
    <row r="64" customFormat="false" ht="15" hidden="false" customHeight="true" outlineLevel="0" collapsed="false">
      <c r="AV64" s="1"/>
    </row>
    <row r="65" customFormat="false" ht="15" hidden="false" customHeight="true" outlineLevel="0" collapsed="false">
      <c r="AV65" s="1"/>
    </row>
    <row r="66" customFormat="false" ht="15" hidden="false" customHeight="true" outlineLevel="0" collapsed="false">
      <c r="AV66" s="1"/>
    </row>
    <row r="67" customFormat="false" ht="15" hidden="false" customHeight="true" outlineLevel="0" collapsed="false">
      <c r="AV67" s="1"/>
    </row>
    <row r="68" customFormat="false" ht="15" hidden="false" customHeight="true" outlineLevel="0" collapsed="false">
      <c r="AV68" s="1"/>
    </row>
    <row r="69" customFormat="false" ht="15" hidden="false" customHeight="true" outlineLevel="0" collapsed="false">
      <c r="AV69" s="1"/>
    </row>
    <row r="70" customFormat="false" ht="15" hidden="false" customHeight="true" outlineLevel="0" collapsed="false">
      <c r="AV70" s="1"/>
    </row>
    <row r="71" customFormat="false" ht="15" hidden="false" customHeight="true" outlineLevel="0" collapsed="false">
      <c r="AV71" s="1"/>
    </row>
    <row r="72" customFormat="false" ht="15" hidden="false" customHeight="true" outlineLevel="0" collapsed="false">
      <c r="AV72" s="1"/>
    </row>
    <row r="73" customFormat="false" ht="15" hidden="false" customHeight="true" outlineLevel="0" collapsed="false">
      <c r="AV73" s="1"/>
    </row>
    <row r="74" customFormat="false" ht="15" hidden="false" customHeight="true" outlineLevel="0" collapsed="false">
      <c r="AV74" s="1"/>
    </row>
    <row r="75" customFormat="false" ht="15" hidden="false" customHeight="true" outlineLevel="0" collapsed="false">
      <c r="AV75" s="1"/>
    </row>
    <row r="76" customFormat="false" ht="15" hidden="false" customHeight="true" outlineLevel="0" collapsed="false">
      <c r="AV76" s="1"/>
    </row>
    <row r="77" customFormat="false" ht="15" hidden="false" customHeight="true" outlineLevel="0" collapsed="false">
      <c r="AV77" s="1"/>
    </row>
    <row r="78" customFormat="false" ht="15" hidden="false" customHeight="true" outlineLevel="0" collapsed="false">
      <c r="AV78" s="1"/>
    </row>
    <row r="79" customFormat="false" ht="15" hidden="false" customHeight="true" outlineLevel="0" collapsed="false">
      <c r="AV79" s="1"/>
    </row>
    <row r="80" customFormat="false" ht="15" hidden="false" customHeight="true" outlineLevel="0" collapsed="false">
      <c r="AV80" s="1"/>
    </row>
    <row r="81" customFormat="false" ht="15" hidden="false" customHeight="true" outlineLevel="0" collapsed="false">
      <c r="AV81" s="1"/>
    </row>
    <row r="82" customFormat="false" ht="15" hidden="false" customHeight="true" outlineLevel="0" collapsed="false">
      <c r="AV82" s="1"/>
    </row>
    <row r="83" customFormat="false" ht="15" hidden="false" customHeight="true" outlineLevel="0" collapsed="false">
      <c r="AV83" s="1"/>
    </row>
    <row r="84" customFormat="false" ht="15" hidden="false" customHeight="true" outlineLevel="0" collapsed="false">
      <c r="AV84" s="1"/>
    </row>
    <row r="85" customFormat="false" ht="15" hidden="false" customHeight="true" outlineLevel="0" collapsed="false">
      <c r="AV85" s="1"/>
    </row>
    <row r="86" customFormat="false" ht="15" hidden="false" customHeight="true" outlineLevel="0" collapsed="false">
      <c r="AV86" s="1"/>
    </row>
    <row r="87" customFormat="false" ht="15" hidden="false" customHeight="true" outlineLevel="0" collapsed="false">
      <c r="AV87" s="1"/>
    </row>
    <row r="88" customFormat="false" ht="15" hidden="false" customHeight="true" outlineLevel="0" collapsed="false">
      <c r="AV88" s="1"/>
    </row>
    <row r="89" customFormat="false" ht="15" hidden="false" customHeight="true" outlineLevel="0" collapsed="false">
      <c r="AV89" s="1"/>
    </row>
    <row r="90" customFormat="false" ht="15" hidden="false" customHeight="true" outlineLevel="0" collapsed="false">
      <c r="AV90" s="1"/>
    </row>
    <row r="91" customFormat="false" ht="15" hidden="false" customHeight="true" outlineLevel="0" collapsed="false">
      <c r="AV91" s="1"/>
    </row>
    <row r="92" customFormat="false" ht="15" hidden="false" customHeight="true" outlineLevel="0" collapsed="false">
      <c r="AV92" s="1"/>
    </row>
    <row r="93" customFormat="false" ht="15" hidden="false" customHeight="true" outlineLevel="0" collapsed="false">
      <c r="AV93" s="1"/>
    </row>
    <row r="94" customFormat="false" ht="15" hidden="false" customHeight="true" outlineLevel="0" collapsed="false">
      <c r="AV94" s="1"/>
    </row>
    <row r="95" customFormat="false" ht="15" hidden="false" customHeight="true" outlineLevel="0" collapsed="false">
      <c r="AV95" s="1"/>
    </row>
    <row r="96" customFormat="false" ht="15" hidden="false" customHeight="true" outlineLevel="0" collapsed="false">
      <c r="AV96" s="1"/>
    </row>
    <row r="97" customFormat="false" ht="15" hidden="false" customHeight="true" outlineLevel="0" collapsed="false">
      <c r="AV97" s="1"/>
    </row>
    <row r="98" customFormat="false" ht="15" hidden="false" customHeight="true" outlineLevel="0" collapsed="false">
      <c r="AV98" s="1"/>
    </row>
    <row r="99" customFormat="false" ht="15" hidden="false" customHeight="true" outlineLevel="0" collapsed="false">
      <c r="AV99" s="1"/>
    </row>
    <row r="100" customFormat="false" ht="15" hidden="false" customHeight="true" outlineLevel="0" collapsed="false">
      <c r="AV100" s="1"/>
    </row>
    <row r="101" customFormat="false" ht="15" hidden="false" customHeight="true" outlineLevel="0" collapsed="false">
      <c r="AV101" s="1"/>
    </row>
    <row r="102" customFormat="false" ht="15" hidden="false" customHeight="true" outlineLevel="0" collapsed="false">
      <c r="AV102" s="1"/>
    </row>
    <row r="103" customFormat="false" ht="15" hidden="false" customHeight="true" outlineLevel="0" collapsed="false">
      <c r="AV103" s="1"/>
    </row>
    <row r="104" customFormat="false" ht="15" hidden="false" customHeight="true" outlineLevel="0" collapsed="false">
      <c r="AV104" s="1"/>
    </row>
    <row r="105" customFormat="false" ht="15" hidden="false" customHeight="true" outlineLevel="0" collapsed="false">
      <c r="AV105" s="1"/>
    </row>
    <row r="106" customFormat="false" ht="15" hidden="false" customHeight="true" outlineLevel="0" collapsed="false">
      <c r="AV106" s="1"/>
    </row>
    <row r="107" customFormat="false" ht="15" hidden="false" customHeight="true" outlineLevel="0" collapsed="false">
      <c r="AV107" s="1"/>
    </row>
    <row r="108" customFormat="false" ht="15" hidden="false" customHeight="true" outlineLevel="0" collapsed="false">
      <c r="AV108" s="1"/>
    </row>
    <row r="109" customFormat="false" ht="15" hidden="false" customHeight="true" outlineLevel="0" collapsed="false">
      <c r="AV109" s="1"/>
    </row>
    <row r="110" customFormat="false" ht="15" hidden="false" customHeight="true" outlineLevel="0" collapsed="false">
      <c r="AV110" s="1"/>
    </row>
    <row r="111" customFormat="false" ht="15" hidden="false" customHeight="true" outlineLevel="0" collapsed="false">
      <c r="AV111" s="1"/>
    </row>
    <row r="112" customFormat="false" ht="15" hidden="false" customHeight="true" outlineLevel="0" collapsed="false">
      <c r="AV112" s="1"/>
    </row>
    <row r="113" customFormat="false" ht="15" hidden="false" customHeight="true" outlineLevel="0" collapsed="false">
      <c r="AV113" s="1"/>
    </row>
    <row r="114" customFormat="false" ht="15" hidden="false" customHeight="true" outlineLevel="0" collapsed="false">
      <c r="AV114" s="1"/>
    </row>
    <row r="115" customFormat="false" ht="15" hidden="false" customHeight="true" outlineLevel="0" collapsed="false">
      <c r="AV115" s="1"/>
    </row>
    <row r="116" customFormat="false" ht="15" hidden="false" customHeight="true" outlineLevel="0" collapsed="false">
      <c r="AV116" s="1"/>
    </row>
    <row r="117" customFormat="false" ht="15" hidden="false" customHeight="true" outlineLevel="0" collapsed="false">
      <c r="AV117" s="1"/>
    </row>
    <row r="118" customFormat="false" ht="15" hidden="false" customHeight="true" outlineLevel="0" collapsed="false">
      <c r="AV118" s="1"/>
    </row>
    <row r="119" customFormat="false" ht="15" hidden="false" customHeight="true" outlineLevel="0" collapsed="false">
      <c r="AV119" s="1"/>
    </row>
    <row r="120" customFormat="false" ht="15" hidden="false" customHeight="true" outlineLevel="0" collapsed="false">
      <c r="AV120" s="1"/>
    </row>
    <row r="121" customFormat="false" ht="15" hidden="false" customHeight="true" outlineLevel="0" collapsed="false">
      <c r="AV121" s="1"/>
    </row>
    <row r="122" customFormat="false" ht="15" hidden="false" customHeight="true" outlineLevel="0" collapsed="false">
      <c r="AV122" s="1"/>
    </row>
    <row r="123" customFormat="false" ht="15" hidden="false" customHeight="true" outlineLevel="0" collapsed="false">
      <c r="AV123" s="1"/>
    </row>
    <row r="124" customFormat="false" ht="15" hidden="false" customHeight="true" outlineLevel="0" collapsed="false">
      <c r="AV124" s="1"/>
    </row>
    <row r="125" customFormat="false" ht="15" hidden="false" customHeight="true" outlineLevel="0" collapsed="false">
      <c r="AV125" s="1"/>
    </row>
    <row r="126" customFormat="false" ht="15" hidden="false" customHeight="true" outlineLevel="0" collapsed="false">
      <c r="AV126" s="1"/>
    </row>
    <row r="127" customFormat="false" ht="15" hidden="false" customHeight="true" outlineLevel="0" collapsed="false">
      <c r="AV127" s="1"/>
    </row>
    <row r="128" customFormat="false" ht="15" hidden="false" customHeight="true" outlineLevel="0" collapsed="false">
      <c r="AV128" s="1"/>
    </row>
    <row r="129" customFormat="false" ht="15" hidden="false" customHeight="true" outlineLevel="0" collapsed="false">
      <c r="AV129" s="1"/>
    </row>
    <row r="130" customFormat="false" ht="15" hidden="false" customHeight="true" outlineLevel="0" collapsed="false">
      <c r="AV130" s="1"/>
    </row>
    <row r="131" customFormat="false" ht="15" hidden="false" customHeight="true" outlineLevel="0" collapsed="false">
      <c r="AV131" s="1"/>
    </row>
    <row r="132" customFormat="false" ht="15" hidden="false" customHeight="true" outlineLevel="0" collapsed="false">
      <c r="AV132" s="1"/>
    </row>
    <row r="133" customFormat="false" ht="15" hidden="false" customHeight="true" outlineLevel="0" collapsed="false">
      <c r="AV133" s="1"/>
    </row>
    <row r="134" customFormat="false" ht="15" hidden="false" customHeight="true" outlineLevel="0" collapsed="false">
      <c r="AV134" s="1"/>
    </row>
    <row r="135" customFormat="false" ht="15" hidden="false" customHeight="true" outlineLevel="0" collapsed="false">
      <c r="AV135" s="1"/>
    </row>
    <row r="136" customFormat="false" ht="15" hidden="false" customHeight="true" outlineLevel="0" collapsed="false">
      <c r="AV136" s="1"/>
    </row>
    <row r="137" customFormat="false" ht="15" hidden="false" customHeight="true" outlineLevel="0" collapsed="false">
      <c r="AV137" s="1"/>
    </row>
    <row r="138" customFormat="false" ht="15" hidden="false" customHeight="true" outlineLevel="0" collapsed="false">
      <c r="AV138" s="1"/>
    </row>
    <row r="139" customFormat="false" ht="15" hidden="false" customHeight="true" outlineLevel="0" collapsed="false">
      <c r="AV139" s="1"/>
    </row>
    <row r="140" customFormat="false" ht="15" hidden="false" customHeight="true" outlineLevel="0" collapsed="false">
      <c r="AV140" s="1"/>
    </row>
    <row r="141" customFormat="false" ht="15" hidden="false" customHeight="true" outlineLevel="0" collapsed="false">
      <c r="AV141" s="1"/>
    </row>
    <row r="142" customFormat="false" ht="15" hidden="false" customHeight="true" outlineLevel="0" collapsed="false">
      <c r="AV142" s="1"/>
    </row>
    <row r="143" customFormat="false" ht="15" hidden="false" customHeight="true" outlineLevel="0" collapsed="false">
      <c r="AV143" s="1"/>
    </row>
    <row r="144" customFormat="false" ht="15" hidden="false" customHeight="true" outlineLevel="0" collapsed="false">
      <c r="AV144" s="1"/>
    </row>
    <row r="145" customFormat="false" ht="15" hidden="false" customHeight="true" outlineLevel="0" collapsed="false">
      <c r="AV145" s="1"/>
    </row>
    <row r="146" customFormat="false" ht="15" hidden="false" customHeight="true" outlineLevel="0" collapsed="false">
      <c r="AV146" s="1"/>
    </row>
    <row r="147" customFormat="false" ht="15" hidden="false" customHeight="true" outlineLevel="0" collapsed="false">
      <c r="AV147" s="1"/>
    </row>
    <row r="148" customFormat="false" ht="15" hidden="false" customHeight="true" outlineLevel="0" collapsed="false">
      <c r="AV148" s="1"/>
    </row>
    <row r="149" customFormat="false" ht="15" hidden="false" customHeight="true" outlineLevel="0" collapsed="false">
      <c r="AV149" s="1"/>
    </row>
    <row r="150" customFormat="false" ht="15" hidden="false" customHeight="true" outlineLevel="0" collapsed="false">
      <c r="AV150" s="1"/>
    </row>
    <row r="151" customFormat="false" ht="15" hidden="false" customHeight="true" outlineLevel="0" collapsed="false">
      <c r="AV151" s="1"/>
    </row>
    <row r="152" customFormat="false" ht="15" hidden="false" customHeight="true" outlineLevel="0" collapsed="false">
      <c r="AV152" s="1"/>
    </row>
    <row r="153" customFormat="false" ht="15" hidden="false" customHeight="true" outlineLevel="0" collapsed="false">
      <c r="AV153" s="1"/>
    </row>
    <row r="154" customFormat="false" ht="15" hidden="false" customHeight="true" outlineLevel="0" collapsed="false">
      <c r="AV154" s="1"/>
    </row>
    <row r="155" customFormat="false" ht="15" hidden="false" customHeight="true" outlineLevel="0" collapsed="false">
      <c r="AV155" s="1"/>
    </row>
    <row r="156" customFormat="false" ht="15" hidden="false" customHeight="true" outlineLevel="0" collapsed="false">
      <c r="AV156" s="1"/>
    </row>
    <row r="157" customFormat="false" ht="15" hidden="false" customHeight="true" outlineLevel="0" collapsed="false">
      <c r="AV157" s="1"/>
    </row>
    <row r="158" customFormat="false" ht="15" hidden="false" customHeight="true" outlineLevel="0" collapsed="false">
      <c r="AV158" s="1"/>
    </row>
    <row r="159" customFormat="false" ht="15" hidden="false" customHeight="true" outlineLevel="0" collapsed="false">
      <c r="AV159" s="1"/>
    </row>
    <row r="160" customFormat="false" ht="15" hidden="false" customHeight="true" outlineLevel="0" collapsed="false">
      <c r="AV160" s="1"/>
    </row>
    <row r="161" customFormat="false" ht="15" hidden="false" customHeight="true" outlineLevel="0" collapsed="false">
      <c r="AV161" s="1"/>
    </row>
    <row r="162" customFormat="false" ht="15" hidden="false" customHeight="true" outlineLevel="0" collapsed="false">
      <c r="AV162" s="1"/>
    </row>
    <row r="163" customFormat="false" ht="15" hidden="false" customHeight="true" outlineLevel="0" collapsed="false">
      <c r="AV163" s="1"/>
    </row>
    <row r="164" customFormat="false" ht="15" hidden="false" customHeight="true" outlineLevel="0" collapsed="false">
      <c r="AV164" s="1"/>
    </row>
    <row r="165" customFormat="false" ht="15" hidden="false" customHeight="true" outlineLevel="0" collapsed="false">
      <c r="AV165" s="1"/>
    </row>
    <row r="166" customFormat="false" ht="15" hidden="false" customHeight="true" outlineLevel="0" collapsed="false">
      <c r="AV166" s="1"/>
    </row>
    <row r="167" customFormat="false" ht="15" hidden="false" customHeight="true" outlineLevel="0" collapsed="false">
      <c r="AV167" s="1"/>
    </row>
    <row r="168" customFormat="false" ht="15" hidden="false" customHeight="true" outlineLevel="0" collapsed="false">
      <c r="AV168" s="1"/>
    </row>
    <row r="169" customFormat="false" ht="15" hidden="false" customHeight="true" outlineLevel="0" collapsed="false">
      <c r="AV169" s="1"/>
    </row>
    <row r="170" customFormat="false" ht="15" hidden="false" customHeight="true" outlineLevel="0" collapsed="false">
      <c r="AV170" s="1"/>
    </row>
    <row r="171" customFormat="false" ht="15" hidden="false" customHeight="true" outlineLevel="0" collapsed="false">
      <c r="AV171" s="1"/>
    </row>
    <row r="172" customFormat="false" ht="15" hidden="false" customHeight="true" outlineLevel="0" collapsed="false">
      <c r="AV172" s="1"/>
    </row>
    <row r="173" customFormat="false" ht="15" hidden="false" customHeight="true" outlineLevel="0" collapsed="false">
      <c r="AV173" s="1"/>
    </row>
    <row r="174" customFormat="false" ht="15" hidden="false" customHeight="true" outlineLevel="0" collapsed="false">
      <c r="AV174" s="1"/>
    </row>
    <row r="175" customFormat="false" ht="15" hidden="false" customHeight="true" outlineLevel="0" collapsed="false">
      <c r="AV175" s="1"/>
    </row>
    <row r="176" customFormat="false" ht="15" hidden="false" customHeight="true" outlineLevel="0" collapsed="false">
      <c r="AV176" s="1"/>
    </row>
    <row r="177" customFormat="false" ht="15" hidden="false" customHeight="true" outlineLevel="0" collapsed="false">
      <c r="AV177" s="1"/>
    </row>
    <row r="178" customFormat="false" ht="15" hidden="false" customHeight="true" outlineLevel="0" collapsed="false">
      <c r="AV178" s="1"/>
    </row>
    <row r="179" customFormat="false" ht="15" hidden="false" customHeight="true" outlineLevel="0" collapsed="false">
      <c r="AV179" s="1"/>
    </row>
    <row r="180" customFormat="false" ht="15" hidden="false" customHeight="true" outlineLevel="0" collapsed="false">
      <c r="AV180" s="1"/>
    </row>
    <row r="181" customFormat="false" ht="15" hidden="false" customHeight="true" outlineLevel="0" collapsed="false">
      <c r="AV181" s="1"/>
    </row>
    <row r="182" customFormat="false" ht="15" hidden="false" customHeight="true" outlineLevel="0" collapsed="false">
      <c r="AV182" s="1"/>
    </row>
    <row r="183" customFormat="false" ht="15" hidden="false" customHeight="true" outlineLevel="0" collapsed="false">
      <c r="AV183" s="1"/>
    </row>
    <row r="184" customFormat="false" ht="15" hidden="false" customHeight="true" outlineLevel="0" collapsed="false">
      <c r="AV184" s="1"/>
    </row>
    <row r="185" customFormat="false" ht="15" hidden="false" customHeight="true" outlineLevel="0" collapsed="false">
      <c r="AV185" s="1"/>
    </row>
    <row r="186" customFormat="false" ht="15" hidden="false" customHeight="true" outlineLevel="0" collapsed="false">
      <c r="AV186" s="1"/>
    </row>
    <row r="187" customFormat="false" ht="15" hidden="false" customHeight="true" outlineLevel="0" collapsed="false">
      <c r="AV187" s="1"/>
    </row>
    <row r="188" customFormat="false" ht="15" hidden="false" customHeight="true" outlineLevel="0" collapsed="false">
      <c r="AV188" s="1"/>
    </row>
    <row r="189" customFormat="false" ht="15" hidden="false" customHeight="true" outlineLevel="0" collapsed="false">
      <c r="AV189" s="1"/>
    </row>
    <row r="190" customFormat="false" ht="15" hidden="false" customHeight="true" outlineLevel="0" collapsed="false">
      <c r="AV190" s="1"/>
    </row>
    <row r="191" customFormat="false" ht="15" hidden="false" customHeight="true" outlineLevel="0" collapsed="false">
      <c r="AV191" s="1"/>
    </row>
    <row r="192" customFormat="false" ht="15" hidden="false" customHeight="true" outlineLevel="0" collapsed="false">
      <c r="AV192" s="1"/>
    </row>
    <row r="193" customFormat="false" ht="15" hidden="false" customHeight="true" outlineLevel="0" collapsed="false">
      <c r="AV193" s="1"/>
    </row>
    <row r="194" customFormat="false" ht="15" hidden="false" customHeight="true" outlineLevel="0" collapsed="false">
      <c r="AV194" s="1"/>
    </row>
    <row r="195" customFormat="false" ht="15" hidden="false" customHeight="true" outlineLevel="0" collapsed="false">
      <c r="AV195" s="1"/>
    </row>
    <row r="196" customFormat="false" ht="15" hidden="false" customHeight="true" outlineLevel="0" collapsed="false">
      <c r="AV196" s="1"/>
    </row>
    <row r="197" customFormat="false" ht="15" hidden="false" customHeight="true" outlineLevel="0" collapsed="false">
      <c r="AV197" s="1"/>
    </row>
    <row r="198" customFormat="false" ht="15" hidden="false" customHeight="true" outlineLevel="0" collapsed="false">
      <c r="AV198" s="1"/>
    </row>
    <row r="199" customFormat="false" ht="15" hidden="false" customHeight="true" outlineLevel="0" collapsed="false">
      <c r="AV199" s="1"/>
    </row>
    <row r="200" customFormat="false" ht="15" hidden="false" customHeight="true" outlineLevel="0" collapsed="false">
      <c r="AV200" s="1"/>
    </row>
    <row r="201" customFormat="false" ht="15" hidden="false" customHeight="true" outlineLevel="0" collapsed="false">
      <c r="AV201" s="1"/>
    </row>
    <row r="202" customFormat="false" ht="15" hidden="false" customHeight="true" outlineLevel="0" collapsed="false">
      <c r="AV202" s="1"/>
    </row>
    <row r="203" customFormat="false" ht="15" hidden="false" customHeight="true" outlineLevel="0" collapsed="false">
      <c r="AV203" s="1"/>
    </row>
    <row r="204" customFormat="false" ht="15" hidden="false" customHeight="true" outlineLevel="0" collapsed="false">
      <c r="AV204" s="1"/>
    </row>
    <row r="205" customFormat="false" ht="15" hidden="false" customHeight="true" outlineLevel="0" collapsed="false">
      <c r="AV205" s="1"/>
    </row>
    <row r="206" customFormat="false" ht="15" hidden="false" customHeight="true" outlineLevel="0" collapsed="false">
      <c r="AV206" s="1"/>
    </row>
    <row r="207" customFormat="false" ht="15" hidden="false" customHeight="true" outlineLevel="0" collapsed="false">
      <c r="AV207" s="1"/>
    </row>
    <row r="208" customFormat="false" ht="15" hidden="false" customHeight="true" outlineLevel="0" collapsed="false">
      <c r="AV208" s="1"/>
    </row>
    <row r="209" customFormat="false" ht="15" hidden="false" customHeight="true" outlineLevel="0" collapsed="false">
      <c r="AV209" s="1"/>
    </row>
    <row r="210" customFormat="false" ht="15" hidden="false" customHeight="true" outlineLevel="0" collapsed="false">
      <c r="AV210" s="1"/>
    </row>
    <row r="211" customFormat="false" ht="15" hidden="false" customHeight="true" outlineLevel="0" collapsed="false">
      <c r="AV211" s="1"/>
    </row>
    <row r="212" customFormat="false" ht="15" hidden="false" customHeight="true" outlineLevel="0" collapsed="false">
      <c r="AV212" s="1"/>
    </row>
    <row r="213" customFormat="false" ht="15" hidden="false" customHeight="true" outlineLevel="0" collapsed="false">
      <c r="AV213" s="1"/>
    </row>
    <row r="214" customFormat="false" ht="15" hidden="false" customHeight="true" outlineLevel="0" collapsed="false">
      <c r="AV214" s="1"/>
    </row>
    <row r="215" customFormat="false" ht="15" hidden="false" customHeight="true" outlineLevel="0" collapsed="false">
      <c r="AV215" s="1"/>
    </row>
    <row r="216" customFormat="false" ht="15" hidden="false" customHeight="true" outlineLevel="0" collapsed="false">
      <c r="AV216" s="1"/>
    </row>
    <row r="217" customFormat="false" ht="15" hidden="false" customHeight="true" outlineLevel="0" collapsed="false">
      <c r="AV217" s="1"/>
    </row>
    <row r="218" customFormat="false" ht="15" hidden="false" customHeight="true" outlineLevel="0" collapsed="false">
      <c r="AV218" s="1"/>
    </row>
    <row r="219" customFormat="false" ht="15" hidden="false" customHeight="true" outlineLevel="0" collapsed="false">
      <c r="AV219" s="1"/>
    </row>
    <row r="220" customFormat="false" ht="15" hidden="false" customHeight="true" outlineLevel="0" collapsed="false">
      <c r="AV220" s="1"/>
    </row>
  </sheetData>
  <autoFilter ref="A6:AU6"/>
  <mergeCells count="25">
    <mergeCell ref="A2:B2"/>
    <mergeCell ref="C2:E2"/>
    <mergeCell ref="A3:B3"/>
    <mergeCell ref="C3:E3"/>
    <mergeCell ref="G3:H3"/>
    <mergeCell ref="I3:J3"/>
    <mergeCell ref="A4:B4"/>
    <mergeCell ref="C4:E4"/>
    <mergeCell ref="G4:H4"/>
    <mergeCell ref="I4:J4"/>
    <mergeCell ref="A5:C5"/>
    <mergeCell ref="D5:I5"/>
    <mergeCell ref="J5:M5"/>
    <mergeCell ref="N5:S5"/>
    <mergeCell ref="T5:Y5"/>
    <mergeCell ref="Z5:AE5"/>
    <mergeCell ref="AF5:AK5"/>
    <mergeCell ref="AL5:AQ5"/>
    <mergeCell ref="AR5:AU5"/>
    <mergeCell ref="C7:AU7"/>
    <mergeCell ref="C10:AU10"/>
    <mergeCell ref="C14:AU14"/>
    <mergeCell ref="C17:AU17"/>
    <mergeCell ref="C22:AU22"/>
    <mergeCell ref="C24:AU24"/>
  </mergeCells>
  <conditionalFormatting sqref="O7:O500 P7:P500 U7:U500 V7:V500 AA7:AA500 AB7:AB500 AG7:AG500 AH7:AH500 AM7:AM500 AN7:AN500 AS7:AS500 AT7:AT500">
    <cfRule type="cellIs" priority="2" operator="equal" aboveAverage="0" equalAverage="0" bottom="0" percent="0" rank="0" text="" dxfId="0">
      <formula>"Pass"</formula>
    </cfRule>
    <cfRule type="cellIs" priority="3" operator="equal" aboveAverage="0" equalAverage="0" bottom="0" percent="0" rank="0" text="" dxfId="1">
      <formula>"Fail"</formula>
    </cfRule>
    <cfRule type="cellIs" priority="4" operator="equal" aboveAverage="0" equalAverage="0" bottom="0" percent="0" rank="0" text="" dxfId="2">
      <formula>"Block"</formula>
    </cfRule>
    <cfRule type="cellIs" priority="5" operator="equal" aboveAverage="0" equalAverage="0" bottom="0" percent="0" rank="0" text="" dxfId="3">
      <formula>"N/A"</formula>
    </cfRule>
  </conditionalFormatting>
  <dataValidations count="8">
    <dataValidation allowBlank="true" errorStyle="stop" operator="between" showDropDown="false" showErrorMessage="false" showInputMessage="false" sqref="J7:J500" type="list">
      <formula1>"AI,QC"</formula1>
      <formula2>0</formula2>
    </dataValidation>
    <dataValidation allowBlank="true" errorStyle="stop" operator="between" showDropDown="false" showErrorMessage="false" showInputMessage="false" sqref="E7:E500" type="list">
      <formula1>"High,Medium,Low"</formula1>
      <formula2>0</formula2>
    </dataValidation>
    <dataValidation allowBlank="true" errorStyle="stop" operator="between" showDropDown="false" showErrorMessage="false" showInputMessage="false" sqref="P7:P500 V7:V500 AB7:AB500 AH7:AH500 AN7:AN500" type="list">
      <formula1>"Pass,Fail,Block,N/A"</formula1>
      <formula2>0</formula2>
    </dataValidation>
    <dataValidation allowBlank="true" errorStyle="stop" operator="between" showDropDown="false" showErrorMessage="false" showInputMessage="false" sqref="N7:N500 T7:T500 Z7:Z500 AF7:AF500 AL7:AL500" type="list">
      <formula1>"Yes,No,N/A"</formula1>
      <formula2>0</formula2>
    </dataValidation>
    <dataValidation allowBlank="true" errorStyle="stop" operator="between" showDropDown="false" showErrorMessage="false" showInputMessage="false" sqref="O7:O500 U7:U500 AA7:AA500 AG7:AG500 AM7:AM500" type="list">
      <formula1>"Pass,Fail,Block,N/A,Chưa chạy"</formula1>
      <formula2>0</formula2>
    </dataValidation>
    <dataValidation allowBlank="true" errorStyle="stop" operator="between" showDropDown="false" showErrorMessage="false" showInputMessage="false" sqref="D7:D500" type="list">
      <formula1>"Functional,UI,Integration,Database Test Case"</formula1>
      <formula2>0</formula2>
    </dataValidation>
    <dataValidation allowBlank="true" errorStyle="stop" operator="between" showDropDown="false" showErrorMessage="false" showInputMessage="false" sqref="K7:K500" type="list">
      <formula1>"Reviewed,Pending,N/A"</formula1>
      <formula2>0</formula2>
    </dataValidation>
    <dataValidation allowBlank="true" errorStyle="stop" operator="between" showDropDown="false" showErrorMessage="false" showInputMessage="false" sqref="L7:L500"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V220"/>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1" ySplit="6" topLeftCell="C19" activePane="bottomRight" state="frozen"/>
      <selection pane="topLeft" activeCell="A1" activeCellId="0" sqref="A1"/>
      <selection pane="topRight" activeCell="C1" activeCellId="0" sqref="C1"/>
      <selection pane="bottomLeft" activeCell="A19" activeCellId="0" sqref="A19"/>
      <selection pane="bottomRight" activeCell="AX21" activeCellId="0" sqref="AX21"/>
    </sheetView>
  </sheetViews>
  <sheetFormatPr defaultColWidth="14.43359375" defaultRowHeight="15" customHeight="false" zeroHeight="false" outlineLevelRow="0" outlineLevelCol="0"/>
  <cols>
    <col collapsed="false" customWidth="true" hidden="false" outlineLevel="0" max="2" min="1" style="1" width="14"/>
    <col collapsed="false" customWidth="true" hidden="false" outlineLevel="0" max="4" min="3" style="1" width="13"/>
    <col collapsed="false" customWidth="true" hidden="false" outlineLevel="0" max="5" min="5" style="1" width="11"/>
    <col collapsed="false" customWidth="true" hidden="false" outlineLevel="0" max="6" min="6" style="1" width="34"/>
    <col collapsed="false" customWidth="true" hidden="false" outlineLevel="0" max="7" min="7" style="1" width="28"/>
    <col collapsed="false" customWidth="true" hidden="false" outlineLevel="0" max="8" min="8" style="1" width="40"/>
    <col collapsed="false" customWidth="true" hidden="false" outlineLevel="0" max="9" min="9" style="1" width="34"/>
    <col collapsed="false" customWidth="true" hidden="false" outlineLevel="0" max="10" min="10" style="1" width="10"/>
    <col collapsed="false" customWidth="true" hidden="false" outlineLevel="0" max="11" min="11" style="1" width="12.43"/>
    <col collapsed="false" customWidth="true" hidden="false" outlineLevel="0" max="12" min="12" style="1" width="14"/>
    <col collapsed="false" customWidth="true" hidden="false" outlineLevel="0" max="13" min="13" style="1" width="26.16"/>
    <col collapsed="false" customWidth="true" hidden="false" outlineLevel="0" max="14" min="14" style="1" width="9"/>
    <col collapsed="false" customWidth="true" hidden="false" outlineLevel="0" max="15" min="15" style="1" width="10"/>
    <col collapsed="false" customWidth="true" hidden="false" outlineLevel="0" max="16" min="16" style="1" width="9"/>
    <col collapsed="false" customWidth="true" hidden="false" outlineLevel="0" max="17" min="17" style="1" width="13"/>
    <col collapsed="false" customWidth="true" hidden="false" outlineLevel="0" max="18" min="18" style="1" width="11"/>
    <col collapsed="false" customWidth="true" hidden="false" outlineLevel="0" max="19" min="19" style="1" width="22"/>
    <col collapsed="false" customWidth="true" hidden="false" outlineLevel="0" max="20" min="20" style="1" width="9"/>
    <col collapsed="false" customWidth="true" hidden="false" outlineLevel="0" max="21" min="21" style="1" width="10"/>
    <col collapsed="false" customWidth="true" hidden="false" outlineLevel="0" max="22" min="22" style="1" width="9"/>
    <col collapsed="false" customWidth="true" hidden="false" outlineLevel="0" max="23" min="23" style="1" width="13"/>
    <col collapsed="false" customWidth="true" hidden="false" outlineLevel="0" max="24" min="24" style="1" width="11"/>
    <col collapsed="false" customWidth="true" hidden="false" outlineLevel="0" max="25" min="25" style="1" width="22"/>
    <col collapsed="false" customWidth="true" hidden="false" outlineLevel="0" max="26" min="26" style="1" width="9"/>
    <col collapsed="false" customWidth="true" hidden="false" outlineLevel="0" max="27" min="27" style="1" width="10"/>
    <col collapsed="false" customWidth="true" hidden="false" outlineLevel="0" max="28" min="28" style="1" width="9"/>
    <col collapsed="false" customWidth="true" hidden="false" outlineLevel="0" max="29" min="29" style="1" width="13"/>
    <col collapsed="false" customWidth="true" hidden="false" outlineLevel="0" max="30" min="30" style="1" width="11"/>
    <col collapsed="false" customWidth="true" hidden="false" outlineLevel="0" max="31" min="31" style="1" width="22"/>
    <col collapsed="false" customWidth="true" hidden="false" outlineLevel="0" max="32" min="32" style="1" width="9"/>
    <col collapsed="false" customWidth="true" hidden="false" outlineLevel="0" max="33" min="33" style="1" width="10"/>
    <col collapsed="false" customWidth="true" hidden="false" outlineLevel="0" max="34" min="34" style="1" width="9"/>
    <col collapsed="false" customWidth="true" hidden="false" outlineLevel="0" max="35" min="35" style="1" width="13"/>
    <col collapsed="false" customWidth="true" hidden="false" outlineLevel="0" max="36" min="36" style="1" width="11"/>
    <col collapsed="false" customWidth="true" hidden="false" outlineLevel="0" max="37" min="37" style="1" width="22"/>
    <col collapsed="false" customWidth="true" hidden="false" outlineLevel="0" max="38" min="38" style="1" width="9"/>
    <col collapsed="false" customWidth="true" hidden="false" outlineLevel="0" max="39" min="39" style="1" width="10"/>
    <col collapsed="false" customWidth="true" hidden="false" outlineLevel="0" max="40" min="40" style="1" width="9"/>
    <col collapsed="false" customWidth="true" hidden="false" outlineLevel="0" max="41" min="41" style="1" width="13"/>
    <col collapsed="false" customWidth="true" hidden="false" outlineLevel="0" max="42" min="42" style="1" width="11"/>
    <col collapsed="false" customWidth="true" hidden="false" outlineLevel="0" max="43" min="43" style="1" width="22"/>
    <col collapsed="false" customWidth="true" hidden="false" outlineLevel="0" max="44" min="44" style="1" width="12"/>
    <col collapsed="false" customWidth="true" hidden="false" outlineLevel="0" max="45" min="45" style="1" width="14"/>
    <col collapsed="false" customWidth="true" hidden="false" outlineLevel="0" max="46" min="46" style="1" width="11"/>
    <col collapsed="false" customWidth="true" hidden="false" outlineLevel="0" max="47" min="47" style="1" width="24"/>
  </cols>
  <sheetData>
    <row r="1" customFormat="false" ht="15" hidden="false" customHeight="true" outlineLevel="0" collapsed="false">
      <c r="A1" s="172"/>
    </row>
    <row r="2" customFormat="false" ht="15" hidden="false" customHeight="true" outlineLevel="0" collapsed="false">
      <c r="A2" s="180" t="s">
        <v>629</v>
      </c>
      <c r="B2" s="180"/>
      <c r="C2" s="181" t="s">
        <v>201</v>
      </c>
      <c r="D2" s="181"/>
      <c r="E2" s="181"/>
    </row>
    <row r="3" customFormat="false" ht="15" hidden="false" customHeight="true" outlineLevel="0" collapsed="false">
      <c r="A3" s="180" t="s">
        <v>630</v>
      </c>
      <c r="B3" s="180"/>
      <c r="C3" s="181" t="s">
        <v>202</v>
      </c>
      <c r="D3" s="181"/>
      <c r="E3" s="181"/>
      <c r="G3" s="180" t="s">
        <v>82</v>
      </c>
      <c r="H3" s="180"/>
      <c r="I3" s="38" t="str">
        <f aca="false">Summary!$C$8</f>
        <v>v1.1</v>
      </c>
      <c r="J3" s="38"/>
    </row>
    <row r="4" customFormat="false" ht="15" hidden="false" customHeight="true" outlineLevel="0" collapsed="false">
      <c r="A4" s="180" t="s">
        <v>145</v>
      </c>
      <c r="B4" s="180"/>
      <c r="C4" s="38" t="str">
        <f aca="false">TEXT(Summary!$C$10,"DD/MM/YYYY")&amp;"  →  "&amp;TEXT(Summary!$C$11,"DD/MM/YYYY")</f>
        <v>18/09/2026  →  25/09/2026</v>
      </c>
      <c r="D4" s="38"/>
      <c r="E4" s="38"/>
      <c r="G4" s="180" t="s">
        <v>103</v>
      </c>
      <c r="H4" s="180"/>
      <c r="I4" s="38" t="str">
        <f aca="false">Summary!$C$13</f>
        <v>GiangDC2</v>
      </c>
      <c r="J4" s="38"/>
    </row>
    <row r="5" customFormat="false" ht="15" hidden="false" customHeight="true" outlineLevel="0" collapsed="false">
      <c r="A5" s="182" t="s">
        <v>631</v>
      </c>
      <c r="B5" s="182"/>
      <c r="C5" s="182"/>
      <c r="D5" s="117" t="s">
        <v>632</v>
      </c>
      <c r="E5" s="117"/>
      <c r="F5" s="117"/>
      <c r="G5" s="117"/>
      <c r="H5" s="117"/>
      <c r="I5" s="117"/>
      <c r="J5" s="136" t="s">
        <v>58</v>
      </c>
      <c r="K5" s="136"/>
      <c r="L5" s="136"/>
      <c r="M5" s="136"/>
      <c r="N5" s="183" t="s">
        <v>633</v>
      </c>
      <c r="O5" s="183"/>
      <c r="P5" s="183"/>
      <c r="Q5" s="183"/>
      <c r="R5" s="183"/>
      <c r="S5" s="183"/>
      <c r="T5" s="184" t="s">
        <v>634</v>
      </c>
      <c r="U5" s="184"/>
      <c r="V5" s="184"/>
      <c r="W5" s="184"/>
      <c r="X5" s="184"/>
      <c r="Y5" s="184"/>
      <c r="Z5" s="183" t="s">
        <v>635</v>
      </c>
      <c r="AA5" s="183"/>
      <c r="AB5" s="183"/>
      <c r="AC5" s="183"/>
      <c r="AD5" s="183"/>
      <c r="AE5" s="183"/>
      <c r="AF5" s="184" t="s">
        <v>636</v>
      </c>
      <c r="AG5" s="184"/>
      <c r="AH5" s="184"/>
      <c r="AI5" s="184"/>
      <c r="AJ5" s="184"/>
      <c r="AK5" s="184"/>
      <c r="AL5" s="183" t="s">
        <v>637</v>
      </c>
      <c r="AM5" s="183"/>
      <c r="AN5" s="183"/>
      <c r="AO5" s="183"/>
      <c r="AP5" s="183"/>
      <c r="AQ5" s="183"/>
      <c r="AR5" s="185" t="s">
        <v>638</v>
      </c>
      <c r="AS5" s="185"/>
      <c r="AT5" s="185"/>
      <c r="AU5" s="185"/>
    </row>
    <row r="6" customFormat="false" ht="30" hidden="false" customHeight="true" outlineLevel="0" collapsed="false">
      <c r="A6" s="186" t="s">
        <v>639</v>
      </c>
      <c r="B6" s="186" t="s">
        <v>405</v>
      </c>
      <c r="C6" s="186" t="s">
        <v>640</v>
      </c>
      <c r="D6" s="125" t="s">
        <v>40</v>
      </c>
      <c r="E6" s="125" t="s">
        <v>32</v>
      </c>
      <c r="F6" s="125" t="s">
        <v>641</v>
      </c>
      <c r="G6" s="125" t="s">
        <v>642</v>
      </c>
      <c r="H6" s="125" t="s">
        <v>643</v>
      </c>
      <c r="I6" s="125" t="s">
        <v>644</v>
      </c>
      <c r="J6" s="175" t="s">
        <v>645</v>
      </c>
      <c r="K6" s="175" t="s">
        <v>62</v>
      </c>
      <c r="L6" s="175" t="s">
        <v>64</v>
      </c>
      <c r="M6" s="175" t="s">
        <v>66</v>
      </c>
      <c r="N6" s="187" t="s">
        <v>68</v>
      </c>
      <c r="O6" s="187" t="s">
        <v>70</v>
      </c>
      <c r="P6" s="187" t="s">
        <v>646</v>
      </c>
      <c r="Q6" s="187" t="s">
        <v>647</v>
      </c>
      <c r="R6" s="187" t="s">
        <v>648</v>
      </c>
      <c r="S6" s="187" t="s">
        <v>265</v>
      </c>
      <c r="T6" s="187" t="s">
        <v>68</v>
      </c>
      <c r="U6" s="187" t="s">
        <v>70</v>
      </c>
      <c r="V6" s="187" t="s">
        <v>646</v>
      </c>
      <c r="W6" s="187" t="s">
        <v>647</v>
      </c>
      <c r="X6" s="187" t="s">
        <v>648</v>
      </c>
      <c r="Y6" s="187" t="s">
        <v>265</v>
      </c>
      <c r="Z6" s="187" t="s">
        <v>68</v>
      </c>
      <c r="AA6" s="187" t="s">
        <v>70</v>
      </c>
      <c r="AB6" s="187" t="s">
        <v>646</v>
      </c>
      <c r="AC6" s="187" t="s">
        <v>647</v>
      </c>
      <c r="AD6" s="187" t="s">
        <v>648</v>
      </c>
      <c r="AE6" s="187" t="s">
        <v>265</v>
      </c>
      <c r="AF6" s="187" t="s">
        <v>68</v>
      </c>
      <c r="AG6" s="187" t="s">
        <v>70</v>
      </c>
      <c r="AH6" s="187" t="s">
        <v>646</v>
      </c>
      <c r="AI6" s="187" t="s">
        <v>647</v>
      </c>
      <c r="AJ6" s="187" t="s">
        <v>648</v>
      </c>
      <c r="AK6" s="187" t="s">
        <v>265</v>
      </c>
      <c r="AL6" s="187" t="s">
        <v>68</v>
      </c>
      <c r="AM6" s="187" t="s">
        <v>70</v>
      </c>
      <c r="AN6" s="187" t="s">
        <v>646</v>
      </c>
      <c r="AO6" s="187" t="s">
        <v>647</v>
      </c>
      <c r="AP6" s="187" t="s">
        <v>648</v>
      </c>
      <c r="AQ6" s="187" t="s">
        <v>265</v>
      </c>
      <c r="AR6" s="188" t="s">
        <v>649</v>
      </c>
      <c r="AS6" s="188" t="s">
        <v>650</v>
      </c>
      <c r="AT6" s="188" t="s">
        <v>50</v>
      </c>
      <c r="AU6" s="188" t="s">
        <v>651</v>
      </c>
    </row>
    <row r="7" customFormat="false" ht="15" hidden="false" customHeight="true" outlineLevel="0" collapsed="false">
      <c r="A7" s="189"/>
      <c r="B7" s="189"/>
      <c r="C7" s="190" t="s">
        <v>798</v>
      </c>
      <c r="D7" s="190"/>
      <c r="E7" s="190"/>
      <c r="F7" s="190"/>
      <c r="G7" s="190"/>
      <c r="H7" s="190"/>
      <c r="I7" s="190"/>
      <c r="J7" s="190"/>
      <c r="K7" s="190"/>
      <c r="L7" s="190"/>
      <c r="M7" s="190"/>
      <c r="N7" s="190"/>
      <c r="O7" s="190"/>
      <c r="P7" s="190"/>
      <c r="Q7" s="190"/>
      <c r="R7" s="190"/>
      <c r="S7" s="190"/>
      <c r="T7" s="190"/>
      <c r="U7" s="190"/>
      <c r="V7" s="190"/>
      <c r="W7" s="190"/>
      <c r="X7" s="190"/>
      <c r="Y7" s="190"/>
      <c r="Z7" s="190"/>
      <c r="AA7" s="190"/>
      <c r="AB7" s="190"/>
      <c r="AC7" s="190"/>
      <c r="AD7" s="190"/>
      <c r="AE7" s="190"/>
      <c r="AF7" s="190"/>
      <c r="AG7" s="190"/>
      <c r="AH7" s="190"/>
      <c r="AI7" s="190"/>
      <c r="AJ7" s="190"/>
      <c r="AK7" s="190"/>
      <c r="AL7" s="190"/>
      <c r="AM7" s="190"/>
      <c r="AN7" s="190"/>
      <c r="AO7" s="190"/>
      <c r="AP7" s="190"/>
      <c r="AQ7" s="190"/>
      <c r="AR7" s="190"/>
      <c r="AS7" s="190"/>
      <c r="AT7" s="190"/>
      <c r="AU7" s="190"/>
    </row>
    <row r="8" customFormat="false" ht="147" hidden="false" customHeight="true" outlineLevel="0" collapsed="false">
      <c r="A8" s="191" t="str">
        <f aca="false">IF($F8="","",$C$2&amp;"."&amp;COUNTA($F$7:$F8)&amp;"")</f>
        <v>TC_04.1</v>
      </c>
      <c r="B8" s="191" t="s">
        <v>474</v>
      </c>
      <c r="C8" s="191" t="s">
        <v>530</v>
      </c>
      <c r="D8" s="191" t="s">
        <v>43</v>
      </c>
      <c r="E8" s="191" t="s">
        <v>159</v>
      </c>
      <c r="F8" s="13" t="s">
        <v>799</v>
      </c>
      <c r="G8" s="13" t="s">
        <v>800</v>
      </c>
      <c r="H8" s="13" t="s">
        <v>801</v>
      </c>
      <c r="I8" s="13" t="s">
        <v>802</v>
      </c>
      <c r="J8" s="191" t="s">
        <v>658</v>
      </c>
      <c r="K8" s="191" t="s">
        <v>245</v>
      </c>
      <c r="L8" s="191"/>
      <c r="M8" s="191"/>
      <c r="N8" s="192"/>
      <c r="O8" s="192"/>
      <c r="P8" s="192"/>
      <c r="Q8" s="192"/>
      <c r="R8" s="192"/>
      <c r="S8" s="192"/>
      <c r="T8" s="192"/>
      <c r="U8" s="192"/>
      <c r="V8" s="192"/>
      <c r="W8" s="192"/>
      <c r="X8" s="192"/>
      <c r="Y8" s="192"/>
      <c r="Z8" s="192"/>
      <c r="AA8" s="192"/>
      <c r="AB8" s="192"/>
      <c r="AC8" s="192"/>
      <c r="AD8" s="192"/>
      <c r="AE8" s="192"/>
      <c r="AF8" s="192"/>
      <c r="AG8" s="192"/>
      <c r="AH8" s="192"/>
      <c r="AI8" s="192"/>
      <c r="AJ8" s="192"/>
      <c r="AK8" s="192"/>
      <c r="AL8" s="192"/>
      <c r="AM8" s="192"/>
      <c r="AN8" s="192"/>
      <c r="AO8" s="192"/>
      <c r="AP8" s="192"/>
      <c r="AQ8" s="192"/>
      <c r="AR8" s="193" t="str">
        <f aca="false">IF($A8="","",IF(OR($N8="Yes",$T8="Yes",$Z8="Yes",$AF8="Yes",$AL8="Yes"),"Yes","No"))</f>
        <v>No</v>
      </c>
      <c r="AS8" s="193" t="str">
        <f aca="false">IF($A8="","",IFERROR(IF($AM8&lt;&gt;"",$AM8,IF($AG8&lt;&gt;"",$AG8,IF($AA8&lt;&gt;"",$AA8,IF($U8&lt;&gt;"",$U8,IF($O8&lt;&gt;"",$O8,""))))),""))</f>
        <v/>
      </c>
      <c r="AT8" s="193" t="str">
        <f aca="false">IFERROR(IF($AN8&lt;&gt;"",$AN8,IF($AH8&lt;&gt;"",$AH8,IF($AB8&lt;&gt;"",$AB8,IF($V8&lt;&gt;"",$V8,IF($P8&lt;&gt;"",$P8,""))))),"")</f>
        <v/>
      </c>
      <c r="AU8" s="194"/>
    </row>
    <row r="9" customFormat="false" ht="147" hidden="false" customHeight="true" outlineLevel="0" collapsed="false">
      <c r="A9" s="191" t="str">
        <f aca="false">IF($F9="","",$C$2&amp;"."&amp;COUNTA($F$7:$F9)&amp;"")</f>
        <v>TC_04.2</v>
      </c>
      <c r="B9" s="191" t="s">
        <v>474</v>
      </c>
      <c r="C9" s="191" t="s">
        <v>530</v>
      </c>
      <c r="D9" s="191" t="s">
        <v>43</v>
      </c>
      <c r="E9" s="191" t="s">
        <v>159</v>
      </c>
      <c r="F9" s="13" t="s">
        <v>803</v>
      </c>
      <c r="G9" s="13" t="s">
        <v>800</v>
      </c>
      <c r="H9" s="13" t="s">
        <v>804</v>
      </c>
      <c r="I9" s="13" t="s">
        <v>805</v>
      </c>
      <c r="J9" s="191" t="s">
        <v>658</v>
      </c>
      <c r="K9" s="191" t="s">
        <v>245</v>
      </c>
      <c r="L9" s="191"/>
      <c r="M9" s="191"/>
      <c r="N9" s="192"/>
      <c r="O9" s="192"/>
      <c r="P9" s="192"/>
      <c r="Q9" s="192"/>
      <c r="R9" s="192"/>
      <c r="S9" s="192"/>
      <c r="T9" s="192"/>
      <c r="U9" s="192"/>
      <c r="V9" s="192"/>
      <c r="W9" s="192"/>
      <c r="X9" s="192"/>
      <c r="Y9" s="192"/>
      <c r="Z9" s="192"/>
      <c r="AA9" s="192"/>
      <c r="AB9" s="192"/>
      <c r="AC9" s="192"/>
      <c r="AD9" s="192"/>
      <c r="AE9" s="192"/>
      <c r="AF9" s="192"/>
      <c r="AG9" s="192"/>
      <c r="AH9" s="192"/>
      <c r="AI9" s="192"/>
      <c r="AJ9" s="192"/>
      <c r="AK9" s="192"/>
      <c r="AL9" s="192"/>
      <c r="AM9" s="192"/>
      <c r="AN9" s="192"/>
      <c r="AO9" s="192"/>
      <c r="AP9" s="192"/>
      <c r="AQ9" s="192"/>
      <c r="AR9" s="193" t="str">
        <f aca="false">IF($A9="","",IF(OR($N9="Yes",$T9="Yes",$Z9="Yes",$AF9="Yes",$AL9="Yes"),"Yes","No"))</f>
        <v>No</v>
      </c>
      <c r="AS9" s="193" t="str">
        <f aca="false">IF($A9="","",IFERROR(IF($AM9&lt;&gt;"",$AM9,IF($AG9&lt;&gt;"",$AG9,IF($AA9&lt;&gt;"",$AA9,IF($U9&lt;&gt;"",$U9,IF($O9&lt;&gt;"",$O9,""))))),""))</f>
        <v/>
      </c>
      <c r="AT9" s="193" t="str">
        <f aca="false">IFERROR(IF($AN9&lt;&gt;"",$AN9,IF($AH9&lt;&gt;"",$AH9,IF($AB9&lt;&gt;"",$AB9,IF($V9&lt;&gt;"",$V9,IF($P9&lt;&gt;"",$P9,""))))),"")</f>
        <v/>
      </c>
      <c r="AU9" s="194"/>
    </row>
    <row r="10" customFormat="false" ht="147" hidden="false" customHeight="true" outlineLevel="0" collapsed="false">
      <c r="A10" s="191" t="str">
        <f aca="false">IF($F10="","",$C$2&amp;"."&amp;COUNTA($F$7:$F10)&amp;"")</f>
        <v>TC_04.3</v>
      </c>
      <c r="B10" s="191" t="s">
        <v>474</v>
      </c>
      <c r="C10" s="191" t="s">
        <v>530</v>
      </c>
      <c r="D10" s="191" t="s">
        <v>43</v>
      </c>
      <c r="E10" s="191" t="s">
        <v>159</v>
      </c>
      <c r="F10" s="13" t="s">
        <v>806</v>
      </c>
      <c r="G10" s="13" t="s">
        <v>800</v>
      </c>
      <c r="H10" s="13" t="s">
        <v>807</v>
      </c>
      <c r="I10" s="13" t="s">
        <v>808</v>
      </c>
      <c r="J10" s="191" t="s">
        <v>658</v>
      </c>
      <c r="K10" s="191" t="s">
        <v>245</v>
      </c>
      <c r="L10" s="191"/>
      <c r="M10" s="191"/>
      <c r="N10" s="192"/>
      <c r="O10" s="192"/>
      <c r="P10" s="192"/>
      <c r="Q10" s="192"/>
      <c r="R10" s="192"/>
      <c r="S10" s="192"/>
      <c r="T10" s="192"/>
      <c r="U10" s="192"/>
      <c r="V10" s="192"/>
      <c r="W10" s="192"/>
      <c r="X10" s="192"/>
      <c r="Y10" s="192"/>
      <c r="Z10" s="192"/>
      <c r="AA10" s="192"/>
      <c r="AB10" s="192"/>
      <c r="AC10" s="192"/>
      <c r="AD10" s="192"/>
      <c r="AE10" s="192"/>
      <c r="AF10" s="192"/>
      <c r="AG10" s="192"/>
      <c r="AH10" s="192"/>
      <c r="AI10" s="192"/>
      <c r="AJ10" s="192"/>
      <c r="AK10" s="192"/>
      <c r="AL10" s="192"/>
      <c r="AM10" s="192"/>
      <c r="AN10" s="192"/>
      <c r="AO10" s="192"/>
      <c r="AP10" s="192"/>
      <c r="AQ10" s="192"/>
      <c r="AR10" s="193" t="str">
        <f aca="false">IF($A10="","",IF(OR($N10="Yes",$T10="Yes",$Z10="Yes",$AF10="Yes",$AL10="Yes"),"Yes","No"))</f>
        <v>No</v>
      </c>
      <c r="AS10" s="193" t="str">
        <f aca="false">IF($A10="","",IFERROR(IF($AM10&lt;&gt;"",$AM10,IF($AG10&lt;&gt;"",$AG10,IF($AA10&lt;&gt;"",$AA10,IF($U10&lt;&gt;"",$U10,IF($O10&lt;&gt;"",$O10,""))))),""))</f>
        <v/>
      </c>
      <c r="AT10" s="193" t="str">
        <f aca="false">IFERROR(IF($AN10&lt;&gt;"",$AN10,IF($AH10&lt;&gt;"",$AH10,IF($AB10&lt;&gt;"",$AB10,IF($V10&lt;&gt;"",$V10,IF($P10&lt;&gt;"",$P10,""))))),"")</f>
        <v/>
      </c>
      <c r="AU10" s="194"/>
    </row>
    <row r="11" customFormat="false" ht="157.5" hidden="false" customHeight="true" outlineLevel="0" collapsed="false">
      <c r="A11" s="191" t="str">
        <f aca="false">IF($F11="","",$C$2&amp;"."&amp;COUNTA($F$7:$F11)&amp;"")</f>
        <v>TC_04.4</v>
      </c>
      <c r="B11" s="191" t="s">
        <v>474</v>
      </c>
      <c r="C11" s="191" t="s">
        <v>530</v>
      </c>
      <c r="D11" s="191" t="s">
        <v>43</v>
      </c>
      <c r="E11" s="191" t="s">
        <v>159</v>
      </c>
      <c r="F11" s="13" t="s">
        <v>809</v>
      </c>
      <c r="G11" s="13" t="s">
        <v>800</v>
      </c>
      <c r="H11" s="13" t="s">
        <v>810</v>
      </c>
      <c r="I11" s="13" t="s">
        <v>811</v>
      </c>
      <c r="J11" s="191" t="s">
        <v>658</v>
      </c>
      <c r="K11" s="191" t="s">
        <v>245</v>
      </c>
      <c r="L11" s="191"/>
      <c r="M11" s="191"/>
      <c r="N11" s="192"/>
      <c r="O11" s="192"/>
      <c r="P11" s="192"/>
      <c r="Q11" s="192"/>
      <c r="R11" s="192"/>
      <c r="S11" s="192"/>
      <c r="T11" s="192"/>
      <c r="U11" s="192"/>
      <c r="V11" s="192"/>
      <c r="W11" s="192"/>
      <c r="X11" s="192"/>
      <c r="Y11" s="192"/>
      <c r="Z11" s="192"/>
      <c r="AA11" s="192"/>
      <c r="AB11" s="192"/>
      <c r="AC11" s="192"/>
      <c r="AD11" s="192"/>
      <c r="AE11" s="192"/>
      <c r="AF11" s="192"/>
      <c r="AG11" s="192"/>
      <c r="AH11" s="192"/>
      <c r="AI11" s="192"/>
      <c r="AJ11" s="192"/>
      <c r="AK11" s="192"/>
      <c r="AL11" s="192"/>
      <c r="AM11" s="192"/>
      <c r="AN11" s="192"/>
      <c r="AO11" s="192"/>
      <c r="AP11" s="192"/>
      <c r="AQ11" s="192"/>
      <c r="AR11" s="193" t="str">
        <f aca="false">IF($A11="","",IF(OR($N11="Yes",$T11="Yes",$Z11="Yes",$AF11="Yes",$AL11="Yes"),"Yes","No"))</f>
        <v>No</v>
      </c>
      <c r="AS11" s="193" t="str">
        <f aca="false">IF($A11="","",IFERROR(IF($AM11&lt;&gt;"",$AM11,IF($AG11&lt;&gt;"",$AG11,IF($AA11&lt;&gt;"",$AA11,IF($U11&lt;&gt;"",$U11,IF($O11&lt;&gt;"",$O11,""))))),""))</f>
        <v/>
      </c>
      <c r="AT11" s="193" t="str">
        <f aca="false">IFERROR(IF($AN11&lt;&gt;"",$AN11,IF($AH11&lt;&gt;"",$AH11,IF($AB11&lt;&gt;"",$AB11,IF($V11&lt;&gt;"",$V11,IF($P11&lt;&gt;"",$P11,""))))),"")</f>
        <v/>
      </c>
      <c r="AU11" s="194"/>
    </row>
    <row r="12" customFormat="false" ht="147" hidden="false" customHeight="true" outlineLevel="0" collapsed="false">
      <c r="A12" s="191" t="str">
        <f aca="false">IF($F12="","",$C$2&amp;"."&amp;COUNTA($F$7:$F12)&amp;"")</f>
        <v>TC_04.5</v>
      </c>
      <c r="B12" s="191" t="s">
        <v>474</v>
      </c>
      <c r="C12" s="191" t="s">
        <v>530</v>
      </c>
      <c r="D12" s="191" t="s">
        <v>43</v>
      </c>
      <c r="E12" s="191" t="s">
        <v>159</v>
      </c>
      <c r="F12" s="13" t="s">
        <v>812</v>
      </c>
      <c r="G12" s="13" t="s">
        <v>800</v>
      </c>
      <c r="H12" s="13" t="s">
        <v>813</v>
      </c>
      <c r="I12" s="13" t="s">
        <v>814</v>
      </c>
      <c r="J12" s="191" t="s">
        <v>658</v>
      </c>
      <c r="K12" s="191" t="s">
        <v>245</v>
      </c>
      <c r="L12" s="191"/>
      <c r="M12" s="191"/>
      <c r="N12" s="192"/>
      <c r="O12" s="192"/>
      <c r="P12" s="192"/>
      <c r="Q12" s="192"/>
      <c r="R12" s="192"/>
      <c r="S12" s="192"/>
      <c r="T12" s="192"/>
      <c r="U12" s="192"/>
      <c r="V12" s="192"/>
      <c r="W12" s="192"/>
      <c r="X12" s="192"/>
      <c r="Y12" s="192"/>
      <c r="Z12" s="192"/>
      <c r="AA12" s="192"/>
      <c r="AB12" s="192"/>
      <c r="AC12" s="192"/>
      <c r="AD12" s="192"/>
      <c r="AE12" s="192"/>
      <c r="AF12" s="192"/>
      <c r="AG12" s="192"/>
      <c r="AH12" s="192"/>
      <c r="AI12" s="192"/>
      <c r="AJ12" s="192"/>
      <c r="AK12" s="192"/>
      <c r="AL12" s="192"/>
      <c r="AM12" s="192"/>
      <c r="AN12" s="192"/>
      <c r="AO12" s="192"/>
      <c r="AP12" s="192"/>
      <c r="AQ12" s="192"/>
      <c r="AR12" s="193" t="str">
        <f aca="false">IF($A12="","",IF(OR($N12="Yes",$T12="Yes",$Z12="Yes",$AF12="Yes",$AL12="Yes"),"Yes","No"))</f>
        <v>No</v>
      </c>
      <c r="AS12" s="193" t="str">
        <f aca="false">IF($A12="","",IFERROR(IF($AM12&lt;&gt;"",$AM12,IF($AG12&lt;&gt;"",$AG12,IF($AA12&lt;&gt;"",$AA12,IF($U12&lt;&gt;"",$U12,IF($O12&lt;&gt;"",$O12,""))))),""))</f>
        <v/>
      </c>
      <c r="AT12" s="193" t="str">
        <f aca="false">IFERROR(IF($AN12&lt;&gt;"",$AN12,IF($AH12&lt;&gt;"",$AH12,IF($AB12&lt;&gt;"",$AB12,IF($V12&lt;&gt;"",$V12,IF($P12&lt;&gt;"",$P12,""))))),"")</f>
        <v/>
      </c>
      <c r="AU12" s="194"/>
    </row>
    <row r="13" customFormat="false" ht="157.5" hidden="false" customHeight="true" outlineLevel="0" collapsed="false">
      <c r="A13" s="191" t="str">
        <f aca="false">IF($F13="","",$C$2&amp;"."&amp;COUNTA($F$7:$F13)&amp;"")</f>
        <v>TC_04.6</v>
      </c>
      <c r="B13" s="191" t="s">
        <v>474</v>
      </c>
      <c r="C13" s="191" t="s">
        <v>530</v>
      </c>
      <c r="D13" s="191" t="s">
        <v>43</v>
      </c>
      <c r="E13" s="191" t="s">
        <v>159</v>
      </c>
      <c r="F13" s="13" t="s">
        <v>815</v>
      </c>
      <c r="G13" s="13" t="s">
        <v>800</v>
      </c>
      <c r="H13" s="13" t="s">
        <v>816</v>
      </c>
      <c r="I13" s="13" t="s">
        <v>817</v>
      </c>
      <c r="J13" s="191" t="s">
        <v>658</v>
      </c>
      <c r="K13" s="191" t="s">
        <v>245</v>
      </c>
      <c r="L13" s="191"/>
      <c r="M13" s="191"/>
      <c r="N13" s="192"/>
      <c r="O13" s="192"/>
      <c r="P13" s="192"/>
      <c r="Q13" s="192"/>
      <c r="R13" s="192"/>
      <c r="S13" s="192"/>
      <c r="T13" s="192"/>
      <c r="U13" s="192"/>
      <c r="V13" s="192"/>
      <c r="W13" s="192"/>
      <c r="X13" s="192"/>
      <c r="Y13" s="192"/>
      <c r="Z13" s="192"/>
      <c r="AA13" s="192"/>
      <c r="AB13" s="192"/>
      <c r="AC13" s="192"/>
      <c r="AD13" s="192"/>
      <c r="AE13" s="192"/>
      <c r="AF13" s="192"/>
      <c r="AG13" s="192"/>
      <c r="AH13" s="192"/>
      <c r="AI13" s="192"/>
      <c r="AJ13" s="192"/>
      <c r="AK13" s="192"/>
      <c r="AL13" s="192"/>
      <c r="AM13" s="192"/>
      <c r="AN13" s="192"/>
      <c r="AO13" s="192"/>
      <c r="AP13" s="192"/>
      <c r="AQ13" s="192"/>
      <c r="AR13" s="193" t="str">
        <f aca="false">IF($A13="","",IF(OR($N13="Yes",$T13="Yes",$Z13="Yes",$AF13="Yes",$AL13="Yes"),"Yes","No"))</f>
        <v>No</v>
      </c>
      <c r="AS13" s="193" t="str">
        <f aca="false">IF($A13="","",IFERROR(IF($AM13&lt;&gt;"",$AM13,IF($AG13&lt;&gt;"",$AG13,IF($AA13&lt;&gt;"",$AA13,IF($U13&lt;&gt;"",$U13,IF($O13&lt;&gt;"",$O13,""))))),""))</f>
        <v/>
      </c>
      <c r="AT13" s="193" t="str">
        <f aca="false">IFERROR(IF($AN13&lt;&gt;"",$AN13,IF($AH13&lt;&gt;"",$AH13,IF($AB13&lt;&gt;"",$AB13,IF($V13&lt;&gt;"",$V13,IF($P13&lt;&gt;"",$P13,""))))),"")</f>
        <v/>
      </c>
      <c r="AU13" s="194"/>
    </row>
    <row r="14" customFormat="false" ht="202.5" hidden="false" customHeight="true" outlineLevel="0" collapsed="false">
      <c r="A14" s="191" t="str">
        <f aca="false">IF($F14="","",$C$2&amp;"."&amp;COUNTA($F$7:$F14)&amp;"")</f>
        <v>TC_04.7</v>
      </c>
      <c r="B14" s="191" t="s">
        <v>474</v>
      </c>
      <c r="C14" s="191" t="s">
        <v>530</v>
      </c>
      <c r="D14" s="191" t="s">
        <v>43</v>
      </c>
      <c r="E14" s="191" t="s">
        <v>160</v>
      </c>
      <c r="F14" s="13" t="s">
        <v>818</v>
      </c>
      <c r="G14" s="13" t="s">
        <v>800</v>
      </c>
      <c r="H14" s="13" t="s">
        <v>819</v>
      </c>
      <c r="I14" s="13" t="s">
        <v>820</v>
      </c>
      <c r="J14" s="191" t="s">
        <v>658</v>
      </c>
      <c r="K14" s="191" t="s">
        <v>245</v>
      </c>
      <c r="L14" s="191"/>
      <c r="M14" s="191"/>
      <c r="N14" s="192"/>
      <c r="O14" s="192"/>
      <c r="P14" s="192"/>
      <c r="Q14" s="192"/>
      <c r="R14" s="192"/>
      <c r="S14" s="192"/>
      <c r="T14" s="192"/>
      <c r="U14" s="192"/>
      <c r="V14" s="192"/>
      <c r="W14" s="192"/>
      <c r="X14" s="192"/>
      <c r="Y14" s="192"/>
      <c r="Z14" s="192"/>
      <c r="AA14" s="192"/>
      <c r="AB14" s="192"/>
      <c r="AC14" s="192"/>
      <c r="AD14" s="192"/>
      <c r="AE14" s="192"/>
      <c r="AF14" s="192"/>
      <c r="AG14" s="192"/>
      <c r="AH14" s="192"/>
      <c r="AI14" s="192"/>
      <c r="AJ14" s="192"/>
      <c r="AK14" s="192"/>
      <c r="AL14" s="192"/>
      <c r="AM14" s="192"/>
      <c r="AN14" s="192"/>
      <c r="AO14" s="192"/>
      <c r="AP14" s="192"/>
      <c r="AQ14" s="192"/>
      <c r="AR14" s="193" t="str">
        <f aca="false">IF($A14="","",IF(OR($N14="Yes",$T14="Yes",$Z14="Yes",$AF14="Yes",$AL14="Yes"),"Yes","No"))</f>
        <v>No</v>
      </c>
      <c r="AS14" s="193" t="str">
        <f aca="false">IF($A14="","",IFERROR(IF($AM14&lt;&gt;"",$AM14,IF($AG14&lt;&gt;"",$AG14,IF($AA14&lt;&gt;"",$AA14,IF($U14&lt;&gt;"",$U14,IF($O14&lt;&gt;"",$O14,""))))),""))</f>
        <v/>
      </c>
      <c r="AT14" s="193" t="str">
        <f aca="false">IFERROR(IF($AN14&lt;&gt;"",$AN14,IF($AH14&lt;&gt;"",$AH14,IF($AB14&lt;&gt;"",$AB14,IF($V14&lt;&gt;"",$V14,IF($P14&lt;&gt;"",$P14,""))))),"")</f>
        <v/>
      </c>
      <c r="AU14" s="194"/>
    </row>
    <row r="15" customFormat="false" ht="191.25" hidden="false" customHeight="true" outlineLevel="0" collapsed="false">
      <c r="A15" s="191" t="str">
        <f aca="false">IF($F15="","",$C$2&amp;"."&amp;COUNTA($F$7:$F15)&amp;"")</f>
        <v>TC_04.8</v>
      </c>
      <c r="B15" s="191" t="s">
        <v>474</v>
      </c>
      <c r="C15" s="191" t="s">
        <v>530</v>
      </c>
      <c r="D15" s="191" t="s">
        <v>43</v>
      </c>
      <c r="E15" s="191" t="s">
        <v>160</v>
      </c>
      <c r="F15" s="13" t="s">
        <v>821</v>
      </c>
      <c r="G15" s="13" t="s">
        <v>800</v>
      </c>
      <c r="H15" s="13" t="s">
        <v>822</v>
      </c>
      <c r="I15" s="13" t="s">
        <v>823</v>
      </c>
      <c r="J15" s="191" t="s">
        <v>658</v>
      </c>
      <c r="K15" s="191" t="s">
        <v>245</v>
      </c>
      <c r="L15" s="191"/>
      <c r="M15" s="191"/>
      <c r="N15" s="192"/>
      <c r="O15" s="192"/>
      <c r="P15" s="192"/>
      <c r="Q15" s="192"/>
      <c r="R15" s="192"/>
      <c r="S15" s="192"/>
      <c r="T15" s="192"/>
      <c r="U15" s="192"/>
      <c r="V15" s="192"/>
      <c r="W15" s="192"/>
      <c r="X15" s="192"/>
      <c r="Y15" s="192"/>
      <c r="Z15" s="192"/>
      <c r="AA15" s="192"/>
      <c r="AB15" s="192"/>
      <c r="AC15" s="192"/>
      <c r="AD15" s="192"/>
      <c r="AE15" s="192"/>
      <c r="AF15" s="192"/>
      <c r="AG15" s="192"/>
      <c r="AH15" s="192"/>
      <c r="AI15" s="192"/>
      <c r="AJ15" s="192"/>
      <c r="AK15" s="192"/>
      <c r="AL15" s="192"/>
      <c r="AM15" s="192"/>
      <c r="AN15" s="192"/>
      <c r="AO15" s="192"/>
      <c r="AP15" s="192"/>
      <c r="AQ15" s="192"/>
      <c r="AR15" s="193" t="str">
        <f aca="false">IF($A15="","",IF(OR($N15="Yes",$T15="Yes",$Z15="Yes",$AF15="Yes",$AL15="Yes"),"Yes","No"))</f>
        <v>No</v>
      </c>
      <c r="AS15" s="193" t="str">
        <f aca="false">IF($A15="","",IFERROR(IF($AM15&lt;&gt;"",$AM15,IF($AG15&lt;&gt;"",$AG15,IF($AA15&lt;&gt;"",$AA15,IF($U15&lt;&gt;"",$U15,IF($O15&lt;&gt;"",$O15,""))))),""))</f>
        <v/>
      </c>
      <c r="AT15" s="193" t="str">
        <f aca="false">IFERROR(IF($AN15&lt;&gt;"",$AN15,IF($AH15&lt;&gt;"",$AH15,IF($AB15&lt;&gt;"",$AB15,IF($V15&lt;&gt;"",$V15,IF($P15&lt;&gt;"",$P15,""))))),"")</f>
        <v/>
      </c>
      <c r="AU15" s="194"/>
    </row>
    <row r="16" customFormat="false" ht="202.5" hidden="false" customHeight="true" outlineLevel="0" collapsed="false">
      <c r="A16" s="191" t="str">
        <f aca="false">IF($F16="","",$C$2&amp;"."&amp;COUNTA($F$7:$F16)&amp;"")</f>
        <v>TC_04.9</v>
      </c>
      <c r="B16" s="191" t="s">
        <v>474</v>
      </c>
      <c r="C16" s="191" t="s">
        <v>530</v>
      </c>
      <c r="D16" s="191" t="s">
        <v>43</v>
      </c>
      <c r="E16" s="191" t="s">
        <v>160</v>
      </c>
      <c r="F16" s="13" t="s">
        <v>824</v>
      </c>
      <c r="G16" s="13" t="s">
        <v>800</v>
      </c>
      <c r="H16" s="13" t="s">
        <v>825</v>
      </c>
      <c r="I16" s="13" t="s">
        <v>823</v>
      </c>
      <c r="J16" s="191" t="s">
        <v>658</v>
      </c>
      <c r="K16" s="191" t="s">
        <v>245</v>
      </c>
      <c r="L16" s="191"/>
      <c r="M16" s="191"/>
      <c r="N16" s="192"/>
      <c r="O16" s="192"/>
      <c r="P16" s="192"/>
      <c r="Q16" s="192"/>
      <c r="R16" s="192"/>
      <c r="S16" s="192"/>
      <c r="T16" s="192"/>
      <c r="U16" s="192"/>
      <c r="V16" s="192"/>
      <c r="W16" s="192"/>
      <c r="X16" s="192"/>
      <c r="Y16" s="192"/>
      <c r="Z16" s="192"/>
      <c r="AA16" s="192"/>
      <c r="AB16" s="192"/>
      <c r="AC16" s="192"/>
      <c r="AD16" s="192"/>
      <c r="AE16" s="192"/>
      <c r="AF16" s="192"/>
      <c r="AG16" s="192"/>
      <c r="AH16" s="192"/>
      <c r="AI16" s="192"/>
      <c r="AJ16" s="192"/>
      <c r="AK16" s="192"/>
      <c r="AL16" s="192"/>
      <c r="AM16" s="192"/>
      <c r="AN16" s="192"/>
      <c r="AO16" s="192"/>
      <c r="AP16" s="192"/>
      <c r="AQ16" s="192"/>
      <c r="AR16" s="193" t="str">
        <f aca="false">IF($A16="","",IF(OR($N16="Yes",$T16="Yes",$Z16="Yes",$AF16="Yes",$AL16="Yes"),"Yes","No"))</f>
        <v>No</v>
      </c>
      <c r="AS16" s="193" t="str">
        <f aca="false">IF($A16="","",IFERROR(IF($AM16&lt;&gt;"",$AM16,IF($AG16&lt;&gt;"",$AG16,IF($AA16&lt;&gt;"",$AA16,IF($U16&lt;&gt;"",$U16,IF($O16&lt;&gt;"",$O16,""))))),""))</f>
        <v/>
      </c>
      <c r="AT16" s="193" t="str">
        <f aca="false">IFERROR(IF($AN16&lt;&gt;"",$AN16,IF($AH16&lt;&gt;"",$AH16,IF($AB16&lt;&gt;"",$AB16,IF($V16&lt;&gt;"",$V16,IF($P16&lt;&gt;"",$P16,""))))),"")</f>
        <v/>
      </c>
      <c r="AU16" s="194"/>
    </row>
    <row r="17" customFormat="false" ht="15" hidden="false" customHeight="true" outlineLevel="0" collapsed="false">
      <c r="A17" s="189"/>
      <c r="B17" s="189"/>
      <c r="C17" s="190" t="s">
        <v>826</v>
      </c>
      <c r="D17" s="190"/>
      <c r="E17" s="190"/>
      <c r="F17" s="190"/>
      <c r="G17" s="190"/>
      <c r="H17" s="190"/>
      <c r="I17" s="190"/>
      <c r="J17" s="190"/>
      <c r="K17" s="190"/>
      <c r="L17" s="190"/>
      <c r="M17" s="190"/>
      <c r="N17" s="190"/>
      <c r="O17" s="190"/>
      <c r="P17" s="190"/>
      <c r="Q17" s="190"/>
      <c r="R17" s="190"/>
      <c r="S17" s="190"/>
      <c r="T17" s="190"/>
      <c r="U17" s="190"/>
      <c r="V17" s="190"/>
      <c r="W17" s="190"/>
      <c r="X17" s="190"/>
      <c r="Y17" s="190"/>
      <c r="Z17" s="190"/>
      <c r="AA17" s="190"/>
      <c r="AB17" s="190"/>
      <c r="AC17" s="190"/>
      <c r="AD17" s="190"/>
      <c r="AE17" s="190"/>
      <c r="AF17" s="190"/>
      <c r="AG17" s="190"/>
      <c r="AH17" s="190"/>
      <c r="AI17" s="190"/>
      <c r="AJ17" s="190"/>
      <c r="AK17" s="190"/>
      <c r="AL17" s="190"/>
      <c r="AM17" s="190"/>
      <c r="AN17" s="190"/>
      <c r="AO17" s="190"/>
      <c r="AP17" s="190"/>
      <c r="AQ17" s="190"/>
      <c r="AR17" s="190"/>
      <c r="AS17" s="190"/>
      <c r="AT17" s="190"/>
      <c r="AU17" s="190"/>
    </row>
    <row r="18" customFormat="false" ht="135.75" hidden="false" customHeight="true" outlineLevel="0" collapsed="false">
      <c r="A18" s="191" t="str">
        <f aca="false">IF($F18="","",$C$2&amp;"."&amp;COUNTA($F$7:$F18)&amp;"")</f>
        <v>TC_04.10</v>
      </c>
      <c r="B18" s="191" t="s">
        <v>477</v>
      </c>
      <c r="C18" s="191" t="s">
        <v>530</v>
      </c>
      <c r="D18" s="191" t="s">
        <v>41</v>
      </c>
      <c r="E18" s="191" t="s">
        <v>159</v>
      </c>
      <c r="F18" s="13" t="s">
        <v>827</v>
      </c>
      <c r="G18" s="13" t="s">
        <v>828</v>
      </c>
      <c r="H18" s="13" t="s">
        <v>829</v>
      </c>
      <c r="I18" s="13" t="s">
        <v>830</v>
      </c>
      <c r="J18" s="191" t="s">
        <v>658</v>
      </c>
      <c r="K18" s="191" t="s">
        <v>245</v>
      </c>
      <c r="L18" s="191"/>
      <c r="M18" s="191"/>
      <c r="N18" s="192"/>
      <c r="O18" s="192"/>
      <c r="P18" s="192"/>
      <c r="Q18" s="192"/>
      <c r="R18" s="192"/>
      <c r="S18" s="192"/>
      <c r="T18" s="192"/>
      <c r="U18" s="192"/>
      <c r="V18" s="192"/>
      <c r="W18" s="192"/>
      <c r="X18" s="192"/>
      <c r="Y18" s="192"/>
      <c r="Z18" s="192"/>
      <c r="AA18" s="192"/>
      <c r="AB18" s="192"/>
      <c r="AC18" s="192"/>
      <c r="AD18" s="192"/>
      <c r="AE18" s="192"/>
      <c r="AF18" s="192"/>
      <c r="AG18" s="192"/>
      <c r="AH18" s="192"/>
      <c r="AI18" s="192"/>
      <c r="AJ18" s="192"/>
      <c r="AK18" s="192"/>
      <c r="AL18" s="192"/>
      <c r="AM18" s="192"/>
      <c r="AN18" s="192"/>
      <c r="AO18" s="192"/>
      <c r="AP18" s="192"/>
      <c r="AQ18" s="192"/>
      <c r="AR18" s="193" t="str">
        <f aca="false">IF($A18="","",IF(OR($N18="Yes",$T18="Yes",$Z18="Yes",$AF18="Yes",$AL18="Yes"),"Yes","No"))</f>
        <v>No</v>
      </c>
      <c r="AS18" s="193" t="str">
        <f aca="false">IF($A18="","",IFERROR(IF($AM18&lt;&gt;"",$AM18,IF($AG18&lt;&gt;"",$AG18,IF($AA18&lt;&gt;"",$AA18,IF($U18&lt;&gt;"",$U18,IF($O18&lt;&gt;"",$O18,""))))),""))</f>
        <v/>
      </c>
      <c r="AT18" s="193" t="str">
        <f aca="false">IFERROR(IF($AN18&lt;&gt;"",$AN18,IF($AH18&lt;&gt;"",$AH18,IF($AB18&lt;&gt;"",$AB18,IF($V18&lt;&gt;"",$V18,IF($P18&lt;&gt;"",$P18,""))))),"")</f>
        <v/>
      </c>
      <c r="AU18" s="194"/>
    </row>
    <row r="19" customFormat="false" ht="15" hidden="false" customHeight="true" outlineLevel="0" collapsed="false">
      <c r="A19" s="189"/>
      <c r="B19" s="189"/>
      <c r="C19" s="190" t="s">
        <v>831</v>
      </c>
      <c r="D19" s="190"/>
      <c r="E19" s="190"/>
      <c r="F19" s="190"/>
      <c r="G19" s="190"/>
      <c r="H19" s="190"/>
      <c r="I19" s="190"/>
      <c r="J19" s="190"/>
      <c r="K19" s="190"/>
      <c r="L19" s="190"/>
      <c r="M19" s="190"/>
      <c r="N19" s="190"/>
      <c r="O19" s="190"/>
      <c r="P19" s="190"/>
      <c r="Q19" s="190"/>
      <c r="R19" s="190"/>
      <c r="S19" s="190"/>
      <c r="T19" s="190"/>
      <c r="U19" s="190"/>
      <c r="V19" s="190"/>
      <c r="W19" s="190"/>
      <c r="X19" s="190"/>
      <c r="Y19" s="190"/>
      <c r="Z19" s="190"/>
      <c r="AA19" s="190"/>
      <c r="AB19" s="190"/>
      <c r="AC19" s="190"/>
      <c r="AD19" s="190"/>
      <c r="AE19" s="190"/>
      <c r="AF19" s="190"/>
      <c r="AG19" s="190"/>
      <c r="AH19" s="190"/>
      <c r="AI19" s="190"/>
      <c r="AJ19" s="190"/>
      <c r="AK19" s="190"/>
      <c r="AL19" s="190"/>
      <c r="AM19" s="190"/>
      <c r="AN19" s="190"/>
      <c r="AO19" s="190"/>
      <c r="AP19" s="190"/>
      <c r="AQ19" s="190"/>
      <c r="AR19" s="190"/>
      <c r="AS19" s="190"/>
      <c r="AT19" s="190"/>
      <c r="AU19" s="190"/>
    </row>
    <row r="20" customFormat="false" ht="113.25" hidden="false" customHeight="true" outlineLevel="0" collapsed="false">
      <c r="A20" s="191" t="str">
        <f aca="false">IF($F20="","",$C$2&amp;"."&amp;COUNTA($F$7:$F20)&amp;"")</f>
        <v>TC_04.11</v>
      </c>
      <c r="B20" s="191" t="s">
        <v>480</v>
      </c>
      <c r="C20" s="191" t="s">
        <v>530</v>
      </c>
      <c r="D20" s="191" t="s">
        <v>41</v>
      </c>
      <c r="E20" s="191" t="s">
        <v>160</v>
      </c>
      <c r="F20" s="13" t="s">
        <v>832</v>
      </c>
      <c r="G20" s="13" t="s">
        <v>833</v>
      </c>
      <c r="H20" s="13" t="s">
        <v>834</v>
      </c>
      <c r="I20" s="13" t="s">
        <v>835</v>
      </c>
      <c r="J20" s="191" t="s">
        <v>658</v>
      </c>
      <c r="K20" s="191" t="s">
        <v>245</v>
      </c>
      <c r="L20" s="191"/>
      <c r="M20" s="191"/>
      <c r="N20" s="192"/>
      <c r="O20" s="192"/>
      <c r="P20" s="192"/>
      <c r="Q20" s="192"/>
      <c r="R20" s="192"/>
      <c r="S20" s="192"/>
      <c r="T20" s="192"/>
      <c r="U20" s="192"/>
      <c r="V20" s="192"/>
      <c r="W20" s="192"/>
      <c r="X20" s="192"/>
      <c r="Y20" s="192"/>
      <c r="Z20" s="192"/>
      <c r="AA20" s="192"/>
      <c r="AB20" s="192"/>
      <c r="AC20" s="192"/>
      <c r="AD20" s="192"/>
      <c r="AE20" s="192"/>
      <c r="AF20" s="192"/>
      <c r="AG20" s="192"/>
      <c r="AH20" s="192"/>
      <c r="AI20" s="192"/>
      <c r="AJ20" s="192"/>
      <c r="AK20" s="192"/>
      <c r="AL20" s="192"/>
      <c r="AM20" s="192"/>
      <c r="AN20" s="192"/>
      <c r="AO20" s="192"/>
      <c r="AP20" s="192"/>
      <c r="AQ20" s="192"/>
      <c r="AR20" s="193" t="str">
        <f aca="false">IF($A20="","",IF(OR($N20="Yes",$T20="Yes",$Z20="Yes",$AF20="Yes",$AL20="Yes"),"Yes","No"))</f>
        <v>No</v>
      </c>
      <c r="AS20" s="193" t="str">
        <f aca="false">IF($A20="","",IFERROR(IF($AM20&lt;&gt;"",$AM20,IF($AG20&lt;&gt;"",$AG20,IF($AA20&lt;&gt;"",$AA20,IF($U20&lt;&gt;"",$U20,IF($O20&lt;&gt;"",$O20,""))))),""))</f>
        <v/>
      </c>
      <c r="AT20" s="193" t="str">
        <f aca="false">IFERROR(IF($AN20&lt;&gt;"",$AN20,IF($AH20&lt;&gt;"",$AH20,IF($AB20&lt;&gt;"",$AB20,IF($V20&lt;&gt;"",$V20,IF($P20&lt;&gt;"",$P20,""))))),"")</f>
        <v/>
      </c>
      <c r="AU20" s="194"/>
    </row>
    <row r="21" customFormat="false" ht="90.75" hidden="false" customHeight="true" outlineLevel="0" collapsed="false">
      <c r="A21" s="191" t="str">
        <f aca="false">IF($F21="","",$C$2&amp;"."&amp;COUNTA($F$7:$F21)&amp;"")</f>
        <v>TC_04.12</v>
      </c>
      <c r="B21" s="191" t="s">
        <v>480</v>
      </c>
      <c r="C21" s="191" t="s">
        <v>530</v>
      </c>
      <c r="D21" s="191" t="s">
        <v>41</v>
      </c>
      <c r="E21" s="191" t="s">
        <v>160</v>
      </c>
      <c r="F21" s="13" t="s">
        <v>836</v>
      </c>
      <c r="G21" s="13" t="s">
        <v>800</v>
      </c>
      <c r="H21" s="13" t="s">
        <v>837</v>
      </c>
      <c r="I21" s="13" t="s">
        <v>838</v>
      </c>
      <c r="J21" s="191" t="s">
        <v>658</v>
      </c>
      <c r="K21" s="191" t="s">
        <v>245</v>
      </c>
      <c r="L21" s="191"/>
      <c r="M21" s="191"/>
      <c r="N21" s="192"/>
      <c r="O21" s="192"/>
      <c r="P21" s="192"/>
      <c r="Q21" s="192"/>
      <c r="R21" s="192"/>
      <c r="S21" s="192"/>
      <c r="T21" s="192"/>
      <c r="U21" s="192"/>
      <c r="V21" s="192"/>
      <c r="W21" s="192"/>
      <c r="X21" s="192"/>
      <c r="Y21" s="192"/>
      <c r="Z21" s="192"/>
      <c r="AA21" s="192"/>
      <c r="AB21" s="192"/>
      <c r="AC21" s="192"/>
      <c r="AD21" s="192"/>
      <c r="AE21" s="192"/>
      <c r="AF21" s="192"/>
      <c r="AG21" s="192"/>
      <c r="AH21" s="192"/>
      <c r="AI21" s="192"/>
      <c r="AJ21" s="192"/>
      <c r="AK21" s="192"/>
      <c r="AL21" s="192"/>
      <c r="AM21" s="192"/>
      <c r="AN21" s="192"/>
      <c r="AO21" s="192"/>
      <c r="AP21" s="192"/>
      <c r="AQ21" s="192"/>
      <c r="AR21" s="193" t="str">
        <f aca="false">IF($A21="","",IF(OR($N21="Yes",$T21="Yes",$Z21="Yes",$AF21="Yes",$AL21="Yes"),"Yes","No"))</f>
        <v>No</v>
      </c>
      <c r="AS21" s="193" t="str">
        <f aca="false">IF($A21="","",IFERROR(IF($AM21&lt;&gt;"",$AM21,IF($AG21&lt;&gt;"",$AG21,IF($AA21&lt;&gt;"",$AA21,IF($U21&lt;&gt;"",$U21,IF($O21&lt;&gt;"",$O21,""))))),""))</f>
        <v/>
      </c>
      <c r="AT21" s="193" t="str">
        <f aca="false">IFERROR(IF($AN21&lt;&gt;"",$AN21,IF($AH21&lt;&gt;"",$AH21,IF($AB21&lt;&gt;"",$AB21,IF($V21&lt;&gt;"",$V21,IF($P21&lt;&gt;"",$P21,""))))),"")</f>
        <v/>
      </c>
      <c r="AU21" s="194"/>
    </row>
    <row r="22" customFormat="false" ht="15.75" hidden="false" customHeight="true" outlineLevel="0" collapsed="false">
      <c r="A22" s="189"/>
      <c r="B22" s="189"/>
      <c r="C22" s="190" t="s">
        <v>839</v>
      </c>
      <c r="D22" s="190"/>
      <c r="E22" s="190"/>
      <c r="F22" s="190"/>
      <c r="G22" s="190"/>
      <c r="H22" s="190"/>
      <c r="I22" s="190"/>
      <c r="J22" s="190"/>
      <c r="K22" s="190"/>
      <c r="L22" s="190"/>
      <c r="M22" s="190"/>
      <c r="N22" s="190"/>
      <c r="O22" s="190"/>
      <c r="P22" s="190"/>
      <c r="Q22" s="190"/>
      <c r="R22" s="190"/>
      <c r="S22" s="190"/>
      <c r="T22" s="190"/>
      <c r="U22" s="190"/>
      <c r="V22" s="190"/>
      <c r="W22" s="190"/>
      <c r="X22" s="190"/>
      <c r="Y22" s="190"/>
      <c r="Z22" s="190"/>
      <c r="AA22" s="190"/>
      <c r="AB22" s="190"/>
      <c r="AC22" s="190"/>
      <c r="AD22" s="190"/>
      <c r="AE22" s="190"/>
      <c r="AF22" s="190"/>
      <c r="AG22" s="190"/>
      <c r="AH22" s="190"/>
      <c r="AI22" s="190"/>
      <c r="AJ22" s="190"/>
      <c r="AK22" s="190"/>
      <c r="AL22" s="190"/>
      <c r="AM22" s="190"/>
      <c r="AN22" s="190"/>
      <c r="AO22" s="190"/>
      <c r="AP22" s="190"/>
      <c r="AQ22" s="190"/>
      <c r="AR22" s="190"/>
      <c r="AS22" s="190"/>
      <c r="AT22" s="190"/>
      <c r="AU22" s="190"/>
    </row>
    <row r="23" customFormat="false" ht="135.75" hidden="false" customHeight="true" outlineLevel="0" collapsed="false">
      <c r="A23" s="191" t="str">
        <f aca="false">IF($F23="","",$C$2&amp;"."&amp;COUNTA($F$7:$F23)&amp;"")</f>
        <v>TC_04.13</v>
      </c>
      <c r="B23" s="191" t="s">
        <v>483</v>
      </c>
      <c r="C23" s="191" t="s">
        <v>840</v>
      </c>
      <c r="D23" s="191" t="s">
        <v>41</v>
      </c>
      <c r="E23" s="191" t="s">
        <v>158</v>
      </c>
      <c r="F23" s="13" t="s">
        <v>841</v>
      </c>
      <c r="G23" s="13" t="s">
        <v>833</v>
      </c>
      <c r="H23" s="13" t="s">
        <v>842</v>
      </c>
      <c r="I23" s="13" t="s">
        <v>843</v>
      </c>
      <c r="J23" s="191" t="s">
        <v>658</v>
      </c>
      <c r="K23" s="191" t="s">
        <v>245</v>
      </c>
      <c r="L23" s="191"/>
      <c r="M23" s="191"/>
      <c r="N23" s="192"/>
      <c r="O23" s="192"/>
      <c r="P23" s="192"/>
      <c r="Q23" s="192"/>
      <c r="R23" s="192"/>
      <c r="S23" s="192"/>
      <c r="T23" s="192"/>
      <c r="U23" s="192"/>
      <c r="V23" s="192"/>
      <c r="W23" s="192"/>
      <c r="X23" s="192"/>
      <c r="Y23" s="192"/>
      <c r="Z23" s="192"/>
      <c r="AA23" s="192"/>
      <c r="AB23" s="192"/>
      <c r="AC23" s="192"/>
      <c r="AD23" s="192"/>
      <c r="AE23" s="192"/>
      <c r="AF23" s="192"/>
      <c r="AG23" s="192"/>
      <c r="AH23" s="192"/>
      <c r="AI23" s="192"/>
      <c r="AJ23" s="192"/>
      <c r="AK23" s="192"/>
      <c r="AL23" s="192"/>
      <c r="AM23" s="192"/>
      <c r="AN23" s="192"/>
      <c r="AO23" s="192"/>
      <c r="AP23" s="192"/>
      <c r="AQ23" s="192"/>
      <c r="AR23" s="193" t="str">
        <f aca="false">IF($A23="","",IF(OR($N23="Yes",$T23="Yes",$Z23="Yes",$AF23="Yes",$AL23="Yes"),"Yes","No"))</f>
        <v>No</v>
      </c>
      <c r="AS23" s="193" t="str">
        <f aca="false">IF($A23="","",IFERROR(IF($AM23&lt;&gt;"",$AM23,IF($AG23&lt;&gt;"",$AG23,IF($AA23&lt;&gt;"",$AA23,IF($U23&lt;&gt;"",$U23,IF($O23&lt;&gt;"",$O23,""))))),""))</f>
        <v/>
      </c>
      <c r="AT23" s="193" t="str">
        <f aca="false">IFERROR(IF($AN23&lt;&gt;"",$AN23,IF($AH23&lt;&gt;"",$AH23,IF($AB23&lt;&gt;"",$AB23,IF($V23&lt;&gt;"",$V23,IF($P23&lt;&gt;"",$P23,""))))),"")</f>
        <v/>
      </c>
      <c r="AU23" s="194"/>
    </row>
    <row r="24" customFormat="false" ht="191.25" hidden="false" customHeight="true" outlineLevel="0" collapsed="false">
      <c r="A24" s="191" t="str">
        <f aca="false">IF($F24="","",$C$2&amp;"."&amp;COUNTA($F$7:$F24)&amp;"")</f>
        <v>TC_04.14</v>
      </c>
      <c r="B24" s="191" t="s">
        <v>483</v>
      </c>
      <c r="C24" s="191" t="s">
        <v>840</v>
      </c>
      <c r="D24" s="191" t="s">
        <v>41</v>
      </c>
      <c r="E24" s="191" t="s">
        <v>158</v>
      </c>
      <c r="F24" s="13" t="s">
        <v>844</v>
      </c>
      <c r="G24" s="13" t="s">
        <v>833</v>
      </c>
      <c r="H24" s="13" t="s">
        <v>845</v>
      </c>
      <c r="I24" s="13" t="s">
        <v>846</v>
      </c>
      <c r="J24" s="191" t="s">
        <v>658</v>
      </c>
      <c r="K24" s="191" t="s">
        <v>245</v>
      </c>
      <c r="L24" s="191"/>
      <c r="M24" s="191"/>
      <c r="N24" s="192"/>
      <c r="O24" s="192"/>
      <c r="P24" s="192"/>
      <c r="Q24" s="192"/>
      <c r="R24" s="192"/>
      <c r="S24" s="192"/>
      <c r="T24" s="192"/>
      <c r="U24" s="192"/>
      <c r="V24" s="192"/>
      <c r="W24" s="192"/>
      <c r="X24" s="192"/>
      <c r="Y24" s="192"/>
      <c r="Z24" s="192"/>
      <c r="AA24" s="192"/>
      <c r="AB24" s="192"/>
      <c r="AC24" s="192"/>
      <c r="AD24" s="192"/>
      <c r="AE24" s="192"/>
      <c r="AF24" s="192"/>
      <c r="AG24" s="192"/>
      <c r="AH24" s="192"/>
      <c r="AI24" s="192"/>
      <c r="AJ24" s="192"/>
      <c r="AK24" s="192"/>
      <c r="AL24" s="192"/>
      <c r="AM24" s="192"/>
      <c r="AN24" s="192"/>
      <c r="AO24" s="192"/>
      <c r="AP24" s="192"/>
      <c r="AQ24" s="192"/>
      <c r="AR24" s="193" t="str">
        <f aca="false">IF($A24="","",IF(OR($N24="Yes",$T24="Yes",$Z24="Yes",$AF24="Yes",$AL24="Yes"),"Yes","No"))</f>
        <v>No</v>
      </c>
      <c r="AS24" s="193" t="str">
        <f aca="false">IF($A24="","",IFERROR(IF($AM24&lt;&gt;"",$AM24,IF($AG24&lt;&gt;"",$AG24,IF($AA24&lt;&gt;"",$AA24,IF($U24&lt;&gt;"",$U24,IF($O24&lt;&gt;"",$O24,""))))),""))</f>
        <v/>
      </c>
      <c r="AT24" s="193" t="str">
        <f aca="false">IFERROR(IF($AN24&lt;&gt;"",$AN24,IF($AH24&lt;&gt;"",$AH24,IF($AB24&lt;&gt;"",$AB24,IF($V24&lt;&gt;"",$V24,IF($P24&lt;&gt;"",$P24,""))))),"")</f>
        <v/>
      </c>
      <c r="AU24" s="194"/>
    </row>
    <row r="25" customFormat="false" ht="191.25" hidden="false" customHeight="true" outlineLevel="0" collapsed="false">
      <c r="A25" s="191" t="str">
        <f aca="false">IF($F25="","",$C$2&amp;"."&amp;COUNTA($F$7:$F25)&amp;"")</f>
        <v>TC_04.15</v>
      </c>
      <c r="B25" s="191" t="s">
        <v>483</v>
      </c>
      <c r="C25" s="191" t="s">
        <v>840</v>
      </c>
      <c r="D25" s="191" t="s">
        <v>41</v>
      </c>
      <c r="E25" s="191" t="s">
        <v>159</v>
      </c>
      <c r="F25" s="13" t="s">
        <v>847</v>
      </c>
      <c r="G25" s="13" t="s">
        <v>833</v>
      </c>
      <c r="H25" s="13" t="s">
        <v>848</v>
      </c>
      <c r="I25" s="13" t="s">
        <v>849</v>
      </c>
      <c r="J25" s="191" t="s">
        <v>658</v>
      </c>
      <c r="K25" s="191" t="s">
        <v>245</v>
      </c>
      <c r="L25" s="191"/>
      <c r="M25" s="191"/>
      <c r="N25" s="192"/>
      <c r="O25" s="192"/>
      <c r="P25" s="192"/>
      <c r="Q25" s="192"/>
      <c r="R25" s="192"/>
      <c r="S25" s="192"/>
      <c r="T25" s="192"/>
      <c r="U25" s="192"/>
      <c r="V25" s="192"/>
      <c r="W25" s="192"/>
      <c r="X25" s="192"/>
      <c r="Y25" s="192"/>
      <c r="Z25" s="192"/>
      <c r="AA25" s="192"/>
      <c r="AB25" s="192"/>
      <c r="AC25" s="192"/>
      <c r="AD25" s="192"/>
      <c r="AE25" s="192"/>
      <c r="AF25" s="192"/>
      <c r="AG25" s="192"/>
      <c r="AH25" s="192"/>
      <c r="AI25" s="192"/>
      <c r="AJ25" s="192"/>
      <c r="AK25" s="192"/>
      <c r="AL25" s="192"/>
      <c r="AM25" s="192"/>
      <c r="AN25" s="192"/>
      <c r="AO25" s="192"/>
      <c r="AP25" s="192"/>
      <c r="AQ25" s="192"/>
      <c r="AR25" s="193" t="str">
        <f aca="false">IF($A25="","",IF(OR($N25="Yes",$T25="Yes",$Z25="Yes",$AF25="Yes",$AL25="Yes"),"Yes","No"))</f>
        <v>No</v>
      </c>
      <c r="AS25" s="193" t="str">
        <f aca="false">IF($A25="","",IFERROR(IF($AM25&lt;&gt;"",$AM25,IF($AG25&lt;&gt;"",$AG25,IF($AA25&lt;&gt;"",$AA25,IF($U25&lt;&gt;"",$U25,IF($O25&lt;&gt;"",$O25,""))))),""))</f>
        <v/>
      </c>
      <c r="AT25" s="193" t="str">
        <f aca="false">IFERROR(IF($AN25&lt;&gt;"",$AN25,IF($AH25&lt;&gt;"",$AH25,IF($AB25&lt;&gt;"",$AB25,IF($V25&lt;&gt;"",$V25,IF($P25&lt;&gt;"",$P25,""))))),"")</f>
        <v/>
      </c>
      <c r="AU25" s="194"/>
    </row>
    <row r="26" customFormat="false" ht="157.5" hidden="false" customHeight="true" outlineLevel="0" collapsed="false">
      <c r="A26" s="191" t="str">
        <f aca="false">IF($F26="","",$C$2&amp;"."&amp;COUNTA($F$7:$F26)&amp;"")</f>
        <v>TC_04.16</v>
      </c>
      <c r="B26" s="191" t="s">
        <v>483</v>
      </c>
      <c r="C26" s="191" t="s">
        <v>840</v>
      </c>
      <c r="D26" s="191" t="s">
        <v>41</v>
      </c>
      <c r="E26" s="191" t="s">
        <v>159</v>
      </c>
      <c r="F26" s="13" t="s">
        <v>850</v>
      </c>
      <c r="G26" s="13" t="s">
        <v>833</v>
      </c>
      <c r="H26" s="13" t="s">
        <v>851</v>
      </c>
      <c r="I26" s="13" t="s">
        <v>852</v>
      </c>
      <c r="J26" s="191" t="s">
        <v>658</v>
      </c>
      <c r="K26" s="191" t="s">
        <v>245</v>
      </c>
      <c r="L26" s="191"/>
      <c r="M26" s="191"/>
      <c r="N26" s="192"/>
      <c r="O26" s="192"/>
      <c r="P26" s="192"/>
      <c r="Q26" s="192"/>
      <c r="R26" s="192"/>
      <c r="S26" s="192"/>
      <c r="T26" s="192"/>
      <c r="U26" s="192"/>
      <c r="V26" s="192"/>
      <c r="W26" s="192"/>
      <c r="X26" s="192"/>
      <c r="Y26" s="192"/>
      <c r="Z26" s="192"/>
      <c r="AA26" s="192"/>
      <c r="AB26" s="192"/>
      <c r="AC26" s="192"/>
      <c r="AD26" s="192"/>
      <c r="AE26" s="192"/>
      <c r="AF26" s="192"/>
      <c r="AG26" s="192"/>
      <c r="AH26" s="192"/>
      <c r="AI26" s="192"/>
      <c r="AJ26" s="192"/>
      <c r="AK26" s="192"/>
      <c r="AL26" s="192"/>
      <c r="AM26" s="192"/>
      <c r="AN26" s="192"/>
      <c r="AO26" s="192"/>
      <c r="AP26" s="192"/>
      <c r="AQ26" s="192"/>
      <c r="AR26" s="193" t="str">
        <f aca="false">IF($A26="","",IF(OR($N26="Yes",$T26="Yes",$Z26="Yes",$AF26="Yes",$AL26="Yes"),"Yes","No"))</f>
        <v>No</v>
      </c>
      <c r="AS26" s="193" t="str">
        <f aca="false">IF($A26="","",IFERROR(IF($AM26&lt;&gt;"",$AM26,IF($AG26&lt;&gt;"",$AG26,IF($AA26&lt;&gt;"",$AA26,IF($U26&lt;&gt;"",$U26,IF($O26&lt;&gt;"",$O26,""))))),""))</f>
        <v/>
      </c>
      <c r="AT26" s="193" t="str">
        <f aca="false">IFERROR(IF($AN26&lt;&gt;"",$AN26,IF($AH26&lt;&gt;"",$AH26,IF($AB26&lt;&gt;"",$AB26,IF($V26&lt;&gt;"",$V26,IF($P26&lt;&gt;"",$P26,""))))),"")</f>
        <v/>
      </c>
      <c r="AU26" s="194"/>
    </row>
    <row r="27" customFormat="false" ht="135.75" hidden="false" customHeight="true" outlineLevel="0" collapsed="false">
      <c r="A27" s="191" t="str">
        <f aca="false">IF($F27="","",$C$2&amp;"."&amp;COUNTA($F$7:$F27)&amp;"")</f>
        <v>TC_04.17</v>
      </c>
      <c r="B27" s="191" t="s">
        <v>483</v>
      </c>
      <c r="C27" s="191" t="s">
        <v>530</v>
      </c>
      <c r="D27" s="191" t="s">
        <v>41</v>
      </c>
      <c r="E27" s="191" t="s">
        <v>159</v>
      </c>
      <c r="F27" s="13" t="s">
        <v>853</v>
      </c>
      <c r="G27" s="13" t="s">
        <v>833</v>
      </c>
      <c r="H27" s="13" t="s">
        <v>854</v>
      </c>
      <c r="I27" s="13" t="s">
        <v>855</v>
      </c>
      <c r="J27" s="191" t="s">
        <v>658</v>
      </c>
      <c r="K27" s="191" t="s">
        <v>245</v>
      </c>
      <c r="L27" s="191"/>
      <c r="M27" s="191"/>
      <c r="N27" s="192"/>
      <c r="O27" s="192"/>
      <c r="P27" s="192"/>
      <c r="Q27" s="192"/>
      <c r="R27" s="192"/>
      <c r="S27" s="192"/>
      <c r="T27" s="192"/>
      <c r="U27" s="192"/>
      <c r="V27" s="192"/>
      <c r="W27" s="192"/>
      <c r="X27" s="192"/>
      <c r="Y27" s="192"/>
      <c r="Z27" s="192"/>
      <c r="AA27" s="192"/>
      <c r="AB27" s="192"/>
      <c r="AC27" s="192"/>
      <c r="AD27" s="192"/>
      <c r="AE27" s="192"/>
      <c r="AF27" s="192"/>
      <c r="AG27" s="192"/>
      <c r="AH27" s="192"/>
      <c r="AI27" s="192"/>
      <c r="AJ27" s="192"/>
      <c r="AK27" s="192"/>
      <c r="AL27" s="192"/>
      <c r="AM27" s="192"/>
      <c r="AN27" s="192"/>
      <c r="AO27" s="192"/>
      <c r="AP27" s="192"/>
      <c r="AQ27" s="192"/>
      <c r="AR27" s="193" t="str">
        <f aca="false">IF($A27="","",IF(OR($N27="Yes",$T27="Yes",$Z27="Yes",$AF27="Yes",$AL27="Yes"),"Yes","No"))</f>
        <v>No</v>
      </c>
      <c r="AS27" s="193" t="str">
        <f aca="false">IF($A27="","",IFERROR(IF($AM27&lt;&gt;"",$AM27,IF($AG27&lt;&gt;"",$AG27,IF($AA27&lt;&gt;"",$AA27,IF($U27&lt;&gt;"",$U27,IF($O27&lt;&gt;"",$O27,""))))),""))</f>
        <v/>
      </c>
      <c r="AT27" s="193" t="str">
        <f aca="false">IFERROR(IF($AN27&lt;&gt;"",$AN27,IF($AH27&lt;&gt;"",$AH27,IF($AB27&lt;&gt;"",$AB27,IF($V27&lt;&gt;"",$V27,IF($P27&lt;&gt;"",$P27,""))))),"")</f>
        <v/>
      </c>
      <c r="AU27" s="194"/>
    </row>
    <row r="28" customFormat="false" ht="147" hidden="false" customHeight="true" outlineLevel="0" collapsed="false">
      <c r="A28" s="191" t="str">
        <f aca="false">IF($F28="","",$C$2&amp;"."&amp;COUNTA($F$7:$F28)&amp;"")</f>
        <v>TC_04.18</v>
      </c>
      <c r="B28" s="191" t="s">
        <v>483</v>
      </c>
      <c r="C28" s="191" t="s">
        <v>530</v>
      </c>
      <c r="D28" s="191" t="s">
        <v>41</v>
      </c>
      <c r="E28" s="191" t="s">
        <v>159</v>
      </c>
      <c r="F28" s="13" t="s">
        <v>856</v>
      </c>
      <c r="G28" s="13" t="s">
        <v>833</v>
      </c>
      <c r="H28" s="13" t="s">
        <v>857</v>
      </c>
      <c r="I28" s="13" t="s">
        <v>858</v>
      </c>
      <c r="J28" s="191" t="s">
        <v>658</v>
      </c>
      <c r="K28" s="191" t="s">
        <v>245</v>
      </c>
      <c r="L28" s="191"/>
      <c r="M28" s="191"/>
      <c r="N28" s="192"/>
      <c r="O28" s="192"/>
      <c r="P28" s="192"/>
      <c r="Q28" s="192"/>
      <c r="R28" s="192"/>
      <c r="S28" s="192"/>
      <c r="T28" s="192"/>
      <c r="U28" s="192"/>
      <c r="V28" s="192"/>
      <c r="W28" s="192"/>
      <c r="X28" s="192"/>
      <c r="Y28" s="192"/>
      <c r="Z28" s="192"/>
      <c r="AA28" s="192"/>
      <c r="AB28" s="192"/>
      <c r="AC28" s="192"/>
      <c r="AD28" s="192"/>
      <c r="AE28" s="192"/>
      <c r="AF28" s="192"/>
      <c r="AG28" s="192"/>
      <c r="AH28" s="192"/>
      <c r="AI28" s="192"/>
      <c r="AJ28" s="192"/>
      <c r="AK28" s="192"/>
      <c r="AL28" s="192"/>
      <c r="AM28" s="192"/>
      <c r="AN28" s="192"/>
      <c r="AO28" s="192"/>
      <c r="AP28" s="192"/>
      <c r="AQ28" s="192"/>
      <c r="AR28" s="193" t="str">
        <f aca="false">IF($A28="","",IF(OR($N28="Yes",$T28="Yes",$Z28="Yes",$AF28="Yes",$AL28="Yes"),"Yes","No"))</f>
        <v>No</v>
      </c>
      <c r="AS28" s="193" t="str">
        <f aca="false">IF($A28="","",IFERROR(IF($AM28&lt;&gt;"",$AM28,IF($AG28&lt;&gt;"",$AG28,IF($AA28&lt;&gt;"",$AA28,IF($U28&lt;&gt;"",$U28,IF($O28&lt;&gt;"",$O28,""))))),""))</f>
        <v/>
      </c>
      <c r="AT28" s="193" t="str">
        <f aca="false">IFERROR(IF($AN28&lt;&gt;"",$AN28,IF($AH28&lt;&gt;"",$AH28,IF($AB28&lt;&gt;"",$AB28,IF($V28&lt;&gt;"",$V28,IF($P28&lt;&gt;"",$P28,""))))),"")</f>
        <v/>
      </c>
      <c r="AU28" s="194"/>
    </row>
    <row r="29" customFormat="false" ht="135.75" hidden="false" customHeight="true" outlineLevel="0" collapsed="false">
      <c r="A29" s="191" t="str">
        <f aca="false">IF($F29="","",$C$2&amp;"."&amp;COUNTA($F$7:$F29)&amp;"")</f>
        <v>TC_04.19</v>
      </c>
      <c r="B29" s="191" t="s">
        <v>483</v>
      </c>
      <c r="C29" s="191" t="s">
        <v>530</v>
      </c>
      <c r="D29" s="191" t="s">
        <v>41</v>
      </c>
      <c r="E29" s="191" t="s">
        <v>159</v>
      </c>
      <c r="F29" s="13" t="s">
        <v>859</v>
      </c>
      <c r="G29" s="13" t="s">
        <v>833</v>
      </c>
      <c r="H29" s="13" t="s">
        <v>860</v>
      </c>
      <c r="I29" s="13" t="s">
        <v>861</v>
      </c>
      <c r="J29" s="191" t="s">
        <v>658</v>
      </c>
      <c r="K29" s="191" t="s">
        <v>245</v>
      </c>
      <c r="L29" s="191"/>
      <c r="M29" s="191"/>
      <c r="N29" s="192"/>
      <c r="O29" s="192"/>
      <c r="P29" s="192"/>
      <c r="Q29" s="192"/>
      <c r="R29" s="192"/>
      <c r="S29" s="192"/>
      <c r="T29" s="192"/>
      <c r="U29" s="192"/>
      <c r="V29" s="192"/>
      <c r="W29" s="192"/>
      <c r="X29" s="192"/>
      <c r="Y29" s="192"/>
      <c r="Z29" s="192"/>
      <c r="AA29" s="192"/>
      <c r="AB29" s="192"/>
      <c r="AC29" s="192"/>
      <c r="AD29" s="192"/>
      <c r="AE29" s="192"/>
      <c r="AF29" s="192"/>
      <c r="AG29" s="192"/>
      <c r="AH29" s="192"/>
      <c r="AI29" s="192"/>
      <c r="AJ29" s="192"/>
      <c r="AK29" s="192"/>
      <c r="AL29" s="192"/>
      <c r="AM29" s="192"/>
      <c r="AN29" s="192"/>
      <c r="AO29" s="192"/>
      <c r="AP29" s="192"/>
      <c r="AQ29" s="192"/>
      <c r="AR29" s="193" t="str">
        <f aca="false">IF($A29="","",IF(OR($N29="Yes",$T29="Yes",$Z29="Yes",$AF29="Yes",$AL29="Yes"),"Yes","No"))</f>
        <v>No</v>
      </c>
      <c r="AS29" s="193" t="str">
        <f aca="false">IF($A29="","",IFERROR(IF($AM29&lt;&gt;"",$AM29,IF($AG29&lt;&gt;"",$AG29,IF($AA29&lt;&gt;"",$AA29,IF($U29&lt;&gt;"",$U29,IF($O29&lt;&gt;"",$O29,""))))),""))</f>
        <v/>
      </c>
      <c r="AT29" s="193" t="str">
        <f aca="false">IFERROR(IF($AN29&lt;&gt;"",$AN29,IF($AH29&lt;&gt;"",$AH29,IF($AB29&lt;&gt;"",$AB29,IF($V29&lt;&gt;"",$V29,IF($P29&lt;&gt;"",$P29,""))))),"")</f>
        <v/>
      </c>
      <c r="AU29" s="194"/>
    </row>
    <row r="30" customFormat="false" ht="15.75" hidden="false" customHeight="true" outlineLevel="0" collapsed="false">
      <c r="A30" s="189"/>
      <c r="B30" s="189"/>
      <c r="C30" s="190" t="s">
        <v>862</v>
      </c>
      <c r="D30" s="190"/>
      <c r="E30" s="190"/>
      <c r="F30" s="190"/>
      <c r="G30" s="190"/>
      <c r="H30" s="190"/>
      <c r="I30" s="190"/>
      <c r="J30" s="190"/>
      <c r="K30" s="190"/>
      <c r="L30" s="190"/>
      <c r="M30" s="190"/>
      <c r="N30" s="190"/>
      <c r="O30" s="190"/>
      <c r="P30" s="190"/>
      <c r="Q30" s="190"/>
      <c r="R30" s="190"/>
      <c r="S30" s="190"/>
      <c r="T30" s="190"/>
      <c r="U30" s="190"/>
      <c r="V30" s="190"/>
      <c r="W30" s="190"/>
      <c r="X30" s="190"/>
      <c r="Y30" s="190"/>
      <c r="Z30" s="190"/>
      <c r="AA30" s="190"/>
      <c r="AB30" s="190"/>
      <c r="AC30" s="190"/>
      <c r="AD30" s="190"/>
      <c r="AE30" s="190"/>
      <c r="AF30" s="190"/>
      <c r="AG30" s="190"/>
      <c r="AH30" s="190"/>
      <c r="AI30" s="190"/>
      <c r="AJ30" s="190"/>
      <c r="AK30" s="190"/>
      <c r="AL30" s="190"/>
      <c r="AM30" s="190"/>
      <c r="AN30" s="190"/>
      <c r="AO30" s="190"/>
      <c r="AP30" s="190"/>
      <c r="AQ30" s="190"/>
      <c r="AR30" s="190"/>
      <c r="AS30" s="190"/>
      <c r="AT30" s="190"/>
      <c r="AU30" s="190"/>
    </row>
    <row r="31" customFormat="false" ht="180" hidden="false" customHeight="true" outlineLevel="0" collapsed="false">
      <c r="A31" s="191" t="str">
        <f aca="false">IF($F31="","",$C$2&amp;"."&amp;COUNTA($F$7:$F31)&amp;"")</f>
        <v>TC_04.20</v>
      </c>
      <c r="B31" s="191" t="s">
        <v>486</v>
      </c>
      <c r="C31" s="191" t="s">
        <v>840</v>
      </c>
      <c r="D31" s="191" t="s">
        <v>43</v>
      </c>
      <c r="E31" s="191" t="s">
        <v>159</v>
      </c>
      <c r="F31" s="13" t="s">
        <v>863</v>
      </c>
      <c r="G31" s="13" t="s">
        <v>800</v>
      </c>
      <c r="H31" s="13" t="s">
        <v>864</v>
      </c>
      <c r="I31" s="13" t="s">
        <v>865</v>
      </c>
      <c r="J31" s="191" t="s">
        <v>658</v>
      </c>
      <c r="K31" s="191" t="s">
        <v>245</v>
      </c>
      <c r="L31" s="191"/>
      <c r="M31" s="191"/>
      <c r="N31" s="192"/>
      <c r="O31" s="192"/>
      <c r="P31" s="192"/>
      <c r="Q31" s="192"/>
      <c r="R31" s="192"/>
      <c r="S31" s="192"/>
      <c r="T31" s="192"/>
      <c r="U31" s="192"/>
      <c r="V31" s="192"/>
      <c r="W31" s="192"/>
      <c r="X31" s="192"/>
      <c r="Y31" s="192"/>
      <c r="Z31" s="192"/>
      <c r="AA31" s="192"/>
      <c r="AB31" s="192"/>
      <c r="AC31" s="192"/>
      <c r="AD31" s="192"/>
      <c r="AE31" s="192"/>
      <c r="AF31" s="192"/>
      <c r="AG31" s="192"/>
      <c r="AH31" s="192"/>
      <c r="AI31" s="192"/>
      <c r="AJ31" s="192"/>
      <c r="AK31" s="192"/>
      <c r="AL31" s="192"/>
      <c r="AM31" s="192"/>
      <c r="AN31" s="192"/>
      <c r="AO31" s="192"/>
      <c r="AP31" s="192"/>
      <c r="AQ31" s="192"/>
      <c r="AR31" s="193" t="str">
        <f aca="false">IF($A31="","",IF(OR($N31="Yes",$T31="Yes",$Z31="Yes",$AF31="Yes",$AL31="Yes"),"Yes","No"))</f>
        <v>No</v>
      </c>
      <c r="AS31" s="193" t="str">
        <f aca="false">IF($A31="","",IFERROR(IF($AM31&lt;&gt;"",$AM31,IF($AG31&lt;&gt;"",$AG31,IF($AA31&lt;&gt;"",$AA31,IF($U31&lt;&gt;"",$U31,IF($O31&lt;&gt;"",$O31,""))))),""))</f>
        <v/>
      </c>
      <c r="AT31" s="193" t="str">
        <f aca="false">IFERROR(IF($AN31&lt;&gt;"",$AN31,IF($AH31&lt;&gt;"",$AH31,IF($AB31&lt;&gt;"",$AB31,IF($V31&lt;&gt;"",$V31,IF($P31&lt;&gt;"",$P31,""))))),"")</f>
        <v/>
      </c>
      <c r="AU31" s="194"/>
    </row>
    <row r="32" customFormat="false" ht="135.75" hidden="false" customHeight="true" outlineLevel="0" collapsed="false">
      <c r="A32" s="191" t="str">
        <f aca="false">IF($F32="","",$C$2&amp;"."&amp;COUNTA($F$7:$F32)&amp;"")</f>
        <v>TC_04.21</v>
      </c>
      <c r="B32" s="191" t="s">
        <v>486</v>
      </c>
      <c r="C32" s="191" t="s">
        <v>840</v>
      </c>
      <c r="D32" s="191" t="s">
        <v>41</v>
      </c>
      <c r="E32" s="191" t="s">
        <v>159</v>
      </c>
      <c r="F32" s="13" t="s">
        <v>866</v>
      </c>
      <c r="G32" s="13" t="s">
        <v>800</v>
      </c>
      <c r="H32" s="13" t="s">
        <v>867</v>
      </c>
      <c r="I32" s="13" t="s">
        <v>868</v>
      </c>
      <c r="J32" s="191" t="s">
        <v>658</v>
      </c>
      <c r="K32" s="191" t="s">
        <v>245</v>
      </c>
      <c r="L32" s="191"/>
      <c r="M32" s="191"/>
      <c r="N32" s="192"/>
      <c r="O32" s="192"/>
      <c r="P32" s="192"/>
      <c r="Q32" s="192"/>
      <c r="R32" s="192"/>
      <c r="S32" s="192"/>
      <c r="T32" s="192"/>
      <c r="U32" s="192"/>
      <c r="V32" s="192"/>
      <c r="W32" s="192"/>
      <c r="X32" s="192"/>
      <c r="Y32" s="192"/>
      <c r="Z32" s="192"/>
      <c r="AA32" s="192"/>
      <c r="AB32" s="192"/>
      <c r="AC32" s="192"/>
      <c r="AD32" s="192"/>
      <c r="AE32" s="192"/>
      <c r="AF32" s="192"/>
      <c r="AG32" s="192"/>
      <c r="AH32" s="192"/>
      <c r="AI32" s="192"/>
      <c r="AJ32" s="192"/>
      <c r="AK32" s="192"/>
      <c r="AL32" s="192"/>
      <c r="AM32" s="192"/>
      <c r="AN32" s="192"/>
      <c r="AO32" s="192"/>
      <c r="AP32" s="192"/>
      <c r="AQ32" s="192"/>
      <c r="AR32" s="193" t="str">
        <f aca="false">IF($A32="","",IF(OR($N32="Yes",$T32="Yes",$Z32="Yes",$AF32="Yes",$AL32="Yes"),"Yes","No"))</f>
        <v>No</v>
      </c>
      <c r="AS32" s="193" t="str">
        <f aca="false">IF($A32="","",IFERROR(IF($AM32&lt;&gt;"",$AM32,IF($AG32&lt;&gt;"",$AG32,IF($AA32&lt;&gt;"",$AA32,IF($U32&lt;&gt;"",$U32,IF($O32&lt;&gt;"",$O32,""))))),""))</f>
        <v/>
      </c>
      <c r="AT32" s="193" t="str">
        <f aca="false">IFERROR(IF($AN32&lt;&gt;"",$AN32,IF($AH32&lt;&gt;"",$AH32,IF($AB32&lt;&gt;"",$AB32,IF($V32&lt;&gt;"",$V32,IF($P32&lt;&gt;"",$P32,""))))),"")</f>
        <v/>
      </c>
      <c r="AU32" s="194"/>
    </row>
    <row r="33" customFormat="false" ht="202.5" hidden="false" customHeight="true" outlineLevel="0" collapsed="false">
      <c r="A33" s="191" t="str">
        <f aca="false">IF($F33="","",$C$2&amp;"."&amp;COUNTA($F$7:$F33)&amp;"")</f>
        <v>TC_04.22</v>
      </c>
      <c r="B33" s="191" t="s">
        <v>486</v>
      </c>
      <c r="C33" s="191" t="s">
        <v>530</v>
      </c>
      <c r="D33" s="191" t="s">
        <v>41</v>
      </c>
      <c r="E33" s="191" t="s">
        <v>159</v>
      </c>
      <c r="F33" s="13" t="s">
        <v>869</v>
      </c>
      <c r="G33" s="13" t="s">
        <v>833</v>
      </c>
      <c r="H33" s="13" t="s">
        <v>870</v>
      </c>
      <c r="I33" s="13" t="s">
        <v>871</v>
      </c>
      <c r="J33" s="191" t="s">
        <v>658</v>
      </c>
      <c r="K33" s="191" t="s">
        <v>245</v>
      </c>
      <c r="L33" s="191"/>
      <c r="M33" s="191"/>
      <c r="N33" s="192"/>
      <c r="O33" s="192"/>
      <c r="P33" s="192"/>
      <c r="Q33" s="192"/>
      <c r="R33" s="192"/>
      <c r="S33" s="192"/>
      <c r="T33" s="192"/>
      <c r="U33" s="192"/>
      <c r="V33" s="192"/>
      <c r="W33" s="192"/>
      <c r="X33" s="192"/>
      <c r="Y33" s="192"/>
      <c r="Z33" s="192"/>
      <c r="AA33" s="192"/>
      <c r="AB33" s="192"/>
      <c r="AC33" s="192"/>
      <c r="AD33" s="192"/>
      <c r="AE33" s="192"/>
      <c r="AF33" s="192"/>
      <c r="AG33" s="192"/>
      <c r="AH33" s="192"/>
      <c r="AI33" s="192"/>
      <c r="AJ33" s="192"/>
      <c r="AK33" s="192"/>
      <c r="AL33" s="192"/>
      <c r="AM33" s="192"/>
      <c r="AN33" s="192"/>
      <c r="AO33" s="192"/>
      <c r="AP33" s="192"/>
      <c r="AQ33" s="192"/>
      <c r="AR33" s="193" t="str">
        <f aca="false">IF($A33="","",IF(OR($N33="Yes",$T33="Yes",$Z33="Yes",$AF33="Yes",$AL33="Yes"),"Yes","No"))</f>
        <v>No</v>
      </c>
      <c r="AS33" s="193" t="str">
        <f aca="false">IF($A33="","",IFERROR(IF($AM33&lt;&gt;"",$AM33,IF($AG33&lt;&gt;"",$AG33,IF($AA33&lt;&gt;"",$AA33,IF($U33&lt;&gt;"",$U33,IF($O33&lt;&gt;"",$O33,""))))),""))</f>
        <v/>
      </c>
      <c r="AT33" s="193" t="str">
        <f aca="false">IFERROR(IF($AN33&lt;&gt;"",$AN33,IF($AH33&lt;&gt;"",$AH33,IF($AB33&lt;&gt;"",$AB33,IF($V33&lt;&gt;"",$V33,IF($P33&lt;&gt;"",$P33,""))))),"")</f>
        <v/>
      </c>
      <c r="AU33" s="194"/>
    </row>
    <row r="34" customFormat="false" ht="168.75" hidden="false" customHeight="true" outlineLevel="0" collapsed="false">
      <c r="A34" s="191" t="str">
        <f aca="false">IF($F34="","",$C$2&amp;"."&amp;COUNTA($F$7:$F34)&amp;"")</f>
        <v>TC_04.23</v>
      </c>
      <c r="B34" s="191" t="s">
        <v>486</v>
      </c>
      <c r="C34" s="191" t="s">
        <v>530</v>
      </c>
      <c r="D34" s="191" t="s">
        <v>41</v>
      </c>
      <c r="E34" s="191" t="s">
        <v>160</v>
      </c>
      <c r="F34" s="13" t="s">
        <v>872</v>
      </c>
      <c r="G34" s="13" t="s">
        <v>833</v>
      </c>
      <c r="H34" s="13" t="s">
        <v>873</v>
      </c>
      <c r="I34" s="13" t="s">
        <v>874</v>
      </c>
      <c r="J34" s="191" t="s">
        <v>658</v>
      </c>
      <c r="K34" s="191" t="s">
        <v>245</v>
      </c>
      <c r="L34" s="191"/>
      <c r="M34" s="191"/>
      <c r="N34" s="192"/>
      <c r="O34" s="192"/>
      <c r="P34" s="192"/>
      <c r="Q34" s="192"/>
      <c r="R34" s="192"/>
      <c r="S34" s="192"/>
      <c r="T34" s="192"/>
      <c r="U34" s="192"/>
      <c r="V34" s="192"/>
      <c r="W34" s="192"/>
      <c r="X34" s="192"/>
      <c r="Y34" s="192"/>
      <c r="Z34" s="192"/>
      <c r="AA34" s="192"/>
      <c r="AB34" s="192"/>
      <c r="AC34" s="192"/>
      <c r="AD34" s="192"/>
      <c r="AE34" s="192"/>
      <c r="AF34" s="192"/>
      <c r="AG34" s="192"/>
      <c r="AH34" s="192"/>
      <c r="AI34" s="192"/>
      <c r="AJ34" s="192"/>
      <c r="AK34" s="192"/>
      <c r="AL34" s="192"/>
      <c r="AM34" s="192"/>
      <c r="AN34" s="192"/>
      <c r="AO34" s="192"/>
      <c r="AP34" s="192"/>
      <c r="AQ34" s="192"/>
      <c r="AR34" s="193" t="str">
        <f aca="false">IF($A34="","",IF(OR($N34="Yes",$T34="Yes",$Z34="Yes",$AF34="Yes",$AL34="Yes"),"Yes","No"))</f>
        <v>No</v>
      </c>
      <c r="AS34" s="193" t="str">
        <f aca="false">IF($A34="","",IFERROR(IF($AM34&lt;&gt;"",$AM34,IF($AG34&lt;&gt;"",$AG34,IF($AA34&lt;&gt;"",$AA34,IF($U34&lt;&gt;"",$U34,IF($O34&lt;&gt;"",$O34,""))))),""))</f>
        <v/>
      </c>
      <c r="AT34" s="193" t="str">
        <f aca="false">IFERROR(IF($AN34&lt;&gt;"",$AN34,IF($AH34&lt;&gt;"",$AH34,IF($AB34&lt;&gt;"",$AB34,IF($V34&lt;&gt;"",$V34,IF($P34&lt;&gt;"",$P34,""))))),"")</f>
        <v/>
      </c>
      <c r="AU34" s="194"/>
    </row>
    <row r="35" customFormat="false" ht="157.5" hidden="false" customHeight="true" outlineLevel="0" collapsed="false">
      <c r="A35" s="191" t="str">
        <f aca="false">IF($F35="","",$C$2&amp;"."&amp;COUNTA($F$7:$F35)&amp;"")</f>
        <v>TC_04.24</v>
      </c>
      <c r="B35" s="191" t="s">
        <v>486</v>
      </c>
      <c r="C35" s="191" t="s">
        <v>530</v>
      </c>
      <c r="D35" s="191" t="s">
        <v>41</v>
      </c>
      <c r="E35" s="191" t="s">
        <v>160</v>
      </c>
      <c r="F35" s="13" t="s">
        <v>875</v>
      </c>
      <c r="G35" s="13" t="s">
        <v>833</v>
      </c>
      <c r="H35" s="13" t="s">
        <v>876</v>
      </c>
      <c r="I35" s="13" t="s">
        <v>877</v>
      </c>
      <c r="J35" s="191" t="s">
        <v>658</v>
      </c>
      <c r="K35" s="191" t="s">
        <v>245</v>
      </c>
      <c r="L35" s="191"/>
      <c r="M35" s="191"/>
      <c r="N35" s="192"/>
      <c r="O35" s="192"/>
      <c r="P35" s="192"/>
      <c r="Q35" s="192"/>
      <c r="R35" s="192"/>
      <c r="S35" s="192"/>
      <c r="T35" s="192"/>
      <c r="U35" s="192"/>
      <c r="V35" s="192"/>
      <c r="W35" s="192"/>
      <c r="X35" s="192"/>
      <c r="Y35" s="192"/>
      <c r="Z35" s="192"/>
      <c r="AA35" s="192"/>
      <c r="AB35" s="192"/>
      <c r="AC35" s="192"/>
      <c r="AD35" s="192"/>
      <c r="AE35" s="192"/>
      <c r="AF35" s="192"/>
      <c r="AG35" s="192"/>
      <c r="AH35" s="192"/>
      <c r="AI35" s="192"/>
      <c r="AJ35" s="192"/>
      <c r="AK35" s="192"/>
      <c r="AL35" s="192"/>
      <c r="AM35" s="192"/>
      <c r="AN35" s="192"/>
      <c r="AO35" s="192"/>
      <c r="AP35" s="192"/>
      <c r="AQ35" s="192"/>
      <c r="AR35" s="193" t="str">
        <f aca="false">IF($A35="","",IF(OR($N35="Yes",$T35="Yes",$Z35="Yes",$AF35="Yes",$AL35="Yes"),"Yes","No"))</f>
        <v>No</v>
      </c>
      <c r="AS35" s="193" t="str">
        <f aca="false">IF($A35="","",IFERROR(IF($AM35&lt;&gt;"",$AM35,IF($AG35&lt;&gt;"",$AG35,IF($AA35&lt;&gt;"",$AA35,IF($U35&lt;&gt;"",$U35,IF($O35&lt;&gt;"",$O35,""))))),""))</f>
        <v/>
      </c>
      <c r="AT35" s="193" t="str">
        <f aca="false">IFERROR(IF($AN35&lt;&gt;"",$AN35,IF($AH35&lt;&gt;"",$AH35,IF($AB35&lt;&gt;"",$AB35,IF($V35&lt;&gt;"",$V35,IF($P35&lt;&gt;"",$P35,""))))),"")</f>
        <v/>
      </c>
      <c r="AU35" s="194"/>
    </row>
    <row r="36" customFormat="false" ht="157.5" hidden="false" customHeight="true" outlineLevel="0" collapsed="false">
      <c r="A36" s="191" t="str">
        <f aca="false">IF($F36="","",$C$2&amp;"."&amp;COUNTA($F$7:$F36)&amp;"")</f>
        <v>TC_04.25</v>
      </c>
      <c r="B36" s="191" t="s">
        <v>486</v>
      </c>
      <c r="C36" s="191" t="s">
        <v>530</v>
      </c>
      <c r="D36" s="191" t="s">
        <v>41</v>
      </c>
      <c r="E36" s="191" t="s">
        <v>160</v>
      </c>
      <c r="F36" s="13" t="s">
        <v>878</v>
      </c>
      <c r="G36" s="13" t="s">
        <v>833</v>
      </c>
      <c r="H36" s="13" t="s">
        <v>879</v>
      </c>
      <c r="I36" s="13" t="s">
        <v>877</v>
      </c>
      <c r="J36" s="191" t="s">
        <v>658</v>
      </c>
      <c r="K36" s="191" t="s">
        <v>245</v>
      </c>
      <c r="L36" s="191"/>
      <c r="M36" s="191"/>
      <c r="N36" s="192"/>
      <c r="O36" s="192"/>
      <c r="P36" s="192"/>
      <c r="Q36" s="192"/>
      <c r="R36" s="192"/>
      <c r="S36" s="192"/>
      <c r="T36" s="192"/>
      <c r="U36" s="192"/>
      <c r="V36" s="192"/>
      <c r="W36" s="192"/>
      <c r="X36" s="192"/>
      <c r="Y36" s="192"/>
      <c r="Z36" s="192"/>
      <c r="AA36" s="192"/>
      <c r="AB36" s="192"/>
      <c r="AC36" s="192"/>
      <c r="AD36" s="192"/>
      <c r="AE36" s="192"/>
      <c r="AF36" s="192"/>
      <c r="AG36" s="192"/>
      <c r="AH36" s="192"/>
      <c r="AI36" s="192"/>
      <c r="AJ36" s="192"/>
      <c r="AK36" s="192"/>
      <c r="AL36" s="192"/>
      <c r="AM36" s="192"/>
      <c r="AN36" s="192"/>
      <c r="AO36" s="192"/>
      <c r="AP36" s="192"/>
      <c r="AQ36" s="192"/>
      <c r="AR36" s="193" t="str">
        <f aca="false">IF($A36="","",IF(OR($N36="Yes",$T36="Yes",$Z36="Yes",$AF36="Yes",$AL36="Yes"),"Yes","No"))</f>
        <v>No</v>
      </c>
      <c r="AS36" s="193" t="str">
        <f aca="false">IF($A36="","",IFERROR(IF($AM36&lt;&gt;"",$AM36,IF($AG36&lt;&gt;"",$AG36,IF($AA36&lt;&gt;"",$AA36,IF($U36&lt;&gt;"",$U36,IF($O36&lt;&gt;"",$O36,""))))),""))</f>
        <v/>
      </c>
      <c r="AT36" s="193" t="str">
        <f aca="false">IFERROR(IF($AN36&lt;&gt;"",$AN36,IF($AH36&lt;&gt;"",$AH36,IF($AB36&lt;&gt;"",$AB36,IF($V36&lt;&gt;"",$V36,IF($P36&lt;&gt;"",$P36,""))))),"")</f>
        <v/>
      </c>
      <c r="AU36" s="194"/>
    </row>
    <row r="37" customFormat="false" ht="157.5" hidden="false" customHeight="true" outlineLevel="0" collapsed="false">
      <c r="A37" s="191" t="str">
        <f aca="false">IF($F37="","",$C$2&amp;"."&amp;COUNTA($F$7:$F37)&amp;"")</f>
        <v>TC_04.26</v>
      </c>
      <c r="B37" s="191" t="s">
        <v>486</v>
      </c>
      <c r="C37" s="191" t="s">
        <v>530</v>
      </c>
      <c r="D37" s="191" t="s">
        <v>41</v>
      </c>
      <c r="E37" s="191" t="s">
        <v>160</v>
      </c>
      <c r="F37" s="13" t="s">
        <v>880</v>
      </c>
      <c r="G37" s="13" t="s">
        <v>833</v>
      </c>
      <c r="H37" s="13" t="s">
        <v>881</v>
      </c>
      <c r="I37" s="13" t="s">
        <v>877</v>
      </c>
      <c r="J37" s="191" t="s">
        <v>658</v>
      </c>
      <c r="K37" s="191" t="s">
        <v>245</v>
      </c>
      <c r="L37" s="191"/>
      <c r="M37" s="191"/>
      <c r="N37" s="192"/>
      <c r="O37" s="192"/>
      <c r="P37" s="192"/>
      <c r="Q37" s="192"/>
      <c r="R37" s="192"/>
      <c r="S37" s="192"/>
      <c r="T37" s="192"/>
      <c r="U37" s="192"/>
      <c r="V37" s="192"/>
      <c r="W37" s="192"/>
      <c r="X37" s="192"/>
      <c r="Y37" s="192"/>
      <c r="Z37" s="192"/>
      <c r="AA37" s="192"/>
      <c r="AB37" s="192"/>
      <c r="AC37" s="192"/>
      <c r="AD37" s="192"/>
      <c r="AE37" s="192"/>
      <c r="AF37" s="192"/>
      <c r="AG37" s="192"/>
      <c r="AH37" s="192"/>
      <c r="AI37" s="192"/>
      <c r="AJ37" s="192"/>
      <c r="AK37" s="192"/>
      <c r="AL37" s="192"/>
      <c r="AM37" s="192"/>
      <c r="AN37" s="192"/>
      <c r="AO37" s="192"/>
      <c r="AP37" s="192"/>
      <c r="AQ37" s="192"/>
      <c r="AR37" s="193" t="str">
        <f aca="false">IF($A37="","",IF(OR($N37="Yes",$T37="Yes",$Z37="Yes",$AF37="Yes",$AL37="Yes"),"Yes","No"))</f>
        <v>No</v>
      </c>
      <c r="AS37" s="193" t="str">
        <f aca="false">IF($A37="","",IFERROR(IF($AM37&lt;&gt;"",$AM37,IF($AG37&lt;&gt;"",$AG37,IF($AA37&lt;&gt;"",$AA37,IF($U37&lt;&gt;"",$U37,IF($O37&lt;&gt;"",$O37,""))))),""))</f>
        <v/>
      </c>
      <c r="AT37" s="193" t="str">
        <f aca="false">IFERROR(IF($AN37&lt;&gt;"",$AN37,IF($AH37&lt;&gt;"",$AH37,IF($AB37&lt;&gt;"",$AB37,IF($V37&lt;&gt;"",$V37,IF($P37&lt;&gt;"",$P37,""))))),"")</f>
        <v/>
      </c>
      <c r="AU37" s="194"/>
    </row>
    <row r="38" customFormat="false" ht="170.25" hidden="false" customHeight="true" outlineLevel="0" collapsed="false">
      <c r="A38" s="191" t="str">
        <f aca="false">IF($F38="","",$C$2&amp;"."&amp;COUNTA($F$7:$F38)&amp;"")</f>
        <v>TC_04.27</v>
      </c>
      <c r="B38" s="191" t="s">
        <v>486</v>
      </c>
      <c r="C38" s="191" t="s">
        <v>530</v>
      </c>
      <c r="D38" s="191" t="s">
        <v>41</v>
      </c>
      <c r="E38" s="191" t="s">
        <v>160</v>
      </c>
      <c r="F38" s="13" t="s">
        <v>882</v>
      </c>
      <c r="G38" s="13" t="s">
        <v>883</v>
      </c>
      <c r="H38" s="13" t="s">
        <v>884</v>
      </c>
      <c r="I38" s="13" t="s">
        <v>885</v>
      </c>
      <c r="J38" s="191" t="s">
        <v>658</v>
      </c>
      <c r="K38" s="191" t="s">
        <v>245</v>
      </c>
      <c r="L38" s="191"/>
      <c r="M38" s="191"/>
      <c r="N38" s="192"/>
      <c r="O38" s="192"/>
      <c r="P38" s="192"/>
      <c r="Q38" s="192"/>
      <c r="R38" s="192"/>
      <c r="S38" s="192"/>
      <c r="T38" s="192"/>
      <c r="U38" s="192"/>
      <c r="V38" s="192"/>
      <c r="W38" s="192"/>
      <c r="X38" s="192"/>
      <c r="Y38" s="192"/>
      <c r="Z38" s="192"/>
      <c r="AA38" s="192"/>
      <c r="AB38" s="192"/>
      <c r="AC38" s="192"/>
      <c r="AD38" s="192"/>
      <c r="AE38" s="192"/>
      <c r="AF38" s="192"/>
      <c r="AG38" s="192"/>
      <c r="AH38" s="192"/>
      <c r="AI38" s="192"/>
      <c r="AJ38" s="192"/>
      <c r="AK38" s="192"/>
      <c r="AL38" s="192"/>
      <c r="AM38" s="192"/>
      <c r="AN38" s="192"/>
      <c r="AO38" s="192"/>
      <c r="AP38" s="192"/>
      <c r="AQ38" s="192"/>
      <c r="AR38" s="193" t="str">
        <f aca="false">IF($A38="","",IF(OR($N38="Yes",$T38="Yes",$Z38="Yes",$AF38="Yes",$AL38="Yes"),"Yes","No"))</f>
        <v>No</v>
      </c>
      <c r="AS38" s="193" t="str">
        <f aca="false">IF($A38="","",IFERROR(IF($AM38&lt;&gt;"",$AM38,IF($AG38&lt;&gt;"",$AG38,IF($AA38&lt;&gt;"",$AA38,IF($U38&lt;&gt;"",$U38,IF($O38&lt;&gt;"",$O38,""))))),""))</f>
        <v/>
      </c>
      <c r="AT38" s="193" t="str">
        <f aca="false">IFERROR(IF($AN38&lt;&gt;"",$AN38,IF($AH38&lt;&gt;"",$AH38,IF($AB38&lt;&gt;"",$AB38,IF($V38&lt;&gt;"",$V38,IF($P38&lt;&gt;"",$P38,""))))),"")</f>
        <v/>
      </c>
      <c r="AU38" s="194"/>
    </row>
    <row r="39" customFormat="false" ht="15.75" hidden="false" customHeight="true" outlineLevel="0" collapsed="false">
      <c r="A39" s="189"/>
      <c r="B39" s="189"/>
      <c r="C39" s="190" t="s">
        <v>886</v>
      </c>
      <c r="D39" s="190"/>
      <c r="E39" s="190"/>
      <c r="F39" s="190"/>
      <c r="G39" s="190"/>
      <c r="H39" s="190"/>
      <c r="I39" s="190"/>
      <c r="J39" s="190"/>
      <c r="K39" s="190"/>
      <c r="L39" s="190"/>
      <c r="M39" s="190"/>
      <c r="N39" s="190"/>
      <c r="O39" s="190"/>
      <c r="P39" s="190"/>
      <c r="Q39" s="190"/>
      <c r="R39" s="190"/>
      <c r="S39" s="190"/>
      <c r="T39" s="190"/>
      <c r="U39" s="190"/>
      <c r="V39" s="190"/>
      <c r="W39" s="190"/>
      <c r="X39" s="190"/>
      <c r="Y39" s="190"/>
      <c r="Z39" s="190"/>
      <c r="AA39" s="190"/>
      <c r="AB39" s="190"/>
      <c r="AC39" s="190"/>
      <c r="AD39" s="190"/>
      <c r="AE39" s="190"/>
      <c r="AF39" s="190"/>
      <c r="AG39" s="190"/>
      <c r="AH39" s="190"/>
      <c r="AI39" s="190"/>
      <c r="AJ39" s="190"/>
      <c r="AK39" s="190"/>
      <c r="AL39" s="190"/>
      <c r="AM39" s="190"/>
      <c r="AN39" s="190"/>
      <c r="AO39" s="190"/>
      <c r="AP39" s="190"/>
      <c r="AQ39" s="190"/>
      <c r="AR39" s="190"/>
      <c r="AS39" s="190"/>
      <c r="AT39" s="190"/>
      <c r="AU39" s="190"/>
    </row>
    <row r="40" customFormat="false" ht="124.5" hidden="false" customHeight="true" outlineLevel="0" collapsed="false">
      <c r="A40" s="191" t="str">
        <f aca="false">IF($F40="","",$C$2&amp;"."&amp;COUNTA($F$7:$F40)&amp;"")</f>
        <v>TC_04.28</v>
      </c>
      <c r="B40" s="191" t="s">
        <v>489</v>
      </c>
      <c r="C40" s="191" t="s">
        <v>840</v>
      </c>
      <c r="D40" s="191" t="s">
        <v>41</v>
      </c>
      <c r="E40" s="191" t="s">
        <v>159</v>
      </c>
      <c r="F40" s="13" t="s">
        <v>887</v>
      </c>
      <c r="G40" s="13" t="s">
        <v>800</v>
      </c>
      <c r="H40" s="13" t="s">
        <v>888</v>
      </c>
      <c r="I40" s="13" t="s">
        <v>889</v>
      </c>
      <c r="J40" s="191" t="s">
        <v>658</v>
      </c>
      <c r="K40" s="191" t="s">
        <v>245</v>
      </c>
      <c r="L40" s="191"/>
      <c r="M40" s="191"/>
      <c r="N40" s="192"/>
      <c r="O40" s="192"/>
      <c r="P40" s="192"/>
      <c r="Q40" s="192"/>
      <c r="R40" s="192"/>
      <c r="S40" s="192"/>
      <c r="T40" s="192"/>
      <c r="U40" s="192"/>
      <c r="V40" s="192"/>
      <c r="W40" s="192"/>
      <c r="X40" s="192"/>
      <c r="Y40" s="192"/>
      <c r="Z40" s="192"/>
      <c r="AA40" s="192"/>
      <c r="AB40" s="192"/>
      <c r="AC40" s="192"/>
      <c r="AD40" s="192"/>
      <c r="AE40" s="192"/>
      <c r="AF40" s="192"/>
      <c r="AG40" s="192"/>
      <c r="AH40" s="192"/>
      <c r="AI40" s="192"/>
      <c r="AJ40" s="192"/>
      <c r="AK40" s="192"/>
      <c r="AL40" s="192"/>
      <c r="AM40" s="192"/>
      <c r="AN40" s="192"/>
      <c r="AO40" s="192"/>
      <c r="AP40" s="192"/>
      <c r="AQ40" s="192"/>
      <c r="AR40" s="193" t="str">
        <f aca="false">IF($A40="","",IF(OR($N40="Yes",$T40="Yes",$Z40="Yes",$AF40="Yes",$AL40="Yes"),"Yes","No"))</f>
        <v>No</v>
      </c>
      <c r="AS40" s="193" t="str">
        <f aca="false">IF($A40="","",IFERROR(IF($AM40&lt;&gt;"",$AM40,IF($AG40&lt;&gt;"",$AG40,IF($AA40&lt;&gt;"",$AA40,IF($U40&lt;&gt;"",$U40,IF($O40&lt;&gt;"",$O40,""))))),""))</f>
        <v/>
      </c>
      <c r="AT40" s="193" t="str">
        <f aca="false">IFERROR(IF($AN40&lt;&gt;"",$AN40,IF($AH40&lt;&gt;"",$AH40,IF($AB40&lt;&gt;"",$AB40,IF($V40&lt;&gt;"",$V40,IF($P40&lt;&gt;"",$P40,""))))),"")</f>
        <v/>
      </c>
      <c r="AU40" s="194"/>
    </row>
    <row r="41" customFormat="false" ht="124.5" hidden="false" customHeight="true" outlineLevel="0" collapsed="false">
      <c r="A41" s="191" t="str">
        <f aca="false">IF($F41="","",$C$2&amp;"."&amp;COUNTA($F$7:$F41)&amp;"")</f>
        <v>TC_04.29</v>
      </c>
      <c r="B41" s="191" t="s">
        <v>489</v>
      </c>
      <c r="C41" s="191" t="s">
        <v>840</v>
      </c>
      <c r="D41" s="191" t="s">
        <v>41</v>
      </c>
      <c r="E41" s="191" t="s">
        <v>159</v>
      </c>
      <c r="F41" s="13" t="s">
        <v>890</v>
      </c>
      <c r="G41" s="13" t="s">
        <v>800</v>
      </c>
      <c r="H41" s="13" t="s">
        <v>891</v>
      </c>
      <c r="I41" s="13" t="s">
        <v>892</v>
      </c>
      <c r="J41" s="191" t="s">
        <v>658</v>
      </c>
      <c r="K41" s="191" t="s">
        <v>245</v>
      </c>
      <c r="L41" s="191"/>
      <c r="M41" s="191"/>
      <c r="N41" s="192"/>
      <c r="O41" s="192"/>
      <c r="P41" s="192"/>
      <c r="Q41" s="192"/>
      <c r="R41" s="192"/>
      <c r="S41" s="192"/>
      <c r="T41" s="192"/>
      <c r="U41" s="192"/>
      <c r="V41" s="192"/>
      <c r="W41" s="192"/>
      <c r="X41" s="192"/>
      <c r="Y41" s="192"/>
      <c r="Z41" s="192"/>
      <c r="AA41" s="192"/>
      <c r="AB41" s="192"/>
      <c r="AC41" s="192"/>
      <c r="AD41" s="192"/>
      <c r="AE41" s="192"/>
      <c r="AF41" s="192"/>
      <c r="AG41" s="192"/>
      <c r="AH41" s="192"/>
      <c r="AI41" s="192"/>
      <c r="AJ41" s="192"/>
      <c r="AK41" s="192"/>
      <c r="AL41" s="192"/>
      <c r="AM41" s="192"/>
      <c r="AN41" s="192"/>
      <c r="AO41" s="192"/>
      <c r="AP41" s="192"/>
      <c r="AQ41" s="192"/>
      <c r="AR41" s="193" t="str">
        <f aca="false">IF($A41="","",IF(OR($N41="Yes",$T41="Yes",$Z41="Yes",$AF41="Yes",$AL41="Yes"),"Yes","No"))</f>
        <v>No</v>
      </c>
      <c r="AS41" s="193" t="str">
        <f aca="false">IF($A41="","",IFERROR(IF($AM41&lt;&gt;"",$AM41,IF($AG41&lt;&gt;"",$AG41,IF($AA41&lt;&gt;"",$AA41,IF($U41&lt;&gt;"",$U41,IF($O41&lt;&gt;"",$O41,""))))),""))</f>
        <v/>
      </c>
      <c r="AT41" s="193" t="str">
        <f aca="false">IFERROR(IF($AN41&lt;&gt;"",$AN41,IF($AH41&lt;&gt;"",$AH41,IF($AB41&lt;&gt;"",$AB41,IF($V41&lt;&gt;"",$V41,IF($P41&lt;&gt;"",$P41,""))))),"")</f>
        <v/>
      </c>
      <c r="AU41" s="194"/>
    </row>
    <row r="42" customFormat="false" ht="157.5" hidden="false" customHeight="true" outlineLevel="0" collapsed="false">
      <c r="A42" s="191" t="str">
        <f aca="false">IF($F42="","",$C$2&amp;"."&amp;COUNTA($F$7:$F42)&amp;"")</f>
        <v>TC_04.30</v>
      </c>
      <c r="B42" s="191" t="s">
        <v>489</v>
      </c>
      <c r="C42" s="191" t="s">
        <v>530</v>
      </c>
      <c r="D42" s="191" t="s">
        <v>41</v>
      </c>
      <c r="E42" s="191" t="s">
        <v>159</v>
      </c>
      <c r="F42" s="13" t="s">
        <v>893</v>
      </c>
      <c r="G42" s="13" t="s">
        <v>800</v>
      </c>
      <c r="H42" s="13" t="s">
        <v>894</v>
      </c>
      <c r="I42" s="13" t="s">
        <v>895</v>
      </c>
      <c r="J42" s="191" t="s">
        <v>658</v>
      </c>
      <c r="K42" s="191" t="s">
        <v>245</v>
      </c>
      <c r="L42" s="191"/>
      <c r="M42" s="191"/>
      <c r="N42" s="192"/>
      <c r="O42" s="192"/>
      <c r="P42" s="192"/>
      <c r="Q42" s="192"/>
      <c r="R42" s="192"/>
      <c r="S42" s="192"/>
      <c r="T42" s="192"/>
      <c r="U42" s="192"/>
      <c r="V42" s="192"/>
      <c r="W42" s="192"/>
      <c r="X42" s="192"/>
      <c r="Y42" s="192"/>
      <c r="Z42" s="192"/>
      <c r="AA42" s="192"/>
      <c r="AB42" s="192"/>
      <c r="AC42" s="192"/>
      <c r="AD42" s="192"/>
      <c r="AE42" s="192"/>
      <c r="AF42" s="192"/>
      <c r="AG42" s="192"/>
      <c r="AH42" s="192"/>
      <c r="AI42" s="192"/>
      <c r="AJ42" s="192"/>
      <c r="AK42" s="192"/>
      <c r="AL42" s="192"/>
      <c r="AM42" s="192"/>
      <c r="AN42" s="192"/>
      <c r="AO42" s="192"/>
      <c r="AP42" s="192"/>
      <c r="AQ42" s="192"/>
      <c r="AR42" s="193" t="str">
        <f aca="false">IF($A42="","",IF(OR($N42="Yes",$T42="Yes",$Z42="Yes",$AF42="Yes",$AL42="Yes"),"Yes","No"))</f>
        <v>No</v>
      </c>
      <c r="AS42" s="193" t="str">
        <f aca="false">IF($A42="","",IFERROR(IF($AM42&lt;&gt;"",$AM42,IF($AG42&lt;&gt;"",$AG42,IF($AA42&lt;&gt;"",$AA42,IF($U42&lt;&gt;"",$U42,IF($O42&lt;&gt;"",$O42,""))))),""))</f>
        <v/>
      </c>
      <c r="AT42" s="193" t="str">
        <f aca="false">IFERROR(IF($AN42&lt;&gt;"",$AN42,IF($AH42&lt;&gt;"",$AH42,IF($AB42&lt;&gt;"",$AB42,IF($V42&lt;&gt;"",$V42,IF($P42&lt;&gt;"",$P42,""))))),"")</f>
        <v/>
      </c>
      <c r="AU42" s="194"/>
    </row>
    <row r="43" customFormat="false" ht="157.5" hidden="false" customHeight="true" outlineLevel="0" collapsed="false">
      <c r="A43" s="191" t="str">
        <f aca="false">IF($F43="","",$C$2&amp;"."&amp;COUNTA($F$7:$F43)&amp;"")</f>
        <v>TC_04.31</v>
      </c>
      <c r="B43" s="191" t="s">
        <v>489</v>
      </c>
      <c r="C43" s="191" t="s">
        <v>530</v>
      </c>
      <c r="D43" s="191" t="s">
        <v>41</v>
      </c>
      <c r="E43" s="191" t="s">
        <v>159</v>
      </c>
      <c r="F43" s="13" t="s">
        <v>896</v>
      </c>
      <c r="G43" s="13" t="s">
        <v>800</v>
      </c>
      <c r="H43" s="13" t="s">
        <v>897</v>
      </c>
      <c r="I43" s="13" t="s">
        <v>898</v>
      </c>
      <c r="J43" s="191" t="s">
        <v>658</v>
      </c>
      <c r="K43" s="191" t="s">
        <v>245</v>
      </c>
      <c r="L43" s="191"/>
      <c r="M43" s="191"/>
      <c r="N43" s="192"/>
      <c r="O43" s="192"/>
      <c r="P43" s="192"/>
      <c r="Q43" s="192"/>
      <c r="R43" s="192"/>
      <c r="S43" s="192"/>
      <c r="T43" s="192"/>
      <c r="U43" s="192"/>
      <c r="V43" s="192"/>
      <c r="W43" s="192"/>
      <c r="X43" s="192"/>
      <c r="Y43" s="192"/>
      <c r="Z43" s="192"/>
      <c r="AA43" s="192"/>
      <c r="AB43" s="192"/>
      <c r="AC43" s="192"/>
      <c r="AD43" s="192"/>
      <c r="AE43" s="192"/>
      <c r="AF43" s="192"/>
      <c r="AG43" s="192"/>
      <c r="AH43" s="192"/>
      <c r="AI43" s="192"/>
      <c r="AJ43" s="192"/>
      <c r="AK43" s="192"/>
      <c r="AL43" s="192"/>
      <c r="AM43" s="192"/>
      <c r="AN43" s="192"/>
      <c r="AO43" s="192"/>
      <c r="AP43" s="192"/>
      <c r="AQ43" s="192"/>
      <c r="AR43" s="193" t="str">
        <f aca="false">IF($A43="","",IF(OR($N43="Yes",$T43="Yes",$Z43="Yes",$AF43="Yes",$AL43="Yes"),"Yes","No"))</f>
        <v>No</v>
      </c>
      <c r="AS43" s="193" t="str">
        <f aca="false">IF($A43="","",IFERROR(IF($AM43&lt;&gt;"",$AM43,IF($AG43&lt;&gt;"",$AG43,IF($AA43&lt;&gt;"",$AA43,IF($U43&lt;&gt;"",$U43,IF($O43&lt;&gt;"",$O43,""))))),""))</f>
        <v/>
      </c>
      <c r="AT43" s="193" t="str">
        <f aca="false">IFERROR(IF($AN43&lt;&gt;"",$AN43,IF($AH43&lt;&gt;"",$AH43,IF($AB43&lt;&gt;"",$AB43,IF($V43&lt;&gt;"",$V43,IF($P43&lt;&gt;"",$P43,""))))),"")</f>
        <v/>
      </c>
      <c r="AU43" s="194"/>
    </row>
    <row r="44" customFormat="false" ht="147" hidden="false" customHeight="true" outlineLevel="0" collapsed="false">
      <c r="A44" s="191" t="str">
        <f aca="false">IF($F44="","",$C$2&amp;"."&amp;COUNTA($F$7:$F44)&amp;"")</f>
        <v>TC_04.32</v>
      </c>
      <c r="B44" s="191" t="s">
        <v>489</v>
      </c>
      <c r="C44" s="191" t="s">
        <v>530</v>
      </c>
      <c r="D44" s="191" t="s">
        <v>41</v>
      </c>
      <c r="E44" s="191" t="s">
        <v>159</v>
      </c>
      <c r="F44" s="13" t="s">
        <v>899</v>
      </c>
      <c r="G44" s="13" t="s">
        <v>800</v>
      </c>
      <c r="H44" s="13" t="s">
        <v>900</v>
      </c>
      <c r="I44" s="13" t="s">
        <v>901</v>
      </c>
      <c r="J44" s="191" t="s">
        <v>658</v>
      </c>
      <c r="K44" s="191" t="s">
        <v>245</v>
      </c>
      <c r="L44" s="191"/>
      <c r="M44" s="191"/>
      <c r="N44" s="192"/>
      <c r="O44" s="192"/>
      <c r="P44" s="192"/>
      <c r="Q44" s="192"/>
      <c r="R44" s="192"/>
      <c r="S44" s="192"/>
      <c r="T44" s="192"/>
      <c r="U44" s="192"/>
      <c r="V44" s="192"/>
      <c r="W44" s="192"/>
      <c r="X44" s="192"/>
      <c r="Y44" s="192"/>
      <c r="Z44" s="192"/>
      <c r="AA44" s="192"/>
      <c r="AB44" s="192"/>
      <c r="AC44" s="192"/>
      <c r="AD44" s="192"/>
      <c r="AE44" s="192"/>
      <c r="AF44" s="192"/>
      <c r="AG44" s="192"/>
      <c r="AH44" s="192"/>
      <c r="AI44" s="192"/>
      <c r="AJ44" s="192"/>
      <c r="AK44" s="192"/>
      <c r="AL44" s="192"/>
      <c r="AM44" s="192"/>
      <c r="AN44" s="192"/>
      <c r="AO44" s="192"/>
      <c r="AP44" s="192"/>
      <c r="AQ44" s="192"/>
      <c r="AR44" s="193" t="str">
        <f aca="false">IF($A44="","",IF(OR($N44="Yes",$T44="Yes",$Z44="Yes",$AF44="Yes",$AL44="Yes"),"Yes","No"))</f>
        <v>No</v>
      </c>
      <c r="AS44" s="193" t="str">
        <f aca="false">IF($A44="","",IFERROR(IF($AM44&lt;&gt;"",$AM44,IF($AG44&lt;&gt;"",$AG44,IF($AA44&lt;&gt;"",$AA44,IF($U44&lt;&gt;"",$U44,IF($O44&lt;&gt;"",$O44,""))))),""))</f>
        <v/>
      </c>
      <c r="AT44" s="193" t="str">
        <f aca="false">IFERROR(IF($AN44&lt;&gt;"",$AN44,IF($AH44&lt;&gt;"",$AH44,IF($AB44&lt;&gt;"",$AB44,IF($V44&lt;&gt;"",$V44,IF($P44&lt;&gt;"",$P44,""))))),"")</f>
        <v/>
      </c>
      <c r="AU44" s="194"/>
    </row>
    <row r="45" customFormat="false" ht="168.75" hidden="false" customHeight="true" outlineLevel="0" collapsed="false">
      <c r="A45" s="191" t="str">
        <f aca="false">IF($F45="","",$C$2&amp;"."&amp;COUNTA($F$7:$F45)&amp;"")</f>
        <v>TC_04.33</v>
      </c>
      <c r="B45" s="191" t="s">
        <v>489</v>
      </c>
      <c r="C45" s="191" t="s">
        <v>530</v>
      </c>
      <c r="D45" s="191" t="s">
        <v>41</v>
      </c>
      <c r="E45" s="191" t="s">
        <v>159</v>
      </c>
      <c r="F45" s="13" t="s">
        <v>902</v>
      </c>
      <c r="G45" s="13" t="s">
        <v>800</v>
      </c>
      <c r="H45" s="13" t="s">
        <v>903</v>
      </c>
      <c r="I45" s="13" t="s">
        <v>904</v>
      </c>
      <c r="J45" s="191" t="s">
        <v>658</v>
      </c>
      <c r="K45" s="191" t="s">
        <v>245</v>
      </c>
      <c r="L45" s="191"/>
      <c r="M45" s="191"/>
      <c r="N45" s="192"/>
      <c r="O45" s="192"/>
      <c r="P45" s="192"/>
      <c r="Q45" s="192"/>
      <c r="R45" s="192"/>
      <c r="S45" s="192"/>
      <c r="T45" s="192"/>
      <c r="U45" s="192"/>
      <c r="V45" s="192"/>
      <c r="W45" s="192"/>
      <c r="X45" s="192"/>
      <c r="Y45" s="192"/>
      <c r="Z45" s="192"/>
      <c r="AA45" s="192"/>
      <c r="AB45" s="192"/>
      <c r="AC45" s="192"/>
      <c r="AD45" s="192"/>
      <c r="AE45" s="192"/>
      <c r="AF45" s="192"/>
      <c r="AG45" s="192"/>
      <c r="AH45" s="192"/>
      <c r="AI45" s="192"/>
      <c r="AJ45" s="192"/>
      <c r="AK45" s="192"/>
      <c r="AL45" s="192"/>
      <c r="AM45" s="192"/>
      <c r="AN45" s="192"/>
      <c r="AO45" s="192"/>
      <c r="AP45" s="192"/>
      <c r="AQ45" s="192"/>
      <c r="AR45" s="193" t="str">
        <f aca="false">IF($A45="","",IF(OR($N45="Yes",$T45="Yes",$Z45="Yes",$AF45="Yes",$AL45="Yes"),"Yes","No"))</f>
        <v>No</v>
      </c>
      <c r="AS45" s="193" t="str">
        <f aca="false">IF($A45="","",IFERROR(IF($AM45&lt;&gt;"",$AM45,IF($AG45&lt;&gt;"",$AG45,IF($AA45&lt;&gt;"",$AA45,IF($U45&lt;&gt;"",$U45,IF($O45&lt;&gt;"",$O45,""))))),""))</f>
        <v/>
      </c>
      <c r="AT45" s="193" t="str">
        <f aca="false">IFERROR(IF($AN45&lt;&gt;"",$AN45,IF($AH45&lt;&gt;"",$AH45,IF($AB45&lt;&gt;"",$AB45,IF($V45&lt;&gt;"",$V45,IF($P45&lt;&gt;"",$P45,""))))),"")</f>
        <v/>
      </c>
      <c r="AU45" s="194"/>
    </row>
    <row r="46" customFormat="false" ht="157.5" hidden="false" customHeight="true" outlineLevel="0" collapsed="false">
      <c r="A46" s="191" t="str">
        <f aca="false">IF($F46="","",$C$2&amp;"."&amp;COUNTA($F$7:$F46)&amp;"")</f>
        <v>TC_04.34</v>
      </c>
      <c r="B46" s="191" t="s">
        <v>489</v>
      </c>
      <c r="C46" s="191" t="s">
        <v>530</v>
      </c>
      <c r="D46" s="191" t="s">
        <v>41</v>
      </c>
      <c r="E46" s="191" t="s">
        <v>158</v>
      </c>
      <c r="F46" s="13" t="s">
        <v>905</v>
      </c>
      <c r="G46" s="13" t="s">
        <v>800</v>
      </c>
      <c r="H46" s="13" t="s">
        <v>906</v>
      </c>
      <c r="I46" s="13" t="s">
        <v>907</v>
      </c>
      <c r="J46" s="191" t="s">
        <v>658</v>
      </c>
      <c r="K46" s="191" t="s">
        <v>245</v>
      </c>
      <c r="L46" s="191"/>
      <c r="M46" s="191"/>
      <c r="N46" s="192"/>
      <c r="O46" s="192"/>
      <c r="P46" s="192"/>
      <c r="Q46" s="192"/>
      <c r="R46" s="192"/>
      <c r="S46" s="192"/>
      <c r="T46" s="192"/>
      <c r="U46" s="192"/>
      <c r="V46" s="192"/>
      <c r="W46" s="192"/>
      <c r="X46" s="192"/>
      <c r="Y46" s="192"/>
      <c r="Z46" s="192"/>
      <c r="AA46" s="192"/>
      <c r="AB46" s="192"/>
      <c r="AC46" s="192"/>
      <c r="AD46" s="192"/>
      <c r="AE46" s="192"/>
      <c r="AF46" s="192"/>
      <c r="AG46" s="192"/>
      <c r="AH46" s="192"/>
      <c r="AI46" s="192"/>
      <c r="AJ46" s="192"/>
      <c r="AK46" s="192"/>
      <c r="AL46" s="192"/>
      <c r="AM46" s="192"/>
      <c r="AN46" s="192"/>
      <c r="AO46" s="192"/>
      <c r="AP46" s="192"/>
      <c r="AQ46" s="192"/>
      <c r="AR46" s="193" t="str">
        <f aca="false">IF($A46="","",IF(OR($N46="Yes",$T46="Yes",$Z46="Yes",$AF46="Yes",$AL46="Yes"),"Yes","No"))</f>
        <v>No</v>
      </c>
      <c r="AS46" s="193" t="str">
        <f aca="false">IF($A46="","",IFERROR(IF($AM46&lt;&gt;"",$AM46,IF($AG46&lt;&gt;"",$AG46,IF($AA46&lt;&gt;"",$AA46,IF($U46&lt;&gt;"",$U46,IF($O46&lt;&gt;"",$O46,""))))),""))</f>
        <v/>
      </c>
      <c r="AT46" s="193" t="str">
        <f aca="false">IFERROR(IF($AN46&lt;&gt;"",$AN46,IF($AH46&lt;&gt;"",$AH46,IF($AB46&lt;&gt;"",$AB46,IF($V46&lt;&gt;"",$V46,IF($P46&lt;&gt;"",$P46,""))))),"")</f>
        <v/>
      </c>
      <c r="AU46" s="194"/>
    </row>
    <row r="47" customFormat="false" ht="202.5" hidden="false" customHeight="true" outlineLevel="0" collapsed="false">
      <c r="A47" s="191" t="str">
        <f aca="false">IF($F47="","",$C$2&amp;"."&amp;COUNTA($F$7:$F47)&amp;"")</f>
        <v>TC_04.35</v>
      </c>
      <c r="B47" s="191" t="s">
        <v>489</v>
      </c>
      <c r="C47" s="191" t="s">
        <v>530</v>
      </c>
      <c r="D47" s="191" t="s">
        <v>41</v>
      </c>
      <c r="E47" s="191" t="s">
        <v>158</v>
      </c>
      <c r="F47" s="13" t="s">
        <v>908</v>
      </c>
      <c r="G47" s="13" t="s">
        <v>800</v>
      </c>
      <c r="H47" s="13" t="s">
        <v>909</v>
      </c>
      <c r="I47" s="13" t="s">
        <v>910</v>
      </c>
      <c r="J47" s="191" t="s">
        <v>658</v>
      </c>
      <c r="K47" s="191" t="s">
        <v>245</v>
      </c>
      <c r="L47" s="191"/>
      <c r="M47" s="191"/>
      <c r="N47" s="192"/>
      <c r="O47" s="192"/>
      <c r="P47" s="192"/>
      <c r="Q47" s="192"/>
      <c r="R47" s="192"/>
      <c r="S47" s="192"/>
      <c r="T47" s="192"/>
      <c r="U47" s="192"/>
      <c r="V47" s="192"/>
      <c r="W47" s="192"/>
      <c r="X47" s="192"/>
      <c r="Y47" s="192"/>
      <c r="Z47" s="192"/>
      <c r="AA47" s="192"/>
      <c r="AB47" s="192"/>
      <c r="AC47" s="192"/>
      <c r="AD47" s="192"/>
      <c r="AE47" s="192"/>
      <c r="AF47" s="192"/>
      <c r="AG47" s="192"/>
      <c r="AH47" s="192"/>
      <c r="AI47" s="192"/>
      <c r="AJ47" s="192"/>
      <c r="AK47" s="192"/>
      <c r="AL47" s="192"/>
      <c r="AM47" s="192"/>
      <c r="AN47" s="192"/>
      <c r="AO47" s="192"/>
      <c r="AP47" s="192"/>
      <c r="AQ47" s="192"/>
      <c r="AR47" s="193" t="str">
        <f aca="false">IF($A47="","",IF(OR($N47="Yes",$T47="Yes",$Z47="Yes",$AF47="Yes",$AL47="Yes"),"Yes","No"))</f>
        <v>No</v>
      </c>
      <c r="AS47" s="193" t="str">
        <f aca="false">IF($A47="","",IFERROR(IF($AM47&lt;&gt;"",$AM47,IF($AG47&lt;&gt;"",$AG47,IF($AA47&lt;&gt;"",$AA47,IF($U47&lt;&gt;"",$U47,IF($O47&lt;&gt;"",$O47,""))))),""))</f>
        <v/>
      </c>
      <c r="AT47" s="193" t="str">
        <f aca="false">IFERROR(IF($AN47&lt;&gt;"",$AN47,IF($AH47&lt;&gt;"",$AH47,IF($AB47&lt;&gt;"",$AB47,IF($V47&lt;&gt;"",$V47,IF($P47&lt;&gt;"",$P47,""))))),"")</f>
        <v/>
      </c>
      <c r="AU47" s="194"/>
    </row>
    <row r="48" customFormat="false" ht="157.5" hidden="false" customHeight="true" outlineLevel="0" collapsed="false">
      <c r="A48" s="191" t="str">
        <f aca="false">IF($F48="","",$C$2&amp;"."&amp;COUNTA($F$7:$F48)&amp;"")</f>
        <v>TC_04.36</v>
      </c>
      <c r="B48" s="191" t="s">
        <v>489</v>
      </c>
      <c r="C48" s="191" t="s">
        <v>530</v>
      </c>
      <c r="D48" s="191" t="s">
        <v>41</v>
      </c>
      <c r="E48" s="191" t="s">
        <v>159</v>
      </c>
      <c r="F48" s="13" t="s">
        <v>911</v>
      </c>
      <c r="G48" s="13" t="s">
        <v>800</v>
      </c>
      <c r="H48" s="13" t="s">
        <v>912</v>
      </c>
      <c r="I48" s="13" t="s">
        <v>913</v>
      </c>
      <c r="J48" s="191" t="s">
        <v>658</v>
      </c>
      <c r="K48" s="191" t="s">
        <v>245</v>
      </c>
      <c r="L48" s="191"/>
      <c r="M48" s="191"/>
      <c r="N48" s="192"/>
      <c r="O48" s="192"/>
      <c r="P48" s="192"/>
      <c r="Q48" s="192"/>
      <c r="R48" s="192"/>
      <c r="S48" s="192"/>
      <c r="T48" s="192"/>
      <c r="U48" s="192"/>
      <c r="V48" s="192"/>
      <c r="W48" s="192"/>
      <c r="X48" s="192"/>
      <c r="Y48" s="192"/>
      <c r="Z48" s="192"/>
      <c r="AA48" s="192"/>
      <c r="AB48" s="192"/>
      <c r="AC48" s="192"/>
      <c r="AD48" s="192"/>
      <c r="AE48" s="192"/>
      <c r="AF48" s="192"/>
      <c r="AG48" s="192"/>
      <c r="AH48" s="192"/>
      <c r="AI48" s="192"/>
      <c r="AJ48" s="192"/>
      <c r="AK48" s="192"/>
      <c r="AL48" s="192"/>
      <c r="AM48" s="192"/>
      <c r="AN48" s="192"/>
      <c r="AO48" s="192"/>
      <c r="AP48" s="192"/>
      <c r="AQ48" s="192"/>
      <c r="AR48" s="193" t="str">
        <f aca="false">IF($A48="","",IF(OR($N48="Yes",$T48="Yes",$Z48="Yes",$AF48="Yes",$AL48="Yes"),"Yes","No"))</f>
        <v>No</v>
      </c>
      <c r="AS48" s="193" t="str">
        <f aca="false">IF($A48="","",IFERROR(IF($AM48&lt;&gt;"",$AM48,IF($AG48&lt;&gt;"",$AG48,IF($AA48&lt;&gt;"",$AA48,IF($U48&lt;&gt;"",$U48,IF($O48&lt;&gt;"",$O48,""))))),""))</f>
        <v/>
      </c>
      <c r="AT48" s="193" t="str">
        <f aca="false">IFERROR(IF($AN48&lt;&gt;"",$AN48,IF($AH48&lt;&gt;"",$AH48,IF($AB48&lt;&gt;"",$AB48,IF($V48&lt;&gt;"",$V48,IF($P48&lt;&gt;"",$P48,""))))),"")</f>
        <v/>
      </c>
      <c r="AU48" s="194"/>
    </row>
    <row r="49" customFormat="false" ht="180" hidden="false" customHeight="true" outlineLevel="0" collapsed="false">
      <c r="A49" s="191" t="str">
        <f aca="false">IF($F49="","",$C$2&amp;"."&amp;COUNTA($F$7:$F49)&amp;"")</f>
        <v>TC_04.37</v>
      </c>
      <c r="B49" s="191" t="s">
        <v>489</v>
      </c>
      <c r="C49" s="191" t="s">
        <v>530</v>
      </c>
      <c r="D49" s="191" t="s">
        <v>41</v>
      </c>
      <c r="E49" s="191" t="s">
        <v>160</v>
      </c>
      <c r="F49" s="13" t="s">
        <v>914</v>
      </c>
      <c r="G49" s="13" t="s">
        <v>915</v>
      </c>
      <c r="H49" s="13" t="s">
        <v>916</v>
      </c>
      <c r="I49" s="13" t="s">
        <v>917</v>
      </c>
      <c r="J49" s="191" t="s">
        <v>658</v>
      </c>
      <c r="K49" s="191" t="s">
        <v>245</v>
      </c>
      <c r="L49" s="191"/>
      <c r="M49" s="191"/>
      <c r="N49" s="192"/>
      <c r="O49" s="192"/>
      <c r="P49" s="192"/>
      <c r="Q49" s="192"/>
      <c r="R49" s="192"/>
      <c r="S49" s="192"/>
      <c r="T49" s="192"/>
      <c r="U49" s="192"/>
      <c r="V49" s="192"/>
      <c r="W49" s="192"/>
      <c r="X49" s="192"/>
      <c r="Y49" s="192"/>
      <c r="Z49" s="192"/>
      <c r="AA49" s="192"/>
      <c r="AB49" s="192"/>
      <c r="AC49" s="192"/>
      <c r="AD49" s="192"/>
      <c r="AE49" s="192"/>
      <c r="AF49" s="192"/>
      <c r="AG49" s="192"/>
      <c r="AH49" s="192"/>
      <c r="AI49" s="192"/>
      <c r="AJ49" s="192"/>
      <c r="AK49" s="192"/>
      <c r="AL49" s="192"/>
      <c r="AM49" s="192"/>
      <c r="AN49" s="192"/>
      <c r="AO49" s="192"/>
      <c r="AP49" s="192"/>
      <c r="AQ49" s="192"/>
      <c r="AR49" s="193" t="str">
        <f aca="false">IF($A49="","",IF(OR($N49="Yes",$T49="Yes",$Z49="Yes",$AF49="Yes",$AL49="Yes"),"Yes","No"))</f>
        <v>No</v>
      </c>
      <c r="AS49" s="193" t="str">
        <f aca="false">IF($A49="","",IFERROR(IF($AM49&lt;&gt;"",$AM49,IF($AG49&lt;&gt;"",$AG49,IF($AA49&lt;&gt;"",$AA49,IF($U49&lt;&gt;"",$U49,IF($O49&lt;&gt;"",$O49,""))))),""))</f>
        <v/>
      </c>
      <c r="AT49" s="193" t="str">
        <f aca="false">IFERROR(IF($AN49&lt;&gt;"",$AN49,IF($AH49&lt;&gt;"",$AH49,IF($AB49&lt;&gt;"",$AB49,IF($V49&lt;&gt;"",$V49,IF($P49&lt;&gt;"",$P49,""))))),"")</f>
        <v/>
      </c>
      <c r="AU49" s="194"/>
    </row>
    <row r="50" customFormat="false" ht="15.75" hidden="false" customHeight="true" outlineLevel="0" collapsed="false">
      <c r="A50" s="189"/>
      <c r="B50" s="189"/>
      <c r="C50" s="190" t="s">
        <v>918</v>
      </c>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0"/>
      <c r="AP50" s="190"/>
      <c r="AQ50" s="190"/>
      <c r="AR50" s="190"/>
      <c r="AS50" s="190"/>
      <c r="AT50" s="190"/>
      <c r="AU50" s="190"/>
    </row>
    <row r="51" customFormat="false" ht="113.25" hidden="false" customHeight="true" outlineLevel="0" collapsed="false">
      <c r="A51" s="191" t="str">
        <f aca="false">IF($F51="","",$C$2&amp;"."&amp;COUNTA($F$7:$F51)&amp;"")</f>
        <v>TC_04.38</v>
      </c>
      <c r="B51" s="191" t="s">
        <v>492</v>
      </c>
      <c r="C51" s="191" t="s">
        <v>530</v>
      </c>
      <c r="D51" s="191" t="s">
        <v>41</v>
      </c>
      <c r="E51" s="191" t="s">
        <v>159</v>
      </c>
      <c r="F51" s="13" t="s">
        <v>919</v>
      </c>
      <c r="G51" s="13" t="s">
        <v>833</v>
      </c>
      <c r="H51" s="13" t="s">
        <v>920</v>
      </c>
      <c r="I51" s="13" t="s">
        <v>921</v>
      </c>
      <c r="J51" s="191" t="s">
        <v>658</v>
      </c>
      <c r="K51" s="191" t="s">
        <v>245</v>
      </c>
      <c r="L51" s="191"/>
      <c r="M51" s="191"/>
      <c r="N51" s="192"/>
      <c r="O51" s="192"/>
      <c r="P51" s="192"/>
      <c r="Q51" s="192"/>
      <c r="R51" s="192"/>
      <c r="S51" s="192"/>
      <c r="T51" s="192"/>
      <c r="U51" s="192"/>
      <c r="V51" s="192"/>
      <c r="W51" s="192"/>
      <c r="X51" s="192"/>
      <c r="Y51" s="192"/>
      <c r="Z51" s="192"/>
      <c r="AA51" s="192"/>
      <c r="AB51" s="192"/>
      <c r="AC51" s="192"/>
      <c r="AD51" s="192"/>
      <c r="AE51" s="192"/>
      <c r="AF51" s="192"/>
      <c r="AG51" s="192"/>
      <c r="AH51" s="192"/>
      <c r="AI51" s="192"/>
      <c r="AJ51" s="192"/>
      <c r="AK51" s="192"/>
      <c r="AL51" s="192"/>
      <c r="AM51" s="192"/>
      <c r="AN51" s="192"/>
      <c r="AO51" s="192"/>
      <c r="AP51" s="192"/>
      <c r="AQ51" s="192"/>
      <c r="AR51" s="193" t="str">
        <f aca="false">IF($A51="","",IF(OR($N51="Yes",$T51="Yes",$Z51="Yes",$AF51="Yes",$AL51="Yes"),"Yes","No"))</f>
        <v>No</v>
      </c>
      <c r="AS51" s="193" t="str">
        <f aca="false">IF($A51="","",IFERROR(IF($AM51&lt;&gt;"",$AM51,IF($AG51&lt;&gt;"",$AG51,IF($AA51&lt;&gt;"",$AA51,IF($U51&lt;&gt;"",$U51,IF($O51&lt;&gt;"",$O51,""))))),""))</f>
        <v/>
      </c>
      <c r="AT51" s="193" t="str">
        <f aca="false">IFERROR(IF($AN51&lt;&gt;"",$AN51,IF($AH51&lt;&gt;"",$AH51,IF($AB51&lt;&gt;"",$AB51,IF($V51&lt;&gt;"",$V51,IF($P51&lt;&gt;"",$P51,""))))),"")</f>
        <v/>
      </c>
      <c r="AU51" s="194"/>
    </row>
    <row r="52" customFormat="false" ht="135.75" hidden="false" customHeight="true" outlineLevel="0" collapsed="false">
      <c r="A52" s="191" t="str">
        <f aca="false">IF($F52="","",$C$2&amp;"."&amp;COUNTA($F$7:$F52)&amp;"")</f>
        <v>TC_04.39</v>
      </c>
      <c r="B52" s="191" t="s">
        <v>492</v>
      </c>
      <c r="C52" s="191" t="s">
        <v>530</v>
      </c>
      <c r="D52" s="191" t="s">
        <v>41</v>
      </c>
      <c r="E52" s="191" t="s">
        <v>159</v>
      </c>
      <c r="F52" s="13" t="s">
        <v>922</v>
      </c>
      <c r="G52" s="13" t="s">
        <v>833</v>
      </c>
      <c r="H52" s="13" t="s">
        <v>923</v>
      </c>
      <c r="I52" s="13" t="s">
        <v>924</v>
      </c>
      <c r="J52" s="191" t="s">
        <v>658</v>
      </c>
      <c r="K52" s="191" t="s">
        <v>245</v>
      </c>
      <c r="L52" s="191"/>
      <c r="M52" s="191"/>
      <c r="N52" s="192"/>
      <c r="O52" s="192"/>
      <c r="P52" s="192"/>
      <c r="Q52" s="192"/>
      <c r="R52" s="192"/>
      <c r="S52" s="192"/>
      <c r="T52" s="192"/>
      <c r="U52" s="192"/>
      <c r="V52" s="192"/>
      <c r="W52" s="192"/>
      <c r="X52" s="192"/>
      <c r="Y52" s="192"/>
      <c r="Z52" s="192"/>
      <c r="AA52" s="192"/>
      <c r="AB52" s="192"/>
      <c r="AC52" s="192"/>
      <c r="AD52" s="192"/>
      <c r="AE52" s="192"/>
      <c r="AF52" s="192"/>
      <c r="AG52" s="192"/>
      <c r="AH52" s="192"/>
      <c r="AI52" s="192"/>
      <c r="AJ52" s="192"/>
      <c r="AK52" s="192"/>
      <c r="AL52" s="192"/>
      <c r="AM52" s="192"/>
      <c r="AN52" s="192"/>
      <c r="AO52" s="192"/>
      <c r="AP52" s="192"/>
      <c r="AQ52" s="192"/>
      <c r="AR52" s="193" t="str">
        <f aca="false">IF($A52="","",IF(OR($N52="Yes",$T52="Yes",$Z52="Yes",$AF52="Yes",$AL52="Yes"),"Yes","No"))</f>
        <v>No</v>
      </c>
      <c r="AS52" s="193" t="str">
        <f aca="false">IF($A52="","",IFERROR(IF($AM52&lt;&gt;"",$AM52,IF($AG52&lt;&gt;"",$AG52,IF($AA52&lt;&gt;"",$AA52,IF($U52&lt;&gt;"",$U52,IF($O52&lt;&gt;"",$O52,""))))),""))</f>
        <v/>
      </c>
      <c r="AT52" s="193" t="str">
        <f aca="false">IFERROR(IF($AN52&lt;&gt;"",$AN52,IF($AH52&lt;&gt;"",$AH52,IF($AB52&lt;&gt;"",$AB52,IF($V52&lt;&gt;"",$V52,IF($P52&lt;&gt;"",$P52,""))))),"")</f>
        <v/>
      </c>
      <c r="AU52" s="194"/>
    </row>
    <row r="53" customFormat="false" ht="124.5" hidden="false" customHeight="true" outlineLevel="0" collapsed="false">
      <c r="A53" s="191" t="str">
        <f aca="false">IF($F53="","",$C$2&amp;"."&amp;COUNTA($F$7:$F53)&amp;"")</f>
        <v>TC_04.40</v>
      </c>
      <c r="B53" s="191" t="s">
        <v>492</v>
      </c>
      <c r="C53" s="191" t="s">
        <v>530</v>
      </c>
      <c r="D53" s="191" t="s">
        <v>41</v>
      </c>
      <c r="E53" s="191" t="s">
        <v>159</v>
      </c>
      <c r="F53" s="13" t="s">
        <v>925</v>
      </c>
      <c r="G53" s="13" t="s">
        <v>833</v>
      </c>
      <c r="H53" s="13" t="s">
        <v>926</v>
      </c>
      <c r="I53" s="13" t="s">
        <v>927</v>
      </c>
      <c r="J53" s="191" t="s">
        <v>658</v>
      </c>
      <c r="K53" s="191" t="s">
        <v>245</v>
      </c>
      <c r="L53" s="191"/>
      <c r="M53" s="191"/>
      <c r="N53" s="192"/>
      <c r="O53" s="192"/>
      <c r="P53" s="192"/>
      <c r="Q53" s="192"/>
      <c r="R53" s="192"/>
      <c r="S53" s="192"/>
      <c r="T53" s="192"/>
      <c r="U53" s="192"/>
      <c r="V53" s="192"/>
      <c r="W53" s="192"/>
      <c r="X53" s="192"/>
      <c r="Y53" s="192"/>
      <c r="Z53" s="192"/>
      <c r="AA53" s="192"/>
      <c r="AB53" s="192"/>
      <c r="AC53" s="192"/>
      <c r="AD53" s="192"/>
      <c r="AE53" s="192"/>
      <c r="AF53" s="192"/>
      <c r="AG53" s="192"/>
      <c r="AH53" s="192"/>
      <c r="AI53" s="192"/>
      <c r="AJ53" s="192"/>
      <c r="AK53" s="192"/>
      <c r="AL53" s="192"/>
      <c r="AM53" s="192"/>
      <c r="AN53" s="192"/>
      <c r="AO53" s="192"/>
      <c r="AP53" s="192"/>
      <c r="AQ53" s="192"/>
      <c r="AR53" s="193" t="str">
        <f aca="false">IF($A53="","",IF(OR($N53="Yes",$T53="Yes",$Z53="Yes",$AF53="Yes",$AL53="Yes"),"Yes","No"))</f>
        <v>No</v>
      </c>
      <c r="AS53" s="193" t="str">
        <f aca="false">IF($A53="","",IFERROR(IF($AM53&lt;&gt;"",$AM53,IF($AG53&lt;&gt;"",$AG53,IF($AA53&lt;&gt;"",$AA53,IF($U53&lt;&gt;"",$U53,IF($O53&lt;&gt;"",$O53,""))))),""))</f>
        <v/>
      </c>
      <c r="AT53" s="193" t="str">
        <f aca="false">IFERROR(IF($AN53&lt;&gt;"",$AN53,IF($AH53&lt;&gt;"",$AH53,IF($AB53&lt;&gt;"",$AB53,IF($V53&lt;&gt;"",$V53,IF($P53&lt;&gt;"",$P53,""))))),"")</f>
        <v/>
      </c>
      <c r="AU53" s="194"/>
    </row>
    <row r="54" customFormat="false" ht="124.5" hidden="false" customHeight="true" outlineLevel="0" collapsed="false">
      <c r="A54" s="191" t="str">
        <f aca="false">IF($F54="","",$C$2&amp;"."&amp;COUNTA($F$7:$F54)&amp;"")</f>
        <v>TC_04.41</v>
      </c>
      <c r="B54" s="191" t="s">
        <v>492</v>
      </c>
      <c r="C54" s="191" t="s">
        <v>530</v>
      </c>
      <c r="D54" s="191" t="s">
        <v>41</v>
      </c>
      <c r="E54" s="191" t="s">
        <v>159</v>
      </c>
      <c r="F54" s="13" t="s">
        <v>928</v>
      </c>
      <c r="G54" s="13" t="s">
        <v>833</v>
      </c>
      <c r="H54" s="13" t="s">
        <v>929</v>
      </c>
      <c r="I54" s="13" t="s">
        <v>930</v>
      </c>
      <c r="J54" s="191" t="s">
        <v>658</v>
      </c>
      <c r="K54" s="191" t="s">
        <v>245</v>
      </c>
      <c r="L54" s="191"/>
      <c r="M54" s="191"/>
      <c r="N54" s="192"/>
      <c r="O54" s="192"/>
      <c r="P54" s="192"/>
      <c r="Q54" s="192"/>
      <c r="R54" s="192"/>
      <c r="S54" s="192"/>
      <c r="T54" s="192"/>
      <c r="U54" s="192"/>
      <c r="V54" s="192"/>
      <c r="W54" s="192"/>
      <c r="X54" s="192"/>
      <c r="Y54" s="192"/>
      <c r="Z54" s="192"/>
      <c r="AA54" s="192"/>
      <c r="AB54" s="192"/>
      <c r="AC54" s="192"/>
      <c r="AD54" s="192"/>
      <c r="AE54" s="192"/>
      <c r="AF54" s="192"/>
      <c r="AG54" s="192"/>
      <c r="AH54" s="192"/>
      <c r="AI54" s="192"/>
      <c r="AJ54" s="192"/>
      <c r="AK54" s="192"/>
      <c r="AL54" s="192"/>
      <c r="AM54" s="192"/>
      <c r="AN54" s="192"/>
      <c r="AO54" s="192"/>
      <c r="AP54" s="192"/>
      <c r="AQ54" s="192"/>
      <c r="AR54" s="193" t="str">
        <f aca="false">IF($A54="","",IF(OR($N54="Yes",$T54="Yes",$Z54="Yes",$AF54="Yes",$AL54="Yes"),"Yes","No"))</f>
        <v>No</v>
      </c>
      <c r="AS54" s="193" t="str">
        <f aca="false">IF($A54="","",IFERROR(IF($AM54&lt;&gt;"",$AM54,IF($AG54&lt;&gt;"",$AG54,IF($AA54&lt;&gt;"",$AA54,IF($U54&lt;&gt;"",$U54,IF($O54&lt;&gt;"",$O54,""))))),""))</f>
        <v/>
      </c>
      <c r="AT54" s="193" t="str">
        <f aca="false">IFERROR(IF($AN54&lt;&gt;"",$AN54,IF($AH54&lt;&gt;"",$AH54,IF($AB54&lt;&gt;"",$AB54,IF($V54&lt;&gt;"",$V54,IF($P54&lt;&gt;"",$P54,""))))),"")</f>
        <v/>
      </c>
      <c r="AU54" s="194"/>
    </row>
    <row r="55" customFormat="false" ht="147" hidden="false" customHeight="true" outlineLevel="0" collapsed="false">
      <c r="A55" s="191" t="str">
        <f aca="false">IF($F55="","",$C$2&amp;"."&amp;COUNTA($F$7:$F55)&amp;"")</f>
        <v>TC_04.42</v>
      </c>
      <c r="B55" s="191" t="s">
        <v>492</v>
      </c>
      <c r="C55" s="191" t="s">
        <v>530</v>
      </c>
      <c r="D55" s="191" t="s">
        <v>41</v>
      </c>
      <c r="E55" s="191" t="s">
        <v>159</v>
      </c>
      <c r="F55" s="13" t="s">
        <v>931</v>
      </c>
      <c r="G55" s="13" t="s">
        <v>800</v>
      </c>
      <c r="H55" s="13" t="s">
        <v>932</v>
      </c>
      <c r="I55" s="13" t="s">
        <v>933</v>
      </c>
      <c r="J55" s="191" t="s">
        <v>658</v>
      </c>
      <c r="K55" s="191" t="s">
        <v>245</v>
      </c>
      <c r="L55" s="191"/>
      <c r="M55" s="191"/>
      <c r="N55" s="192"/>
      <c r="O55" s="192"/>
      <c r="P55" s="192"/>
      <c r="Q55" s="192"/>
      <c r="R55" s="192"/>
      <c r="S55" s="192"/>
      <c r="T55" s="192"/>
      <c r="U55" s="192"/>
      <c r="V55" s="192"/>
      <c r="W55" s="192"/>
      <c r="X55" s="192"/>
      <c r="Y55" s="192"/>
      <c r="Z55" s="192"/>
      <c r="AA55" s="192"/>
      <c r="AB55" s="192"/>
      <c r="AC55" s="192"/>
      <c r="AD55" s="192"/>
      <c r="AE55" s="192"/>
      <c r="AF55" s="192"/>
      <c r="AG55" s="192"/>
      <c r="AH55" s="192"/>
      <c r="AI55" s="192"/>
      <c r="AJ55" s="192"/>
      <c r="AK55" s="192"/>
      <c r="AL55" s="192"/>
      <c r="AM55" s="192"/>
      <c r="AN55" s="192"/>
      <c r="AO55" s="192"/>
      <c r="AP55" s="192"/>
      <c r="AQ55" s="192"/>
      <c r="AR55" s="193" t="str">
        <f aca="false">IF($A55="","",IF(OR($N55="Yes",$T55="Yes",$Z55="Yes",$AF55="Yes",$AL55="Yes"),"Yes","No"))</f>
        <v>No</v>
      </c>
      <c r="AS55" s="193" t="str">
        <f aca="false">IF($A55="","",IFERROR(IF($AM55&lt;&gt;"",$AM55,IF($AG55&lt;&gt;"",$AG55,IF($AA55&lt;&gt;"",$AA55,IF($U55&lt;&gt;"",$U55,IF($O55&lt;&gt;"",$O55,""))))),""))</f>
        <v/>
      </c>
      <c r="AT55" s="193" t="str">
        <f aca="false">IFERROR(IF($AN55&lt;&gt;"",$AN55,IF($AH55&lt;&gt;"",$AH55,IF($AB55&lt;&gt;"",$AB55,IF($V55&lt;&gt;"",$V55,IF($P55&lt;&gt;"",$P55,""))))),"")</f>
        <v/>
      </c>
      <c r="AU55" s="194"/>
    </row>
    <row r="56" customFormat="false" ht="157.5" hidden="false" customHeight="true" outlineLevel="0" collapsed="false">
      <c r="A56" s="191" t="str">
        <f aca="false">IF($F56="","",$C$2&amp;"."&amp;COUNTA($F$7:$F56)&amp;"")</f>
        <v>TC_04.43</v>
      </c>
      <c r="B56" s="191" t="s">
        <v>492</v>
      </c>
      <c r="C56" s="191" t="s">
        <v>530</v>
      </c>
      <c r="D56" s="191" t="s">
        <v>41</v>
      </c>
      <c r="E56" s="191" t="s">
        <v>159</v>
      </c>
      <c r="F56" s="13" t="s">
        <v>934</v>
      </c>
      <c r="G56" s="13" t="s">
        <v>800</v>
      </c>
      <c r="H56" s="13" t="s">
        <v>935</v>
      </c>
      <c r="I56" s="13" t="s">
        <v>936</v>
      </c>
      <c r="J56" s="191" t="s">
        <v>658</v>
      </c>
      <c r="K56" s="191" t="s">
        <v>245</v>
      </c>
      <c r="L56" s="191"/>
      <c r="M56" s="191"/>
      <c r="N56" s="192"/>
      <c r="O56" s="192"/>
      <c r="P56" s="192"/>
      <c r="Q56" s="192"/>
      <c r="R56" s="192"/>
      <c r="S56" s="192"/>
      <c r="T56" s="192"/>
      <c r="U56" s="192"/>
      <c r="V56" s="192"/>
      <c r="W56" s="192"/>
      <c r="X56" s="192"/>
      <c r="Y56" s="192"/>
      <c r="Z56" s="192"/>
      <c r="AA56" s="192"/>
      <c r="AB56" s="192"/>
      <c r="AC56" s="192"/>
      <c r="AD56" s="192"/>
      <c r="AE56" s="192"/>
      <c r="AF56" s="192"/>
      <c r="AG56" s="192"/>
      <c r="AH56" s="192"/>
      <c r="AI56" s="192"/>
      <c r="AJ56" s="192"/>
      <c r="AK56" s="192"/>
      <c r="AL56" s="192"/>
      <c r="AM56" s="192"/>
      <c r="AN56" s="192"/>
      <c r="AO56" s="192"/>
      <c r="AP56" s="192"/>
      <c r="AQ56" s="192"/>
      <c r="AR56" s="193" t="str">
        <f aca="false">IF($A56="","",IF(OR($N56="Yes",$T56="Yes",$Z56="Yes",$AF56="Yes",$AL56="Yes"),"Yes","No"))</f>
        <v>No</v>
      </c>
      <c r="AS56" s="193" t="str">
        <f aca="false">IF($A56="","",IFERROR(IF($AM56&lt;&gt;"",$AM56,IF($AG56&lt;&gt;"",$AG56,IF($AA56&lt;&gt;"",$AA56,IF($U56&lt;&gt;"",$U56,IF($O56&lt;&gt;"",$O56,""))))),""))</f>
        <v/>
      </c>
      <c r="AT56" s="193" t="str">
        <f aca="false">IFERROR(IF($AN56&lt;&gt;"",$AN56,IF($AH56&lt;&gt;"",$AH56,IF($AB56&lt;&gt;"",$AB56,IF($V56&lt;&gt;"",$V56,IF($P56&lt;&gt;"",$P56,""))))),"")</f>
        <v/>
      </c>
      <c r="AU56" s="194"/>
    </row>
    <row r="57" customFormat="false" ht="15.75" hidden="false" customHeight="true" outlineLevel="0" collapsed="false">
      <c r="A57" s="189"/>
      <c r="B57" s="189"/>
      <c r="C57" s="190" t="s">
        <v>937</v>
      </c>
      <c r="D57" s="190"/>
      <c r="E57" s="190"/>
      <c r="F57" s="190"/>
      <c r="G57" s="190"/>
      <c r="H57" s="190"/>
      <c r="I57" s="190"/>
      <c r="J57" s="190"/>
      <c r="K57" s="190"/>
      <c r="L57" s="190"/>
      <c r="M57" s="190"/>
      <c r="N57" s="190"/>
      <c r="O57" s="190"/>
      <c r="P57" s="190"/>
      <c r="Q57" s="190"/>
      <c r="R57" s="190"/>
      <c r="S57" s="190"/>
      <c r="T57" s="190"/>
      <c r="U57" s="190"/>
      <c r="V57" s="190"/>
      <c r="W57" s="190"/>
      <c r="X57" s="190"/>
      <c r="Y57" s="190"/>
      <c r="Z57" s="190"/>
      <c r="AA57" s="190"/>
      <c r="AB57" s="190"/>
      <c r="AC57" s="190"/>
      <c r="AD57" s="190"/>
      <c r="AE57" s="190"/>
      <c r="AF57" s="190"/>
      <c r="AG57" s="190"/>
      <c r="AH57" s="190"/>
      <c r="AI57" s="190"/>
      <c r="AJ57" s="190"/>
      <c r="AK57" s="190"/>
      <c r="AL57" s="190"/>
      <c r="AM57" s="190"/>
      <c r="AN57" s="190"/>
      <c r="AO57" s="190"/>
      <c r="AP57" s="190"/>
      <c r="AQ57" s="190"/>
      <c r="AR57" s="190"/>
      <c r="AS57" s="190"/>
      <c r="AT57" s="190"/>
      <c r="AU57" s="190"/>
    </row>
    <row r="58" customFormat="false" ht="135.75" hidden="false" customHeight="true" outlineLevel="0" collapsed="false">
      <c r="A58" s="191" t="str">
        <f aca="false">IF($F58="","",$C$2&amp;"."&amp;COUNTA($F$7:$F58)&amp;"")</f>
        <v>TC_04.44</v>
      </c>
      <c r="B58" s="191" t="s">
        <v>495</v>
      </c>
      <c r="C58" s="191" t="s">
        <v>530</v>
      </c>
      <c r="D58" s="191" t="s">
        <v>41</v>
      </c>
      <c r="E58" s="191" t="s">
        <v>158</v>
      </c>
      <c r="F58" s="13" t="s">
        <v>938</v>
      </c>
      <c r="G58" s="13" t="s">
        <v>939</v>
      </c>
      <c r="H58" s="13" t="s">
        <v>940</v>
      </c>
      <c r="I58" s="13" t="s">
        <v>941</v>
      </c>
      <c r="J58" s="191" t="s">
        <v>658</v>
      </c>
      <c r="K58" s="191" t="s">
        <v>245</v>
      </c>
      <c r="L58" s="191"/>
      <c r="M58" s="191"/>
      <c r="N58" s="192"/>
      <c r="O58" s="192"/>
      <c r="P58" s="192"/>
      <c r="Q58" s="192"/>
      <c r="R58" s="192"/>
      <c r="S58" s="192"/>
      <c r="T58" s="192"/>
      <c r="U58" s="192"/>
      <c r="V58" s="192"/>
      <c r="W58" s="192"/>
      <c r="X58" s="192"/>
      <c r="Y58" s="192"/>
      <c r="Z58" s="192"/>
      <c r="AA58" s="192"/>
      <c r="AB58" s="192"/>
      <c r="AC58" s="192"/>
      <c r="AD58" s="192"/>
      <c r="AE58" s="192"/>
      <c r="AF58" s="192"/>
      <c r="AG58" s="192"/>
      <c r="AH58" s="192"/>
      <c r="AI58" s="192"/>
      <c r="AJ58" s="192"/>
      <c r="AK58" s="192"/>
      <c r="AL58" s="192"/>
      <c r="AM58" s="192"/>
      <c r="AN58" s="192"/>
      <c r="AO58" s="192"/>
      <c r="AP58" s="192"/>
      <c r="AQ58" s="192"/>
      <c r="AR58" s="193" t="str">
        <f aca="false">IF($A58="","",IF(OR($N58="Yes",$T58="Yes",$Z58="Yes",$AF58="Yes",$AL58="Yes"),"Yes","No"))</f>
        <v>No</v>
      </c>
      <c r="AS58" s="193" t="str">
        <f aca="false">IF($A58="","",IFERROR(IF($AM58&lt;&gt;"",$AM58,IF($AG58&lt;&gt;"",$AG58,IF($AA58&lt;&gt;"",$AA58,IF($U58&lt;&gt;"",$U58,IF($O58&lt;&gt;"",$O58,""))))),""))</f>
        <v/>
      </c>
      <c r="AT58" s="193" t="str">
        <f aca="false">IFERROR(IF($AN58&lt;&gt;"",$AN58,IF($AH58&lt;&gt;"",$AH58,IF($AB58&lt;&gt;"",$AB58,IF($V58&lt;&gt;"",$V58,IF($P58&lt;&gt;"",$P58,""))))),"")</f>
        <v/>
      </c>
      <c r="AU58" s="194"/>
    </row>
    <row r="59" customFormat="false" ht="157.5" hidden="false" customHeight="true" outlineLevel="0" collapsed="false">
      <c r="A59" s="191" t="str">
        <f aca="false">IF($F59="","",$C$2&amp;"."&amp;COUNTA($F$7:$F59)&amp;"")</f>
        <v>TC_04.45</v>
      </c>
      <c r="B59" s="191" t="s">
        <v>495</v>
      </c>
      <c r="C59" s="191" t="s">
        <v>530</v>
      </c>
      <c r="D59" s="191" t="s">
        <v>41</v>
      </c>
      <c r="E59" s="191" t="s">
        <v>158</v>
      </c>
      <c r="F59" s="13" t="s">
        <v>942</v>
      </c>
      <c r="G59" s="13" t="s">
        <v>939</v>
      </c>
      <c r="H59" s="13" t="s">
        <v>943</v>
      </c>
      <c r="I59" s="13" t="s">
        <v>944</v>
      </c>
      <c r="J59" s="191" t="s">
        <v>658</v>
      </c>
      <c r="K59" s="191" t="s">
        <v>245</v>
      </c>
      <c r="L59" s="191"/>
      <c r="M59" s="191"/>
      <c r="N59" s="192"/>
      <c r="O59" s="192"/>
      <c r="P59" s="192"/>
      <c r="Q59" s="192"/>
      <c r="R59" s="192"/>
      <c r="S59" s="192"/>
      <c r="T59" s="192"/>
      <c r="U59" s="192"/>
      <c r="V59" s="192"/>
      <c r="W59" s="192"/>
      <c r="X59" s="192"/>
      <c r="Y59" s="192"/>
      <c r="Z59" s="192"/>
      <c r="AA59" s="192"/>
      <c r="AB59" s="192"/>
      <c r="AC59" s="192"/>
      <c r="AD59" s="192"/>
      <c r="AE59" s="192"/>
      <c r="AF59" s="192"/>
      <c r="AG59" s="192"/>
      <c r="AH59" s="192"/>
      <c r="AI59" s="192"/>
      <c r="AJ59" s="192"/>
      <c r="AK59" s="192"/>
      <c r="AL59" s="192"/>
      <c r="AM59" s="192"/>
      <c r="AN59" s="192"/>
      <c r="AO59" s="192"/>
      <c r="AP59" s="192"/>
      <c r="AQ59" s="192"/>
      <c r="AR59" s="193" t="str">
        <f aca="false">IF($A59="","",IF(OR($N59="Yes",$T59="Yes",$Z59="Yes",$AF59="Yes",$AL59="Yes"),"Yes","No"))</f>
        <v>No</v>
      </c>
      <c r="AS59" s="193" t="str">
        <f aca="false">IF($A59="","",IFERROR(IF($AM59&lt;&gt;"",$AM59,IF($AG59&lt;&gt;"",$AG59,IF($AA59&lt;&gt;"",$AA59,IF($U59&lt;&gt;"",$U59,IF($O59&lt;&gt;"",$O59,""))))),""))</f>
        <v/>
      </c>
      <c r="AT59" s="193" t="str">
        <f aca="false">IFERROR(IF($AN59&lt;&gt;"",$AN59,IF($AH59&lt;&gt;"",$AH59,IF($AB59&lt;&gt;"",$AB59,IF($V59&lt;&gt;"",$V59,IF($P59&lt;&gt;"",$P59,""))))),"")</f>
        <v/>
      </c>
      <c r="AU59" s="194"/>
    </row>
    <row r="60" customFormat="false" ht="147" hidden="false" customHeight="true" outlineLevel="0" collapsed="false">
      <c r="A60" s="191" t="str">
        <f aca="false">IF($F60="","",$C$2&amp;"."&amp;COUNTA($F$7:$F60)&amp;"")</f>
        <v>TC_04.46</v>
      </c>
      <c r="B60" s="191" t="s">
        <v>495</v>
      </c>
      <c r="C60" s="191" t="s">
        <v>530</v>
      </c>
      <c r="D60" s="191" t="s">
        <v>41</v>
      </c>
      <c r="E60" s="191" t="s">
        <v>158</v>
      </c>
      <c r="F60" s="13" t="s">
        <v>945</v>
      </c>
      <c r="G60" s="13" t="s">
        <v>939</v>
      </c>
      <c r="H60" s="13" t="s">
        <v>946</v>
      </c>
      <c r="I60" s="13" t="s">
        <v>944</v>
      </c>
      <c r="J60" s="191" t="s">
        <v>658</v>
      </c>
      <c r="K60" s="191" t="s">
        <v>245</v>
      </c>
      <c r="L60" s="191"/>
      <c r="M60" s="191"/>
      <c r="N60" s="192"/>
      <c r="O60" s="192"/>
      <c r="P60" s="192"/>
      <c r="Q60" s="192"/>
      <c r="R60" s="192"/>
      <c r="S60" s="192"/>
      <c r="T60" s="192"/>
      <c r="U60" s="192"/>
      <c r="V60" s="192"/>
      <c r="W60" s="192"/>
      <c r="X60" s="192"/>
      <c r="Y60" s="192"/>
      <c r="Z60" s="192"/>
      <c r="AA60" s="192"/>
      <c r="AB60" s="192"/>
      <c r="AC60" s="192"/>
      <c r="AD60" s="192"/>
      <c r="AE60" s="192"/>
      <c r="AF60" s="192"/>
      <c r="AG60" s="192"/>
      <c r="AH60" s="192"/>
      <c r="AI60" s="192"/>
      <c r="AJ60" s="192"/>
      <c r="AK60" s="192"/>
      <c r="AL60" s="192"/>
      <c r="AM60" s="192"/>
      <c r="AN60" s="192"/>
      <c r="AO60" s="192"/>
      <c r="AP60" s="192"/>
      <c r="AQ60" s="192"/>
      <c r="AR60" s="193" t="str">
        <f aca="false">IF($A60="","",IF(OR($N60="Yes",$T60="Yes",$Z60="Yes",$AF60="Yes",$AL60="Yes"),"Yes","No"))</f>
        <v>No</v>
      </c>
      <c r="AS60" s="193" t="str">
        <f aca="false">IF($A60="","",IFERROR(IF($AM60&lt;&gt;"",$AM60,IF($AG60&lt;&gt;"",$AG60,IF($AA60&lt;&gt;"",$AA60,IF($U60&lt;&gt;"",$U60,IF($O60&lt;&gt;"",$O60,""))))),""))</f>
        <v/>
      </c>
      <c r="AT60" s="193" t="str">
        <f aca="false">IFERROR(IF($AN60&lt;&gt;"",$AN60,IF($AH60&lt;&gt;"",$AH60,IF($AB60&lt;&gt;"",$AB60,IF($V60&lt;&gt;"",$V60,IF($P60&lt;&gt;"",$P60,""))))),"")</f>
        <v/>
      </c>
      <c r="AU60" s="194"/>
    </row>
    <row r="61" customFormat="false" ht="15.75" hidden="false" customHeight="true" outlineLevel="0" collapsed="false">
      <c r="A61" s="196"/>
      <c r="B61" s="196"/>
      <c r="C61" s="197" t="s">
        <v>947</v>
      </c>
      <c r="D61" s="197"/>
      <c r="E61" s="197"/>
      <c r="F61" s="197"/>
      <c r="G61" s="197"/>
      <c r="H61" s="197"/>
      <c r="I61" s="197"/>
      <c r="J61" s="197"/>
      <c r="K61" s="197"/>
      <c r="L61" s="197"/>
      <c r="M61" s="197"/>
      <c r="N61" s="197"/>
      <c r="O61" s="197"/>
      <c r="P61" s="197"/>
      <c r="Q61" s="197"/>
      <c r="R61" s="197"/>
      <c r="S61" s="197"/>
      <c r="T61" s="197"/>
      <c r="U61" s="197"/>
      <c r="V61" s="197"/>
      <c r="W61" s="197"/>
      <c r="X61" s="197"/>
      <c r="Y61" s="197"/>
      <c r="Z61" s="197"/>
      <c r="AA61" s="197"/>
      <c r="AB61" s="197"/>
      <c r="AC61" s="197"/>
      <c r="AD61" s="197"/>
      <c r="AE61" s="197"/>
      <c r="AF61" s="197"/>
      <c r="AG61" s="197"/>
      <c r="AH61" s="197"/>
      <c r="AI61" s="197"/>
      <c r="AJ61" s="197"/>
      <c r="AK61" s="197"/>
      <c r="AL61" s="197"/>
      <c r="AM61" s="197"/>
      <c r="AN61" s="197"/>
      <c r="AO61" s="197"/>
      <c r="AP61" s="197"/>
      <c r="AQ61" s="197"/>
      <c r="AR61" s="197"/>
      <c r="AS61" s="197"/>
      <c r="AT61" s="197"/>
      <c r="AU61" s="197"/>
      <c r="AV61" s="1"/>
    </row>
    <row r="62" customFormat="false" ht="168.75" hidden="false" customHeight="true" outlineLevel="0" collapsed="false">
      <c r="A62" s="191" t="str">
        <f aca="false">IF($F62="","",$C$2&amp;"."&amp;COUNTA($F$7:$F62)&amp;"")</f>
        <v>TC_04.47</v>
      </c>
      <c r="B62" s="191" t="s">
        <v>498</v>
      </c>
      <c r="C62" s="191" t="s">
        <v>530</v>
      </c>
      <c r="D62" s="191" t="s">
        <v>41</v>
      </c>
      <c r="E62" s="191" t="s">
        <v>160</v>
      </c>
      <c r="F62" s="13" t="s">
        <v>948</v>
      </c>
      <c r="G62" s="13" t="s">
        <v>949</v>
      </c>
      <c r="H62" s="13" t="s">
        <v>950</v>
      </c>
      <c r="I62" s="13" t="s">
        <v>951</v>
      </c>
      <c r="J62" s="191" t="s">
        <v>658</v>
      </c>
      <c r="K62" s="191" t="s">
        <v>245</v>
      </c>
      <c r="L62" s="191"/>
      <c r="M62" s="191"/>
      <c r="N62" s="192"/>
      <c r="O62" s="192"/>
      <c r="P62" s="192"/>
      <c r="Q62" s="192"/>
      <c r="R62" s="192"/>
      <c r="S62" s="192"/>
      <c r="T62" s="192"/>
      <c r="U62" s="192"/>
      <c r="V62" s="192"/>
      <c r="W62" s="192"/>
      <c r="X62" s="192"/>
      <c r="Y62" s="192"/>
      <c r="Z62" s="192"/>
      <c r="AA62" s="192"/>
      <c r="AB62" s="192"/>
      <c r="AC62" s="192"/>
      <c r="AD62" s="192"/>
      <c r="AE62" s="192"/>
      <c r="AF62" s="192"/>
      <c r="AG62" s="192"/>
      <c r="AH62" s="192"/>
      <c r="AI62" s="192"/>
      <c r="AJ62" s="192"/>
      <c r="AK62" s="192"/>
      <c r="AL62" s="192"/>
      <c r="AM62" s="192"/>
      <c r="AN62" s="192"/>
      <c r="AO62" s="192"/>
      <c r="AP62" s="192"/>
      <c r="AQ62" s="192"/>
      <c r="AR62" s="193" t="str">
        <f aca="false">IF($A62="","",IF(OR($N62="Yes",$T62="Yes",$Z62="Yes",$AF62="Yes",$AL62="Yes"),"Yes","No"))</f>
        <v>No</v>
      </c>
      <c r="AS62" s="193" t="str">
        <f aca="false">IF($A62="","",IFERROR(IF($AM62&lt;&gt;"",$AM62,IF($AG62&lt;&gt;"",$AG62,IF($AA62&lt;&gt;"",$AA62,IF($U62&lt;&gt;"",$U62,IF($O62&lt;&gt;"",$O62,""))))),""))</f>
        <v/>
      </c>
      <c r="AT62" s="193" t="str">
        <f aca="false">IFERROR(IF($AN62&lt;&gt;"",$AN62,IF($AH62&lt;&gt;"",$AH62,IF($AB62&lt;&gt;"",$AB62,IF($V62&lt;&gt;"",$V62,IF($P62&lt;&gt;"",$P62,""))))),"")</f>
        <v/>
      </c>
      <c r="AU62" s="194"/>
      <c r="AV62" s="1"/>
    </row>
    <row r="63" customFormat="false" ht="157.5" hidden="false" customHeight="true" outlineLevel="0" collapsed="false">
      <c r="A63" s="191" t="str">
        <f aca="false">IF($F63="","",$C$2&amp;"."&amp;COUNTA($F$7:$F63)&amp;"")</f>
        <v>TC_04.48</v>
      </c>
      <c r="B63" s="191" t="s">
        <v>498</v>
      </c>
      <c r="C63" s="191" t="s">
        <v>530</v>
      </c>
      <c r="D63" s="191" t="s">
        <v>41</v>
      </c>
      <c r="E63" s="191" t="s">
        <v>158</v>
      </c>
      <c r="F63" s="13" t="s">
        <v>952</v>
      </c>
      <c r="G63" s="13" t="s">
        <v>939</v>
      </c>
      <c r="H63" s="13" t="s">
        <v>953</v>
      </c>
      <c r="I63" s="13" t="s">
        <v>954</v>
      </c>
      <c r="J63" s="191" t="s">
        <v>658</v>
      </c>
      <c r="K63" s="191" t="s">
        <v>245</v>
      </c>
      <c r="L63" s="191"/>
      <c r="M63" s="191"/>
      <c r="N63" s="192"/>
      <c r="O63" s="192"/>
      <c r="P63" s="192"/>
      <c r="Q63" s="192"/>
      <c r="R63" s="192"/>
      <c r="S63" s="192"/>
      <c r="T63" s="192"/>
      <c r="U63" s="192"/>
      <c r="V63" s="192"/>
      <c r="W63" s="192"/>
      <c r="X63" s="192"/>
      <c r="Y63" s="192"/>
      <c r="Z63" s="192"/>
      <c r="AA63" s="192"/>
      <c r="AB63" s="192"/>
      <c r="AC63" s="192"/>
      <c r="AD63" s="192"/>
      <c r="AE63" s="192"/>
      <c r="AF63" s="192"/>
      <c r="AG63" s="192"/>
      <c r="AH63" s="192"/>
      <c r="AI63" s="192"/>
      <c r="AJ63" s="192"/>
      <c r="AK63" s="192"/>
      <c r="AL63" s="192"/>
      <c r="AM63" s="192"/>
      <c r="AN63" s="192"/>
      <c r="AO63" s="192"/>
      <c r="AP63" s="192"/>
      <c r="AQ63" s="192"/>
      <c r="AR63" s="193" t="str">
        <f aca="false">IF($A63="","",IF(OR($N63="Yes",$T63="Yes",$Z63="Yes",$AF63="Yes",$AL63="Yes"),"Yes","No"))</f>
        <v>No</v>
      </c>
      <c r="AS63" s="193" t="str">
        <f aca="false">IF($A63="","",IFERROR(IF($AM63&lt;&gt;"",$AM63,IF($AG63&lt;&gt;"",$AG63,IF($AA63&lt;&gt;"",$AA63,IF($U63&lt;&gt;"",$U63,IF($O63&lt;&gt;"",$O63,""))))),""))</f>
        <v/>
      </c>
      <c r="AT63" s="193" t="str">
        <f aca="false">IFERROR(IF($AN63&lt;&gt;"",$AN63,IF($AH63&lt;&gt;"",$AH63,IF($AB63&lt;&gt;"",$AB63,IF($V63&lt;&gt;"",$V63,IF($P63&lt;&gt;"",$P63,""))))),"")</f>
        <v/>
      </c>
      <c r="AU63" s="194"/>
      <c r="AV63" s="1"/>
    </row>
    <row r="64" customFormat="false" ht="180" hidden="false" customHeight="true" outlineLevel="0" collapsed="false">
      <c r="A64" s="191" t="str">
        <f aca="false">IF($F64="","",$C$2&amp;"."&amp;COUNTA($F$7:$F64)&amp;"")</f>
        <v>TC_04.49</v>
      </c>
      <c r="B64" s="191" t="s">
        <v>498</v>
      </c>
      <c r="C64" s="191" t="s">
        <v>530</v>
      </c>
      <c r="D64" s="191" t="s">
        <v>41</v>
      </c>
      <c r="E64" s="191" t="s">
        <v>160</v>
      </c>
      <c r="F64" s="13" t="s">
        <v>955</v>
      </c>
      <c r="G64" s="13" t="s">
        <v>833</v>
      </c>
      <c r="H64" s="13" t="s">
        <v>956</v>
      </c>
      <c r="I64" s="13" t="s">
        <v>957</v>
      </c>
      <c r="J64" s="191" t="s">
        <v>658</v>
      </c>
      <c r="K64" s="191" t="s">
        <v>245</v>
      </c>
      <c r="L64" s="191"/>
      <c r="M64" s="191"/>
      <c r="N64" s="192"/>
      <c r="O64" s="192"/>
      <c r="P64" s="192"/>
      <c r="Q64" s="192"/>
      <c r="R64" s="192"/>
      <c r="S64" s="192"/>
      <c r="T64" s="192"/>
      <c r="U64" s="192"/>
      <c r="V64" s="192"/>
      <c r="W64" s="192"/>
      <c r="X64" s="192"/>
      <c r="Y64" s="192"/>
      <c r="Z64" s="192"/>
      <c r="AA64" s="192"/>
      <c r="AB64" s="192"/>
      <c r="AC64" s="192"/>
      <c r="AD64" s="192"/>
      <c r="AE64" s="192"/>
      <c r="AF64" s="192"/>
      <c r="AG64" s="192"/>
      <c r="AH64" s="192"/>
      <c r="AI64" s="192"/>
      <c r="AJ64" s="192"/>
      <c r="AK64" s="192"/>
      <c r="AL64" s="192"/>
      <c r="AM64" s="192"/>
      <c r="AN64" s="192"/>
      <c r="AO64" s="192"/>
      <c r="AP64" s="192"/>
      <c r="AQ64" s="192"/>
      <c r="AR64" s="193" t="str">
        <f aca="false">IF($A64="","",IF(OR($N64="Yes",$T64="Yes",$Z64="Yes",$AF64="Yes",$AL64="Yes"),"Yes","No"))</f>
        <v>No</v>
      </c>
      <c r="AS64" s="193" t="str">
        <f aca="false">IF($A64="","",IFERROR(IF($AM64&lt;&gt;"",$AM64,IF($AG64&lt;&gt;"",$AG64,IF($AA64&lt;&gt;"",$AA64,IF($U64&lt;&gt;"",$U64,IF($O64&lt;&gt;"",$O64,""))))),""))</f>
        <v/>
      </c>
      <c r="AT64" s="193" t="str">
        <f aca="false">IFERROR(IF($AN64&lt;&gt;"",$AN64,IF($AH64&lt;&gt;"",$AH64,IF($AB64&lt;&gt;"",$AB64,IF($V64&lt;&gt;"",$V64,IF($P64&lt;&gt;"",$P64,""))))),"")</f>
        <v/>
      </c>
      <c r="AU64" s="194"/>
      <c r="AV64" s="1"/>
    </row>
    <row r="65" customFormat="false" ht="15.75" hidden="false" customHeight="true" outlineLevel="0" collapsed="false">
      <c r="A65" s="196"/>
      <c r="B65" s="196"/>
      <c r="C65" s="197" t="s">
        <v>958</v>
      </c>
      <c r="D65" s="197"/>
      <c r="E65" s="197"/>
      <c r="F65" s="197"/>
      <c r="G65" s="197"/>
      <c r="H65" s="197"/>
      <c r="I65" s="197"/>
      <c r="J65" s="197"/>
      <c r="K65" s="197"/>
      <c r="L65" s="197"/>
      <c r="M65" s="197"/>
      <c r="N65" s="197"/>
      <c r="O65" s="197"/>
      <c r="P65" s="197"/>
      <c r="Q65" s="197"/>
      <c r="R65" s="197"/>
      <c r="S65" s="197"/>
      <c r="T65" s="197"/>
      <c r="U65" s="197"/>
      <c r="V65" s="197"/>
      <c r="W65" s="197"/>
      <c r="X65" s="197"/>
      <c r="Y65" s="197"/>
      <c r="Z65" s="197"/>
      <c r="AA65" s="197"/>
      <c r="AB65" s="197"/>
      <c r="AC65" s="197"/>
      <c r="AD65" s="197"/>
      <c r="AE65" s="197"/>
      <c r="AF65" s="197"/>
      <c r="AG65" s="197"/>
      <c r="AH65" s="197"/>
      <c r="AI65" s="197"/>
      <c r="AJ65" s="197"/>
      <c r="AK65" s="197"/>
      <c r="AL65" s="197"/>
      <c r="AM65" s="197"/>
      <c r="AN65" s="197"/>
      <c r="AO65" s="197"/>
      <c r="AP65" s="197"/>
      <c r="AQ65" s="197"/>
      <c r="AR65" s="197"/>
      <c r="AS65" s="197"/>
      <c r="AT65" s="197"/>
      <c r="AU65" s="197"/>
      <c r="AV65" s="1"/>
    </row>
    <row r="66" customFormat="false" ht="135.75" hidden="false" customHeight="true" outlineLevel="0" collapsed="false">
      <c r="A66" s="191" t="str">
        <f aca="false">IF($F66="","",$C$2&amp;"."&amp;COUNTA($F$7:$F66)&amp;"")</f>
        <v>TC_04.50</v>
      </c>
      <c r="B66" s="191" t="s">
        <v>501</v>
      </c>
      <c r="C66" s="191" t="s">
        <v>530</v>
      </c>
      <c r="D66" s="191" t="s">
        <v>43</v>
      </c>
      <c r="E66" s="191" t="s">
        <v>160</v>
      </c>
      <c r="F66" s="13" t="s">
        <v>959</v>
      </c>
      <c r="G66" s="13" t="s">
        <v>800</v>
      </c>
      <c r="H66" s="13" t="s">
        <v>960</v>
      </c>
      <c r="I66" s="13" t="s">
        <v>961</v>
      </c>
      <c r="J66" s="191" t="s">
        <v>658</v>
      </c>
      <c r="K66" s="191" t="s">
        <v>245</v>
      </c>
      <c r="L66" s="191"/>
      <c r="M66" s="191"/>
      <c r="N66" s="192"/>
      <c r="O66" s="192"/>
      <c r="P66" s="192"/>
      <c r="Q66" s="192"/>
      <c r="R66" s="192"/>
      <c r="S66" s="192"/>
      <c r="T66" s="192"/>
      <c r="U66" s="192"/>
      <c r="V66" s="192"/>
      <c r="W66" s="192"/>
      <c r="X66" s="192"/>
      <c r="Y66" s="192"/>
      <c r="Z66" s="192"/>
      <c r="AA66" s="192"/>
      <c r="AB66" s="192"/>
      <c r="AC66" s="192"/>
      <c r="AD66" s="192"/>
      <c r="AE66" s="192"/>
      <c r="AF66" s="192"/>
      <c r="AG66" s="192"/>
      <c r="AH66" s="192"/>
      <c r="AI66" s="192"/>
      <c r="AJ66" s="192"/>
      <c r="AK66" s="192"/>
      <c r="AL66" s="192"/>
      <c r="AM66" s="192"/>
      <c r="AN66" s="192"/>
      <c r="AO66" s="192"/>
      <c r="AP66" s="192"/>
      <c r="AQ66" s="192"/>
      <c r="AR66" s="193" t="str">
        <f aca="false">IF($A66="","",IF(OR($N66="Yes",$T66="Yes",$Z66="Yes",$AF66="Yes",$AL66="Yes"),"Yes","No"))</f>
        <v>No</v>
      </c>
      <c r="AS66" s="193" t="str">
        <f aca="false">IF($A66="","",IFERROR(IF($AM66&lt;&gt;"",$AM66,IF($AG66&lt;&gt;"",$AG66,IF($AA66&lt;&gt;"",$AA66,IF($U66&lt;&gt;"",$U66,IF($O66&lt;&gt;"",$O66,""))))),""))</f>
        <v/>
      </c>
      <c r="AT66" s="193" t="str">
        <f aca="false">IFERROR(IF($AN66&lt;&gt;"",$AN66,IF($AH66&lt;&gt;"",$AH66,IF($AB66&lt;&gt;"",$AB66,IF($V66&lt;&gt;"",$V66,IF($P66&lt;&gt;"",$P66,""))))),"")</f>
        <v/>
      </c>
      <c r="AU66" s="194"/>
      <c r="AV66" s="1"/>
    </row>
    <row r="67" customFormat="false" ht="135.75" hidden="false" customHeight="true" outlineLevel="0" collapsed="false">
      <c r="A67" s="191" t="str">
        <f aca="false">IF($F67="","",$C$2&amp;"."&amp;COUNTA($F$7:$F67)&amp;"")</f>
        <v>TC_04.51</v>
      </c>
      <c r="B67" s="191" t="s">
        <v>501</v>
      </c>
      <c r="C67" s="191" t="s">
        <v>530</v>
      </c>
      <c r="D67" s="191" t="s">
        <v>43</v>
      </c>
      <c r="E67" s="191" t="s">
        <v>160</v>
      </c>
      <c r="F67" s="13" t="s">
        <v>962</v>
      </c>
      <c r="G67" s="13" t="s">
        <v>800</v>
      </c>
      <c r="H67" s="13" t="s">
        <v>963</v>
      </c>
      <c r="I67" s="13" t="s">
        <v>964</v>
      </c>
      <c r="J67" s="191" t="s">
        <v>658</v>
      </c>
      <c r="K67" s="191" t="s">
        <v>245</v>
      </c>
      <c r="L67" s="191"/>
      <c r="M67" s="191"/>
      <c r="N67" s="192"/>
      <c r="O67" s="192"/>
      <c r="P67" s="192"/>
      <c r="Q67" s="192"/>
      <c r="R67" s="192"/>
      <c r="S67" s="192"/>
      <c r="T67" s="192"/>
      <c r="U67" s="192"/>
      <c r="V67" s="192"/>
      <c r="W67" s="192"/>
      <c r="X67" s="192"/>
      <c r="Y67" s="192"/>
      <c r="Z67" s="192"/>
      <c r="AA67" s="192"/>
      <c r="AB67" s="192"/>
      <c r="AC67" s="192"/>
      <c r="AD67" s="192"/>
      <c r="AE67" s="192"/>
      <c r="AF67" s="192"/>
      <c r="AG67" s="192"/>
      <c r="AH67" s="192"/>
      <c r="AI67" s="192"/>
      <c r="AJ67" s="192"/>
      <c r="AK67" s="192"/>
      <c r="AL67" s="192"/>
      <c r="AM67" s="192"/>
      <c r="AN67" s="192"/>
      <c r="AO67" s="192"/>
      <c r="AP67" s="192"/>
      <c r="AQ67" s="192"/>
      <c r="AR67" s="193" t="str">
        <f aca="false">IF($A67="","",IF(OR($N67="Yes",$T67="Yes",$Z67="Yes",$AF67="Yes",$AL67="Yes"),"Yes","No"))</f>
        <v>No</v>
      </c>
      <c r="AS67" s="193" t="str">
        <f aca="false">IF($A67="","",IFERROR(IF($AM67&lt;&gt;"",$AM67,IF($AG67&lt;&gt;"",$AG67,IF($AA67&lt;&gt;"",$AA67,IF($U67&lt;&gt;"",$U67,IF($O67&lt;&gt;"",$O67,""))))),""))</f>
        <v/>
      </c>
      <c r="AT67" s="193" t="str">
        <f aca="false">IFERROR(IF($AN67&lt;&gt;"",$AN67,IF($AH67&lt;&gt;"",$AH67,IF($AB67&lt;&gt;"",$AB67,IF($V67&lt;&gt;"",$V67,IF($P67&lt;&gt;"",$P67,""))))),"")</f>
        <v/>
      </c>
      <c r="AU67" s="194"/>
      <c r="AV67" s="1"/>
    </row>
    <row r="68" customFormat="false" ht="15" hidden="false" customHeight="true" outlineLevel="0" collapsed="false">
      <c r="AV68" s="1"/>
    </row>
    <row r="69" customFormat="false" ht="15" hidden="false" customHeight="true" outlineLevel="0" collapsed="false">
      <c r="AV69" s="1"/>
    </row>
    <row r="70" customFormat="false" ht="15" hidden="false" customHeight="true" outlineLevel="0" collapsed="false">
      <c r="AV70" s="1"/>
    </row>
    <row r="71" customFormat="false" ht="15" hidden="false" customHeight="true" outlineLevel="0" collapsed="false">
      <c r="AV71" s="1"/>
    </row>
    <row r="72" customFormat="false" ht="15" hidden="false" customHeight="true" outlineLevel="0" collapsed="false">
      <c r="AV72" s="1"/>
    </row>
    <row r="73" customFormat="false" ht="15" hidden="false" customHeight="true" outlineLevel="0" collapsed="false">
      <c r="AV73" s="1"/>
    </row>
    <row r="74" customFormat="false" ht="15" hidden="false" customHeight="true" outlineLevel="0" collapsed="false">
      <c r="AV74" s="1"/>
    </row>
    <row r="75" customFormat="false" ht="15" hidden="false" customHeight="true" outlineLevel="0" collapsed="false">
      <c r="AV75" s="1"/>
    </row>
    <row r="76" customFormat="false" ht="15" hidden="false" customHeight="true" outlineLevel="0" collapsed="false">
      <c r="AV76" s="1"/>
    </row>
    <row r="77" customFormat="false" ht="15" hidden="false" customHeight="true" outlineLevel="0" collapsed="false">
      <c r="AV77" s="1"/>
    </row>
    <row r="78" customFormat="false" ht="15" hidden="false" customHeight="true" outlineLevel="0" collapsed="false">
      <c r="AV78" s="1"/>
    </row>
    <row r="79" customFormat="false" ht="15" hidden="false" customHeight="true" outlineLevel="0" collapsed="false">
      <c r="AV79" s="1"/>
    </row>
    <row r="80" customFormat="false" ht="15" hidden="false" customHeight="true" outlineLevel="0" collapsed="false">
      <c r="AV80" s="1"/>
    </row>
    <row r="81" customFormat="false" ht="15" hidden="false" customHeight="true" outlineLevel="0" collapsed="false">
      <c r="AV81" s="1"/>
    </row>
    <row r="82" customFormat="false" ht="15" hidden="false" customHeight="true" outlineLevel="0" collapsed="false">
      <c r="AV82" s="1"/>
    </row>
    <row r="83" customFormat="false" ht="15" hidden="false" customHeight="true" outlineLevel="0" collapsed="false">
      <c r="AV83" s="1"/>
    </row>
    <row r="84" customFormat="false" ht="15" hidden="false" customHeight="true" outlineLevel="0" collapsed="false">
      <c r="AV84" s="1"/>
    </row>
    <row r="85" customFormat="false" ht="15" hidden="false" customHeight="true" outlineLevel="0" collapsed="false">
      <c r="AV85" s="1"/>
    </row>
    <row r="86" customFormat="false" ht="15" hidden="false" customHeight="true" outlineLevel="0" collapsed="false">
      <c r="AV86" s="1"/>
    </row>
    <row r="87" customFormat="false" ht="15" hidden="false" customHeight="true" outlineLevel="0" collapsed="false">
      <c r="AV87" s="1"/>
    </row>
    <row r="88" customFormat="false" ht="15" hidden="false" customHeight="true" outlineLevel="0" collapsed="false">
      <c r="AV88" s="1"/>
    </row>
    <row r="89" customFormat="false" ht="15" hidden="false" customHeight="true" outlineLevel="0" collapsed="false">
      <c r="AV89" s="1"/>
    </row>
    <row r="90" customFormat="false" ht="15" hidden="false" customHeight="true" outlineLevel="0" collapsed="false">
      <c r="AV90" s="1"/>
    </row>
    <row r="91" customFormat="false" ht="15" hidden="false" customHeight="true" outlineLevel="0" collapsed="false">
      <c r="AV91" s="1"/>
    </row>
    <row r="92" customFormat="false" ht="15" hidden="false" customHeight="true" outlineLevel="0" collapsed="false">
      <c r="AV92" s="1"/>
    </row>
    <row r="93" customFormat="false" ht="15" hidden="false" customHeight="true" outlineLevel="0" collapsed="false">
      <c r="AV93" s="1"/>
    </row>
    <row r="94" customFormat="false" ht="15" hidden="false" customHeight="true" outlineLevel="0" collapsed="false">
      <c r="AV94" s="1"/>
    </row>
    <row r="95" customFormat="false" ht="15" hidden="false" customHeight="true" outlineLevel="0" collapsed="false">
      <c r="AV95" s="1"/>
    </row>
    <row r="96" customFormat="false" ht="15" hidden="false" customHeight="true" outlineLevel="0" collapsed="false">
      <c r="AV96" s="1"/>
    </row>
    <row r="97" customFormat="false" ht="15" hidden="false" customHeight="true" outlineLevel="0" collapsed="false">
      <c r="AV97" s="1"/>
    </row>
    <row r="98" customFormat="false" ht="15" hidden="false" customHeight="true" outlineLevel="0" collapsed="false">
      <c r="AV98" s="1"/>
    </row>
    <row r="99" customFormat="false" ht="15" hidden="false" customHeight="true" outlineLevel="0" collapsed="false">
      <c r="AV99" s="1"/>
    </row>
    <row r="100" customFormat="false" ht="15" hidden="false" customHeight="true" outlineLevel="0" collapsed="false">
      <c r="AV100" s="1"/>
    </row>
    <row r="101" customFormat="false" ht="15" hidden="false" customHeight="true" outlineLevel="0" collapsed="false">
      <c r="AV101" s="1"/>
    </row>
    <row r="102" customFormat="false" ht="15" hidden="false" customHeight="true" outlineLevel="0" collapsed="false">
      <c r="AV102" s="1"/>
    </row>
    <row r="103" customFormat="false" ht="15" hidden="false" customHeight="true" outlineLevel="0" collapsed="false">
      <c r="AV103" s="1"/>
    </row>
    <row r="104" customFormat="false" ht="15" hidden="false" customHeight="true" outlineLevel="0" collapsed="false">
      <c r="AV104" s="1"/>
    </row>
    <row r="105" customFormat="false" ht="15" hidden="false" customHeight="true" outlineLevel="0" collapsed="false">
      <c r="AV105" s="1"/>
    </row>
    <row r="106" customFormat="false" ht="15" hidden="false" customHeight="true" outlineLevel="0" collapsed="false">
      <c r="AV106" s="1"/>
    </row>
    <row r="107" customFormat="false" ht="15" hidden="false" customHeight="true" outlineLevel="0" collapsed="false">
      <c r="AV107" s="1"/>
    </row>
    <row r="108" customFormat="false" ht="15" hidden="false" customHeight="true" outlineLevel="0" collapsed="false">
      <c r="AV108" s="1"/>
    </row>
    <row r="109" customFormat="false" ht="15" hidden="false" customHeight="true" outlineLevel="0" collapsed="false">
      <c r="AV109" s="1"/>
    </row>
    <row r="110" customFormat="false" ht="15" hidden="false" customHeight="true" outlineLevel="0" collapsed="false">
      <c r="AV110" s="1"/>
    </row>
    <row r="111" customFormat="false" ht="15" hidden="false" customHeight="true" outlineLevel="0" collapsed="false">
      <c r="AV111" s="1"/>
    </row>
    <row r="112" customFormat="false" ht="15" hidden="false" customHeight="true" outlineLevel="0" collapsed="false">
      <c r="AV112" s="1"/>
    </row>
    <row r="113" customFormat="false" ht="15" hidden="false" customHeight="true" outlineLevel="0" collapsed="false">
      <c r="AV113" s="1"/>
    </row>
    <row r="114" customFormat="false" ht="15" hidden="false" customHeight="true" outlineLevel="0" collapsed="false">
      <c r="AV114" s="1"/>
    </row>
    <row r="115" customFormat="false" ht="15" hidden="false" customHeight="true" outlineLevel="0" collapsed="false">
      <c r="AV115" s="1"/>
    </row>
    <row r="116" customFormat="false" ht="15" hidden="false" customHeight="true" outlineLevel="0" collapsed="false">
      <c r="AV116" s="1"/>
    </row>
    <row r="117" customFormat="false" ht="15" hidden="false" customHeight="true" outlineLevel="0" collapsed="false">
      <c r="AV117" s="1"/>
    </row>
    <row r="118" customFormat="false" ht="15" hidden="false" customHeight="true" outlineLevel="0" collapsed="false">
      <c r="AV118" s="1"/>
    </row>
    <row r="119" customFormat="false" ht="15" hidden="false" customHeight="true" outlineLevel="0" collapsed="false">
      <c r="AV119" s="1"/>
    </row>
    <row r="120" customFormat="false" ht="15" hidden="false" customHeight="true" outlineLevel="0" collapsed="false">
      <c r="AV120" s="1"/>
    </row>
    <row r="121" customFormat="false" ht="15" hidden="false" customHeight="true" outlineLevel="0" collapsed="false">
      <c r="AV121" s="1"/>
    </row>
    <row r="122" customFormat="false" ht="15" hidden="false" customHeight="true" outlineLevel="0" collapsed="false">
      <c r="AV122" s="1"/>
    </row>
    <row r="123" customFormat="false" ht="15" hidden="false" customHeight="true" outlineLevel="0" collapsed="false">
      <c r="AV123" s="1"/>
    </row>
    <row r="124" customFormat="false" ht="15" hidden="false" customHeight="true" outlineLevel="0" collapsed="false">
      <c r="AV124" s="1"/>
    </row>
    <row r="125" customFormat="false" ht="15" hidden="false" customHeight="true" outlineLevel="0" collapsed="false">
      <c r="AV125" s="1"/>
    </row>
    <row r="126" customFormat="false" ht="15" hidden="false" customHeight="true" outlineLevel="0" collapsed="false">
      <c r="AV126" s="1"/>
    </row>
    <row r="127" customFormat="false" ht="15" hidden="false" customHeight="true" outlineLevel="0" collapsed="false">
      <c r="AV127" s="1"/>
    </row>
    <row r="128" customFormat="false" ht="15" hidden="false" customHeight="true" outlineLevel="0" collapsed="false">
      <c r="AV128" s="1"/>
    </row>
    <row r="129" customFormat="false" ht="15" hidden="false" customHeight="true" outlineLevel="0" collapsed="false">
      <c r="AV129" s="1"/>
    </row>
    <row r="130" customFormat="false" ht="15" hidden="false" customHeight="true" outlineLevel="0" collapsed="false">
      <c r="AV130" s="1"/>
    </row>
    <row r="131" customFormat="false" ht="15" hidden="false" customHeight="true" outlineLevel="0" collapsed="false">
      <c r="AV131" s="1"/>
    </row>
    <row r="132" customFormat="false" ht="15" hidden="false" customHeight="true" outlineLevel="0" collapsed="false">
      <c r="AV132" s="1"/>
    </row>
    <row r="133" customFormat="false" ht="15" hidden="false" customHeight="true" outlineLevel="0" collapsed="false">
      <c r="AV133" s="1"/>
    </row>
    <row r="134" customFormat="false" ht="15" hidden="false" customHeight="true" outlineLevel="0" collapsed="false">
      <c r="AV134" s="1"/>
    </row>
    <row r="135" customFormat="false" ht="15" hidden="false" customHeight="true" outlineLevel="0" collapsed="false">
      <c r="AV135" s="1"/>
    </row>
    <row r="136" customFormat="false" ht="15" hidden="false" customHeight="true" outlineLevel="0" collapsed="false">
      <c r="AV136" s="1"/>
    </row>
    <row r="137" customFormat="false" ht="15" hidden="false" customHeight="true" outlineLevel="0" collapsed="false">
      <c r="AV137" s="1"/>
    </row>
    <row r="138" customFormat="false" ht="15" hidden="false" customHeight="true" outlineLevel="0" collapsed="false">
      <c r="AV138" s="1"/>
    </row>
    <row r="139" customFormat="false" ht="15" hidden="false" customHeight="true" outlineLevel="0" collapsed="false">
      <c r="AV139" s="1"/>
    </row>
    <row r="140" customFormat="false" ht="15" hidden="false" customHeight="true" outlineLevel="0" collapsed="false">
      <c r="AV140" s="1"/>
    </row>
    <row r="141" customFormat="false" ht="15" hidden="false" customHeight="true" outlineLevel="0" collapsed="false">
      <c r="AV141" s="1"/>
    </row>
    <row r="142" customFormat="false" ht="15" hidden="false" customHeight="true" outlineLevel="0" collapsed="false">
      <c r="AV142" s="1"/>
    </row>
    <row r="143" customFormat="false" ht="15" hidden="false" customHeight="true" outlineLevel="0" collapsed="false">
      <c r="AV143" s="1"/>
    </row>
    <row r="144" customFormat="false" ht="15" hidden="false" customHeight="true" outlineLevel="0" collapsed="false">
      <c r="AV144" s="1"/>
    </row>
    <row r="145" customFormat="false" ht="15" hidden="false" customHeight="true" outlineLevel="0" collapsed="false">
      <c r="AV145" s="1"/>
    </row>
    <row r="146" customFormat="false" ht="15" hidden="false" customHeight="true" outlineLevel="0" collapsed="false">
      <c r="AV146" s="1"/>
    </row>
    <row r="147" customFormat="false" ht="15" hidden="false" customHeight="true" outlineLevel="0" collapsed="false">
      <c r="AV147" s="1"/>
    </row>
    <row r="148" customFormat="false" ht="15" hidden="false" customHeight="true" outlineLevel="0" collapsed="false">
      <c r="AV148" s="1"/>
    </row>
    <row r="149" customFormat="false" ht="15" hidden="false" customHeight="true" outlineLevel="0" collapsed="false">
      <c r="AV149" s="1"/>
    </row>
    <row r="150" customFormat="false" ht="15" hidden="false" customHeight="true" outlineLevel="0" collapsed="false">
      <c r="AV150" s="1"/>
    </row>
    <row r="151" customFormat="false" ht="15" hidden="false" customHeight="true" outlineLevel="0" collapsed="false">
      <c r="AV151" s="1"/>
    </row>
    <row r="152" customFormat="false" ht="15" hidden="false" customHeight="true" outlineLevel="0" collapsed="false">
      <c r="AV152" s="1"/>
    </row>
    <row r="153" customFormat="false" ht="15" hidden="false" customHeight="true" outlineLevel="0" collapsed="false">
      <c r="AV153" s="1"/>
    </row>
    <row r="154" customFormat="false" ht="15" hidden="false" customHeight="true" outlineLevel="0" collapsed="false">
      <c r="AV154" s="1"/>
    </row>
    <row r="155" customFormat="false" ht="15" hidden="false" customHeight="true" outlineLevel="0" collapsed="false">
      <c r="AV155" s="1"/>
    </row>
    <row r="156" customFormat="false" ht="15" hidden="false" customHeight="true" outlineLevel="0" collapsed="false">
      <c r="AV156" s="1"/>
    </row>
    <row r="157" customFormat="false" ht="15" hidden="false" customHeight="true" outlineLevel="0" collapsed="false">
      <c r="AV157" s="1"/>
    </row>
    <row r="158" customFormat="false" ht="15" hidden="false" customHeight="true" outlineLevel="0" collapsed="false">
      <c r="AV158" s="1"/>
    </row>
    <row r="159" customFormat="false" ht="15" hidden="false" customHeight="true" outlineLevel="0" collapsed="false">
      <c r="AV159" s="1"/>
    </row>
    <row r="160" customFormat="false" ht="15" hidden="false" customHeight="true" outlineLevel="0" collapsed="false">
      <c r="AV160" s="1"/>
    </row>
    <row r="161" customFormat="false" ht="15" hidden="false" customHeight="true" outlineLevel="0" collapsed="false">
      <c r="AV161" s="1"/>
    </row>
    <row r="162" customFormat="false" ht="15" hidden="false" customHeight="true" outlineLevel="0" collapsed="false">
      <c r="AV162" s="1"/>
    </row>
    <row r="163" customFormat="false" ht="15" hidden="false" customHeight="true" outlineLevel="0" collapsed="false">
      <c r="AV163" s="1"/>
    </row>
    <row r="164" customFormat="false" ht="15" hidden="false" customHeight="true" outlineLevel="0" collapsed="false">
      <c r="AV164" s="1"/>
    </row>
    <row r="165" customFormat="false" ht="15" hidden="false" customHeight="true" outlineLevel="0" collapsed="false">
      <c r="AV165" s="1"/>
    </row>
    <row r="166" customFormat="false" ht="15" hidden="false" customHeight="true" outlineLevel="0" collapsed="false">
      <c r="AV166" s="1"/>
    </row>
    <row r="167" customFormat="false" ht="15" hidden="false" customHeight="true" outlineLevel="0" collapsed="false">
      <c r="AV167" s="1"/>
    </row>
    <row r="168" customFormat="false" ht="15" hidden="false" customHeight="true" outlineLevel="0" collapsed="false">
      <c r="AV168" s="1"/>
    </row>
    <row r="169" customFormat="false" ht="15" hidden="false" customHeight="true" outlineLevel="0" collapsed="false">
      <c r="AV169" s="1"/>
    </row>
    <row r="170" customFormat="false" ht="15" hidden="false" customHeight="true" outlineLevel="0" collapsed="false">
      <c r="AV170" s="1"/>
    </row>
    <row r="171" customFormat="false" ht="15" hidden="false" customHeight="true" outlineLevel="0" collapsed="false">
      <c r="AV171" s="1"/>
    </row>
    <row r="172" customFormat="false" ht="15" hidden="false" customHeight="true" outlineLevel="0" collapsed="false">
      <c r="AV172" s="1"/>
    </row>
    <row r="173" customFormat="false" ht="15" hidden="false" customHeight="true" outlineLevel="0" collapsed="false">
      <c r="AV173" s="1"/>
    </row>
    <row r="174" customFormat="false" ht="15" hidden="false" customHeight="true" outlineLevel="0" collapsed="false">
      <c r="AV174" s="1"/>
    </row>
    <row r="175" customFormat="false" ht="15" hidden="false" customHeight="true" outlineLevel="0" collapsed="false">
      <c r="AV175" s="1"/>
    </row>
    <row r="176" customFormat="false" ht="15" hidden="false" customHeight="true" outlineLevel="0" collapsed="false">
      <c r="AV176" s="1"/>
    </row>
    <row r="177" customFormat="false" ht="15" hidden="false" customHeight="true" outlineLevel="0" collapsed="false">
      <c r="AV177" s="1"/>
    </row>
    <row r="178" customFormat="false" ht="15" hidden="false" customHeight="true" outlineLevel="0" collapsed="false">
      <c r="AV178" s="1"/>
    </row>
    <row r="179" customFormat="false" ht="15" hidden="false" customHeight="true" outlineLevel="0" collapsed="false">
      <c r="AV179" s="1"/>
    </row>
    <row r="180" customFormat="false" ht="15" hidden="false" customHeight="true" outlineLevel="0" collapsed="false">
      <c r="AV180" s="1"/>
    </row>
    <row r="181" customFormat="false" ht="15" hidden="false" customHeight="true" outlineLevel="0" collapsed="false">
      <c r="AV181" s="1"/>
    </row>
    <row r="182" customFormat="false" ht="15" hidden="false" customHeight="true" outlineLevel="0" collapsed="false">
      <c r="AV182" s="1"/>
    </row>
    <row r="183" customFormat="false" ht="15" hidden="false" customHeight="true" outlineLevel="0" collapsed="false">
      <c r="AV183" s="1"/>
    </row>
    <row r="184" customFormat="false" ht="15" hidden="false" customHeight="true" outlineLevel="0" collapsed="false">
      <c r="AV184" s="1"/>
    </row>
    <row r="185" customFormat="false" ht="15" hidden="false" customHeight="true" outlineLevel="0" collapsed="false">
      <c r="AV185" s="1"/>
    </row>
    <row r="186" customFormat="false" ht="15" hidden="false" customHeight="true" outlineLevel="0" collapsed="false">
      <c r="AV186" s="1"/>
    </row>
    <row r="187" customFormat="false" ht="15" hidden="false" customHeight="true" outlineLevel="0" collapsed="false">
      <c r="AV187" s="1"/>
    </row>
    <row r="188" customFormat="false" ht="15" hidden="false" customHeight="true" outlineLevel="0" collapsed="false">
      <c r="AV188" s="1"/>
    </row>
    <row r="189" customFormat="false" ht="15" hidden="false" customHeight="true" outlineLevel="0" collapsed="false">
      <c r="AV189" s="1"/>
    </row>
    <row r="190" customFormat="false" ht="15" hidden="false" customHeight="true" outlineLevel="0" collapsed="false">
      <c r="AV190" s="1"/>
    </row>
    <row r="191" customFormat="false" ht="15" hidden="false" customHeight="true" outlineLevel="0" collapsed="false">
      <c r="AV191" s="1"/>
    </row>
    <row r="192" customFormat="false" ht="15" hidden="false" customHeight="true" outlineLevel="0" collapsed="false">
      <c r="AV192" s="1"/>
    </row>
    <row r="193" customFormat="false" ht="15" hidden="false" customHeight="true" outlineLevel="0" collapsed="false">
      <c r="AV193" s="1"/>
    </row>
    <row r="194" customFormat="false" ht="15" hidden="false" customHeight="true" outlineLevel="0" collapsed="false">
      <c r="AV194" s="1"/>
    </row>
    <row r="195" customFormat="false" ht="15" hidden="false" customHeight="true" outlineLevel="0" collapsed="false">
      <c r="AV195" s="1"/>
    </row>
    <row r="196" customFormat="false" ht="15" hidden="false" customHeight="true" outlineLevel="0" collapsed="false">
      <c r="AV196" s="1"/>
    </row>
    <row r="197" customFormat="false" ht="15" hidden="false" customHeight="true" outlineLevel="0" collapsed="false">
      <c r="AV197" s="1"/>
    </row>
    <row r="198" customFormat="false" ht="15" hidden="false" customHeight="true" outlineLevel="0" collapsed="false">
      <c r="AV198" s="1"/>
    </row>
    <row r="199" customFormat="false" ht="15" hidden="false" customHeight="true" outlineLevel="0" collapsed="false">
      <c r="AV199" s="1"/>
    </row>
    <row r="200" customFormat="false" ht="15" hidden="false" customHeight="true" outlineLevel="0" collapsed="false">
      <c r="AV200" s="1"/>
    </row>
    <row r="201" customFormat="false" ht="15" hidden="false" customHeight="true" outlineLevel="0" collapsed="false">
      <c r="AV201" s="1"/>
    </row>
    <row r="202" customFormat="false" ht="15" hidden="false" customHeight="true" outlineLevel="0" collapsed="false">
      <c r="AV202" s="1"/>
    </row>
    <row r="203" customFormat="false" ht="15" hidden="false" customHeight="true" outlineLevel="0" collapsed="false">
      <c r="AV203" s="1"/>
    </row>
    <row r="204" customFormat="false" ht="15" hidden="false" customHeight="true" outlineLevel="0" collapsed="false">
      <c r="AV204" s="1"/>
    </row>
    <row r="205" customFormat="false" ht="15" hidden="false" customHeight="true" outlineLevel="0" collapsed="false">
      <c r="AV205" s="1"/>
    </row>
    <row r="206" customFormat="false" ht="15" hidden="false" customHeight="true" outlineLevel="0" collapsed="false">
      <c r="AV206" s="1"/>
    </row>
    <row r="207" customFormat="false" ht="15" hidden="false" customHeight="true" outlineLevel="0" collapsed="false">
      <c r="AV207" s="1"/>
    </row>
    <row r="208" customFormat="false" ht="15" hidden="false" customHeight="true" outlineLevel="0" collapsed="false">
      <c r="AV208" s="1"/>
    </row>
    <row r="209" customFormat="false" ht="15" hidden="false" customHeight="true" outlineLevel="0" collapsed="false">
      <c r="AV209" s="1"/>
    </row>
    <row r="210" customFormat="false" ht="15" hidden="false" customHeight="true" outlineLevel="0" collapsed="false">
      <c r="AV210" s="1"/>
    </row>
    <row r="211" customFormat="false" ht="15" hidden="false" customHeight="true" outlineLevel="0" collapsed="false">
      <c r="AV211" s="1"/>
    </row>
    <row r="212" customFormat="false" ht="15" hidden="false" customHeight="true" outlineLevel="0" collapsed="false">
      <c r="AV212" s="1"/>
    </row>
    <row r="213" customFormat="false" ht="15" hidden="false" customHeight="true" outlineLevel="0" collapsed="false">
      <c r="AV213" s="1"/>
    </row>
    <row r="214" customFormat="false" ht="15" hidden="false" customHeight="true" outlineLevel="0" collapsed="false">
      <c r="AV214" s="1"/>
    </row>
    <row r="215" customFormat="false" ht="15" hidden="false" customHeight="true" outlineLevel="0" collapsed="false">
      <c r="AV215" s="1"/>
    </row>
    <row r="216" customFormat="false" ht="15" hidden="false" customHeight="true" outlineLevel="0" collapsed="false">
      <c r="AV216" s="1"/>
    </row>
    <row r="217" customFormat="false" ht="15" hidden="false" customHeight="true" outlineLevel="0" collapsed="false">
      <c r="AV217" s="1"/>
    </row>
    <row r="218" customFormat="false" ht="15" hidden="false" customHeight="true" outlineLevel="0" collapsed="false">
      <c r="AV218" s="1"/>
    </row>
    <row r="219" customFormat="false" ht="15" hidden="false" customHeight="true" outlineLevel="0" collapsed="false">
      <c r="AV219" s="1"/>
    </row>
    <row r="220" customFormat="false" ht="15" hidden="false" customHeight="true" outlineLevel="0" collapsed="false">
      <c r="AV220" s="1"/>
    </row>
  </sheetData>
  <autoFilter ref="A6:AU6"/>
  <mergeCells count="29">
    <mergeCell ref="A2:B2"/>
    <mergeCell ref="C2:E2"/>
    <mergeCell ref="A3:B3"/>
    <mergeCell ref="C3:E3"/>
    <mergeCell ref="G3:H3"/>
    <mergeCell ref="I3:J3"/>
    <mergeCell ref="A4:B4"/>
    <mergeCell ref="C4:E4"/>
    <mergeCell ref="G4:H4"/>
    <mergeCell ref="I4:J4"/>
    <mergeCell ref="A5:C5"/>
    <mergeCell ref="D5:I5"/>
    <mergeCell ref="J5:M5"/>
    <mergeCell ref="N5:S5"/>
    <mergeCell ref="T5:Y5"/>
    <mergeCell ref="Z5:AE5"/>
    <mergeCell ref="AF5:AK5"/>
    <mergeCell ref="AL5:AQ5"/>
    <mergeCell ref="AR5:AU5"/>
    <mergeCell ref="C7:AU7"/>
    <mergeCell ref="C17:AU17"/>
    <mergeCell ref="C19:AU19"/>
    <mergeCell ref="C22:AU22"/>
    <mergeCell ref="C30:AU30"/>
    <mergeCell ref="C39:AU39"/>
    <mergeCell ref="C50:AU50"/>
    <mergeCell ref="C57:AU57"/>
    <mergeCell ref="C61:AU61"/>
    <mergeCell ref="C65:AU65"/>
  </mergeCells>
  <conditionalFormatting sqref="O7:O500 P7:P500 U7:U500 V7:V500 AA7:AA500 AB7:AB500 AG7:AG500 AH7:AH500 AM7:AM500 AN7:AN500 AS7:AS500 AT7:AT500">
    <cfRule type="cellIs" priority="2" operator="equal" aboveAverage="0" equalAverage="0" bottom="0" percent="0" rank="0" text="" dxfId="0">
      <formula>"Pass"</formula>
    </cfRule>
    <cfRule type="cellIs" priority="3" operator="equal" aboveAverage="0" equalAverage="0" bottom="0" percent="0" rank="0" text="" dxfId="1">
      <formula>"Fail"</formula>
    </cfRule>
    <cfRule type="cellIs" priority="4" operator="equal" aboveAverage="0" equalAverage="0" bottom="0" percent="0" rank="0" text="" dxfId="2">
      <formula>"Block"</formula>
    </cfRule>
    <cfRule type="cellIs" priority="5" operator="equal" aboveAverage="0" equalAverage="0" bottom="0" percent="0" rank="0" text="" dxfId="3">
      <formula>"N/A"</formula>
    </cfRule>
  </conditionalFormatting>
  <dataValidations count="8">
    <dataValidation allowBlank="true" errorStyle="stop" operator="between" showDropDown="false" showErrorMessage="false" showInputMessage="false" sqref="J7:J500" type="list">
      <formula1>"AI,QC"</formula1>
      <formula2>0</formula2>
    </dataValidation>
    <dataValidation allowBlank="true" errorStyle="stop" operator="between" showDropDown="false" showErrorMessage="false" showInputMessage="false" sqref="E7:E500" type="list">
      <formula1>"High,Medium,Low"</formula1>
      <formula2>0</formula2>
    </dataValidation>
    <dataValidation allowBlank="true" errorStyle="stop" operator="between" showDropDown="false" showErrorMessage="false" showInputMessage="false" sqref="P7:P500 V7:V500 AB7:AB500 AH7:AH500 AN7:AN500" type="list">
      <formula1>"Pass,Fail,Block,N/A"</formula1>
      <formula2>0</formula2>
    </dataValidation>
    <dataValidation allowBlank="true" errorStyle="stop" operator="between" showDropDown="false" showErrorMessage="false" showInputMessage="false" sqref="N7:N500 T7:T500 Z7:Z500 AF7:AF500 AL7:AL500" type="list">
      <formula1>"Yes,No,N/A"</formula1>
      <formula2>0</formula2>
    </dataValidation>
    <dataValidation allowBlank="true" errorStyle="stop" operator="between" showDropDown="false" showErrorMessage="false" showInputMessage="false" sqref="O7:O500 U7:U500 AA7:AA500 AG7:AG500 AM7:AM500" type="list">
      <formula1>"Pass,Fail,Block,N/A,Chưa chạy"</formula1>
      <formula2>0</formula2>
    </dataValidation>
    <dataValidation allowBlank="true" errorStyle="stop" operator="between" showDropDown="false" showErrorMessage="false" showInputMessage="false" sqref="D7:D500" type="list">
      <formula1>"Functional,UI,Integration,Database Test Case"</formula1>
      <formula2>0</formula2>
    </dataValidation>
    <dataValidation allowBlank="true" errorStyle="stop" operator="between" showDropDown="false" showErrorMessage="false" showInputMessage="false" sqref="K7:K500" type="list">
      <formula1>"Reviewed,Pending,N/A"</formula1>
      <formula2>0</formula2>
    </dataValidation>
    <dataValidation allowBlank="true" errorStyle="stop" operator="between" showDropDown="false" showErrorMessage="false" showInputMessage="false" sqref="L7:L500"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V1000"/>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1" ySplit="6" topLeftCell="AI7" activePane="bottomRight" state="frozen"/>
      <selection pane="topLeft" activeCell="A1" activeCellId="0" sqref="A1"/>
      <selection pane="topRight" activeCell="AI1" activeCellId="0" sqref="AI1"/>
      <selection pane="bottomLeft" activeCell="A7" activeCellId="0" sqref="A7"/>
      <selection pane="bottomRight" activeCell="AX8" activeCellId="0" sqref="AX8"/>
    </sheetView>
  </sheetViews>
  <sheetFormatPr defaultColWidth="14.43359375" defaultRowHeight="15" customHeight="true" zeroHeight="false" outlineLevelRow="0" outlineLevelCol="0"/>
  <cols>
    <col collapsed="false" customWidth="true" hidden="false" outlineLevel="0" max="2" min="1" style="1" width="14"/>
    <col collapsed="false" customWidth="true" hidden="false" outlineLevel="0" max="4" min="3" style="1" width="13"/>
    <col collapsed="false" customWidth="true" hidden="false" outlineLevel="0" max="5" min="5" style="1" width="11"/>
    <col collapsed="false" customWidth="true" hidden="false" outlineLevel="0" max="6" min="6" style="1" width="34"/>
    <col collapsed="false" customWidth="true" hidden="false" outlineLevel="0" max="7" min="7" style="1" width="28"/>
    <col collapsed="false" customWidth="true" hidden="false" outlineLevel="0" max="8" min="8" style="1" width="40"/>
    <col collapsed="false" customWidth="true" hidden="false" outlineLevel="0" max="9" min="9" style="1" width="34"/>
    <col collapsed="false" customWidth="true" hidden="false" outlineLevel="0" max="10" min="10" style="1" width="10"/>
    <col collapsed="false" customWidth="true" hidden="false" outlineLevel="0" max="11" min="11" style="1" width="12.43"/>
    <col collapsed="false" customWidth="true" hidden="false" outlineLevel="0" max="12" min="12" style="1" width="14"/>
    <col collapsed="false" customWidth="true" hidden="false" outlineLevel="0" max="13" min="13" style="1" width="26.16"/>
    <col collapsed="false" customWidth="true" hidden="false" outlineLevel="0" max="14" min="14" style="1" width="9"/>
    <col collapsed="false" customWidth="true" hidden="false" outlineLevel="0" max="15" min="15" style="1" width="10"/>
    <col collapsed="false" customWidth="true" hidden="false" outlineLevel="0" max="16" min="16" style="1" width="9"/>
    <col collapsed="false" customWidth="true" hidden="false" outlineLevel="0" max="17" min="17" style="1" width="13"/>
    <col collapsed="false" customWidth="true" hidden="false" outlineLevel="0" max="18" min="18" style="1" width="11"/>
    <col collapsed="false" customWidth="true" hidden="false" outlineLevel="0" max="19" min="19" style="1" width="22"/>
    <col collapsed="false" customWidth="true" hidden="false" outlineLevel="0" max="20" min="20" style="1" width="9"/>
    <col collapsed="false" customWidth="true" hidden="false" outlineLevel="0" max="21" min="21" style="1" width="10"/>
    <col collapsed="false" customWidth="true" hidden="false" outlineLevel="0" max="22" min="22" style="1" width="9"/>
    <col collapsed="false" customWidth="true" hidden="false" outlineLevel="0" max="23" min="23" style="1" width="13"/>
    <col collapsed="false" customWidth="true" hidden="false" outlineLevel="0" max="24" min="24" style="1" width="11"/>
    <col collapsed="false" customWidth="true" hidden="false" outlineLevel="0" max="25" min="25" style="1" width="22"/>
    <col collapsed="false" customWidth="true" hidden="false" outlineLevel="0" max="26" min="26" style="1" width="9"/>
    <col collapsed="false" customWidth="true" hidden="false" outlineLevel="0" max="27" min="27" style="1" width="10"/>
    <col collapsed="false" customWidth="true" hidden="false" outlineLevel="0" max="28" min="28" style="1" width="9"/>
    <col collapsed="false" customWidth="true" hidden="false" outlineLevel="0" max="29" min="29" style="1" width="13"/>
    <col collapsed="false" customWidth="true" hidden="false" outlineLevel="0" max="30" min="30" style="1" width="11"/>
    <col collapsed="false" customWidth="true" hidden="false" outlineLevel="0" max="31" min="31" style="1" width="22"/>
    <col collapsed="false" customWidth="true" hidden="false" outlineLevel="0" max="32" min="32" style="1" width="9"/>
    <col collapsed="false" customWidth="true" hidden="false" outlineLevel="0" max="33" min="33" style="1" width="10"/>
    <col collapsed="false" customWidth="true" hidden="false" outlineLevel="0" max="34" min="34" style="1" width="9"/>
    <col collapsed="false" customWidth="true" hidden="false" outlineLevel="0" max="35" min="35" style="1" width="13"/>
    <col collapsed="false" customWidth="true" hidden="false" outlineLevel="0" max="36" min="36" style="1" width="11"/>
    <col collapsed="false" customWidth="true" hidden="false" outlineLevel="0" max="37" min="37" style="1" width="22"/>
    <col collapsed="false" customWidth="true" hidden="false" outlineLevel="0" max="38" min="38" style="1" width="9"/>
    <col collapsed="false" customWidth="true" hidden="false" outlineLevel="0" max="39" min="39" style="1" width="10"/>
    <col collapsed="false" customWidth="true" hidden="false" outlineLevel="0" max="40" min="40" style="1" width="9"/>
    <col collapsed="false" customWidth="true" hidden="false" outlineLevel="0" max="41" min="41" style="1" width="13"/>
    <col collapsed="false" customWidth="true" hidden="false" outlineLevel="0" max="42" min="42" style="1" width="11"/>
    <col collapsed="false" customWidth="true" hidden="false" outlineLevel="0" max="43" min="43" style="1" width="22"/>
    <col collapsed="false" customWidth="true" hidden="false" outlineLevel="0" max="44" min="44" style="1" width="12"/>
    <col collapsed="false" customWidth="true" hidden="false" outlineLevel="0" max="45" min="45" style="1" width="14"/>
    <col collapsed="false" customWidth="true" hidden="false" outlineLevel="0" max="46" min="46" style="1" width="11"/>
    <col collapsed="false" customWidth="true" hidden="false" outlineLevel="0" max="47" min="47" style="1" width="24"/>
  </cols>
  <sheetData>
    <row r="1" customFormat="false" ht="15" hidden="false" customHeight="true" outlineLevel="0" collapsed="false">
      <c r="A1" s="172"/>
    </row>
    <row r="2" customFormat="false" ht="15" hidden="false" customHeight="true" outlineLevel="0" collapsed="false">
      <c r="A2" s="180" t="s">
        <v>629</v>
      </c>
      <c r="B2" s="180"/>
      <c r="C2" s="181" t="s">
        <v>203</v>
      </c>
      <c r="D2" s="181"/>
      <c r="E2" s="181"/>
    </row>
    <row r="3" customFormat="false" ht="15" hidden="false" customHeight="true" outlineLevel="0" collapsed="false">
      <c r="A3" s="180" t="s">
        <v>630</v>
      </c>
      <c r="B3" s="180"/>
      <c r="C3" s="181" t="s">
        <v>204</v>
      </c>
      <c r="D3" s="181"/>
      <c r="E3" s="181"/>
      <c r="G3" s="180" t="s">
        <v>82</v>
      </c>
      <c r="H3" s="180"/>
      <c r="I3" s="38" t="str">
        <f aca="false">Summary!$C$8</f>
        <v>v1.1</v>
      </c>
      <c r="J3" s="38"/>
    </row>
    <row r="4" customFormat="false" ht="15" hidden="false" customHeight="true" outlineLevel="0" collapsed="false">
      <c r="A4" s="180" t="s">
        <v>145</v>
      </c>
      <c r="B4" s="180"/>
      <c r="C4" s="38" t="str">
        <f aca="false">TEXT(Summary!$C$10,"DD/MM/YYYY")&amp;"  →  "&amp;TEXT(Summary!$C$11,"DD/MM/YYYY")</f>
        <v>18/09/2026  →  25/09/2026</v>
      </c>
      <c r="D4" s="38"/>
      <c r="E4" s="38"/>
      <c r="G4" s="180" t="s">
        <v>103</v>
      </c>
      <c r="H4" s="180"/>
      <c r="I4" s="38" t="str">
        <f aca="false">Summary!$C$13</f>
        <v>GiangDC2</v>
      </c>
      <c r="J4" s="38"/>
    </row>
    <row r="5" customFormat="false" ht="15" hidden="false" customHeight="true" outlineLevel="0" collapsed="false">
      <c r="A5" s="182" t="s">
        <v>631</v>
      </c>
      <c r="B5" s="182"/>
      <c r="C5" s="182"/>
      <c r="D5" s="117" t="s">
        <v>632</v>
      </c>
      <c r="E5" s="117"/>
      <c r="F5" s="117"/>
      <c r="G5" s="117"/>
      <c r="H5" s="117"/>
      <c r="I5" s="117"/>
      <c r="J5" s="136" t="s">
        <v>58</v>
      </c>
      <c r="K5" s="136"/>
      <c r="L5" s="136"/>
      <c r="M5" s="136"/>
      <c r="N5" s="183" t="s">
        <v>633</v>
      </c>
      <c r="O5" s="183"/>
      <c r="P5" s="183"/>
      <c r="Q5" s="183"/>
      <c r="R5" s="183"/>
      <c r="S5" s="183"/>
      <c r="T5" s="184" t="s">
        <v>634</v>
      </c>
      <c r="U5" s="184"/>
      <c r="V5" s="184"/>
      <c r="W5" s="184"/>
      <c r="X5" s="184"/>
      <c r="Y5" s="184"/>
      <c r="Z5" s="183" t="s">
        <v>635</v>
      </c>
      <c r="AA5" s="183"/>
      <c r="AB5" s="183"/>
      <c r="AC5" s="183"/>
      <c r="AD5" s="183"/>
      <c r="AE5" s="183"/>
      <c r="AF5" s="184" t="s">
        <v>636</v>
      </c>
      <c r="AG5" s="184"/>
      <c r="AH5" s="184"/>
      <c r="AI5" s="184"/>
      <c r="AJ5" s="184"/>
      <c r="AK5" s="184"/>
      <c r="AL5" s="183" t="s">
        <v>637</v>
      </c>
      <c r="AM5" s="183"/>
      <c r="AN5" s="183"/>
      <c r="AO5" s="183"/>
      <c r="AP5" s="183"/>
      <c r="AQ5" s="183"/>
      <c r="AR5" s="185" t="s">
        <v>638</v>
      </c>
      <c r="AS5" s="185"/>
      <c r="AT5" s="185"/>
      <c r="AU5" s="185"/>
    </row>
    <row r="6" customFormat="false" ht="30" hidden="false" customHeight="true" outlineLevel="0" collapsed="false">
      <c r="A6" s="186" t="s">
        <v>639</v>
      </c>
      <c r="B6" s="186" t="s">
        <v>405</v>
      </c>
      <c r="C6" s="186" t="s">
        <v>640</v>
      </c>
      <c r="D6" s="125" t="s">
        <v>40</v>
      </c>
      <c r="E6" s="125" t="s">
        <v>32</v>
      </c>
      <c r="F6" s="125" t="s">
        <v>641</v>
      </c>
      <c r="G6" s="125" t="s">
        <v>642</v>
      </c>
      <c r="H6" s="125" t="s">
        <v>643</v>
      </c>
      <c r="I6" s="125" t="s">
        <v>644</v>
      </c>
      <c r="J6" s="175" t="s">
        <v>645</v>
      </c>
      <c r="K6" s="175" t="s">
        <v>62</v>
      </c>
      <c r="L6" s="175" t="s">
        <v>64</v>
      </c>
      <c r="M6" s="175" t="s">
        <v>66</v>
      </c>
      <c r="N6" s="187" t="s">
        <v>68</v>
      </c>
      <c r="O6" s="187" t="s">
        <v>70</v>
      </c>
      <c r="P6" s="187" t="s">
        <v>646</v>
      </c>
      <c r="Q6" s="187" t="s">
        <v>647</v>
      </c>
      <c r="R6" s="187" t="s">
        <v>648</v>
      </c>
      <c r="S6" s="187" t="s">
        <v>265</v>
      </c>
      <c r="T6" s="187" t="s">
        <v>68</v>
      </c>
      <c r="U6" s="187" t="s">
        <v>70</v>
      </c>
      <c r="V6" s="187" t="s">
        <v>646</v>
      </c>
      <c r="W6" s="187" t="s">
        <v>647</v>
      </c>
      <c r="X6" s="187" t="s">
        <v>648</v>
      </c>
      <c r="Y6" s="187" t="s">
        <v>265</v>
      </c>
      <c r="Z6" s="187" t="s">
        <v>68</v>
      </c>
      <c r="AA6" s="187" t="s">
        <v>70</v>
      </c>
      <c r="AB6" s="187" t="s">
        <v>646</v>
      </c>
      <c r="AC6" s="187" t="s">
        <v>647</v>
      </c>
      <c r="AD6" s="187" t="s">
        <v>648</v>
      </c>
      <c r="AE6" s="187" t="s">
        <v>265</v>
      </c>
      <c r="AF6" s="187" t="s">
        <v>68</v>
      </c>
      <c r="AG6" s="187" t="s">
        <v>70</v>
      </c>
      <c r="AH6" s="187" t="s">
        <v>646</v>
      </c>
      <c r="AI6" s="187" t="s">
        <v>647</v>
      </c>
      <c r="AJ6" s="187" t="s">
        <v>648</v>
      </c>
      <c r="AK6" s="187" t="s">
        <v>265</v>
      </c>
      <c r="AL6" s="187" t="s">
        <v>68</v>
      </c>
      <c r="AM6" s="187" t="s">
        <v>70</v>
      </c>
      <c r="AN6" s="187" t="s">
        <v>646</v>
      </c>
      <c r="AO6" s="187" t="s">
        <v>647</v>
      </c>
      <c r="AP6" s="187" t="s">
        <v>648</v>
      </c>
      <c r="AQ6" s="187" t="s">
        <v>265</v>
      </c>
      <c r="AR6" s="188" t="s">
        <v>649</v>
      </c>
      <c r="AS6" s="188" t="s">
        <v>650</v>
      </c>
      <c r="AT6" s="188" t="s">
        <v>50</v>
      </c>
      <c r="AU6" s="188" t="s">
        <v>651</v>
      </c>
    </row>
    <row r="7" customFormat="false" ht="15" hidden="false" customHeight="true" outlineLevel="0" collapsed="false">
      <c r="A7" s="189"/>
      <c r="B7" s="189"/>
      <c r="C7" s="190" t="s">
        <v>965</v>
      </c>
      <c r="D7" s="190"/>
      <c r="E7" s="190"/>
      <c r="F7" s="190"/>
      <c r="G7" s="190"/>
      <c r="H7" s="190"/>
      <c r="I7" s="190"/>
      <c r="J7" s="190"/>
      <c r="K7" s="190"/>
      <c r="L7" s="190"/>
      <c r="M7" s="190"/>
      <c r="N7" s="190"/>
      <c r="O7" s="190"/>
      <c r="P7" s="190"/>
      <c r="Q7" s="190"/>
      <c r="R7" s="190"/>
      <c r="S7" s="190"/>
      <c r="T7" s="190"/>
      <c r="U7" s="190"/>
      <c r="V7" s="190"/>
      <c r="W7" s="190"/>
      <c r="X7" s="190"/>
      <c r="Y7" s="190"/>
      <c r="Z7" s="190"/>
      <c r="AA7" s="190"/>
      <c r="AB7" s="190"/>
      <c r="AC7" s="190"/>
      <c r="AD7" s="190"/>
      <c r="AE7" s="190"/>
      <c r="AF7" s="190"/>
      <c r="AG7" s="190"/>
      <c r="AH7" s="190"/>
      <c r="AI7" s="190"/>
      <c r="AJ7" s="190"/>
      <c r="AK7" s="190"/>
      <c r="AL7" s="190"/>
      <c r="AM7" s="190"/>
      <c r="AN7" s="190"/>
      <c r="AO7" s="190"/>
      <c r="AP7" s="190"/>
      <c r="AQ7" s="190"/>
      <c r="AR7" s="190"/>
      <c r="AS7" s="190"/>
      <c r="AT7" s="190"/>
      <c r="AU7" s="190"/>
    </row>
    <row r="8" customFormat="false" ht="132.75" hidden="false" customHeight="true" outlineLevel="0" collapsed="false">
      <c r="A8" s="191" t="str">
        <f aca="false">IF($F8="","",$C$2&amp;"."&amp;COUNTA($F$7:$F8)&amp;"")</f>
        <v>TC_05.1</v>
      </c>
      <c r="B8" s="191" t="s">
        <v>504</v>
      </c>
      <c r="C8" s="191" t="s">
        <v>505</v>
      </c>
      <c r="D8" s="191" t="s">
        <v>43</v>
      </c>
      <c r="E8" s="191" t="s">
        <v>159</v>
      </c>
      <c r="F8" s="13" t="s">
        <v>966</v>
      </c>
      <c r="G8" s="13" t="s">
        <v>967</v>
      </c>
      <c r="H8" s="13" t="s">
        <v>968</v>
      </c>
      <c r="I8" s="13" t="s">
        <v>969</v>
      </c>
      <c r="J8" s="191" t="s">
        <v>658</v>
      </c>
      <c r="K8" s="191" t="s">
        <v>245</v>
      </c>
      <c r="L8" s="191"/>
      <c r="M8" s="191"/>
      <c r="N8" s="192"/>
      <c r="O8" s="192"/>
      <c r="P8" s="192"/>
      <c r="Q8" s="192"/>
      <c r="R8" s="192"/>
      <c r="S8" s="192"/>
      <c r="T8" s="192"/>
      <c r="U8" s="192"/>
      <c r="V8" s="192"/>
      <c r="W8" s="192"/>
      <c r="X8" s="192"/>
      <c r="Y8" s="192"/>
      <c r="Z8" s="192"/>
      <c r="AA8" s="192"/>
      <c r="AB8" s="192"/>
      <c r="AC8" s="192"/>
      <c r="AD8" s="192"/>
      <c r="AE8" s="192"/>
      <c r="AF8" s="192"/>
      <c r="AG8" s="192"/>
      <c r="AH8" s="192"/>
      <c r="AI8" s="192"/>
      <c r="AJ8" s="192"/>
      <c r="AK8" s="192"/>
      <c r="AL8" s="192"/>
      <c r="AM8" s="192"/>
      <c r="AN8" s="192"/>
      <c r="AO8" s="192"/>
      <c r="AP8" s="192"/>
      <c r="AQ8" s="192"/>
      <c r="AR8" s="193" t="str">
        <f aca="false">IF($A8="","",IF(OR($N8="Yes",$T8="Yes",$Z8="Yes",$AF8="Yes",$AL8="Yes"),"Yes","No"))</f>
        <v>No</v>
      </c>
      <c r="AS8" s="193" t="str">
        <f aca="false">IF($A8="","",IFERROR(IF($AM8&lt;&gt;"",$AM8,IF($AG8&lt;&gt;"",$AG8,IF($AA8&lt;&gt;"",$AA8,IF($U8&lt;&gt;"",$U8,IF($O8&lt;&gt;"",$O8,""))))),""))</f>
        <v/>
      </c>
      <c r="AT8" s="193" t="str">
        <f aca="false">IFERROR(IF($AN8&lt;&gt;"",$AN8,IF($AH8&lt;&gt;"",$AH8,IF($AB8&lt;&gt;"",$AB8,IF($V8&lt;&gt;"",$V8,IF($P8&lt;&gt;"",$P8,""))))),"")</f>
        <v/>
      </c>
      <c r="AU8" s="194"/>
    </row>
    <row r="9" customFormat="false" ht="15" hidden="false" customHeight="true" outlineLevel="0" collapsed="false">
      <c r="A9" s="189"/>
      <c r="B9" s="189"/>
      <c r="C9" s="190" t="s">
        <v>970</v>
      </c>
      <c r="D9" s="190"/>
      <c r="E9" s="190"/>
      <c r="F9" s="190"/>
      <c r="G9" s="190"/>
      <c r="H9" s="190"/>
      <c r="I9" s="190"/>
      <c r="J9" s="190"/>
      <c r="K9" s="190"/>
      <c r="L9" s="190"/>
      <c r="M9" s="190"/>
      <c r="N9" s="190"/>
      <c r="O9" s="190"/>
      <c r="P9" s="190"/>
      <c r="Q9" s="190"/>
      <c r="R9" s="190"/>
      <c r="S9" s="190"/>
      <c r="T9" s="190"/>
      <c r="U9" s="190"/>
      <c r="V9" s="190"/>
      <c r="W9" s="190"/>
      <c r="X9" s="190"/>
      <c r="Y9" s="190"/>
      <c r="Z9" s="190"/>
      <c r="AA9" s="190"/>
      <c r="AB9" s="190"/>
      <c r="AC9" s="190"/>
      <c r="AD9" s="190"/>
      <c r="AE9" s="190"/>
      <c r="AF9" s="190"/>
      <c r="AG9" s="190"/>
      <c r="AH9" s="190"/>
      <c r="AI9" s="190"/>
      <c r="AJ9" s="190"/>
      <c r="AK9" s="190"/>
      <c r="AL9" s="190"/>
      <c r="AM9" s="190"/>
      <c r="AN9" s="190"/>
      <c r="AO9" s="190"/>
      <c r="AP9" s="190"/>
      <c r="AQ9" s="190"/>
      <c r="AR9" s="190"/>
      <c r="AS9" s="190"/>
      <c r="AT9" s="190"/>
      <c r="AU9" s="190"/>
    </row>
    <row r="10" customFormat="false" ht="161.25" hidden="false" customHeight="true" outlineLevel="0" collapsed="false">
      <c r="A10" s="191" t="str">
        <f aca="false">IF($F10="","",$C$2&amp;"."&amp;COUNTA($F$7:$F10)&amp;"")</f>
        <v>TC_05.2</v>
      </c>
      <c r="B10" s="191" t="s">
        <v>506</v>
      </c>
      <c r="C10" s="191" t="s">
        <v>507</v>
      </c>
      <c r="D10" s="191" t="s">
        <v>43</v>
      </c>
      <c r="E10" s="191" t="s">
        <v>159</v>
      </c>
      <c r="F10" s="13" t="s">
        <v>971</v>
      </c>
      <c r="G10" s="13" t="s">
        <v>967</v>
      </c>
      <c r="H10" s="13" t="s">
        <v>972</v>
      </c>
      <c r="I10" s="13" t="s">
        <v>973</v>
      </c>
      <c r="J10" s="191" t="s">
        <v>658</v>
      </c>
      <c r="K10" s="191" t="s">
        <v>245</v>
      </c>
      <c r="L10" s="191"/>
      <c r="M10" s="191"/>
      <c r="N10" s="192"/>
      <c r="O10" s="192"/>
      <c r="P10" s="192"/>
      <c r="Q10" s="192"/>
      <c r="R10" s="192"/>
      <c r="S10" s="192"/>
      <c r="T10" s="192"/>
      <c r="U10" s="192"/>
      <c r="V10" s="192"/>
      <c r="W10" s="192"/>
      <c r="X10" s="192"/>
      <c r="Y10" s="192"/>
      <c r="Z10" s="192"/>
      <c r="AA10" s="192"/>
      <c r="AB10" s="192"/>
      <c r="AC10" s="192"/>
      <c r="AD10" s="192"/>
      <c r="AE10" s="192"/>
      <c r="AF10" s="192"/>
      <c r="AG10" s="192"/>
      <c r="AH10" s="192"/>
      <c r="AI10" s="192"/>
      <c r="AJ10" s="192"/>
      <c r="AK10" s="192"/>
      <c r="AL10" s="192"/>
      <c r="AM10" s="192"/>
      <c r="AN10" s="192"/>
      <c r="AO10" s="192"/>
      <c r="AP10" s="192"/>
      <c r="AQ10" s="192"/>
      <c r="AR10" s="193" t="str">
        <f aca="false">IF($A10="","",IF(OR($N10="Yes",$T10="Yes",$Z10="Yes",$AF10="Yes",$AL10="Yes"),"Yes","No"))</f>
        <v>No</v>
      </c>
      <c r="AS10" s="193" t="str">
        <f aca="false">IF($A10="","",IFERROR(IF($AM10&lt;&gt;"",$AM10,IF($AG10&lt;&gt;"",$AG10,IF($AA10&lt;&gt;"",$AA10,IF($U10&lt;&gt;"",$U10,IF($O10&lt;&gt;"",$O10,""))))),""))</f>
        <v/>
      </c>
      <c r="AT10" s="193" t="str">
        <f aca="false">IFERROR(IF($AN10&lt;&gt;"",$AN10,IF($AH10&lt;&gt;"",$AH10,IF($AB10&lt;&gt;"",$AB10,IF($V10&lt;&gt;"",$V10,IF($P10&lt;&gt;"",$P10,""))))),"")</f>
        <v/>
      </c>
      <c r="AU10" s="194"/>
    </row>
    <row r="11" customFormat="false" ht="15" hidden="false" customHeight="true" outlineLevel="0" collapsed="false">
      <c r="A11" s="189"/>
      <c r="B11" s="189"/>
      <c r="C11" s="190" t="s">
        <v>974</v>
      </c>
      <c r="D11" s="190"/>
      <c r="E11" s="190"/>
      <c r="F11" s="190"/>
      <c r="G11" s="190"/>
      <c r="H11" s="190"/>
      <c r="I11" s="190"/>
      <c r="J11" s="190"/>
      <c r="K11" s="190"/>
      <c r="L11" s="190"/>
      <c r="M11" s="190"/>
      <c r="N11" s="190"/>
      <c r="O11" s="190"/>
      <c r="P11" s="190"/>
      <c r="Q11" s="190"/>
      <c r="R11" s="190"/>
      <c r="S11" s="190"/>
      <c r="T11" s="190"/>
      <c r="U11" s="190"/>
      <c r="V11" s="190"/>
      <c r="W11" s="190"/>
      <c r="X11" s="190"/>
      <c r="Y11" s="190"/>
      <c r="Z11" s="190"/>
      <c r="AA11" s="190"/>
      <c r="AB11" s="190"/>
      <c r="AC11" s="190"/>
      <c r="AD11" s="190"/>
      <c r="AE11" s="190"/>
      <c r="AF11" s="190"/>
      <c r="AG11" s="190"/>
      <c r="AH11" s="190"/>
      <c r="AI11" s="190"/>
      <c r="AJ11" s="190"/>
      <c r="AK11" s="190"/>
      <c r="AL11" s="190"/>
      <c r="AM11" s="190"/>
      <c r="AN11" s="190"/>
      <c r="AO11" s="190"/>
      <c r="AP11" s="190"/>
      <c r="AQ11" s="190"/>
      <c r="AR11" s="190"/>
      <c r="AS11" s="190"/>
      <c r="AT11" s="190"/>
      <c r="AU11" s="190"/>
    </row>
    <row r="12" customFormat="false" ht="161.25" hidden="false" customHeight="true" outlineLevel="0" collapsed="false">
      <c r="A12" s="191" t="str">
        <f aca="false">IF($F12="","",$C$2&amp;"."&amp;COUNTA($F$7:$F12)&amp;"")</f>
        <v>TC_05.3</v>
      </c>
      <c r="B12" s="191" t="s">
        <v>508</v>
      </c>
      <c r="C12" s="191" t="s">
        <v>505</v>
      </c>
      <c r="D12" s="191" t="s">
        <v>43</v>
      </c>
      <c r="E12" s="191" t="s">
        <v>160</v>
      </c>
      <c r="F12" s="13" t="s">
        <v>975</v>
      </c>
      <c r="G12" s="13" t="s">
        <v>976</v>
      </c>
      <c r="H12" s="13" t="s">
        <v>977</v>
      </c>
      <c r="I12" s="13" t="s">
        <v>978</v>
      </c>
      <c r="J12" s="191" t="s">
        <v>658</v>
      </c>
      <c r="K12" s="191" t="s">
        <v>245</v>
      </c>
      <c r="L12" s="191"/>
      <c r="M12" s="191"/>
      <c r="N12" s="192"/>
      <c r="O12" s="192"/>
      <c r="P12" s="192"/>
      <c r="Q12" s="192"/>
      <c r="R12" s="192"/>
      <c r="S12" s="192"/>
      <c r="T12" s="192"/>
      <c r="U12" s="192"/>
      <c r="V12" s="192"/>
      <c r="W12" s="192"/>
      <c r="X12" s="192"/>
      <c r="Y12" s="192"/>
      <c r="Z12" s="192"/>
      <c r="AA12" s="192"/>
      <c r="AB12" s="192"/>
      <c r="AC12" s="192"/>
      <c r="AD12" s="192"/>
      <c r="AE12" s="192"/>
      <c r="AF12" s="192"/>
      <c r="AG12" s="192"/>
      <c r="AH12" s="192"/>
      <c r="AI12" s="192"/>
      <c r="AJ12" s="192"/>
      <c r="AK12" s="192"/>
      <c r="AL12" s="192"/>
      <c r="AM12" s="192"/>
      <c r="AN12" s="192"/>
      <c r="AO12" s="192"/>
      <c r="AP12" s="192"/>
      <c r="AQ12" s="192"/>
      <c r="AR12" s="193" t="str">
        <f aca="false">IF($A12="","",IF(OR($N12="Yes",$T12="Yes",$Z12="Yes",$AF12="Yes",$AL12="Yes"),"Yes","No"))</f>
        <v>No</v>
      </c>
      <c r="AS12" s="193" t="str">
        <f aca="false">IF($A12="","",IFERROR(IF($AM12&lt;&gt;"",$AM12,IF($AG12&lt;&gt;"",$AG12,IF($AA12&lt;&gt;"",$AA12,IF($U12&lt;&gt;"",$U12,IF($O12&lt;&gt;"",$O12,""))))),""))</f>
        <v/>
      </c>
      <c r="AT12" s="193" t="str">
        <f aca="false">IFERROR(IF($AN12&lt;&gt;"",$AN12,IF($AH12&lt;&gt;"",$AH12,IF($AB12&lt;&gt;"",$AB12,IF($V12&lt;&gt;"",$V12,IF($P12&lt;&gt;"",$P12,""))))),"")</f>
        <v/>
      </c>
      <c r="AU12" s="194"/>
    </row>
    <row r="13" customFormat="false" ht="170.25" hidden="false" customHeight="true" outlineLevel="0" collapsed="false">
      <c r="A13" s="191" t="str">
        <f aca="false">IF($F13="","",$C$2&amp;"."&amp;COUNTA($F$7:$F13)&amp;"")</f>
        <v>TC_05.4</v>
      </c>
      <c r="B13" s="191" t="s">
        <v>508</v>
      </c>
      <c r="C13" s="191" t="s">
        <v>979</v>
      </c>
      <c r="D13" s="191" t="s">
        <v>43</v>
      </c>
      <c r="E13" s="191" t="s">
        <v>160</v>
      </c>
      <c r="F13" s="13" t="s">
        <v>980</v>
      </c>
      <c r="G13" s="13" t="s">
        <v>981</v>
      </c>
      <c r="H13" s="13" t="s">
        <v>982</v>
      </c>
      <c r="I13" s="13" t="s">
        <v>983</v>
      </c>
      <c r="J13" s="191" t="s">
        <v>658</v>
      </c>
      <c r="K13" s="191" t="s">
        <v>245</v>
      </c>
      <c r="L13" s="191"/>
      <c r="M13" s="191"/>
      <c r="N13" s="192"/>
      <c r="O13" s="192"/>
      <c r="P13" s="192"/>
      <c r="Q13" s="192"/>
      <c r="R13" s="192"/>
      <c r="S13" s="192"/>
      <c r="T13" s="192"/>
      <c r="U13" s="192"/>
      <c r="V13" s="192"/>
      <c r="W13" s="192"/>
      <c r="X13" s="192"/>
      <c r="Y13" s="192"/>
      <c r="Z13" s="192"/>
      <c r="AA13" s="192"/>
      <c r="AB13" s="192"/>
      <c r="AC13" s="192"/>
      <c r="AD13" s="192"/>
      <c r="AE13" s="192"/>
      <c r="AF13" s="192"/>
      <c r="AG13" s="192"/>
      <c r="AH13" s="192"/>
      <c r="AI13" s="192"/>
      <c r="AJ13" s="192"/>
      <c r="AK13" s="192"/>
      <c r="AL13" s="192"/>
      <c r="AM13" s="192"/>
      <c r="AN13" s="192"/>
      <c r="AO13" s="192"/>
      <c r="AP13" s="192"/>
      <c r="AQ13" s="192"/>
      <c r="AR13" s="193" t="str">
        <f aca="false">IF($A13="","",IF(OR($N13="Yes",$T13="Yes",$Z13="Yes",$AF13="Yes",$AL13="Yes"),"Yes","No"))</f>
        <v>No</v>
      </c>
      <c r="AS13" s="193" t="str">
        <f aca="false">IF($A13="","",IFERROR(IF($AM13&lt;&gt;"",$AM13,IF($AG13&lt;&gt;"",$AG13,IF($AA13&lt;&gt;"",$AA13,IF($U13&lt;&gt;"",$U13,IF($O13&lt;&gt;"",$O13,""))))),""))</f>
        <v/>
      </c>
      <c r="AT13" s="193" t="str">
        <f aca="false">IFERROR(IF($AN13&lt;&gt;"",$AN13,IF($AH13&lt;&gt;"",$AH13,IF($AB13&lt;&gt;"",$AB13,IF($V13&lt;&gt;"",$V13,IF($P13&lt;&gt;"",$P13,""))))),"")</f>
        <v/>
      </c>
      <c r="AU13" s="194"/>
    </row>
    <row r="14" customFormat="false" ht="15" hidden="false" customHeight="true" outlineLevel="0" collapsed="false">
      <c r="A14" s="189"/>
      <c r="B14" s="189"/>
      <c r="C14" s="190" t="s">
        <v>984</v>
      </c>
      <c r="D14" s="190"/>
      <c r="E14" s="190"/>
      <c r="F14" s="190"/>
      <c r="G14" s="190"/>
      <c r="H14" s="190"/>
      <c r="I14" s="190"/>
      <c r="J14" s="190"/>
      <c r="K14" s="190"/>
      <c r="L14" s="190"/>
      <c r="M14" s="190"/>
      <c r="N14" s="190"/>
      <c r="O14" s="190"/>
      <c r="P14" s="190"/>
      <c r="Q14" s="190"/>
      <c r="R14" s="190"/>
      <c r="S14" s="190"/>
      <c r="T14" s="190"/>
      <c r="U14" s="190"/>
      <c r="V14" s="190"/>
      <c r="W14" s="190"/>
      <c r="X14" s="190"/>
      <c r="Y14" s="190"/>
      <c r="Z14" s="190"/>
      <c r="AA14" s="190"/>
      <c r="AB14" s="190"/>
      <c r="AC14" s="190"/>
      <c r="AD14" s="190"/>
      <c r="AE14" s="190"/>
      <c r="AF14" s="190"/>
      <c r="AG14" s="190"/>
      <c r="AH14" s="190"/>
      <c r="AI14" s="190"/>
      <c r="AJ14" s="190"/>
      <c r="AK14" s="190"/>
      <c r="AL14" s="190"/>
      <c r="AM14" s="190"/>
      <c r="AN14" s="190"/>
      <c r="AO14" s="190"/>
      <c r="AP14" s="190"/>
      <c r="AQ14" s="190"/>
      <c r="AR14" s="190"/>
      <c r="AS14" s="190"/>
      <c r="AT14" s="190"/>
      <c r="AU14" s="190"/>
    </row>
    <row r="15" customFormat="false" ht="255.75" hidden="false" customHeight="true" outlineLevel="0" collapsed="false">
      <c r="A15" s="191" t="str">
        <f aca="false">IF($F15="","",$C$2&amp;"."&amp;COUNTA($F$7:$F15)&amp;"")</f>
        <v>TC_05.5</v>
      </c>
      <c r="B15" s="191" t="s">
        <v>509</v>
      </c>
      <c r="C15" s="191" t="s">
        <v>510</v>
      </c>
      <c r="D15" s="191" t="s">
        <v>43</v>
      </c>
      <c r="E15" s="191" t="s">
        <v>160</v>
      </c>
      <c r="F15" s="13" t="s">
        <v>985</v>
      </c>
      <c r="G15" s="13" t="s">
        <v>986</v>
      </c>
      <c r="H15" s="13" t="s">
        <v>987</v>
      </c>
      <c r="I15" s="13" t="s">
        <v>988</v>
      </c>
      <c r="J15" s="191" t="s">
        <v>658</v>
      </c>
      <c r="K15" s="191" t="s">
        <v>245</v>
      </c>
      <c r="L15" s="191"/>
      <c r="M15" s="191"/>
      <c r="N15" s="192"/>
      <c r="O15" s="192"/>
      <c r="P15" s="192"/>
      <c r="Q15" s="192"/>
      <c r="R15" s="192"/>
      <c r="S15" s="192"/>
      <c r="T15" s="192"/>
      <c r="U15" s="192"/>
      <c r="V15" s="192"/>
      <c r="W15" s="192"/>
      <c r="X15" s="192"/>
      <c r="Y15" s="192"/>
      <c r="Z15" s="192"/>
      <c r="AA15" s="192"/>
      <c r="AB15" s="192"/>
      <c r="AC15" s="192"/>
      <c r="AD15" s="192"/>
      <c r="AE15" s="192"/>
      <c r="AF15" s="192"/>
      <c r="AG15" s="192"/>
      <c r="AH15" s="192"/>
      <c r="AI15" s="192"/>
      <c r="AJ15" s="192"/>
      <c r="AK15" s="192"/>
      <c r="AL15" s="192"/>
      <c r="AM15" s="192"/>
      <c r="AN15" s="192"/>
      <c r="AO15" s="192"/>
      <c r="AP15" s="192"/>
      <c r="AQ15" s="192"/>
      <c r="AR15" s="193" t="str">
        <f aca="false">IF($A15="","",IF(OR($N15="Yes",$T15="Yes",$Z15="Yes",$AF15="Yes",$AL15="Yes"),"Yes","No"))</f>
        <v>No</v>
      </c>
      <c r="AS15" s="193" t="str">
        <f aca="false">IF($A15="","",IFERROR(IF($AM15&lt;&gt;"",$AM15,IF($AG15&lt;&gt;"",$AG15,IF($AA15&lt;&gt;"",$AA15,IF($U15&lt;&gt;"",$U15,IF($O15&lt;&gt;"",$O15,""))))),""))</f>
        <v/>
      </c>
      <c r="AT15" s="193" t="str">
        <f aca="false">IFERROR(IF($AN15&lt;&gt;"",$AN15,IF($AH15&lt;&gt;"",$AH15,IF($AB15&lt;&gt;"",$AB15,IF($V15&lt;&gt;"",$V15,IF($P15&lt;&gt;"",$P15,""))))),"")</f>
        <v/>
      </c>
      <c r="AU15" s="194"/>
    </row>
    <row r="16" customFormat="false" ht="15" hidden="false" customHeight="true" outlineLevel="0" collapsed="false">
      <c r="A16" s="191"/>
      <c r="B16" s="191"/>
      <c r="C16" s="191"/>
      <c r="D16" s="191"/>
      <c r="E16" s="191"/>
      <c r="F16" s="191"/>
      <c r="G16" s="191"/>
      <c r="H16" s="191"/>
      <c r="I16" s="191"/>
      <c r="J16" s="191"/>
      <c r="K16" s="191"/>
      <c r="L16" s="191"/>
      <c r="M16" s="191"/>
      <c r="N16" s="191"/>
      <c r="O16" s="191"/>
      <c r="P16" s="191"/>
      <c r="Q16" s="191"/>
      <c r="AR16" s="195"/>
      <c r="AS16" s="195"/>
    </row>
    <row r="17" customFormat="false" ht="15" hidden="false" customHeight="true" outlineLevel="0" collapsed="false">
      <c r="A17" s="191"/>
      <c r="B17" s="191"/>
      <c r="C17" s="191"/>
      <c r="D17" s="191"/>
      <c r="E17" s="191"/>
      <c r="F17" s="191"/>
      <c r="G17" s="191"/>
      <c r="H17" s="191"/>
      <c r="I17" s="191"/>
      <c r="J17" s="191"/>
      <c r="K17" s="191"/>
      <c r="L17" s="191"/>
      <c r="M17" s="191"/>
      <c r="N17" s="191"/>
      <c r="O17" s="191"/>
      <c r="P17" s="191"/>
      <c r="Q17" s="191"/>
      <c r="AR17" s="195"/>
      <c r="AS17" s="195"/>
    </row>
    <row r="18" customFormat="false" ht="15" hidden="false" customHeight="true" outlineLevel="0" collapsed="false">
      <c r="A18" s="191"/>
      <c r="B18" s="191"/>
      <c r="C18" s="191"/>
      <c r="D18" s="191"/>
      <c r="E18" s="191"/>
      <c r="F18" s="191"/>
      <c r="G18" s="191"/>
      <c r="H18" s="191"/>
      <c r="I18" s="191"/>
      <c r="J18" s="191"/>
      <c r="K18" s="191"/>
      <c r="L18" s="191"/>
      <c r="M18" s="191"/>
      <c r="N18" s="191"/>
      <c r="O18" s="191"/>
      <c r="P18" s="191"/>
      <c r="Q18" s="191"/>
      <c r="AR18" s="195"/>
      <c r="AS18" s="195"/>
    </row>
    <row r="19" customFormat="false" ht="15" hidden="false" customHeight="true" outlineLevel="0" collapsed="false">
      <c r="A19" s="191"/>
      <c r="B19" s="191"/>
      <c r="C19" s="191"/>
      <c r="D19" s="191"/>
      <c r="E19" s="191"/>
      <c r="F19" s="191"/>
      <c r="G19" s="191"/>
      <c r="H19" s="191"/>
      <c r="I19" s="191"/>
      <c r="J19" s="191"/>
      <c r="K19" s="191"/>
      <c r="L19" s="191"/>
      <c r="M19" s="191"/>
      <c r="N19" s="191"/>
      <c r="O19" s="191"/>
      <c r="P19" s="191"/>
      <c r="Q19" s="191"/>
      <c r="AR19" s="195"/>
      <c r="AS19" s="195"/>
    </row>
    <row r="20" customFormat="false" ht="15" hidden="false" customHeight="true" outlineLevel="0" collapsed="false">
      <c r="A20" s="191"/>
      <c r="B20" s="191"/>
      <c r="C20" s="191"/>
      <c r="D20" s="191"/>
      <c r="E20" s="191"/>
      <c r="F20" s="191"/>
      <c r="G20" s="191"/>
      <c r="H20" s="191"/>
      <c r="I20" s="191"/>
      <c r="J20" s="191"/>
      <c r="K20" s="191"/>
      <c r="L20" s="191"/>
      <c r="M20" s="191"/>
      <c r="N20" s="191"/>
      <c r="O20" s="191"/>
      <c r="P20" s="191"/>
      <c r="Q20" s="191"/>
      <c r="AR20" s="195"/>
      <c r="AS20" s="195"/>
    </row>
    <row r="21" customFormat="false" ht="15" hidden="false" customHeight="true" outlineLevel="0" collapsed="false">
      <c r="A21" s="191"/>
      <c r="B21" s="191"/>
      <c r="C21" s="191"/>
      <c r="D21" s="191"/>
      <c r="E21" s="191"/>
      <c r="F21" s="191"/>
      <c r="G21" s="191"/>
      <c r="H21" s="191"/>
      <c r="I21" s="191"/>
      <c r="J21" s="191"/>
      <c r="K21" s="191"/>
      <c r="L21" s="191"/>
      <c r="M21" s="191"/>
      <c r="N21" s="191"/>
      <c r="O21" s="191"/>
      <c r="P21" s="191"/>
      <c r="Q21" s="191"/>
      <c r="AR21" s="195"/>
      <c r="AS21" s="195"/>
    </row>
    <row r="22" customFormat="false" ht="15" hidden="false" customHeight="true" outlineLevel="0" collapsed="false">
      <c r="A22" s="191"/>
      <c r="B22" s="191"/>
      <c r="C22" s="191"/>
      <c r="D22" s="191"/>
      <c r="E22" s="191"/>
      <c r="F22" s="191"/>
      <c r="G22" s="191"/>
      <c r="H22" s="191"/>
      <c r="I22" s="191"/>
      <c r="J22" s="191"/>
      <c r="K22" s="191"/>
      <c r="L22" s="191"/>
      <c r="M22" s="191"/>
      <c r="N22" s="191"/>
      <c r="O22" s="191"/>
      <c r="P22" s="191"/>
      <c r="Q22" s="191"/>
      <c r="AR22" s="195"/>
      <c r="AS22" s="195"/>
    </row>
    <row r="23" customFormat="false" ht="15" hidden="false" customHeight="true" outlineLevel="0" collapsed="false">
      <c r="A23" s="191"/>
      <c r="B23" s="191"/>
      <c r="C23" s="191"/>
      <c r="D23" s="191"/>
      <c r="E23" s="191"/>
      <c r="F23" s="191"/>
      <c r="G23" s="191"/>
      <c r="H23" s="191"/>
      <c r="I23" s="191"/>
      <c r="J23" s="191"/>
      <c r="K23" s="191"/>
      <c r="L23" s="191"/>
      <c r="M23" s="191"/>
      <c r="N23" s="191"/>
      <c r="O23" s="191"/>
      <c r="P23" s="191"/>
      <c r="Q23" s="191"/>
      <c r="AR23" s="195"/>
      <c r="AS23" s="195"/>
    </row>
    <row r="24" customFormat="false" ht="15" hidden="false" customHeight="true" outlineLevel="0" collapsed="false">
      <c r="A24" s="191"/>
      <c r="B24" s="191"/>
      <c r="C24" s="191"/>
      <c r="D24" s="191"/>
      <c r="E24" s="191"/>
      <c r="F24" s="191"/>
      <c r="G24" s="191"/>
      <c r="H24" s="191"/>
      <c r="I24" s="191"/>
      <c r="J24" s="191"/>
      <c r="K24" s="191"/>
      <c r="L24" s="191"/>
      <c r="M24" s="191"/>
      <c r="N24" s="191"/>
      <c r="O24" s="191"/>
      <c r="P24" s="191"/>
      <c r="Q24" s="191"/>
      <c r="AR24" s="195"/>
      <c r="AS24" s="195"/>
    </row>
    <row r="25" customFormat="false" ht="15" hidden="false" customHeight="true" outlineLevel="0" collapsed="false">
      <c r="A25" s="191"/>
      <c r="B25" s="191"/>
      <c r="C25" s="191"/>
      <c r="D25" s="191"/>
      <c r="E25" s="191"/>
      <c r="F25" s="191"/>
      <c r="G25" s="191"/>
      <c r="H25" s="191"/>
      <c r="I25" s="191"/>
      <c r="J25" s="191"/>
      <c r="K25" s="191"/>
      <c r="L25" s="191"/>
      <c r="M25" s="191"/>
      <c r="N25" s="191"/>
      <c r="O25" s="191"/>
      <c r="P25" s="191"/>
      <c r="Q25" s="191"/>
      <c r="AR25" s="195"/>
      <c r="AS25" s="195"/>
    </row>
    <row r="26" customFormat="false" ht="15" hidden="false" customHeight="true" outlineLevel="0" collapsed="false">
      <c r="A26" s="191"/>
      <c r="B26" s="191"/>
      <c r="C26" s="191"/>
      <c r="D26" s="191"/>
      <c r="E26" s="191"/>
      <c r="F26" s="191"/>
      <c r="G26" s="191"/>
      <c r="H26" s="191"/>
      <c r="I26" s="191"/>
      <c r="J26" s="191"/>
      <c r="K26" s="191"/>
      <c r="L26" s="191"/>
      <c r="M26" s="191"/>
      <c r="N26" s="191"/>
      <c r="O26" s="191"/>
      <c r="P26" s="191"/>
      <c r="Q26" s="191"/>
      <c r="AR26" s="195"/>
      <c r="AS26" s="195"/>
    </row>
    <row r="27" customFormat="false" ht="15" hidden="false" customHeight="true" outlineLevel="0" collapsed="false">
      <c r="A27" s="191"/>
      <c r="B27" s="191"/>
      <c r="C27" s="191"/>
      <c r="D27" s="191"/>
      <c r="E27" s="191"/>
      <c r="F27" s="191"/>
      <c r="G27" s="191"/>
      <c r="H27" s="191"/>
      <c r="I27" s="191"/>
      <c r="J27" s="191"/>
      <c r="K27" s="191"/>
      <c r="L27" s="191"/>
      <c r="M27" s="191"/>
      <c r="N27" s="191"/>
      <c r="O27" s="191"/>
      <c r="P27" s="191"/>
      <c r="Q27" s="191"/>
      <c r="AR27" s="195"/>
      <c r="AS27" s="195"/>
    </row>
    <row r="28" customFormat="false" ht="15" hidden="false" customHeight="true" outlineLevel="0" collapsed="false">
      <c r="A28" s="191"/>
      <c r="B28" s="191"/>
      <c r="C28" s="191"/>
      <c r="D28" s="191"/>
      <c r="E28" s="191"/>
      <c r="F28" s="191"/>
      <c r="G28" s="191"/>
      <c r="H28" s="191"/>
      <c r="I28" s="191"/>
      <c r="J28" s="191"/>
      <c r="K28" s="191"/>
      <c r="L28" s="191"/>
      <c r="M28" s="191"/>
      <c r="N28" s="191"/>
      <c r="O28" s="191"/>
      <c r="P28" s="191"/>
      <c r="Q28" s="191"/>
      <c r="AR28" s="195"/>
      <c r="AS28" s="195"/>
    </row>
    <row r="29" customFormat="false" ht="15" hidden="false" customHeight="true" outlineLevel="0" collapsed="false">
      <c r="A29" s="191"/>
      <c r="B29" s="191"/>
      <c r="C29" s="191"/>
      <c r="D29" s="191"/>
      <c r="E29" s="191"/>
      <c r="F29" s="191"/>
      <c r="G29" s="191"/>
      <c r="H29" s="191"/>
      <c r="I29" s="191"/>
      <c r="J29" s="191"/>
      <c r="K29" s="191"/>
      <c r="L29" s="191"/>
      <c r="M29" s="191"/>
      <c r="N29" s="191"/>
      <c r="O29" s="191"/>
      <c r="P29" s="191"/>
      <c r="Q29" s="191"/>
      <c r="AR29" s="195"/>
      <c r="AS29" s="195"/>
    </row>
    <row r="30" customFormat="false" ht="15" hidden="false" customHeight="true" outlineLevel="0" collapsed="false">
      <c r="A30" s="191"/>
      <c r="B30" s="191"/>
      <c r="C30" s="191"/>
      <c r="D30" s="191"/>
      <c r="E30" s="191"/>
      <c r="F30" s="191"/>
      <c r="G30" s="191"/>
      <c r="H30" s="191"/>
      <c r="I30" s="191"/>
      <c r="J30" s="191"/>
      <c r="K30" s="191"/>
      <c r="L30" s="191"/>
      <c r="M30" s="191"/>
      <c r="N30" s="191"/>
      <c r="O30" s="191"/>
      <c r="P30" s="191"/>
      <c r="Q30" s="191"/>
      <c r="AR30" s="195"/>
      <c r="AS30" s="195"/>
    </row>
    <row r="31" customFormat="false" ht="15" hidden="false" customHeight="true" outlineLevel="0" collapsed="false">
      <c r="A31" s="191"/>
      <c r="B31" s="191"/>
      <c r="C31" s="191"/>
      <c r="D31" s="191"/>
      <c r="E31" s="191"/>
      <c r="F31" s="191"/>
      <c r="G31" s="191"/>
      <c r="H31" s="191"/>
      <c r="I31" s="191"/>
      <c r="J31" s="191"/>
      <c r="K31" s="191"/>
      <c r="L31" s="191"/>
      <c r="M31" s="191"/>
      <c r="N31" s="191"/>
      <c r="O31" s="191"/>
      <c r="P31" s="191"/>
      <c r="Q31" s="191"/>
      <c r="AR31" s="195"/>
      <c r="AS31" s="195"/>
    </row>
    <row r="32" customFormat="false" ht="15" hidden="false" customHeight="true" outlineLevel="0" collapsed="false">
      <c r="A32" s="191"/>
      <c r="B32" s="191"/>
      <c r="C32" s="191"/>
      <c r="D32" s="191"/>
      <c r="E32" s="191"/>
      <c r="F32" s="191"/>
      <c r="G32" s="191"/>
      <c r="H32" s="191"/>
      <c r="I32" s="191"/>
      <c r="J32" s="191"/>
      <c r="K32" s="191"/>
      <c r="L32" s="191"/>
      <c r="M32" s="191"/>
      <c r="N32" s="191"/>
      <c r="O32" s="191"/>
      <c r="P32" s="191"/>
      <c r="Q32" s="191"/>
      <c r="AR32" s="195"/>
      <c r="AS32" s="195"/>
    </row>
    <row r="33" customFormat="false" ht="15" hidden="false" customHeight="true" outlineLevel="0" collapsed="false">
      <c r="A33" s="191"/>
      <c r="B33" s="191"/>
      <c r="C33" s="191"/>
      <c r="D33" s="191"/>
      <c r="E33" s="191"/>
      <c r="F33" s="191"/>
      <c r="G33" s="191"/>
      <c r="H33" s="191"/>
      <c r="I33" s="191"/>
      <c r="J33" s="191"/>
      <c r="K33" s="191"/>
      <c r="L33" s="191"/>
      <c r="M33" s="191"/>
      <c r="N33" s="191"/>
      <c r="O33" s="191"/>
      <c r="P33" s="191"/>
      <c r="Q33" s="191"/>
      <c r="AR33" s="195"/>
      <c r="AS33" s="195"/>
    </row>
    <row r="34" customFormat="false" ht="15" hidden="false" customHeight="true" outlineLevel="0" collapsed="false">
      <c r="A34" s="191"/>
      <c r="B34" s="191"/>
      <c r="C34" s="191"/>
      <c r="D34" s="191"/>
      <c r="E34" s="191"/>
      <c r="F34" s="191"/>
      <c r="G34" s="191"/>
      <c r="H34" s="191"/>
      <c r="I34" s="191"/>
      <c r="J34" s="191"/>
      <c r="K34" s="191"/>
      <c r="L34" s="191"/>
      <c r="M34" s="191"/>
      <c r="N34" s="191"/>
      <c r="O34" s="191"/>
      <c r="P34" s="191"/>
      <c r="Q34" s="191"/>
      <c r="AR34" s="195"/>
      <c r="AS34" s="195"/>
    </row>
    <row r="35" customFormat="false" ht="15" hidden="false" customHeight="true" outlineLevel="0" collapsed="false">
      <c r="A35" s="191"/>
      <c r="B35" s="191"/>
      <c r="C35" s="191"/>
      <c r="D35" s="191"/>
      <c r="E35" s="191"/>
      <c r="F35" s="191"/>
      <c r="G35" s="191"/>
      <c r="H35" s="191"/>
      <c r="I35" s="191"/>
      <c r="J35" s="191"/>
      <c r="K35" s="191"/>
      <c r="L35" s="191"/>
      <c r="M35" s="191"/>
      <c r="N35" s="191"/>
      <c r="O35" s="191"/>
      <c r="P35" s="191"/>
      <c r="Q35" s="191"/>
      <c r="AR35" s="195"/>
      <c r="AS35" s="195"/>
    </row>
    <row r="36" customFormat="false" ht="15" hidden="false" customHeight="true" outlineLevel="0" collapsed="false">
      <c r="A36" s="191"/>
      <c r="B36" s="191"/>
      <c r="C36" s="191"/>
      <c r="D36" s="191"/>
      <c r="E36" s="191"/>
      <c r="F36" s="191"/>
      <c r="G36" s="191"/>
      <c r="H36" s="191"/>
      <c r="I36" s="191"/>
      <c r="J36" s="191"/>
      <c r="K36" s="191"/>
      <c r="L36" s="191"/>
      <c r="M36" s="191"/>
      <c r="N36" s="191"/>
      <c r="O36" s="191"/>
      <c r="P36" s="191"/>
      <c r="Q36" s="191"/>
      <c r="AR36" s="195"/>
      <c r="AS36" s="195"/>
    </row>
    <row r="37" customFormat="false" ht="15" hidden="false" customHeight="true" outlineLevel="0" collapsed="false">
      <c r="A37" s="191"/>
      <c r="B37" s="191"/>
      <c r="C37" s="191"/>
      <c r="D37" s="191"/>
      <c r="E37" s="191"/>
      <c r="F37" s="191"/>
      <c r="G37" s="191"/>
      <c r="H37" s="191"/>
      <c r="I37" s="191"/>
      <c r="J37" s="191"/>
      <c r="K37" s="191"/>
      <c r="L37" s="191"/>
      <c r="M37" s="191"/>
      <c r="N37" s="191"/>
      <c r="O37" s="191"/>
      <c r="P37" s="191"/>
      <c r="Q37" s="191"/>
      <c r="AR37" s="195"/>
      <c r="AS37" s="195"/>
    </row>
    <row r="38" customFormat="false" ht="15" hidden="false" customHeight="true" outlineLevel="0" collapsed="false">
      <c r="A38" s="191"/>
      <c r="B38" s="191"/>
      <c r="C38" s="191"/>
      <c r="D38" s="191"/>
      <c r="E38" s="191"/>
      <c r="F38" s="191"/>
      <c r="G38" s="191"/>
      <c r="H38" s="191"/>
      <c r="I38" s="191"/>
      <c r="J38" s="191"/>
      <c r="K38" s="191"/>
      <c r="L38" s="191"/>
      <c r="M38" s="191"/>
      <c r="N38" s="191"/>
      <c r="O38" s="191"/>
      <c r="P38" s="191"/>
      <c r="Q38" s="191"/>
      <c r="AR38" s="195"/>
      <c r="AS38" s="195"/>
    </row>
    <row r="39" customFormat="false" ht="15" hidden="false" customHeight="true" outlineLevel="0" collapsed="false">
      <c r="A39" s="191"/>
      <c r="B39" s="191"/>
      <c r="C39" s="191"/>
      <c r="D39" s="191"/>
      <c r="E39" s="191"/>
      <c r="F39" s="191"/>
      <c r="G39" s="191"/>
      <c r="H39" s="191"/>
      <c r="I39" s="191"/>
      <c r="J39" s="191"/>
      <c r="K39" s="191"/>
      <c r="L39" s="191"/>
      <c r="M39" s="191"/>
      <c r="N39" s="191"/>
      <c r="O39" s="191"/>
      <c r="P39" s="191"/>
      <c r="Q39" s="191"/>
      <c r="AR39" s="195"/>
      <c r="AS39" s="195"/>
    </row>
    <row r="40" customFormat="false" ht="15" hidden="false" customHeight="true" outlineLevel="0" collapsed="false">
      <c r="A40" s="191"/>
      <c r="B40" s="191"/>
      <c r="C40" s="191"/>
      <c r="D40" s="191"/>
      <c r="E40" s="191"/>
      <c r="F40" s="191"/>
      <c r="G40" s="191"/>
      <c r="H40" s="191"/>
      <c r="I40" s="191"/>
      <c r="J40" s="191"/>
      <c r="K40" s="191"/>
      <c r="L40" s="191"/>
      <c r="M40" s="191"/>
      <c r="N40" s="191"/>
      <c r="O40" s="191"/>
      <c r="P40" s="191"/>
      <c r="Q40" s="191"/>
      <c r="AR40" s="195"/>
      <c r="AS40" s="195"/>
    </row>
    <row r="41" customFormat="false" ht="15" hidden="false" customHeight="true" outlineLevel="0" collapsed="false">
      <c r="A41" s="191"/>
      <c r="B41" s="191"/>
      <c r="C41" s="191"/>
      <c r="D41" s="191"/>
      <c r="E41" s="191"/>
      <c r="F41" s="191"/>
      <c r="G41" s="191"/>
      <c r="H41" s="191"/>
      <c r="I41" s="191"/>
      <c r="J41" s="191"/>
      <c r="K41" s="191"/>
      <c r="L41" s="191"/>
      <c r="M41" s="191"/>
      <c r="N41" s="191"/>
      <c r="O41" s="191"/>
      <c r="P41" s="191"/>
      <c r="Q41" s="191"/>
      <c r="AR41" s="195"/>
      <c r="AS41" s="195"/>
    </row>
    <row r="42" customFormat="false" ht="15" hidden="false" customHeight="true" outlineLevel="0" collapsed="false">
      <c r="A42" s="191"/>
      <c r="B42" s="191"/>
      <c r="C42" s="191"/>
      <c r="D42" s="191"/>
      <c r="E42" s="191"/>
      <c r="F42" s="191"/>
      <c r="G42" s="191"/>
      <c r="H42" s="191"/>
      <c r="I42" s="191"/>
      <c r="J42" s="191"/>
      <c r="K42" s="191"/>
      <c r="L42" s="191"/>
      <c r="M42" s="191"/>
      <c r="N42" s="191"/>
      <c r="O42" s="191"/>
      <c r="P42" s="191"/>
      <c r="Q42" s="191"/>
      <c r="AR42" s="195"/>
      <c r="AS42" s="195"/>
    </row>
    <row r="43" customFormat="false" ht="15" hidden="false" customHeight="true" outlineLevel="0" collapsed="false">
      <c r="A43" s="191"/>
      <c r="B43" s="191"/>
      <c r="C43" s="191"/>
      <c r="D43" s="191"/>
      <c r="E43" s="191"/>
      <c r="F43" s="191"/>
      <c r="G43" s="191"/>
      <c r="H43" s="191"/>
      <c r="I43" s="191"/>
      <c r="J43" s="191"/>
      <c r="K43" s="191"/>
      <c r="L43" s="191"/>
      <c r="M43" s="191"/>
      <c r="N43" s="191"/>
      <c r="O43" s="191"/>
      <c r="P43" s="191"/>
      <c r="Q43" s="191"/>
      <c r="AR43" s="195"/>
      <c r="AS43" s="195"/>
    </row>
    <row r="44" customFormat="false" ht="15" hidden="false" customHeight="true" outlineLevel="0" collapsed="false">
      <c r="A44" s="191"/>
      <c r="B44" s="191"/>
      <c r="C44" s="191"/>
      <c r="D44" s="191"/>
      <c r="E44" s="191"/>
      <c r="F44" s="191"/>
      <c r="G44" s="191"/>
      <c r="H44" s="191"/>
      <c r="I44" s="191"/>
      <c r="J44" s="191"/>
      <c r="K44" s="191"/>
      <c r="L44" s="191"/>
      <c r="M44" s="191"/>
      <c r="N44" s="191"/>
      <c r="O44" s="191"/>
      <c r="P44" s="191"/>
      <c r="Q44" s="191"/>
      <c r="AR44" s="195"/>
      <c r="AS44" s="195"/>
    </row>
    <row r="45" customFormat="false" ht="15" hidden="false" customHeight="true" outlineLevel="0" collapsed="false">
      <c r="A45" s="191"/>
      <c r="B45" s="191"/>
      <c r="C45" s="191"/>
      <c r="D45" s="191"/>
      <c r="E45" s="191"/>
      <c r="F45" s="191"/>
      <c r="G45" s="191"/>
      <c r="H45" s="191"/>
      <c r="I45" s="191"/>
      <c r="J45" s="191"/>
      <c r="K45" s="191"/>
      <c r="L45" s="191"/>
      <c r="M45" s="191"/>
      <c r="N45" s="191"/>
      <c r="O45" s="191"/>
      <c r="P45" s="191"/>
      <c r="Q45" s="191"/>
      <c r="AR45" s="195"/>
      <c r="AS45" s="195"/>
    </row>
    <row r="46" customFormat="false" ht="15" hidden="false" customHeight="true" outlineLevel="0" collapsed="false">
      <c r="A46" s="191"/>
      <c r="B46" s="191"/>
      <c r="C46" s="191"/>
      <c r="D46" s="191"/>
      <c r="E46" s="191"/>
      <c r="F46" s="191"/>
      <c r="G46" s="191"/>
      <c r="H46" s="191"/>
      <c r="I46" s="191"/>
      <c r="J46" s="191"/>
      <c r="K46" s="191"/>
      <c r="L46" s="191"/>
      <c r="M46" s="191"/>
      <c r="N46" s="191"/>
      <c r="O46" s="191"/>
      <c r="P46" s="191"/>
      <c r="Q46" s="191"/>
      <c r="AR46" s="195"/>
      <c r="AS46" s="195"/>
    </row>
    <row r="47" customFormat="false" ht="15" hidden="false" customHeight="true" outlineLevel="0" collapsed="false">
      <c r="A47" s="191"/>
      <c r="B47" s="191"/>
      <c r="C47" s="191"/>
      <c r="D47" s="191"/>
      <c r="E47" s="191"/>
      <c r="F47" s="191"/>
      <c r="G47" s="191"/>
      <c r="H47" s="191"/>
      <c r="I47" s="191"/>
      <c r="J47" s="191"/>
      <c r="K47" s="191"/>
      <c r="L47" s="191"/>
      <c r="M47" s="191"/>
      <c r="N47" s="191"/>
      <c r="O47" s="191"/>
      <c r="P47" s="191"/>
      <c r="Q47" s="191"/>
      <c r="AR47" s="195"/>
      <c r="AS47" s="195"/>
    </row>
    <row r="48" customFormat="false" ht="15" hidden="false" customHeight="true" outlineLevel="0" collapsed="false">
      <c r="A48" s="191"/>
      <c r="B48" s="191"/>
      <c r="C48" s="191"/>
      <c r="D48" s="191"/>
      <c r="E48" s="191"/>
      <c r="F48" s="191"/>
      <c r="G48" s="191"/>
      <c r="H48" s="191"/>
      <c r="I48" s="191"/>
      <c r="J48" s="191"/>
      <c r="K48" s="191"/>
      <c r="L48" s="191"/>
      <c r="M48" s="191"/>
      <c r="N48" s="191"/>
      <c r="O48" s="191"/>
      <c r="P48" s="191"/>
      <c r="Q48" s="191"/>
      <c r="AR48" s="195"/>
      <c r="AS48" s="195"/>
    </row>
    <row r="49" customFormat="false" ht="15" hidden="false" customHeight="true" outlineLevel="0" collapsed="false">
      <c r="A49" s="191"/>
      <c r="B49" s="191"/>
      <c r="C49" s="191"/>
      <c r="D49" s="191"/>
      <c r="E49" s="191"/>
      <c r="F49" s="191"/>
      <c r="G49" s="191"/>
      <c r="H49" s="191"/>
      <c r="I49" s="191"/>
      <c r="J49" s="191"/>
      <c r="K49" s="191"/>
      <c r="L49" s="191"/>
      <c r="M49" s="191"/>
      <c r="N49" s="191"/>
      <c r="O49" s="191"/>
      <c r="P49" s="191"/>
      <c r="Q49" s="191"/>
      <c r="AR49" s="195"/>
      <c r="AS49" s="195"/>
    </row>
    <row r="50" customFormat="false" ht="15" hidden="false" customHeight="true" outlineLevel="0" collapsed="false">
      <c r="A50" s="191"/>
      <c r="B50" s="191"/>
      <c r="C50" s="191"/>
      <c r="D50" s="191"/>
      <c r="E50" s="191"/>
      <c r="F50" s="191"/>
      <c r="G50" s="191"/>
      <c r="H50" s="191"/>
      <c r="I50" s="191"/>
      <c r="J50" s="191"/>
      <c r="K50" s="191"/>
      <c r="L50" s="191"/>
      <c r="M50" s="191"/>
      <c r="N50" s="191"/>
      <c r="O50" s="191"/>
      <c r="P50" s="191"/>
      <c r="Q50" s="191"/>
      <c r="AR50" s="195"/>
      <c r="AS50" s="195"/>
    </row>
    <row r="51" customFormat="false" ht="15" hidden="false" customHeight="true" outlineLevel="0" collapsed="false">
      <c r="A51" s="191"/>
      <c r="B51" s="191"/>
      <c r="C51" s="191"/>
      <c r="D51" s="191"/>
      <c r="E51" s="191"/>
      <c r="F51" s="191"/>
      <c r="G51" s="191"/>
      <c r="H51" s="191"/>
      <c r="I51" s="191"/>
      <c r="J51" s="191"/>
      <c r="K51" s="191"/>
      <c r="L51" s="191"/>
      <c r="M51" s="191"/>
      <c r="N51" s="191"/>
      <c r="O51" s="191"/>
      <c r="P51" s="191"/>
      <c r="Q51" s="191"/>
      <c r="AR51" s="195"/>
      <c r="AS51" s="195"/>
    </row>
    <row r="52" customFormat="false" ht="15" hidden="false" customHeight="true" outlineLevel="0" collapsed="false">
      <c r="A52" s="191"/>
      <c r="B52" s="191"/>
      <c r="C52" s="191"/>
      <c r="D52" s="191"/>
      <c r="E52" s="191"/>
      <c r="F52" s="191"/>
      <c r="G52" s="191"/>
      <c r="H52" s="191"/>
      <c r="I52" s="191"/>
      <c r="J52" s="191"/>
      <c r="K52" s="191"/>
      <c r="L52" s="191"/>
      <c r="M52" s="191"/>
      <c r="N52" s="191"/>
      <c r="O52" s="191"/>
      <c r="P52" s="191"/>
      <c r="Q52" s="191"/>
      <c r="AR52" s="195"/>
      <c r="AS52" s="195"/>
    </row>
    <row r="53" customFormat="false" ht="15" hidden="false" customHeight="true" outlineLevel="0" collapsed="false">
      <c r="A53" s="191"/>
      <c r="B53" s="191"/>
      <c r="C53" s="191"/>
      <c r="D53" s="191"/>
      <c r="E53" s="191"/>
      <c r="F53" s="191"/>
      <c r="G53" s="191"/>
      <c r="H53" s="191"/>
      <c r="I53" s="191"/>
      <c r="J53" s="191"/>
      <c r="K53" s="191"/>
      <c r="L53" s="191"/>
      <c r="M53" s="191"/>
      <c r="N53" s="191"/>
      <c r="O53" s="191"/>
      <c r="P53" s="191"/>
      <c r="Q53" s="191"/>
      <c r="AR53" s="195"/>
      <c r="AS53" s="195"/>
    </row>
    <row r="54" customFormat="false" ht="15" hidden="false" customHeight="true" outlineLevel="0" collapsed="false">
      <c r="A54" s="191"/>
      <c r="B54" s="191"/>
      <c r="C54" s="191"/>
      <c r="D54" s="191"/>
      <c r="E54" s="191"/>
      <c r="F54" s="191"/>
      <c r="G54" s="191"/>
      <c r="H54" s="191"/>
      <c r="I54" s="191"/>
      <c r="J54" s="191"/>
      <c r="K54" s="191"/>
      <c r="L54" s="191"/>
      <c r="M54" s="191"/>
      <c r="N54" s="191"/>
      <c r="O54" s="191"/>
      <c r="P54" s="191"/>
      <c r="Q54" s="191"/>
      <c r="AR54" s="195"/>
      <c r="AS54" s="195"/>
    </row>
    <row r="55" customFormat="false" ht="15" hidden="false" customHeight="true" outlineLevel="0" collapsed="false">
      <c r="A55" s="191"/>
      <c r="B55" s="191"/>
      <c r="C55" s="191"/>
      <c r="D55" s="191"/>
      <c r="E55" s="191"/>
      <c r="F55" s="191"/>
      <c r="G55" s="191"/>
      <c r="H55" s="191"/>
      <c r="I55" s="191"/>
      <c r="J55" s="191"/>
      <c r="K55" s="191"/>
      <c r="L55" s="191"/>
      <c r="M55" s="191"/>
      <c r="N55" s="191"/>
      <c r="O55" s="191"/>
      <c r="P55" s="191"/>
      <c r="Q55" s="191"/>
      <c r="AR55" s="195"/>
      <c r="AS55" s="195"/>
    </row>
    <row r="56" customFormat="false" ht="15" hidden="false" customHeight="true" outlineLevel="0" collapsed="false">
      <c r="A56" s="191"/>
      <c r="B56" s="191"/>
      <c r="C56" s="191"/>
      <c r="D56" s="191"/>
      <c r="E56" s="191"/>
      <c r="F56" s="191"/>
      <c r="G56" s="191"/>
      <c r="H56" s="191"/>
      <c r="I56" s="191"/>
      <c r="J56" s="191"/>
      <c r="K56" s="191"/>
      <c r="L56" s="191"/>
      <c r="M56" s="191"/>
      <c r="N56" s="191"/>
      <c r="O56" s="191"/>
      <c r="P56" s="191"/>
      <c r="Q56" s="191"/>
      <c r="AR56" s="195"/>
      <c r="AS56" s="195"/>
    </row>
    <row r="57" customFormat="false" ht="15" hidden="false" customHeight="true" outlineLevel="0" collapsed="false">
      <c r="A57" s="191"/>
      <c r="B57" s="191"/>
      <c r="C57" s="191"/>
      <c r="D57" s="191"/>
      <c r="E57" s="191"/>
      <c r="F57" s="191"/>
      <c r="G57" s="191"/>
      <c r="H57" s="191"/>
      <c r="I57" s="191"/>
      <c r="J57" s="191"/>
      <c r="K57" s="191"/>
      <c r="L57" s="191"/>
      <c r="M57" s="191"/>
      <c r="N57" s="191"/>
      <c r="O57" s="191"/>
      <c r="P57" s="191"/>
      <c r="Q57" s="191"/>
      <c r="AR57" s="195"/>
      <c r="AS57" s="195"/>
    </row>
    <row r="58" customFormat="false" ht="15" hidden="false" customHeight="true" outlineLevel="0" collapsed="false">
      <c r="A58" s="191"/>
      <c r="B58" s="191"/>
      <c r="C58" s="191"/>
      <c r="D58" s="191"/>
      <c r="E58" s="191"/>
      <c r="F58" s="191"/>
      <c r="G58" s="191"/>
      <c r="H58" s="191"/>
      <c r="I58" s="191"/>
      <c r="J58" s="191"/>
      <c r="K58" s="191"/>
      <c r="L58" s="191"/>
      <c r="M58" s="191"/>
      <c r="N58" s="191"/>
      <c r="O58" s="191"/>
      <c r="P58" s="191"/>
      <c r="Q58" s="191"/>
      <c r="AR58" s="195"/>
      <c r="AS58" s="195"/>
    </row>
    <row r="59" customFormat="false" ht="15" hidden="false" customHeight="true" outlineLevel="0" collapsed="false">
      <c r="A59" s="191"/>
      <c r="B59" s="191"/>
      <c r="C59" s="191"/>
      <c r="D59" s="191"/>
      <c r="E59" s="191"/>
      <c r="F59" s="191"/>
      <c r="G59" s="191"/>
      <c r="H59" s="191"/>
      <c r="I59" s="191"/>
      <c r="J59" s="191"/>
      <c r="K59" s="191"/>
      <c r="L59" s="191"/>
      <c r="M59" s="191"/>
      <c r="N59" s="191"/>
      <c r="O59" s="191"/>
      <c r="P59" s="191"/>
      <c r="Q59" s="191"/>
      <c r="AR59" s="195"/>
      <c r="AS59" s="195"/>
    </row>
    <row r="60" customFormat="false" ht="15" hidden="false" customHeight="true" outlineLevel="0" collapsed="false">
      <c r="A60" s="191"/>
      <c r="B60" s="191"/>
      <c r="C60" s="191"/>
      <c r="D60" s="191"/>
      <c r="E60" s="191"/>
      <c r="F60" s="191"/>
      <c r="G60" s="191"/>
      <c r="H60" s="191"/>
      <c r="I60" s="191"/>
      <c r="J60" s="191"/>
      <c r="K60" s="191"/>
      <c r="L60" s="191"/>
      <c r="M60" s="191"/>
      <c r="N60" s="191"/>
      <c r="O60" s="191"/>
      <c r="P60" s="191"/>
      <c r="Q60" s="191"/>
      <c r="AR60" s="195"/>
      <c r="AS60" s="195"/>
    </row>
    <row r="61" customFormat="false" ht="15" hidden="false" customHeight="true" outlineLevel="0" collapsed="false">
      <c r="AV61" s="1"/>
    </row>
    <row r="62" customFormat="false" ht="15" hidden="false" customHeight="true" outlineLevel="0" collapsed="false">
      <c r="AV62" s="1"/>
    </row>
    <row r="63" customFormat="false" ht="15" hidden="false" customHeight="true" outlineLevel="0" collapsed="false">
      <c r="AV63" s="1"/>
    </row>
    <row r="64" customFormat="false" ht="15" hidden="false" customHeight="true" outlineLevel="0" collapsed="false">
      <c r="AV64" s="1"/>
    </row>
    <row r="65" customFormat="false" ht="15" hidden="false" customHeight="true" outlineLevel="0" collapsed="false">
      <c r="AV65" s="1"/>
    </row>
    <row r="66" customFormat="false" ht="15" hidden="false" customHeight="true" outlineLevel="0" collapsed="false">
      <c r="AV66" s="1"/>
    </row>
    <row r="67" customFormat="false" ht="15" hidden="false" customHeight="true" outlineLevel="0" collapsed="false">
      <c r="AV67" s="1"/>
    </row>
    <row r="68" customFormat="false" ht="15" hidden="false" customHeight="true" outlineLevel="0" collapsed="false">
      <c r="AV68" s="1"/>
    </row>
    <row r="69" customFormat="false" ht="15" hidden="false" customHeight="true" outlineLevel="0" collapsed="false">
      <c r="AV69" s="1"/>
    </row>
    <row r="70" customFormat="false" ht="15" hidden="false" customHeight="true" outlineLevel="0" collapsed="false">
      <c r="AV70" s="1"/>
    </row>
    <row r="71" customFormat="false" ht="15" hidden="false" customHeight="true" outlineLevel="0" collapsed="false">
      <c r="AV71" s="1"/>
    </row>
    <row r="72" customFormat="false" ht="15" hidden="false" customHeight="true" outlineLevel="0" collapsed="false">
      <c r="AV72" s="1"/>
    </row>
    <row r="73" customFormat="false" ht="15" hidden="false" customHeight="true" outlineLevel="0" collapsed="false">
      <c r="AV73" s="1"/>
    </row>
    <row r="74" customFormat="false" ht="15" hidden="false" customHeight="true" outlineLevel="0" collapsed="false">
      <c r="AV74" s="1"/>
    </row>
    <row r="75" customFormat="false" ht="15" hidden="false" customHeight="true" outlineLevel="0" collapsed="false">
      <c r="AV75" s="1"/>
    </row>
    <row r="76" customFormat="false" ht="15" hidden="false" customHeight="true" outlineLevel="0" collapsed="false">
      <c r="AV76" s="1"/>
    </row>
    <row r="77" customFormat="false" ht="15" hidden="false" customHeight="true" outlineLevel="0" collapsed="false">
      <c r="AV77" s="1"/>
    </row>
    <row r="78" customFormat="false" ht="15" hidden="false" customHeight="true" outlineLevel="0" collapsed="false">
      <c r="AV78" s="1"/>
    </row>
    <row r="79" customFormat="false" ht="15" hidden="false" customHeight="true" outlineLevel="0" collapsed="false">
      <c r="AV79" s="1"/>
    </row>
    <row r="80" customFormat="false" ht="15" hidden="false" customHeight="true" outlineLevel="0" collapsed="false">
      <c r="AV80" s="1"/>
    </row>
    <row r="81" customFormat="false" ht="15" hidden="false" customHeight="true" outlineLevel="0" collapsed="false">
      <c r="AV81" s="1"/>
    </row>
    <row r="82" customFormat="false" ht="15" hidden="false" customHeight="true" outlineLevel="0" collapsed="false">
      <c r="AV82" s="1"/>
    </row>
    <row r="83" customFormat="false" ht="15" hidden="false" customHeight="true" outlineLevel="0" collapsed="false">
      <c r="AV83" s="1"/>
    </row>
    <row r="84" customFormat="false" ht="15" hidden="false" customHeight="true" outlineLevel="0" collapsed="false">
      <c r="AV84" s="1"/>
    </row>
    <row r="85" customFormat="false" ht="15" hidden="false" customHeight="true" outlineLevel="0" collapsed="false">
      <c r="AV85" s="1"/>
    </row>
    <row r="86" customFormat="false" ht="15" hidden="false" customHeight="true" outlineLevel="0" collapsed="false">
      <c r="AV86" s="1"/>
    </row>
    <row r="87" customFormat="false" ht="15" hidden="false" customHeight="true" outlineLevel="0" collapsed="false">
      <c r="AV87" s="1"/>
    </row>
    <row r="88" customFormat="false" ht="15" hidden="false" customHeight="true" outlineLevel="0" collapsed="false">
      <c r="AV88" s="1"/>
    </row>
    <row r="89" customFormat="false" ht="15" hidden="false" customHeight="true" outlineLevel="0" collapsed="false">
      <c r="AV89" s="1"/>
    </row>
    <row r="90" customFormat="false" ht="15" hidden="false" customHeight="true" outlineLevel="0" collapsed="false">
      <c r="AV90" s="1"/>
    </row>
    <row r="91" customFormat="false" ht="15" hidden="false" customHeight="true" outlineLevel="0" collapsed="false">
      <c r="AV91" s="1"/>
    </row>
    <row r="92" customFormat="false" ht="15" hidden="false" customHeight="true" outlineLevel="0" collapsed="false">
      <c r="AV92" s="1"/>
    </row>
    <row r="93" customFormat="false" ht="15" hidden="false" customHeight="true" outlineLevel="0" collapsed="false">
      <c r="AV93" s="1"/>
    </row>
    <row r="94" customFormat="false" ht="15" hidden="false" customHeight="true" outlineLevel="0" collapsed="false">
      <c r="AV94" s="1"/>
    </row>
    <row r="95" customFormat="false" ht="15" hidden="false" customHeight="true" outlineLevel="0" collapsed="false">
      <c r="AV95" s="1"/>
    </row>
    <row r="96" customFormat="false" ht="15" hidden="false" customHeight="true" outlineLevel="0" collapsed="false">
      <c r="AV96" s="1"/>
    </row>
    <row r="97" customFormat="false" ht="15" hidden="false" customHeight="true" outlineLevel="0" collapsed="false">
      <c r="AV97" s="1"/>
    </row>
    <row r="98" customFormat="false" ht="15" hidden="false" customHeight="true" outlineLevel="0" collapsed="false">
      <c r="AV98" s="1"/>
    </row>
    <row r="99" customFormat="false" ht="15" hidden="false" customHeight="true" outlineLevel="0" collapsed="false">
      <c r="AV99" s="1"/>
    </row>
    <row r="100" customFormat="false" ht="15" hidden="false" customHeight="true" outlineLevel="0" collapsed="false">
      <c r="AV100" s="1"/>
    </row>
    <row r="101" customFormat="false" ht="15" hidden="false" customHeight="true" outlineLevel="0" collapsed="false">
      <c r="AV101" s="1"/>
    </row>
    <row r="102" customFormat="false" ht="15" hidden="false" customHeight="true" outlineLevel="0" collapsed="false">
      <c r="AV102" s="1"/>
    </row>
    <row r="103" customFormat="false" ht="15" hidden="false" customHeight="true" outlineLevel="0" collapsed="false">
      <c r="AV103" s="1"/>
    </row>
    <row r="104" customFormat="false" ht="15" hidden="false" customHeight="true" outlineLevel="0" collapsed="false">
      <c r="AV104" s="1"/>
    </row>
    <row r="105" customFormat="false" ht="15" hidden="false" customHeight="true" outlineLevel="0" collapsed="false">
      <c r="AV105" s="1"/>
    </row>
    <row r="106" customFormat="false" ht="15" hidden="false" customHeight="true" outlineLevel="0" collapsed="false">
      <c r="AV106" s="1"/>
    </row>
    <row r="107" customFormat="false" ht="15" hidden="false" customHeight="true" outlineLevel="0" collapsed="false">
      <c r="AV107" s="1"/>
    </row>
    <row r="108" customFormat="false" ht="15" hidden="false" customHeight="true" outlineLevel="0" collapsed="false">
      <c r="AV108" s="1"/>
    </row>
    <row r="109" customFormat="false" ht="15" hidden="false" customHeight="true" outlineLevel="0" collapsed="false">
      <c r="AV109" s="1"/>
    </row>
    <row r="110" customFormat="false" ht="15" hidden="false" customHeight="true" outlineLevel="0" collapsed="false">
      <c r="AV110" s="1"/>
    </row>
    <row r="111" customFormat="false" ht="15" hidden="false" customHeight="true" outlineLevel="0" collapsed="false">
      <c r="AV111" s="1"/>
    </row>
    <row r="112" customFormat="false" ht="15" hidden="false" customHeight="true" outlineLevel="0" collapsed="false">
      <c r="AV112" s="1"/>
    </row>
    <row r="113" customFormat="false" ht="15" hidden="false" customHeight="true" outlineLevel="0" collapsed="false">
      <c r="AV113" s="1"/>
    </row>
    <row r="114" customFormat="false" ht="15" hidden="false" customHeight="true" outlineLevel="0" collapsed="false">
      <c r="AV114" s="1"/>
    </row>
    <row r="115" customFormat="false" ht="15" hidden="false" customHeight="true" outlineLevel="0" collapsed="false">
      <c r="AV115" s="1"/>
    </row>
    <row r="116" customFormat="false" ht="15" hidden="false" customHeight="true" outlineLevel="0" collapsed="false">
      <c r="AV116" s="1"/>
    </row>
    <row r="117" customFormat="false" ht="15" hidden="false" customHeight="true" outlineLevel="0" collapsed="false">
      <c r="AV117" s="1"/>
    </row>
    <row r="118" customFormat="false" ht="15" hidden="false" customHeight="true" outlineLevel="0" collapsed="false">
      <c r="AV118" s="1"/>
    </row>
    <row r="119" customFormat="false" ht="15" hidden="false" customHeight="true" outlineLevel="0" collapsed="false">
      <c r="AV119" s="1"/>
    </row>
    <row r="120" customFormat="false" ht="15" hidden="false" customHeight="true" outlineLevel="0" collapsed="false">
      <c r="AV120" s="1"/>
    </row>
    <row r="121" customFormat="false" ht="15" hidden="false" customHeight="true" outlineLevel="0" collapsed="false">
      <c r="AV121" s="1"/>
    </row>
    <row r="122" customFormat="false" ht="15" hidden="false" customHeight="true" outlineLevel="0" collapsed="false">
      <c r="AV122" s="1"/>
    </row>
    <row r="123" customFormat="false" ht="15" hidden="false" customHeight="true" outlineLevel="0" collapsed="false">
      <c r="AV123" s="1"/>
    </row>
    <row r="124" customFormat="false" ht="15" hidden="false" customHeight="true" outlineLevel="0" collapsed="false">
      <c r="AV124" s="1"/>
    </row>
    <row r="125" customFormat="false" ht="15" hidden="false" customHeight="true" outlineLevel="0" collapsed="false">
      <c r="AV125" s="1"/>
    </row>
    <row r="126" customFormat="false" ht="15" hidden="false" customHeight="true" outlineLevel="0" collapsed="false">
      <c r="AV126" s="1"/>
    </row>
    <row r="127" customFormat="false" ht="15" hidden="false" customHeight="true" outlineLevel="0" collapsed="false">
      <c r="AV127" s="1"/>
    </row>
    <row r="128" customFormat="false" ht="15" hidden="false" customHeight="true" outlineLevel="0" collapsed="false">
      <c r="AV128" s="1"/>
    </row>
    <row r="129" customFormat="false" ht="15" hidden="false" customHeight="true" outlineLevel="0" collapsed="false">
      <c r="AV129" s="1"/>
    </row>
    <row r="130" customFormat="false" ht="15" hidden="false" customHeight="true" outlineLevel="0" collapsed="false">
      <c r="AV130" s="1"/>
    </row>
    <row r="131" customFormat="false" ht="15" hidden="false" customHeight="true" outlineLevel="0" collapsed="false">
      <c r="AV131" s="1"/>
    </row>
    <row r="132" customFormat="false" ht="15" hidden="false" customHeight="true" outlineLevel="0" collapsed="false">
      <c r="AV132" s="1"/>
    </row>
    <row r="133" customFormat="false" ht="15" hidden="false" customHeight="true" outlineLevel="0" collapsed="false">
      <c r="AV133" s="1"/>
    </row>
    <row r="134" customFormat="false" ht="15" hidden="false" customHeight="true" outlineLevel="0" collapsed="false">
      <c r="AV134" s="1"/>
    </row>
    <row r="135" customFormat="false" ht="15" hidden="false" customHeight="true" outlineLevel="0" collapsed="false">
      <c r="AV135" s="1"/>
    </row>
    <row r="136" customFormat="false" ht="15" hidden="false" customHeight="true" outlineLevel="0" collapsed="false">
      <c r="AV136" s="1"/>
    </row>
    <row r="137" customFormat="false" ht="15" hidden="false" customHeight="true" outlineLevel="0" collapsed="false">
      <c r="AV137" s="1"/>
    </row>
    <row r="138" customFormat="false" ht="15" hidden="false" customHeight="true" outlineLevel="0" collapsed="false">
      <c r="AV138" s="1"/>
    </row>
    <row r="139" customFormat="false" ht="15" hidden="false" customHeight="true" outlineLevel="0" collapsed="false">
      <c r="AV139" s="1"/>
    </row>
    <row r="140" customFormat="false" ht="15" hidden="false" customHeight="true" outlineLevel="0" collapsed="false">
      <c r="AV140" s="1"/>
    </row>
    <row r="141" customFormat="false" ht="15.75" hidden="false" customHeight="true" outlineLevel="0" collapsed="false">
      <c r="AV141" s="1"/>
    </row>
    <row r="142" customFormat="false" ht="15.75" hidden="false" customHeight="true" outlineLevel="0" collapsed="false">
      <c r="AV142" s="1"/>
    </row>
    <row r="143" customFormat="false" ht="15.75" hidden="false" customHeight="true" outlineLevel="0" collapsed="false">
      <c r="AV143" s="1"/>
    </row>
    <row r="144" customFormat="false" ht="15.75" hidden="false" customHeight="true" outlineLevel="0" collapsed="false">
      <c r="AV144" s="1"/>
    </row>
    <row r="145" customFormat="false" ht="15.75" hidden="false" customHeight="true" outlineLevel="0" collapsed="false">
      <c r="AV145" s="1"/>
    </row>
    <row r="146" customFormat="false" ht="15.75" hidden="false" customHeight="true" outlineLevel="0" collapsed="false">
      <c r="AV146" s="1"/>
    </row>
    <row r="147" customFormat="false" ht="15.75" hidden="false" customHeight="true" outlineLevel="0" collapsed="false">
      <c r="AV147" s="1"/>
    </row>
    <row r="148" customFormat="false" ht="15.75" hidden="false" customHeight="true" outlineLevel="0" collapsed="false">
      <c r="AV148" s="1"/>
    </row>
    <row r="149" customFormat="false" ht="15.75" hidden="false" customHeight="true" outlineLevel="0" collapsed="false">
      <c r="AV149" s="1"/>
    </row>
    <row r="150" customFormat="false" ht="15.75" hidden="false" customHeight="true" outlineLevel="0" collapsed="false">
      <c r="AV150" s="1"/>
    </row>
    <row r="151" customFormat="false" ht="15.75" hidden="false" customHeight="true" outlineLevel="0" collapsed="false">
      <c r="AV151" s="1"/>
    </row>
    <row r="152" customFormat="false" ht="15.75" hidden="false" customHeight="true" outlineLevel="0" collapsed="false">
      <c r="AV152" s="1"/>
    </row>
    <row r="153" customFormat="false" ht="15.75" hidden="false" customHeight="true" outlineLevel="0" collapsed="false">
      <c r="AV153" s="1"/>
    </row>
    <row r="154" customFormat="false" ht="15.75" hidden="false" customHeight="true" outlineLevel="0" collapsed="false">
      <c r="AV154" s="1"/>
    </row>
    <row r="155" customFormat="false" ht="15.75" hidden="false" customHeight="true" outlineLevel="0" collapsed="false">
      <c r="AV155" s="1"/>
    </row>
    <row r="156" customFormat="false" ht="15.75" hidden="false" customHeight="true" outlineLevel="0" collapsed="false">
      <c r="AV156" s="1"/>
    </row>
    <row r="157" customFormat="false" ht="15.75" hidden="false" customHeight="true" outlineLevel="0" collapsed="false">
      <c r="AV157" s="1"/>
    </row>
    <row r="158" customFormat="false" ht="15.75" hidden="false" customHeight="true" outlineLevel="0" collapsed="false">
      <c r="AV158" s="1"/>
    </row>
    <row r="159" customFormat="false" ht="15.75" hidden="false" customHeight="true" outlineLevel="0" collapsed="false">
      <c r="AV159" s="1"/>
    </row>
    <row r="160" customFormat="false" ht="15.75" hidden="false" customHeight="true" outlineLevel="0" collapsed="false">
      <c r="AV160" s="1"/>
    </row>
    <row r="161" customFormat="false" ht="15.75" hidden="false" customHeight="true" outlineLevel="0" collapsed="false">
      <c r="AV161" s="1"/>
    </row>
    <row r="162" customFormat="false" ht="15.75" hidden="false" customHeight="true" outlineLevel="0" collapsed="false">
      <c r="AV162" s="1"/>
    </row>
    <row r="163" customFormat="false" ht="15.75" hidden="false" customHeight="true" outlineLevel="0" collapsed="false">
      <c r="AV163" s="1"/>
    </row>
    <row r="164" customFormat="false" ht="15.75" hidden="false" customHeight="true" outlineLevel="0" collapsed="false">
      <c r="AV164" s="1"/>
    </row>
    <row r="165" customFormat="false" ht="15.75" hidden="false" customHeight="true" outlineLevel="0" collapsed="false">
      <c r="AV165" s="1"/>
    </row>
    <row r="166" customFormat="false" ht="15.75" hidden="false" customHeight="true" outlineLevel="0" collapsed="false">
      <c r="AV166" s="1"/>
    </row>
    <row r="167" customFormat="false" ht="15.75" hidden="false" customHeight="true" outlineLevel="0" collapsed="false">
      <c r="AV167" s="1"/>
    </row>
    <row r="168" customFormat="false" ht="15.75" hidden="false" customHeight="true" outlineLevel="0" collapsed="false">
      <c r="AV168" s="1"/>
    </row>
    <row r="169" customFormat="false" ht="15.75" hidden="false" customHeight="true" outlineLevel="0" collapsed="false">
      <c r="AV169" s="1"/>
    </row>
    <row r="170" customFormat="false" ht="15.75" hidden="false" customHeight="true" outlineLevel="0" collapsed="false">
      <c r="AV170" s="1"/>
    </row>
    <row r="171" customFormat="false" ht="15.75" hidden="false" customHeight="true" outlineLevel="0" collapsed="false">
      <c r="AV171" s="1"/>
    </row>
    <row r="172" customFormat="false" ht="15.75" hidden="false" customHeight="true" outlineLevel="0" collapsed="false">
      <c r="AV172" s="1"/>
    </row>
    <row r="173" customFormat="false" ht="15.75" hidden="false" customHeight="true" outlineLevel="0" collapsed="false">
      <c r="AV173" s="1"/>
    </row>
    <row r="174" customFormat="false" ht="15.75" hidden="false" customHeight="true" outlineLevel="0" collapsed="false">
      <c r="AV174" s="1"/>
    </row>
    <row r="175" customFormat="false" ht="15.75" hidden="false" customHeight="true" outlineLevel="0" collapsed="false">
      <c r="AV175" s="1"/>
    </row>
    <row r="176" customFormat="false" ht="15.75" hidden="false" customHeight="true" outlineLevel="0" collapsed="false">
      <c r="AV176" s="1"/>
    </row>
    <row r="177" customFormat="false" ht="15.75" hidden="false" customHeight="true" outlineLevel="0" collapsed="false">
      <c r="AV177" s="1"/>
    </row>
    <row r="178" customFormat="false" ht="15.75" hidden="false" customHeight="true" outlineLevel="0" collapsed="false">
      <c r="AV178" s="1"/>
    </row>
    <row r="179" customFormat="false" ht="15.75" hidden="false" customHeight="true" outlineLevel="0" collapsed="false">
      <c r="AV179" s="1"/>
    </row>
    <row r="180" customFormat="false" ht="15.75" hidden="false" customHeight="true" outlineLevel="0" collapsed="false">
      <c r="AV180" s="1"/>
    </row>
    <row r="181" customFormat="false" ht="15.75" hidden="false" customHeight="true" outlineLevel="0" collapsed="false">
      <c r="AV181" s="1"/>
    </row>
    <row r="182" customFormat="false" ht="15.75" hidden="false" customHeight="true" outlineLevel="0" collapsed="false">
      <c r="AV182" s="1"/>
    </row>
    <row r="183" customFormat="false" ht="15.75" hidden="false" customHeight="true" outlineLevel="0" collapsed="false">
      <c r="AV183" s="1"/>
    </row>
    <row r="184" customFormat="false" ht="15.75" hidden="false" customHeight="true" outlineLevel="0" collapsed="false">
      <c r="AV184" s="1"/>
    </row>
    <row r="185" customFormat="false" ht="15.75" hidden="false" customHeight="true" outlineLevel="0" collapsed="false">
      <c r="AV185" s="1"/>
    </row>
    <row r="186" customFormat="false" ht="15.75" hidden="false" customHeight="true" outlineLevel="0" collapsed="false">
      <c r="AV186" s="1"/>
    </row>
    <row r="187" customFormat="false" ht="15.75" hidden="false" customHeight="true" outlineLevel="0" collapsed="false">
      <c r="AV187" s="1"/>
    </row>
    <row r="188" customFormat="false" ht="15.75" hidden="false" customHeight="true" outlineLevel="0" collapsed="false">
      <c r="AV188" s="1"/>
    </row>
    <row r="189" customFormat="false" ht="15.75" hidden="false" customHeight="true" outlineLevel="0" collapsed="false">
      <c r="AV189" s="1"/>
    </row>
    <row r="190" customFormat="false" ht="15.75" hidden="false" customHeight="true" outlineLevel="0" collapsed="false">
      <c r="AV190" s="1"/>
    </row>
    <row r="191" customFormat="false" ht="15.75" hidden="false" customHeight="true" outlineLevel="0" collapsed="false">
      <c r="AV191" s="1"/>
    </row>
    <row r="192" customFormat="false" ht="15.75" hidden="false" customHeight="true" outlineLevel="0" collapsed="false">
      <c r="AV192" s="1"/>
    </row>
    <row r="193" customFormat="false" ht="15.75" hidden="false" customHeight="true" outlineLevel="0" collapsed="false">
      <c r="AV193" s="1"/>
    </row>
    <row r="194" customFormat="false" ht="15.75" hidden="false" customHeight="true" outlineLevel="0" collapsed="false">
      <c r="AV194" s="1"/>
    </row>
    <row r="195" customFormat="false" ht="15.75" hidden="false" customHeight="true" outlineLevel="0" collapsed="false">
      <c r="AV195" s="1"/>
    </row>
    <row r="196" customFormat="false" ht="15.75" hidden="false" customHeight="true" outlineLevel="0" collapsed="false">
      <c r="AV196" s="1"/>
    </row>
    <row r="197" customFormat="false" ht="15.75" hidden="false" customHeight="true" outlineLevel="0" collapsed="false">
      <c r="AV197" s="1"/>
    </row>
    <row r="198" customFormat="false" ht="15.75" hidden="false" customHeight="true" outlineLevel="0" collapsed="false">
      <c r="AV198" s="1"/>
    </row>
    <row r="199" customFormat="false" ht="15.75" hidden="false" customHeight="true" outlineLevel="0" collapsed="false">
      <c r="AV199" s="1"/>
    </row>
    <row r="200" customFormat="false" ht="15.75" hidden="false" customHeight="true" outlineLevel="0" collapsed="false">
      <c r="AV200" s="1"/>
    </row>
    <row r="201" customFormat="false" ht="15.75" hidden="false" customHeight="true" outlineLevel="0" collapsed="false">
      <c r="AV201" s="1"/>
    </row>
    <row r="202" customFormat="false" ht="15.75" hidden="false" customHeight="true" outlineLevel="0" collapsed="false">
      <c r="AV202" s="1"/>
    </row>
    <row r="203" customFormat="false" ht="15.75" hidden="false" customHeight="true" outlineLevel="0" collapsed="false">
      <c r="AV203" s="1"/>
    </row>
    <row r="204" customFormat="false" ht="15.75" hidden="false" customHeight="true" outlineLevel="0" collapsed="false">
      <c r="AV204" s="1"/>
    </row>
    <row r="205" customFormat="false" ht="15.75" hidden="false" customHeight="true" outlineLevel="0" collapsed="false">
      <c r="AV205" s="1"/>
    </row>
    <row r="206" customFormat="false" ht="15.75" hidden="false" customHeight="true" outlineLevel="0" collapsed="false">
      <c r="AV206" s="1"/>
    </row>
    <row r="207" customFormat="false" ht="15.75" hidden="false" customHeight="true" outlineLevel="0" collapsed="false">
      <c r="AV207" s="1"/>
    </row>
    <row r="208" customFormat="false" ht="15.75" hidden="false" customHeight="true" outlineLevel="0" collapsed="false">
      <c r="AV208" s="1"/>
    </row>
    <row r="209" customFormat="false" ht="15.75" hidden="false" customHeight="true" outlineLevel="0" collapsed="false">
      <c r="AV209" s="1"/>
    </row>
    <row r="210" customFormat="false" ht="15.75" hidden="false" customHeight="true" outlineLevel="0" collapsed="false">
      <c r="AV210" s="1"/>
    </row>
    <row r="211" customFormat="false" ht="15.75" hidden="false" customHeight="true" outlineLevel="0" collapsed="false">
      <c r="AV211" s="1"/>
    </row>
    <row r="212" customFormat="false" ht="15.75" hidden="false" customHeight="true" outlineLevel="0" collapsed="false">
      <c r="AV212" s="1"/>
    </row>
    <row r="213" customFormat="false" ht="15.75" hidden="false" customHeight="true" outlineLevel="0" collapsed="false">
      <c r="AV213" s="1"/>
    </row>
    <row r="214" customFormat="false" ht="15.75" hidden="false" customHeight="true" outlineLevel="0" collapsed="false">
      <c r="AV214" s="1"/>
    </row>
    <row r="215" customFormat="false" ht="15.75" hidden="false" customHeight="true" outlineLevel="0" collapsed="false">
      <c r="AV215" s="1"/>
    </row>
    <row r="216" customFormat="false" ht="15.75" hidden="false" customHeight="true" outlineLevel="0" collapsed="false">
      <c r="AV216" s="1"/>
    </row>
    <row r="217" customFormat="false" ht="15.75" hidden="false" customHeight="true" outlineLevel="0" collapsed="false">
      <c r="AV217" s="1"/>
    </row>
    <row r="218" customFormat="false" ht="15.75" hidden="false" customHeight="true" outlineLevel="0" collapsed="false">
      <c r="AV218" s="1"/>
    </row>
    <row r="219" customFormat="false" ht="15.75" hidden="false" customHeight="true" outlineLevel="0" collapsed="false">
      <c r="AV219" s="1"/>
    </row>
    <row r="220" customFormat="false" ht="15.75" hidden="false" customHeight="true" outlineLevel="0" collapsed="false">
      <c r="AV220" s="1"/>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6:AU6"/>
  <mergeCells count="23">
    <mergeCell ref="A2:B2"/>
    <mergeCell ref="C2:E2"/>
    <mergeCell ref="A3:B3"/>
    <mergeCell ref="C3:E3"/>
    <mergeCell ref="G3:H3"/>
    <mergeCell ref="I3:J3"/>
    <mergeCell ref="A4:B4"/>
    <mergeCell ref="C4:E4"/>
    <mergeCell ref="G4:H4"/>
    <mergeCell ref="I4:J4"/>
    <mergeCell ref="A5:C5"/>
    <mergeCell ref="D5:I5"/>
    <mergeCell ref="J5:M5"/>
    <mergeCell ref="N5:S5"/>
    <mergeCell ref="T5:Y5"/>
    <mergeCell ref="Z5:AE5"/>
    <mergeCell ref="AF5:AK5"/>
    <mergeCell ref="AL5:AQ5"/>
    <mergeCell ref="AR5:AU5"/>
    <mergeCell ref="C7:AU7"/>
    <mergeCell ref="C9:AU9"/>
    <mergeCell ref="C11:AU11"/>
    <mergeCell ref="C14:AU14"/>
  </mergeCells>
  <conditionalFormatting sqref="O7:O500 P7:P500 U7:U500 V7:V500 AA7:AA500 AB7:AB500 AG7:AG500 AH7:AH500 AM7:AM500 AN7:AN500 AS7:AS500 AT7:AT500">
    <cfRule type="cellIs" priority="2" operator="equal" aboveAverage="0" equalAverage="0" bottom="0" percent="0" rank="0" text="" dxfId="0">
      <formula>"Pass"</formula>
    </cfRule>
    <cfRule type="cellIs" priority="3" operator="equal" aboveAverage="0" equalAverage="0" bottom="0" percent="0" rank="0" text="" dxfId="1">
      <formula>"Fail"</formula>
    </cfRule>
    <cfRule type="cellIs" priority="4" operator="equal" aboveAverage="0" equalAverage="0" bottom="0" percent="0" rank="0" text="" dxfId="2">
      <formula>"Block"</formula>
    </cfRule>
    <cfRule type="cellIs" priority="5" operator="equal" aboveAverage="0" equalAverage="0" bottom="0" percent="0" rank="0" text="" dxfId="3">
      <formula>"N/A"</formula>
    </cfRule>
  </conditionalFormatting>
  <dataValidations count="8">
    <dataValidation allowBlank="true" errorStyle="stop" operator="between" showDropDown="false" showErrorMessage="false" showInputMessage="false" sqref="J7:J500" type="list">
      <formula1>"AI,QC"</formula1>
      <formula2>0</formula2>
    </dataValidation>
    <dataValidation allowBlank="true" errorStyle="stop" operator="between" showDropDown="false" showErrorMessage="false" showInputMessage="false" sqref="E7:E500" type="list">
      <formula1>"High,Medium,Low"</formula1>
      <formula2>0</formula2>
    </dataValidation>
    <dataValidation allowBlank="true" errorStyle="stop" operator="between" showDropDown="false" showErrorMessage="false" showInputMessage="false" sqref="P7:P500 V7:V500 AB7:AB500 AH7:AH500 AN7:AN500" type="list">
      <formula1>"Pass,Fail,Block,N/A"</formula1>
      <formula2>0</formula2>
    </dataValidation>
    <dataValidation allowBlank="true" errorStyle="stop" operator="between" showDropDown="false" showErrorMessage="false" showInputMessage="false" sqref="N7:N500 T7:T500 Z7:Z500 AF7:AF500 AL7:AL500" type="list">
      <formula1>"Yes,No,N/A"</formula1>
      <formula2>0</formula2>
    </dataValidation>
    <dataValidation allowBlank="true" errorStyle="stop" operator="between" showDropDown="false" showErrorMessage="false" showInputMessage="false" sqref="O7:O500 U7:U500 AA7:AA500 AG7:AG500 AM7:AM500" type="list">
      <formula1>"Pass,Fail,Block,N/A,Chưa chạy"</formula1>
      <formula2>0</formula2>
    </dataValidation>
    <dataValidation allowBlank="true" errorStyle="stop" operator="between" showDropDown="false" showErrorMessage="false" showInputMessage="false" sqref="D7:D500" type="list">
      <formula1>"Functional,UI,Integration,Database Test Case"</formula1>
      <formula2>0</formula2>
    </dataValidation>
    <dataValidation allowBlank="true" errorStyle="stop" operator="between" showDropDown="false" showErrorMessage="false" showInputMessage="false" sqref="K7:K500" type="list">
      <formula1>"Reviewed,Pending,N/A"</formula1>
      <formula2>0</formula2>
    </dataValidation>
    <dataValidation allowBlank="true" errorStyle="stop" operator="between" showDropDown="false" showErrorMessage="false" showInputMessage="false" sqref="L7:L500"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V1000"/>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1" ySplit="6" topLeftCell="B22" activePane="bottomRight" state="frozen"/>
      <selection pane="topLeft" activeCell="A1" activeCellId="0" sqref="A1"/>
      <selection pane="topRight" activeCell="B1" activeCellId="0" sqref="B1"/>
      <selection pane="bottomLeft" activeCell="A22" activeCellId="0" sqref="A22"/>
      <selection pane="bottomRight" activeCell="C7" activeCellId="0" sqref="C7"/>
    </sheetView>
  </sheetViews>
  <sheetFormatPr defaultColWidth="14.43359375" defaultRowHeight="15" customHeight="true" zeroHeight="false" outlineLevelRow="0" outlineLevelCol="0"/>
  <cols>
    <col collapsed="false" customWidth="true" hidden="false" outlineLevel="0" max="2" min="1" style="1" width="14"/>
    <col collapsed="false" customWidth="true" hidden="false" outlineLevel="0" max="4" min="3" style="1" width="13"/>
    <col collapsed="false" customWidth="true" hidden="false" outlineLevel="0" max="5" min="5" style="1" width="11"/>
    <col collapsed="false" customWidth="true" hidden="false" outlineLevel="0" max="6" min="6" style="1" width="34"/>
    <col collapsed="false" customWidth="true" hidden="false" outlineLevel="0" max="7" min="7" style="1" width="28"/>
    <col collapsed="false" customWidth="true" hidden="false" outlineLevel="0" max="8" min="8" style="1" width="40"/>
    <col collapsed="false" customWidth="true" hidden="false" outlineLevel="0" max="9" min="9" style="1" width="34"/>
    <col collapsed="false" customWidth="true" hidden="false" outlineLevel="0" max="10" min="10" style="1" width="10"/>
    <col collapsed="false" customWidth="true" hidden="false" outlineLevel="0" max="11" min="11" style="1" width="12.43"/>
    <col collapsed="false" customWidth="true" hidden="false" outlineLevel="0" max="12" min="12" style="1" width="14"/>
    <col collapsed="false" customWidth="true" hidden="false" outlineLevel="0" max="13" min="13" style="1" width="26.16"/>
    <col collapsed="false" customWidth="true" hidden="false" outlineLevel="0" max="14" min="14" style="1" width="9"/>
    <col collapsed="false" customWidth="true" hidden="false" outlineLevel="0" max="15" min="15" style="1" width="10"/>
    <col collapsed="false" customWidth="true" hidden="false" outlineLevel="0" max="16" min="16" style="1" width="9"/>
    <col collapsed="false" customWidth="true" hidden="false" outlineLevel="0" max="17" min="17" style="1" width="13"/>
    <col collapsed="false" customWidth="true" hidden="false" outlineLevel="0" max="18" min="18" style="1" width="11"/>
    <col collapsed="false" customWidth="true" hidden="false" outlineLevel="0" max="19" min="19" style="1" width="22"/>
    <col collapsed="false" customWidth="true" hidden="false" outlineLevel="0" max="20" min="20" style="1" width="9"/>
    <col collapsed="false" customWidth="true" hidden="false" outlineLevel="0" max="21" min="21" style="1" width="10"/>
    <col collapsed="false" customWidth="true" hidden="false" outlineLevel="0" max="22" min="22" style="1" width="9"/>
    <col collapsed="false" customWidth="true" hidden="false" outlineLevel="0" max="23" min="23" style="1" width="13"/>
    <col collapsed="false" customWidth="true" hidden="false" outlineLevel="0" max="24" min="24" style="1" width="11"/>
    <col collapsed="false" customWidth="true" hidden="false" outlineLevel="0" max="25" min="25" style="1" width="22"/>
    <col collapsed="false" customWidth="true" hidden="false" outlineLevel="0" max="26" min="26" style="1" width="9"/>
    <col collapsed="false" customWidth="true" hidden="false" outlineLevel="0" max="27" min="27" style="1" width="10"/>
    <col collapsed="false" customWidth="true" hidden="false" outlineLevel="0" max="28" min="28" style="1" width="9"/>
    <col collapsed="false" customWidth="true" hidden="false" outlineLevel="0" max="29" min="29" style="1" width="13"/>
    <col collapsed="false" customWidth="true" hidden="false" outlineLevel="0" max="30" min="30" style="1" width="11"/>
    <col collapsed="false" customWidth="true" hidden="false" outlineLevel="0" max="31" min="31" style="1" width="22"/>
    <col collapsed="false" customWidth="true" hidden="false" outlineLevel="0" max="32" min="32" style="1" width="9"/>
    <col collapsed="false" customWidth="true" hidden="false" outlineLevel="0" max="33" min="33" style="1" width="10"/>
    <col collapsed="false" customWidth="true" hidden="false" outlineLevel="0" max="34" min="34" style="1" width="9"/>
    <col collapsed="false" customWidth="true" hidden="false" outlineLevel="0" max="35" min="35" style="1" width="13"/>
    <col collapsed="false" customWidth="true" hidden="false" outlineLevel="0" max="36" min="36" style="1" width="11"/>
    <col collapsed="false" customWidth="true" hidden="false" outlineLevel="0" max="37" min="37" style="1" width="22"/>
    <col collapsed="false" customWidth="true" hidden="false" outlineLevel="0" max="38" min="38" style="1" width="9"/>
    <col collapsed="false" customWidth="true" hidden="false" outlineLevel="0" max="39" min="39" style="1" width="10"/>
    <col collapsed="false" customWidth="true" hidden="false" outlineLevel="0" max="40" min="40" style="1" width="9"/>
    <col collapsed="false" customWidth="true" hidden="false" outlineLevel="0" max="41" min="41" style="1" width="13"/>
    <col collapsed="false" customWidth="true" hidden="false" outlineLevel="0" max="42" min="42" style="1" width="11"/>
    <col collapsed="false" customWidth="true" hidden="false" outlineLevel="0" max="43" min="43" style="1" width="22"/>
    <col collapsed="false" customWidth="true" hidden="false" outlineLevel="0" max="44" min="44" style="1" width="12"/>
    <col collapsed="false" customWidth="true" hidden="false" outlineLevel="0" max="45" min="45" style="1" width="14"/>
    <col collapsed="false" customWidth="true" hidden="false" outlineLevel="0" max="46" min="46" style="1" width="11"/>
    <col collapsed="false" customWidth="true" hidden="false" outlineLevel="0" max="47" min="47" style="1" width="24"/>
  </cols>
  <sheetData>
    <row r="1" customFormat="false" ht="15" hidden="false" customHeight="true" outlineLevel="0" collapsed="false">
      <c r="A1" s="172"/>
    </row>
    <row r="2" customFormat="false" ht="15" hidden="false" customHeight="true" outlineLevel="0" collapsed="false">
      <c r="A2" s="180" t="s">
        <v>629</v>
      </c>
      <c r="B2" s="180"/>
      <c r="C2" s="181" t="s">
        <v>205</v>
      </c>
      <c r="D2" s="181"/>
      <c r="E2" s="181"/>
    </row>
    <row r="3" customFormat="false" ht="15" hidden="false" customHeight="true" outlineLevel="0" collapsed="false">
      <c r="A3" s="180" t="s">
        <v>630</v>
      </c>
      <c r="B3" s="180"/>
      <c r="C3" s="181" t="s">
        <v>206</v>
      </c>
      <c r="D3" s="181"/>
      <c r="E3" s="181"/>
      <c r="G3" s="180" t="s">
        <v>82</v>
      </c>
      <c r="H3" s="180"/>
      <c r="I3" s="38" t="str">
        <f aca="false">Summary!$C$8</f>
        <v>v1.1</v>
      </c>
      <c r="J3" s="38"/>
    </row>
    <row r="4" customFormat="false" ht="15" hidden="false" customHeight="true" outlineLevel="0" collapsed="false">
      <c r="A4" s="180" t="s">
        <v>145</v>
      </c>
      <c r="B4" s="180"/>
      <c r="C4" s="38" t="str">
        <f aca="false">TEXT(Summary!$C$10,"DD/MM/YYYY")&amp;"  →  "&amp;TEXT(Summary!$C$11,"DD/MM/YYYY")</f>
        <v>18/09/2026  →  25/09/2026</v>
      </c>
      <c r="D4" s="38"/>
      <c r="E4" s="38"/>
      <c r="G4" s="180" t="s">
        <v>103</v>
      </c>
      <c r="H4" s="180"/>
      <c r="I4" s="38" t="str">
        <f aca="false">Summary!$C$13</f>
        <v>GiangDC2</v>
      </c>
      <c r="J4" s="38"/>
    </row>
    <row r="5" customFormat="false" ht="15" hidden="false" customHeight="true" outlineLevel="0" collapsed="false">
      <c r="A5" s="182" t="s">
        <v>631</v>
      </c>
      <c r="B5" s="182"/>
      <c r="C5" s="182"/>
      <c r="D5" s="117" t="s">
        <v>632</v>
      </c>
      <c r="E5" s="117"/>
      <c r="F5" s="117"/>
      <c r="G5" s="117"/>
      <c r="H5" s="117"/>
      <c r="I5" s="117"/>
      <c r="J5" s="136" t="s">
        <v>58</v>
      </c>
      <c r="K5" s="136"/>
      <c r="L5" s="136"/>
      <c r="M5" s="136"/>
      <c r="N5" s="183" t="s">
        <v>633</v>
      </c>
      <c r="O5" s="183"/>
      <c r="P5" s="183"/>
      <c r="Q5" s="183"/>
      <c r="R5" s="183"/>
      <c r="S5" s="183"/>
      <c r="T5" s="184" t="s">
        <v>634</v>
      </c>
      <c r="U5" s="184"/>
      <c r="V5" s="184"/>
      <c r="W5" s="184"/>
      <c r="X5" s="184"/>
      <c r="Y5" s="184"/>
      <c r="Z5" s="183" t="s">
        <v>635</v>
      </c>
      <c r="AA5" s="183"/>
      <c r="AB5" s="183"/>
      <c r="AC5" s="183"/>
      <c r="AD5" s="183"/>
      <c r="AE5" s="183"/>
      <c r="AF5" s="184" t="s">
        <v>636</v>
      </c>
      <c r="AG5" s="184"/>
      <c r="AH5" s="184"/>
      <c r="AI5" s="184"/>
      <c r="AJ5" s="184"/>
      <c r="AK5" s="184"/>
      <c r="AL5" s="183" t="s">
        <v>637</v>
      </c>
      <c r="AM5" s="183"/>
      <c r="AN5" s="183"/>
      <c r="AO5" s="183"/>
      <c r="AP5" s="183"/>
      <c r="AQ5" s="183"/>
      <c r="AR5" s="185" t="s">
        <v>638</v>
      </c>
      <c r="AS5" s="185"/>
      <c r="AT5" s="185"/>
      <c r="AU5" s="185"/>
    </row>
    <row r="6" customFormat="false" ht="30" hidden="false" customHeight="true" outlineLevel="0" collapsed="false">
      <c r="A6" s="186" t="s">
        <v>639</v>
      </c>
      <c r="B6" s="186" t="s">
        <v>405</v>
      </c>
      <c r="C6" s="186" t="s">
        <v>640</v>
      </c>
      <c r="D6" s="125" t="s">
        <v>40</v>
      </c>
      <c r="E6" s="125" t="s">
        <v>32</v>
      </c>
      <c r="F6" s="125" t="s">
        <v>641</v>
      </c>
      <c r="G6" s="125" t="s">
        <v>642</v>
      </c>
      <c r="H6" s="125" t="s">
        <v>643</v>
      </c>
      <c r="I6" s="125" t="s">
        <v>644</v>
      </c>
      <c r="J6" s="175" t="s">
        <v>645</v>
      </c>
      <c r="K6" s="175" t="s">
        <v>62</v>
      </c>
      <c r="L6" s="175" t="s">
        <v>64</v>
      </c>
      <c r="M6" s="175" t="s">
        <v>66</v>
      </c>
      <c r="N6" s="187" t="s">
        <v>68</v>
      </c>
      <c r="O6" s="187" t="s">
        <v>70</v>
      </c>
      <c r="P6" s="187" t="s">
        <v>646</v>
      </c>
      <c r="Q6" s="187" t="s">
        <v>647</v>
      </c>
      <c r="R6" s="187" t="s">
        <v>648</v>
      </c>
      <c r="S6" s="187" t="s">
        <v>265</v>
      </c>
      <c r="T6" s="187" t="s">
        <v>68</v>
      </c>
      <c r="U6" s="187" t="s">
        <v>70</v>
      </c>
      <c r="V6" s="187" t="s">
        <v>646</v>
      </c>
      <c r="W6" s="187" t="s">
        <v>647</v>
      </c>
      <c r="X6" s="187" t="s">
        <v>648</v>
      </c>
      <c r="Y6" s="187" t="s">
        <v>265</v>
      </c>
      <c r="Z6" s="187" t="s">
        <v>68</v>
      </c>
      <c r="AA6" s="187" t="s">
        <v>70</v>
      </c>
      <c r="AB6" s="187" t="s">
        <v>646</v>
      </c>
      <c r="AC6" s="187" t="s">
        <v>647</v>
      </c>
      <c r="AD6" s="187" t="s">
        <v>648</v>
      </c>
      <c r="AE6" s="187" t="s">
        <v>265</v>
      </c>
      <c r="AF6" s="187" t="s">
        <v>68</v>
      </c>
      <c r="AG6" s="187" t="s">
        <v>70</v>
      </c>
      <c r="AH6" s="187" t="s">
        <v>646</v>
      </c>
      <c r="AI6" s="187" t="s">
        <v>647</v>
      </c>
      <c r="AJ6" s="187" t="s">
        <v>648</v>
      </c>
      <c r="AK6" s="187" t="s">
        <v>265</v>
      </c>
      <c r="AL6" s="187" t="s">
        <v>68</v>
      </c>
      <c r="AM6" s="187" t="s">
        <v>70</v>
      </c>
      <c r="AN6" s="187" t="s">
        <v>646</v>
      </c>
      <c r="AO6" s="187" t="s">
        <v>647</v>
      </c>
      <c r="AP6" s="187" t="s">
        <v>648</v>
      </c>
      <c r="AQ6" s="187" t="s">
        <v>265</v>
      </c>
      <c r="AR6" s="188" t="s">
        <v>649</v>
      </c>
      <c r="AS6" s="188" t="s">
        <v>650</v>
      </c>
      <c r="AT6" s="188" t="s">
        <v>50</v>
      </c>
      <c r="AU6" s="188" t="s">
        <v>651</v>
      </c>
    </row>
    <row r="7" customFormat="false" ht="15" hidden="false" customHeight="true" outlineLevel="0" collapsed="false">
      <c r="A7" s="189"/>
      <c r="B7" s="189"/>
      <c r="C7" s="190" t="s">
        <v>989</v>
      </c>
      <c r="D7" s="190"/>
      <c r="E7" s="190"/>
      <c r="F7" s="190"/>
      <c r="G7" s="190"/>
      <c r="H7" s="190"/>
      <c r="I7" s="190"/>
      <c r="J7" s="190"/>
      <c r="K7" s="190"/>
      <c r="L7" s="190"/>
      <c r="M7" s="190"/>
      <c r="N7" s="190"/>
      <c r="O7" s="190"/>
      <c r="P7" s="190"/>
      <c r="Q7" s="190"/>
      <c r="R7" s="190"/>
      <c r="S7" s="190"/>
      <c r="T7" s="190"/>
      <c r="U7" s="190"/>
      <c r="V7" s="190"/>
      <c r="W7" s="190"/>
      <c r="X7" s="190"/>
      <c r="Y7" s="190"/>
      <c r="Z7" s="190"/>
      <c r="AA7" s="190"/>
      <c r="AB7" s="190"/>
      <c r="AC7" s="190"/>
      <c r="AD7" s="190"/>
      <c r="AE7" s="190"/>
      <c r="AF7" s="190"/>
      <c r="AG7" s="190"/>
      <c r="AH7" s="190"/>
      <c r="AI7" s="190"/>
      <c r="AJ7" s="190"/>
      <c r="AK7" s="190"/>
      <c r="AL7" s="190"/>
      <c r="AM7" s="190"/>
      <c r="AN7" s="190"/>
      <c r="AO7" s="190"/>
      <c r="AP7" s="190"/>
      <c r="AQ7" s="190"/>
      <c r="AR7" s="190"/>
      <c r="AS7" s="190"/>
      <c r="AT7" s="190"/>
      <c r="AU7" s="190"/>
    </row>
    <row r="8" customFormat="false" ht="113.25" hidden="false" customHeight="true" outlineLevel="0" collapsed="false">
      <c r="A8" s="191" t="str">
        <f aca="false">IF($F8="","",$C$2&amp;"."&amp;COUNTA($F$7:$F8)&amp;"")</f>
        <v>TC_06.1</v>
      </c>
      <c r="B8" s="191" t="s">
        <v>511</v>
      </c>
      <c r="C8" s="191" t="s">
        <v>530</v>
      </c>
      <c r="D8" s="191" t="s">
        <v>43</v>
      </c>
      <c r="E8" s="191" t="s">
        <v>159</v>
      </c>
      <c r="F8" s="13" t="s">
        <v>990</v>
      </c>
      <c r="G8" s="13" t="s">
        <v>991</v>
      </c>
      <c r="H8" s="13" t="s">
        <v>992</v>
      </c>
      <c r="I8" s="13" t="s">
        <v>993</v>
      </c>
      <c r="J8" s="191" t="s">
        <v>658</v>
      </c>
      <c r="K8" s="191" t="s">
        <v>245</v>
      </c>
      <c r="L8" s="191"/>
      <c r="M8" s="191"/>
      <c r="N8" s="192"/>
      <c r="O8" s="192"/>
      <c r="P8" s="192"/>
      <c r="Q8" s="192"/>
      <c r="R8" s="192"/>
      <c r="S8" s="192"/>
      <c r="T8" s="192"/>
      <c r="U8" s="192"/>
      <c r="V8" s="192"/>
      <c r="W8" s="192"/>
      <c r="X8" s="192"/>
      <c r="Y8" s="192"/>
      <c r="Z8" s="192"/>
      <c r="AA8" s="192"/>
      <c r="AB8" s="192"/>
      <c r="AC8" s="192"/>
      <c r="AD8" s="192"/>
      <c r="AE8" s="192"/>
      <c r="AF8" s="192"/>
      <c r="AG8" s="192"/>
      <c r="AH8" s="192"/>
      <c r="AI8" s="192"/>
      <c r="AJ8" s="192"/>
      <c r="AK8" s="192"/>
      <c r="AL8" s="192"/>
      <c r="AM8" s="192"/>
      <c r="AN8" s="192"/>
      <c r="AO8" s="192"/>
      <c r="AP8" s="192"/>
      <c r="AQ8" s="192"/>
      <c r="AR8" s="193" t="str">
        <f aca="false">IF($A8="","",IF(OR($N8="Yes",$T8="Yes",$Z8="Yes",$AF8="Yes",$AL8="Yes"),"Yes","No"))</f>
        <v>No</v>
      </c>
      <c r="AS8" s="193" t="str">
        <f aca="false">IF($A8="","",IFERROR(IF($AM8&lt;&gt;"",$AM8,IF($AG8&lt;&gt;"",$AG8,IF($AA8&lt;&gt;"",$AA8,IF($U8&lt;&gt;"",$U8,IF($O8&lt;&gt;"",$O8,""))))),""))</f>
        <v/>
      </c>
      <c r="AT8" s="193" t="str">
        <f aca="false">IFERROR(IF($AN8&lt;&gt;"",$AN8,IF($AH8&lt;&gt;"",$AH8,IF($AB8&lt;&gt;"",$AB8,IF($V8&lt;&gt;"",$V8,IF($P8&lt;&gt;"",$P8,""))))),"")</f>
        <v/>
      </c>
      <c r="AU8" s="194"/>
    </row>
    <row r="9" customFormat="false" ht="15" hidden="false" customHeight="true" outlineLevel="0" collapsed="false">
      <c r="A9" s="189"/>
      <c r="B9" s="189"/>
      <c r="C9" s="190" t="s">
        <v>994</v>
      </c>
      <c r="D9" s="190"/>
      <c r="E9" s="190"/>
      <c r="F9" s="190"/>
      <c r="G9" s="190"/>
      <c r="H9" s="190"/>
      <c r="I9" s="190"/>
      <c r="J9" s="190"/>
      <c r="K9" s="190"/>
      <c r="L9" s="190"/>
      <c r="M9" s="190"/>
      <c r="N9" s="190"/>
      <c r="O9" s="190"/>
      <c r="P9" s="190"/>
      <c r="Q9" s="190"/>
      <c r="R9" s="190"/>
      <c r="S9" s="190"/>
      <c r="T9" s="190"/>
      <c r="U9" s="190"/>
      <c r="V9" s="190"/>
      <c r="W9" s="190"/>
      <c r="X9" s="190"/>
      <c r="Y9" s="190"/>
      <c r="Z9" s="190"/>
      <c r="AA9" s="190"/>
      <c r="AB9" s="190"/>
      <c r="AC9" s="190"/>
      <c r="AD9" s="190"/>
      <c r="AE9" s="190"/>
      <c r="AF9" s="190"/>
      <c r="AG9" s="190"/>
      <c r="AH9" s="190"/>
      <c r="AI9" s="190"/>
      <c r="AJ9" s="190"/>
      <c r="AK9" s="190"/>
      <c r="AL9" s="190"/>
      <c r="AM9" s="190"/>
      <c r="AN9" s="190"/>
      <c r="AO9" s="190"/>
      <c r="AP9" s="190"/>
      <c r="AQ9" s="190"/>
      <c r="AR9" s="190"/>
      <c r="AS9" s="190"/>
      <c r="AT9" s="190"/>
      <c r="AU9" s="190"/>
    </row>
    <row r="10" customFormat="false" ht="141.75" hidden="false" customHeight="true" outlineLevel="0" collapsed="false">
      <c r="A10" s="191" t="str">
        <f aca="false">IF($F10="","",$C$2&amp;"."&amp;COUNTA($F$7:$F10)&amp;"")</f>
        <v>TC_06.2</v>
      </c>
      <c r="B10" s="191" t="s">
        <v>514</v>
      </c>
      <c r="C10" s="191" t="s">
        <v>530</v>
      </c>
      <c r="D10" s="191" t="s">
        <v>41</v>
      </c>
      <c r="E10" s="191" t="s">
        <v>159</v>
      </c>
      <c r="F10" s="13" t="s">
        <v>995</v>
      </c>
      <c r="G10" s="13" t="s">
        <v>996</v>
      </c>
      <c r="H10" s="13" t="s">
        <v>997</v>
      </c>
      <c r="I10" s="13" t="s">
        <v>998</v>
      </c>
      <c r="J10" s="191" t="s">
        <v>658</v>
      </c>
      <c r="K10" s="191" t="s">
        <v>245</v>
      </c>
      <c r="L10" s="191"/>
      <c r="M10" s="191"/>
      <c r="N10" s="192"/>
      <c r="O10" s="192"/>
      <c r="P10" s="192"/>
      <c r="Q10" s="192"/>
      <c r="R10" s="192"/>
      <c r="S10" s="192"/>
      <c r="T10" s="192"/>
      <c r="U10" s="192"/>
      <c r="V10" s="192"/>
      <c r="W10" s="192"/>
      <c r="X10" s="192"/>
      <c r="Y10" s="192"/>
      <c r="Z10" s="192"/>
      <c r="AA10" s="192"/>
      <c r="AB10" s="192"/>
      <c r="AC10" s="192"/>
      <c r="AD10" s="192"/>
      <c r="AE10" s="192"/>
      <c r="AF10" s="192"/>
      <c r="AG10" s="192"/>
      <c r="AH10" s="192"/>
      <c r="AI10" s="192"/>
      <c r="AJ10" s="192"/>
      <c r="AK10" s="192"/>
      <c r="AL10" s="192"/>
      <c r="AM10" s="192"/>
      <c r="AN10" s="192"/>
      <c r="AO10" s="192"/>
      <c r="AP10" s="192"/>
      <c r="AQ10" s="192"/>
      <c r="AR10" s="193" t="str">
        <f aca="false">IF($A10="","",IF(OR($N10="Yes",$T10="Yes",$Z10="Yes",$AF10="Yes",$AL10="Yes"),"Yes","No"))</f>
        <v>No</v>
      </c>
      <c r="AS10" s="193" t="str">
        <f aca="false">IF($A10="","",IFERROR(IF($AM10&lt;&gt;"",$AM10,IF($AG10&lt;&gt;"",$AG10,IF($AA10&lt;&gt;"",$AA10,IF($U10&lt;&gt;"",$U10,IF($O10&lt;&gt;"",$O10,""))))),""))</f>
        <v/>
      </c>
      <c r="AT10" s="193" t="str">
        <f aca="false">IFERROR(IF($AN10&lt;&gt;"",$AN10,IF($AH10&lt;&gt;"",$AH10,IF($AB10&lt;&gt;"",$AB10,IF($V10&lt;&gt;"",$V10,IF($P10&lt;&gt;"",$P10,""))))),"")</f>
        <v/>
      </c>
      <c r="AU10" s="194"/>
    </row>
    <row r="11" customFormat="false" ht="15" hidden="false" customHeight="true" outlineLevel="0" collapsed="false">
      <c r="A11" s="189"/>
      <c r="B11" s="189"/>
      <c r="C11" s="190" t="s">
        <v>999</v>
      </c>
      <c r="D11" s="190"/>
      <c r="E11" s="190"/>
      <c r="F11" s="190"/>
      <c r="G11" s="190"/>
      <c r="H11" s="190"/>
      <c r="I11" s="190"/>
      <c r="J11" s="190"/>
      <c r="K11" s="190"/>
      <c r="L11" s="190"/>
      <c r="M11" s="190"/>
      <c r="N11" s="190"/>
      <c r="O11" s="190"/>
      <c r="P11" s="190"/>
      <c r="Q11" s="190"/>
      <c r="R11" s="190"/>
      <c r="S11" s="190"/>
      <c r="T11" s="190"/>
      <c r="U11" s="190"/>
      <c r="V11" s="190"/>
      <c r="W11" s="190"/>
      <c r="X11" s="190"/>
      <c r="Y11" s="190"/>
      <c r="Z11" s="190"/>
      <c r="AA11" s="190"/>
      <c r="AB11" s="190"/>
      <c r="AC11" s="190"/>
      <c r="AD11" s="190"/>
      <c r="AE11" s="190"/>
      <c r="AF11" s="190"/>
      <c r="AG11" s="190"/>
      <c r="AH11" s="190"/>
      <c r="AI11" s="190"/>
      <c r="AJ11" s="190"/>
      <c r="AK11" s="190"/>
      <c r="AL11" s="190"/>
      <c r="AM11" s="190"/>
      <c r="AN11" s="190"/>
      <c r="AO11" s="190"/>
      <c r="AP11" s="190"/>
      <c r="AQ11" s="190"/>
      <c r="AR11" s="190"/>
      <c r="AS11" s="190"/>
      <c r="AT11" s="190"/>
      <c r="AU11" s="190"/>
    </row>
    <row r="12" customFormat="false" ht="135.75" hidden="false" customHeight="true" outlineLevel="0" collapsed="false">
      <c r="A12" s="191" t="str">
        <f aca="false">IF($F12="","",$C$2&amp;"."&amp;COUNTA($F$7:$F12)&amp;"")</f>
        <v>TC_06.3</v>
      </c>
      <c r="B12" s="191" t="s">
        <v>517</v>
      </c>
      <c r="C12" s="191" t="s">
        <v>530</v>
      </c>
      <c r="D12" s="191" t="s">
        <v>41</v>
      </c>
      <c r="E12" s="191" t="s">
        <v>159</v>
      </c>
      <c r="F12" s="13" t="s">
        <v>1000</v>
      </c>
      <c r="G12" s="13" t="s">
        <v>1001</v>
      </c>
      <c r="H12" s="13" t="s">
        <v>1002</v>
      </c>
      <c r="I12" s="13" t="s">
        <v>1003</v>
      </c>
      <c r="J12" s="191" t="s">
        <v>658</v>
      </c>
      <c r="K12" s="191" t="s">
        <v>245</v>
      </c>
      <c r="L12" s="191"/>
      <c r="M12" s="191"/>
      <c r="N12" s="192"/>
      <c r="O12" s="192"/>
      <c r="P12" s="192"/>
      <c r="Q12" s="192"/>
      <c r="R12" s="192"/>
      <c r="S12" s="192"/>
      <c r="T12" s="192"/>
      <c r="U12" s="192"/>
      <c r="V12" s="192"/>
      <c r="W12" s="192"/>
      <c r="X12" s="192"/>
      <c r="Y12" s="192"/>
      <c r="Z12" s="192"/>
      <c r="AA12" s="192"/>
      <c r="AB12" s="192"/>
      <c r="AC12" s="192"/>
      <c r="AD12" s="192"/>
      <c r="AE12" s="192"/>
      <c r="AF12" s="192"/>
      <c r="AG12" s="192"/>
      <c r="AH12" s="192"/>
      <c r="AI12" s="192"/>
      <c r="AJ12" s="192"/>
      <c r="AK12" s="192"/>
      <c r="AL12" s="192"/>
      <c r="AM12" s="192"/>
      <c r="AN12" s="192"/>
      <c r="AO12" s="192"/>
      <c r="AP12" s="192"/>
      <c r="AQ12" s="192"/>
      <c r="AR12" s="193" t="str">
        <f aca="false">IF($A12="","",IF(OR($N12="Yes",$T12="Yes",$Z12="Yes",$AF12="Yes",$AL12="Yes"),"Yes","No"))</f>
        <v>No</v>
      </c>
      <c r="AS12" s="193" t="str">
        <f aca="false">IF($A12="","",IFERROR(IF($AM12&lt;&gt;"",$AM12,IF($AG12&lt;&gt;"",$AG12,IF($AA12&lt;&gt;"",$AA12,IF($U12&lt;&gt;"",$U12,IF($O12&lt;&gt;"",$O12,""))))),""))</f>
        <v/>
      </c>
      <c r="AT12" s="193" t="str">
        <f aca="false">IFERROR(IF($AN12&lt;&gt;"",$AN12,IF($AH12&lt;&gt;"",$AH12,IF($AB12&lt;&gt;"",$AB12,IF($V12&lt;&gt;"",$V12,IF($P12&lt;&gt;"",$P12,""))))),"")</f>
        <v/>
      </c>
      <c r="AU12" s="194"/>
    </row>
    <row r="13" customFormat="false" ht="151.5" hidden="false" customHeight="true" outlineLevel="0" collapsed="false">
      <c r="A13" s="191" t="str">
        <f aca="false">IF($F13="","",$C$2&amp;"."&amp;COUNTA($F$7:$F13)&amp;"")</f>
        <v>TC_06.4</v>
      </c>
      <c r="B13" s="191" t="s">
        <v>517</v>
      </c>
      <c r="C13" s="191" t="s">
        <v>530</v>
      </c>
      <c r="D13" s="191" t="s">
        <v>43</v>
      </c>
      <c r="E13" s="191" t="s">
        <v>159</v>
      </c>
      <c r="F13" s="13" t="s">
        <v>1004</v>
      </c>
      <c r="G13" s="13" t="s">
        <v>1005</v>
      </c>
      <c r="H13" s="13" t="s">
        <v>1006</v>
      </c>
      <c r="I13" s="13" t="s">
        <v>1007</v>
      </c>
      <c r="J13" s="191" t="s">
        <v>658</v>
      </c>
      <c r="K13" s="191" t="s">
        <v>245</v>
      </c>
      <c r="L13" s="191"/>
      <c r="M13" s="191"/>
      <c r="N13" s="192"/>
      <c r="O13" s="192"/>
      <c r="P13" s="192"/>
      <c r="Q13" s="192"/>
      <c r="R13" s="192"/>
      <c r="S13" s="192"/>
      <c r="T13" s="192"/>
      <c r="U13" s="192"/>
      <c r="V13" s="192"/>
      <c r="W13" s="192"/>
      <c r="X13" s="192"/>
      <c r="Y13" s="192"/>
      <c r="Z13" s="192"/>
      <c r="AA13" s="192"/>
      <c r="AB13" s="192"/>
      <c r="AC13" s="192"/>
      <c r="AD13" s="192"/>
      <c r="AE13" s="192"/>
      <c r="AF13" s="192"/>
      <c r="AG13" s="192"/>
      <c r="AH13" s="192"/>
      <c r="AI13" s="192"/>
      <c r="AJ13" s="192"/>
      <c r="AK13" s="192"/>
      <c r="AL13" s="192"/>
      <c r="AM13" s="192"/>
      <c r="AN13" s="192"/>
      <c r="AO13" s="192"/>
      <c r="AP13" s="192"/>
      <c r="AQ13" s="192"/>
      <c r="AR13" s="193" t="str">
        <f aca="false">IF($A13="","",IF(OR($N13="Yes",$T13="Yes",$Z13="Yes",$AF13="Yes",$AL13="Yes"),"Yes","No"))</f>
        <v>No</v>
      </c>
      <c r="AS13" s="193" t="str">
        <f aca="false">IF($A13="","",IFERROR(IF($AM13&lt;&gt;"",$AM13,IF($AG13&lt;&gt;"",$AG13,IF($AA13&lt;&gt;"",$AA13,IF($U13&lt;&gt;"",$U13,IF($O13&lt;&gt;"",$O13,""))))),""))</f>
        <v/>
      </c>
      <c r="AT13" s="193" t="str">
        <f aca="false">IFERROR(IF($AN13&lt;&gt;"",$AN13,IF($AH13&lt;&gt;"",$AH13,IF($AB13&lt;&gt;"",$AB13,IF($V13&lt;&gt;"",$V13,IF($P13&lt;&gt;"",$P13,""))))),"")</f>
        <v/>
      </c>
      <c r="AU13" s="194"/>
    </row>
    <row r="14" customFormat="false" ht="15" hidden="false" customHeight="true" outlineLevel="0" collapsed="false">
      <c r="A14" s="189"/>
      <c r="B14" s="189"/>
      <c r="C14" s="190" t="s">
        <v>1008</v>
      </c>
      <c r="D14" s="190"/>
      <c r="E14" s="190"/>
      <c r="F14" s="190"/>
      <c r="G14" s="190"/>
      <c r="H14" s="190"/>
      <c r="I14" s="190"/>
      <c r="J14" s="190"/>
      <c r="K14" s="190"/>
      <c r="L14" s="190"/>
      <c r="M14" s="190"/>
      <c r="N14" s="190"/>
      <c r="O14" s="190"/>
      <c r="P14" s="190"/>
      <c r="Q14" s="190"/>
      <c r="R14" s="190"/>
      <c r="S14" s="190"/>
      <c r="T14" s="190"/>
      <c r="U14" s="190"/>
      <c r="V14" s="190"/>
      <c r="W14" s="190"/>
      <c r="X14" s="190"/>
      <c r="Y14" s="190"/>
      <c r="Z14" s="190"/>
      <c r="AA14" s="190"/>
      <c r="AB14" s="190"/>
      <c r="AC14" s="190"/>
      <c r="AD14" s="190"/>
      <c r="AE14" s="190"/>
      <c r="AF14" s="190"/>
      <c r="AG14" s="190"/>
      <c r="AH14" s="190"/>
      <c r="AI14" s="190"/>
      <c r="AJ14" s="190"/>
      <c r="AK14" s="190"/>
      <c r="AL14" s="190"/>
      <c r="AM14" s="190"/>
      <c r="AN14" s="190"/>
      <c r="AO14" s="190"/>
      <c r="AP14" s="190"/>
      <c r="AQ14" s="190"/>
      <c r="AR14" s="190"/>
      <c r="AS14" s="190"/>
      <c r="AT14" s="190"/>
      <c r="AU14" s="190"/>
    </row>
    <row r="15" customFormat="false" ht="170.25" hidden="false" customHeight="true" outlineLevel="0" collapsed="false">
      <c r="A15" s="191" t="str">
        <f aca="false">IF($F15="","",$C$2&amp;"."&amp;COUNTA($F$7:$F15)&amp;"")</f>
        <v>TC_06.5</v>
      </c>
      <c r="B15" s="191" t="s">
        <v>520</v>
      </c>
      <c r="C15" s="191" t="s">
        <v>530</v>
      </c>
      <c r="D15" s="191" t="s">
        <v>43</v>
      </c>
      <c r="E15" s="191" t="s">
        <v>160</v>
      </c>
      <c r="F15" s="13" t="s">
        <v>1009</v>
      </c>
      <c r="G15" s="13" t="s">
        <v>1010</v>
      </c>
      <c r="H15" s="13" t="s">
        <v>1011</v>
      </c>
      <c r="I15" s="13" t="s">
        <v>1012</v>
      </c>
      <c r="J15" s="191" t="s">
        <v>658</v>
      </c>
      <c r="K15" s="191" t="s">
        <v>245</v>
      </c>
      <c r="L15" s="191"/>
      <c r="M15" s="191"/>
      <c r="N15" s="192"/>
      <c r="O15" s="192"/>
      <c r="P15" s="192"/>
      <c r="Q15" s="192"/>
      <c r="R15" s="192"/>
      <c r="S15" s="192"/>
      <c r="T15" s="192"/>
      <c r="U15" s="192"/>
      <c r="V15" s="192"/>
      <c r="W15" s="192"/>
      <c r="X15" s="192"/>
      <c r="Y15" s="192"/>
      <c r="Z15" s="192"/>
      <c r="AA15" s="192"/>
      <c r="AB15" s="192"/>
      <c r="AC15" s="192"/>
      <c r="AD15" s="192"/>
      <c r="AE15" s="192"/>
      <c r="AF15" s="192"/>
      <c r="AG15" s="192"/>
      <c r="AH15" s="192"/>
      <c r="AI15" s="192"/>
      <c r="AJ15" s="192"/>
      <c r="AK15" s="192"/>
      <c r="AL15" s="192"/>
      <c r="AM15" s="192"/>
      <c r="AN15" s="192"/>
      <c r="AO15" s="192"/>
      <c r="AP15" s="192"/>
      <c r="AQ15" s="192"/>
      <c r="AR15" s="193" t="str">
        <f aca="false">IF($A15="","",IF(OR($N15="Yes",$T15="Yes",$Z15="Yes",$AF15="Yes",$AL15="Yes"),"Yes","No"))</f>
        <v>No</v>
      </c>
      <c r="AS15" s="193" t="str">
        <f aca="false">IF($A15="","",IFERROR(IF($AM15&lt;&gt;"",$AM15,IF($AG15&lt;&gt;"",$AG15,IF($AA15&lt;&gt;"",$AA15,IF($U15&lt;&gt;"",$U15,IF($O15&lt;&gt;"",$O15,""))))),""))</f>
        <v/>
      </c>
      <c r="AT15" s="193" t="str">
        <f aca="false">IFERROR(IF($AN15&lt;&gt;"",$AN15,IF($AH15&lt;&gt;"",$AH15,IF($AB15&lt;&gt;"",$AB15,IF($V15&lt;&gt;"",$V15,IF($P15&lt;&gt;"",$P15,""))))),"")</f>
        <v/>
      </c>
      <c r="AU15" s="194"/>
    </row>
    <row r="16" customFormat="false" ht="15" hidden="false" customHeight="true" outlineLevel="0" collapsed="false">
      <c r="A16" s="189"/>
      <c r="B16" s="189"/>
      <c r="C16" s="190" t="s">
        <v>1013</v>
      </c>
      <c r="D16" s="190"/>
      <c r="E16" s="190"/>
      <c r="F16" s="190"/>
      <c r="G16" s="190"/>
      <c r="H16" s="190"/>
      <c r="I16" s="190"/>
      <c r="J16" s="190"/>
      <c r="K16" s="190"/>
      <c r="L16" s="190"/>
      <c r="M16" s="190"/>
      <c r="N16" s="190"/>
      <c r="O16" s="190"/>
      <c r="P16" s="190"/>
      <c r="Q16" s="190"/>
      <c r="R16" s="190"/>
      <c r="S16" s="190"/>
      <c r="T16" s="190"/>
      <c r="U16" s="190"/>
      <c r="V16" s="190"/>
      <c r="W16" s="190"/>
      <c r="X16" s="190"/>
      <c r="Y16" s="190"/>
      <c r="Z16" s="190"/>
      <c r="AA16" s="190"/>
      <c r="AB16" s="190"/>
      <c r="AC16" s="190"/>
      <c r="AD16" s="190"/>
      <c r="AE16" s="190"/>
      <c r="AF16" s="190"/>
      <c r="AG16" s="190"/>
      <c r="AH16" s="190"/>
      <c r="AI16" s="190"/>
      <c r="AJ16" s="190"/>
      <c r="AK16" s="190"/>
      <c r="AL16" s="190"/>
      <c r="AM16" s="190"/>
      <c r="AN16" s="190"/>
      <c r="AO16" s="190"/>
      <c r="AP16" s="190"/>
      <c r="AQ16" s="190"/>
      <c r="AR16" s="190"/>
      <c r="AS16" s="190"/>
      <c r="AT16" s="190"/>
      <c r="AU16" s="190"/>
    </row>
    <row r="17" customFormat="false" ht="246.75" hidden="false" customHeight="true" outlineLevel="0" collapsed="false">
      <c r="A17" s="191" t="str">
        <f aca="false">IF($F17="","",$C$2&amp;"."&amp;COUNTA($F$7:$F17)&amp;"")</f>
        <v>TC_06.6</v>
      </c>
      <c r="B17" s="191" t="s">
        <v>523</v>
      </c>
      <c r="C17" s="191" t="s">
        <v>530</v>
      </c>
      <c r="D17" s="191" t="s">
        <v>41</v>
      </c>
      <c r="E17" s="191" t="s">
        <v>160</v>
      </c>
      <c r="F17" s="13" t="s">
        <v>1014</v>
      </c>
      <c r="G17" s="13" t="s">
        <v>1015</v>
      </c>
      <c r="H17" s="13" t="s">
        <v>1016</v>
      </c>
      <c r="I17" s="13" t="s">
        <v>1017</v>
      </c>
      <c r="J17" s="191" t="s">
        <v>658</v>
      </c>
      <c r="K17" s="191" t="s">
        <v>245</v>
      </c>
      <c r="L17" s="191"/>
      <c r="M17" s="191"/>
      <c r="N17" s="192"/>
      <c r="O17" s="192"/>
      <c r="P17" s="192"/>
      <c r="Q17" s="192"/>
      <c r="R17" s="192"/>
      <c r="S17" s="192"/>
      <c r="T17" s="192"/>
      <c r="U17" s="192"/>
      <c r="V17" s="192"/>
      <c r="W17" s="192"/>
      <c r="X17" s="192"/>
      <c r="Y17" s="192"/>
      <c r="Z17" s="192"/>
      <c r="AA17" s="192"/>
      <c r="AB17" s="192"/>
      <c r="AC17" s="192"/>
      <c r="AD17" s="192"/>
      <c r="AE17" s="192"/>
      <c r="AF17" s="192"/>
      <c r="AG17" s="192"/>
      <c r="AH17" s="192"/>
      <c r="AI17" s="192"/>
      <c r="AJ17" s="192"/>
      <c r="AK17" s="192"/>
      <c r="AL17" s="192"/>
      <c r="AM17" s="192"/>
      <c r="AN17" s="192"/>
      <c r="AO17" s="192"/>
      <c r="AP17" s="192"/>
      <c r="AQ17" s="192"/>
      <c r="AR17" s="193" t="str">
        <f aca="false">IF($A17="","",IF(OR($N17="Yes",$T17="Yes",$Z17="Yes",$AF17="Yes",$AL17="Yes"),"Yes","No"))</f>
        <v>No</v>
      </c>
      <c r="AS17" s="193" t="str">
        <f aca="false">IF($A17="","",IFERROR(IF($AM17&lt;&gt;"",$AM17,IF($AG17&lt;&gt;"",$AG17,IF($AA17&lt;&gt;"",$AA17,IF($U17&lt;&gt;"",$U17,IF($O17&lt;&gt;"",$O17,""))))),""))</f>
        <v/>
      </c>
      <c r="AT17" s="193" t="str">
        <f aca="false">IFERROR(IF($AN17&lt;&gt;"",$AN17,IF($AH17&lt;&gt;"",$AH17,IF($AB17&lt;&gt;"",$AB17,IF($V17&lt;&gt;"",$V17,IF($P17&lt;&gt;"",$P17,""))))),"")</f>
        <v/>
      </c>
      <c r="AU17" s="194"/>
    </row>
    <row r="18" customFormat="false" ht="15" hidden="false" customHeight="true" outlineLevel="0" collapsed="false">
      <c r="A18" s="189"/>
      <c r="B18" s="189"/>
      <c r="C18" s="190" t="s">
        <v>1018</v>
      </c>
      <c r="D18" s="190"/>
      <c r="E18" s="190"/>
      <c r="F18" s="190"/>
      <c r="G18" s="190"/>
      <c r="H18" s="190"/>
      <c r="I18" s="190"/>
      <c r="J18" s="190"/>
      <c r="K18" s="190"/>
      <c r="L18" s="190"/>
      <c r="M18" s="190"/>
      <c r="N18" s="190"/>
      <c r="O18" s="190"/>
      <c r="P18" s="190"/>
      <c r="Q18" s="190"/>
      <c r="R18" s="190"/>
      <c r="S18" s="190"/>
      <c r="T18" s="190"/>
      <c r="U18" s="190"/>
      <c r="V18" s="190"/>
      <c r="W18" s="190"/>
      <c r="X18" s="190"/>
      <c r="Y18" s="190"/>
      <c r="Z18" s="190"/>
      <c r="AA18" s="190"/>
      <c r="AB18" s="190"/>
      <c r="AC18" s="190"/>
      <c r="AD18" s="190"/>
      <c r="AE18" s="190"/>
      <c r="AF18" s="190"/>
      <c r="AG18" s="190"/>
      <c r="AH18" s="190"/>
      <c r="AI18" s="190"/>
      <c r="AJ18" s="190"/>
      <c r="AK18" s="190"/>
      <c r="AL18" s="190"/>
      <c r="AM18" s="190"/>
      <c r="AN18" s="190"/>
      <c r="AO18" s="190"/>
      <c r="AP18" s="190"/>
      <c r="AQ18" s="190"/>
      <c r="AR18" s="190"/>
      <c r="AS18" s="190"/>
      <c r="AT18" s="190"/>
      <c r="AU18" s="190"/>
    </row>
    <row r="19" customFormat="false" ht="275.25" hidden="false" customHeight="true" outlineLevel="0" collapsed="false">
      <c r="A19" s="191" t="str">
        <f aca="false">IF($F19="","",$C$2&amp;"."&amp;COUNTA($F$7:$F19)&amp;"")</f>
        <v>TC_06.7</v>
      </c>
      <c r="B19" s="191" t="s">
        <v>525</v>
      </c>
      <c r="C19" s="191" t="s">
        <v>530</v>
      </c>
      <c r="D19" s="191" t="s">
        <v>41</v>
      </c>
      <c r="E19" s="191" t="s">
        <v>159</v>
      </c>
      <c r="F19" s="13" t="s">
        <v>1019</v>
      </c>
      <c r="G19" s="13" t="s">
        <v>1020</v>
      </c>
      <c r="H19" s="13" t="s">
        <v>1021</v>
      </c>
      <c r="I19" s="13" t="s">
        <v>1022</v>
      </c>
      <c r="J19" s="191" t="s">
        <v>658</v>
      </c>
      <c r="K19" s="191" t="s">
        <v>245</v>
      </c>
      <c r="L19" s="191"/>
      <c r="M19" s="191"/>
      <c r="N19" s="192"/>
      <c r="O19" s="192"/>
      <c r="P19" s="192"/>
      <c r="Q19" s="192"/>
      <c r="R19" s="192"/>
      <c r="S19" s="192"/>
      <c r="T19" s="192"/>
      <c r="U19" s="192"/>
      <c r="V19" s="192"/>
      <c r="W19" s="192"/>
      <c r="X19" s="192"/>
      <c r="Y19" s="192"/>
      <c r="Z19" s="192"/>
      <c r="AA19" s="192"/>
      <c r="AB19" s="192"/>
      <c r="AC19" s="192"/>
      <c r="AD19" s="192"/>
      <c r="AE19" s="192"/>
      <c r="AF19" s="192"/>
      <c r="AG19" s="192"/>
      <c r="AH19" s="192"/>
      <c r="AI19" s="192"/>
      <c r="AJ19" s="192"/>
      <c r="AK19" s="192"/>
      <c r="AL19" s="192"/>
      <c r="AM19" s="192"/>
      <c r="AN19" s="192"/>
      <c r="AO19" s="192"/>
      <c r="AP19" s="192"/>
      <c r="AQ19" s="192"/>
      <c r="AR19" s="193" t="str">
        <f aca="false">IF($A19="","",IF(OR($N19="Yes",$T19="Yes",$Z19="Yes",$AF19="Yes",$AL19="Yes"),"Yes","No"))</f>
        <v>No</v>
      </c>
      <c r="AS19" s="193" t="str">
        <f aca="false">IF($A19="","",IFERROR(IF($AM19&lt;&gt;"",$AM19,IF($AG19&lt;&gt;"",$AG19,IF($AA19&lt;&gt;"",$AA19,IF($U19&lt;&gt;"",$U19,IF($O19&lt;&gt;"",$O19,""))))),""))</f>
        <v/>
      </c>
      <c r="AT19" s="193" t="str">
        <f aca="false">IFERROR(IF($AN19&lt;&gt;"",$AN19,IF($AH19&lt;&gt;"",$AH19,IF($AB19&lt;&gt;"",$AB19,IF($V19&lt;&gt;"",$V19,IF($P19&lt;&gt;"",$P19,""))))),"")</f>
        <v/>
      </c>
      <c r="AU19" s="194"/>
    </row>
    <row r="20" customFormat="false" ht="170.25" hidden="false" customHeight="true" outlineLevel="0" collapsed="false">
      <c r="A20" s="191" t="str">
        <f aca="false">IF($F20="","",$C$2&amp;"."&amp;COUNTA($F$7:$F20)&amp;"")</f>
        <v>TC_06.8</v>
      </c>
      <c r="B20" s="191" t="s">
        <v>525</v>
      </c>
      <c r="C20" s="191" t="s">
        <v>530</v>
      </c>
      <c r="D20" s="191" t="s">
        <v>41</v>
      </c>
      <c r="E20" s="191" t="s">
        <v>159</v>
      </c>
      <c r="F20" s="13" t="s">
        <v>1023</v>
      </c>
      <c r="G20" s="13" t="s">
        <v>1024</v>
      </c>
      <c r="H20" s="13" t="s">
        <v>1025</v>
      </c>
      <c r="I20" s="13" t="s">
        <v>1026</v>
      </c>
      <c r="J20" s="191" t="s">
        <v>658</v>
      </c>
      <c r="K20" s="191" t="s">
        <v>245</v>
      </c>
      <c r="L20" s="191"/>
      <c r="M20" s="191"/>
      <c r="N20" s="192"/>
      <c r="O20" s="192"/>
      <c r="P20" s="192"/>
      <c r="Q20" s="192"/>
      <c r="R20" s="192"/>
      <c r="S20" s="192"/>
      <c r="T20" s="192"/>
      <c r="U20" s="192"/>
      <c r="V20" s="192"/>
      <c r="W20" s="192"/>
      <c r="X20" s="192"/>
      <c r="Y20" s="192"/>
      <c r="Z20" s="192"/>
      <c r="AA20" s="192"/>
      <c r="AB20" s="192"/>
      <c r="AC20" s="192"/>
      <c r="AD20" s="192"/>
      <c r="AE20" s="192"/>
      <c r="AF20" s="192"/>
      <c r="AG20" s="192"/>
      <c r="AH20" s="192"/>
      <c r="AI20" s="192"/>
      <c r="AJ20" s="192"/>
      <c r="AK20" s="192"/>
      <c r="AL20" s="192"/>
      <c r="AM20" s="192"/>
      <c r="AN20" s="192"/>
      <c r="AO20" s="192"/>
      <c r="AP20" s="192"/>
      <c r="AQ20" s="192"/>
      <c r="AR20" s="193" t="str">
        <f aca="false">IF($A20="","",IF(OR($N20="Yes",$T20="Yes",$Z20="Yes",$AF20="Yes",$AL20="Yes"),"Yes","No"))</f>
        <v>No</v>
      </c>
      <c r="AS20" s="193" t="str">
        <f aca="false">IF($A20="","",IFERROR(IF($AM20&lt;&gt;"",$AM20,IF($AG20&lt;&gt;"",$AG20,IF($AA20&lt;&gt;"",$AA20,IF($U20&lt;&gt;"",$U20,IF($O20&lt;&gt;"",$O20,""))))),""))</f>
        <v/>
      </c>
      <c r="AT20" s="193" t="str">
        <f aca="false">IFERROR(IF($AN20&lt;&gt;"",$AN20,IF($AH20&lt;&gt;"",$AH20,IF($AB20&lt;&gt;"",$AB20,IF($V20&lt;&gt;"",$V20,IF($P20&lt;&gt;"",$P20,""))))),"")</f>
        <v/>
      </c>
      <c r="AU20" s="194"/>
    </row>
    <row r="21" customFormat="false" ht="15" hidden="false" customHeight="true" outlineLevel="0" collapsed="false">
      <c r="A21" s="191"/>
      <c r="B21" s="191"/>
      <c r="C21" s="191"/>
      <c r="D21" s="191"/>
      <c r="E21" s="191"/>
      <c r="F21" s="191"/>
      <c r="G21" s="191"/>
      <c r="H21" s="191"/>
      <c r="I21" s="191"/>
      <c r="J21" s="191"/>
      <c r="K21" s="191"/>
      <c r="L21" s="191"/>
      <c r="M21" s="191"/>
      <c r="N21" s="191"/>
      <c r="O21" s="191"/>
      <c r="P21" s="191"/>
      <c r="Q21" s="191"/>
      <c r="AR21" s="195"/>
      <c r="AS21" s="195"/>
    </row>
    <row r="22" customFormat="false" ht="15" hidden="false" customHeight="true" outlineLevel="0" collapsed="false">
      <c r="A22" s="191"/>
      <c r="B22" s="191"/>
      <c r="C22" s="191"/>
      <c r="D22" s="191"/>
      <c r="E22" s="191"/>
      <c r="F22" s="191"/>
      <c r="G22" s="191"/>
      <c r="H22" s="191"/>
      <c r="I22" s="191"/>
      <c r="J22" s="191"/>
      <c r="K22" s="191"/>
      <c r="L22" s="191"/>
      <c r="M22" s="191"/>
      <c r="N22" s="191"/>
      <c r="O22" s="191"/>
      <c r="P22" s="191"/>
      <c r="Q22" s="191"/>
      <c r="AR22" s="195"/>
      <c r="AS22" s="195"/>
    </row>
    <row r="23" customFormat="false" ht="15" hidden="false" customHeight="true" outlineLevel="0" collapsed="false">
      <c r="A23" s="191"/>
      <c r="B23" s="191"/>
      <c r="C23" s="191"/>
      <c r="D23" s="191"/>
      <c r="E23" s="191"/>
      <c r="F23" s="191"/>
      <c r="G23" s="191"/>
      <c r="H23" s="191"/>
      <c r="I23" s="191"/>
      <c r="J23" s="191"/>
      <c r="K23" s="191"/>
      <c r="L23" s="191"/>
      <c r="M23" s="191"/>
      <c r="N23" s="191"/>
      <c r="O23" s="191"/>
      <c r="P23" s="191"/>
      <c r="Q23" s="191"/>
      <c r="AR23" s="195"/>
      <c r="AS23" s="195"/>
    </row>
    <row r="24" customFormat="false" ht="15" hidden="false" customHeight="true" outlineLevel="0" collapsed="false">
      <c r="A24" s="191"/>
      <c r="B24" s="191"/>
      <c r="C24" s="191"/>
      <c r="D24" s="191"/>
      <c r="E24" s="191"/>
      <c r="F24" s="191"/>
      <c r="G24" s="191"/>
      <c r="H24" s="191"/>
      <c r="I24" s="191"/>
      <c r="J24" s="191"/>
      <c r="K24" s="191"/>
      <c r="L24" s="191"/>
      <c r="M24" s="191"/>
      <c r="N24" s="191"/>
      <c r="O24" s="191"/>
      <c r="P24" s="191"/>
      <c r="Q24" s="191"/>
      <c r="AR24" s="195"/>
      <c r="AS24" s="195"/>
    </row>
    <row r="25" customFormat="false" ht="15" hidden="false" customHeight="true" outlineLevel="0" collapsed="false">
      <c r="A25" s="191"/>
      <c r="B25" s="191"/>
      <c r="C25" s="191"/>
      <c r="D25" s="191"/>
      <c r="E25" s="191"/>
      <c r="F25" s="191"/>
      <c r="G25" s="191"/>
      <c r="H25" s="191"/>
      <c r="I25" s="191"/>
      <c r="J25" s="191"/>
      <c r="K25" s="191"/>
      <c r="L25" s="191"/>
      <c r="M25" s="191"/>
      <c r="N25" s="191"/>
      <c r="O25" s="191"/>
      <c r="P25" s="191"/>
      <c r="Q25" s="191"/>
      <c r="AR25" s="195"/>
      <c r="AS25" s="195"/>
    </row>
    <row r="26" customFormat="false" ht="15" hidden="false" customHeight="true" outlineLevel="0" collapsed="false">
      <c r="A26" s="191"/>
      <c r="B26" s="191"/>
      <c r="C26" s="191"/>
      <c r="D26" s="191"/>
      <c r="E26" s="191"/>
      <c r="F26" s="191"/>
      <c r="G26" s="191"/>
      <c r="H26" s="191"/>
      <c r="I26" s="191"/>
      <c r="J26" s="191"/>
      <c r="K26" s="191"/>
      <c r="L26" s="191"/>
      <c r="M26" s="191"/>
      <c r="N26" s="191"/>
      <c r="O26" s="191"/>
      <c r="P26" s="191"/>
      <c r="Q26" s="191"/>
      <c r="AR26" s="195"/>
      <c r="AS26" s="195"/>
    </row>
    <row r="27" customFormat="false" ht="15" hidden="false" customHeight="true" outlineLevel="0" collapsed="false">
      <c r="A27" s="191"/>
      <c r="B27" s="191"/>
      <c r="C27" s="191"/>
      <c r="D27" s="191"/>
      <c r="E27" s="191"/>
      <c r="F27" s="191"/>
      <c r="G27" s="191"/>
      <c r="H27" s="191"/>
      <c r="I27" s="191"/>
      <c r="J27" s="191"/>
      <c r="K27" s="191"/>
      <c r="L27" s="191"/>
      <c r="M27" s="191"/>
      <c r="N27" s="191"/>
      <c r="O27" s="191"/>
      <c r="P27" s="191"/>
      <c r="Q27" s="191"/>
      <c r="AR27" s="195"/>
      <c r="AS27" s="195"/>
    </row>
    <row r="28" customFormat="false" ht="15" hidden="false" customHeight="true" outlineLevel="0" collapsed="false">
      <c r="A28" s="191"/>
      <c r="B28" s="191"/>
      <c r="C28" s="191"/>
      <c r="D28" s="191"/>
      <c r="E28" s="191"/>
      <c r="F28" s="191"/>
      <c r="G28" s="191"/>
      <c r="H28" s="191"/>
      <c r="I28" s="191"/>
      <c r="J28" s="191"/>
      <c r="K28" s="191"/>
      <c r="L28" s="191"/>
      <c r="M28" s="191"/>
      <c r="N28" s="191"/>
      <c r="O28" s="191"/>
      <c r="P28" s="191"/>
      <c r="Q28" s="191"/>
      <c r="AR28" s="195"/>
      <c r="AS28" s="195"/>
    </row>
    <row r="29" customFormat="false" ht="15" hidden="false" customHeight="true" outlineLevel="0" collapsed="false">
      <c r="A29" s="191"/>
      <c r="B29" s="191"/>
      <c r="C29" s="191"/>
      <c r="D29" s="191"/>
      <c r="E29" s="191"/>
      <c r="F29" s="191"/>
      <c r="G29" s="191"/>
      <c r="H29" s="191"/>
      <c r="I29" s="191"/>
      <c r="J29" s="191"/>
      <c r="K29" s="191"/>
      <c r="L29" s="191"/>
      <c r="M29" s="191"/>
      <c r="N29" s="191"/>
      <c r="O29" s="191"/>
      <c r="P29" s="191"/>
      <c r="Q29" s="191"/>
      <c r="AR29" s="195"/>
      <c r="AS29" s="195"/>
    </row>
    <row r="30" customFormat="false" ht="15" hidden="false" customHeight="true" outlineLevel="0" collapsed="false">
      <c r="A30" s="191"/>
      <c r="B30" s="191"/>
      <c r="C30" s="191"/>
      <c r="D30" s="191"/>
      <c r="E30" s="191"/>
      <c r="F30" s="191"/>
      <c r="G30" s="191"/>
      <c r="H30" s="191"/>
      <c r="I30" s="191"/>
      <c r="J30" s="191"/>
      <c r="K30" s="191"/>
      <c r="L30" s="191"/>
      <c r="M30" s="191"/>
      <c r="N30" s="191"/>
      <c r="O30" s="191"/>
      <c r="P30" s="191"/>
      <c r="Q30" s="191"/>
      <c r="AR30" s="195"/>
      <c r="AS30" s="195"/>
    </row>
    <row r="31" customFormat="false" ht="15" hidden="false" customHeight="true" outlineLevel="0" collapsed="false">
      <c r="A31" s="191"/>
      <c r="B31" s="191"/>
      <c r="C31" s="191"/>
      <c r="D31" s="191"/>
      <c r="E31" s="191"/>
      <c r="F31" s="191"/>
      <c r="G31" s="191"/>
      <c r="H31" s="191"/>
      <c r="I31" s="191"/>
      <c r="J31" s="191"/>
      <c r="K31" s="191"/>
      <c r="L31" s="191"/>
      <c r="M31" s="191"/>
      <c r="N31" s="191"/>
      <c r="O31" s="191"/>
      <c r="P31" s="191"/>
      <c r="Q31" s="191"/>
      <c r="AR31" s="195"/>
      <c r="AS31" s="195"/>
    </row>
    <row r="32" customFormat="false" ht="15" hidden="false" customHeight="true" outlineLevel="0" collapsed="false">
      <c r="A32" s="191"/>
      <c r="B32" s="191"/>
      <c r="C32" s="191"/>
      <c r="D32" s="191"/>
      <c r="E32" s="191"/>
      <c r="F32" s="191"/>
      <c r="G32" s="191"/>
      <c r="H32" s="191"/>
      <c r="I32" s="191"/>
      <c r="J32" s="191"/>
      <c r="K32" s="191"/>
      <c r="L32" s="191"/>
      <c r="M32" s="191"/>
      <c r="N32" s="191"/>
      <c r="O32" s="191"/>
      <c r="P32" s="191"/>
      <c r="Q32" s="191"/>
      <c r="AR32" s="195"/>
      <c r="AS32" s="195"/>
    </row>
    <row r="33" customFormat="false" ht="15" hidden="false" customHeight="true" outlineLevel="0" collapsed="false">
      <c r="A33" s="191"/>
      <c r="B33" s="191"/>
      <c r="C33" s="191"/>
      <c r="D33" s="191"/>
      <c r="E33" s="191"/>
      <c r="F33" s="191"/>
      <c r="G33" s="191"/>
      <c r="H33" s="191"/>
      <c r="I33" s="191"/>
      <c r="J33" s="191"/>
      <c r="K33" s="191"/>
      <c r="L33" s="191"/>
      <c r="M33" s="191"/>
      <c r="N33" s="191"/>
      <c r="O33" s="191"/>
      <c r="P33" s="191"/>
      <c r="Q33" s="191"/>
      <c r="AR33" s="195"/>
      <c r="AS33" s="195"/>
    </row>
    <row r="34" customFormat="false" ht="15" hidden="false" customHeight="true" outlineLevel="0" collapsed="false">
      <c r="A34" s="191"/>
      <c r="B34" s="191"/>
      <c r="C34" s="191"/>
      <c r="D34" s="191"/>
      <c r="E34" s="191"/>
      <c r="F34" s="191"/>
      <c r="G34" s="191"/>
      <c r="H34" s="191"/>
      <c r="I34" s="191"/>
      <c r="J34" s="191"/>
      <c r="K34" s="191"/>
      <c r="L34" s="191"/>
      <c r="M34" s="191"/>
      <c r="N34" s="191"/>
      <c r="O34" s="191"/>
      <c r="P34" s="191"/>
      <c r="Q34" s="191"/>
      <c r="AR34" s="195"/>
      <c r="AS34" s="195"/>
    </row>
    <row r="35" customFormat="false" ht="15" hidden="false" customHeight="true" outlineLevel="0" collapsed="false">
      <c r="A35" s="191"/>
      <c r="B35" s="191"/>
      <c r="C35" s="191"/>
      <c r="D35" s="191"/>
      <c r="E35" s="191"/>
      <c r="F35" s="191"/>
      <c r="G35" s="191"/>
      <c r="H35" s="191"/>
      <c r="I35" s="191"/>
      <c r="J35" s="191"/>
      <c r="K35" s="191"/>
      <c r="L35" s="191"/>
      <c r="M35" s="191"/>
      <c r="N35" s="191"/>
      <c r="O35" s="191"/>
      <c r="P35" s="191"/>
      <c r="Q35" s="191"/>
      <c r="AR35" s="195"/>
      <c r="AS35" s="195"/>
    </row>
    <row r="36" customFormat="false" ht="15" hidden="false" customHeight="true" outlineLevel="0" collapsed="false">
      <c r="A36" s="191"/>
      <c r="B36" s="191"/>
      <c r="C36" s="191"/>
      <c r="D36" s="191"/>
      <c r="E36" s="191"/>
      <c r="F36" s="191"/>
      <c r="G36" s="191"/>
      <c r="H36" s="191"/>
      <c r="I36" s="191"/>
      <c r="J36" s="191"/>
      <c r="K36" s="191"/>
      <c r="L36" s="191"/>
      <c r="M36" s="191"/>
      <c r="N36" s="191"/>
      <c r="O36" s="191"/>
      <c r="P36" s="191"/>
      <c r="Q36" s="191"/>
      <c r="AR36" s="195"/>
      <c r="AS36" s="195"/>
    </row>
    <row r="37" customFormat="false" ht="15" hidden="false" customHeight="true" outlineLevel="0" collapsed="false">
      <c r="A37" s="191"/>
      <c r="B37" s="191"/>
      <c r="C37" s="191"/>
      <c r="D37" s="191"/>
      <c r="E37" s="191"/>
      <c r="F37" s="191"/>
      <c r="G37" s="191"/>
      <c r="H37" s="191"/>
      <c r="I37" s="191"/>
      <c r="J37" s="191"/>
      <c r="K37" s="191"/>
      <c r="L37" s="191"/>
      <c r="M37" s="191"/>
      <c r="N37" s="191"/>
      <c r="O37" s="191"/>
      <c r="P37" s="191"/>
      <c r="Q37" s="191"/>
      <c r="AR37" s="195"/>
      <c r="AS37" s="195"/>
    </row>
    <row r="38" customFormat="false" ht="15" hidden="false" customHeight="true" outlineLevel="0" collapsed="false">
      <c r="A38" s="191"/>
      <c r="B38" s="191"/>
      <c r="C38" s="191"/>
      <c r="D38" s="191"/>
      <c r="E38" s="191"/>
      <c r="F38" s="191"/>
      <c r="G38" s="191"/>
      <c r="H38" s="191"/>
      <c r="I38" s="191"/>
      <c r="J38" s="191"/>
      <c r="K38" s="191"/>
      <c r="L38" s="191"/>
      <c r="M38" s="191"/>
      <c r="N38" s="191"/>
      <c r="O38" s="191"/>
      <c r="P38" s="191"/>
      <c r="Q38" s="191"/>
      <c r="AR38" s="195"/>
      <c r="AS38" s="195"/>
    </row>
    <row r="39" customFormat="false" ht="15" hidden="false" customHeight="true" outlineLevel="0" collapsed="false">
      <c r="A39" s="191"/>
      <c r="B39" s="191"/>
      <c r="C39" s="191"/>
      <c r="D39" s="191"/>
      <c r="E39" s="191"/>
      <c r="F39" s="191"/>
      <c r="G39" s="191"/>
      <c r="H39" s="191"/>
      <c r="I39" s="191"/>
      <c r="J39" s="191"/>
      <c r="K39" s="191"/>
      <c r="L39" s="191"/>
      <c r="M39" s="191"/>
      <c r="N39" s="191"/>
      <c r="O39" s="191"/>
      <c r="P39" s="191"/>
      <c r="Q39" s="191"/>
      <c r="AR39" s="195"/>
      <c r="AS39" s="195"/>
    </row>
    <row r="40" customFormat="false" ht="15" hidden="false" customHeight="true" outlineLevel="0" collapsed="false">
      <c r="A40" s="191"/>
      <c r="B40" s="191"/>
      <c r="C40" s="191"/>
      <c r="D40" s="191"/>
      <c r="E40" s="191"/>
      <c r="F40" s="191"/>
      <c r="G40" s="191"/>
      <c r="H40" s="191"/>
      <c r="I40" s="191"/>
      <c r="J40" s="191"/>
      <c r="K40" s="191"/>
      <c r="L40" s="191"/>
      <c r="M40" s="191"/>
      <c r="N40" s="191"/>
      <c r="O40" s="191"/>
      <c r="P40" s="191"/>
      <c r="Q40" s="191"/>
      <c r="AR40" s="195"/>
      <c r="AS40" s="195"/>
    </row>
    <row r="41" customFormat="false" ht="15" hidden="false" customHeight="true" outlineLevel="0" collapsed="false">
      <c r="A41" s="191"/>
      <c r="B41" s="191"/>
      <c r="C41" s="191"/>
      <c r="D41" s="191"/>
      <c r="E41" s="191"/>
      <c r="F41" s="191"/>
      <c r="G41" s="191"/>
      <c r="H41" s="191"/>
      <c r="I41" s="191"/>
      <c r="J41" s="191"/>
      <c r="K41" s="191"/>
      <c r="L41" s="191"/>
      <c r="M41" s="191"/>
      <c r="N41" s="191"/>
      <c r="O41" s="191"/>
      <c r="P41" s="191"/>
      <c r="Q41" s="191"/>
      <c r="AR41" s="195"/>
      <c r="AS41" s="195"/>
    </row>
    <row r="42" customFormat="false" ht="15" hidden="false" customHeight="true" outlineLevel="0" collapsed="false">
      <c r="A42" s="191"/>
      <c r="B42" s="191"/>
      <c r="C42" s="191"/>
      <c r="D42" s="191"/>
      <c r="E42" s="191"/>
      <c r="F42" s="191"/>
      <c r="G42" s="191"/>
      <c r="H42" s="191"/>
      <c r="I42" s="191"/>
      <c r="J42" s="191"/>
      <c r="K42" s="191"/>
      <c r="L42" s="191"/>
      <c r="M42" s="191"/>
      <c r="N42" s="191"/>
      <c r="O42" s="191"/>
      <c r="P42" s="191"/>
      <c r="Q42" s="191"/>
      <c r="AR42" s="195"/>
      <c r="AS42" s="195"/>
    </row>
    <row r="43" customFormat="false" ht="15" hidden="false" customHeight="true" outlineLevel="0" collapsed="false">
      <c r="A43" s="191"/>
      <c r="B43" s="191"/>
      <c r="C43" s="191"/>
      <c r="D43" s="191"/>
      <c r="E43" s="191"/>
      <c r="F43" s="191"/>
      <c r="G43" s="191"/>
      <c r="H43" s="191"/>
      <c r="I43" s="191"/>
      <c r="J43" s="191"/>
      <c r="K43" s="191"/>
      <c r="L43" s="191"/>
      <c r="M43" s="191"/>
      <c r="N43" s="191"/>
      <c r="O43" s="191"/>
      <c r="P43" s="191"/>
      <c r="Q43" s="191"/>
      <c r="AR43" s="195"/>
      <c r="AS43" s="195"/>
    </row>
    <row r="44" customFormat="false" ht="15" hidden="false" customHeight="true" outlineLevel="0" collapsed="false">
      <c r="A44" s="191"/>
      <c r="B44" s="191"/>
      <c r="C44" s="191"/>
      <c r="D44" s="191"/>
      <c r="E44" s="191"/>
      <c r="F44" s="191"/>
      <c r="G44" s="191"/>
      <c r="H44" s="191"/>
      <c r="I44" s="191"/>
      <c r="J44" s="191"/>
      <c r="K44" s="191"/>
      <c r="L44" s="191"/>
      <c r="M44" s="191"/>
      <c r="N44" s="191"/>
      <c r="O44" s="191"/>
      <c r="P44" s="191"/>
      <c r="Q44" s="191"/>
      <c r="AR44" s="195"/>
      <c r="AS44" s="195"/>
    </row>
    <row r="45" customFormat="false" ht="15" hidden="false" customHeight="true" outlineLevel="0" collapsed="false">
      <c r="A45" s="191"/>
      <c r="B45" s="191"/>
      <c r="C45" s="191"/>
      <c r="D45" s="191"/>
      <c r="E45" s="191"/>
      <c r="F45" s="191"/>
      <c r="G45" s="191"/>
      <c r="H45" s="191"/>
      <c r="I45" s="191"/>
      <c r="J45" s="191"/>
      <c r="K45" s="191"/>
      <c r="L45" s="191"/>
      <c r="M45" s="191"/>
      <c r="N45" s="191"/>
      <c r="O45" s="191"/>
      <c r="P45" s="191"/>
      <c r="Q45" s="191"/>
      <c r="AR45" s="195"/>
      <c r="AS45" s="195"/>
    </row>
    <row r="46" customFormat="false" ht="15" hidden="false" customHeight="true" outlineLevel="0" collapsed="false">
      <c r="A46" s="191"/>
      <c r="B46" s="191"/>
      <c r="C46" s="191"/>
      <c r="D46" s="191"/>
      <c r="E46" s="191"/>
      <c r="F46" s="191"/>
      <c r="G46" s="191"/>
      <c r="H46" s="191"/>
      <c r="I46" s="191"/>
      <c r="J46" s="191"/>
      <c r="K46" s="191"/>
      <c r="L46" s="191"/>
      <c r="M46" s="191"/>
      <c r="N46" s="191"/>
      <c r="O46" s="191"/>
      <c r="P46" s="191"/>
      <c r="Q46" s="191"/>
      <c r="AR46" s="195"/>
      <c r="AS46" s="195"/>
    </row>
    <row r="47" customFormat="false" ht="15" hidden="false" customHeight="true" outlineLevel="0" collapsed="false">
      <c r="A47" s="191"/>
      <c r="B47" s="191"/>
      <c r="C47" s="191"/>
      <c r="D47" s="191"/>
      <c r="E47" s="191"/>
      <c r="F47" s="191"/>
      <c r="G47" s="191"/>
      <c r="H47" s="191"/>
      <c r="I47" s="191"/>
      <c r="J47" s="191"/>
      <c r="K47" s="191"/>
      <c r="L47" s="191"/>
      <c r="M47" s="191"/>
      <c r="N47" s="191"/>
      <c r="O47" s="191"/>
      <c r="P47" s="191"/>
      <c r="Q47" s="191"/>
      <c r="AR47" s="195"/>
      <c r="AS47" s="195"/>
    </row>
    <row r="48" customFormat="false" ht="15" hidden="false" customHeight="true" outlineLevel="0" collapsed="false">
      <c r="A48" s="191"/>
      <c r="B48" s="191"/>
      <c r="C48" s="191"/>
      <c r="D48" s="191"/>
      <c r="E48" s="191"/>
      <c r="F48" s="191"/>
      <c r="G48" s="191"/>
      <c r="H48" s="191"/>
      <c r="I48" s="191"/>
      <c r="J48" s="191"/>
      <c r="K48" s="191"/>
      <c r="L48" s="191"/>
      <c r="M48" s="191"/>
      <c r="N48" s="191"/>
      <c r="O48" s="191"/>
      <c r="P48" s="191"/>
      <c r="Q48" s="191"/>
      <c r="AR48" s="195"/>
      <c r="AS48" s="195"/>
    </row>
    <row r="49" customFormat="false" ht="15" hidden="false" customHeight="true" outlineLevel="0" collapsed="false">
      <c r="A49" s="191"/>
      <c r="B49" s="191"/>
      <c r="C49" s="191"/>
      <c r="D49" s="191"/>
      <c r="E49" s="191"/>
      <c r="F49" s="191"/>
      <c r="G49" s="191"/>
      <c r="H49" s="191"/>
      <c r="I49" s="191"/>
      <c r="J49" s="191"/>
      <c r="K49" s="191"/>
      <c r="L49" s="191"/>
      <c r="M49" s="191"/>
      <c r="N49" s="191"/>
      <c r="O49" s="191"/>
      <c r="P49" s="191"/>
      <c r="Q49" s="191"/>
      <c r="AR49" s="195"/>
      <c r="AS49" s="195"/>
    </row>
    <row r="50" customFormat="false" ht="15" hidden="false" customHeight="true" outlineLevel="0" collapsed="false">
      <c r="A50" s="191"/>
      <c r="B50" s="191"/>
      <c r="C50" s="191"/>
      <c r="D50" s="191"/>
      <c r="E50" s="191"/>
      <c r="F50" s="191"/>
      <c r="G50" s="191"/>
      <c r="H50" s="191"/>
      <c r="I50" s="191"/>
      <c r="J50" s="191"/>
      <c r="K50" s="191"/>
      <c r="L50" s="191"/>
      <c r="M50" s="191"/>
      <c r="N50" s="191"/>
      <c r="O50" s="191"/>
      <c r="P50" s="191"/>
      <c r="Q50" s="191"/>
      <c r="AR50" s="195"/>
      <c r="AS50" s="195"/>
    </row>
    <row r="51" customFormat="false" ht="15" hidden="false" customHeight="true" outlineLevel="0" collapsed="false">
      <c r="A51" s="191"/>
      <c r="B51" s="191"/>
      <c r="C51" s="191"/>
      <c r="D51" s="191"/>
      <c r="E51" s="191"/>
      <c r="F51" s="191"/>
      <c r="G51" s="191"/>
      <c r="H51" s="191"/>
      <c r="I51" s="191"/>
      <c r="J51" s="191"/>
      <c r="K51" s="191"/>
      <c r="L51" s="191"/>
      <c r="M51" s="191"/>
      <c r="N51" s="191"/>
      <c r="O51" s="191"/>
      <c r="P51" s="191"/>
      <c r="Q51" s="191"/>
      <c r="AR51" s="195"/>
      <c r="AS51" s="195"/>
    </row>
    <row r="52" customFormat="false" ht="15" hidden="false" customHeight="true" outlineLevel="0" collapsed="false">
      <c r="A52" s="191"/>
      <c r="B52" s="191"/>
      <c r="C52" s="191"/>
      <c r="D52" s="191"/>
      <c r="E52" s="191"/>
      <c r="F52" s="191"/>
      <c r="G52" s="191"/>
      <c r="H52" s="191"/>
      <c r="I52" s="191"/>
      <c r="J52" s="191"/>
      <c r="K52" s="191"/>
      <c r="L52" s="191"/>
      <c r="M52" s="191"/>
      <c r="N52" s="191"/>
      <c r="O52" s="191"/>
      <c r="P52" s="191"/>
      <c r="Q52" s="191"/>
      <c r="AR52" s="195"/>
      <c r="AS52" s="195"/>
    </row>
    <row r="53" customFormat="false" ht="15" hidden="false" customHeight="true" outlineLevel="0" collapsed="false">
      <c r="A53" s="191"/>
      <c r="B53" s="191"/>
      <c r="C53" s="191"/>
      <c r="D53" s="191"/>
      <c r="E53" s="191"/>
      <c r="F53" s="191"/>
      <c r="G53" s="191"/>
      <c r="H53" s="191"/>
      <c r="I53" s="191"/>
      <c r="J53" s="191"/>
      <c r="K53" s="191"/>
      <c r="L53" s="191"/>
      <c r="M53" s="191"/>
      <c r="N53" s="191"/>
      <c r="O53" s="191"/>
      <c r="P53" s="191"/>
      <c r="Q53" s="191"/>
      <c r="AR53" s="195"/>
      <c r="AS53" s="195"/>
    </row>
    <row r="54" customFormat="false" ht="15" hidden="false" customHeight="true" outlineLevel="0" collapsed="false">
      <c r="A54" s="191"/>
      <c r="B54" s="191"/>
      <c r="C54" s="191"/>
      <c r="D54" s="191"/>
      <c r="E54" s="191"/>
      <c r="F54" s="191"/>
      <c r="G54" s="191"/>
      <c r="H54" s="191"/>
      <c r="I54" s="191"/>
      <c r="J54" s="191"/>
      <c r="K54" s="191"/>
      <c r="L54" s="191"/>
      <c r="M54" s="191"/>
      <c r="N54" s="191"/>
      <c r="O54" s="191"/>
      <c r="P54" s="191"/>
      <c r="Q54" s="191"/>
      <c r="AR54" s="195"/>
      <c r="AS54" s="195"/>
    </row>
    <row r="55" customFormat="false" ht="15" hidden="false" customHeight="true" outlineLevel="0" collapsed="false">
      <c r="A55" s="191"/>
      <c r="B55" s="191"/>
      <c r="C55" s="191"/>
      <c r="D55" s="191"/>
      <c r="E55" s="191"/>
      <c r="F55" s="191"/>
      <c r="G55" s="191"/>
      <c r="H55" s="191"/>
      <c r="I55" s="191"/>
      <c r="J55" s="191"/>
      <c r="K55" s="191"/>
      <c r="L55" s="191"/>
      <c r="M55" s="191"/>
      <c r="N55" s="191"/>
      <c r="O55" s="191"/>
      <c r="P55" s="191"/>
      <c r="Q55" s="191"/>
      <c r="AR55" s="195"/>
      <c r="AS55" s="195"/>
    </row>
    <row r="56" customFormat="false" ht="15" hidden="false" customHeight="true" outlineLevel="0" collapsed="false">
      <c r="A56" s="191"/>
      <c r="B56" s="191"/>
      <c r="C56" s="191"/>
      <c r="D56" s="191"/>
      <c r="E56" s="191"/>
      <c r="F56" s="191"/>
      <c r="G56" s="191"/>
      <c r="H56" s="191"/>
      <c r="I56" s="191"/>
      <c r="J56" s="191"/>
      <c r="K56" s="191"/>
      <c r="L56" s="191"/>
      <c r="M56" s="191"/>
      <c r="N56" s="191"/>
      <c r="O56" s="191"/>
      <c r="P56" s="191"/>
      <c r="Q56" s="191"/>
      <c r="AR56" s="195"/>
      <c r="AS56" s="195"/>
    </row>
    <row r="57" customFormat="false" ht="15" hidden="false" customHeight="true" outlineLevel="0" collapsed="false">
      <c r="A57" s="191"/>
      <c r="B57" s="191"/>
      <c r="C57" s="191"/>
      <c r="D57" s="191"/>
      <c r="E57" s="191"/>
      <c r="F57" s="191"/>
      <c r="G57" s="191"/>
      <c r="H57" s="191"/>
      <c r="I57" s="191"/>
      <c r="J57" s="191"/>
      <c r="K57" s="191"/>
      <c r="L57" s="191"/>
      <c r="M57" s="191"/>
      <c r="N57" s="191"/>
      <c r="O57" s="191"/>
      <c r="P57" s="191"/>
      <c r="Q57" s="191"/>
      <c r="AR57" s="195"/>
      <c r="AS57" s="195"/>
    </row>
    <row r="58" customFormat="false" ht="15" hidden="false" customHeight="true" outlineLevel="0" collapsed="false">
      <c r="A58" s="191"/>
      <c r="B58" s="191"/>
      <c r="C58" s="191"/>
      <c r="D58" s="191"/>
      <c r="E58" s="191"/>
      <c r="F58" s="191"/>
      <c r="G58" s="191"/>
      <c r="H58" s="191"/>
      <c r="I58" s="191"/>
      <c r="J58" s="191"/>
      <c r="K58" s="191"/>
      <c r="L58" s="191"/>
      <c r="M58" s="191"/>
      <c r="N58" s="191"/>
      <c r="O58" s="191"/>
      <c r="P58" s="191"/>
      <c r="Q58" s="191"/>
      <c r="AR58" s="195"/>
      <c r="AS58" s="195"/>
    </row>
    <row r="59" customFormat="false" ht="15" hidden="false" customHeight="true" outlineLevel="0" collapsed="false">
      <c r="A59" s="191"/>
      <c r="B59" s="191"/>
      <c r="C59" s="191"/>
      <c r="D59" s="191"/>
      <c r="E59" s="191"/>
      <c r="F59" s="191"/>
      <c r="G59" s="191"/>
      <c r="H59" s="191"/>
      <c r="I59" s="191"/>
      <c r="J59" s="191"/>
      <c r="K59" s="191"/>
      <c r="L59" s="191"/>
      <c r="M59" s="191"/>
      <c r="N59" s="191"/>
      <c r="O59" s="191"/>
      <c r="P59" s="191"/>
      <c r="Q59" s="191"/>
      <c r="AR59" s="195"/>
      <c r="AS59" s="195"/>
    </row>
    <row r="60" customFormat="false" ht="15" hidden="false" customHeight="true" outlineLevel="0" collapsed="false">
      <c r="A60" s="191"/>
      <c r="B60" s="191"/>
      <c r="C60" s="191"/>
      <c r="D60" s="191"/>
      <c r="E60" s="191"/>
      <c r="F60" s="191"/>
      <c r="G60" s="191"/>
      <c r="H60" s="191"/>
      <c r="I60" s="191"/>
      <c r="J60" s="191"/>
      <c r="K60" s="191"/>
      <c r="L60" s="191"/>
      <c r="M60" s="191"/>
      <c r="N60" s="191"/>
      <c r="O60" s="191"/>
      <c r="P60" s="191"/>
      <c r="Q60" s="191"/>
      <c r="AR60" s="195"/>
      <c r="AS60" s="195"/>
    </row>
    <row r="61" customFormat="false" ht="15" hidden="false" customHeight="true" outlineLevel="0" collapsed="false">
      <c r="AV61" s="1"/>
    </row>
    <row r="62" customFormat="false" ht="15" hidden="false" customHeight="true" outlineLevel="0" collapsed="false">
      <c r="AV62" s="1"/>
    </row>
    <row r="63" customFormat="false" ht="15" hidden="false" customHeight="true" outlineLevel="0" collapsed="false">
      <c r="AV63" s="1"/>
    </row>
    <row r="64" customFormat="false" ht="15" hidden="false" customHeight="true" outlineLevel="0" collapsed="false">
      <c r="AV64" s="1"/>
    </row>
    <row r="65" customFormat="false" ht="15" hidden="false" customHeight="true" outlineLevel="0" collapsed="false">
      <c r="AV65" s="1"/>
    </row>
    <row r="66" customFormat="false" ht="15" hidden="false" customHeight="true" outlineLevel="0" collapsed="false">
      <c r="AV66" s="1"/>
    </row>
    <row r="67" customFormat="false" ht="15" hidden="false" customHeight="true" outlineLevel="0" collapsed="false">
      <c r="AV67" s="1"/>
    </row>
    <row r="68" customFormat="false" ht="15" hidden="false" customHeight="true" outlineLevel="0" collapsed="false">
      <c r="AV68" s="1"/>
    </row>
    <row r="69" customFormat="false" ht="15.75" hidden="false" customHeight="true" outlineLevel="0" collapsed="false">
      <c r="AV69" s="1"/>
    </row>
    <row r="70" customFormat="false" ht="15.75" hidden="false" customHeight="true" outlineLevel="0" collapsed="false">
      <c r="AV70" s="1"/>
    </row>
    <row r="71" customFormat="false" ht="15.75" hidden="false" customHeight="true" outlineLevel="0" collapsed="false">
      <c r="AV71" s="1"/>
    </row>
    <row r="72" customFormat="false" ht="15.75" hidden="false" customHeight="true" outlineLevel="0" collapsed="false">
      <c r="AV72" s="1"/>
    </row>
    <row r="73" customFormat="false" ht="15.75" hidden="false" customHeight="true" outlineLevel="0" collapsed="false">
      <c r="AV73" s="1"/>
    </row>
    <row r="74" customFormat="false" ht="15.75" hidden="false" customHeight="true" outlineLevel="0" collapsed="false">
      <c r="AV74" s="1"/>
    </row>
    <row r="75" customFormat="false" ht="15.75" hidden="false" customHeight="true" outlineLevel="0" collapsed="false">
      <c r="AV75" s="1"/>
    </row>
    <row r="76" customFormat="false" ht="15.75" hidden="false" customHeight="true" outlineLevel="0" collapsed="false">
      <c r="AV76" s="1"/>
    </row>
    <row r="77" customFormat="false" ht="15.75" hidden="false" customHeight="true" outlineLevel="0" collapsed="false">
      <c r="AV77" s="1"/>
    </row>
    <row r="78" customFormat="false" ht="15.75" hidden="false" customHeight="true" outlineLevel="0" collapsed="false">
      <c r="AV78" s="1"/>
    </row>
    <row r="79" customFormat="false" ht="15.75" hidden="false" customHeight="true" outlineLevel="0" collapsed="false">
      <c r="AV79" s="1"/>
    </row>
    <row r="80" customFormat="false" ht="15.75" hidden="false" customHeight="true" outlineLevel="0" collapsed="false">
      <c r="AV80" s="1"/>
    </row>
    <row r="81" customFormat="false" ht="15.75" hidden="false" customHeight="true" outlineLevel="0" collapsed="false">
      <c r="AV81" s="1"/>
    </row>
    <row r="82" customFormat="false" ht="15.75" hidden="false" customHeight="true" outlineLevel="0" collapsed="false">
      <c r="AV82" s="1"/>
    </row>
    <row r="83" customFormat="false" ht="15.75" hidden="false" customHeight="true" outlineLevel="0" collapsed="false">
      <c r="AV83" s="1"/>
    </row>
    <row r="84" customFormat="false" ht="15.75" hidden="false" customHeight="true" outlineLevel="0" collapsed="false">
      <c r="AV84" s="1"/>
    </row>
    <row r="85" customFormat="false" ht="15.75" hidden="false" customHeight="true" outlineLevel="0" collapsed="false">
      <c r="AV85" s="1"/>
    </row>
    <row r="86" customFormat="false" ht="15.75" hidden="false" customHeight="true" outlineLevel="0" collapsed="false">
      <c r="AV86" s="1"/>
    </row>
    <row r="87" customFormat="false" ht="15.75" hidden="false" customHeight="true" outlineLevel="0" collapsed="false">
      <c r="AV87" s="1"/>
    </row>
    <row r="88" customFormat="false" ht="15.75" hidden="false" customHeight="true" outlineLevel="0" collapsed="false">
      <c r="AV88" s="1"/>
    </row>
    <row r="89" customFormat="false" ht="15.75" hidden="false" customHeight="true" outlineLevel="0" collapsed="false">
      <c r="AV89" s="1"/>
    </row>
    <row r="90" customFormat="false" ht="15.75" hidden="false" customHeight="true" outlineLevel="0" collapsed="false">
      <c r="AV90" s="1"/>
    </row>
    <row r="91" customFormat="false" ht="15.75" hidden="false" customHeight="true" outlineLevel="0" collapsed="false">
      <c r="AV91" s="1"/>
    </row>
    <row r="92" customFormat="false" ht="15.75" hidden="false" customHeight="true" outlineLevel="0" collapsed="false">
      <c r="AV92" s="1"/>
    </row>
    <row r="93" customFormat="false" ht="15.75" hidden="false" customHeight="true" outlineLevel="0" collapsed="false">
      <c r="AV93" s="1"/>
    </row>
    <row r="94" customFormat="false" ht="15.75" hidden="false" customHeight="true" outlineLevel="0" collapsed="false">
      <c r="AV94" s="1"/>
    </row>
    <row r="95" customFormat="false" ht="15.75" hidden="false" customHeight="true" outlineLevel="0" collapsed="false">
      <c r="AV95" s="1"/>
    </row>
    <row r="96" customFormat="false" ht="15.75" hidden="false" customHeight="true" outlineLevel="0" collapsed="false">
      <c r="AV96" s="1"/>
    </row>
    <row r="97" customFormat="false" ht="15.75" hidden="false" customHeight="true" outlineLevel="0" collapsed="false">
      <c r="AV97" s="1"/>
    </row>
    <row r="98" customFormat="false" ht="15.75" hidden="false" customHeight="true" outlineLevel="0" collapsed="false">
      <c r="AV98" s="1"/>
    </row>
    <row r="99" customFormat="false" ht="15.75" hidden="false" customHeight="true" outlineLevel="0" collapsed="false">
      <c r="AV99" s="1"/>
    </row>
    <row r="100" customFormat="false" ht="15.75" hidden="false" customHeight="true" outlineLevel="0" collapsed="false">
      <c r="AV100" s="1"/>
    </row>
    <row r="101" customFormat="false" ht="15.75" hidden="false" customHeight="true" outlineLevel="0" collapsed="false">
      <c r="AV101" s="1"/>
    </row>
    <row r="102" customFormat="false" ht="15.75" hidden="false" customHeight="true" outlineLevel="0" collapsed="false">
      <c r="AV102" s="1"/>
    </row>
    <row r="103" customFormat="false" ht="15.75" hidden="false" customHeight="true" outlineLevel="0" collapsed="false">
      <c r="AV103" s="1"/>
    </row>
    <row r="104" customFormat="false" ht="15.75" hidden="false" customHeight="true" outlineLevel="0" collapsed="false">
      <c r="AV104" s="1"/>
    </row>
    <row r="105" customFormat="false" ht="15.75" hidden="false" customHeight="true" outlineLevel="0" collapsed="false">
      <c r="AV105" s="1"/>
    </row>
    <row r="106" customFormat="false" ht="15.75" hidden="false" customHeight="true" outlineLevel="0" collapsed="false">
      <c r="AV106" s="1"/>
    </row>
    <row r="107" customFormat="false" ht="15.75" hidden="false" customHeight="true" outlineLevel="0" collapsed="false">
      <c r="AV107" s="1"/>
    </row>
    <row r="108" customFormat="false" ht="15.75" hidden="false" customHeight="true" outlineLevel="0" collapsed="false">
      <c r="AV108" s="1"/>
    </row>
    <row r="109" customFormat="false" ht="15.75" hidden="false" customHeight="true" outlineLevel="0" collapsed="false">
      <c r="AV109" s="1"/>
    </row>
    <row r="110" customFormat="false" ht="15.75" hidden="false" customHeight="true" outlineLevel="0" collapsed="false">
      <c r="AV110" s="1"/>
    </row>
    <row r="111" customFormat="false" ht="15.75" hidden="false" customHeight="true" outlineLevel="0" collapsed="false">
      <c r="AV111" s="1"/>
    </row>
    <row r="112" customFormat="false" ht="15.75" hidden="false" customHeight="true" outlineLevel="0" collapsed="false">
      <c r="AV112" s="1"/>
    </row>
    <row r="113" customFormat="false" ht="15.75" hidden="false" customHeight="true" outlineLevel="0" collapsed="false">
      <c r="AV113" s="1"/>
    </row>
    <row r="114" customFormat="false" ht="15.75" hidden="false" customHeight="true" outlineLevel="0" collapsed="false">
      <c r="AV114" s="1"/>
    </row>
    <row r="115" customFormat="false" ht="15.75" hidden="false" customHeight="true" outlineLevel="0" collapsed="false">
      <c r="AV115" s="1"/>
    </row>
    <row r="116" customFormat="false" ht="15.75" hidden="false" customHeight="true" outlineLevel="0" collapsed="false">
      <c r="AV116" s="1"/>
    </row>
    <row r="117" customFormat="false" ht="15.75" hidden="false" customHeight="true" outlineLevel="0" collapsed="false">
      <c r="AV117" s="1"/>
    </row>
    <row r="118" customFormat="false" ht="15.75" hidden="false" customHeight="true" outlineLevel="0" collapsed="false">
      <c r="AV118" s="1"/>
    </row>
    <row r="119" customFormat="false" ht="15.75" hidden="false" customHeight="true" outlineLevel="0" collapsed="false">
      <c r="AV119" s="1"/>
    </row>
    <row r="120" customFormat="false" ht="15.75" hidden="false" customHeight="true" outlineLevel="0" collapsed="false">
      <c r="AV120" s="1"/>
    </row>
    <row r="121" customFormat="false" ht="15.75" hidden="false" customHeight="true" outlineLevel="0" collapsed="false">
      <c r="AV121" s="1"/>
    </row>
    <row r="122" customFormat="false" ht="15.75" hidden="false" customHeight="true" outlineLevel="0" collapsed="false">
      <c r="AV122" s="1"/>
    </row>
    <row r="123" customFormat="false" ht="15.75" hidden="false" customHeight="true" outlineLevel="0" collapsed="false">
      <c r="AV123" s="1"/>
    </row>
    <row r="124" customFormat="false" ht="15.75" hidden="false" customHeight="true" outlineLevel="0" collapsed="false">
      <c r="AV124" s="1"/>
    </row>
    <row r="125" customFormat="false" ht="15.75" hidden="false" customHeight="true" outlineLevel="0" collapsed="false">
      <c r="AV125" s="1"/>
    </row>
    <row r="126" customFormat="false" ht="15.75" hidden="false" customHeight="true" outlineLevel="0" collapsed="false">
      <c r="AV126" s="1"/>
    </row>
    <row r="127" customFormat="false" ht="15.75" hidden="false" customHeight="true" outlineLevel="0" collapsed="false">
      <c r="AV127" s="1"/>
    </row>
    <row r="128" customFormat="false" ht="15.75" hidden="false" customHeight="true" outlineLevel="0" collapsed="false">
      <c r="AV128" s="1"/>
    </row>
    <row r="129" customFormat="false" ht="15.75" hidden="false" customHeight="true" outlineLevel="0" collapsed="false">
      <c r="AV129" s="1"/>
    </row>
    <row r="130" customFormat="false" ht="15.75" hidden="false" customHeight="true" outlineLevel="0" collapsed="false">
      <c r="AV130" s="1"/>
    </row>
    <row r="131" customFormat="false" ht="15.75" hidden="false" customHeight="true" outlineLevel="0" collapsed="false">
      <c r="AV131" s="1"/>
    </row>
    <row r="132" customFormat="false" ht="15.75" hidden="false" customHeight="true" outlineLevel="0" collapsed="false">
      <c r="AV132" s="1"/>
    </row>
    <row r="133" customFormat="false" ht="15.75" hidden="false" customHeight="true" outlineLevel="0" collapsed="false">
      <c r="AV133" s="1"/>
    </row>
    <row r="134" customFormat="false" ht="15.75" hidden="false" customHeight="true" outlineLevel="0" collapsed="false">
      <c r="AV134" s="1"/>
    </row>
    <row r="135" customFormat="false" ht="15.75" hidden="false" customHeight="true" outlineLevel="0" collapsed="false">
      <c r="AV135" s="1"/>
    </row>
    <row r="136" customFormat="false" ht="15.75" hidden="false" customHeight="true" outlineLevel="0" collapsed="false">
      <c r="AV136" s="1"/>
    </row>
    <row r="137" customFormat="false" ht="15.75" hidden="false" customHeight="true" outlineLevel="0" collapsed="false">
      <c r="AV137" s="1"/>
    </row>
    <row r="138" customFormat="false" ht="15.75" hidden="false" customHeight="true" outlineLevel="0" collapsed="false">
      <c r="AV138" s="1"/>
    </row>
    <row r="139" customFormat="false" ht="15.75" hidden="false" customHeight="true" outlineLevel="0" collapsed="false">
      <c r="AV139" s="1"/>
    </row>
    <row r="140" customFormat="false" ht="15.75" hidden="false" customHeight="true" outlineLevel="0" collapsed="false">
      <c r="AV140" s="1"/>
    </row>
    <row r="141" customFormat="false" ht="15.75" hidden="false" customHeight="true" outlineLevel="0" collapsed="false">
      <c r="AV141" s="1"/>
    </row>
    <row r="142" customFormat="false" ht="15.75" hidden="false" customHeight="true" outlineLevel="0" collapsed="false">
      <c r="AV142" s="1"/>
    </row>
    <row r="143" customFormat="false" ht="15.75" hidden="false" customHeight="true" outlineLevel="0" collapsed="false">
      <c r="AV143" s="1"/>
    </row>
    <row r="144" customFormat="false" ht="15.75" hidden="false" customHeight="true" outlineLevel="0" collapsed="false">
      <c r="AV144" s="1"/>
    </row>
    <row r="145" customFormat="false" ht="15.75" hidden="false" customHeight="true" outlineLevel="0" collapsed="false">
      <c r="AV145" s="1"/>
    </row>
    <row r="146" customFormat="false" ht="15.75" hidden="false" customHeight="true" outlineLevel="0" collapsed="false">
      <c r="AV146" s="1"/>
    </row>
    <row r="147" customFormat="false" ht="15.75" hidden="false" customHeight="true" outlineLevel="0" collapsed="false">
      <c r="AV147" s="1"/>
    </row>
    <row r="148" customFormat="false" ht="15.75" hidden="false" customHeight="true" outlineLevel="0" collapsed="false">
      <c r="AV148" s="1"/>
    </row>
    <row r="149" customFormat="false" ht="15.75" hidden="false" customHeight="true" outlineLevel="0" collapsed="false">
      <c r="AV149" s="1"/>
    </row>
    <row r="150" customFormat="false" ht="15.75" hidden="false" customHeight="true" outlineLevel="0" collapsed="false">
      <c r="AV150" s="1"/>
    </row>
    <row r="151" customFormat="false" ht="15.75" hidden="false" customHeight="true" outlineLevel="0" collapsed="false">
      <c r="AV151" s="1"/>
    </row>
    <row r="152" customFormat="false" ht="15.75" hidden="false" customHeight="true" outlineLevel="0" collapsed="false">
      <c r="AV152" s="1"/>
    </row>
    <row r="153" customFormat="false" ht="15.75" hidden="false" customHeight="true" outlineLevel="0" collapsed="false">
      <c r="AV153" s="1"/>
    </row>
    <row r="154" customFormat="false" ht="15.75" hidden="false" customHeight="true" outlineLevel="0" collapsed="false">
      <c r="AV154" s="1"/>
    </row>
    <row r="155" customFormat="false" ht="15.75" hidden="false" customHeight="true" outlineLevel="0" collapsed="false">
      <c r="AV155" s="1"/>
    </row>
    <row r="156" customFormat="false" ht="15.75" hidden="false" customHeight="true" outlineLevel="0" collapsed="false">
      <c r="AV156" s="1"/>
    </row>
    <row r="157" customFormat="false" ht="15.75" hidden="false" customHeight="true" outlineLevel="0" collapsed="false">
      <c r="AV157" s="1"/>
    </row>
    <row r="158" customFormat="false" ht="15.75" hidden="false" customHeight="true" outlineLevel="0" collapsed="false">
      <c r="AV158" s="1"/>
    </row>
    <row r="159" customFormat="false" ht="15.75" hidden="false" customHeight="true" outlineLevel="0" collapsed="false">
      <c r="AV159" s="1"/>
    </row>
    <row r="160" customFormat="false" ht="15.75" hidden="false" customHeight="true" outlineLevel="0" collapsed="false">
      <c r="AV160" s="1"/>
    </row>
    <row r="161" customFormat="false" ht="15.75" hidden="false" customHeight="true" outlineLevel="0" collapsed="false">
      <c r="AV161" s="1"/>
    </row>
    <row r="162" customFormat="false" ht="15.75" hidden="false" customHeight="true" outlineLevel="0" collapsed="false">
      <c r="AV162" s="1"/>
    </row>
    <row r="163" customFormat="false" ht="15.75" hidden="false" customHeight="true" outlineLevel="0" collapsed="false">
      <c r="AV163" s="1"/>
    </row>
    <row r="164" customFormat="false" ht="15.75" hidden="false" customHeight="true" outlineLevel="0" collapsed="false">
      <c r="AV164" s="1"/>
    </row>
    <row r="165" customFormat="false" ht="15.75" hidden="false" customHeight="true" outlineLevel="0" collapsed="false">
      <c r="AV165" s="1"/>
    </row>
    <row r="166" customFormat="false" ht="15.75" hidden="false" customHeight="true" outlineLevel="0" collapsed="false">
      <c r="AV166" s="1"/>
    </row>
    <row r="167" customFormat="false" ht="15.75" hidden="false" customHeight="true" outlineLevel="0" collapsed="false">
      <c r="AV167" s="1"/>
    </row>
    <row r="168" customFormat="false" ht="15.75" hidden="false" customHeight="true" outlineLevel="0" collapsed="false">
      <c r="AV168" s="1"/>
    </row>
    <row r="169" customFormat="false" ht="15.75" hidden="false" customHeight="true" outlineLevel="0" collapsed="false">
      <c r="AV169" s="1"/>
    </row>
    <row r="170" customFormat="false" ht="15.75" hidden="false" customHeight="true" outlineLevel="0" collapsed="false">
      <c r="AV170" s="1"/>
    </row>
    <row r="171" customFormat="false" ht="15.75" hidden="false" customHeight="true" outlineLevel="0" collapsed="false">
      <c r="AV171" s="1"/>
    </row>
    <row r="172" customFormat="false" ht="15.75" hidden="false" customHeight="true" outlineLevel="0" collapsed="false">
      <c r="AV172" s="1"/>
    </row>
    <row r="173" customFormat="false" ht="15.75" hidden="false" customHeight="true" outlineLevel="0" collapsed="false">
      <c r="AV173" s="1"/>
    </row>
    <row r="174" customFormat="false" ht="15.75" hidden="false" customHeight="true" outlineLevel="0" collapsed="false">
      <c r="AV174" s="1"/>
    </row>
    <row r="175" customFormat="false" ht="15.75" hidden="false" customHeight="true" outlineLevel="0" collapsed="false">
      <c r="AV175" s="1"/>
    </row>
    <row r="176" customFormat="false" ht="15.75" hidden="false" customHeight="true" outlineLevel="0" collapsed="false">
      <c r="AV176" s="1"/>
    </row>
    <row r="177" customFormat="false" ht="15.75" hidden="false" customHeight="true" outlineLevel="0" collapsed="false">
      <c r="AV177" s="1"/>
    </row>
    <row r="178" customFormat="false" ht="15.75" hidden="false" customHeight="true" outlineLevel="0" collapsed="false">
      <c r="AV178" s="1"/>
    </row>
    <row r="179" customFormat="false" ht="15.75" hidden="false" customHeight="true" outlineLevel="0" collapsed="false">
      <c r="AV179" s="1"/>
    </row>
    <row r="180" customFormat="false" ht="15.75" hidden="false" customHeight="true" outlineLevel="0" collapsed="false">
      <c r="AV180" s="1"/>
    </row>
    <row r="181" customFormat="false" ht="15.75" hidden="false" customHeight="true" outlineLevel="0" collapsed="false">
      <c r="AV181" s="1"/>
    </row>
    <row r="182" customFormat="false" ht="15.75" hidden="false" customHeight="true" outlineLevel="0" collapsed="false">
      <c r="AV182" s="1"/>
    </row>
    <row r="183" customFormat="false" ht="15.75" hidden="false" customHeight="true" outlineLevel="0" collapsed="false">
      <c r="AV183" s="1"/>
    </row>
    <row r="184" customFormat="false" ht="15.75" hidden="false" customHeight="true" outlineLevel="0" collapsed="false">
      <c r="AV184" s="1"/>
    </row>
    <row r="185" customFormat="false" ht="15.75" hidden="false" customHeight="true" outlineLevel="0" collapsed="false">
      <c r="AV185" s="1"/>
    </row>
    <row r="186" customFormat="false" ht="15.75" hidden="false" customHeight="true" outlineLevel="0" collapsed="false">
      <c r="AV186" s="1"/>
    </row>
    <row r="187" customFormat="false" ht="15.75" hidden="false" customHeight="true" outlineLevel="0" collapsed="false">
      <c r="AV187" s="1"/>
    </row>
    <row r="188" customFormat="false" ht="15.75" hidden="false" customHeight="true" outlineLevel="0" collapsed="false">
      <c r="AV188" s="1"/>
    </row>
    <row r="189" customFormat="false" ht="15.75" hidden="false" customHeight="true" outlineLevel="0" collapsed="false">
      <c r="AV189" s="1"/>
    </row>
    <row r="190" customFormat="false" ht="15.75" hidden="false" customHeight="true" outlineLevel="0" collapsed="false">
      <c r="AV190" s="1"/>
    </row>
    <row r="191" customFormat="false" ht="15.75" hidden="false" customHeight="true" outlineLevel="0" collapsed="false">
      <c r="AV191" s="1"/>
    </row>
    <row r="192" customFormat="false" ht="15.75" hidden="false" customHeight="true" outlineLevel="0" collapsed="false">
      <c r="AV192" s="1"/>
    </row>
    <row r="193" customFormat="false" ht="15.75" hidden="false" customHeight="true" outlineLevel="0" collapsed="false">
      <c r="AV193" s="1"/>
    </row>
    <row r="194" customFormat="false" ht="15.75" hidden="false" customHeight="true" outlineLevel="0" collapsed="false">
      <c r="AV194" s="1"/>
    </row>
    <row r="195" customFormat="false" ht="15.75" hidden="false" customHeight="true" outlineLevel="0" collapsed="false">
      <c r="AV195" s="1"/>
    </row>
    <row r="196" customFormat="false" ht="15.75" hidden="false" customHeight="true" outlineLevel="0" collapsed="false">
      <c r="AV196" s="1"/>
    </row>
    <row r="197" customFormat="false" ht="15.75" hidden="false" customHeight="true" outlineLevel="0" collapsed="false">
      <c r="AV197" s="1"/>
    </row>
    <row r="198" customFormat="false" ht="15.75" hidden="false" customHeight="true" outlineLevel="0" collapsed="false">
      <c r="AV198" s="1"/>
    </row>
    <row r="199" customFormat="false" ht="15.75" hidden="false" customHeight="true" outlineLevel="0" collapsed="false">
      <c r="AV199" s="1"/>
    </row>
    <row r="200" customFormat="false" ht="15.75" hidden="false" customHeight="true" outlineLevel="0" collapsed="false">
      <c r="AV200" s="1"/>
    </row>
    <row r="201" customFormat="false" ht="15.75" hidden="false" customHeight="true" outlineLevel="0" collapsed="false">
      <c r="AV201" s="1"/>
    </row>
    <row r="202" customFormat="false" ht="15.75" hidden="false" customHeight="true" outlineLevel="0" collapsed="false">
      <c r="AV202" s="1"/>
    </row>
    <row r="203" customFormat="false" ht="15.75" hidden="false" customHeight="true" outlineLevel="0" collapsed="false">
      <c r="AV203" s="1"/>
    </row>
    <row r="204" customFormat="false" ht="15.75" hidden="false" customHeight="true" outlineLevel="0" collapsed="false">
      <c r="AV204" s="1"/>
    </row>
    <row r="205" customFormat="false" ht="15.75" hidden="false" customHeight="true" outlineLevel="0" collapsed="false">
      <c r="AV205" s="1"/>
    </row>
    <row r="206" customFormat="false" ht="15.75" hidden="false" customHeight="true" outlineLevel="0" collapsed="false">
      <c r="AV206" s="1"/>
    </row>
    <row r="207" customFormat="false" ht="15.75" hidden="false" customHeight="true" outlineLevel="0" collapsed="false">
      <c r="AV207" s="1"/>
    </row>
    <row r="208" customFormat="false" ht="15.75" hidden="false" customHeight="true" outlineLevel="0" collapsed="false">
      <c r="AV208" s="1"/>
    </row>
    <row r="209" customFormat="false" ht="15.75" hidden="false" customHeight="true" outlineLevel="0" collapsed="false">
      <c r="AV209" s="1"/>
    </row>
    <row r="210" customFormat="false" ht="15.75" hidden="false" customHeight="true" outlineLevel="0" collapsed="false">
      <c r="AV210" s="1"/>
    </row>
    <row r="211" customFormat="false" ht="15.75" hidden="false" customHeight="true" outlineLevel="0" collapsed="false">
      <c r="AV211" s="1"/>
    </row>
    <row r="212" customFormat="false" ht="15.75" hidden="false" customHeight="true" outlineLevel="0" collapsed="false">
      <c r="AV212" s="1"/>
    </row>
    <row r="213" customFormat="false" ht="15.75" hidden="false" customHeight="true" outlineLevel="0" collapsed="false">
      <c r="AV213" s="1"/>
    </row>
    <row r="214" customFormat="false" ht="15.75" hidden="false" customHeight="true" outlineLevel="0" collapsed="false">
      <c r="AV214" s="1"/>
    </row>
    <row r="215" customFormat="false" ht="15.75" hidden="false" customHeight="true" outlineLevel="0" collapsed="false">
      <c r="AV215" s="1"/>
    </row>
    <row r="216" customFormat="false" ht="15.75" hidden="false" customHeight="true" outlineLevel="0" collapsed="false">
      <c r="AV216" s="1"/>
    </row>
    <row r="217" customFormat="false" ht="15.75" hidden="false" customHeight="true" outlineLevel="0" collapsed="false">
      <c r="AV217" s="1"/>
    </row>
    <row r="218" customFormat="false" ht="15.75" hidden="false" customHeight="true" outlineLevel="0" collapsed="false">
      <c r="AV218" s="1"/>
    </row>
    <row r="219" customFormat="false" ht="15.75" hidden="false" customHeight="true" outlineLevel="0" collapsed="false">
      <c r="AV219" s="1"/>
    </row>
    <row r="220" customFormat="false" ht="15.75" hidden="false" customHeight="true" outlineLevel="0" collapsed="false">
      <c r="AV220" s="1"/>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6:AU6"/>
  <mergeCells count="25">
    <mergeCell ref="A2:B2"/>
    <mergeCell ref="C2:E2"/>
    <mergeCell ref="A3:B3"/>
    <mergeCell ref="C3:E3"/>
    <mergeCell ref="G3:H3"/>
    <mergeCell ref="I3:J3"/>
    <mergeCell ref="A4:B4"/>
    <mergeCell ref="C4:E4"/>
    <mergeCell ref="G4:H4"/>
    <mergeCell ref="I4:J4"/>
    <mergeCell ref="A5:C5"/>
    <mergeCell ref="D5:I5"/>
    <mergeCell ref="J5:M5"/>
    <mergeCell ref="N5:S5"/>
    <mergeCell ref="T5:Y5"/>
    <mergeCell ref="Z5:AE5"/>
    <mergeCell ref="AF5:AK5"/>
    <mergeCell ref="AL5:AQ5"/>
    <mergeCell ref="AR5:AU5"/>
    <mergeCell ref="C7:AU7"/>
    <mergeCell ref="C9:AU9"/>
    <mergeCell ref="C11:AU11"/>
    <mergeCell ref="C14:AU14"/>
    <mergeCell ref="C16:AU16"/>
    <mergeCell ref="C18:AU18"/>
  </mergeCells>
  <conditionalFormatting sqref="O7:O500 P7:P500 U7:U500 V7:V500 AA7:AA500 AB7:AB500 AG7:AG500 AH7:AH500 AM7:AM500 AN7:AN500 AS7:AS500 AT7:AT500">
    <cfRule type="cellIs" priority="2" operator="equal" aboveAverage="0" equalAverage="0" bottom="0" percent="0" rank="0" text="" dxfId="0">
      <formula>"Pass"</formula>
    </cfRule>
    <cfRule type="cellIs" priority="3" operator="equal" aboveAverage="0" equalAverage="0" bottom="0" percent="0" rank="0" text="" dxfId="1">
      <formula>"Fail"</formula>
    </cfRule>
    <cfRule type="cellIs" priority="4" operator="equal" aboveAverage="0" equalAverage="0" bottom="0" percent="0" rank="0" text="" dxfId="2">
      <formula>"Block"</formula>
    </cfRule>
    <cfRule type="cellIs" priority="5" operator="equal" aboveAverage="0" equalAverage="0" bottom="0" percent="0" rank="0" text="" dxfId="3">
      <formula>"N/A"</formula>
    </cfRule>
  </conditionalFormatting>
  <dataValidations count="8">
    <dataValidation allowBlank="true" errorStyle="stop" operator="between" showDropDown="false" showErrorMessage="false" showInputMessage="false" sqref="J7:J500" type="list">
      <formula1>"AI,QC"</formula1>
      <formula2>0</formula2>
    </dataValidation>
    <dataValidation allowBlank="true" errorStyle="stop" operator="between" showDropDown="false" showErrorMessage="false" showInputMessage="false" sqref="E7:E500" type="list">
      <formula1>"High,Medium,Low"</formula1>
      <formula2>0</formula2>
    </dataValidation>
    <dataValidation allowBlank="true" errorStyle="stop" operator="between" showDropDown="false" showErrorMessage="false" showInputMessage="false" sqref="P7:P500 V7:V500 AB7:AB500 AH7:AH500 AN7:AN500" type="list">
      <formula1>"Pass,Fail,Block,N/A"</formula1>
      <formula2>0</formula2>
    </dataValidation>
    <dataValidation allowBlank="true" errorStyle="stop" operator="between" showDropDown="false" showErrorMessage="false" showInputMessage="false" sqref="N7:N500 T7:T500 Z7:Z500 AF7:AF500 AL7:AL500" type="list">
      <formula1>"Yes,No,N/A"</formula1>
      <formula2>0</formula2>
    </dataValidation>
    <dataValidation allowBlank="true" errorStyle="stop" operator="between" showDropDown="false" showErrorMessage="false" showInputMessage="false" sqref="O7:O500 U7:U500 AA7:AA500 AG7:AG500 AM7:AM500" type="list">
      <formula1>"Pass,Fail,Block,N/A,Chưa chạy"</formula1>
      <formula2>0</formula2>
    </dataValidation>
    <dataValidation allowBlank="true" errorStyle="stop" operator="between" showDropDown="false" showErrorMessage="false" showInputMessage="false" sqref="D7:D500" type="list">
      <formula1>"Functional,UI,Integration,Database Test Case"</formula1>
      <formula2>0</formula2>
    </dataValidation>
    <dataValidation allowBlank="true" errorStyle="stop" operator="between" showDropDown="false" showErrorMessage="false" showInputMessage="false" sqref="K7:K500" type="list">
      <formula1>"Reviewed,Pending,N/A"</formula1>
      <formula2>0</formula2>
    </dataValidation>
    <dataValidation allowBlank="true" errorStyle="stop" operator="between" showDropDown="false" showErrorMessage="false" showInputMessage="false" sqref="L7:L500"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V1000"/>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1" ySplit="6" topLeftCell="Y13" activePane="bottomRight" state="frozen"/>
      <selection pane="topLeft" activeCell="A1" activeCellId="0" sqref="A1"/>
      <selection pane="topRight" activeCell="Y1" activeCellId="0" sqref="Y1"/>
      <selection pane="bottomLeft" activeCell="A13" activeCellId="0" sqref="A13"/>
      <selection pane="bottomRight" activeCell="AX13" activeCellId="0" sqref="AX13"/>
    </sheetView>
  </sheetViews>
  <sheetFormatPr defaultColWidth="14.43359375" defaultRowHeight="15" customHeight="true" zeroHeight="false" outlineLevelRow="0" outlineLevelCol="0"/>
  <cols>
    <col collapsed="false" customWidth="true" hidden="false" outlineLevel="0" max="2" min="1" style="1" width="14"/>
    <col collapsed="false" customWidth="true" hidden="false" outlineLevel="0" max="4" min="3" style="1" width="13"/>
    <col collapsed="false" customWidth="true" hidden="false" outlineLevel="0" max="5" min="5" style="1" width="11"/>
    <col collapsed="false" customWidth="true" hidden="false" outlineLevel="0" max="6" min="6" style="1" width="34"/>
    <col collapsed="false" customWidth="true" hidden="false" outlineLevel="0" max="7" min="7" style="1" width="28"/>
    <col collapsed="false" customWidth="true" hidden="false" outlineLevel="0" max="8" min="8" style="1" width="40"/>
    <col collapsed="false" customWidth="true" hidden="false" outlineLevel="0" max="9" min="9" style="1" width="34"/>
    <col collapsed="false" customWidth="true" hidden="false" outlineLevel="0" max="10" min="10" style="1" width="10"/>
    <col collapsed="false" customWidth="true" hidden="false" outlineLevel="0" max="11" min="11" style="1" width="12.43"/>
    <col collapsed="false" customWidth="true" hidden="false" outlineLevel="0" max="12" min="12" style="1" width="14"/>
    <col collapsed="false" customWidth="true" hidden="false" outlineLevel="0" max="13" min="13" style="1" width="26.16"/>
    <col collapsed="false" customWidth="true" hidden="false" outlineLevel="0" max="14" min="14" style="1" width="9"/>
    <col collapsed="false" customWidth="true" hidden="false" outlineLevel="0" max="15" min="15" style="1" width="10"/>
    <col collapsed="false" customWidth="true" hidden="false" outlineLevel="0" max="16" min="16" style="1" width="9"/>
    <col collapsed="false" customWidth="true" hidden="false" outlineLevel="0" max="17" min="17" style="1" width="13"/>
    <col collapsed="false" customWidth="true" hidden="false" outlineLevel="0" max="18" min="18" style="1" width="11"/>
    <col collapsed="false" customWidth="true" hidden="false" outlineLevel="0" max="19" min="19" style="1" width="22"/>
    <col collapsed="false" customWidth="true" hidden="false" outlineLevel="0" max="20" min="20" style="1" width="9"/>
    <col collapsed="false" customWidth="true" hidden="false" outlineLevel="0" max="21" min="21" style="1" width="10"/>
    <col collapsed="false" customWidth="true" hidden="false" outlineLevel="0" max="22" min="22" style="1" width="9"/>
    <col collapsed="false" customWidth="true" hidden="false" outlineLevel="0" max="23" min="23" style="1" width="13"/>
    <col collapsed="false" customWidth="true" hidden="false" outlineLevel="0" max="24" min="24" style="1" width="11"/>
    <col collapsed="false" customWidth="true" hidden="false" outlineLevel="0" max="25" min="25" style="1" width="22"/>
    <col collapsed="false" customWidth="true" hidden="false" outlineLevel="0" max="26" min="26" style="1" width="9"/>
    <col collapsed="false" customWidth="true" hidden="false" outlineLevel="0" max="27" min="27" style="1" width="10"/>
    <col collapsed="false" customWidth="true" hidden="false" outlineLevel="0" max="28" min="28" style="1" width="9"/>
    <col collapsed="false" customWidth="true" hidden="false" outlineLevel="0" max="29" min="29" style="1" width="13"/>
    <col collapsed="false" customWidth="true" hidden="false" outlineLevel="0" max="30" min="30" style="1" width="11"/>
    <col collapsed="false" customWidth="true" hidden="false" outlineLevel="0" max="31" min="31" style="1" width="22"/>
    <col collapsed="false" customWidth="true" hidden="false" outlineLevel="0" max="32" min="32" style="1" width="9"/>
    <col collapsed="false" customWidth="true" hidden="false" outlineLevel="0" max="33" min="33" style="1" width="10"/>
    <col collapsed="false" customWidth="true" hidden="false" outlineLevel="0" max="34" min="34" style="1" width="9"/>
    <col collapsed="false" customWidth="true" hidden="false" outlineLevel="0" max="35" min="35" style="1" width="13"/>
    <col collapsed="false" customWidth="true" hidden="false" outlineLevel="0" max="36" min="36" style="1" width="11"/>
    <col collapsed="false" customWidth="true" hidden="false" outlineLevel="0" max="37" min="37" style="1" width="22"/>
    <col collapsed="false" customWidth="true" hidden="false" outlineLevel="0" max="38" min="38" style="1" width="9"/>
    <col collapsed="false" customWidth="true" hidden="false" outlineLevel="0" max="39" min="39" style="1" width="10"/>
    <col collapsed="false" customWidth="true" hidden="false" outlineLevel="0" max="40" min="40" style="1" width="9"/>
    <col collapsed="false" customWidth="true" hidden="false" outlineLevel="0" max="41" min="41" style="1" width="13"/>
    <col collapsed="false" customWidth="true" hidden="false" outlineLevel="0" max="42" min="42" style="1" width="11"/>
    <col collapsed="false" customWidth="true" hidden="false" outlineLevel="0" max="43" min="43" style="1" width="22"/>
    <col collapsed="false" customWidth="true" hidden="false" outlineLevel="0" max="44" min="44" style="1" width="12"/>
    <col collapsed="false" customWidth="true" hidden="false" outlineLevel="0" max="45" min="45" style="1" width="14"/>
    <col collapsed="false" customWidth="true" hidden="false" outlineLevel="0" max="46" min="46" style="1" width="11"/>
    <col collapsed="false" customWidth="true" hidden="false" outlineLevel="0" max="47" min="47" style="1" width="24"/>
  </cols>
  <sheetData>
    <row r="1" customFormat="false" ht="15" hidden="false" customHeight="true" outlineLevel="0" collapsed="false">
      <c r="A1" s="172"/>
      <c r="AU1" s="198"/>
    </row>
    <row r="2" customFormat="false" ht="15" hidden="false" customHeight="true" outlineLevel="0" collapsed="false">
      <c r="A2" s="180" t="s">
        <v>629</v>
      </c>
      <c r="B2" s="180"/>
      <c r="C2" s="181" t="s">
        <v>207</v>
      </c>
      <c r="D2" s="181"/>
      <c r="E2" s="181"/>
    </row>
    <row r="3" customFormat="false" ht="15" hidden="false" customHeight="true" outlineLevel="0" collapsed="false">
      <c r="A3" s="180" t="s">
        <v>630</v>
      </c>
      <c r="B3" s="180"/>
      <c r="C3" s="181" t="s">
        <v>208</v>
      </c>
      <c r="D3" s="181"/>
      <c r="E3" s="181"/>
      <c r="G3" s="180" t="s">
        <v>82</v>
      </c>
      <c r="H3" s="180"/>
      <c r="I3" s="38" t="str">
        <f aca="false">Summary!$C$8</f>
        <v>v1.1</v>
      </c>
      <c r="J3" s="38"/>
    </row>
    <row r="4" customFormat="false" ht="15" hidden="false" customHeight="true" outlineLevel="0" collapsed="false">
      <c r="A4" s="180" t="s">
        <v>145</v>
      </c>
      <c r="B4" s="180"/>
      <c r="C4" s="38" t="str">
        <f aca="false">TEXT(Summary!$C$10,"DD/MM/YYYY")&amp;"  →  "&amp;TEXT(Summary!$C$11,"DD/MM/YYYY")</f>
        <v>18/09/2026  →  25/09/2026</v>
      </c>
      <c r="D4" s="38"/>
      <c r="E4" s="38"/>
      <c r="G4" s="180" t="s">
        <v>103</v>
      </c>
      <c r="H4" s="180"/>
      <c r="I4" s="38" t="str">
        <f aca="false">Summary!$C$13</f>
        <v>GiangDC2</v>
      </c>
      <c r="J4" s="38"/>
    </row>
    <row r="5" customFormat="false" ht="15" hidden="false" customHeight="true" outlineLevel="0" collapsed="false">
      <c r="A5" s="182" t="s">
        <v>631</v>
      </c>
      <c r="B5" s="182"/>
      <c r="C5" s="182"/>
      <c r="D5" s="117" t="s">
        <v>632</v>
      </c>
      <c r="E5" s="117"/>
      <c r="F5" s="117"/>
      <c r="G5" s="117"/>
      <c r="H5" s="117"/>
      <c r="I5" s="117"/>
      <c r="J5" s="136" t="s">
        <v>58</v>
      </c>
      <c r="K5" s="136"/>
      <c r="L5" s="136"/>
      <c r="M5" s="136"/>
      <c r="N5" s="183" t="s">
        <v>633</v>
      </c>
      <c r="O5" s="183"/>
      <c r="P5" s="183"/>
      <c r="Q5" s="183"/>
      <c r="R5" s="183"/>
      <c r="S5" s="183"/>
      <c r="T5" s="184" t="s">
        <v>634</v>
      </c>
      <c r="U5" s="184"/>
      <c r="V5" s="184"/>
      <c r="W5" s="184"/>
      <c r="X5" s="184"/>
      <c r="Y5" s="184"/>
      <c r="Z5" s="183" t="s">
        <v>635</v>
      </c>
      <c r="AA5" s="183"/>
      <c r="AB5" s="183"/>
      <c r="AC5" s="183"/>
      <c r="AD5" s="183"/>
      <c r="AE5" s="183"/>
      <c r="AF5" s="184" t="s">
        <v>636</v>
      </c>
      <c r="AG5" s="184"/>
      <c r="AH5" s="184"/>
      <c r="AI5" s="184"/>
      <c r="AJ5" s="184"/>
      <c r="AK5" s="184"/>
      <c r="AL5" s="183" t="s">
        <v>637</v>
      </c>
      <c r="AM5" s="183"/>
      <c r="AN5" s="183"/>
      <c r="AO5" s="183"/>
      <c r="AP5" s="183"/>
      <c r="AQ5" s="183"/>
      <c r="AR5" s="185" t="s">
        <v>638</v>
      </c>
      <c r="AS5" s="185"/>
      <c r="AT5" s="185"/>
      <c r="AU5" s="185"/>
    </row>
    <row r="6" customFormat="false" ht="30" hidden="false" customHeight="true" outlineLevel="0" collapsed="false">
      <c r="A6" s="186" t="s">
        <v>639</v>
      </c>
      <c r="B6" s="186" t="s">
        <v>405</v>
      </c>
      <c r="C6" s="186" t="s">
        <v>640</v>
      </c>
      <c r="D6" s="125" t="s">
        <v>40</v>
      </c>
      <c r="E6" s="125" t="s">
        <v>32</v>
      </c>
      <c r="F6" s="125" t="s">
        <v>641</v>
      </c>
      <c r="G6" s="125" t="s">
        <v>642</v>
      </c>
      <c r="H6" s="125" t="s">
        <v>643</v>
      </c>
      <c r="I6" s="125" t="s">
        <v>644</v>
      </c>
      <c r="J6" s="175" t="s">
        <v>645</v>
      </c>
      <c r="K6" s="175" t="s">
        <v>62</v>
      </c>
      <c r="L6" s="175" t="s">
        <v>64</v>
      </c>
      <c r="M6" s="175" t="s">
        <v>66</v>
      </c>
      <c r="N6" s="187" t="s">
        <v>68</v>
      </c>
      <c r="O6" s="187" t="s">
        <v>70</v>
      </c>
      <c r="P6" s="187" t="s">
        <v>646</v>
      </c>
      <c r="Q6" s="187" t="s">
        <v>647</v>
      </c>
      <c r="R6" s="187" t="s">
        <v>648</v>
      </c>
      <c r="S6" s="187" t="s">
        <v>265</v>
      </c>
      <c r="T6" s="187" t="s">
        <v>68</v>
      </c>
      <c r="U6" s="187" t="s">
        <v>70</v>
      </c>
      <c r="V6" s="187" t="s">
        <v>646</v>
      </c>
      <c r="W6" s="187" t="s">
        <v>647</v>
      </c>
      <c r="X6" s="187" t="s">
        <v>648</v>
      </c>
      <c r="Y6" s="187" t="s">
        <v>265</v>
      </c>
      <c r="Z6" s="187" t="s">
        <v>68</v>
      </c>
      <c r="AA6" s="187" t="s">
        <v>70</v>
      </c>
      <c r="AB6" s="187" t="s">
        <v>646</v>
      </c>
      <c r="AC6" s="187" t="s">
        <v>647</v>
      </c>
      <c r="AD6" s="187" t="s">
        <v>648</v>
      </c>
      <c r="AE6" s="187" t="s">
        <v>265</v>
      </c>
      <c r="AF6" s="187" t="s">
        <v>68</v>
      </c>
      <c r="AG6" s="187" t="s">
        <v>70</v>
      </c>
      <c r="AH6" s="187" t="s">
        <v>646</v>
      </c>
      <c r="AI6" s="187" t="s">
        <v>647</v>
      </c>
      <c r="AJ6" s="187" t="s">
        <v>648</v>
      </c>
      <c r="AK6" s="187" t="s">
        <v>265</v>
      </c>
      <c r="AL6" s="187" t="s">
        <v>68</v>
      </c>
      <c r="AM6" s="187" t="s">
        <v>70</v>
      </c>
      <c r="AN6" s="187" t="s">
        <v>646</v>
      </c>
      <c r="AO6" s="187" t="s">
        <v>647</v>
      </c>
      <c r="AP6" s="187" t="s">
        <v>648</v>
      </c>
      <c r="AQ6" s="187" t="s">
        <v>265</v>
      </c>
      <c r="AR6" s="188" t="s">
        <v>649</v>
      </c>
      <c r="AS6" s="188" t="s">
        <v>650</v>
      </c>
      <c r="AT6" s="188" t="s">
        <v>50</v>
      </c>
      <c r="AU6" s="188" t="s">
        <v>651</v>
      </c>
    </row>
    <row r="7" customFormat="false" ht="15" hidden="false" customHeight="true" outlineLevel="0" collapsed="false">
      <c r="A7" s="189"/>
      <c r="B7" s="189"/>
      <c r="C7" s="190" t="s">
        <v>1027</v>
      </c>
      <c r="D7" s="190"/>
      <c r="E7" s="190"/>
      <c r="F7" s="190"/>
      <c r="G7" s="190"/>
      <c r="H7" s="190"/>
      <c r="I7" s="190"/>
      <c r="J7" s="190"/>
      <c r="K7" s="190"/>
      <c r="L7" s="190"/>
      <c r="M7" s="190"/>
      <c r="N7" s="190"/>
      <c r="O7" s="190"/>
      <c r="P7" s="190"/>
      <c r="Q7" s="190"/>
      <c r="R7" s="190"/>
      <c r="S7" s="190"/>
      <c r="T7" s="190"/>
      <c r="U7" s="190"/>
      <c r="V7" s="190"/>
      <c r="W7" s="190"/>
      <c r="X7" s="190"/>
      <c r="Y7" s="190"/>
      <c r="Z7" s="190"/>
      <c r="AA7" s="190"/>
      <c r="AB7" s="190"/>
      <c r="AC7" s="190"/>
      <c r="AD7" s="190"/>
      <c r="AE7" s="190"/>
      <c r="AF7" s="190"/>
      <c r="AG7" s="190"/>
      <c r="AH7" s="190"/>
      <c r="AI7" s="190"/>
      <c r="AJ7" s="190"/>
      <c r="AK7" s="190"/>
      <c r="AL7" s="190"/>
      <c r="AM7" s="190"/>
      <c r="AN7" s="190"/>
      <c r="AO7" s="190"/>
      <c r="AP7" s="190"/>
      <c r="AQ7" s="190"/>
      <c r="AR7" s="190"/>
      <c r="AS7" s="190"/>
      <c r="AT7" s="190"/>
      <c r="AU7" s="190"/>
    </row>
    <row r="8" customFormat="false" ht="60" hidden="false" customHeight="true" outlineLevel="0" collapsed="false">
      <c r="A8" s="191" t="str">
        <f aca="false">IF($F8="","",$C$2&amp;"."&amp;COUNTA($F$7:$F8)&amp;"")</f>
        <v>TC_07.1</v>
      </c>
      <c r="B8" s="191" t="s">
        <v>528</v>
      </c>
      <c r="C8" s="191" t="s">
        <v>530</v>
      </c>
      <c r="D8" s="191" t="s">
        <v>41</v>
      </c>
      <c r="E8" s="191" t="s">
        <v>159</v>
      </c>
      <c r="F8" s="13" t="s">
        <v>1028</v>
      </c>
      <c r="G8" s="13" t="s">
        <v>800</v>
      </c>
      <c r="H8" s="13" t="s">
        <v>1029</v>
      </c>
      <c r="I8" s="13" t="s">
        <v>1030</v>
      </c>
      <c r="J8" s="191" t="s">
        <v>658</v>
      </c>
      <c r="K8" s="191" t="s">
        <v>245</v>
      </c>
      <c r="L8" s="191"/>
      <c r="M8" s="191"/>
      <c r="N8" s="192"/>
      <c r="O8" s="192"/>
      <c r="P8" s="192"/>
      <c r="Q8" s="192"/>
      <c r="R8" s="192"/>
      <c r="S8" s="192"/>
      <c r="T8" s="192"/>
      <c r="U8" s="192"/>
      <c r="V8" s="192"/>
      <c r="W8" s="192"/>
      <c r="X8" s="192"/>
      <c r="Y8" s="192"/>
      <c r="Z8" s="192"/>
      <c r="AA8" s="192"/>
      <c r="AB8" s="192"/>
      <c r="AC8" s="192"/>
      <c r="AD8" s="192"/>
      <c r="AE8" s="192"/>
      <c r="AF8" s="192"/>
      <c r="AG8" s="192"/>
      <c r="AH8" s="192"/>
      <c r="AI8" s="192"/>
      <c r="AJ8" s="192"/>
      <c r="AK8" s="192"/>
      <c r="AL8" s="192"/>
      <c r="AM8" s="192"/>
      <c r="AN8" s="192"/>
      <c r="AO8" s="192"/>
      <c r="AP8" s="192"/>
      <c r="AQ8" s="192"/>
      <c r="AR8" s="193" t="str">
        <f aca="false">IF($A8="","",IF(OR($N8="Yes",$T8="Yes",$Z8="Yes",$AF8="Yes",$AL8="Yes"),"Yes","No"))</f>
        <v>No</v>
      </c>
      <c r="AS8" s="193" t="str">
        <f aca="false">IF($A8="","",IFERROR(IF($AM8&lt;&gt;"",$AM8,IF($AG8&lt;&gt;"",$AG8,IF($AA8&lt;&gt;"",$AA8,IF($U8&lt;&gt;"",$U8,IF($O8&lt;&gt;"",$O8,""))))),""))</f>
        <v/>
      </c>
      <c r="AT8" s="193" t="str">
        <f aca="false">IFERROR(IF($AN8&lt;&gt;"",$AN8,IF($AH8&lt;&gt;"",$AH8,IF($AB8&lt;&gt;"",$AB8,IF($V8&lt;&gt;"",$V8,IF($P8&lt;&gt;"",$P8,""))))),"")</f>
        <v/>
      </c>
      <c r="AU8" s="194"/>
    </row>
    <row r="9" customFormat="false" ht="60" hidden="false" customHeight="true" outlineLevel="0" collapsed="false">
      <c r="A9" s="191" t="str">
        <f aca="false">IF($F9="","",$C$2&amp;"."&amp;COUNTA($F$7:$F9)&amp;"")</f>
        <v>TC_07.2</v>
      </c>
      <c r="B9" s="191" t="s">
        <v>528</v>
      </c>
      <c r="C9" s="191" t="s">
        <v>530</v>
      </c>
      <c r="D9" s="191" t="s">
        <v>41</v>
      </c>
      <c r="E9" s="191" t="s">
        <v>160</v>
      </c>
      <c r="F9" s="13" t="s">
        <v>1031</v>
      </c>
      <c r="G9" s="13" t="s">
        <v>1032</v>
      </c>
      <c r="H9" s="13" t="s">
        <v>1033</v>
      </c>
      <c r="I9" s="13" t="s">
        <v>1034</v>
      </c>
      <c r="J9" s="191" t="s">
        <v>658</v>
      </c>
      <c r="K9" s="191" t="s">
        <v>245</v>
      </c>
      <c r="L9" s="191"/>
      <c r="M9" s="191"/>
      <c r="N9" s="192"/>
      <c r="O9" s="192"/>
      <c r="P9" s="192"/>
      <c r="Q9" s="192"/>
      <c r="R9" s="192"/>
      <c r="S9" s="192"/>
      <c r="T9" s="192"/>
      <c r="U9" s="192"/>
      <c r="V9" s="192"/>
      <c r="W9" s="192"/>
      <c r="X9" s="192"/>
      <c r="Y9" s="192"/>
      <c r="Z9" s="192"/>
      <c r="AA9" s="192"/>
      <c r="AB9" s="192"/>
      <c r="AC9" s="192"/>
      <c r="AD9" s="192"/>
      <c r="AE9" s="192"/>
      <c r="AF9" s="192"/>
      <c r="AG9" s="192"/>
      <c r="AH9" s="192"/>
      <c r="AI9" s="192"/>
      <c r="AJ9" s="192"/>
      <c r="AK9" s="192"/>
      <c r="AL9" s="192"/>
      <c r="AM9" s="192"/>
      <c r="AN9" s="192"/>
      <c r="AO9" s="192"/>
      <c r="AP9" s="192"/>
      <c r="AQ9" s="192"/>
      <c r="AR9" s="193" t="str">
        <f aca="false">IF($A9="","",IF(OR($N9="Yes",$T9="Yes",$Z9="Yes",$AF9="Yes",$AL9="Yes"),"Yes","No"))</f>
        <v>No</v>
      </c>
      <c r="AS9" s="193" t="str">
        <f aca="false">IF($A9="","",IFERROR(IF($AM9&lt;&gt;"",$AM9,IF($AG9&lt;&gt;"",$AG9,IF($AA9&lt;&gt;"",$AA9,IF($U9&lt;&gt;"",$U9,IF($O9&lt;&gt;"",$O9,""))))),""))</f>
        <v/>
      </c>
      <c r="AT9" s="193" t="str">
        <f aca="false">IFERROR(IF($AN9&lt;&gt;"",$AN9,IF($AH9&lt;&gt;"",$AH9,IF($AB9&lt;&gt;"",$AB9,IF($V9&lt;&gt;"",$V9,IF($P9&lt;&gt;"",$P9,""))))),"")</f>
        <v/>
      </c>
      <c r="AU9" s="194"/>
    </row>
    <row r="10" customFormat="false" ht="157.5" hidden="false" customHeight="true" outlineLevel="0" collapsed="false">
      <c r="A10" s="191" t="str">
        <f aca="false">IF($F10="","",$C$2&amp;"."&amp;COUNTA($F$7:$F10)&amp;"")</f>
        <v>TC_07.3</v>
      </c>
      <c r="B10" s="191" t="s">
        <v>528</v>
      </c>
      <c r="C10" s="191" t="s">
        <v>530</v>
      </c>
      <c r="D10" s="191" t="s">
        <v>41</v>
      </c>
      <c r="E10" s="191" t="s">
        <v>159</v>
      </c>
      <c r="F10" s="13" t="s">
        <v>1035</v>
      </c>
      <c r="G10" s="13" t="s">
        <v>800</v>
      </c>
      <c r="H10" s="13" t="s">
        <v>1036</v>
      </c>
      <c r="I10" s="13" t="s">
        <v>1037</v>
      </c>
      <c r="J10" s="191" t="s">
        <v>658</v>
      </c>
      <c r="K10" s="191" t="s">
        <v>245</v>
      </c>
      <c r="L10" s="191"/>
      <c r="M10" s="191"/>
      <c r="N10" s="192"/>
      <c r="O10" s="192"/>
      <c r="P10" s="192"/>
      <c r="Q10" s="192"/>
      <c r="R10" s="192"/>
      <c r="S10" s="192"/>
      <c r="T10" s="192"/>
      <c r="U10" s="192"/>
      <c r="V10" s="192"/>
      <c r="W10" s="192"/>
      <c r="X10" s="192"/>
      <c r="Y10" s="192"/>
      <c r="Z10" s="192"/>
      <c r="AA10" s="192"/>
      <c r="AB10" s="192"/>
      <c r="AC10" s="192"/>
      <c r="AD10" s="192"/>
      <c r="AE10" s="192"/>
      <c r="AF10" s="192"/>
      <c r="AG10" s="192"/>
      <c r="AH10" s="192"/>
      <c r="AI10" s="192"/>
      <c r="AJ10" s="192"/>
      <c r="AK10" s="192"/>
      <c r="AL10" s="192"/>
      <c r="AM10" s="192"/>
      <c r="AN10" s="192"/>
      <c r="AO10" s="192"/>
      <c r="AP10" s="192"/>
      <c r="AQ10" s="192"/>
      <c r="AR10" s="193" t="str">
        <f aca="false">IF($A10="","",IF(OR($N10="Yes",$T10="Yes",$Z10="Yes",$AF10="Yes",$AL10="Yes"),"Yes","No"))</f>
        <v>No</v>
      </c>
      <c r="AS10" s="193" t="str">
        <f aca="false">IF($A10="","",IFERROR(IF($AM10&lt;&gt;"",$AM10,IF($AG10&lt;&gt;"",$AG10,IF($AA10&lt;&gt;"",$AA10,IF($U10&lt;&gt;"",$U10,IF($O10&lt;&gt;"",$O10,""))))),""))</f>
        <v/>
      </c>
      <c r="AT10" s="193" t="str">
        <f aca="false">IFERROR(IF($AN10&lt;&gt;"",$AN10,IF($AH10&lt;&gt;"",$AH10,IF($AB10&lt;&gt;"",$AB10,IF($V10&lt;&gt;"",$V10,IF($P10&lt;&gt;"",$P10,""))))),"")</f>
        <v/>
      </c>
      <c r="AU10" s="194"/>
    </row>
    <row r="11" customFormat="false" ht="15" hidden="false" customHeight="true" outlineLevel="0" collapsed="false">
      <c r="A11" s="189"/>
      <c r="B11" s="189"/>
      <c r="C11" s="190" t="s">
        <v>1038</v>
      </c>
      <c r="D11" s="190"/>
      <c r="E11" s="190"/>
      <c r="F11" s="190"/>
      <c r="G11" s="190"/>
      <c r="H11" s="190"/>
      <c r="I11" s="190"/>
      <c r="J11" s="190"/>
      <c r="K11" s="190"/>
      <c r="L11" s="190"/>
      <c r="M11" s="190"/>
      <c r="N11" s="190"/>
      <c r="O11" s="190"/>
      <c r="P11" s="190"/>
      <c r="Q11" s="190"/>
      <c r="R11" s="190"/>
      <c r="S11" s="190"/>
      <c r="T11" s="190"/>
      <c r="U11" s="190"/>
      <c r="V11" s="190"/>
      <c r="W11" s="190"/>
      <c r="X11" s="190"/>
      <c r="Y11" s="190"/>
      <c r="Z11" s="190"/>
      <c r="AA11" s="190"/>
      <c r="AB11" s="190"/>
      <c r="AC11" s="190"/>
      <c r="AD11" s="190"/>
      <c r="AE11" s="190"/>
      <c r="AF11" s="190"/>
      <c r="AG11" s="190"/>
      <c r="AH11" s="190"/>
      <c r="AI11" s="190"/>
      <c r="AJ11" s="190"/>
      <c r="AK11" s="190"/>
      <c r="AL11" s="190"/>
      <c r="AM11" s="190"/>
      <c r="AN11" s="190"/>
      <c r="AO11" s="190"/>
      <c r="AP11" s="190"/>
      <c r="AQ11" s="190"/>
      <c r="AR11" s="190"/>
      <c r="AS11" s="190"/>
      <c r="AT11" s="190"/>
      <c r="AU11" s="190"/>
    </row>
    <row r="12" customFormat="false" ht="168.75" hidden="false" customHeight="true" outlineLevel="0" collapsed="false">
      <c r="A12" s="191" t="str">
        <f aca="false">IF($F12="","",$C$2&amp;"."&amp;COUNTA($F$7:$F12)&amp;"")</f>
        <v>TC_07.4</v>
      </c>
      <c r="B12" s="191" t="s">
        <v>531</v>
      </c>
      <c r="C12" s="191" t="s">
        <v>530</v>
      </c>
      <c r="D12" s="191" t="s">
        <v>41</v>
      </c>
      <c r="E12" s="191" t="s">
        <v>160</v>
      </c>
      <c r="F12" s="13" t="s">
        <v>1039</v>
      </c>
      <c r="G12" s="13" t="s">
        <v>729</v>
      </c>
      <c r="H12" s="13" t="s">
        <v>1040</v>
      </c>
      <c r="I12" s="13" t="s">
        <v>1041</v>
      </c>
      <c r="J12" s="191" t="s">
        <v>658</v>
      </c>
      <c r="K12" s="191" t="s">
        <v>245</v>
      </c>
      <c r="L12" s="191"/>
      <c r="M12" s="191"/>
      <c r="N12" s="192"/>
      <c r="O12" s="192"/>
      <c r="P12" s="192"/>
      <c r="Q12" s="192"/>
      <c r="R12" s="192"/>
      <c r="S12" s="192"/>
      <c r="T12" s="192"/>
      <c r="U12" s="192"/>
      <c r="V12" s="192"/>
      <c r="W12" s="192"/>
      <c r="X12" s="192"/>
      <c r="Y12" s="192"/>
      <c r="Z12" s="192"/>
      <c r="AA12" s="192"/>
      <c r="AB12" s="192"/>
      <c r="AC12" s="192"/>
      <c r="AD12" s="192"/>
      <c r="AE12" s="192"/>
      <c r="AF12" s="192"/>
      <c r="AG12" s="192"/>
      <c r="AH12" s="192"/>
      <c r="AI12" s="192"/>
      <c r="AJ12" s="192"/>
      <c r="AK12" s="192"/>
      <c r="AL12" s="192"/>
      <c r="AM12" s="192"/>
      <c r="AN12" s="192"/>
      <c r="AO12" s="192"/>
      <c r="AP12" s="192"/>
      <c r="AQ12" s="192"/>
      <c r="AR12" s="193" t="str">
        <f aca="false">IF($A12="","",IF(OR($N12="Yes",$T12="Yes",$Z12="Yes",$AF12="Yes",$AL12="Yes"),"Yes","No"))</f>
        <v>No</v>
      </c>
      <c r="AS12" s="193" t="str">
        <f aca="false">IF($A12="","",IFERROR(IF($AM12&lt;&gt;"",$AM12,IF($AG12&lt;&gt;"",$AG12,IF($AA12&lt;&gt;"",$AA12,IF($U12&lt;&gt;"",$U12,IF($O12&lt;&gt;"",$O12,""))))),""))</f>
        <v/>
      </c>
      <c r="AT12" s="193" t="str">
        <f aca="false">IFERROR(IF($AN12&lt;&gt;"",$AN12,IF($AH12&lt;&gt;"",$AH12,IF($AB12&lt;&gt;"",$AB12,IF($V12&lt;&gt;"",$V12,IF($P12&lt;&gt;"",$P12,""))))),"")</f>
        <v/>
      </c>
      <c r="AU12" s="194"/>
    </row>
    <row r="13" customFormat="false" ht="113.25" hidden="false" customHeight="true" outlineLevel="0" collapsed="false">
      <c r="A13" s="191" t="str">
        <f aca="false">IF($F13="","",$C$2&amp;"."&amp;COUNTA($F$7:$F13)&amp;"")</f>
        <v>TC_07.5</v>
      </c>
      <c r="B13" s="191" t="s">
        <v>531</v>
      </c>
      <c r="C13" s="191" t="s">
        <v>530</v>
      </c>
      <c r="D13" s="191" t="s">
        <v>41</v>
      </c>
      <c r="E13" s="191" t="s">
        <v>160</v>
      </c>
      <c r="F13" s="13" t="s">
        <v>1042</v>
      </c>
      <c r="G13" s="13" t="s">
        <v>729</v>
      </c>
      <c r="H13" s="13" t="s">
        <v>1043</v>
      </c>
      <c r="I13" s="13" t="s">
        <v>1044</v>
      </c>
      <c r="J13" s="191" t="s">
        <v>658</v>
      </c>
      <c r="K13" s="191" t="s">
        <v>245</v>
      </c>
      <c r="L13" s="191"/>
      <c r="M13" s="191"/>
      <c r="N13" s="192"/>
      <c r="O13" s="192"/>
      <c r="P13" s="192"/>
      <c r="Q13" s="192"/>
      <c r="R13" s="192"/>
      <c r="S13" s="192"/>
      <c r="T13" s="192"/>
      <c r="U13" s="192"/>
      <c r="V13" s="192"/>
      <c r="W13" s="192"/>
      <c r="X13" s="192"/>
      <c r="Y13" s="192"/>
      <c r="Z13" s="192"/>
      <c r="AA13" s="192"/>
      <c r="AB13" s="192"/>
      <c r="AC13" s="192"/>
      <c r="AD13" s="192"/>
      <c r="AE13" s="192"/>
      <c r="AF13" s="192"/>
      <c r="AG13" s="192"/>
      <c r="AH13" s="192"/>
      <c r="AI13" s="192"/>
      <c r="AJ13" s="192"/>
      <c r="AK13" s="192"/>
      <c r="AL13" s="192"/>
      <c r="AM13" s="192"/>
      <c r="AN13" s="192"/>
      <c r="AO13" s="192"/>
      <c r="AP13" s="192"/>
      <c r="AQ13" s="192"/>
      <c r="AR13" s="193" t="str">
        <f aca="false">IF($A13="","",IF(OR($N13="Yes",$T13="Yes",$Z13="Yes",$AF13="Yes",$AL13="Yes"),"Yes","No"))</f>
        <v>No</v>
      </c>
      <c r="AS13" s="193" t="str">
        <f aca="false">IF($A13="","",IFERROR(IF($AM13&lt;&gt;"",$AM13,IF($AG13&lt;&gt;"",$AG13,IF($AA13&lt;&gt;"",$AA13,IF($U13&lt;&gt;"",$U13,IF($O13&lt;&gt;"",$O13,""))))),""))</f>
        <v/>
      </c>
      <c r="AT13" s="193" t="str">
        <f aca="false">IFERROR(IF($AN13&lt;&gt;"",$AN13,IF($AH13&lt;&gt;"",$AH13,IF($AB13&lt;&gt;"",$AB13,IF($V13&lt;&gt;"",$V13,IF($P13&lt;&gt;"",$P13,""))))),"")</f>
        <v/>
      </c>
      <c r="AU13" s="194"/>
    </row>
    <row r="14" customFormat="false" ht="191.25" hidden="false" customHeight="true" outlineLevel="0" collapsed="false">
      <c r="A14" s="191" t="str">
        <f aca="false">IF($F14="","",$C$2&amp;"."&amp;COUNTA($F$7:$F14)&amp;"")</f>
        <v>TC_07.6</v>
      </c>
      <c r="B14" s="191" t="s">
        <v>531</v>
      </c>
      <c r="C14" s="191" t="s">
        <v>530</v>
      </c>
      <c r="D14" s="191" t="s">
        <v>41</v>
      </c>
      <c r="E14" s="191" t="s">
        <v>160</v>
      </c>
      <c r="F14" s="13" t="s">
        <v>1045</v>
      </c>
      <c r="G14" s="13" t="s">
        <v>1046</v>
      </c>
      <c r="H14" s="13" t="s">
        <v>1047</v>
      </c>
      <c r="I14" s="13" t="s">
        <v>1048</v>
      </c>
      <c r="J14" s="191" t="s">
        <v>658</v>
      </c>
      <c r="K14" s="191" t="s">
        <v>245</v>
      </c>
      <c r="L14" s="191"/>
      <c r="M14" s="191"/>
      <c r="N14" s="192"/>
      <c r="O14" s="192"/>
      <c r="P14" s="192"/>
      <c r="Q14" s="192"/>
      <c r="R14" s="192"/>
      <c r="S14" s="192"/>
      <c r="T14" s="192"/>
      <c r="U14" s="192"/>
      <c r="V14" s="192"/>
      <c r="W14" s="192"/>
      <c r="X14" s="192"/>
      <c r="Y14" s="192"/>
      <c r="Z14" s="192"/>
      <c r="AA14" s="192"/>
      <c r="AB14" s="192"/>
      <c r="AC14" s="192"/>
      <c r="AD14" s="192"/>
      <c r="AE14" s="192"/>
      <c r="AF14" s="192"/>
      <c r="AG14" s="192"/>
      <c r="AH14" s="192"/>
      <c r="AI14" s="192"/>
      <c r="AJ14" s="192"/>
      <c r="AK14" s="192"/>
      <c r="AL14" s="192"/>
      <c r="AM14" s="192"/>
      <c r="AN14" s="192"/>
      <c r="AO14" s="192"/>
      <c r="AP14" s="192"/>
      <c r="AQ14" s="192"/>
      <c r="AR14" s="193" t="str">
        <f aca="false">IF($A14="","",IF(OR($N14="Yes",$T14="Yes",$Z14="Yes",$AF14="Yes",$AL14="Yes"),"Yes","No"))</f>
        <v>No</v>
      </c>
      <c r="AS14" s="193" t="str">
        <f aca="false">IF($A14="","",IFERROR(IF($AM14&lt;&gt;"",$AM14,IF($AG14&lt;&gt;"",$AG14,IF($AA14&lt;&gt;"",$AA14,IF($U14&lt;&gt;"",$U14,IF($O14&lt;&gt;"",$O14,""))))),""))</f>
        <v/>
      </c>
      <c r="AT14" s="193" t="str">
        <f aca="false">IFERROR(IF($AN14&lt;&gt;"",$AN14,IF($AH14&lt;&gt;"",$AH14,IF($AB14&lt;&gt;"",$AB14,IF($V14&lt;&gt;"",$V14,IF($P14&lt;&gt;"",$P14,""))))),"")</f>
        <v/>
      </c>
      <c r="AU14" s="194"/>
    </row>
    <row r="15" customFormat="false" ht="180" hidden="false" customHeight="true" outlineLevel="0" collapsed="false">
      <c r="A15" s="191" t="str">
        <f aca="false">IF($F15="","",$C$2&amp;"."&amp;COUNTA($F$7:$F15)&amp;"")</f>
        <v>TC_07.7</v>
      </c>
      <c r="B15" s="191" t="s">
        <v>1049</v>
      </c>
      <c r="C15" s="191" t="s">
        <v>530</v>
      </c>
      <c r="D15" s="191" t="s">
        <v>43</v>
      </c>
      <c r="E15" s="191" t="s">
        <v>160</v>
      </c>
      <c r="F15" s="13" t="s">
        <v>1050</v>
      </c>
      <c r="G15" s="13" t="s">
        <v>1051</v>
      </c>
      <c r="H15" s="13" t="s">
        <v>1052</v>
      </c>
      <c r="I15" s="13" t="s">
        <v>1053</v>
      </c>
      <c r="J15" s="191" t="s">
        <v>658</v>
      </c>
      <c r="K15" s="191" t="s">
        <v>245</v>
      </c>
      <c r="L15" s="191"/>
      <c r="M15" s="191"/>
      <c r="N15" s="192"/>
      <c r="O15" s="192"/>
      <c r="P15" s="192"/>
      <c r="Q15" s="192"/>
      <c r="R15" s="192"/>
      <c r="S15" s="192"/>
      <c r="T15" s="192"/>
      <c r="U15" s="192"/>
      <c r="V15" s="192"/>
      <c r="W15" s="192"/>
      <c r="X15" s="192"/>
      <c r="Y15" s="192"/>
      <c r="Z15" s="192"/>
      <c r="AA15" s="192"/>
      <c r="AB15" s="192"/>
      <c r="AC15" s="192"/>
      <c r="AD15" s="192"/>
      <c r="AE15" s="192"/>
      <c r="AF15" s="192"/>
      <c r="AG15" s="192"/>
      <c r="AH15" s="192"/>
      <c r="AI15" s="192"/>
      <c r="AJ15" s="192"/>
      <c r="AK15" s="192"/>
      <c r="AL15" s="192"/>
      <c r="AM15" s="192"/>
      <c r="AN15" s="192"/>
      <c r="AO15" s="192"/>
      <c r="AP15" s="192"/>
      <c r="AQ15" s="192"/>
      <c r="AR15" s="193" t="str">
        <f aca="false">IF($A15="","",IF(OR($N15="Yes",$T15="Yes",$Z15="Yes",$AF15="Yes",$AL15="Yes"),"Yes","No"))</f>
        <v>No</v>
      </c>
      <c r="AS15" s="193" t="str">
        <f aca="false">IF($A15="","",IFERROR(IF($AM15&lt;&gt;"",$AM15,IF($AG15&lt;&gt;"",$AG15,IF($AA15&lt;&gt;"",$AA15,IF($U15&lt;&gt;"",$U15,IF($O15&lt;&gt;"",$O15,""))))),""))</f>
        <v/>
      </c>
      <c r="AT15" s="193" t="str">
        <f aca="false">IFERROR(IF($AN15&lt;&gt;"",$AN15,IF($AH15&lt;&gt;"",$AH15,IF($AB15&lt;&gt;"",$AB15,IF($V15&lt;&gt;"",$V15,IF($P15&lt;&gt;"",$P15,""))))),"")</f>
        <v/>
      </c>
      <c r="AU15" s="194"/>
    </row>
    <row r="16" customFormat="false" ht="168.75" hidden="false" customHeight="true" outlineLevel="0" collapsed="false">
      <c r="A16" s="191" t="str">
        <f aca="false">IF($F16="","",$C$2&amp;"."&amp;COUNTA($F$7:$F16)&amp;"")</f>
        <v>TC_07.8</v>
      </c>
      <c r="B16" s="191" t="s">
        <v>531</v>
      </c>
      <c r="C16" s="191" t="s">
        <v>530</v>
      </c>
      <c r="D16" s="191" t="s">
        <v>41</v>
      </c>
      <c r="E16" s="191" t="s">
        <v>160</v>
      </c>
      <c r="F16" s="13" t="s">
        <v>1054</v>
      </c>
      <c r="G16" s="13" t="s">
        <v>1055</v>
      </c>
      <c r="H16" s="13" t="s">
        <v>1056</v>
      </c>
      <c r="I16" s="13" t="s">
        <v>1057</v>
      </c>
      <c r="J16" s="191" t="s">
        <v>658</v>
      </c>
      <c r="K16" s="191" t="s">
        <v>245</v>
      </c>
      <c r="L16" s="191"/>
      <c r="M16" s="191"/>
      <c r="N16" s="192"/>
      <c r="O16" s="192"/>
      <c r="P16" s="192"/>
      <c r="Q16" s="192"/>
      <c r="R16" s="192"/>
      <c r="S16" s="192"/>
      <c r="T16" s="192"/>
      <c r="U16" s="192"/>
      <c r="V16" s="192"/>
      <c r="W16" s="192"/>
      <c r="X16" s="192"/>
      <c r="Y16" s="192"/>
      <c r="Z16" s="192"/>
      <c r="AA16" s="192"/>
      <c r="AB16" s="192"/>
      <c r="AC16" s="192"/>
      <c r="AD16" s="192"/>
      <c r="AE16" s="192"/>
      <c r="AF16" s="192"/>
      <c r="AG16" s="192"/>
      <c r="AH16" s="192"/>
      <c r="AI16" s="192"/>
      <c r="AJ16" s="192"/>
      <c r="AK16" s="192"/>
      <c r="AL16" s="192"/>
      <c r="AM16" s="192"/>
      <c r="AN16" s="192"/>
      <c r="AO16" s="192"/>
      <c r="AP16" s="192"/>
      <c r="AQ16" s="192"/>
      <c r="AR16" s="193" t="str">
        <f aca="false">IF($A16="","",IF(OR($N16="Yes",$T16="Yes",$Z16="Yes",$AF16="Yes",$AL16="Yes"),"Yes","No"))</f>
        <v>No</v>
      </c>
      <c r="AS16" s="193" t="str">
        <f aca="false">IF($A16="","",IFERROR(IF($AM16&lt;&gt;"",$AM16,IF($AG16&lt;&gt;"",$AG16,IF($AA16&lt;&gt;"",$AA16,IF($U16&lt;&gt;"",$U16,IF($O16&lt;&gt;"",$O16,""))))),""))</f>
        <v/>
      </c>
      <c r="AT16" s="193" t="str">
        <f aca="false">IFERROR(IF($AN16&lt;&gt;"",$AN16,IF($AH16&lt;&gt;"",$AH16,IF($AB16&lt;&gt;"",$AB16,IF($V16&lt;&gt;"",$V16,IF($P16&lt;&gt;"",$P16,""))))),"")</f>
        <v/>
      </c>
      <c r="AU16" s="194"/>
    </row>
    <row r="17" customFormat="false" ht="15" hidden="false" customHeight="true" outlineLevel="0" collapsed="false">
      <c r="A17" s="189"/>
      <c r="B17" s="189"/>
      <c r="C17" s="190" t="s">
        <v>1058</v>
      </c>
      <c r="D17" s="190"/>
      <c r="E17" s="190"/>
      <c r="F17" s="190"/>
      <c r="G17" s="190"/>
      <c r="H17" s="190"/>
      <c r="I17" s="190"/>
      <c r="J17" s="190"/>
      <c r="K17" s="190"/>
      <c r="L17" s="190"/>
      <c r="M17" s="190"/>
      <c r="N17" s="190"/>
      <c r="O17" s="190"/>
      <c r="P17" s="190"/>
      <c r="Q17" s="190"/>
      <c r="R17" s="190"/>
      <c r="S17" s="190"/>
      <c r="T17" s="190"/>
      <c r="U17" s="190"/>
      <c r="V17" s="190"/>
      <c r="W17" s="190"/>
      <c r="X17" s="190"/>
      <c r="Y17" s="190"/>
      <c r="Z17" s="190"/>
      <c r="AA17" s="190"/>
      <c r="AB17" s="190"/>
      <c r="AC17" s="190"/>
      <c r="AD17" s="190"/>
      <c r="AE17" s="190"/>
      <c r="AF17" s="190"/>
      <c r="AG17" s="190"/>
      <c r="AH17" s="190"/>
      <c r="AI17" s="190"/>
      <c r="AJ17" s="190"/>
      <c r="AK17" s="190"/>
      <c r="AL17" s="190"/>
      <c r="AM17" s="190"/>
      <c r="AN17" s="190"/>
      <c r="AO17" s="190"/>
      <c r="AP17" s="190"/>
      <c r="AQ17" s="190"/>
      <c r="AR17" s="190"/>
      <c r="AS17" s="190"/>
      <c r="AT17" s="190"/>
      <c r="AU17" s="190"/>
    </row>
    <row r="18" customFormat="false" ht="191.25" hidden="false" customHeight="true" outlineLevel="0" collapsed="false">
      <c r="A18" s="191" t="str">
        <f aca="false">IF($F18="","",$C$2&amp;"."&amp;COUNTA($F$7:$F18)&amp;"")</f>
        <v>TC_07.9</v>
      </c>
      <c r="B18" s="191" t="s">
        <v>534</v>
      </c>
      <c r="C18" s="191" t="s">
        <v>530</v>
      </c>
      <c r="D18" s="191" t="s">
        <v>43</v>
      </c>
      <c r="E18" s="191" t="s">
        <v>160</v>
      </c>
      <c r="F18" s="13" t="s">
        <v>1059</v>
      </c>
      <c r="G18" s="13" t="s">
        <v>1060</v>
      </c>
      <c r="H18" s="13" t="s">
        <v>1061</v>
      </c>
      <c r="I18" s="13" t="s">
        <v>1062</v>
      </c>
      <c r="J18" s="191" t="s">
        <v>658</v>
      </c>
      <c r="K18" s="191" t="s">
        <v>245</v>
      </c>
      <c r="L18" s="191"/>
      <c r="M18" s="191"/>
      <c r="N18" s="192"/>
      <c r="O18" s="192"/>
      <c r="P18" s="192"/>
      <c r="Q18" s="192"/>
      <c r="R18" s="192"/>
      <c r="S18" s="192"/>
      <c r="T18" s="192"/>
      <c r="U18" s="192"/>
      <c r="V18" s="192"/>
      <c r="W18" s="192"/>
      <c r="X18" s="192"/>
      <c r="Y18" s="192"/>
      <c r="Z18" s="192"/>
      <c r="AA18" s="192"/>
      <c r="AB18" s="192"/>
      <c r="AC18" s="192"/>
      <c r="AD18" s="192"/>
      <c r="AE18" s="192"/>
      <c r="AF18" s="192"/>
      <c r="AG18" s="192"/>
      <c r="AH18" s="192"/>
      <c r="AI18" s="192"/>
      <c r="AJ18" s="192"/>
      <c r="AK18" s="192"/>
      <c r="AL18" s="192"/>
      <c r="AM18" s="192"/>
      <c r="AN18" s="192"/>
      <c r="AO18" s="192"/>
      <c r="AP18" s="192"/>
      <c r="AQ18" s="192"/>
      <c r="AR18" s="193" t="str">
        <f aca="false">IF($A18="","",IF(OR($N18="Yes",$T18="Yes",$Z18="Yes",$AF18="Yes",$AL18="Yes"),"Yes","No"))</f>
        <v>No</v>
      </c>
      <c r="AS18" s="193" t="str">
        <f aca="false">IF($A18="","",IFERROR(IF($AM18&lt;&gt;"",$AM18,IF($AG18&lt;&gt;"",$AG18,IF($AA18&lt;&gt;"",$AA18,IF($U18&lt;&gt;"",$U18,IF($O18&lt;&gt;"",$O18,""))))),""))</f>
        <v/>
      </c>
      <c r="AT18" s="193" t="str">
        <f aca="false">IFERROR(IF($AN18&lt;&gt;"",$AN18,IF($AH18&lt;&gt;"",$AH18,IF($AB18&lt;&gt;"",$AB18,IF($V18&lt;&gt;"",$V18,IF($P18&lt;&gt;"",$P18,""))))),"")</f>
        <v/>
      </c>
      <c r="AU18" s="194"/>
    </row>
    <row r="19" customFormat="false" ht="168.75" hidden="false" customHeight="true" outlineLevel="0" collapsed="false">
      <c r="A19" s="191" t="str">
        <f aca="false">IF($F19="","",$C$2&amp;"."&amp;COUNTA($F$7:$F19)&amp;"")</f>
        <v>TC_07.10</v>
      </c>
      <c r="B19" s="191" t="s">
        <v>534</v>
      </c>
      <c r="C19" s="191" t="s">
        <v>530</v>
      </c>
      <c r="D19" s="191" t="s">
        <v>43</v>
      </c>
      <c r="E19" s="191" t="s">
        <v>160</v>
      </c>
      <c r="F19" s="13" t="s">
        <v>1063</v>
      </c>
      <c r="G19" s="13" t="s">
        <v>1064</v>
      </c>
      <c r="H19" s="13" t="s">
        <v>1065</v>
      </c>
      <c r="I19" s="13" t="s">
        <v>1066</v>
      </c>
      <c r="J19" s="191" t="s">
        <v>658</v>
      </c>
      <c r="K19" s="191" t="s">
        <v>245</v>
      </c>
      <c r="L19" s="191"/>
      <c r="M19" s="191"/>
      <c r="N19" s="192"/>
      <c r="O19" s="192"/>
      <c r="P19" s="192"/>
      <c r="Q19" s="192"/>
      <c r="R19" s="192"/>
      <c r="S19" s="192"/>
      <c r="T19" s="192"/>
      <c r="U19" s="192"/>
      <c r="V19" s="192"/>
      <c r="W19" s="192"/>
      <c r="X19" s="192"/>
      <c r="Y19" s="192"/>
      <c r="Z19" s="192"/>
      <c r="AA19" s="192"/>
      <c r="AB19" s="192"/>
      <c r="AC19" s="192"/>
      <c r="AD19" s="192"/>
      <c r="AE19" s="192"/>
      <c r="AF19" s="192"/>
      <c r="AG19" s="192"/>
      <c r="AH19" s="192"/>
      <c r="AI19" s="192"/>
      <c r="AJ19" s="192"/>
      <c r="AK19" s="192"/>
      <c r="AL19" s="192"/>
      <c r="AM19" s="192"/>
      <c r="AN19" s="192"/>
      <c r="AO19" s="192"/>
      <c r="AP19" s="192"/>
      <c r="AQ19" s="192"/>
      <c r="AR19" s="193" t="str">
        <f aca="false">IF($A19="","",IF(OR($N19="Yes",$T19="Yes",$Z19="Yes",$AF19="Yes",$AL19="Yes"),"Yes","No"))</f>
        <v>No</v>
      </c>
      <c r="AS19" s="193" t="str">
        <f aca="false">IF($A19="","",IFERROR(IF($AM19&lt;&gt;"",$AM19,IF($AG19&lt;&gt;"",$AG19,IF($AA19&lt;&gt;"",$AA19,IF($U19&lt;&gt;"",$U19,IF($O19&lt;&gt;"",$O19,""))))),""))</f>
        <v/>
      </c>
      <c r="AT19" s="193" t="str">
        <f aca="false">IFERROR(IF($AN19&lt;&gt;"",$AN19,IF($AH19&lt;&gt;"",$AH19,IF($AB19&lt;&gt;"",$AB19,IF($V19&lt;&gt;"",$V19,IF($P19&lt;&gt;"",$P19,""))))),"")</f>
        <v/>
      </c>
      <c r="AU19" s="194"/>
    </row>
    <row r="20" customFormat="false" ht="15" hidden="false" customHeight="true" outlineLevel="0" collapsed="false">
      <c r="A20" s="189"/>
      <c r="B20" s="189"/>
      <c r="C20" s="190" t="s">
        <v>1067</v>
      </c>
      <c r="D20" s="190"/>
      <c r="E20" s="190"/>
      <c r="F20" s="190"/>
      <c r="G20" s="190"/>
      <c r="H20" s="190"/>
      <c r="I20" s="190"/>
      <c r="J20" s="190"/>
      <c r="K20" s="190"/>
      <c r="L20" s="190"/>
      <c r="M20" s="190"/>
      <c r="N20" s="190"/>
      <c r="O20" s="190"/>
      <c r="P20" s="190"/>
      <c r="Q20" s="190"/>
      <c r="R20" s="190"/>
      <c r="S20" s="190"/>
      <c r="T20" s="190"/>
      <c r="U20" s="190"/>
      <c r="V20" s="190"/>
      <c r="W20" s="190"/>
      <c r="X20" s="190"/>
      <c r="Y20" s="190"/>
      <c r="Z20" s="190"/>
      <c r="AA20" s="190"/>
      <c r="AB20" s="190"/>
      <c r="AC20" s="190"/>
      <c r="AD20" s="190"/>
      <c r="AE20" s="190"/>
      <c r="AF20" s="190"/>
      <c r="AG20" s="190"/>
      <c r="AH20" s="190"/>
      <c r="AI20" s="190"/>
      <c r="AJ20" s="190"/>
      <c r="AK20" s="190"/>
      <c r="AL20" s="190"/>
      <c r="AM20" s="190"/>
      <c r="AN20" s="190"/>
      <c r="AO20" s="190"/>
      <c r="AP20" s="190"/>
      <c r="AQ20" s="190"/>
      <c r="AR20" s="190"/>
      <c r="AS20" s="190"/>
      <c r="AT20" s="190"/>
      <c r="AU20" s="190"/>
    </row>
    <row r="21" customFormat="false" ht="135.75" hidden="false" customHeight="true" outlineLevel="0" collapsed="false">
      <c r="A21" s="191" t="str">
        <f aca="false">IF($F21="","",$C$2&amp;"."&amp;COUNTA($F$7:$F21)&amp;"")</f>
        <v>TC_07.11</v>
      </c>
      <c r="B21" s="191" t="s">
        <v>537</v>
      </c>
      <c r="C21" s="191" t="s">
        <v>530</v>
      </c>
      <c r="D21" s="191" t="s">
        <v>41</v>
      </c>
      <c r="E21" s="191" t="s">
        <v>159</v>
      </c>
      <c r="F21" s="13" t="s">
        <v>1068</v>
      </c>
      <c r="G21" s="13" t="s">
        <v>1069</v>
      </c>
      <c r="H21" s="13" t="s">
        <v>1070</v>
      </c>
      <c r="I21" s="13" t="s">
        <v>1071</v>
      </c>
      <c r="J21" s="191" t="s">
        <v>658</v>
      </c>
      <c r="K21" s="191" t="s">
        <v>245</v>
      </c>
      <c r="L21" s="191"/>
      <c r="M21" s="191"/>
      <c r="N21" s="192"/>
      <c r="O21" s="192"/>
      <c r="P21" s="192"/>
      <c r="Q21" s="192"/>
      <c r="R21" s="192"/>
      <c r="S21" s="192"/>
      <c r="T21" s="192"/>
      <c r="U21" s="192"/>
      <c r="V21" s="192"/>
      <c r="W21" s="192"/>
      <c r="X21" s="192"/>
      <c r="Y21" s="192"/>
      <c r="Z21" s="192"/>
      <c r="AA21" s="192"/>
      <c r="AB21" s="192"/>
      <c r="AC21" s="192"/>
      <c r="AD21" s="192"/>
      <c r="AE21" s="192"/>
      <c r="AF21" s="192"/>
      <c r="AG21" s="192"/>
      <c r="AH21" s="192"/>
      <c r="AI21" s="192"/>
      <c r="AJ21" s="192"/>
      <c r="AK21" s="192"/>
      <c r="AL21" s="192"/>
      <c r="AM21" s="192"/>
      <c r="AN21" s="192"/>
      <c r="AO21" s="192"/>
      <c r="AP21" s="192"/>
      <c r="AQ21" s="192"/>
      <c r="AR21" s="193" t="str">
        <f aca="false">IF($A21="","",IF(OR($N21="Yes",$T21="Yes",$Z21="Yes",$AF21="Yes",$AL21="Yes"),"Yes","No"))</f>
        <v>No</v>
      </c>
      <c r="AS21" s="193" t="str">
        <f aca="false">IF($A21="","",IFERROR(IF($AM21&lt;&gt;"",$AM21,IF($AG21&lt;&gt;"",$AG21,IF($AA21&lt;&gt;"",$AA21,IF($U21&lt;&gt;"",$U21,IF($O21&lt;&gt;"",$O21,""))))),""))</f>
        <v/>
      </c>
      <c r="AT21" s="193" t="str">
        <f aca="false">IFERROR(IF($AN21&lt;&gt;"",$AN21,IF($AH21&lt;&gt;"",$AH21,IF($AB21&lt;&gt;"",$AB21,IF($V21&lt;&gt;"",$V21,IF($P21&lt;&gt;"",$P21,""))))),"")</f>
        <v/>
      </c>
      <c r="AU21" s="194"/>
    </row>
    <row r="22" customFormat="false" ht="15.75" hidden="false" customHeight="true" outlineLevel="0" collapsed="false">
      <c r="A22" s="191"/>
      <c r="B22" s="191"/>
      <c r="C22" s="191"/>
      <c r="D22" s="191"/>
      <c r="E22" s="191"/>
      <c r="F22" s="191"/>
      <c r="G22" s="191"/>
      <c r="H22" s="191"/>
      <c r="I22" s="191"/>
      <c r="J22" s="191"/>
      <c r="K22" s="191"/>
      <c r="L22" s="191"/>
      <c r="M22" s="191"/>
      <c r="N22" s="191"/>
      <c r="O22" s="191"/>
      <c r="P22" s="191"/>
      <c r="Q22" s="191"/>
      <c r="AR22" s="195"/>
      <c r="AS22" s="195"/>
    </row>
    <row r="23" customFormat="false" ht="15.75" hidden="false" customHeight="true" outlineLevel="0" collapsed="false">
      <c r="A23" s="191"/>
      <c r="B23" s="191"/>
      <c r="C23" s="191"/>
      <c r="D23" s="191"/>
      <c r="E23" s="191"/>
      <c r="F23" s="191"/>
      <c r="G23" s="191"/>
      <c r="H23" s="191"/>
      <c r="I23" s="191"/>
      <c r="J23" s="191"/>
      <c r="K23" s="191"/>
      <c r="L23" s="191"/>
      <c r="M23" s="191"/>
      <c r="N23" s="191"/>
      <c r="O23" s="191"/>
      <c r="P23" s="191"/>
      <c r="Q23" s="191"/>
      <c r="AR23" s="195"/>
      <c r="AS23" s="195"/>
    </row>
    <row r="24" customFormat="false" ht="15.75" hidden="false" customHeight="true" outlineLevel="0" collapsed="false">
      <c r="A24" s="191"/>
      <c r="B24" s="191"/>
      <c r="C24" s="191"/>
      <c r="D24" s="191"/>
      <c r="E24" s="191"/>
      <c r="F24" s="191"/>
      <c r="G24" s="191"/>
      <c r="H24" s="191"/>
      <c r="I24" s="191"/>
      <c r="J24" s="191"/>
      <c r="K24" s="191"/>
      <c r="L24" s="191"/>
      <c r="M24" s="191"/>
      <c r="N24" s="191"/>
      <c r="O24" s="191"/>
      <c r="P24" s="191"/>
      <c r="Q24" s="191"/>
      <c r="AR24" s="195"/>
      <c r="AS24" s="195"/>
    </row>
    <row r="25" customFormat="false" ht="15.75" hidden="false" customHeight="true" outlineLevel="0" collapsed="false">
      <c r="A25" s="191"/>
      <c r="B25" s="191"/>
      <c r="C25" s="191"/>
      <c r="D25" s="191"/>
      <c r="E25" s="191"/>
      <c r="F25" s="191"/>
      <c r="G25" s="191"/>
      <c r="H25" s="191"/>
      <c r="I25" s="191"/>
      <c r="J25" s="191"/>
      <c r="K25" s="191"/>
      <c r="L25" s="191"/>
      <c r="M25" s="191"/>
      <c r="N25" s="191"/>
      <c r="O25" s="191"/>
      <c r="P25" s="191"/>
      <c r="Q25" s="191"/>
      <c r="AR25" s="195"/>
      <c r="AS25" s="195"/>
    </row>
    <row r="26" customFormat="false" ht="15.75" hidden="false" customHeight="true" outlineLevel="0" collapsed="false">
      <c r="A26" s="191"/>
      <c r="B26" s="191"/>
      <c r="C26" s="191"/>
      <c r="D26" s="191"/>
      <c r="E26" s="191"/>
      <c r="F26" s="191"/>
      <c r="G26" s="191"/>
      <c r="H26" s="191"/>
      <c r="I26" s="191"/>
      <c r="J26" s="191"/>
      <c r="K26" s="191"/>
      <c r="L26" s="191"/>
      <c r="M26" s="191"/>
      <c r="N26" s="191"/>
      <c r="O26" s="191"/>
      <c r="P26" s="191"/>
      <c r="Q26" s="191"/>
      <c r="AR26" s="195"/>
      <c r="AS26" s="195"/>
    </row>
    <row r="27" customFormat="false" ht="15.75" hidden="false" customHeight="true" outlineLevel="0" collapsed="false">
      <c r="A27" s="191"/>
      <c r="B27" s="191"/>
      <c r="C27" s="191"/>
      <c r="D27" s="191"/>
      <c r="E27" s="191"/>
      <c r="F27" s="191"/>
      <c r="G27" s="191"/>
      <c r="H27" s="191"/>
      <c r="I27" s="191"/>
      <c r="J27" s="191"/>
      <c r="K27" s="191"/>
      <c r="L27" s="191"/>
      <c r="M27" s="191"/>
      <c r="N27" s="191"/>
      <c r="O27" s="191"/>
      <c r="P27" s="191"/>
      <c r="Q27" s="191"/>
      <c r="AR27" s="195"/>
      <c r="AS27" s="195"/>
    </row>
    <row r="28" customFormat="false" ht="15.75" hidden="false" customHeight="true" outlineLevel="0" collapsed="false">
      <c r="A28" s="191"/>
      <c r="B28" s="191"/>
      <c r="C28" s="191"/>
      <c r="D28" s="191"/>
      <c r="E28" s="191"/>
      <c r="F28" s="191"/>
      <c r="G28" s="191"/>
      <c r="H28" s="191"/>
      <c r="I28" s="191"/>
      <c r="J28" s="191"/>
      <c r="K28" s="191"/>
      <c r="L28" s="191"/>
      <c r="M28" s="191"/>
      <c r="N28" s="191"/>
      <c r="O28" s="191"/>
      <c r="P28" s="191"/>
      <c r="Q28" s="191"/>
      <c r="AR28" s="195"/>
      <c r="AS28" s="195"/>
    </row>
    <row r="29" customFormat="false" ht="15.75" hidden="false" customHeight="true" outlineLevel="0" collapsed="false">
      <c r="A29" s="191"/>
      <c r="B29" s="191"/>
      <c r="C29" s="191"/>
      <c r="D29" s="191"/>
      <c r="E29" s="191"/>
      <c r="F29" s="191"/>
      <c r="G29" s="191"/>
      <c r="H29" s="191"/>
      <c r="I29" s="191"/>
      <c r="J29" s="191"/>
      <c r="K29" s="191"/>
      <c r="L29" s="191"/>
      <c r="M29" s="191"/>
      <c r="N29" s="191"/>
      <c r="O29" s="191"/>
      <c r="P29" s="191"/>
      <c r="Q29" s="191"/>
      <c r="AR29" s="195"/>
      <c r="AS29" s="195"/>
    </row>
    <row r="30" customFormat="false" ht="15.75" hidden="false" customHeight="true" outlineLevel="0" collapsed="false">
      <c r="A30" s="191"/>
      <c r="B30" s="191"/>
      <c r="C30" s="191"/>
      <c r="D30" s="191"/>
      <c r="E30" s="191"/>
      <c r="F30" s="191"/>
      <c r="G30" s="191"/>
      <c r="H30" s="191"/>
      <c r="I30" s="191"/>
      <c r="J30" s="191"/>
      <c r="K30" s="191"/>
      <c r="L30" s="191"/>
      <c r="M30" s="191"/>
      <c r="N30" s="191"/>
      <c r="O30" s="191"/>
      <c r="P30" s="191"/>
      <c r="Q30" s="191"/>
      <c r="AR30" s="195"/>
      <c r="AS30" s="195"/>
    </row>
    <row r="31" customFormat="false" ht="15.75" hidden="false" customHeight="true" outlineLevel="0" collapsed="false">
      <c r="A31" s="191"/>
      <c r="B31" s="191"/>
      <c r="C31" s="191"/>
      <c r="D31" s="191"/>
      <c r="E31" s="191"/>
      <c r="F31" s="191"/>
      <c r="G31" s="191"/>
      <c r="H31" s="191"/>
      <c r="I31" s="191"/>
      <c r="J31" s="191"/>
      <c r="K31" s="191"/>
      <c r="L31" s="191"/>
      <c r="M31" s="191"/>
      <c r="N31" s="191"/>
      <c r="O31" s="191"/>
      <c r="P31" s="191"/>
      <c r="Q31" s="191"/>
      <c r="AR31" s="195"/>
      <c r="AS31" s="195"/>
    </row>
    <row r="32" customFormat="false" ht="15.75" hidden="false" customHeight="true" outlineLevel="0" collapsed="false">
      <c r="A32" s="191"/>
      <c r="B32" s="191"/>
      <c r="C32" s="191"/>
      <c r="D32" s="191"/>
      <c r="E32" s="191"/>
      <c r="F32" s="191"/>
      <c r="G32" s="191"/>
      <c r="H32" s="191"/>
      <c r="I32" s="191"/>
      <c r="J32" s="191"/>
      <c r="K32" s="191"/>
      <c r="L32" s="191"/>
      <c r="M32" s="191"/>
      <c r="N32" s="191"/>
      <c r="O32" s="191"/>
      <c r="P32" s="191"/>
      <c r="Q32" s="191"/>
      <c r="AR32" s="195"/>
      <c r="AS32" s="195"/>
    </row>
    <row r="33" customFormat="false" ht="15.75" hidden="false" customHeight="true" outlineLevel="0" collapsed="false">
      <c r="A33" s="191"/>
      <c r="B33" s="191"/>
      <c r="C33" s="191"/>
      <c r="D33" s="191"/>
      <c r="E33" s="191"/>
      <c r="F33" s="191"/>
      <c r="G33" s="191"/>
      <c r="H33" s="191"/>
      <c r="I33" s="191"/>
      <c r="J33" s="191"/>
      <c r="K33" s="191"/>
      <c r="L33" s="191"/>
      <c r="M33" s="191"/>
      <c r="N33" s="191"/>
      <c r="O33" s="191"/>
      <c r="P33" s="191"/>
      <c r="Q33" s="191"/>
      <c r="AR33" s="195"/>
      <c r="AS33" s="195"/>
    </row>
    <row r="34" customFormat="false" ht="15.75" hidden="false" customHeight="true" outlineLevel="0" collapsed="false">
      <c r="A34" s="191"/>
      <c r="B34" s="191"/>
      <c r="C34" s="191"/>
      <c r="D34" s="191"/>
      <c r="E34" s="191"/>
      <c r="F34" s="191"/>
      <c r="G34" s="191"/>
      <c r="H34" s="191"/>
      <c r="I34" s="191"/>
      <c r="J34" s="191"/>
      <c r="K34" s="191"/>
      <c r="L34" s="191"/>
      <c r="M34" s="191"/>
      <c r="N34" s="191"/>
      <c r="O34" s="191"/>
      <c r="P34" s="191"/>
      <c r="Q34" s="191"/>
      <c r="AR34" s="195"/>
      <c r="AS34" s="195"/>
    </row>
    <row r="35" customFormat="false" ht="15.75" hidden="false" customHeight="true" outlineLevel="0" collapsed="false">
      <c r="A35" s="191"/>
      <c r="B35" s="191"/>
      <c r="C35" s="191"/>
      <c r="D35" s="191"/>
      <c r="E35" s="191"/>
      <c r="F35" s="191"/>
      <c r="G35" s="191"/>
      <c r="H35" s="191"/>
      <c r="I35" s="191"/>
      <c r="J35" s="191"/>
      <c r="K35" s="191"/>
      <c r="L35" s="191"/>
      <c r="M35" s="191"/>
      <c r="N35" s="191"/>
      <c r="O35" s="191"/>
      <c r="P35" s="191"/>
      <c r="Q35" s="191"/>
      <c r="AR35" s="195"/>
      <c r="AS35" s="195"/>
    </row>
    <row r="36" customFormat="false" ht="15.75" hidden="false" customHeight="true" outlineLevel="0" collapsed="false">
      <c r="A36" s="191"/>
      <c r="B36" s="191"/>
      <c r="C36" s="191"/>
      <c r="D36" s="191"/>
      <c r="E36" s="191"/>
      <c r="F36" s="191"/>
      <c r="G36" s="191"/>
      <c r="H36" s="191"/>
      <c r="I36" s="191"/>
      <c r="J36" s="191"/>
      <c r="K36" s="191"/>
      <c r="L36" s="191"/>
      <c r="M36" s="191"/>
      <c r="N36" s="191"/>
      <c r="O36" s="191"/>
      <c r="P36" s="191"/>
      <c r="Q36" s="191"/>
      <c r="AR36" s="195"/>
      <c r="AS36" s="195"/>
    </row>
    <row r="37" customFormat="false" ht="15.75" hidden="false" customHeight="true" outlineLevel="0" collapsed="false">
      <c r="A37" s="191"/>
      <c r="B37" s="191"/>
      <c r="C37" s="191"/>
      <c r="D37" s="191"/>
      <c r="E37" s="191"/>
      <c r="F37" s="191"/>
      <c r="G37" s="191"/>
      <c r="H37" s="191"/>
      <c r="I37" s="191"/>
      <c r="J37" s="191"/>
      <c r="K37" s="191"/>
      <c r="L37" s="191"/>
      <c r="M37" s="191"/>
      <c r="N37" s="191"/>
      <c r="O37" s="191"/>
      <c r="P37" s="191"/>
      <c r="Q37" s="191"/>
      <c r="AR37" s="195"/>
      <c r="AS37" s="195"/>
    </row>
    <row r="38" customFormat="false" ht="15.75" hidden="false" customHeight="true" outlineLevel="0" collapsed="false">
      <c r="A38" s="191"/>
      <c r="B38" s="191"/>
      <c r="C38" s="191"/>
      <c r="D38" s="191"/>
      <c r="E38" s="191"/>
      <c r="F38" s="191"/>
      <c r="G38" s="191"/>
      <c r="H38" s="191"/>
      <c r="I38" s="191"/>
      <c r="J38" s="191"/>
      <c r="K38" s="191"/>
      <c r="L38" s="191"/>
      <c r="M38" s="191"/>
      <c r="N38" s="191"/>
      <c r="O38" s="191"/>
      <c r="P38" s="191"/>
      <c r="Q38" s="191"/>
      <c r="AR38" s="195"/>
      <c r="AS38" s="195"/>
    </row>
    <row r="39" customFormat="false" ht="15.75" hidden="false" customHeight="true" outlineLevel="0" collapsed="false">
      <c r="A39" s="191"/>
      <c r="B39" s="191"/>
      <c r="C39" s="191"/>
      <c r="D39" s="191"/>
      <c r="E39" s="191"/>
      <c r="F39" s="191"/>
      <c r="G39" s="191"/>
      <c r="H39" s="191"/>
      <c r="I39" s="191"/>
      <c r="J39" s="191"/>
      <c r="K39" s="191"/>
      <c r="L39" s="191"/>
      <c r="M39" s="191"/>
      <c r="N39" s="191"/>
      <c r="O39" s="191"/>
      <c r="P39" s="191"/>
      <c r="Q39" s="191"/>
      <c r="AR39" s="195"/>
      <c r="AS39" s="195"/>
    </row>
    <row r="40" customFormat="false" ht="15.75" hidden="false" customHeight="true" outlineLevel="0" collapsed="false">
      <c r="A40" s="191"/>
      <c r="B40" s="191"/>
      <c r="C40" s="191"/>
      <c r="D40" s="191"/>
      <c r="E40" s="191"/>
      <c r="F40" s="191"/>
      <c r="G40" s="191"/>
      <c r="H40" s="191"/>
      <c r="I40" s="191"/>
      <c r="J40" s="191"/>
      <c r="K40" s="191"/>
      <c r="L40" s="191"/>
      <c r="M40" s="191"/>
      <c r="N40" s="191"/>
      <c r="O40" s="191"/>
      <c r="P40" s="191"/>
      <c r="Q40" s="191"/>
      <c r="AR40" s="195"/>
      <c r="AS40" s="195"/>
    </row>
    <row r="41" customFormat="false" ht="15.75" hidden="false" customHeight="true" outlineLevel="0" collapsed="false">
      <c r="A41" s="191"/>
      <c r="B41" s="191"/>
      <c r="C41" s="191"/>
      <c r="D41" s="191"/>
      <c r="E41" s="191"/>
      <c r="F41" s="191"/>
      <c r="G41" s="191"/>
      <c r="H41" s="191"/>
      <c r="I41" s="191"/>
      <c r="J41" s="191"/>
      <c r="K41" s="191"/>
      <c r="L41" s="191"/>
      <c r="M41" s="191"/>
      <c r="N41" s="191"/>
      <c r="O41" s="191"/>
      <c r="P41" s="191"/>
      <c r="Q41" s="191"/>
      <c r="AR41" s="195"/>
      <c r="AS41" s="195"/>
    </row>
    <row r="42" customFormat="false" ht="15.75" hidden="false" customHeight="true" outlineLevel="0" collapsed="false">
      <c r="A42" s="191"/>
      <c r="B42" s="191"/>
      <c r="C42" s="191"/>
      <c r="D42" s="191"/>
      <c r="E42" s="191"/>
      <c r="F42" s="191"/>
      <c r="G42" s="191"/>
      <c r="H42" s="191"/>
      <c r="I42" s="191"/>
      <c r="J42" s="191"/>
      <c r="K42" s="191"/>
      <c r="L42" s="191"/>
      <c r="M42" s="191"/>
      <c r="N42" s="191"/>
      <c r="O42" s="191"/>
      <c r="P42" s="191"/>
      <c r="Q42" s="191"/>
      <c r="AR42" s="195"/>
      <c r="AS42" s="195"/>
    </row>
    <row r="43" customFormat="false" ht="15.75" hidden="false" customHeight="true" outlineLevel="0" collapsed="false">
      <c r="A43" s="191"/>
      <c r="B43" s="191"/>
      <c r="C43" s="191"/>
      <c r="D43" s="191"/>
      <c r="E43" s="191"/>
      <c r="F43" s="191"/>
      <c r="G43" s="191"/>
      <c r="H43" s="191"/>
      <c r="I43" s="191"/>
      <c r="J43" s="191"/>
      <c r="K43" s="191"/>
      <c r="L43" s="191"/>
      <c r="M43" s="191"/>
      <c r="N43" s="191"/>
      <c r="O43" s="191"/>
      <c r="P43" s="191"/>
      <c r="Q43" s="191"/>
      <c r="AR43" s="195"/>
      <c r="AS43" s="195"/>
    </row>
    <row r="44" customFormat="false" ht="15.75" hidden="false" customHeight="true" outlineLevel="0" collapsed="false">
      <c r="A44" s="191"/>
      <c r="B44" s="191"/>
      <c r="C44" s="191"/>
      <c r="D44" s="191"/>
      <c r="E44" s="191"/>
      <c r="F44" s="191"/>
      <c r="G44" s="191"/>
      <c r="H44" s="191"/>
      <c r="I44" s="191"/>
      <c r="J44" s="191"/>
      <c r="K44" s="191"/>
      <c r="L44" s="191"/>
      <c r="M44" s="191"/>
      <c r="N44" s="191"/>
      <c r="O44" s="191"/>
      <c r="P44" s="191"/>
      <c r="Q44" s="191"/>
      <c r="AR44" s="195"/>
      <c r="AS44" s="195"/>
    </row>
    <row r="45" customFormat="false" ht="15.75" hidden="false" customHeight="true" outlineLevel="0" collapsed="false">
      <c r="A45" s="191"/>
      <c r="B45" s="191"/>
      <c r="C45" s="191"/>
      <c r="D45" s="191"/>
      <c r="E45" s="191"/>
      <c r="F45" s="191"/>
      <c r="G45" s="191"/>
      <c r="H45" s="191"/>
      <c r="I45" s="191"/>
      <c r="J45" s="191"/>
      <c r="K45" s="191"/>
      <c r="L45" s="191"/>
      <c r="M45" s="191"/>
      <c r="N45" s="191"/>
      <c r="O45" s="191"/>
      <c r="P45" s="191"/>
      <c r="Q45" s="191"/>
      <c r="AR45" s="195"/>
      <c r="AS45" s="195"/>
    </row>
    <row r="46" customFormat="false" ht="15.75" hidden="false" customHeight="true" outlineLevel="0" collapsed="false">
      <c r="A46" s="191"/>
      <c r="B46" s="191"/>
      <c r="C46" s="191"/>
      <c r="D46" s="191"/>
      <c r="E46" s="191"/>
      <c r="F46" s="191"/>
      <c r="G46" s="191"/>
      <c r="H46" s="191"/>
      <c r="I46" s="191"/>
      <c r="J46" s="191"/>
      <c r="K46" s="191"/>
      <c r="L46" s="191"/>
      <c r="M46" s="191"/>
      <c r="N46" s="191"/>
      <c r="O46" s="191"/>
      <c r="P46" s="191"/>
      <c r="Q46" s="191"/>
      <c r="AR46" s="195"/>
      <c r="AS46" s="195"/>
    </row>
    <row r="47" customFormat="false" ht="15.75" hidden="false" customHeight="true" outlineLevel="0" collapsed="false">
      <c r="A47" s="191"/>
      <c r="B47" s="191"/>
      <c r="C47" s="191"/>
      <c r="D47" s="191"/>
      <c r="E47" s="191"/>
      <c r="F47" s="191"/>
      <c r="G47" s="191"/>
      <c r="H47" s="191"/>
      <c r="I47" s="191"/>
      <c r="J47" s="191"/>
      <c r="K47" s="191"/>
      <c r="L47" s="191"/>
      <c r="M47" s="191"/>
      <c r="N47" s="191"/>
      <c r="O47" s="191"/>
      <c r="P47" s="191"/>
      <c r="Q47" s="191"/>
      <c r="AR47" s="195"/>
      <c r="AS47" s="195"/>
    </row>
    <row r="48" customFormat="false" ht="15.75" hidden="false" customHeight="true" outlineLevel="0" collapsed="false">
      <c r="A48" s="191"/>
      <c r="B48" s="191"/>
      <c r="C48" s="191"/>
      <c r="D48" s="191"/>
      <c r="E48" s="191"/>
      <c r="F48" s="191"/>
      <c r="G48" s="191"/>
      <c r="H48" s="191"/>
      <c r="I48" s="191"/>
      <c r="J48" s="191"/>
      <c r="K48" s="191"/>
      <c r="L48" s="191"/>
      <c r="M48" s="191"/>
      <c r="N48" s="191"/>
      <c r="O48" s="191"/>
      <c r="P48" s="191"/>
      <c r="Q48" s="191"/>
      <c r="AR48" s="195"/>
      <c r="AS48" s="195"/>
    </row>
    <row r="49" customFormat="false" ht="15.75" hidden="false" customHeight="true" outlineLevel="0" collapsed="false">
      <c r="A49" s="191"/>
      <c r="B49" s="191"/>
      <c r="C49" s="191"/>
      <c r="D49" s="191"/>
      <c r="E49" s="191"/>
      <c r="F49" s="191"/>
      <c r="G49" s="191"/>
      <c r="H49" s="191"/>
      <c r="I49" s="191"/>
      <c r="J49" s="191"/>
      <c r="K49" s="191"/>
      <c r="L49" s="191"/>
      <c r="M49" s="191"/>
      <c r="N49" s="191"/>
      <c r="O49" s="191"/>
      <c r="P49" s="191"/>
      <c r="Q49" s="191"/>
      <c r="AR49" s="195"/>
      <c r="AS49" s="195"/>
    </row>
    <row r="50" customFormat="false" ht="15.75" hidden="false" customHeight="true" outlineLevel="0" collapsed="false">
      <c r="A50" s="191"/>
      <c r="B50" s="191"/>
      <c r="C50" s="191"/>
      <c r="D50" s="191"/>
      <c r="E50" s="191"/>
      <c r="F50" s="191"/>
      <c r="G50" s="191"/>
      <c r="H50" s="191"/>
      <c r="I50" s="191"/>
      <c r="J50" s="191"/>
      <c r="K50" s="191"/>
      <c r="L50" s="191"/>
      <c r="M50" s="191"/>
      <c r="N50" s="191"/>
      <c r="O50" s="191"/>
      <c r="P50" s="191"/>
      <c r="Q50" s="191"/>
      <c r="AR50" s="195"/>
      <c r="AS50" s="195"/>
    </row>
    <row r="51" customFormat="false" ht="15.75" hidden="false" customHeight="true" outlineLevel="0" collapsed="false">
      <c r="A51" s="191"/>
      <c r="B51" s="191"/>
      <c r="C51" s="191"/>
      <c r="D51" s="191"/>
      <c r="E51" s="191"/>
      <c r="F51" s="191"/>
      <c r="G51" s="191"/>
      <c r="H51" s="191"/>
      <c r="I51" s="191"/>
      <c r="J51" s="191"/>
      <c r="K51" s="191"/>
      <c r="L51" s="191"/>
      <c r="M51" s="191"/>
      <c r="N51" s="191"/>
      <c r="O51" s="191"/>
      <c r="P51" s="191"/>
      <c r="Q51" s="191"/>
      <c r="AR51" s="195"/>
      <c r="AS51" s="195"/>
    </row>
    <row r="52" customFormat="false" ht="15.75" hidden="false" customHeight="true" outlineLevel="0" collapsed="false">
      <c r="A52" s="191"/>
      <c r="B52" s="191"/>
      <c r="C52" s="191"/>
      <c r="D52" s="191"/>
      <c r="E52" s="191"/>
      <c r="F52" s="191"/>
      <c r="G52" s="191"/>
      <c r="H52" s="191"/>
      <c r="I52" s="191"/>
      <c r="J52" s="191"/>
      <c r="K52" s="191"/>
      <c r="L52" s="191"/>
      <c r="M52" s="191"/>
      <c r="N52" s="191"/>
      <c r="O52" s="191"/>
      <c r="P52" s="191"/>
      <c r="Q52" s="191"/>
      <c r="AR52" s="195"/>
      <c r="AS52" s="195"/>
    </row>
    <row r="53" customFormat="false" ht="15.75" hidden="false" customHeight="true" outlineLevel="0" collapsed="false">
      <c r="A53" s="191"/>
      <c r="B53" s="191"/>
      <c r="C53" s="191"/>
      <c r="D53" s="191"/>
      <c r="E53" s="191"/>
      <c r="F53" s="191"/>
      <c r="G53" s="191"/>
      <c r="H53" s="191"/>
      <c r="I53" s="191"/>
      <c r="J53" s="191"/>
      <c r="K53" s="191"/>
      <c r="L53" s="191"/>
      <c r="M53" s="191"/>
      <c r="N53" s="191"/>
      <c r="O53" s="191"/>
      <c r="P53" s="191"/>
      <c r="Q53" s="191"/>
      <c r="AR53" s="195"/>
      <c r="AS53" s="195"/>
    </row>
    <row r="54" customFormat="false" ht="15.75" hidden="false" customHeight="true" outlineLevel="0" collapsed="false">
      <c r="A54" s="191"/>
      <c r="B54" s="191"/>
      <c r="C54" s="191"/>
      <c r="D54" s="191"/>
      <c r="E54" s="191"/>
      <c r="F54" s="191"/>
      <c r="G54" s="191"/>
      <c r="H54" s="191"/>
      <c r="I54" s="191"/>
      <c r="J54" s="191"/>
      <c r="K54" s="191"/>
      <c r="L54" s="191"/>
      <c r="M54" s="191"/>
      <c r="N54" s="191"/>
      <c r="O54" s="191"/>
      <c r="P54" s="191"/>
      <c r="Q54" s="191"/>
      <c r="AR54" s="195"/>
      <c r="AS54" s="195"/>
    </row>
    <row r="55" customFormat="false" ht="15.75" hidden="false" customHeight="true" outlineLevel="0" collapsed="false">
      <c r="A55" s="191"/>
      <c r="B55" s="191"/>
      <c r="C55" s="191"/>
      <c r="D55" s="191"/>
      <c r="E55" s="191"/>
      <c r="F55" s="191"/>
      <c r="G55" s="191"/>
      <c r="H55" s="191"/>
      <c r="I55" s="191"/>
      <c r="J55" s="191"/>
      <c r="K55" s="191"/>
      <c r="L55" s="191"/>
      <c r="M55" s="191"/>
      <c r="N55" s="191"/>
      <c r="O55" s="191"/>
      <c r="P55" s="191"/>
      <c r="Q55" s="191"/>
      <c r="AR55" s="195"/>
      <c r="AS55" s="195"/>
    </row>
    <row r="56" customFormat="false" ht="15.75" hidden="false" customHeight="true" outlineLevel="0" collapsed="false">
      <c r="A56" s="191"/>
      <c r="B56" s="191"/>
      <c r="C56" s="191"/>
      <c r="D56" s="191"/>
      <c r="E56" s="191"/>
      <c r="F56" s="191"/>
      <c r="G56" s="191"/>
      <c r="H56" s="191"/>
      <c r="I56" s="191"/>
      <c r="J56" s="191"/>
      <c r="K56" s="191"/>
      <c r="L56" s="191"/>
      <c r="M56" s="191"/>
      <c r="N56" s="191"/>
      <c r="O56" s="191"/>
      <c r="P56" s="191"/>
      <c r="Q56" s="191"/>
      <c r="AR56" s="195"/>
      <c r="AS56" s="195"/>
    </row>
    <row r="57" customFormat="false" ht="15.75" hidden="false" customHeight="true" outlineLevel="0" collapsed="false">
      <c r="A57" s="191"/>
      <c r="B57" s="191"/>
      <c r="C57" s="191"/>
      <c r="D57" s="191"/>
      <c r="E57" s="191"/>
      <c r="F57" s="191"/>
      <c r="G57" s="191"/>
      <c r="H57" s="191"/>
      <c r="I57" s="191"/>
      <c r="J57" s="191"/>
      <c r="K57" s="191"/>
      <c r="L57" s="191"/>
      <c r="M57" s="191"/>
      <c r="N57" s="191"/>
      <c r="O57" s="191"/>
      <c r="P57" s="191"/>
      <c r="Q57" s="191"/>
      <c r="AR57" s="195"/>
      <c r="AS57" s="195"/>
    </row>
    <row r="58" customFormat="false" ht="15.75" hidden="false" customHeight="true" outlineLevel="0" collapsed="false">
      <c r="A58" s="191"/>
      <c r="B58" s="191"/>
      <c r="C58" s="191"/>
      <c r="D58" s="191"/>
      <c r="E58" s="191"/>
      <c r="F58" s="191"/>
      <c r="G58" s="191"/>
      <c r="H58" s="191"/>
      <c r="I58" s="191"/>
      <c r="J58" s="191"/>
      <c r="K58" s="191"/>
      <c r="L58" s="191"/>
      <c r="M58" s="191"/>
      <c r="N58" s="191"/>
      <c r="O58" s="191"/>
      <c r="P58" s="191"/>
      <c r="Q58" s="191"/>
      <c r="AR58" s="195"/>
      <c r="AS58" s="195"/>
    </row>
    <row r="59" customFormat="false" ht="15.75" hidden="false" customHeight="true" outlineLevel="0" collapsed="false">
      <c r="A59" s="191"/>
      <c r="B59" s="191"/>
      <c r="C59" s="191"/>
      <c r="D59" s="191"/>
      <c r="E59" s="191"/>
      <c r="F59" s="191"/>
      <c r="G59" s="191"/>
      <c r="H59" s="191"/>
      <c r="I59" s="191"/>
      <c r="J59" s="191"/>
      <c r="K59" s="191"/>
      <c r="L59" s="191"/>
      <c r="M59" s="191"/>
      <c r="N59" s="191"/>
      <c r="O59" s="191"/>
      <c r="P59" s="191"/>
      <c r="Q59" s="191"/>
      <c r="AR59" s="195"/>
      <c r="AS59" s="195"/>
    </row>
    <row r="60" customFormat="false" ht="15.75" hidden="false" customHeight="true" outlineLevel="0" collapsed="false">
      <c r="A60" s="191"/>
      <c r="B60" s="191"/>
      <c r="C60" s="191"/>
      <c r="D60" s="191"/>
      <c r="E60" s="191"/>
      <c r="F60" s="191"/>
      <c r="G60" s="191"/>
      <c r="H60" s="191"/>
      <c r="I60" s="191"/>
      <c r="J60" s="191"/>
      <c r="K60" s="191"/>
      <c r="L60" s="191"/>
      <c r="M60" s="191"/>
      <c r="N60" s="191"/>
      <c r="O60" s="191"/>
      <c r="P60" s="191"/>
      <c r="Q60" s="191"/>
      <c r="AR60" s="195"/>
      <c r="AS60" s="195"/>
    </row>
    <row r="61" customFormat="false" ht="15.75" hidden="false" customHeight="true" outlineLevel="0" collapsed="false">
      <c r="AV61" s="1"/>
    </row>
    <row r="62" customFormat="false" ht="15.75" hidden="false" customHeight="true" outlineLevel="0" collapsed="false">
      <c r="AV62" s="1"/>
    </row>
    <row r="63" customFormat="false" ht="15.75" hidden="false" customHeight="true" outlineLevel="0" collapsed="false">
      <c r="AV63" s="1"/>
    </row>
    <row r="64" customFormat="false" ht="15.75" hidden="false" customHeight="true" outlineLevel="0" collapsed="false">
      <c r="AV64" s="1"/>
    </row>
    <row r="65" customFormat="false" ht="15.75" hidden="false" customHeight="true" outlineLevel="0" collapsed="false">
      <c r="AV65" s="1"/>
    </row>
    <row r="66" customFormat="false" ht="15.75" hidden="false" customHeight="true" outlineLevel="0" collapsed="false">
      <c r="AV66" s="1"/>
    </row>
    <row r="67" customFormat="false" ht="15.75" hidden="false" customHeight="true" outlineLevel="0" collapsed="false">
      <c r="AV67" s="1"/>
    </row>
    <row r="68" customFormat="false" ht="15.75" hidden="false" customHeight="true" outlineLevel="0" collapsed="false">
      <c r="AV68" s="1"/>
    </row>
    <row r="69" customFormat="false" ht="15.75" hidden="false" customHeight="true" outlineLevel="0" collapsed="false">
      <c r="AV69" s="1"/>
    </row>
    <row r="70" customFormat="false" ht="15.75" hidden="false" customHeight="true" outlineLevel="0" collapsed="false">
      <c r="AV70" s="1"/>
    </row>
    <row r="71" customFormat="false" ht="15.75" hidden="false" customHeight="true" outlineLevel="0" collapsed="false">
      <c r="AV71" s="1"/>
    </row>
    <row r="72" customFormat="false" ht="15.75" hidden="false" customHeight="true" outlineLevel="0" collapsed="false">
      <c r="AV72" s="1"/>
    </row>
    <row r="73" customFormat="false" ht="15.75" hidden="false" customHeight="true" outlineLevel="0" collapsed="false">
      <c r="AV73" s="1"/>
    </row>
    <row r="74" customFormat="false" ht="15.75" hidden="false" customHeight="true" outlineLevel="0" collapsed="false">
      <c r="AV74" s="1"/>
    </row>
    <row r="75" customFormat="false" ht="15.75" hidden="false" customHeight="true" outlineLevel="0" collapsed="false">
      <c r="AV75" s="1"/>
    </row>
    <row r="76" customFormat="false" ht="15.75" hidden="false" customHeight="true" outlineLevel="0" collapsed="false">
      <c r="AV76" s="1"/>
    </row>
    <row r="77" customFormat="false" ht="15.75" hidden="false" customHeight="true" outlineLevel="0" collapsed="false">
      <c r="AV77" s="1"/>
    </row>
    <row r="78" customFormat="false" ht="15.75" hidden="false" customHeight="true" outlineLevel="0" collapsed="false">
      <c r="AV78" s="1"/>
    </row>
    <row r="79" customFormat="false" ht="15.75" hidden="false" customHeight="true" outlineLevel="0" collapsed="false">
      <c r="AV79" s="1"/>
    </row>
    <row r="80" customFormat="false" ht="15.75" hidden="false" customHeight="true" outlineLevel="0" collapsed="false">
      <c r="AV80" s="1"/>
    </row>
    <row r="81" customFormat="false" ht="15.75" hidden="false" customHeight="true" outlineLevel="0" collapsed="false">
      <c r="AV81" s="1"/>
    </row>
    <row r="82" customFormat="false" ht="15.75" hidden="false" customHeight="true" outlineLevel="0" collapsed="false">
      <c r="AV82" s="1"/>
    </row>
    <row r="83" customFormat="false" ht="15.75" hidden="false" customHeight="true" outlineLevel="0" collapsed="false">
      <c r="AV83" s="1"/>
    </row>
    <row r="84" customFormat="false" ht="15.75" hidden="false" customHeight="true" outlineLevel="0" collapsed="false">
      <c r="AV84" s="1"/>
    </row>
    <row r="85" customFormat="false" ht="15.75" hidden="false" customHeight="true" outlineLevel="0" collapsed="false">
      <c r="AV85" s="1"/>
    </row>
    <row r="86" customFormat="false" ht="15.75" hidden="false" customHeight="true" outlineLevel="0" collapsed="false">
      <c r="AV86" s="1"/>
    </row>
    <row r="87" customFormat="false" ht="15.75" hidden="false" customHeight="true" outlineLevel="0" collapsed="false">
      <c r="AV87" s="1"/>
    </row>
    <row r="88" customFormat="false" ht="15.75" hidden="false" customHeight="true" outlineLevel="0" collapsed="false">
      <c r="AV88" s="1"/>
    </row>
    <row r="89" customFormat="false" ht="15.75" hidden="false" customHeight="true" outlineLevel="0" collapsed="false">
      <c r="AV89" s="1"/>
    </row>
    <row r="90" customFormat="false" ht="15.75" hidden="false" customHeight="true" outlineLevel="0" collapsed="false">
      <c r="AV90" s="1"/>
    </row>
    <row r="91" customFormat="false" ht="15.75" hidden="false" customHeight="true" outlineLevel="0" collapsed="false">
      <c r="AV91" s="1"/>
    </row>
    <row r="92" customFormat="false" ht="15.75" hidden="false" customHeight="true" outlineLevel="0" collapsed="false">
      <c r="AV92" s="1"/>
    </row>
    <row r="93" customFormat="false" ht="15.75" hidden="false" customHeight="true" outlineLevel="0" collapsed="false">
      <c r="AV93" s="1"/>
    </row>
    <row r="94" customFormat="false" ht="15.75" hidden="false" customHeight="true" outlineLevel="0" collapsed="false">
      <c r="AV94" s="1"/>
    </row>
    <row r="95" customFormat="false" ht="15.75" hidden="false" customHeight="true" outlineLevel="0" collapsed="false">
      <c r="AV95" s="1"/>
    </row>
    <row r="96" customFormat="false" ht="15.75" hidden="false" customHeight="true" outlineLevel="0" collapsed="false">
      <c r="AV96" s="1"/>
    </row>
    <row r="97" customFormat="false" ht="15.75" hidden="false" customHeight="true" outlineLevel="0" collapsed="false">
      <c r="AV97" s="1"/>
    </row>
    <row r="98" customFormat="false" ht="15.75" hidden="false" customHeight="true" outlineLevel="0" collapsed="false">
      <c r="AV98" s="1"/>
    </row>
    <row r="99" customFormat="false" ht="15.75" hidden="false" customHeight="true" outlineLevel="0" collapsed="false">
      <c r="AV99" s="1"/>
    </row>
    <row r="100" customFormat="false" ht="15.75" hidden="false" customHeight="true" outlineLevel="0" collapsed="false">
      <c r="AV100" s="1"/>
    </row>
    <row r="101" customFormat="false" ht="15.75" hidden="false" customHeight="true" outlineLevel="0" collapsed="false">
      <c r="AV101" s="1"/>
    </row>
    <row r="102" customFormat="false" ht="15.75" hidden="false" customHeight="true" outlineLevel="0" collapsed="false">
      <c r="AV102" s="1"/>
    </row>
    <row r="103" customFormat="false" ht="15.75" hidden="false" customHeight="true" outlineLevel="0" collapsed="false">
      <c r="AV103" s="1"/>
    </row>
    <row r="104" customFormat="false" ht="15.75" hidden="false" customHeight="true" outlineLevel="0" collapsed="false">
      <c r="AV104" s="1"/>
    </row>
    <row r="105" customFormat="false" ht="15.75" hidden="false" customHeight="true" outlineLevel="0" collapsed="false">
      <c r="AV105" s="1"/>
    </row>
    <row r="106" customFormat="false" ht="15.75" hidden="false" customHeight="true" outlineLevel="0" collapsed="false">
      <c r="AV106" s="1"/>
    </row>
    <row r="107" customFormat="false" ht="15.75" hidden="false" customHeight="true" outlineLevel="0" collapsed="false">
      <c r="AV107" s="1"/>
    </row>
    <row r="108" customFormat="false" ht="15.75" hidden="false" customHeight="true" outlineLevel="0" collapsed="false">
      <c r="AV108" s="1"/>
    </row>
    <row r="109" customFormat="false" ht="15.75" hidden="false" customHeight="true" outlineLevel="0" collapsed="false">
      <c r="AV109" s="1"/>
    </row>
    <row r="110" customFormat="false" ht="15.75" hidden="false" customHeight="true" outlineLevel="0" collapsed="false">
      <c r="AV110" s="1"/>
    </row>
    <row r="111" customFormat="false" ht="15.75" hidden="false" customHeight="true" outlineLevel="0" collapsed="false">
      <c r="AV111" s="1"/>
    </row>
    <row r="112" customFormat="false" ht="15.75" hidden="false" customHeight="true" outlineLevel="0" collapsed="false">
      <c r="AV112" s="1"/>
    </row>
    <row r="113" customFormat="false" ht="15.75" hidden="false" customHeight="true" outlineLevel="0" collapsed="false">
      <c r="AV113" s="1"/>
    </row>
    <row r="114" customFormat="false" ht="15.75" hidden="false" customHeight="true" outlineLevel="0" collapsed="false">
      <c r="AV114" s="1"/>
    </row>
    <row r="115" customFormat="false" ht="15.75" hidden="false" customHeight="true" outlineLevel="0" collapsed="false">
      <c r="AV115" s="1"/>
    </row>
    <row r="116" customFormat="false" ht="15.75" hidden="false" customHeight="true" outlineLevel="0" collapsed="false">
      <c r="AV116" s="1"/>
    </row>
    <row r="117" customFormat="false" ht="15.75" hidden="false" customHeight="true" outlineLevel="0" collapsed="false">
      <c r="AV117" s="1"/>
    </row>
    <row r="118" customFormat="false" ht="15.75" hidden="false" customHeight="true" outlineLevel="0" collapsed="false">
      <c r="AV118" s="1"/>
    </row>
    <row r="119" customFormat="false" ht="15.75" hidden="false" customHeight="true" outlineLevel="0" collapsed="false">
      <c r="AV119" s="1"/>
    </row>
    <row r="120" customFormat="false" ht="15.75" hidden="false" customHeight="true" outlineLevel="0" collapsed="false">
      <c r="AV120" s="1"/>
    </row>
    <row r="121" customFormat="false" ht="15.75" hidden="false" customHeight="true" outlineLevel="0" collapsed="false">
      <c r="AV121" s="1"/>
    </row>
    <row r="122" customFormat="false" ht="15.75" hidden="false" customHeight="true" outlineLevel="0" collapsed="false">
      <c r="AV122" s="1"/>
    </row>
    <row r="123" customFormat="false" ht="15.75" hidden="false" customHeight="true" outlineLevel="0" collapsed="false">
      <c r="AV123" s="1"/>
    </row>
    <row r="124" customFormat="false" ht="15.75" hidden="false" customHeight="true" outlineLevel="0" collapsed="false">
      <c r="AV124" s="1"/>
    </row>
    <row r="125" customFormat="false" ht="15.75" hidden="false" customHeight="true" outlineLevel="0" collapsed="false">
      <c r="AV125" s="1"/>
    </row>
    <row r="126" customFormat="false" ht="15.75" hidden="false" customHeight="true" outlineLevel="0" collapsed="false">
      <c r="AV126" s="1"/>
    </row>
    <row r="127" customFormat="false" ht="15.75" hidden="false" customHeight="true" outlineLevel="0" collapsed="false">
      <c r="AV127" s="1"/>
    </row>
    <row r="128" customFormat="false" ht="15.75" hidden="false" customHeight="true" outlineLevel="0" collapsed="false">
      <c r="AV128" s="1"/>
    </row>
    <row r="129" customFormat="false" ht="15.75" hidden="false" customHeight="true" outlineLevel="0" collapsed="false">
      <c r="AV129" s="1"/>
    </row>
    <row r="130" customFormat="false" ht="15.75" hidden="false" customHeight="true" outlineLevel="0" collapsed="false">
      <c r="AV130" s="1"/>
    </row>
    <row r="131" customFormat="false" ht="15.75" hidden="false" customHeight="true" outlineLevel="0" collapsed="false">
      <c r="AV131" s="1"/>
    </row>
    <row r="132" customFormat="false" ht="15.75" hidden="false" customHeight="true" outlineLevel="0" collapsed="false">
      <c r="AV132" s="1"/>
    </row>
    <row r="133" customFormat="false" ht="15.75" hidden="false" customHeight="true" outlineLevel="0" collapsed="false">
      <c r="AV133" s="1"/>
    </row>
    <row r="134" customFormat="false" ht="15.75" hidden="false" customHeight="true" outlineLevel="0" collapsed="false">
      <c r="AV134" s="1"/>
    </row>
    <row r="135" customFormat="false" ht="15.75" hidden="false" customHeight="true" outlineLevel="0" collapsed="false">
      <c r="AV135" s="1"/>
    </row>
    <row r="136" customFormat="false" ht="15.75" hidden="false" customHeight="true" outlineLevel="0" collapsed="false">
      <c r="AV136" s="1"/>
    </row>
    <row r="137" customFormat="false" ht="15.75" hidden="false" customHeight="true" outlineLevel="0" collapsed="false">
      <c r="AV137" s="1"/>
    </row>
    <row r="138" customFormat="false" ht="15.75" hidden="false" customHeight="true" outlineLevel="0" collapsed="false">
      <c r="AV138" s="1"/>
    </row>
    <row r="139" customFormat="false" ht="15.75" hidden="false" customHeight="true" outlineLevel="0" collapsed="false">
      <c r="AV139" s="1"/>
    </row>
    <row r="140" customFormat="false" ht="15.75" hidden="false" customHeight="true" outlineLevel="0" collapsed="false">
      <c r="AV140" s="1"/>
    </row>
    <row r="141" customFormat="false" ht="15.75" hidden="false" customHeight="true" outlineLevel="0" collapsed="false">
      <c r="AV141" s="1"/>
    </row>
    <row r="142" customFormat="false" ht="15.75" hidden="false" customHeight="true" outlineLevel="0" collapsed="false">
      <c r="AV142" s="1"/>
    </row>
    <row r="143" customFormat="false" ht="15.75" hidden="false" customHeight="true" outlineLevel="0" collapsed="false">
      <c r="AV143" s="1"/>
    </row>
    <row r="144" customFormat="false" ht="15.75" hidden="false" customHeight="true" outlineLevel="0" collapsed="false">
      <c r="AV144" s="1"/>
    </row>
    <row r="145" customFormat="false" ht="15.75" hidden="false" customHeight="true" outlineLevel="0" collapsed="false">
      <c r="AV145" s="1"/>
    </row>
    <row r="146" customFormat="false" ht="15.75" hidden="false" customHeight="true" outlineLevel="0" collapsed="false">
      <c r="AV146" s="1"/>
    </row>
    <row r="147" customFormat="false" ht="15.75" hidden="false" customHeight="true" outlineLevel="0" collapsed="false">
      <c r="AV147" s="1"/>
    </row>
    <row r="148" customFormat="false" ht="15.75" hidden="false" customHeight="true" outlineLevel="0" collapsed="false">
      <c r="AV148" s="1"/>
    </row>
    <row r="149" customFormat="false" ht="15.75" hidden="false" customHeight="true" outlineLevel="0" collapsed="false">
      <c r="AV149" s="1"/>
    </row>
    <row r="150" customFormat="false" ht="15.75" hidden="false" customHeight="true" outlineLevel="0" collapsed="false">
      <c r="AV150" s="1"/>
    </row>
    <row r="151" customFormat="false" ht="15.75" hidden="false" customHeight="true" outlineLevel="0" collapsed="false">
      <c r="AV151" s="1"/>
    </row>
    <row r="152" customFormat="false" ht="15.75" hidden="false" customHeight="true" outlineLevel="0" collapsed="false">
      <c r="AV152" s="1"/>
    </row>
    <row r="153" customFormat="false" ht="15.75" hidden="false" customHeight="true" outlineLevel="0" collapsed="false">
      <c r="AV153" s="1"/>
    </row>
    <row r="154" customFormat="false" ht="15.75" hidden="false" customHeight="true" outlineLevel="0" collapsed="false">
      <c r="AV154" s="1"/>
    </row>
    <row r="155" customFormat="false" ht="15.75" hidden="false" customHeight="true" outlineLevel="0" collapsed="false">
      <c r="AV155" s="1"/>
    </row>
    <row r="156" customFormat="false" ht="15.75" hidden="false" customHeight="true" outlineLevel="0" collapsed="false">
      <c r="AV156" s="1"/>
    </row>
    <row r="157" customFormat="false" ht="15.75" hidden="false" customHeight="true" outlineLevel="0" collapsed="false">
      <c r="AV157" s="1"/>
    </row>
    <row r="158" customFormat="false" ht="15.75" hidden="false" customHeight="true" outlineLevel="0" collapsed="false">
      <c r="AV158" s="1"/>
    </row>
    <row r="159" customFormat="false" ht="15.75" hidden="false" customHeight="true" outlineLevel="0" collapsed="false">
      <c r="AV159" s="1"/>
    </row>
    <row r="160" customFormat="false" ht="15.75" hidden="false" customHeight="true" outlineLevel="0" collapsed="false">
      <c r="AV160" s="1"/>
    </row>
    <row r="161" customFormat="false" ht="15.75" hidden="false" customHeight="true" outlineLevel="0" collapsed="false">
      <c r="AV161" s="1"/>
    </row>
    <row r="162" customFormat="false" ht="15.75" hidden="false" customHeight="true" outlineLevel="0" collapsed="false">
      <c r="AV162" s="1"/>
    </row>
    <row r="163" customFormat="false" ht="15.75" hidden="false" customHeight="true" outlineLevel="0" collapsed="false">
      <c r="AV163" s="1"/>
    </row>
    <row r="164" customFormat="false" ht="15.75" hidden="false" customHeight="true" outlineLevel="0" collapsed="false">
      <c r="AV164" s="1"/>
    </row>
    <row r="165" customFormat="false" ht="15.75" hidden="false" customHeight="true" outlineLevel="0" collapsed="false">
      <c r="AV165" s="1"/>
    </row>
    <row r="166" customFormat="false" ht="15.75" hidden="false" customHeight="true" outlineLevel="0" collapsed="false">
      <c r="AV166" s="1"/>
    </row>
    <row r="167" customFormat="false" ht="15.75" hidden="false" customHeight="true" outlineLevel="0" collapsed="false">
      <c r="AV167" s="1"/>
    </row>
    <row r="168" customFormat="false" ht="15.75" hidden="false" customHeight="true" outlineLevel="0" collapsed="false">
      <c r="AV168" s="1"/>
    </row>
    <row r="169" customFormat="false" ht="15.75" hidden="false" customHeight="true" outlineLevel="0" collapsed="false">
      <c r="AV169" s="1"/>
    </row>
    <row r="170" customFormat="false" ht="15.75" hidden="false" customHeight="true" outlineLevel="0" collapsed="false">
      <c r="AV170" s="1"/>
    </row>
    <row r="171" customFormat="false" ht="15.75" hidden="false" customHeight="true" outlineLevel="0" collapsed="false">
      <c r="AV171" s="1"/>
    </row>
    <row r="172" customFormat="false" ht="15.75" hidden="false" customHeight="true" outlineLevel="0" collapsed="false">
      <c r="AV172" s="1"/>
    </row>
    <row r="173" customFormat="false" ht="15.75" hidden="false" customHeight="true" outlineLevel="0" collapsed="false">
      <c r="AV173" s="1"/>
    </row>
    <row r="174" customFormat="false" ht="15.75" hidden="false" customHeight="true" outlineLevel="0" collapsed="false">
      <c r="AV174" s="1"/>
    </row>
    <row r="175" customFormat="false" ht="15.75" hidden="false" customHeight="true" outlineLevel="0" collapsed="false">
      <c r="AV175" s="1"/>
    </row>
    <row r="176" customFormat="false" ht="15.75" hidden="false" customHeight="true" outlineLevel="0" collapsed="false">
      <c r="AV176" s="1"/>
    </row>
    <row r="177" customFormat="false" ht="15.75" hidden="false" customHeight="true" outlineLevel="0" collapsed="false">
      <c r="AV177" s="1"/>
    </row>
    <row r="178" customFormat="false" ht="15.75" hidden="false" customHeight="true" outlineLevel="0" collapsed="false">
      <c r="AV178" s="1"/>
    </row>
    <row r="179" customFormat="false" ht="15.75" hidden="false" customHeight="true" outlineLevel="0" collapsed="false">
      <c r="AV179" s="1"/>
    </row>
    <row r="180" customFormat="false" ht="15.75" hidden="false" customHeight="true" outlineLevel="0" collapsed="false">
      <c r="AV180" s="1"/>
    </row>
    <row r="181" customFormat="false" ht="15.75" hidden="false" customHeight="true" outlineLevel="0" collapsed="false">
      <c r="AV181" s="1"/>
    </row>
    <row r="182" customFormat="false" ht="15.75" hidden="false" customHeight="true" outlineLevel="0" collapsed="false">
      <c r="AV182" s="1"/>
    </row>
    <row r="183" customFormat="false" ht="15.75" hidden="false" customHeight="true" outlineLevel="0" collapsed="false">
      <c r="AV183" s="1"/>
    </row>
    <row r="184" customFormat="false" ht="15.75" hidden="false" customHeight="true" outlineLevel="0" collapsed="false">
      <c r="AV184" s="1"/>
    </row>
    <row r="185" customFormat="false" ht="15.75" hidden="false" customHeight="true" outlineLevel="0" collapsed="false">
      <c r="AV185" s="1"/>
    </row>
    <row r="186" customFormat="false" ht="15.75" hidden="false" customHeight="true" outlineLevel="0" collapsed="false">
      <c r="AV186" s="1"/>
    </row>
    <row r="187" customFormat="false" ht="15.75" hidden="false" customHeight="true" outlineLevel="0" collapsed="false">
      <c r="AV187" s="1"/>
    </row>
    <row r="188" customFormat="false" ht="15.75" hidden="false" customHeight="true" outlineLevel="0" collapsed="false">
      <c r="AV188" s="1"/>
    </row>
    <row r="189" customFormat="false" ht="15.75" hidden="false" customHeight="true" outlineLevel="0" collapsed="false">
      <c r="AV189" s="1"/>
    </row>
    <row r="190" customFormat="false" ht="15.75" hidden="false" customHeight="true" outlineLevel="0" collapsed="false">
      <c r="AV190" s="1"/>
    </row>
    <row r="191" customFormat="false" ht="15.75" hidden="false" customHeight="true" outlineLevel="0" collapsed="false">
      <c r="AV191" s="1"/>
    </row>
    <row r="192" customFormat="false" ht="15.75" hidden="false" customHeight="true" outlineLevel="0" collapsed="false">
      <c r="AV192" s="1"/>
    </row>
    <row r="193" customFormat="false" ht="15.75" hidden="false" customHeight="true" outlineLevel="0" collapsed="false">
      <c r="AV193" s="1"/>
    </row>
    <row r="194" customFormat="false" ht="15.75" hidden="false" customHeight="true" outlineLevel="0" collapsed="false">
      <c r="AV194" s="1"/>
    </row>
    <row r="195" customFormat="false" ht="15.75" hidden="false" customHeight="true" outlineLevel="0" collapsed="false">
      <c r="AV195" s="1"/>
    </row>
    <row r="196" customFormat="false" ht="15.75" hidden="false" customHeight="true" outlineLevel="0" collapsed="false">
      <c r="AV196" s="1"/>
    </row>
    <row r="197" customFormat="false" ht="15.75" hidden="false" customHeight="true" outlineLevel="0" collapsed="false">
      <c r="AV197" s="1"/>
    </row>
    <row r="198" customFormat="false" ht="15.75" hidden="false" customHeight="true" outlineLevel="0" collapsed="false">
      <c r="AV198" s="1"/>
    </row>
    <row r="199" customFormat="false" ht="15.75" hidden="false" customHeight="true" outlineLevel="0" collapsed="false">
      <c r="AV199" s="1"/>
    </row>
    <row r="200" customFormat="false" ht="15.75" hidden="false" customHeight="true" outlineLevel="0" collapsed="false">
      <c r="AV200" s="1"/>
    </row>
    <row r="201" customFormat="false" ht="15.75" hidden="false" customHeight="true" outlineLevel="0" collapsed="false">
      <c r="AV201" s="1"/>
    </row>
    <row r="202" customFormat="false" ht="15.75" hidden="false" customHeight="true" outlineLevel="0" collapsed="false">
      <c r="AV202" s="1"/>
    </row>
    <row r="203" customFormat="false" ht="15.75" hidden="false" customHeight="true" outlineLevel="0" collapsed="false">
      <c r="AV203" s="1"/>
    </row>
    <row r="204" customFormat="false" ht="15.75" hidden="false" customHeight="true" outlineLevel="0" collapsed="false">
      <c r="AV204" s="1"/>
    </row>
    <row r="205" customFormat="false" ht="15.75" hidden="false" customHeight="true" outlineLevel="0" collapsed="false">
      <c r="AV205" s="1"/>
    </row>
    <row r="206" customFormat="false" ht="15.75" hidden="false" customHeight="true" outlineLevel="0" collapsed="false">
      <c r="AV206" s="1"/>
    </row>
    <row r="207" customFormat="false" ht="15.75" hidden="false" customHeight="true" outlineLevel="0" collapsed="false">
      <c r="AV207" s="1"/>
    </row>
    <row r="208" customFormat="false" ht="15.75" hidden="false" customHeight="true" outlineLevel="0" collapsed="false">
      <c r="AV208" s="1"/>
    </row>
    <row r="209" customFormat="false" ht="15.75" hidden="false" customHeight="true" outlineLevel="0" collapsed="false">
      <c r="AV209" s="1"/>
    </row>
    <row r="210" customFormat="false" ht="15.75" hidden="false" customHeight="true" outlineLevel="0" collapsed="false">
      <c r="AV210" s="1"/>
    </row>
    <row r="211" customFormat="false" ht="15.75" hidden="false" customHeight="true" outlineLevel="0" collapsed="false">
      <c r="AV211" s="1"/>
    </row>
    <row r="212" customFormat="false" ht="15.75" hidden="false" customHeight="true" outlineLevel="0" collapsed="false">
      <c r="AV212" s="1"/>
    </row>
    <row r="213" customFormat="false" ht="15.75" hidden="false" customHeight="true" outlineLevel="0" collapsed="false">
      <c r="AV213" s="1"/>
    </row>
    <row r="214" customFormat="false" ht="15.75" hidden="false" customHeight="true" outlineLevel="0" collapsed="false">
      <c r="AV214" s="1"/>
    </row>
    <row r="215" customFormat="false" ht="15.75" hidden="false" customHeight="true" outlineLevel="0" collapsed="false">
      <c r="AV215" s="1"/>
    </row>
    <row r="216" customFormat="false" ht="15.75" hidden="false" customHeight="true" outlineLevel="0" collapsed="false">
      <c r="AV216" s="1"/>
    </row>
    <row r="217" customFormat="false" ht="15.75" hidden="false" customHeight="true" outlineLevel="0" collapsed="false">
      <c r="AV217" s="1"/>
    </row>
    <row r="218" customFormat="false" ht="15.75" hidden="false" customHeight="true" outlineLevel="0" collapsed="false">
      <c r="AV218" s="1"/>
    </row>
    <row r="219" customFormat="false" ht="15.75" hidden="false" customHeight="true" outlineLevel="0" collapsed="false">
      <c r="AV219" s="1"/>
    </row>
    <row r="220" customFormat="false" ht="15.75" hidden="false" customHeight="true" outlineLevel="0" collapsed="false">
      <c r="AV220" s="1"/>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6:AU6"/>
  <mergeCells count="23">
    <mergeCell ref="A2:B2"/>
    <mergeCell ref="C2:E2"/>
    <mergeCell ref="A3:B3"/>
    <mergeCell ref="C3:E3"/>
    <mergeCell ref="G3:H3"/>
    <mergeCell ref="I3:J3"/>
    <mergeCell ref="A4:B4"/>
    <mergeCell ref="C4:E4"/>
    <mergeCell ref="G4:H4"/>
    <mergeCell ref="I4:J4"/>
    <mergeCell ref="A5:C5"/>
    <mergeCell ref="D5:I5"/>
    <mergeCell ref="J5:M5"/>
    <mergeCell ref="N5:S5"/>
    <mergeCell ref="T5:Y5"/>
    <mergeCell ref="Z5:AE5"/>
    <mergeCell ref="AF5:AK5"/>
    <mergeCell ref="AL5:AQ5"/>
    <mergeCell ref="AR5:AU5"/>
    <mergeCell ref="C7:AU7"/>
    <mergeCell ref="C11:AU11"/>
    <mergeCell ref="C17:AU17"/>
    <mergeCell ref="C20:AU20"/>
  </mergeCells>
  <conditionalFormatting sqref="O7:O500 P7:P500 U7:U500 V7:V500 AA7:AA500 AB7:AB500 AG7:AG500 AH7:AH500 AM7:AM500 AN7:AN500 AS7:AS500 AT7:AT500">
    <cfRule type="cellIs" priority="2" operator="equal" aboveAverage="0" equalAverage="0" bottom="0" percent="0" rank="0" text="" dxfId="0">
      <formula>"Pass"</formula>
    </cfRule>
    <cfRule type="cellIs" priority="3" operator="equal" aboveAverage="0" equalAverage="0" bottom="0" percent="0" rank="0" text="" dxfId="1">
      <formula>"Fail"</formula>
    </cfRule>
    <cfRule type="cellIs" priority="4" operator="equal" aboveAverage="0" equalAverage="0" bottom="0" percent="0" rank="0" text="" dxfId="2">
      <formula>"Block"</formula>
    </cfRule>
    <cfRule type="cellIs" priority="5" operator="equal" aboveAverage="0" equalAverage="0" bottom="0" percent="0" rank="0" text="" dxfId="3">
      <formula>"N/A"</formula>
    </cfRule>
  </conditionalFormatting>
  <dataValidations count="8">
    <dataValidation allowBlank="true" errorStyle="stop" operator="between" showDropDown="false" showErrorMessage="false" showInputMessage="false" sqref="J7:J500" type="list">
      <formula1>"AI,QC"</formula1>
      <formula2>0</formula2>
    </dataValidation>
    <dataValidation allowBlank="true" errorStyle="stop" operator="between" showDropDown="false" showErrorMessage="false" showInputMessage="false" sqref="E7:E500" type="list">
      <formula1>"High,Medium,Low"</formula1>
      <formula2>0</formula2>
    </dataValidation>
    <dataValidation allowBlank="true" errorStyle="stop" operator="between" showDropDown="false" showErrorMessage="false" showInputMessage="false" sqref="P7:P500 V7:V500 AB7:AB500 AH7:AH500 AN7:AN500" type="list">
      <formula1>"Pass,Fail,Block,N/A"</formula1>
      <formula2>0</formula2>
    </dataValidation>
    <dataValidation allowBlank="true" errorStyle="stop" operator="between" showDropDown="false" showErrorMessage="false" showInputMessage="false" sqref="N7:N500 T7:T500 Z7:Z500 AF7:AF500 AL7:AL500" type="list">
      <formula1>"Yes,No,N/A"</formula1>
      <formula2>0</formula2>
    </dataValidation>
    <dataValidation allowBlank="true" errorStyle="stop" operator="between" showDropDown="false" showErrorMessage="false" showInputMessage="false" sqref="O7:O500 U7:U500 AA7:AA500 AG7:AG500 AM7:AM500" type="list">
      <formula1>"Pass,Fail,Block,N/A,Chưa chạy"</formula1>
      <formula2>0</formula2>
    </dataValidation>
    <dataValidation allowBlank="true" errorStyle="stop" operator="between" showDropDown="false" showErrorMessage="false" showInputMessage="false" sqref="D7:D500" type="list">
      <formula1>"Functional,UI,Integration,Database Test Case"</formula1>
      <formula2>0</formula2>
    </dataValidation>
    <dataValidation allowBlank="true" errorStyle="stop" operator="between" showDropDown="false" showErrorMessage="false" showInputMessage="false" sqref="K7:K500" type="list">
      <formula1>"Reviewed,Pending,N/A"</formula1>
      <formula2>0</formula2>
    </dataValidation>
    <dataValidation allowBlank="true" errorStyle="stop" operator="between" showDropDown="false" showErrorMessage="false" showInputMessage="false" sqref="L7:L500"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V1000"/>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1" ySplit="6" topLeftCell="AB7" activePane="bottomRight" state="frozen"/>
      <selection pane="topLeft" activeCell="A1" activeCellId="0" sqref="A1"/>
      <selection pane="topRight" activeCell="AB1" activeCellId="0" sqref="AB1"/>
      <selection pane="bottomLeft" activeCell="A7" activeCellId="0" sqref="A7"/>
      <selection pane="bottomRight" activeCell="AX8" activeCellId="0" sqref="AX8"/>
    </sheetView>
  </sheetViews>
  <sheetFormatPr defaultColWidth="14.43359375" defaultRowHeight="15" customHeight="true" zeroHeight="false" outlineLevelRow="0" outlineLevelCol="0"/>
  <cols>
    <col collapsed="false" customWidth="true" hidden="false" outlineLevel="0" max="2" min="1" style="1" width="14"/>
    <col collapsed="false" customWidth="true" hidden="false" outlineLevel="0" max="4" min="3" style="1" width="13"/>
    <col collapsed="false" customWidth="true" hidden="false" outlineLevel="0" max="5" min="5" style="1" width="11"/>
    <col collapsed="false" customWidth="true" hidden="false" outlineLevel="0" max="6" min="6" style="1" width="34"/>
    <col collapsed="false" customWidth="true" hidden="false" outlineLevel="0" max="7" min="7" style="1" width="28"/>
    <col collapsed="false" customWidth="true" hidden="false" outlineLevel="0" max="8" min="8" style="1" width="40"/>
    <col collapsed="false" customWidth="true" hidden="false" outlineLevel="0" max="9" min="9" style="1" width="34"/>
    <col collapsed="false" customWidth="true" hidden="false" outlineLevel="0" max="10" min="10" style="1" width="10"/>
    <col collapsed="false" customWidth="true" hidden="false" outlineLevel="0" max="11" min="11" style="1" width="12.43"/>
    <col collapsed="false" customWidth="true" hidden="false" outlineLevel="0" max="12" min="12" style="1" width="14"/>
    <col collapsed="false" customWidth="true" hidden="false" outlineLevel="0" max="13" min="13" style="1" width="26.16"/>
    <col collapsed="false" customWidth="true" hidden="false" outlineLevel="0" max="14" min="14" style="1" width="9"/>
    <col collapsed="false" customWidth="true" hidden="false" outlineLevel="0" max="15" min="15" style="1" width="10"/>
    <col collapsed="false" customWidth="true" hidden="false" outlineLevel="0" max="16" min="16" style="1" width="9"/>
    <col collapsed="false" customWidth="true" hidden="false" outlineLevel="0" max="17" min="17" style="1" width="13"/>
    <col collapsed="false" customWidth="true" hidden="false" outlineLevel="0" max="18" min="18" style="1" width="11"/>
    <col collapsed="false" customWidth="true" hidden="false" outlineLevel="0" max="19" min="19" style="1" width="22"/>
    <col collapsed="false" customWidth="true" hidden="false" outlineLevel="0" max="20" min="20" style="1" width="9"/>
    <col collapsed="false" customWidth="true" hidden="false" outlineLevel="0" max="21" min="21" style="1" width="10"/>
    <col collapsed="false" customWidth="true" hidden="false" outlineLevel="0" max="22" min="22" style="1" width="9"/>
    <col collapsed="false" customWidth="true" hidden="false" outlineLevel="0" max="23" min="23" style="1" width="13"/>
    <col collapsed="false" customWidth="true" hidden="false" outlineLevel="0" max="24" min="24" style="1" width="11"/>
    <col collapsed="false" customWidth="true" hidden="false" outlineLevel="0" max="25" min="25" style="1" width="22"/>
    <col collapsed="false" customWidth="true" hidden="false" outlineLevel="0" max="26" min="26" style="1" width="9"/>
    <col collapsed="false" customWidth="true" hidden="false" outlineLevel="0" max="27" min="27" style="1" width="10"/>
    <col collapsed="false" customWidth="true" hidden="false" outlineLevel="0" max="28" min="28" style="1" width="9"/>
    <col collapsed="false" customWidth="true" hidden="false" outlineLevel="0" max="29" min="29" style="1" width="13"/>
    <col collapsed="false" customWidth="true" hidden="false" outlineLevel="0" max="30" min="30" style="1" width="11"/>
    <col collapsed="false" customWidth="true" hidden="false" outlineLevel="0" max="31" min="31" style="1" width="22"/>
    <col collapsed="false" customWidth="true" hidden="false" outlineLevel="0" max="32" min="32" style="1" width="9"/>
    <col collapsed="false" customWidth="true" hidden="false" outlineLevel="0" max="33" min="33" style="1" width="10"/>
    <col collapsed="false" customWidth="true" hidden="false" outlineLevel="0" max="34" min="34" style="1" width="9"/>
    <col collapsed="false" customWidth="true" hidden="false" outlineLevel="0" max="35" min="35" style="1" width="13"/>
    <col collapsed="false" customWidth="true" hidden="false" outlineLevel="0" max="36" min="36" style="1" width="11"/>
    <col collapsed="false" customWidth="true" hidden="false" outlineLevel="0" max="37" min="37" style="1" width="22"/>
    <col collapsed="false" customWidth="true" hidden="false" outlineLevel="0" max="38" min="38" style="1" width="9"/>
    <col collapsed="false" customWidth="true" hidden="false" outlineLevel="0" max="39" min="39" style="1" width="10"/>
    <col collapsed="false" customWidth="true" hidden="false" outlineLevel="0" max="40" min="40" style="1" width="9"/>
    <col collapsed="false" customWidth="true" hidden="false" outlineLevel="0" max="41" min="41" style="1" width="13"/>
    <col collapsed="false" customWidth="true" hidden="false" outlineLevel="0" max="42" min="42" style="1" width="11"/>
    <col collapsed="false" customWidth="true" hidden="false" outlineLevel="0" max="43" min="43" style="1" width="22"/>
    <col collapsed="false" customWidth="true" hidden="false" outlineLevel="0" max="44" min="44" style="1" width="12"/>
    <col collapsed="false" customWidth="true" hidden="false" outlineLevel="0" max="45" min="45" style="1" width="14"/>
    <col collapsed="false" customWidth="true" hidden="false" outlineLevel="0" max="46" min="46" style="1" width="11"/>
    <col collapsed="false" customWidth="true" hidden="false" outlineLevel="0" max="47" min="47" style="1" width="24"/>
  </cols>
  <sheetData>
    <row r="1" customFormat="false" ht="15" hidden="false" customHeight="true" outlineLevel="0" collapsed="false">
      <c r="A1" s="172"/>
    </row>
    <row r="2" customFormat="false" ht="15" hidden="false" customHeight="true" outlineLevel="0" collapsed="false">
      <c r="A2" s="180" t="s">
        <v>629</v>
      </c>
      <c r="B2" s="180"/>
      <c r="C2" s="181" t="s">
        <v>209</v>
      </c>
      <c r="D2" s="181"/>
      <c r="E2" s="181"/>
    </row>
    <row r="3" customFormat="false" ht="15" hidden="false" customHeight="true" outlineLevel="0" collapsed="false">
      <c r="A3" s="180" t="s">
        <v>630</v>
      </c>
      <c r="B3" s="180"/>
      <c r="C3" s="181" t="s">
        <v>210</v>
      </c>
      <c r="D3" s="181"/>
      <c r="E3" s="181"/>
      <c r="G3" s="180" t="s">
        <v>82</v>
      </c>
      <c r="H3" s="180"/>
      <c r="I3" s="38" t="str">
        <f aca="false">Summary!$C$8</f>
        <v>v1.1</v>
      </c>
      <c r="J3" s="38"/>
    </row>
    <row r="4" customFormat="false" ht="15" hidden="false" customHeight="true" outlineLevel="0" collapsed="false">
      <c r="A4" s="180" t="s">
        <v>145</v>
      </c>
      <c r="B4" s="180"/>
      <c r="C4" s="38" t="str">
        <f aca="false">TEXT(Summary!$C$10,"DD/MM/YYYY")&amp;"  →  "&amp;TEXT(Summary!$C$11,"DD/MM/YYYY")</f>
        <v>18/09/2026  →  25/09/2026</v>
      </c>
      <c r="D4" s="38"/>
      <c r="E4" s="38"/>
      <c r="G4" s="180" t="s">
        <v>103</v>
      </c>
      <c r="H4" s="180"/>
      <c r="I4" s="38" t="str">
        <f aca="false">Summary!$C$13</f>
        <v>GiangDC2</v>
      </c>
      <c r="J4" s="38"/>
    </row>
    <row r="5" customFormat="false" ht="15" hidden="false" customHeight="true" outlineLevel="0" collapsed="false">
      <c r="A5" s="182" t="s">
        <v>631</v>
      </c>
      <c r="B5" s="182"/>
      <c r="C5" s="182"/>
      <c r="D5" s="117" t="s">
        <v>632</v>
      </c>
      <c r="E5" s="117"/>
      <c r="F5" s="117"/>
      <c r="G5" s="117"/>
      <c r="H5" s="117"/>
      <c r="I5" s="117"/>
      <c r="J5" s="136" t="s">
        <v>58</v>
      </c>
      <c r="K5" s="136"/>
      <c r="L5" s="136"/>
      <c r="M5" s="136"/>
      <c r="N5" s="183" t="s">
        <v>633</v>
      </c>
      <c r="O5" s="183"/>
      <c r="P5" s="183"/>
      <c r="Q5" s="183"/>
      <c r="R5" s="183"/>
      <c r="S5" s="183"/>
      <c r="T5" s="184" t="s">
        <v>634</v>
      </c>
      <c r="U5" s="184"/>
      <c r="V5" s="184"/>
      <c r="W5" s="184"/>
      <c r="X5" s="184"/>
      <c r="Y5" s="184"/>
      <c r="Z5" s="183" t="s">
        <v>635</v>
      </c>
      <c r="AA5" s="183"/>
      <c r="AB5" s="183"/>
      <c r="AC5" s="183"/>
      <c r="AD5" s="183"/>
      <c r="AE5" s="183"/>
      <c r="AF5" s="184" t="s">
        <v>636</v>
      </c>
      <c r="AG5" s="184"/>
      <c r="AH5" s="184"/>
      <c r="AI5" s="184"/>
      <c r="AJ5" s="184"/>
      <c r="AK5" s="184"/>
      <c r="AL5" s="183" t="s">
        <v>637</v>
      </c>
      <c r="AM5" s="183"/>
      <c r="AN5" s="183"/>
      <c r="AO5" s="183"/>
      <c r="AP5" s="183"/>
      <c r="AQ5" s="183"/>
      <c r="AR5" s="185" t="s">
        <v>638</v>
      </c>
      <c r="AS5" s="185"/>
      <c r="AT5" s="185"/>
      <c r="AU5" s="185"/>
    </row>
    <row r="6" customFormat="false" ht="30" hidden="false" customHeight="true" outlineLevel="0" collapsed="false">
      <c r="A6" s="186" t="s">
        <v>639</v>
      </c>
      <c r="B6" s="186" t="s">
        <v>405</v>
      </c>
      <c r="C6" s="186" t="s">
        <v>640</v>
      </c>
      <c r="D6" s="125" t="s">
        <v>40</v>
      </c>
      <c r="E6" s="125" t="s">
        <v>32</v>
      </c>
      <c r="F6" s="125" t="s">
        <v>641</v>
      </c>
      <c r="G6" s="125" t="s">
        <v>642</v>
      </c>
      <c r="H6" s="125" t="s">
        <v>643</v>
      </c>
      <c r="I6" s="125" t="s">
        <v>644</v>
      </c>
      <c r="J6" s="175" t="s">
        <v>645</v>
      </c>
      <c r="K6" s="175" t="s">
        <v>62</v>
      </c>
      <c r="L6" s="175" t="s">
        <v>64</v>
      </c>
      <c r="M6" s="175" t="s">
        <v>66</v>
      </c>
      <c r="N6" s="187" t="s">
        <v>68</v>
      </c>
      <c r="O6" s="187" t="s">
        <v>70</v>
      </c>
      <c r="P6" s="187" t="s">
        <v>646</v>
      </c>
      <c r="Q6" s="187" t="s">
        <v>647</v>
      </c>
      <c r="R6" s="187" t="s">
        <v>648</v>
      </c>
      <c r="S6" s="187" t="s">
        <v>265</v>
      </c>
      <c r="T6" s="187" t="s">
        <v>68</v>
      </c>
      <c r="U6" s="187" t="s">
        <v>70</v>
      </c>
      <c r="V6" s="187" t="s">
        <v>646</v>
      </c>
      <c r="W6" s="187" t="s">
        <v>647</v>
      </c>
      <c r="X6" s="187" t="s">
        <v>648</v>
      </c>
      <c r="Y6" s="187" t="s">
        <v>265</v>
      </c>
      <c r="Z6" s="187" t="s">
        <v>68</v>
      </c>
      <c r="AA6" s="187" t="s">
        <v>70</v>
      </c>
      <c r="AB6" s="187" t="s">
        <v>646</v>
      </c>
      <c r="AC6" s="187" t="s">
        <v>647</v>
      </c>
      <c r="AD6" s="187" t="s">
        <v>648</v>
      </c>
      <c r="AE6" s="187" t="s">
        <v>265</v>
      </c>
      <c r="AF6" s="187" t="s">
        <v>68</v>
      </c>
      <c r="AG6" s="187" t="s">
        <v>70</v>
      </c>
      <c r="AH6" s="187" t="s">
        <v>646</v>
      </c>
      <c r="AI6" s="187" t="s">
        <v>647</v>
      </c>
      <c r="AJ6" s="187" t="s">
        <v>648</v>
      </c>
      <c r="AK6" s="187" t="s">
        <v>265</v>
      </c>
      <c r="AL6" s="187" t="s">
        <v>68</v>
      </c>
      <c r="AM6" s="187" t="s">
        <v>70</v>
      </c>
      <c r="AN6" s="187" t="s">
        <v>646</v>
      </c>
      <c r="AO6" s="187" t="s">
        <v>647</v>
      </c>
      <c r="AP6" s="187" t="s">
        <v>648</v>
      </c>
      <c r="AQ6" s="187" t="s">
        <v>265</v>
      </c>
      <c r="AR6" s="188" t="s">
        <v>649</v>
      </c>
      <c r="AS6" s="188" t="s">
        <v>650</v>
      </c>
      <c r="AT6" s="188" t="s">
        <v>50</v>
      </c>
      <c r="AU6" s="188" t="s">
        <v>651</v>
      </c>
    </row>
    <row r="7" customFormat="false" ht="15" hidden="false" customHeight="true" outlineLevel="0" collapsed="false">
      <c r="A7" s="189"/>
      <c r="B7" s="189"/>
      <c r="C7" s="190" t="s">
        <v>1072</v>
      </c>
      <c r="D7" s="190"/>
      <c r="E7" s="190"/>
      <c r="F7" s="190"/>
      <c r="G7" s="190"/>
      <c r="H7" s="190"/>
      <c r="I7" s="190"/>
      <c r="J7" s="190"/>
      <c r="K7" s="190"/>
      <c r="L7" s="190"/>
      <c r="M7" s="190"/>
      <c r="N7" s="190"/>
      <c r="O7" s="190"/>
      <c r="P7" s="190"/>
      <c r="Q7" s="190"/>
      <c r="R7" s="190"/>
      <c r="S7" s="190"/>
      <c r="T7" s="190"/>
      <c r="U7" s="190"/>
      <c r="V7" s="190"/>
      <c r="W7" s="190"/>
      <c r="X7" s="190"/>
      <c r="Y7" s="190"/>
      <c r="Z7" s="190"/>
      <c r="AA7" s="190"/>
      <c r="AB7" s="190"/>
      <c r="AC7" s="190"/>
      <c r="AD7" s="190"/>
      <c r="AE7" s="190"/>
      <c r="AF7" s="190"/>
      <c r="AG7" s="190"/>
      <c r="AH7" s="190"/>
      <c r="AI7" s="190"/>
      <c r="AJ7" s="190"/>
      <c r="AK7" s="190"/>
      <c r="AL7" s="190"/>
      <c r="AM7" s="190"/>
      <c r="AN7" s="190"/>
      <c r="AO7" s="190"/>
      <c r="AP7" s="190"/>
      <c r="AQ7" s="190"/>
      <c r="AR7" s="190"/>
      <c r="AS7" s="190"/>
      <c r="AT7" s="190"/>
      <c r="AU7" s="190"/>
    </row>
    <row r="8" customFormat="false" ht="178.5" hidden="false" customHeight="true" outlineLevel="0" collapsed="false">
      <c r="A8" s="191" t="str">
        <f aca="false">IF($F8="","",$C$2&amp;"."&amp;COUNTA($F$7:$F8)&amp;"")</f>
        <v>TC_08.1</v>
      </c>
      <c r="B8" s="191" t="s">
        <v>540</v>
      </c>
      <c r="C8" s="191" t="s">
        <v>530</v>
      </c>
      <c r="D8" s="191" t="s">
        <v>41</v>
      </c>
      <c r="E8" s="191" t="s">
        <v>159</v>
      </c>
      <c r="F8" s="13" t="s">
        <v>1073</v>
      </c>
      <c r="G8" s="13" t="s">
        <v>1074</v>
      </c>
      <c r="H8" s="13" t="s">
        <v>1075</v>
      </c>
      <c r="I8" s="13" t="s">
        <v>1076</v>
      </c>
      <c r="J8" s="191" t="s">
        <v>658</v>
      </c>
      <c r="K8" s="191" t="s">
        <v>245</v>
      </c>
      <c r="L8" s="191"/>
      <c r="M8" s="191"/>
      <c r="N8" s="192"/>
      <c r="O8" s="192"/>
      <c r="P8" s="192"/>
      <c r="Q8" s="192"/>
      <c r="R8" s="192"/>
      <c r="S8" s="192"/>
      <c r="T8" s="192"/>
      <c r="U8" s="192"/>
      <c r="V8" s="192"/>
      <c r="W8" s="192"/>
      <c r="X8" s="192"/>
      <c r="Y8" s="192"/>
      <c r="Z8" s="192"/>
      <c r="AA8" s="192"/>
      <c r="AB8" s="192"/>
      <c r="AC8" s="192"/>
      <c r="AD8" s="192"/>
      <c r="AE8" s="192"/>
      <c r="AF8" s="192"/>
      <c r="AG8" s="192"/>
      <c r="AH8" s="192"/>
      <c r="AI8" s="192"/>
      <c r="AJ8" s="192"/>
      <c r="AK8" s="192"/>
      <c r="AL8" s="192"/>
      <c r="AM8" s="192"/>
      <c r="AN8" s="192"/>
      <c r="AO8" s="192"/>
      <c r="AP8" s="192"/>
      <c r="AQ8" s="192"/>
      <c r="AR8" s="193" t="str">
        <f aca="false">IF($A8="","",IF(OR($N8="Yes",$T8="Yes",$Z8="Yes",$AF8="Yes",$AL8="Yes"),"Yes","No"))</f>
        <v>No</v>
      </c>
      <c r="AS8" s="193" t="str">
        <f aca="false">IF($A8="","",IFERROR(IF($AM8&lt;&gt;"",$AM8,IF($AG8&lt;&gt;"",$AG8,IF($AA8&lt;&gt;"",$AA8,IF($U8&lt;&gt;"",$U8,IF($O8&lt;&gt;"",$O8,""))))),""))</f>
        <v/>
      </c>
      <c r="AT8" s="193" t="str">
        <f aca="false">IFERROR(IF($AN8&lt;&gt;"",$AN8,IF($AH8&lt;&gt;"",$AH8,IF($AB8&lt;&gt;"",$AB8,IF($V8&lt;&gt;"",$V8,IF($P8&lt;&gt;"",$P8,""))))),"")</f>
        <v/>
      </c>
      <c r="AU8" s="194"/>
    </row>
    <row r="9" customFormat="false" ht="15" hidden="false" customHeight="true" outlineLevel="0" collapsed="false">
      <c r="A9" s="189"/>
      <c r="B9" s="189"/>
      <c r="C9" s="190" t="s">
        <v>1077</v>
      </c>
      <c r="D9" s="190"/>
      <c r="E9" s="190"/>
      <c r="F9" s="190"/>
      <c r="G9" s="190"/>
      <c r="H9" s="190"/>
      <c r="I9" s="190"/>
      <c r="J9" s="190"/>
      <c r="K9" s="190"/>
      <c r="L9" s="190"/>
      <c r="M9" s="190"/>
      <c r="N9" s="190"/>
      <c r="O9" s="190"/>
      <c r="P9" s="190"/>
      <c r="Q9" s="190"/>
      <c r="R9" s="190"/>
      <c r="S9" s="190"/>
      <c r="T9" s="190"/>
      <c r="U9" s="190"/>
      <c r="V9" s="190"/>
      <c r="W9" s="190"/>
      <c r="X9" s="190"/>
      <c r="Y9" s="190"/>
      <c r="Z9" s="190"/>
      <c r="AA9" s="190"/>
      <c r="AB9" s="190"/>
      <c r="AC9" s="190"/>
      <c r="AD9" s="190"/>
      <c r="AE9" s="190"/>
      <c r="AF9" s="190"/>
      <c r="AG9" s="190"/>
      <c r="AH9" s="190"/>
      <c r="AI9" s="190"/>
      <c r="AJ9" s="190"/>
      <c r="AK9" s="190"/>
      <c r="AL9" s="190"/>
      <c r="AM9" s="190"/>
      <c r="AN9" s="190"/>
      <c r="AO9" s="190"/>
      <c r="AP9" s="190"/>
      <c r="AQ9" s="190"/>
      <c r="AR9" s="190"/>
      <c r="AS9" s="190"/>
      <c r="AT9" s="190"/>
      <c r="AU9" s="190"/>
    </row>
    <row r="10" customFormat="false" ht="191.25" hidden="false" customHeight="true" outlineLevel="0" collapsed="false">
      <c r="A10" s="191" t="str">
        <f aca="false">IF($F10="","",$C$2&amp;"."&amp;COUNTA($F$7:$F10)&amp;"")</f>
        <v>TC_08.2</v>
      </c>
      <c r="B10" s="191" t="s">
        <v>543</v>
      </c>
      <c r="C10" s="191" t="s">
        <v>530</v>
      </c>
      <c r="D10" s="191" t="s">
        <v>41</v>
      </c>
      <c r="E10" s="191" t="s">
        <v>158</v>
      </c>
      <c r="F10" s="13" t="s">
        <v>1078</v>
      </c>
      <c r="G10" s="13" t="s">
        <v>1079</v>
      </c>
      <c r="H10" s="13" t="s">
        <v>1080</v>
      </c>
      <c r="I10" s="13" t="s">
        <v>1081</v>
      </c>
      <c r="J10" s="191" t="s">
        <v>658</v>
      </c>
      <c r="K10" s="191" t="s">
        <v>245</v>
      </c>
      <c r="L10" s="191"/>
      <c r="M10" s="191"/>
      <c r="N10" s="192"/>
      <c r="O10" s="192"/>
      <c r="P10" s="192"/>
      <c r="Q10" s="192"/>
      <c r="R10" s="192"/>
      <c r="S10" s="192"/>
      <c r="T10" s="192"/>
      <c r="U10" s="192"/>
      <c r="V10" s="192"/>
      <c r="W10" s="192"/>
      <c r="X10" s="192"/>
      <c r="Y10" s="192"/>
      <c r="Z10" s="192"/>
      <c r="AA10" s="192"/>
      <c r="AB10" s="192"/>
      <c r="AC10" s="192"/>
      <c r="AD10" s="192"/>
      <c r="AE10" s="192"/>
      <c r="AF10" s="192"/>
      <c r="AG10" s="192"/>
      <c r="AH10" s="192"/>
      <c r="AI10" s="192"/>
      <c r="AJ10" s="192"/>
      <c r="AK10" s="192"/>
      <c r="AL10" s="192"/>
      <c r="AM10" s="192"/>
      <c r="AN10" s="192"/>
      <c r="AO10" s="192"/>
      <c r="AP10" s="192"/>
      <c r="AQ10" s="192"/>
      <c r="AR10" s="193" t="str">
        <f aca="false">IF($A10="","",IF(OR($N10="Yes",$T10="Yes",$Z10="Yes",$AF10="Yes",$AL10="Yes"),"Yes","No"))</f>
        <v>No</v>
      </c>
      <c r="AS10" s="193" t="str">
        <f aca="false">IF($A10="","",IFERROR(IF($AM10&lt;&gt;"",$AM10,IF($AG10&lt;&gt;"",$AG10,IF($AA10&lt;&gt;"",$AA10,IF($U10&lt;&gt;"",$U10,IF($O10&lt;&gt;"",$O10,""))))),""))</f>
        <v/>
      </c>
      <c r="AT10" s="193" t="str">
        <f aca="false">IFERROR(IF($AN10&lt;&gt;"",$AN10,IF($AH10&lt;&gt;"",$AH10,IF($AB10&lt;&gt;"",$AB10,IF($V10&lt;&gt;"",$V10,IF($P10&lt;&gt;"",$P10,""))))),"")</f>
        <v/>
      </c>
      <c r="AU10" s="194"/>
    </row>
    <row r="11" customFormat="false" ht="15" hidden="false" customHeight="true" outlineLevel="0" collapsed="false">
      <c r="A11" s="189"/>
      <c r="B11" s="189"/>
      <c r="C11" s="190" t="s">
        <v>1082</v>
      </c>
      <c r="D11" s="190"/>
      <c r="E11" s="190"/>
      <c r="F11" s="190"/>
      <c r="G11" s="190"/>
      <c r="H11" s="190"/>
      <c r="I11" s="190"/>
      <c r="J11" s="190"/>
      <c r="K11" s="190"/>
      <c r="L11" s="190"/>
      <c r="M11" s="190"/>
      <c r="N11" s="190"/>
      <c r="O11" s="190"/>
      <c r="P11" s="190"/>
      <c r="Q11" s="190"/>
      <c r="R11" s="190"/>
      <c r="S11" s="190"/>
      <c r="T11" s="190"/>
      <c r="U11" s="190"/>
      <c r="V11" s="190"/>
      <c r="W11" s="190"/>
      <c r="X11" s="190"/>
      <c r="Y11" s="190"/>
      <c r="Z11" s="190"/>
      <c r="AA11" s="190"/>
      <c r="AB11" s="190"/>
      <c r="AC11" s="190"/>
      <c r="AD11" s="190"/>
      <c r="AE11" s="190"/>
      <c r="AF11" s="190"/>
      <c r="AG11" s="190"/>
      <c r="AH11" s="190"/>
      <c r="AI11" s="190"/>
      <c r="AJ11" s="190"/>
      <c r="AK11" s="190"/>
      <c r="AL11" s="190"/>
      <c r="AM11" s="190"/>
      <c r="AN11" s="190"/>
      <c r="AO11" s="190"/>
      <c r="AP11" s="190"/>
      <c r="AQ11" s="190"/>
      <c r="AR11" s="190"/>
      <c r="AS11" s="190"/>
      <c r="AT11" s="190"/>
      <c r="AU11" s="190"/>
    </row>
    <row r="12" customFormat="false" ht="247.5" hidden="false" customHeight="true" outlineLevel="0" collapsed="false">
      <c r="A12" s="191" t="str">
        <f aca="false">IF($F12="","",$C$2&amp;"."&amp;COUNTA($F$7:$F12)&amp;"")</f>
        <v>TC_08.3</v>
      </c>
      <c r="B12" s="191" t="s">
        <v>546</v>
      </c>
      <c r="C12" s="191" t="s">
        <v>530</v>
      </c>
      <c r="D12" s="191" t="s">
        <v>41</v>
      </c>
      <c r="E12" s="191" t="s">
        <v>159</v>
      </c>
      <c r="F12" s="13" t="s">
        <v>1083</v>
      </c>
      <c r="G12" s="13" t="s">
        <v>1084</v>
      </c>
      <c r="H12" s="13" t="s">
        <v>1085</v>
      </c>
      <c r="I12" s="13" t="s">
        <v>1086</v>
      </c>
      <c r="J12" s="191" t="s">
        <v>658</v>
      </c>
      <c r="K12" s="191" t="s">
        <v>245</v>
      </c>
      <c r="L12" s="191"/>
      <c r="M12" s="191"/>
      <c r="N12" s="192"/>
      <c r="O12" s="192"/>
      <c r="P12" s="192"/>
      <c r="Q12" s="192"/>
      <c r="R12" s="192"/>
      <c r="S12" s="192"/>
      <c r="T12" s="192"/>
      <c r="U12" s="192"/>
      <c r="V12" s="192"/>
      <c r="W12" s="192"/>
      <c r="X12" s="192"/>
      <c r="Y12" s="192"/>
      <c r="Z12" s="192"/>
      <c r="AA12" s="192"/>
      <c r="AB12" s="192"/>
      <c r="AC12" s="192"/>
      <c r="AD12" s="192"/>
      <c r="AE12" s="192"/>
      <c r="AF12" s="192"/>
      <c r="AG12" s="192"/>
      <c r="AH12" s="192"/>
      <c r="AI12" s="192"/>
      <c r="AJ12" s="192"/>
      <c r="AK12" s="192"/>
      <c r="AL12" s="192"/>
      <c r="AM12" s="192"/>
      <c r="AN12" s="192"/>
      <c r="AO12" s="192"/>
      <c r="AP12" s="192"/>
      <c r="AQ12" s="192"/>
      <c r="AR12" s="193" t="str">
        <f aca="false">IF($A12="","",IF(OR($N12="Yes",$T12="Yes",$Z12="Yes",$AF12="Yes",$AL12="Yes"),"Yes","No"))</f>
        <v>No</v>
      </c>
      <c r="AS12" s="193" t="str">
        <f aca="false">IF($A12="","",IFERROR(IF($AM12&lt;&gt;"",$AM12,IF($AG12&lt;&gt;"",$AG12,IF($AA12&lt;&gt;"",$AA12,IF($U12&lt;&gt;"",$U12,IF($O12&lt;&gt;"",$O12,""))))),""))</f>
        <v/>
      </c>
      <c r="AT12" s="193" t="str">
        <f aca="false">IFERROR(IF($AN12&lt;&gt;"",$AN12,IF($AH12&lt;&gt;"",$AH12,IF($AB12&lt;&gt;"",$AB12,IF($V12&lt;&gt;"",$V12,IF($P12&lt;&gt;"",$P12,""))))),"")</f>
        <v/>
      </c>
      <c r="AU12" s="194"/>
    </row>
    <row r="13" customFormat="false" ht="15" hidden="false" customHeight="true" outlineLevel="0" collapsed="false">
      <c r="A13" s="189"/>
      <c r="B13" s="189"/>
      <c r="C13" s="190" t="s">
        <v>1087</v>
      </c>
      <c r="D13" s="190"/>
      <c r="E13" s="190"/>
      <c r="F13" s="190"/>
      <c r="G13" s="190"/>
      <c r="H13" s="190"/>
      <c r="I13" s="190"/>
      <c r="J13" s="190"/>
      <c r="K13" s="190"/>
      <c r="L13" s="190"/>
      <c r="M13" s="190"/>
      <c r="N13" s="190"/>
      <c r="O13" s="190"/>
      <c r="P13" s="190"/>
      <c r="Q13" s="190"/>
      <c r="R13" s="190"/>
      <c r="S13" s="190"/>
      <c r="T13" s="190"/>
      <c r="U13" s="190"/>
      <c r="V13" s="190"/>
      <c r="W13" s="190"/>
      <c r="X13" s="190"/>
      <c r="Y13" s="190"/>
      <c r="Z13" s="190"/>
      <c r="AA13" s="190"/>
      <c r="AB13" s="190"/>
      <c r="AC13" s="190"/>
      <c r="AD13" s="190"/>
      <c r="AE13" s="190"/>
      <c r="AF13" s="190"/>
      <c r="AG13" s="190"/>
      <c r="AH13" s="190"/>
      <c r="AI13" s="190"/>
      <c r="AJ13" s="190"/>
      <c r="AK13" s="190"/>
      <c r="AL13" s="190"/>
      <c r="AM13" s="190"/>
      <c r="AN13" s="190"/>
      <c r="AO13" s="190"/>
      <c r="AP13" s="190"/>
      <c r="AQ13" s="190"/>
      <c r="AR13" s="190"/>
      <c r="AS13" s="190"/>
      <c r="AT13" s="190"/>
      <c r="AU13" s="190"/>
    </row>
    <row r="14" customFormat="false" ht="157.5" hidden="false" customHeight="true" outlineLevel="0" collapsed="false">
      <c r="A14" s="191" t="str">
        <f aca="false">IF($F14="","",$C$2&amp;"."&amp;COUNTA($F$7:$F14)&amp;"")</f>
        <v>TC_08.4</v>
      </c>
      <c r="B14" s="191" t="s">
        <v>549</v>
      </c>
      <c r="C14" s="191" t="s">
        <v>530</v>
      </c>
      <c r="D14" s="191" t="s">
        <v>41</v>
      </c>
      <c r="E14" s="191" t="s">
        <v>159</v>
      </c>
      <c r="F14" s="13" t="s">
        <v>1088</v>
      </c>
      <c r="G14" s="13" t="s">
        <v>1089</v>
      </c>
      <c r="H14" s="13" t="s">
        <v>1090</v>
      </c>
      <c r="I14" s="13" t="s">
        <v>1091</v>
      </c>
      <c r="J14" s="191" t="s">
        <v>658</v>
      </c>
      <c r="K14" s="191" t="s">
        <v>245</v>
      </c>
      <c r="L14" s="191"/>
      <c r="M14" s="191"/>
      <c r="N14" s="192"/>
      <c r="O14" s="192"/>
      <c r="P14" s="192"/>
      <c r="Q14" s="192"/>
      <c r="R14" s="192"/>
      <c r="S14" s="192"/>
      <c r="T14" s="192"/>
      <c r="U14" s="192"/>
      <c r="V14" s="192"/>
      <c r="W14" s="192"/>
      <c r="X14" s="192"/>
      <c r="Y14" s="192"/>
      <c r="Z14" s="192"/>
      <c r="AA14" s="192"/>
      <c r="AB14" s="192"/>
      <c r="AC14" s="192"/>
      <c r="AD14" s="192"/>
      <c r="AE14" s="192"/>
      <c r="AF14" s="192"/>
      <c r="AG14" s="192"/>
      <c r="AH14" s="192"/>
      <c r="AI14" s="192"/>
      <c r="AJ14" s="192"/>
      <c r="AK14" s="192"/>
      <c r="AL14" s="192"/>
      <c r="AM14" s="192"/>
      <c r="AN14" s="192"/>
      <c r="AO14" s="192"/>
      <c r="AP14" s="192"/>
      <c r="AQ14" s="192"/>
      <c r="AR14" s="193" t="str">
        <f aca="false">IF($A14="","",IF(OR($N14="Yes",$T14="Yes",$Z14="Yes",$AF14="Yes",$AL14="Yes"),"Yes","No"))</f>
        <v>No</v>
      </c>
      <c r="AS14" s="193" t="str">
        <f aca="false">IF($A14="","",IFERROR(IF($AM14&lt;&gt;"",$AM14,IF($AG14&lt;&gt;"",$AG14,IF($AA14&lt;&gt;"",$AA14,IF($U14&lt;&gt;"",$U14,IF($O14&lt;&gt;"",$O14,""))))),""))</f>
        <v/>
      </c>
      <c r="AT14" s="193" t="str">
        <f aca="false">IFERROR(IF($AN14&lt;&gt;"",$AN14,IF($AH14&lt;&gt;"",$AH14,IF($AB14&lt;&gt;"",$AB14,IF($V14&lt;&gt;"",$V14,IF($P14&lt;&gt;"",$P14,""))))),"")</f>
        <v/>
      </c>
      <c r="AU14" s="194"/>
    </row>
    <row r="15" customFormat="false" ht="147" hidden="false" customHeight="true" outlineLevel="0" collapsed="false">
      <c r="A15" s="191" t="str">
        <f aca="false">IF($F15="","",$C$2&amp;"."&amp;COUNTA($F$7:$F15)&amp;"")</f>
        <v>TC_08.5</v>
      </c>
      <c r="B15" s="191" t="s">
        <v>549</v>
      </c>
      <c r="C15" s="191" t="s">
        <v>530</v>
      </c>
      <c r="D15" s="191" t="s">
        <v>41</v>
      </c>
      <c r="E15" s="191" t="s">
        <v>159</v>
      </c>
      <c r="F15" s="13" t="s">
        <v>1092</v>
      </c>
      <c r="G15" s="13" t="s">
        <v>1093</v>
      </c>
      <c r="H15" s="13" t="s">
        <v>1090</v>
      </c>
      <c r="I15" s="13" t="s">
        <v>1094</v>
      </c>
      <c r="J15" s="191" t="s">
        <v>658</v>
      </c>
      <c r="K15" s="191" t="s">
        <v>245</v>
      </c>
      <c r="L15" s="191"/>
      <c r="M15" s="191"/>
      <c r="N15" s="192"/>
      <c r="O15" s="192"/>
      <c r="P15" s="192"/>
      <c r="Q15" s="192"/>
      <c r="R15" s="192"/>
      <c r="S15" s="192"/>
      <c r="T15" s="192"/>
      <c r="U15" s="192"/>
      <c r="V15" s="192"/>
      <c r="W15" s="192"/>
      <c r="X15" s="192"/>
      <c r="Y15" s="192"/>
      <c r="Z15" s="192"/>
      <c r="AA15" s="192"/>
      <c r="AB15" s="192"/>
      <c r="AC15" s="192"/>
      <c r="AD15" s="192"/>
      <c r="AE15" s="192"/>
      <c r="AF15" s="192"/>
      <c r="AG15" s="192"/>
      <c r="AH15" s="192"/>
      <c r="AI15" s="192"/>
      <c r="AJ15" s="192"/>
      <c r="AK15" s="192"/>
      <c r="AL15" s="192"/>
      <c r="AM15" s="192"/>
      <c r="AN15" s="192"/>
      <c r="AO15" s="192"/>
      <c r="AP15" s="192"/>
      <c r="AQ15" s="192"/>
      <c r="AR15" s="193" t="str">
        <f aca="false">IF($A15="","",IF(OR($N15="Yes",$T15="Yes",$Z15="Yes",$AF15="Yes",$AL15="Yes"),"Yes","No"))</f>
        <v>No</v>
      </c>
      <c r="AS15" s="193" t="str">
        <f aca="false">IF($A15="","",IFERROR(IF($AM15&lt;&gt;"",$AM15,IF($AG15&lt;&gt;"",$AG15,IF($AA15&lt;&gt;"",$AA15,IF($U15&lt;&gt;"",$U15,IF($O15&lt;&gt;"",$O15,""))))),""))</f>
        <v/>
      </c>
      <c r="AT15" s="193" t="str">
        <f aca="false">IFERROR(IF($AN15&lt;&gt;"",$AN15,IF($AH15&lt;&gt;"",$AH15,IF($AB15&lt;&gt;"",$AB15,IF($V15&lt;&gt;"",$V15,IF($P15&lt;&gt;"",$P15,""))))),"")</f>
        <v/>
      </c>
      <c r="AU15" s="194"/>
    </row>
    <row r="16" customFormat="false" ht="147" hidden="false" customHeight="true" outlineLevel="0" collapsed="false">
      <c r="A16" s="191" t="str">
        <f aca="false">IF($F16="","",$C$2&amp;"."&amp;COUNTA($F$7:$F16)&amp;"")</f>
        <v>TC_08.6</v>
      </c>
      <c r="B16" s="191" t="s">
        <v>549</v>
      </c>
      <c r="C16" s="191" t="s">
        <v>530</v>
      </c>
      <c r="D16" s="191" t="s">
        <v>41</v>
      </c>
      <c r="E16" s="191" t="s">
        <v>159</v>
      </c>
      <c r="F16" s="13" t="s">
        <v>1095</v>
      </c>
      <c r="G16" s="13" t="s">
        <v>1096</v>
      </c>
      <c r="H16" s="13" t="s">
        <v>1097</v>
      </c>
      <c r="I16" s="13" t="s">
        <v>1098</v>
      </c>
      <c r="J16" s="191" t="s">
        <v>658</v>
      </c>
      <c r="K16" s="191" t="s">
        <v>245</v>
      </c>
      <c r="L16" s="191"/>
      <c r="M16" s="191"/>
      <c r="N16" s="192"/>
      <c r="O16" s="192"/>
      <c r="P16" s="192"/>
      <c r="Q16" s="192"/>
      <c r="R16" s="192"/>
      <c r="S16" s="192"/>
      <c r="T16" s="192"/>
      <c r="U16" s="192"/>
      <c r="V16" s="192"/>
      <c r="W16" s="192"/>
      <c r="X16" s="192"/>
      <c r="Y16" s="192"/>
      <c r="Z16" s="192"/>
      <c r="AA16" s="192"/>
      <c r="AB16" s="192"/>
      <c r="AC16" s="192"/>
      <c r="AD16" s="192"/>
      <c r="AE16" s="192"/>
      <c r="AF16" s="192"/>
      <c r="AG16" s="192"/>
      <c r="AH16" s="192"/>
      <c r="AI16" s="192"/>
      <c r="AJ16" s="192"/>
      <c r="AK16" s="192"/>
      <c r="AL16" s="192"/>
      <c r="AM16" s="192"/>
      <c r="AN16" s="192"/>
      <c r="AO16" s="192"/>
      <c r="AP16" s="192"/>
      <c r="AQ16" s="192"/>
      <c r="AR16" s="193" t="str">
        <f aca="false">IF($A16="","",IF(OR($N16="Yes",$T16="Yes",$Z16="Yes",$AF16="Yes",$AL16="Yes"),"Yes","No"))</f>
        <v>No</v>
      </c>
      <c r="AS16" s="193" t="str">
        <f aca="false">IF($A16="","",IFERROR(IF($AM16&lt;&gt;"",$AM16,IF($AG16&lt;&gt;"",$AG16,IF($AA16&lt;&gt;"",$AA16,IF($U16&lt;&gt;"",$U16,IF($O16&lt;&gt;"",$O16,""))))),""))</f>
        <v/>
      </c>
      <c r="AT16" s="193" t="str">
        <f aca="false">IFERROR(IF($AN16&lt;&gt;"",$AN16,IF($AH16&lt;&gt;"",$AH16,IF($AB16&lt;&gt;"",$AB16,IF($V16&lt;&gt;"",$V16,IF($P16&lt;&gt;"",$P16,""))))),"")</f>
        <v/>
      </c>
      <c r="AU16" s="194"/>
    </row>
    <row r="17" customFormat="false" ht="157.5" hidden="false" customHeight="true" outlineLevel="0" collapsed="false">
      <c r="A17" s="191" t="str">
        <f aca="false">IF($F17="","",$C$2&amp;"."&amp;COUNTA($F$7:$F17)&amp;"")</f>
        <v>TC_08.7</v>
      </c>
      <c r="B17" s="191" t="s">
        <v>549</v>
      </c>
      <c r="C17" s="191" t="s">
        <v>530</v>
      </c>
      <c r="D17" s="191" t="s">
        <v>41</v>
      </c>
      <c r="E17" s="191" t="s">
        <v>159</v>
      </c>
      <c r="F17" s="13" t="s">
        <v>1099</v>
      </c>
      <c r="G17" s="13" t="s">
        <v>1100</v>
      </c>
      <c r="H17" s="13" t="s">
        <v>1090</v>
      </c>
      <c r="I17" s="13" t="s">
        <v>1101</v>
      </c>
      <c r="J17" s="191" t="s">
        <v>658</v>
      </c>
      <c r="K17" s="191" t="s">
        <v>245</v>
      </c>
      <c r="L17" s="191"/>
      <c r="M17" s="191"/>
      <c r="N17" s="192"/>
      <c r="O17" s="192"/>
      <c r="P17" s="192"/>
      <c r="Q17" s="192"/>
      <c r="R17" s="192"/>
      <c r="S17" s="192"/>
      <c r="T17" s="192"/>
      <c r="U17" s="192"/>
      <c r="V17" s="192"/>
      <c r="W17" s="192"/>
      <c r="X17" s="192"/>
      <c r="Y17" s="192"/>
      <c r="Z17" s="192"/>
      <c r="AA17" s="192"/>
      <c r="AB17" s="192"/>
      <c r="AC17" s="192"/>
      <c r="AD17" s="192"/>
      <c r="AE17" s="192"/>
      <c r="AF17" s="192"/>
      <c r="AG17" s="192"/>
      <c r="AH17" s="192"/>
      <c r="AI17" s="192"/>
      <c r="AJ17" s="192"/>
      <c r="AK17" s="192"/>
      <c r="AL17" s="192"/>
      <c r="AM17" s="192"/>
      <c r="AN17" s="192"/>
      <c r="AO17" s="192"/>
      <c r="AP17" s="192"/>
      <c r="AQ17" s="192"/>
      <c r="AR17" s="193" t="str">
        <f aca="false">IF($A17="","",IF(OR($N17="Yes",$T17="Yes",$Z17="Yes",$AF17="Yes",$AL17="Yes"),"Yes","No"))</f>
        <v>No</v>
      </c>
      <c r="AS17" s="193" t="str">
        <f aca="false">IF($A17="","",IFERROR(IF($AM17&lt;&gt;"",$AM17,IF($AG17&lt;&gt;"",$AG17,IF($AA17&lt;&gt;"",$AA17,IF($U17&lt;&gt;"",$U17,IF($O17&lt;&gt;"",$O17,""))))),""))</f>
        <v/>
      </c>
      <c r="AT17" s="193" t="str">
        <f aca="false">IFERROR(IF($AN17&lt;&gt;"",$AN17,IF($AH17&lt;&gt;"",$AH17,IF($AB17&lt;&gt;"",$AB17,IF($V17&lt;&gt;"",$V17,IF($P17&lt;&gt;"",$P17,""))))),"")</f>
        <v/>
      </c>
      <c r="AU17" s="194"/>
    </row>
    <row r="18" customFormat="false" ht="168.75" hidden="false" customHeight="true" outlineLevel="0" collapsed="false">
      <c r="A18" s="191" t="str">
        <f aca="false">IF($F18="","",$C$2&amp;"."&amp;COUNTA($F$7:$F18)&amp;"")</f>
        <v>TC_08.8</v>
      </c>
      <c r="B18" s="191" t="s">
        <v>549</v>
      </c>
      <c r="C18" s="191" t="s">
        <v>530</v>
      </c>
      <c r="D18" s="191" t="s">
        <v>41</v>
      </c>
      <c r="E18" s="191" t="s">
        <v>159</v>
      </c>
      <c r="F18" s="13" t="s">
        <v>1102</v>
      </c>
      <c r="G18" s="13" t="s">
        <v>1103</v>
      </c>
      <c r="H18" s="13" t="s">
        <v>1104</v>
      </c>
      <c r="I18" s="13" t="s">
        <v>1105</v>
      </c>
      <c r="J18" s="191" t="s">
        <v>658</v>
      </c>
      <c r="K18" s="191" t="s">
        <v>245</v>
      </c>
      <c r="L18" s="191"/>
      <c r="M18" s="191"/>
      <c r="N18" s="192"/>
      <c r="O18" s="192"/>
      <c r="P18" s="192"/>
      <c r="Q18" s="192"/>
      <c r="R18" s="192"/>
      <c r="S18" s="192"/>
      <c r="T18" s="192"/>
      <c r="U18" s="192"/>
      <c r="V18" s="192"/>
      <c r="W18" s="192"/>
      <c r="X18" s="192"/>
      <c r="Y18" s="192"/>
      <c r="Z18" s="192"/>
      <c r="AA18" s="192"/>
      <c r="AB18" s="192"/>
      <c r="AC18" s="192"/>
      <c r="AD18" s="192"/>
      <c r="AE18" s="192"/>
      <c r="AF18" s="192"/>
      <c r="AG18" s="192"/>
      <c r="AH18" s="192"/>
      <c r="AI18" s="192"/>
      <c r="AJ18" s="192"/>
      <c r="AK18" s="192"/>
      <c r="AL18" s="192"/>
      <c r="AM18" s="192"/>
      <c r="AN18" s="192"/>
      <c r="AO18" s="192"/>
      <c r="AP18" s="192"/>
      <c r="AQ18" s="192"/>
      <c r="AR18" s="193" t="str">
        <f aca="false">IF($A18="","",IF(OR($N18="Yes",$T18="Yes",$Z18="Yes",$AF18="Yes",$AL18="Yes"),"Yes","No"))</f>
        <v>No</v>
      </c>
      <c r="AS18" s="193" t="str">
        <f aca="false">IF($A18="","",IFERROR(IF($AM18&lt;&gt;"",$AM18,IF($AG18&lt;&gt;"",$AG18,IF($AA18&lt;&gt;"",$AA18,IF($U18&lt;&gt;"",$U18,IF($O18&lt;&gt;"",$O18,""))))),""))</f>
        <v/>
      </c>
      <c r="AT18" s="193" t="str">
        <f aca="false">IFERROR(IF($AN18&lt;&gt;"",$AN18,IF($AH18&lt;&gt;"",$AH18,IF($AB18&lt;&gt;"",$AB18,IF($V18&lt;&gt;"",$V18,IF($P18&lt;&gt;"",$P18,""))))),"")</f>
        <v/>
      </c>
      <c r="AU18" s="194"/>
    </row>
    <row r="19" customFormat="false" ht="102" hidden="false" customHeight="true" outlineLevel="0" collapsed="false">
      <c r="A19" s="191" t="str">
        <f aca="false">IF($F19="","",$C$2&amp;"."&amp;COUNTA($F$7:$F19)&amp;"")</f>
        <v>TC_08.9</v>
      </c>
      <c r="B19" s="191" t="s">
        <v>549</v>
      </c>
      <c r="C19" s="191" t="s">
        <v>530</v>
      </c>
      <c r="D19" s="191" t="s">
        <v>41</v>
      </c>
      <c r="E19" s="191" t="s">
        <v>160</v>
      </c>
      <c r="F19" s="13" t="s">
        <v>1106</v>
      </c>
      <c r="G19" s="13" t="s">
        <v>1107</v>
      </c>
      <c r="H19" s="13" t="s">
        <v>1108</v>
      </c>
      <c r="I19" s="13" t="s">
        <v>1109</v>
      </c>
      <c r="J19" s="191" t="s">
        <v>658</v>
      </c>
      <c r="K19" s="191" t="s">
        <v>245</v>
      </c>
      <c r="L19" s="191"/>
      <c r="M19" s="191"/>
      <c r="N19" s="192"/>
      <c r="O19" s="192"/>
      <c r="P19" s="192"/>
      <c r="Q19" s="192"/>
      <c r="R19" s="192"/>
      <c r="S19" s="192"/>
      <c r="T19" s="192"/>
      <c r="U19" s="192"/>
      <c r="V19" s="192"/>
      <c r="W19" s="192"/>
      <c r="X19" s="192"/>
      <c r="Y19" s="192"/>
      <c r="Z19" s="192"/>
      <c r="AA19" s="192"/>
      <c r="AB19" s="192"/>
      <c r="AC19" s="192"/>
      <c r="AD19" s="192"/>
      <c r="AE19" s="192"/>
      <c r="AF19" s="192"/>
      <c r="AG19" s="192"/>
      <c r="AH19" s="192"/>
      <c r="AI19" s="192"/>
      <c r="AJ19" s="192"/>
      <c r="AK19" s="192"/>
      <c r="AL19" s="192"/>
      <c r="AM19" s="192"/>
      <c r="AN19" s="192"/>
      <c r="AO19" s="192"/>
      <c r="AP19" s="192"/>
      <c r="AQ19" s="192"/>
      <c r="AR19" s="193" t="str">
        <f aca="false">IF($A19="","",IF(OR($N19="Yes",$T19="Yes",$Z19="Yes",$AF19="Yes",$AL19="Yes"),"Yes","No"))</f>
        <v>No</v>
      </c>
      <c r="AS19" s="193" t="str">
        <f aca="false">IF($A19="","",IFERROR(IF($AM19&lt;&gt;"",$AM19,IF($AG19&lt;&gt;"",$AG19,IF($AA19&lt;&gt;"",$AA19,IF($U19&lt;&gt;"",$U19,IF($O19&lt;&gt;"",$O19,""))))),""))</f>
        <v/>
      </c>
      <c r="AT19" s="193" t="str">
        <f aca="false">IFERROR(IF($AN19&lt;&gt;"",$AN19,IF($AH19&lt;&gt;"",$AH19,IF($AB19&lt;&gt;"",$AB19,IF($V19&lt;&gt;"",$V19,IF($P19&lt;&gt;"",$P19,""))))),"")</f>
        <v/>
      </c>
      <c r="AU19" s="194"/>
    </row>
    <row r="20" customFormat="false" ht="15" hidden="false" customHeight="true" outlineLevel="0" collapsed="false">
      <c r="A20" s="191"/>
      <c r="B20" s="191"/>
      <c r="C20" s="191"/>
      <c r="D20" s="191"/>
      <c r="E20" s="191"/>
      <c r="F20" s="191"/>
      <c r="G20" s="191"/>
      <c r="H20" s="191"/>
      <c r="I20" s="191"/>
      <c r="J20" s="191"/>
      <c r="K20" s="191"/>
      <c r="L20" s="191"/>
      <c r="M20" s="191"/>
      <c r="N20" s="191"/>
      <c r="O20" s="191"/>
      <c r="P20" s="191"/>
      <c r="Q20" s="191"/>
      <c r="AR20" s="195"/>
      <c r="AS20" s="195"/>
    </row>
    <row r="21" customFormat="false" ht="15.75" hidden="false" customHeight="true" outlineLevel="0" collapsed="false">
      <c r="A21" s="191"/>
      <c r="B21" s="191"/>
      <c r="C21" s="191"/>
      <c r="D21" s="191"/>
      <c r="E21" s="191"/>
      <c r="F21" s="191"/>
      <c r="G21" s="191"/>
      <c r="H21" s="191"/>
      <c r="I21" s="191"/>
      <c r="J21" s="191"/>
      <c r="K21" s="191"/>
      <c r="L21" s="191"/>
      <c r="M21" s="191"/>
      <c r="N21" s="191"/>
      <c r="O21" s="191"/>
      <c r="P21" s="191"/>
      <c r="Q21" s="191"/>
      <c r="AR21" s="195"/>
      <c r="AS21" s="195"/>
    </row>
    <row r="22" customFormat="false" ht="15.75" hidden="false" customHeight="true" outlineLevel="0" collapsed="false">
      <c r="A22" s="191"/>
      <c r="B22" s="191"/>
      <c r="C22" s="191"/>
      <c r="D22" s="191"/>
      <c r="E22" s="191"/>
      <c r="F22" s="191"/>
      <c r="G22" s="191"/>
      <c r="H22" s="191"/>
      <c r="I22" s="191"/>
      <c r="J22" s="191"/>
      <c r="K22" s="191"/>
      <c r="L22" s="191"/>
      <c r="M22" s="191"/>
      <c r="N22" s="191"/>
      <c r="O22" s="191"/>
      <c r="P22" s="191"/>
      <c r="Q22" s="191"/>
      <c r="AR22" s="195"/>
      <c r="AS22" s="195"/>
    </row>
    <row r="23" customFormat="false" ht="15.75" hidden="false" customHeight="true" outlineLevel="0" collapsed="false">
      <c r="A23" s="191"/>
      <c r="B23" s="191"/>
      <c r="C23" s="191"/>
      <c r="D23" s="191"/>
      <c r="E23" s="191"/>
      <c r="F23" s="191"/>
      <c r="G23" s="191"/>
      <c r="H23" s="191"/>
      <c r="I23" s="191"/>
      <c r="J23" s="191"/>
      <c r="K23" s="191"/>
      <c r="L23" s="191"/>
      <c r="M23" s="191"/>
      <c r="N23" s="191"/>
      <c r="O23" s="191"/>
      <c r="P23" s="191"/>
      <c r="Q23" s="191"/>
      <c r="AR23" s="195"/>
      <c r="AS23" s="195"/>
    </row>
    <row r="24" customFormat="false" ht="15.75" hidden="false" customHeight="true" outlineLevel="0" collapsed="false">
      <c r="A24" s="191"/>
      <c r="B24" s="191"/>
      <c r="C24" s="191"/>
      <c r="D24" s="191"/>
      <c r="E24" s="191"/>
      <c r="F24" s="191"/>
      <c r="G24" s="191"/>
      <c r="H24" s="191"/>
      <c r="I24" s="191"/>
      <c r="J24" s="191"/>
      <c r="K24" s="191"/>
      <c r="L24" s="191"/>
      <c r="M24" s="191"/>
      <c r="N24" s="191"/>
      <c r="O24" s="191"/>
      <c r="P24" s="191"/>
      <c r="Q24" s="191"/>
      <c r="AR24" s="195"/>
      <c r="AS24" s="195"/>
    </row>
    <row r="25" customFormat="false" ht="15.75" hidden="false" customHeight="true" outlineLevel="0" collapsed="false">
      <c r="A25" s="191"/>
      <c r="B25" s="191"/>
      <c r="C25" s="191"/>
      <c r="D25" s="191"/>
      <c r="E25" s="191"/>
      <c r="F25" s="191"/>
      <c r="G25" s="191"/>
      <c r="H25" s="191"/>
      <c r="I25" s="191"/>
      <c r="J25" s="191"/>
      <c r="K25" s="191"/>
      <c r="L25" s="191"/>
      <c r="M25" s="191"/>
      <c r="N25" s="191"/>
      <c r="O25" s="191"/>
      <c r="P25" s="191"/>
      <c r="Q25" s="191"/>
      <c r="AR25" s="195"/>
      <c r="AS25" s="195"/>
    </row>
    <row r="26" customFormat="false" ht="15.75" hidden="false" customHeight="true" outlineLevel="0" collapsed="false">
      <c r="A26" s="191"/>
      <c r="B26" s="191"/>
      <c r="C26" s="191"/>
      <c r="D26" s="191"/>
      <c r="E26" s="191"/>
      <c r="F26" s="191"/>
      <c r="G26" s="191"/>
      <c r="H26" s="191"/>
      <c r="I26" s="191"/>
      <c r="J26" s="191"/>
      <c r="K26" s="191"/>
      <c r="L26" s="191"/>
      <c r="M26" s="191"/>
      <c r="N26" s="191"/>
      <c r="O26" s="191"/>
      <c r="P26" s="191"/>
      <c r="Q26" s="191"/>
      <c r="AR26" s="195"/>
      <c r="AS26" s="195"/>
    </row>
    <row r="27" customFormat="false" ht="15.75" hidden="false" customHeight="true" outlineLevel="0" collapsed="false">
      <c r="A27" s="191"/>
      <c r="B27" s="191"/>
      <c r="C27" s="191"/>
      <c r="D27" s="191"/>
      <c r="E27" s="191"/>
      <c r="F27" s="191"/>
      <c r="G27" s="191"/>
      <c r="H27" s="191"/>
      <c r="I27" s="191"/>
      <c r="J27" s="191"/>
      <c r="K27" s="191"/>
      <c r="L27" s="191"/>
      <c r="M27" s="191"/>
      <c r="N27" s="191"/>
      <c r="O27" s="191"/>
      <c r="P27" s="191"/>
      <c r="Q27" s="191"/>
      <c r="AR27" s="195"/>
      <c r="AS27" s="195"/>
    </row>
    <row r="28" customFormat="false" ht="15.75" hidden="false" customHeight="true" outlineLevel="0" collapsed="false">
      <c r="A28" s="191"/>
      <c r="B28" s="191"/>
      <c r="C28" s="191"/>
      <c r="D28" s="191"/>
      <c r="E28" s="191"/>
      <c r="F28" s="191"/>
      <c r="G28" s="191"/>
      <c r="H28" s="191"/>
      <c r="I28" s="191"/>
      <c r="J28" s="191"/>
      <c r="K28" s="191"/>
      <c r="L28" s="191"/>
      <c r="M28" s="191"/>
      <c r="N28" s="191"/>
      <c r="O28" s="191"/>
      <c r="P28" s="191"/>
      <c r="Q28" s="191"/>
      <c r="AR28" s="195"/>
      <c r="AS28" s="195"/>
    </row>
    <row r="29" customFormat="false" ht="15.75" hidden="false" customHeight="true" outlineLevel="0" collapsed="false">
      <c r="A29" s="191"/>
      <c r="B29" s="191"/>
      <c r="C29" s="191"/>
      <c r="D29" s="191"/>
      <c r="E29" s="191"/>
      <c r="F29" s="191"/>
      <c r="G29" s="191"/>
      <c r="H29" s="191"/>
      <c r="I29" s="191"/>
      <c r="J29" s="191"/>
      <c r="K29" s="191"/>
      <c r="L29" s="191"/>
      <c r="M29" s="191"/>
      <c r="N29" s="191"/>
      <c r="O29" s="191"/>
      <c r="P29" s="191"/>
      <c r="Q29" s="191"/>
      <c r="AR29" s="195"/>
      <c r="AS29" s="195"/>
    </row>
    <row r="30" customFormat="false" ht="15.75" hidden="false" customHeight="true" outlineLevel="0" collapsed="false">
      <c r="A30" s="191"/>
      <c r="B30" s="191"/>
      <c r="C30" s="191"/>
      <c r="D30" s="191"/>
      <c r="E30" s="191"/>
      <c r="F30" s="191"/>
      <c r="G30" s="191"/>
      <c r="H30" s="191"/>
      <c r="I30" s="191"/>
      <c r="J30" s="191"/>
      <c r="K30" s="191"/>
      <c r="L30" s="191"/>
      <c r="M30" s="191"/>
      <c r="N30" s="191"/>
      <c r="O30" s="191"/>
      <c r="P30" s="191"/>
      <c r="Q30" s="191"/>
      <c r="AR30" s="195"/>
      <c r="AS30" s="195"/>
    </row>
    <row r="31" customFormat="false" ht="15.75" hidden="false" customHeight="true" outlineLevel="0" collapsed="false">
      <c r="A31" s="191"/>
      <c r="B31" s="191"/>
      <c r="C31" s="191"/>
      <c r="D31" s="191"/>
      <c r="E31" s="191"/>
      <c r="F31" s="191"/>
      <c r="G31" s="191"/>
      <c r="H31" s="191"/>
      <c r="I31" s="191"/>
      <c r="J31" s="191"/>
      <c r="K31" s="191"/>
      <c r="L31" s="191"/>
      <c r="M31" s="191"/>
      <c r="N31" s="191"/>
      <c r="O31" s="191"/>
      <c r="P31" s="191"/>
      <c r="Q31" s="191"/>
      <c r="AR31" s="195"/>
      <c r="AS31" s="195"/>
    </row>
    <row r="32" customFormat="false" ht="15.75" hidden="false" customHeight="true" outlineLevel="0" collapsed="false">
      <c r="A32" s="191"/>
      <c r="B32" s="191"/>
      <c r="C32" s="191"/>
      <c r="D32" s="191"/>
      <c r="E32" s="191"/>
      <c r="F32" s="191"/>
      <c r="G32" s="191"/>
      <c r="H32" s="191"/>
      <c r="I32" s="191"/>
      <c r="J32" s="191"/>
      <c r="K32" s="191"/>
      <c r="L32" s="191"/>
      <c r="M32" s="191"/>
      <c r="N32" s="191"/>
      <c r="O32" s="191"/>
      <c r="P32" s="191"/>
      <c r="Q32" s="191"/>
      <c r="AR32" s="195"/>
      <c r="AS32" s="195"/>
    </row>
    <row r="33" customFormat="false" ht="15.75" hidden="false" customHeight="true" outlineLevel="0" collapsed="false">
      <c r="A33" s="191"/>
      <c r="B33" s="191"/>
      <c r="C33" s="191"/>
      <c r="D33" s="191"/>
      <c r="E33" s="191"/>
      <c r="F33" s="191"/>
      <c r="G33" s="191"/>
      <c r="H33" s="191"/>
      <c r="I33" s="191"/>
      <c r="J33" s="191"/>
      <c r="K33" s="191"/>
      <c r="L33" s="191"/>
      <c r="M33" s="191"/>
      <c r="N33" s="191"/>
      <c r="O33" s="191"/>
      <c r="P33" s="191"/>
      <c r="Q33" s="191"/>
      <c r="AR33" s="195"/>
      <c r="AS33" s="195"/>
    </row>
    <row r="34" customFormat="false" ht="15.75" hidden="false" customHeight="true" outlineLevel="0" collapsed="false">
      <c r="A34" s="191"/>
      <c r="B34" s="191"/>
      <c r="C34" s="191"/>
      <c r="D34" s="191"/>
      <c r="E34" s="191"/>
      <c r="F34" s="191"/>
      <c r="G34" s="191"/>
      <c r="H34" s="191"/>
      <c r="I34" s="191"/>
      <c r="J34" s="191"/>
      <c r="K34" s="191"/>
      <c r="L34" s="191"/>
      <c r="M34" s="191"/>
      <c r="N34" s="191"/>
      <c r="O34" s="191"/>
      <c r="P34" s="191"/>
      <c r="Q34" s="191"/>
      <c r="AR34" s="195"/>
      <c r="AS34" s="195"/>
    </row>
    <row r="35" customFormat="false" ht="15.75" hidden="false" customHeight="true" outlineLevel="0" collapsed="false">
      <c r="A35" s="191"/>
      <c r="B35" s="191"/>
      <c r="C35" s="191"/>
      <c r="D35" s="191"/>
      <c r="E35" s="191"/>
      <c r="F35" s="191"/>
      <c r="G35" s="191"/>
      <c r="H35" s="191"/>
      <c r="I35" s="191"/>
      <c r="J35" s="191"/>
      <c r="K35" s="191"/>
      <c r="L35" s="191"/>
      <c r="M35" s="191"/>
      <c r="N35" s="191"/>
      <c r="O35" s="191"/>
      <c r="P35" s="191"/>
      <c r="Q35" s="191"/>
      <c r="AR35" s="195"/>
      <c r="AS35" s="195"/>
    </row>
    <row r="36" customFormat="false" ht="15.75" hidden="false" customHeight="true" outlineLevel="0" collapsed="false">
      <c r="A36" s="191"/>
      <c r="B36" s="191"/>
      <c r="C36" s="191"/>
      <c r="D36" s="191"/>
      <c r="E36" s="191"/>
      <c r="F36" s="191"/>
      <c r="G36" s="191"/>
      <c r="H36" s="191"/>
      <c r="I36" s="191"/>
      <c r="J36" s="191"/>
      <c r="K36" s="191"/>
      <c r="L36" s="191"/>
      <c r="M36" s="191"/>
      <c r="N36" s="191"/>
      <c r="O36" s="191"/>
      <c r="P36" s="191"/>
      <c r="Q36" s="191"/>
      <c r="AR36" s="195"/>
      <c r="AS36" s="195"/>
    </row>
    <row r="37" customFormat="false" ht="15.75" hidden="false" customHeight="true" outlineLevel="0" collapsed="false">
      <c r="A37" s="191"/>
      <c r="B37" s="191"/>
      <c r="C37" s="191"/>
      <c r="D37" s="191"/>
      <c r="E37" s="191"/>
      <c r="F37" s="191"/>
      <c r="G37" s="191"/>
      <c r="H37" s="191"/>
      <c r="I37" s="191"/>
      <c r="J37" s="191"/>
      <c r="K37" s="191"/>
      <c r="L37" s="191"/>
      <c r="M37" s="191"/>
      <c r="N37" s="191"/>
      <c r="O37" s="191"/>
      <c r="P37" s="191"/>
      <c r="Q37" s="191"/>
      <c r="AR37" s="195"/>
      <c r="AS37" s="195"/>
    </row>
    <row r="38" customFormat="false" ht="15.75" hidden="false" customHeight="true" outlineLevel="0" collapsed="false">
      <c r="A38" s="191"/>
      <c r="B38" s="191"/>
      <c r="C38" s="191"/>
      <c r="D38" s="191"/>
      <c r="E38" s="191"/>
      <c r="F38" s="191"/>
      <c r="G38" s="191"/>
      <c r="H38" s="191"/>
      <c r="I38" s="191"/>
      <c r="J38" s="191"/>
      <c r="K38" s="191"/>
      <c r="L38" s="191"/>
      <c r="M38" s="191"/>
      <c r="N38" s="191"/>
      <c r="O38" s="191"/>
      <c r="P38" s="191"/>
      <c r="Q38" s="191"/>
      <c r="AR38" s="195"/>
      <c r="AS38" s="195"/>
    </row>
    <row r="39" customFormat="false" ht="15.75" hidden="false" customHeight="true" outlineLevel="0" collapsed="false">
      <c r="A39" s="191"/>
      <c r="B39" s="191"/>
      <c r="C39" s="191"/>
      <c r="D39" s="191"/>
      <c r="E39" s="191"/>
      <c r="F39" s="191"/>
      <c r="G39" s="191"/>
      <c r="H39" s="191"/>
      <c r="I39" s="191"/>
      <c r="J39" s="191"/>
      <c r="K39" s="191"/>
      <c r="L39" s="191"/>
      <c r="M39" s="191"/>
      <c r="N39" s="191"/>
      <c r="O39" s="191"/>
      <c r="P39" s="191"/>
      <c r="Q39" s="191"/>
      <c r="AR39" s="195"/>
      <c r="AS39" s="195"/>
    </row>
    <row r="40" customFormat="false" ht="15.75" hidden="false" customHeight="true" outlineLevel="0" collapsed="false">
      <c r="A40" s="191"/>
      <c r="B40" s="191"/>
      <c r="C40" s="191"/>
      <c r="D40" s="191"/>
      <c r="E40" s="191"/>
      <c r="F40" s="191"/>
      <c r="G40" s="191"/>
      <c r="H40" s="191"/>
      <c r="I40" s="191"/>
      <c r="J40" s="191"/>
      <c r="K40" s="191"/>
      <c r="L40" s="191"/>
      <c r="M40" s="191"/>
      <c r="N40" s="191"/>
      <c r="O40" s="191"/>
      <c r="P40" s="191"/>
      <c r="Q40" s="191"/>
      <c r="AR40" s="195"/>
      <c r="AS40" s="195"/>
    </row>
    <row r="41" customFormat="false" ht="15.75" hidden="false" customHeight="true" outlineLevel="0" collapsed="false">
      <c r="A41" s="191"/>
      <c r="B41" s="191"/>
      <c r="C41" s="191"/>
      <c r="D41" s="191"/>
      <c r="E41" s="191"/>
      <c r="F41" s="191"/>
      <c r="G41" s="191"/>
      <c r="H41" s="191"/>
      <c r="I41" s="191"/>
      <c r="J41" s="191"/>
      <c r="K41" s="191"/>
      <c r="L41" s="191"/>
      <c r="M41" s="191"/>
      <c r="N41" s="191"/>
      <c r="O41" s="191"/>
      <c r="P41" s="191"/>
      <c r="Q41" s="191"/>
      <c r="AR41" s="195"/>
      <c r="AS41" s="195"/>
    </row>
    <row r="42" customFormat="false" ht="15.75" hidden="false" customHeight="true" outlineLevel="0" collapsed="false">
      <c r="A42" s="191"/>
      <c r="B42" s="191"/>
      <c r="C42" s="191"/>
      <c r="D42" s="191"/>
      <c r="E42" s="191"/>
      <c r="F42" s="191"/>
      <c r="G42" s="191"/>
      <c r="H42" s="191"/>
      <c r="I42" s="191"/>
      <c r="J42" s="191"/>
      <c r="K42" s="191"/>
      <c r="L42" s="191"/>
      <c r="M42" s="191"/>
      <c r="N42" s="191"/>
      <c r="O42" s="191"/>
      <c r="P42" s="191"/>
      <c r="Q42" s="191"/>
      <c r="AR42" s="195"/>
      <c r="AS42" s="195"/>
    </row>
    <row r="43" customFormat="false" ht="15.75" hidden="false" customHeight="true" outlineLevel="0" collapsed="false">
      <c r="A43" s="191"/>
      <c r="B43" s="191"/>
      <c r="C43" s="191"/>
      <c r="D43" s="191"/>
      <c r="E43" s="191"/>
      <c r="F43" s="191"/>
      <c r="G43" s="191"/>
      <c r="H43" s="191"/>
      <c r="I43" s="191"/>
      <c r="J43" s="191"/>
      <c r="K43" s="191"/>
      <c r="L43" s="191"/>
      <c r="M43" s="191"/>
      <c r="N43" s="191"/>
      <c r="O43" s="191"/>
      <c r="P43" s="191"/>
      <c r="Q43" s="191"/>
      <c r="AR43" s="195"/>
      <c r="AS43" s="195"/>
    </row>
    <row r="44" customFormat="false" ht="15.75" hidden="false" customHeight="true" outlineLevel="0" collapsed="false">
      <c r="A44" s="191"/>
      <c r="B44" s="191"/>
      <c r="C44" s="191"/>
      <c r="D44" s="191"/>
      <c r="E44" s="191"/>
      <c r="F44" s="191"/>
      <c r="G44" s="191"/>
      <c r="H44" s="191"/>
      <c r="I44" s="191"/>
      <c r="J44" s="191"/>
      <c r="K44" s="191"/>
      <c r="L44" s="191"/>
      <c r="M44" s="191"/>
      <c r="N44" s="191"/>
      <c r="O44" s="191"/>
      <c r="P44" s="191"/>
      <c r="Q44" s="191"/>
      <c r="AR44" s="195"/>
      <c r="AS44" s="195"/>
    </row>
    <row r="45" customFormat="false" ht="15.75" hidden="false" customHeight="true" outlineLevel="0" collapsed="false">
      <c r="A45" s="191"/>
      <c r="B45" s="191"/>
      <c r="C45" s="191"/>
      <c r="D45" s="191"/>
      <c r="E45" s="191"/>
      <c r="F45" s="191"/>
      <c r="G45" s="191"/>
      <c r="H45" s="191"/>
      <c r="I45" s="191"/>
      <c r="J45" s="191"/>
      <c r="K45" s="191"/>
      <c r="L45" s="191"/>
      <c r="M45" s="191"/>
      <c r="N45" s="191"/>
      <c r="O45" s="191"/>
      <c r="P45" s="191"/>
      <c r="Q45" s="191"/>
      <c r="AR45" s="195"/>
      <c r="AS45" s="195"/>
    </row>
    <row r="46" customFormat="false" ht="15.75" hidden="false" customHeight="true" outlineLevel="0" collapsed="false">
      <c r="A46" s="191"/>
      <c r="B46" s="191"/>
      <c r="C46" s="191"/>
      <c r="D46" s="191"/>
      <c r="E46" s="191"/>
      <c r="F46" s="191"/>
      <c r="G46" s="191"/>
      <c r="H46" s="191"/>
      <c r="I46" s="191"/>
      <c r="J46" s="191"/>
      <c r="K46" s="191"/>
      <c r="L46" s="191"/>
      <c r="M46" s="191"/>
      <c r="N46" s="191"/>
      <c r="O46" s="191"/>
      <c r="P46" s="191"/>
      <c r="Q46" s="191"/>
      <c r="AR46" s="195"/>
      <c r="AS46" s="195"/>
    </row>
    <row r="47" customFormat="false" ht="15.75" hidden="false" customHeight="true" outlineLevel="0" collapsed="false">
      <c r="A47" s="191"/>
      <c r="B47" s="191"/>
      <c r="C47" s="191"/>
      <c r="D47" s="191"/>
      <c r="E47" s="191"/>
      <c r="F47" s="191"/>
      <c r="G47" s="191"/>
      <c r="H47" s="191"/>
      <c r="I47" s="191"/>
      <c r="J47" s="191"/>
      <c r="K47" s="191"/>
      <c r="L47" s="191"/>
      <c r="M47" s="191"/>
      <c r="N47" s="191"/>
      <c r="O47" s="191"/>
      <c r="P47" s="191"/>
      <c r="Q47" s="191"/>
      <c r="AR47" s="195"/>
      <c r="AS47" s="195"/>
    </row>
    <row r="48" customFormat="false" ht="15.75" hidden="false" customHeight="true" outlineLevel="0" collapsed="false">
      <c r="A48" s="191"/>
      <c r="B48" s="191"/>
      <c r="C48" s="191"/>
      <c r="D48" s="191"/>
      <c r="E48" s="191"/>
      <c r="F48" s="191"/>
      <c r="G48" s="191"/>
      <c r="H48" s="191"/>
      <c r="I48" s="191"/>
      <c r="J48" s="191"/>
      <c r="K48" s="191"/>
      <c r="L48" s="191"/>
      <c r="M48" s="191"/>
      <c r="N48" s="191"/>
      <c r="O48" s="191"/>
      <c r="P48" s="191"/>
      <c r="Q48" s="191"/>
      <c r="AR48" s="195"/>
      <c r="AS48" s="195"/>
    </row>
    <row r="49" customFormat="false" ht="15.75" hidden="false" customHeight="true" outlineLevel="0" collapsed="false">
      <c r="A49" s="191"/>
      <c r="B49" s="191"/>
      <c r="C49" s="191"/>
      <c r="D49" s="191"/>
      <c r="E49" s="191"/>
      <c r="F49" s="191"/>
      <c r="G49" s="191"/>
      <c r="H49" s="191"/>
      <c r="I49" s="191"/>
      <c r="J49" s="191"/>
      <c r="K49" s="191"/>
      <c r="L49" s="191"/>
      <c r="M49" s="191"/>
      <c r="N49" s="191"/>
      <c r="O49" s="191"/>
      <c r="P49" s="191"/>
      <c r="Q49" s="191"/>
      <c r="AR49" s="195"/>
      <c r="AS49" s="195"/>
    </row>
    <row r="50" customFormat="false" ht="15.75" hidden="false" customHeight="true" outlineLevel="0" collapsed="false">
      <c r="A50" s="191"/>
      <c r="B50" s="191"/>
      <c r="C50" s="191"/>
      <c r="D50" s="191"/>
      <c r="E50" s="191"/>
      <c r="F50" s="191"/>
      <c r="G50" s="191"/>
      <c r="H50" s="191"/>
      <c r="I50" s="191"/>
      <c r="J50" s="191"/>
      <c r="K50" s="191"/>
      <c r="L50" s="191"/>
      <c r="M50" s="191"/>
      <c r="N50" s="191"/>
      <c r="O50" s="191"/>
      <c r="P50" s="191"/>
      <c r="Q50" s="191"/>
      <c r="AR50" s="195"/>
      <c r="AS50" s="195"/>
    </row>
    <row r="51" customFormat="false" ht="15.75" hidden="false" customHeight="true" outlineLevel="0" collapsed="false">
      <c r="A51" s="191"/>
      <c r="B51" s="191"/>
      <c r="C51" s="191"/>
      <c r="D51" s="191"/>
      <c r="E51" s="191"/>
      <c r="F51" s="191"/>
      <c r="G51" s="191"/>
      <c r="H51" s="191"/>
      <c r="I51" s="191"/>
      <c r="J51" s="191"/>
      <c r="K51" s="191"/>
      <c r="L51" s="191"/>
      <c r="M51" s="191"/>
      <c r="N51" s="191"/>
      <c r="O51" s="191"/>
      <c r="P51" s="191"/>
      <c r="Q51" s="191"/>
      <c r="AR51" s="195"/>
      <c r="AS51" s="195"/>
    </row>
    <row r="52" customFormat="false" ht="15.75" hidden="false" customHeight="true" outlineLevel="0" collapsed="false">
      <c r="A52" s="191"/>
      <c r="B52" s="191"/>
      <c r="C52" s="191"/>
      <c r="D52" s="191"/>
      <c r="E52" s="191"/>
      <c r="F52" s="191"/>
      <c r="G52" s="191"/>
      <c r="H52" s="191"/>
      <c r="I52" s="191"/>
      <c r="J52" s="191"/>
      <c r="K52" s="191"/>
      <c r="L52" s="191"/>
      <c r="M52" s="191"/>
      <c r="N52" s="191"/>
      <c r="O52" s="191"/>
      <c r="P52" s="191"/>
      <c r="Q52" s="191"/>
      <c r="AR52" s="195"/>
      <c r="AS52" s="195"/>
    </row>
    <row r="53" customFormat="false" ht="15.75" hidden="false" customHeight="true" outlineLevel="0" collapsed="false">
      <c r="A53" s="191"/>
      <c r="B53" s="191"/>
      <c r="C53" s="191"/>
      <c r="D53" s="191"/>
      <c r="E53" s="191"/>
      <c r="F53" s="191"/>
      <c r="G53" s="191"/>
      <c r="H53" s="191"/>
      <c r="I53" s="191"/>
      <c r="J53" s="191"/>
      <c r="K53" s="191"/>
      <c r="L53" s="191"/>
      <c r="M53" s="191"/>
      <c r="N53" s="191"/>
      <c r="O53" s="191"/>
      <c r="P53" s="191"/>
      <c r="Q53" s="191"/>
      <c r="AR53" s="195"/>
      <c r="AS53" s="195"/>
    </row>
    <row r="54" customFormat="false" ht="15.75" hidden="false" customHeight="true" outlineLevel="0" collapsed="false">
      <c r="A54" s="191"/>
      <c r="B54" s="191"/>
      <c r="C54" s="191"/>
      <c r="D54" s="191"/>
      <c r="E54" s="191"/>
      <c r="F54" s="191"/>
      <c r="G54" s="191"/>
      <c r="H54" s="191"/>
      <c r="I54" s="191"/>
      <c r="J54" s="191"/>
      <c r="K54" s="191"/>
      <c r="L54" s="191"/>
      <c r="M54" s="191"/>
      <c r="N54" s="191"/>
      <c r="O54" s="191"/>
      <c r="P54" s="191"/>
      <c r="Q54" s="191"/>
      <c r="AR54" s="195"/>
      <c r="AS54" s="195"/>
    </row>
    <row r="55" customFormat="false" ht="15.75" hidden="false" customHeight="true" outlineLevel="0" collapsed="false">
      <c r="A55" s="191"/>
      <c r="B55" s="191"/>
      <c r="C55" s="191"/>
      <c r="D55" s="191"/>
      <c r="E55" s="191"/>
      <c r="F55" s="191"/>
      <c r="G55" s="191"/>
      <c r="H55" s="191"/>
      <c r="I55" s="191"/>
      <c r="J55" s="191"/>
      <c r="K55" s="191"/>
      <c r="L55" s="191"/>
      <c r="M55" s="191"/>
      <c r="N55" s="191"/>
      <c r="O55" s="191"/>
      <c r="P55" s="191"/>
      <c r="Q55" s="191"/>
      <c r="AR55" s="195"/>
      <c r="AS55" s="195"/>
    </row>
    <row r="56" customFormat="false" ht="15.75" hidden="false" customHeight="true" outlineLevel="0" collapsed="false">
      <c r="A56" s="191"/>
      <c r="B56" s="191"/>
      <c r="C56" s="191"/>
      <c r="D56" s="191"/>
      <c r="E56" s="191"/>
      <c r="F56" s="191"/>
      <c r="G56" s="191"/>
      <c r="H56" s="191"/>
      <c r="I56" s="191"/>
      <c r="J56" s="191"/>
      <c r="K56" s="191"/>
      <c r="L56" s="191"/>
      <c r="M56" s="191"/>
      <c r="N56" s="191"/>
      <c r="O56" s="191"/>
      <c r="P56" s="191"/>
      <c r="Q56" s="191"/>
      <c r="AR56" s="195"/>
      <c r="AS56" s="195"/>
    </row>
    <row r="57" customFormat="false" ht="15.75" hidden="false" customHeight="true" outlineLevel="0" collapsed="false">
      <c r="A57" s="191"/>
      <c r="B57" s="191"/>
      <c r="C57" s="191"/>
      <c r="D57" s="191"/>
      <c r="E57" s="191"/>
      <c r="F57" s="191"/>
      <c r="G57" s="191"/>
      <c r="H57" s="191"/>
      <c r="I57" s="191"/>
      <c r="J57" s="191"/>
      <c r="K57" s="191"/>
      <c r="L57" s="191"/>
      <c r="M57" s="191"/>
      <c r="N57" s="191"/>
      <c r="O57" s="191"/>
      <c r="P57" s="191"/>
      <c r="Q57" s="191"/>
      <c r="AR57" s="195"/>
      <c r="AS57" s="195"/>
    </row>
    <row r="58" customFormat="false" ht="15.75" hidden="false" customHeight="true" outlineLevel="0" collapsed="false">
      <c r="A58" s="191"/>
      <c r="B58" s="191"/>
      <c r="C58" s="191"/>
      <c r="D58" s="191"/>
      <c r="E58" s="191"/>
      <c r="F58" s="191"/>
      <c r="G58" s="191"/>
      <c r="H58" s="191"/>
      <c r="I58" s="191"/>
      <c r="J58" s="191"/>
      <c r="K58" s="191"/>
      <c r="L58" s="191"/>
      <c r="M58" s="191"/>
      <c r="N58" s="191"/>
      <c r="O58" s="191"/>
      <c r="P58" s="191"/>
      <c r="Q58" s="191"/>
      <c r="AR58" s="195"/>
      <c r="AS58" s="195"/>
    </row>
    <row r="59" customFormat="false" ht="15.75" hidden="false" customHeight="true" outlineLevel="0" collapsed="false">
      <c r="A59" s="191"/>
      <c r="B59" s="191"/>
      <c r="C59" s="191"/>
      <c r="D59" s="191"/>
      <c r="E59" s="191"/>
      <c r="F59" s="191"/>
      <c r="G59" s="191"/>
      <c r="H59" s="191"/>
      <c r="I59" s="191"/>
      <c r="J59" s="191"/>
      <c r="K59" s="191"/>
      <c r="L59" s="191"/>
      <c r="M59" s="191"/>
      <c r="N59" s="191"/>
      <c r="O59" s="191"/>
      <c r="P59" s="191"/>
      <c r="Q59" s="191"/>
      <c r="AR59" s="195"/>
      <c r="AS59" s="195"/>
    </row>
    <row r="60" customFormat="false" ht="15.75" hidden="false" customHeight="true" outlineLevel="0" collapsed="false">
      <c r="A60" s="191"/>
      <c r="B60" s="191"/>
      <c r="C60" s="191"/>
      <c r="D60" s="191"/>
      <c r="E60" s="191"/>
      <c r="F60" s="191"/>
      <c r="G60" s="191"/>
      <c r="H60" s="191"/>
      <c r="I60" s="191"/>
      <c r="J60" s="191"/>
      <c r="K60" s="191"/>
      <c r="L60" s="191"/>
      <c r="M60" s="191"/>
      <c r="N60" s="191"/>
      <c r="O60" s="191"/>
      <c r="P60" s="191"/>
      <c r="Q60" s="191"/>
      <c r="AR60" s="195"/>
      <c r="AS60" s="195"/>
    </row>
    <row r="61" customFormat="false" ht="15.75" hidden="false" customHeight="true" outlineLevel="0" collapsed="false">
      <c r="AV61" s="1"/>
    </row>
    <row r="62" customFormat="false" ht="15.75" hidden="false" customHeight="true" outlineLevel="0" collapsed="false">
      <c r="AV62" s="1"/>
    </row>
    <row r="63" customFormat="false" ht="15.75" hidden="false" customHeight="true" outlineLevel="0" collapsed="false">
      <c r="AV63" s="1"/>
    </row>
    <row r="64" customFormat="false" ht="15.75" hidden="false" customHeight="true" outlineLevel="0" collapsed="false">
      <c r="AV64" s="1"/>
    </row>
    <row r="65" customFormat="false" ht="15.75" hidden="false" customHeight="true" outlineLevel="0" collapsed="false">
      <c r="AV65" s="1"/>
    </row>
    <row r="66" customFormat="false" ht="15.75" hidden="false" customHeight="true" outlineLevel="0" collapsed="false">
      <c r="AV66" s="1"/>
    </row>
    <row r="67" customFormat="false" ht="15.75" hidden="false" customHeight="true" outlineLevel="0" collapsed="false">
      <c r="AV67" s="1"/>
    </row>
    <row r="68" customFormat="false" ht="15.75" hidden="false" customHeight="true" outlineLevel="0" collapsed="false">
      <c r="AV68" s="1"/>
    </row>
    <row r="69" customFormat="false" ht="15.75" hidden="false" customHeight="true" outlineLevel="0" collapsed="false">
      <c r="AV69" s="1"/>
    </row>
    <row r="70" customFormat="false" ht="15.75" hidden="false" customHeight="true" outlineLevel="0" collapsed="false">
      <c r="AV70" s="1"/>
    </row>
    <row r="71" customFormat="false" ht="15.75" hidden="false" customHeight="true" outlineLevel="0" collapsed="false">
      <c r="AV71" s="1"/>
    </row>
    <row r="72" customFormat="false" ht="15.75" hidden="false" customHeight="true" outlineLevel="0" collapsed="false">
      <c r="AV72" s="1"/>
    </row>
    <row r="73" customFormat="false" ht="15.75" hidden="false" customHeight="true" outlineLevel="0" collapsed="false">
      <c r="AV73" s="1"/>
    </row>
    <row r="74" customFormat="false" ht="15.75" hidden="false" customHeight="true" outlineLevel="0" collapsed="false">
      <c r="AV74" s="1"/>
    </row>
    <row r="75" customFormat="false" ht="15.75" hidden="false" customHeight="true" outlineLevel="0" collapsed="false">
      <c r="AV75" s="1"/>
    </row>
    <row r="76" customFormat="false" ht="15.75" hidden="false" customHeight="true" outlineLevel="0" collapsed="false">
      <c r="AV76" s="1"/>
    </row>
    <row r="77" customFormat="false" ht="15.75" hidden="false" customHeight="true" outlineLevel="0" collapsed="false">
      <c r="AV77" s="1"/>
    </row>
    <row r="78" customFormat="false" ht="15.75" hidden="false" customHeight="true" outlineLevel="0" collapsed="false">
      <c r="AV78" s="1"/>
    </row>
    <row r="79" customFormat="false" ht="15.75" hidden="false" customHeight="true" outlineLevel="0" collapsed="false">
      <c r="AV79" s="1"/>
    </row>
    <row r="80" customFormat="false" ht="15.75" hidden="false" customHeight="true" outlineLevel="0" collapsed="false">
      <c r="AV80" s="1"/>
    </row>
    <row r="81" customFormat="false" ht="15.75" hidden="false" customHeight="true" outlineLevel="0" collapsed="false">
      <c r="AV81" s="1"/>
    </row>
    <row r="82" customFormat="false" ht="15.75" hidden="false" customHeight="true" outlineLevel="0" collapsed="false">
      <c r="AV82" s="1"/>
    </row>
    <row r="83" customFormat="false" ht="15.75" hidden="false" customHeight="true" outlineLevel="0" collapsed="false">
      <c r="AV83" s="1"/>
    </row>
    <row r="84" customFormat="false" ht="15.75" hidden="false" customHeight="true" outlineLevel="0" collapsed="false">
      <c r="AV84" s="1"/>
    </row>
    <row r="85" customFormat="false" ht="15.75" hidden="false" customHeight="true" outlineLevel="0" collapsed="false">
      <c r="AV85" s="1"/>
    </row>
    <row r="86" customFormat="false" ht="15.75" hidden="false" customHeight="true" outlineLevel="0" collapsed="false">
      <c r="AV86" s="1"/>
    </row>
    <row r="87" customFormat="false" ht="15.75" hidden="false" customHeight="true" outlineLevel="0" collapsed="false">
      <c r="AV87" s="1"/>
    </row>
    <row r="88" customFormat="false" ht="15.75" hidden="false" customHeight="true" outlineLevel="0" collapsed="false">
      <c r="AV88" s="1"/>
    </row>
    <row r="89" customFormat="false" ht="15.75" hidden="false" customHeight="true" outlineLevel="0" collapsed="false">
      <c r="AV89" s="1"/>
    </row>
    <row r="90" customFormat="false" ht="15.75" hidden="false" customHeight="true" outlineLevel="0" collapsed="false">
      <c r="AV90" s="1"/>
    </row>
    <row r="91" customFormat="false" ht="15.75" hidden="false" customHeight="true" outlineLevel="0" collapsed="false">
      <c r="AV91" s="1"/>
    </row>
    <row r="92" customFormat="false" ht="15.75" hidden="false" customHeight="true" outlineLevel="0" collapsed="false">
      <c r="AV92" s="1"/>
    </row>
    <row r="93" customFormat="false" ht="15.75" hidden="false" customHeight="true" outlineLevel="0" collapsed="false">
      <c r="AV93" s="1"/>
    </row>
    <row r="94" customFormat="false" ht="15.75" hidden="false" customHeight="true" outlineLevel="0" collapsed="false">
      <c r="AV94" s="1"/>
    </row>
    <row r="95" customFormat="false" ht="15.75" hidden="false" customHeight="true" outlineLevel="0" collapsed="false">
      <c r="AV95" s="1"/>
    </row>
    <row r="96" customFormat="false" ht="15.75" hidden="false" customHeight="true" outlineLevel="0" collapsed="false">
      <c r="AV96" s="1"/>
    </row>
    <row r="97" customFormat="false" ht="15.75" hidden="false" customHeight="true" outlineLevel="0" collapsed="false">
      <c r="AV97" s="1"/>
    </row>
    <row r="98" customFormat="false" ht="15.75" hidden="false" customHeight="true" outlineLevel="0" collapsed="false">
      <c r="AV98" s="1"/>
    </row>
    <row r="99" customFormat="false" ht="15.75" hidden="false" customHeight="true" outlineLevel="0" collapsed="false">
      <c r="AV99" s="1"/>
    </row>
    <row r="100" customFormat="false" ht="15.75" hidden="false" customHeight="true" outlineLevel="0" collapsed="false">
      <c r="AV100" s="1"/>
    </row>
    <row r="101" customFormat="false" ht="15.75" hidden="false" customHeight="true" outlineLevel="0" collapsed="false">
      <c r="AV101" s="1"/>
    </row>
    <row r="102" customFormat="false" ht="15.75" hidden="false" customHeight="true" outlineLevel="0" collapsed="false">
      <c r="AV102" s="1"/>
    </row>
    <row r="103" customFormat="false" ht="15.75" hidden="false" customHeight="true" outlineLevel="0" collapsed="false">
      <c r="AV103" s="1"/>
    </row>
    <row r="104" customFormat="false" ht="15.75" hidden="false" customHeight="true" outlineLevel="0" collapsed="false">
      <c r="AV104" s="1"/>
    </row>
    <row r="105" customFormat="false" ht="15.75" hidden="false" customHeight="true" outlineLevel="0" collapsed="false">
      <c r="AV105" s="1"/>
    </row>
    <row r="106" customFormat="false" ht="15.75" hidden="false" customHeight="true" outlineLevel="0" collapsed="false">
      <c r="AV106" s="1"/>
    </row>
    <row r="107" customFormat="false" ht="15.75" hidden="false" customHeight="true" outlineLevel="0" collapsed="false">
      <c r="AV107" s="1"/>
    </row>
    <row r="108" customFormat="false" ht="15.75" hidden="false" customHeight="true" outlineLevel="0" collapsed="false">
      <c r="AV108" s="1"/>
    </row>
    <row r="109" customFormat="false" ht="15.75" hidden="false" customHeight="true" outlineLevel="0" collapsed="false">
      <c r="AV109" s="1"/>
    </row>
    <row r="110" customFormat="false" ht="15.75" hidden="false" customHeight="true" outlineLevel="0" collapsed="false">
      <c r="AV110" s="1"/>
    </row>
    <row r="111" customFormat="false" ht="15.75" hidden="false" customHeight="true" outlineLevel="0" collapsed="false">
      <c r="AV111" s="1"/>
    </row>
    <row r="112" customFormat="false" ht="15.75" hidden="false" customHeight="true" outlineLevel="0" collapsed="false">
      <c r="AV112" s="1"/>
    </row>
    <row r="113" customFormat="false" ht="15.75" hidden="false" customHeight="true" outlineLevel="0" collapsed="false">
      <c r="AV113" s="1"/>
    </row>
    <row r="114" customFormat="false" ht="15.75" hidden="false" customHeight="true" outlineLevel="0" collapsed="false">
      <c r="AV114" s="1"/>
    </row>
    <row r="115" customFormat="false" ht="15.75" hidden="false" customHeight="true" outlineLevel="0" collapsed="false">
      <c r="AV115" s="1"/>
    </row>
    <row r="116" customFormat="false" ht="15.75" hidden="false" customHeight="true" outlineLevel="0" collapsed="false">
      <c r="AV116" s="1"/>
    </row>
    <row r="117" customFormat="false" ht="15.75" hidden="false" customHeight="true" outlineLevel="0" collapsed="false">
      <c r="AV117" s="1"/>
    </row>
    <row r="118" customFormat="false" ht="15.75" hidden="false" customHeight="true" outlineLevel="0" collapsed="false">
      <c r="AV118" s="1"/>
    </row>
    <row r="119" customFormat="false" ht="15.75" hidden="false" customHeight="true" outlineLevel="0" collapsed="false">
      <c r="AV119" s="1"/>
    </row>
    <row r="120" customFormat="false" ht="15.75" hidden="false" customHeight="true" outlineLevel="0" collapsed="false">
      <c r="AV120" s="1"/>
    </row>
    <row r="121" customFormat="false" ht="15.75" hidden="false" customHeight="true" outlineLevel="0" collapsed="false">
      <c r="AV121" s="1"/>
    </row>
    <row r="122" customFormat="false" ht="15.75" hidden="false" customHeight="true" outlineLevel="0" collapsed="false">
      <c r="AV122" s="1"/>
    </row>
    <row r="123" customFormat="false" ht="15.75" hidden="false" customHeight="true" outlineLevel="0" collapsed="false">
      <c r="AV123" s="1"/>
    </row>
    <row r="124" customFormat="false" ht="15.75" hidden="false" customHeight="true" outlineLevel="0" collapsed="false">
      <c r="AV124" s="1"/>
    </row>
    <row r="125" customFormat="false" ht="15.75" hidden="false" customHeight="true" outlineLevel="0" collapsed="false">
      <c r="AV125" s="1"/>
    </row>
    <row r="126" customFormat="false" ht="15.75" hidden="false" customHeight="true" outlineLevel="0" collapsed="false">
      <c r="AV126" s="1"/>
    </row>
    <row r="127" customFormat="false" ht="15.75" hidden="false" customHeight="true" outlineLevel="0" collapsed="false">
      <c r="AV127" s="1"/>
    </row>
    <row r="128" customFormat="false" ht="15.75" hidden="false" customHeight="true" outlineLevel="0" collapsed="false">
      <c r="AV128" s="1"/>
    </row>
    <row r="129" customFormat="false" ht="15.75" hidden="false" customHeight="true" outlineLevel="0" collapsed="false">
      <c r="AV129" s="1"/>
    </row>
    <row r="130" customFormat="false" ht="15.75" hidden="false" customHeight="true" outlineLevel="0" collapsed="false">
      <c r="AV130" s="1"/>
    </row>
    <row r="131" customFormat="false" ht="15.75" hidden="false" customHeight="true" outlineLevel="0" collapsed="false">
      <c r="AV131" s="1"/>
    </row>
    <row r="132" customFormat="false" ht="15.75" hidden="false" customHeight="true" outlineLevel="0" collapsed="false">
      <c r="AV132" s="1"/>
    </row>
    <row r="133" customFormat="false" ht="15.75" hidden="false" customHeight="true" outlineLevel="0" collapsed="false">
      <c r="AV133" s="1"/>
    </row>
    <row r="134" customFormat="false" ht="15.75" hidden="false" customHeight="true" outlineLevel="0" collapsed="false">
      <c r="AV134" s="1"/>
    </row>
    <row r="135" customFormat="false" ht="15.75" hidden="false" customHeight="true" outlineLevel="0" collapsed="false">
      <c r="AV135" s="1"/>
    </row>
    <row r="136" customFormat="false" ht="15.75" hidden="false" customHeight="true" outlineLevel="0" collapsed="false">
      <c r="AV136" s="1"/>
    </row>
    <row r="137" customFormat="false" ht="15.75" hidden="false" customHeight="true" outlineLevel="0" collapsed="false">
      <c r="AV137" s="1"/>
    </row>
    <row r="138" customFormat="false" ht="15.75" hidden="false" customHeight="true" outlineLevel="0" collapsed="false">
      <c r="AV138" s="1"/>
    </row>
    <row r="139" customFormat="false" ht="15.75" hidden="false" customHeight="true" outlineLevel="0" collapsed="false">
      <c r="AV139" s="1"/>
    </row>
    <row r="140" customFormat="false" ht="15.75" hidden="false" customHeight="true" outlineLevel="0" collapsed="false">
      <c r="AV140" s="1"/>
    </row>
    <row r="141" customFormat="false" ht="15.75" hidden="false" customHeight="true" outlineLevel="0" collapsed="false">
      <c r="AV141" s="1"/>
    </row>
    <row r="142" customFormat="false" ht="15.75" hidden="false" customHeight="true" outlineLevel="0" collapsed="false">
      <c r="AV142" s="1"/>
    </row>
    <row r="143" customFormat="false" ht="15.75" hidden="false" customHeight="true" outlineLevel="0" collapsed="false">
      <c r="AV143" s="1"/>
    </row>
    <row r="144" customFormat="false" ht="15.75" hidden="false" customHeight="true" outlineLevel="0" collapsed="false">
      <c r="AV144" s="1"/>
    </row>
    <row r="145" customFormat="false" ht="15.75" hidden="false" customHeight="true" outlineLevel="0" collapsed="false">
      <c r="AV145" s="1"/>
    </row>
    <row r="146" customFormat="false" ht="15.75" hidden="false" customHeight="true" outlineLevel="0" collapsed="false">
      <c r="AV146" s="1"/>
    </row>
    <row r="147" customFormat="false" ht="15.75" hidden="false" customHeight="true" outlineLevel="0" collapsed="false">
      <c r="AV147" s="1"/>
    </row>
    <row r="148" customFormat="false" ht="15.75" hidden="false" customHeight="true" outlineLevel="0" collapsed="false">
      <c r="AV148" s="1"/>
    </row>
    <row r="149" customFormat="false" ht="15.75" hidden="false" customHeight="true" outlineLevel="0" collapsed="false">
      <c r="AV149" s="1"/>
    </row>
    <row r="150" customFormat="false" ht="15.75" hidden="false" customHeight="true" outlineLevel="0" collapsed="false">
      <c r="AV150" s="1"/>
    </row>
    <row r="151" customFormat="false" ht="15.75" hidden="false" customHeight="true" outlineLevel="0" collapsed="false">
      <c r="AV151" s="1"/>
    </row>
    <row r="152" customFormat="false" ht="15.75" hidden="false" customHeight="true" outlineLevel="0" collapsed="false">
      <c r="AV152" s="1"/>
    </row>
    <row r="153" customFormat="false" ht="15.75" hidden="false" customHeight="true" outlineLevel="0" collapsed="false">
      <c r="AV153" s="1"/>
    </row>
    <row r="154" customFormat="false" ht="15.75" hidden="false" customHeight="true" outlineLevel="0" collapsed="false">
      <c r="AV154" s="1"/>
    </row>
    <row r="155" customFormat="false" ht="15.75" hidden="false" customHeight="true" outlineLevel="0" collapsed="false">
      <c r="AV155" s="1"/>
    </row>
    <row r="156" customFormat="false" ht="15.75" hidden="false" customHeight="true" outlineLevel="0" collapsed="false">
      <c r="AV156" s="1"/>
    </row>
    <row r="157" customFormat="false" ht="15.75" hidden="false" customHeight="true" outlineLevel="0" collapsed="false">
      <c r="AV157" s="1"/>
    </row>
    <row r="158" customFormat="false" ht="15.75" hidden="false" customHeight="true" outlineLevel="0" collapsed="false">
      <c r="AV158" s="1"/>
    </row>
    <row r="159" customFormat="false" ht="15.75" hidden="false" customHeight="true" outlineLevel="0" collapsed="false">
      <c r="AV159" s="1"/>
    </row>
    <row r="160" customFormat="false" ht="15.75" hidden="false" customHeight="true" outlineLevel="0" collapsed="false">
      <c r="AV160" s="1"/>
    </row>
    <row r="161" customFormat="false" ht="15.75" hidden="false" customHeight="true" outlineLevel="0" collapsed="false">
      <c r="AV161" s="1"/>
    </row>
    <row r="162" customFormat="false" ht="15.75" hidden="false" customHeight="true" outlineLevel="0" collapsed="false">
      <c r="AV162" s="1"/>
    </row>
    <row r="163" customFormat="false" ht="15.75" hidden="false" customHeight="true" outlineLevel="0" collapsed="false">
      <c r="AV163" s="1"/>
    </row>
    <row r="164" customFormat="false" ht="15.75" hidden="false" customHeight="true" outlineLevel="0" collapsed="false">
      <c r="AV164" s="1"/>
    </row>
    <row r="165" customFormat="false" ht="15.75" hidden="false" customHeight="true" outlineLevel="0" collapsed="false">
      <c r="AV165" s="1"/>
    </row>
    <row r="166" customFormat="false" ht="15.75" hidden="false" customHeight="true" outlineLevel="0" collapsed="false">
      <c r="AV166" s="1"/>
    </row>
    <row r="167" customFormat="false" ht="15.75" hidden="false" customHeight="true" outlineLevel="0" collapsed="false">
      <c r="AV167" s="1"/>
    </row>
    <row r="168" customFormat="false" ht="15.75" hidden="false" customHeight="true" outlineLevel="0" collapsed="false">
      <c r="AV168" s="1"/>
    </row>
    <row r="169" customFormat="false" ht="15.75" hidden="false" customHeight="true" outlineLevel="0" collapsed="false">
      <c r="AV169" s="1"/>
    </row>
    <row r="170" customFormat="false" ht="15.75" hidden="false" customHeight="true" outlineLevel="0" collapsed="false">
      <c r="AV170" s="1"/>
    </row>
    <row r="171" customFormat="false" ht="15.75" hidden="false" customHeight="true" outlineLevel="0" collapsed="false">
      <c r="AV171" s="1"/>
    </row>
    <row r="172" customFormat="false" ht="15.75" hidden="false" customHeight="true" outlineLevel="0" collapsed="false">
      <c r="AV172" s="1"/>
    </row>
    <row r="173" customFormat="false" ht="15.75" hidden="false" customHeight="true" outlineLevel="0" collapsed="false">
      <c r="AV173" s="1"/>
    </row>
    <row r="174" customFormat="false" ht="15.75" hidden="false" customHeight="true" outlineLevel="0" collapsed="false">
      <c r="AV174" s="1"/>
    </row>
    <row r="175" customFormat="false" ht="15.75" hidden="false" customHeight="true" outlineLevel="0" collapsed="false">
      <c r="AV175" s="1"/>
    </row>
    <row r="176" customFormat="false" ht="15.75" hidden="false" customHeight="true" outlineLevel="0" collapsed="false">
      <c r="AV176" s="1"/>
    </row>
    <row r="177" customFormat="false" ht="15.75" hidden="false" customHeight="true" outlineLevel="0" collapsed="false">
      <c r="AV177" s="1"/>
    </row>
    <row r="178" customFormat="false" ht="15.75" hidden="false" customHeight="true" outlineLevel="0" collapsed="false">
      <c r="AV178" s="1"/>
    </row>
    <row r="179" customFormat="false" ht="15.75" hidden="false" customHeight="true" outlineLevel="0" collapsed="false">
      <c r="AV179" s="1"/>
    </row>
    <row r="180" customFormat="false" ht="15.75" hidden="false" customHeight="true" outlineLevel="0" collapsed="false">
      <c r="AV180" s="1"/>
    </row>
    <row r="181" customFormat="false" ht="15.75" hidden="false" customHeight="true" outlineLevel="0" collapsed="false">
      <c r="AV181" s="1"/>
    </row>
    <row r="182" customFormat="false" ht="15.75" hidden="false" customHeight="true" outlineLevel="0" collapsed="false">
      <c r="AV182" s="1"/>
    </row>
    <row r="183" customFormat="false" ht="15.75" hidden="false" customHeight="true" outlineLevel="0" collapsed="false">
      <c r="AV183" s="1"/>
    </row>
    <row r="184" customFormat="false" ht="15.75" hidden="false" customHeight="true" outlineLevel="0" collapsed="false">
      <c r="AV184" s="1"/>
    </row>
    <row r="185" customFormat="false" ht="15.75" hidden="false" customHeight="true" outlineLevel="0" collapsed="false">
      <c r="AV185" s="1"/>
    </row>
    <row r="186" customFormat="false" ht="15.75" hidden="false" customHeight="true" outlineLevel="0" collapsed="false">
      <c r="AV186" s="1"/>
    </row>
    <row r="187" customFormat="false" ht="15.75" hidden="false" customHeight="true" outlineLevel="0" collapsed="false">
      <c r="AV187" s="1"/>
    </row>
    <row r="188" customFormat="false" ht="15.75" hidden="false" customHeight="true" outlineLevel="0" collapsed="false">
      <c r="AV188" s="1"/>
    </row>
    <row r="189" customFormat="false" ht="15.75" hidden="false" customHeight="true" outlineLevel="0" collapsed="false">
      <c r="AV189" s="1"/>
    </row>
    <row r="190" customFormat="false" ht="15.75" hidden="false" customHeight="true" outlineLevel="0" collapsed="false">
      <c r="AV190" s="1"/>
    </row>
    <row r="191" customFormat="false" ht="15.75" hidden="false" customHeight="true" outlineLevel="0" collapsed="false">
      <c r="AV191" s="1"/>
    </row>
    <row r="192" customFormat="false" ht="15.75" hidden="false" customHeight="true" outlineLevel="0" collapsed="false">
      <c r="AV192" s="1"/>
    </row>
    <row r="193" customFormat="false" ht="15.75" hidden="false" customHeight="true" outlineLevel="0" collapsed="false">
      <c r="AV193" s="1"/>
    </row>
    <row r="194" customFormat="false" ht="15.75" hidden="false" customHeight="true" outlineLevel="0" collapsed="false">
      <c r="AV194" s="1"/>
    </row>
    <row r="195" customFormat="false" ht="15.75" hidden="false" customHeight="true" outlineLevel="0" collapsed="false">
      <c r="AV195" s="1"/>
    </row>
    <row r="196" customFormat="false" ht="15.75" hidden="false" customHeight="true" outlineLevel="0" collapsed="false">
      <c r="AV196" s="1"/>
    </row>
    <row r="197" customFormat="false" ht="15.75" hidden="false" customHeight="true" outlineLevel="0" collapsed="false">
      <c r="AV197" s="1"/>
    </row>
    <row r="198" customFormat="false" ht="15.75" hidden="false" customHeight="true" outlineLevel="0" collapsed="false">
      <c r="AV198" s="1"/>
    </row>
    <row r="199" customFormat="false" ht="15.75" hidden="false" customHeight="true" outlineLevel="0" collapsed="false">
      <c r="AV199" s="1"/>
    </row>
    <row r="200" customFormat="false" ht="15.75" hidden="false" customHeight="true" outlineLevel="0" collapsed="false">
      <c r="AV200" s="1"/>
    </row>
    <row r="201" customFormat="false" ht="15.75" hidden="false" customHeight="true" outlineLevel="0" collapsed="false">
      <c r="AV201" s="1"/>
    </row>
    <row r="202" customFormat="false" ht="15.75" hidden="false" customHeight="true" outlineLevel="0" collapsed="false">
      <c r="AV202" s="1"/>
    </row>
    <row r="203" customFormat="false" ht="15.75" hidden="false" customHeight="true" outlineLevel="0" collapsed="false">
      <c r="AV203" s="1"/>
    </row>
    <row r="204" customFormat="false" ht="15.75" hidden="false" customHeight="true" outlineLevel="0" collapsed="false">
      <c r="AV204" s="1"/>
    </row>
    <row r="205" customFormat="false" ht="15.75" hidden="false" customHeight="true" outlineLevel="0" collapsed="false">
      <c r="AV205" s="1"/>
    </row>
    <row r="206" customFormat="false" ht="15.75" hidden="false" customHeight="true" outlineLevel="0" collapsed="false">
      <c r="AV206" s="1"/>
    </row>
    <row r="207" customFormat="false" ht="15.75" hidden="false" customHeight="true" outlineLevel="0" collapsed="false">
      <c r="AV207" s="1"/>
    </row>
    <row r="208" customFormat="false" ht="15.75" hidden="false" customHeight="true" outlineLevel="0" collapsed="false">
      <c r="AV208" s="1"/>
    </row>
    <row r="209" customFormat="false" ht="15.75" hidden="false" customHeight="true" outlineLevel="0" collapsed="false">
      <c r="AV209" s="1"/>
    </row>
    <row r="210" customFormat="false" ht="15.75" hidden="false" customHeight="true" outlineLevel="0" collapsed="false">
      <c r="AV210" s="1"/>
    </row>
    <row r="211" customFormat="false" ht="15.75" hidden="false" customHeight="true" outlineLevel="0" collapsed="false">
      <c r="AV211" s="1"/>
    </row>
    <row r="212" customFormat="false" ht="15.75" hidden="false" customHeight="true" outlineLevel="0" collapsed="false">
      <c r="AV212" s="1"/>
    </row>
    <row r="213" customFormat="false" ht="15.75" hidden="false" customHeight="true" outlineLevel="0" collapsed="false">
      <c r="AV213" s="1"/>
    </row>
    <row r="214" customFormat="false" ht="15.75" hidden="false" customHeight="true" outlineLevel="0" collapsed="false">
      <c r="AV214" s="1"/>
    </row>
    <row r="215" customFormat="false" ht="15.75" hidden="false" customHeight="true" outlineLevel="0" collapsed="false">
      <c r="AV215" s="1"/>
    </row>
    <row r="216" customFormat="false" ht="15.75" hidden="false" customHeight="true" outlineLevel="0" collapsed="false">
      <c r="AV216" s="1"/>
    </row>
    <row r="217" customFormat="false" ht="15.75" hidden="false" customHeight="true" outlineLevel="0" collapsed="false">
      <c r="AV217" s="1"/>
    </row>
    <row r="218" customFormat="false" ht="15.75" hidden="false" customHeight="true" outlineLevel="0" collapsed="false">
      <c r="AV218" s="1"/>
    </row>
    <row r="219" customFormat="false" ht="15.75" hidden="false" customHeight="true" outlineLevel="0" collapsed="false">
      <c r="AV219" s="1"/>
    </row>
    <row r="220" customFormat="false" ht="15.75" hidden="false" customHeight="true" outlineLevel="0" collapsed="false">
      <c r="AV220" s="1"/>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6:AU6"/>
  <mergeCells count="23">
    <mergeCell ref="A2:B2"/>
    <mergeCell ref="C2:E2"/>
    <mergeCell ref="A3:B3"/>
    <mergeCell ref="C3:E3"/>
    <mergeCell ref="G3:H3"/>
    <mergeCell ref="I3:J3"/>
    <mergeCell ref="A4:B4"/>
    <mergeCell ref="C4:E4"/>
    <mergeCell ref="G4:H4"/>
    <mergeCell ref="I4:J4"/>
    <mergeCell ref="A5:C5"/>
    <mergeCell ref="D5:I5"/>
    <mergeCell ref="J5:M5"/>
    <mergeCell ref="N5:S5"/>
    <mergeCell ref="T5:Y5"/>
    <mergeCell ref="Z5:AE5"/>
    <mergeCell ref="AF5:AK5"/>
    <mergeCell ref="AL5:AQ5"/>
    <mergeCell ref="AR5:AU5"/>
    <mergeCell ref="C7:AU7"/>
    <mergeCell ref="C9:AU9"/>
    <mergeCell ref="C11:AU11"/>
    <mergeCell ref="C13:AU13"/>
  </mergeCells>
  <conditionalFormatting sqref="O7:O500 P7:P500 U7:U500 V7:V500 AA7:AA500 AB7:AB500 AG7:AG500 AH7:AH500 AM7:AM500 AN7:AN500 AS7:AS500 AT7:AT500">
    <cfRule type="cellIs" priority="2" operator="equal" aboveAverage="0" equalAverage="0" bottom="0" percent="0" rank="0" text="" dxfId="0">
      <formula>"Pass"</formula>
    </cfRule>
    <cfRule type="cellIs" priority="3" operator="equal" aboveAverage="0" equalAverage="0" bottom="0" percent="0" rank="0" text="" dxfId="1">
      <formula>"Fail"</formula>
    </cfRule>
    <cfRule type="cellIs" priority="4" operator="equal" aboveAverage="0" equalAverage="0" bottom="0" percent="0" rank="0" text="" dxfId="2">
      <formula>"Block"</formula>
    </cfRule>
    <cfRule type="cellIs" priority="5" operator="equal" aboveAverage="0" equalAverage="0" bottom="0" percent="0" rank="0" text="" dxfId="3">
      <formula>"N/A"</formula>
    </cfRule>
  </conditionalFormatting>
  <dataValidations count="8">
    <dataValidation allowBlank="true" errorStyle="stop" operator="between" showDropDown="false" showErrorMessage="false" showInputMessage="false" sqref="J7:J500" type="list">
      <formula1>"AI,QC"</formula1>
      <formula2>0</formula2>
    </dataValidation>
    <dataValidation allowBlank="true" errorStyle="stop" operator="between" showDropDown="false" showErrorMessage="false" showInputMessage="false" sqref="E7:E500" type="list">
      <formula1>"High,Medium,Low"</formula1>
      <formula2>0</formula2>
    </dataValidation>
    <dataValidation allowBlank="true" errorStyle="stop" operator="between" showDropDown="false" showErrorMessage="false" showInputMessage="false" sqref="P7:P500 V7:V500 AB7:AB500 AH7:AH500 AN7:AN500" type="list">
      <formula1>"Pass,Fail,Block,N/A"</formula1>
      <formula2>0</formula2>
    </dataValidation>
    <dataValidation allowBlank="true" errorStyle="stop" operator="between" showDropDown="false" showErrorMessage="false" showInputMessage="false" sqref="N7:N500 T7:T500 Z7:Z500 AF7:AF500 AL7:AL500" type="list">
      <formula1>"Yes,No,N/A"</formula1>
      <formula2>0</formula2>
    </dataValidation>
    <dataValidation allowBlank="true" errorStyle="stop" operator="between" showDropDown="false" showErrorMessage="false" showInputMessage="false" sqref="O7:O500 U7:U500 AA7:AA500 AG7:AG500 AM7:AM500" type="list">
      <formula1>"Pass,Fail,Block,N/A,Chưa chạy"</formula1>
      <formula2>0</formula2>
    </dataValidation>
    <dataValidation allowBlank="true" errorStyle="stop" operator="between" showDropDown="false" showErrorMessage="false" showInputMessage="false" sqref="D7:D500" type="list">
      <formula1>"Functional,UI,Integration,Database Test Case"</formula1>
      <formula2>0</formula2>
    </dataValidation>
    <dataValidation allowBlank="true" errorStyle="stop" operator="between" showDropDown="false" showErrorMessage="false" showInputMessage="false" sqref="K7:K500" type="list">
      <formula1>"Reviewed,Pending,N/A"</formula1>
      <formula2>0</formula2>
    </dataValidation>
    <dataValidation allowBlank="true" errorStyle="stop" operator="between" showDropDown="false" showErrorMessage="false" showInputMessage="false" sqref="L7:L500"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V1000"/>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1" ySplit="6" topLeftCell="C31" activePane="bottomRight" state="frozen"/>
      <selection pane="topLeft" activeCell="A1" activeCellId="0" sqref="A1"/>
      <selection pane="topRight" activeCell="C1" activeCellId="0" sqref="C1"/>
      <selection pane="bottomLeft" activeCell="A31" activeCellId="0" sqref="A31"/>
      <selection pane="bottomRight" activeCell="C172" activeCellId="0" sqref="C172"/>
    </sheetView>
  </sheetViews>
  <sheetFormatPr defaultColWidth="14.43359375" defaultRowHeight="15" customHeight="true" zeroHeight="false" outlineLevelRow="0" outlineLevelCol="0"/>
  <cols>
    <col collapsed="false" customWidth="true" hidden="false" outlineLevel="0" max="2" min="1" style="1" width="14"/>
    <col collapsed="false" customWidth="true" hidden="false" outlineLevel="0" max="4" min="3" style="1" width="13"/>
    <col collapsed="false" customWidth="true" hidden="false" outlineLevel="0" max="5" min="5" style="1" width="11"/>
    <col collapsed="false" customWidth="true" hidden="false" outlineLevel="0" max="6" min="6" style="1" width="34"/>
    <col collapsed="false" customWidth="true" hidden="false" outlineLevel="0" max="7" min="7" style="1" width="28"/>
    <col collapsed="false" customWidth="true" hidden="false" outlineLevel="0" max="8" min="8" style="1" width="40"/>
    <col collapsed="false" customWidth="true" hidden="false" outlineLevel="0" max="9" min="9" style="1" width="34"/>
    <col collapsed="false" customWidth="true" hidden="false" outlineLevel="0" max="10" min="10" style="1" width="10"/>
    <col collapsed="false" customWidth="true" hidden="false" outlineLevel="0" max="11" min="11" style="1" width="12.43"/>
    <col collapsed="false" customWidth="true" hidden="false" outlineLevel="0" max="12" min="12" style="1" width="14"/>
    <col collapsed="false" customWidth="true" hidden="false" outlineLevel="0" max="13" min="13" style="1" width="26.16"/>
    <col collapsed="false" customWidth="true" hidden="false" outlineLevel="0" max="14" min="14" style="1" width="9"/>
    <col collapsed="false" customWidth="true" hidden="false" outlineLevel="0" max="15" min="15" style="1" width="10"/>
    <col collapsed="false" customWidth="true" hidden="false" outlineLevel="0" max="16" min="16" style="1" width="9"/>
    <col collapsed="false" customWidth="true" hidden="false" outlineLevel="0" max="17" min="17" style="1" width="13"/>
    <col collapsed="false" customWidth="true" hidden="false" outlineLevel="0" max="18" min="18" style="1" width="11"/>
    <col collapsed="false" customWidth="true" hidden="false" outlineLevel="0" max="19" min="19" style="1" width="22"/>
    <col collapsed="false" customWidth="true" hidden="false" outlineLevel="0" max="20" min="20" style="1" width="9"/>
    <col collapsed="false" customWidth="true" hidden="false" outlineLevel="0" max="21" min="21" style="1" width="10"/>
    <col collapsed="false" customWidth="true" hidden="false" outlineLevel="0" max="22" min="22" style="1" width="9"/>
    <col collapsed="false" customWidth="true" hidden="false" outlineLevel="0" max="23" min="23" style="1" width="13"/>
    <col collapsed="false" customWidth="true" hidden="false" outlineLevel="0" max="24" min="24" style="1" width="11"/>
    <col collapsed="false" customWidth="true" hidden="false" outlineLevel="0" max="25" min="25" style="1" width="22"/>
    <col collapsed="false" customWidth="true" hidden="false" outlineLevel="0" max="26" min="26" style="1" width="9"/>
    <col collapsed="false" customWidth="true" hidden="false" outlineLevel="0" max="27" min="27" style="1" width="10"/>
    <col collapsed="false" customWidth="true" hidden="false" outlineLevel="0" max="28" min="28" style="1" width="9"/>
    <col collapsed="false" customWidth="true" hidden="false" outlineLevel="0" max="29" min="29" style="1" width="13"/>
    <col collapsed="false" customWidth="true" hidden="false" outlineLevel="0" max="30" min="30" style="1" width="11"/>
    <col collapsed="false" customWidth="true" hidden="false" outlineLevel="0" max="31" min="31" style="1" width="22"/>
    <col collapsed="false" customWidth="true" hidden="false" outlineLevel="0" max="32" min="32" style="1" width="9"/>
    <col collapsed="false" customWidth="true" hidden="false" outlineLevel="0" max="33" min="33" style="1" width="10"/>
    <col collapsed="false" customWidth="true" hidden="false" outlineLevel="0" max="34" min="34" style="1" width="9"/>
    <col collapsed="false" customWidth="true" hidden="false" outlineLevel="0" max="35" min="35" style="1" width="13"/>
    <col collapsed="false" customWidth="true" hidden="false" outlineLevel="0" max="36" min="36" style="1" width="11"/>
    <col collapsed="false" customWidth="true" hidden="false" outlineLevel="0" max="37" min="37" style="1" width="22"/>
    <col collapsed="false" customWidth="true" hidden="false" outlineLevel="0" max="38" min="38" style="1" width="9"/>
    <col collapsed="false" customWidth="true" hidden="false" outlineLevel="0" max="39" min="39" style="1" width="10"/>
    <col collapsed="false" customWidth="true" hidden="false" outlineLevel="0" max="40" min="40" style="1" width="9"/>
    <col collapsed="false" customWidth="true" hidden="false" outlineLevel="0" max="41" min="41" style="1" width="13"/>
    <col collapsed="false" customWidth="true" hidden="false" outlineLevel="0" max="42" min="42" style="1" width="11"/>
    <col collapsed="false" customWidth="true" hidden="false" outlineLevel="0" max="43" min="43" style="1" width="22"/>
    <col collapsed="false" customWidth="true" hidden="false" outlineLevel="0" max="44" min="44" style="1" width="12"/>
    <col collapsed="false" customWidth="true" hidden="false" outlineLevel="0" max="45" min="45" style="1" width="14"/>
    <col collapsed="false" customWidth="true" hidden="false" outlineLevel="0" max="46" min="46" style="1" width="11"/>
    <col collapsed="false" customWidth="true" hidden="false" outlineLevel="0" max="47" min="47" style="1" width="24"/>
  </cols>
  <sheetData>
    <row r="1" customFormat="false" ht="15" hidden="false" customHeight="true" outlineLevel="0" collapsed="false">
      <c r="A1" s="172"/>
    </row>
    <row r="2" customFormat="false" ht="15" hidden="false" customHeight="true" outlineLevel="0" collapsed="false">
      <c r="A2" s="180" t="s">
        <v>629</v>
      </c>
      <c r="B2" s="180"/>
      <c r="C2" s="181" t="s">
        <v>211</v>
      </c>
      <c r="D2" s="181"/>
      <c r="E2" s="181"/>
    </row>
    <row r="3" customFormat="false" ht="15" hidden="false" customHeight="true" outlineLevel="0" collapsed="false">
      <c r="A3" s="180" t="s">
        <v>630</v>
      </c>
      <c r="B3" s="180"/>
      <c r="C3" s="181" t="s">
        <v>212</v>
      </c>
      <c r="D3" s="181"/>
      <c r="E3" s="181"/>
      <c r="G3" s="180" t="s">
        <v>82</v>
      </c>
      <c r="H3" s="180"/>
      <c r="I3" s="38" t="str">
        <f aca="false">Summary!$C$8</f>
        <v>v1.1</v>
      </c>
      <c r="J3" s="38"/>
    </row>
    <row r="4" customFormat="false" ht="15" hidden="false" customHeight="true" outlineLevel="0" collapsed="false">
      <c r="A4" s="180" t="s">
        <v>145</v>
      </c>
      <c r="B4" s="180"/>
      <c r="C4" s="38" t="str">
        <f aca="false">TEXT(Summary!$C$10,"DD/MM/YYYY")&amp;"  →  "&amp;TEXT(Summary!$C$11,"DD/MM/YYYY")</f>
        <v>18/09/2026  →  25/09/2026</v>
      </c>
      <c r="D4" s="38"/>
      <c r="E4" s="38"/>
      <c r="G4" s="180" t="s">
        <v>103</v>
      </c>
      <c r="H4" s="180"/>
      <c r="I4" s="38" t="str">
        <f aca="false">Summary!$C$13</f>
        <v>GiangDC2</v>
      </c>
      <c r="J4" s="38"/>
    </row>
    <row r="5" customFormat="false" ht="15" hidden="false" customHeight="true" outlineLevel="0" collapsed="false">
      <c r="A5" s="182" t="s">
        <v>631</v>
      </c>
      <c r="B5" s="182"/>
      <c r="C5" s="182"/>
      <c r="D5" s="117" t="s">
        <v>632</v>
      </c>
      <c r="E5" s="117"/>
      <c r="F5" s="117"/>
      <c r="G5" s="117"/>
      <c r="H5" s="117"/>
      <c r="I5" s="117"/>
      <c r="J5" s="136" t="s">
        <v>58</v>
      </c>
      <c r="K5" s="136"/>
      <c r="L5" s="136"/>
      <c r="M5" s="136"/>
      <c r="N5" s="183" t="s">
        <v>633</v>
      </c>
      <c r="O5" s="183"/>
      <c r="P5" s="183"/>
      <c r="Q5" s="183"/>
      <c r="R5" s="183"/>
      <c r="S5" s="183"/>
      <c r="T5" s="184" t="s">
        <v>634</v>
      </c>
      <c r="U5" s="184"/>
      <c r="V5" s="184"/>
      <c r="W5" s="184"/>
      <c r="X5" s="184"/>
      <c r="Y5" s="184"/>
      <c r="Z5" s="183" t="s">
        <v>635</v>
      </c>
      <c r="AA5" s="183"/>
      <c r="AB5" s="183"/>
      <c r="AC5" s="183"/>
      <c r="AD5" s="183"/>
      <c r="AE5" s="183"/>
      <c r="AF5" s="184" t="s">
        <v>636</v>
      </c>
      <c r="AG5" s="184"/>
      <c r="AH5" s="184"/>
      <c r="AI5" s="184"/>
      <c r="AJ5" s="184"/>
      <c r="AK5" s="184"/>
      <c r="AL5" s="183" t="s">
        <v>637</v>
      </c>
      <c r="AM5" s="183"/>
      <c r="AN5" s="183"/>
      <c r="AO5" s="183"/>
      <c r="AP5" s="183"/>
      <c r="AQ5" s="183"/>
      <c r="AR5" s="185" t="s">
        <v>638</v>
      </c>
      <c r="AS5" s="185"/>
      <c r="AT5" s="185"/>
      <c r="AU5" s="185"/>
    </row>
    <row r="6" customFormat="false" ht="30" hidden="false" customHeight="true" outlineLevel="0" collapsed="false">
      <c r="A6" s="186" t="s">
        <v>639</v>
      </c>
      <c r="B6" s="186" t="s">
        <v>405</v>
      </c>
      <c r="C6" s="186" t="s">
        <v>640</v>
      </c>
      <c r="D6" s="125" t="s">
        <v>40</v>
      </c>
      <c r="E6" s="125" t="s">
        <v>32</v>
      </c>
      <c r="F6" s="125" t="s">
        <v>641</v>
      </c>
      <c r="G6" s="125" t="s">
        <v>642</v>
      </c>
      <c r="H6" s="125" t="s">
        <v>643</v>
      </c>
      <c r="I6" s="125" t="s">
        <v>644</v>
      </c>
      <c r="J6" s="175" t="s">
        <v>645</v>
      </c>
      <c r="K6" s="175" t="s">
        <v>62</v>
      </c>
      <c r="L6" s="175" t="s">
        <v>64</v>
      </c>
      <c r="M6" s="175" t="s">
        <v>66</v>
      </c>
      <c r="N6" s="187" t="s">
        <v>68</v>
      </c>
      <c r="O6" s="187" t="s">
        <v>70</v>
      </c>
      <c r="P6" s="187" t="s">
        <v>646</v>
      </c>
      <c r="Q6" s="187" t="s">
        <v>647</v>
      </c>
      <c r="R6" s="187" t="s">
        <v>648</v>
      </c>
      <c r="S6" s="187" t="s">
        <v>265</v>
      </c>
      <c r="T6" s="187" t="s">
        <v>68</v>
      </c>
      <c r="U6" s="187" t="s">
        <v>70</v>
      </c>
      <c r="V6" s="187" t="s">
        <v>646</v>
      </c>
      <c r="W6" s="187" t="s">
        <v>647</v>
      </c>
      <c r="X6" s="187" t="s">
        <v>648</v>
      </c>
      <c r="Y6" s="187" t="s">
        <v>265</v>
      </c>
      <c r="Z6" s="187" t="s">
        <v>68</v>
      </c>
      <c r="AA6" s="187" t="s">
        <v>70</v>
      </c>
      <c r="AB6" s="187" t="s">
        <v>646</v>
      </c>
      <c r="AC6" s="187" t="s">
        <v>647</v>
      </c>
      <c r="AD6" s="187" t="s">
        <v>648</v>
      </c>
      <c r="AE6" s="187" t="s">
        <v>265</v>
      </c>
      <c r="AF6" s="187" t="s">
        <v>68</v>
      </c>
      <c r="AG6" s="187" t="s">
        <v>70</v>
      </c>
      <c r="AH6" s="187" t="s">
        <v>646</v>
      </c>
      <c r="AI6" s="187" t="s">
        <v>647</v>
      </c>
      <c r="AJ6" s="187" t="s">
        <v>648</v>
      </c>
      <c r="AK6" s="187" t="s">
        <v>265</v>
      </c>
      <c r="AL6" s="187" t="s">
        <v>68</v>
      </c>
      <c r="AM6" s="187" t="s">
        <v>70</v>
      </c>
      <c r="AN6" s="187" t="s">
        <v>646</v>
      </c>
      <c r="AO6" s="187" t="s">
        <v>647</v>
      </c>
      <c r="AP6" s="187" t="s">
        <v>648</v>
      </c>
      <c r="AQ6" s="187" t="s">
        <v>265</v>
      </c>
      <c r="AR6" s="188" t="s">
        <v>649</v>
      </c>
      <c r="AS6" s="188" t="s">
        <v>650</v>
      </c>
      <c r="AT6" s="188" t="s">
        <v>50</v>
      </c>
      <c r="AU6" s="188" t="s">
        <v>651</v>
      </c>
    </row>
    <row r="7" customFormat="false" ht="15" hidden="false" customHeight="false" outlineLevel="0" collapsed="false">
      <c r="A7" s="189"/>
      <c r="B7" s="189"/>
      <c r="C7" s="190" t="s">
        <v>1110</v>
      </c>
      <c r="D7" s="190"/>
      <c r="E7" s="190"/>
      <c r="F7" s="190"/>
      <c r="G7" s="190"/>
      <c r="H7" s="190"/>
      <c r="I7" s="190"/>
      <c r="J7" s="190"/>
      <c r="K7" s="190"/>
      <c r="L7" s="190"/>
      <c r="M7" s="190"/>
      <c r="N7" s="190"/>
      <c r="O7" s="190"/>
      <c r="P7" s="190"/>
      <c r="Q7" s="190"/>
      <c r="R7" s="190"/>
      <c r="S7" s="190"/>
      <c r="T7" s="190"/>
      <c r="U7" s="190"/>
      <c r="V7" s="190"/>
      <c r="W7" s="190"/>
      <c r="X7" s="190"/>
      <c r="Y7" s="190"/>
      <c r="Z7" s="190"/>
      <c r="AA7" s="190"/>
      <c r="AB7" s="190"/>
      <c r="AC7" s="190"/>
      <c r="AD7" s="190"/>
      <c r="AE7" s="190"/>
      <c r="AF7" s="190"/>
      <c r="AG7" s="190"/>
      <c r="AH7" s="190"/>
      <c r="AI7" s="190"/>
      <c r="AJ7" s="190"/>
      <c r="AK7" s="190"/>
      <c r="AL7" s="190"/>
      <c r="AM7" s="190"/>
      <c r="AN7" s="190"/>
      <c r="AO7" s="190"/>
      <c r="AP7" s="190"/>
      <c r="AQ7" s="190"/>
      <c r="AR7" s="190"/>
      <c r="AS7" s="190"/>
      <c r="AT7" s="190"/>
      <c r="AU7" s="190"/>
    </row>
    <row r="8" customFormat="false" ht="57.45" hidden="false" customHeight="false" outlineLevel="0" collapsed="false">
      <c r="A8" s="191" t="str">
        <f aca="false">IF($F8="","",$C$2&amp;"."&amp;COUNTA($F$7:$F8)&amp;"")</f>
        <v>TC_09.1</v>
      </c>
      <c r="B8" s="191" t="s">
        <v>551</v>
      </c>
      <c r="C8" s="191" t="s">
        <v>530</v>
      </c>
      <c r="D8" s="191" t="s">
        <v>43</v>
      </c>
      <c r="E8" s="191" t="s">
        <v>159</v>
      </c>
      <c r="F8" s="13" t="s">
        <v>1111</v>
      </c>
      <c r="G8" s="13" t="s">
        <v>655</v>
      </c>
      <c r="H8" s="13" t="s">
        <v>1112</v>
      </c>
      <c r="I8" s="13" t="s">
        <v>1113</v>
      </c>
      <c r="J8" s="191" t="s">
        <v>658</v>
      </c>
      <c r="K8" s="191" t="s">
        <v>245</v>
      </c>
      <c r="L8" s="191"/>
      <c r="M8" s="191"/>
      <c r="N8" s="192"/>
      <c r="O8" s="192"/>
      <c r="P8" s="192"/>
      <c r="Q8" s="192"/>
      <c r="R8" s="192"/>
      <c r="S8" s="192"/>
      <c r="T8" s="192"/>
      <c r="U8" s="192"/>
      <c r="V8" s="192"/>
      <c r="W8" s="192"/>
      <c r="X8" s="192"/>
      <c r="Y8" s="192"/>
      <c r="Z8" s="192"/>
      <c r="AA8" s="192"/>
      <c r="AB8" s="192"/>
      <c r="AC8" s="192"/>
      <c r="AD8" s="192"/>
      <c r="AE8" s="192"/>
      <c r="AF8" s="192"/>
      <c r="AG8" s="192"/>
      <c r="AH8" s="192"/>
      <c r="AI8" s="192"/>
      <c r="AJ8" s="192"/>
      <c r="AK8" s="192"/>
      <c r="AL8" s="192"/>
      <c r="AM8" s="192"/>
      <c r="AN8" s="192"/>
      <c r="AO8" s="192"/>
      <c r="AP8" s="192"/>
      <c r="AQ8" s="192"/>
      <c r="AR8" s="193" t="str">
        <f aca="false">IF($A8="","",IF(OR($N8="Yes",$T8="Yes",$Z8="Yes",$AF8="Yes",$AL8="Yes"),"Yes","No"))</f>
        <v>No</v>
      </c>
      <c r="AS8" s="193" t="str">
        <f aca="false">IF($A8="","",IFERROR(IF($AM8&lt;&gt;"",$AM8,IF($AG8&lt;&gt;"",$AG8,IF($AA8&lt;&gt;"",$AA8,IF($U8&lt;&gt;"",$U8,IF($O8&lt;&gt;"",$O8,""))))),""))</f>
        <v/>
      </c>
      <c r="AT8" s="193" t="str">
        <f aca="false">IFERROR(IF($AN8&lt;&gt;"",$AN8,IF($AH8&lt;&gt;"",$AH8,IF($AB8&lt;&gt;"",$AB8,IF($V8&lt;&gt;"",$V8,IF($P8&lt;&gt;"",$P8,""))))),"")</f>
        <v/>
      </c>
      <c r="AU8" s="194"/>
    </row>
    <row r="9" customFormat="false" ht="15" hidden="false" customHeight="false" outlineLevel="0" collapsed="false">
      <c r="A9" s="189"/>
      <c r="B9" s="189"/>
      <c r="C9" s="190" t="s">
        <v>1114</v>
      </c>
      <c r="D9" s="190"/>
      <c r="E9" s="190"/>
      <c r="F9" s="190"/>
      <c r="G9" s="190"/>
      <c r="H9" s="190"/>
      <c r="I9" s="190"/>
      <c r="J9" s="190"/>
      <c r="K9" s="190"/>
      <c r="L9" s="190"/>
      <c r="M9" s="190"/>
      <c r="N9" s="190"/>
      <c r="O9" s="190"/>
      <c r="P9" s="190"/>
      <c r="Q9" s="190"/>
      <c r="R9" s="190"/>
      <c r="S9" s="190"/>
      <c r="T9" s="190"/>
      <c r="U9" s="190"/>
      <c r="V9" s="190"/>
      <c r="W9" s="190"/>
      <c r="X9" s="190"/>
      <c r="Y9" s="190"/>
      <c r="Z9" s="190"/>
      <c r="AA9" s="190"/>
      <c r="AB9" s="190"/>
      <c r="AC9" s="190"/>
      <c r="AD9" s="190"/>
      <c r="AE9" s="190"/>
      <c r="AF9" s="190"/>
      <c r="AG9" s="190"/>
      <c r="AH9" s="190"/>
      <c r="AI9" s="190"/>
      <c r="AJ9" s="190"/>
      <c r="AK9" s="190"/>
      <c r="AL9" s="190"/>
      <c r="AM9" s="190"/>
      <c r="AN9" s="190"/>
      <c r="AO9" s="190"/>
      <c r="AP9" s="190"/>
      <c r="AQ9" s="190"/>
      <c r="AR9" s="190"/>
      <c r="AS9" s="190"/>
      <c r="AT9" s="190"/>
      <c r="AU9" s="190"/>
    </row>
    <row r="10" customFormat="false" ht="79.85" hidden="false" customHeight="false" outlineLevel="0" collapsed="false">
      <c r="A10" s="191" t="str">
        <f aca="false">IF($F10="","",$C$2&amp;"."&amp;COUNTA($F$7:$F10)&amp;"")</f>
        <v>TC_09.2</v>
      </c>
      <c r="B10" s="191" t="s">
        <v>554</v>
      </c>
      <c r="C10" s="191" t="s">
        <v>530</v>
      </c>
      <c r="D10" s="191" t="s">
        <v>41</v>
      </c>
      <c r="E10" s="191" t="s">
        <v>159</v>
      </c>
      <c r="F10" s="13" t="s">
        <v>1115</v>
      </c>
      <c r="G10" s="13" t="s">
        <v>1116</v>
      </c>
      <c r="H10" s="13" t="s">
        <v>1117</v>
      </c>
      <c r="I10" s="13" t="s">
        <v>1118</v>
      </c>
      <c r="J10" s="191" t="s">
        <v>658</v>
      </c>
      <c r="K10" s="191" t="s">
        <v>245</v>
      </c>
      <c r="L10" s="191"/>
      <c r="M10" s="191"/>
      <c r="N10" s="192"/>
      <c r="O10" s="192"/>
      <c r="P10" s="192"/>
      <c r="Q10" s="192"/>
      <c r="R10" s="192"/>
      <c r="S10" s="192"/>
      <c r="T10" s="192"/>
      <c r="U10" s="192"/>
      <c r="V10" s="192"/>
      <c r="W10" s="192"/>
      <c r="X10" s="192"/>
      <c r="Y10" s="192"/>
      <c r="Z10" s="192"/>
      <c r="AA10" s="192"/>
      <c r="AB10" s="192"/>
      <c r="AC10" s="192"/>
      <c r="AD10" s="192"/>
      <c r="AE10" s="192"/>
      <c r="AF10" s="192"/>
      <c r="AG10" s="192"/>
      <c r="AH10" s="192"/>
      <c r="AI10" s="192"/>
      <c r="AJ10" s="192"/>
      <c r="AK10" s="192"/>
      <c r="AL10" s="192"/>
      <c r="AM10" s="192"/>
      <c r="AN10" s="192"/>
      <c r="AO10" s="192"/>
      <c r="AP10" s="192"/>
      <c r="AQ10" s="192"/>
      <c r="AR10" s="193" t="str">
        <f aca="false">IF($A10="","",IF(OR($N10="Yes",$T10="Yes",$Z10="Yes",$AF10="Yes",$AL10="Yes"),"Yes","No"))</f>
        <v>No</v>
      </c>
      <c r="AS10" s="193" t="str">
        <f aca="false">IF($A10="","",IFERROR(IF($AM10&lt;&gt;"",$AM10,IF($AG10&lt;&gt;"",$AG10,IF($AA10&lt;&gt;"",$AA10,IF($U10&lt;&gt;"",$U10,IF($O10&lt;&gt;"",$O10,""))))),""))</f>
        <v/>
      </c>
      <c r="AT10" s="193" t="str">
        <f aca="false">IFERROR(IF($AN10&lt;&gt;"",$AN10,IF($AH10&lt;&gt;"",$AH10,IF($AB10&lt;&gt;"",$AB10,IF($V10&lt;&gt;"",$V10,IF($P10&lt;&gt;"",$P10,""))))),"")</f>
        <v/>
      </c>
      <c r="AU10" s="194"/>
    </row>
    <row r="11" customFormat="false" ht="57.45" hidden="false" customHeight="false" outlineLevel="0" collapsed="false">
      <c r="A11" s="191" t="str">
        <f aca="false">IF($F11="","",$C$2&amp;"."&amp;COUNTA($F$7:$F11)&amp;"")</f>
        <v>TC_09.3</v>
      </c>
      <c r="B11" s="191" t="s">
        <v>554</v>
      </c>
      <c r="C11" s="191" t="s">
        <v>530</v>
      </c>
      <c r="D11" s="191" t="s">
        <v>43</v>
      </c>
      <c r="E11" s="191" t="s">
        <v>159</v>
      </c>
      <c r="F11" s="13" t="s">
        <v>1119</v>
      </c>
      <c r="G11" s="13" t="s">
        <v>655</v>
      </c>
      <c r="H11" s="13" t="s">
        <v>1120</v>
      </c>
      <c r="I11" s="13" t="s">
        <v>1121</v>
      </c>
      <c r="J11" s="191" t="s">
        <v>658</v>
      </c>
      <c r="K11" s="191" t="s">
        <v>245</v>
      </c>
      <c r="L11" s="191"/>
      <c r="M11" s="191"/>
      <c r="N11" s="192"/>
      <c r="O11" s="192"/>
      <c r="P11" s="192"/>
      <c r="Q11" s="192"/>
      <c r="R11" s="192"/>
      <c r="S11" s="192"/>
      <c r="T11" s="192"/>
      <c r="U11" s="192"/>
      <c r="V11" s="192"/>
      <c r="W11" s="192"/>
      <c r="X11" s="192"/>
      <c r="Y11" s="192"/>
      <c r="Z11" s="192"/>
      <c r="AA11" s="192"/>
      <c r="AB11" s="192"/>
      <c r="AC11" s="192"/>
      <c r="AD11" s="192"/>
      <c r="AE11" s="192"/>
      <c r="AF11" s="192"/>
      <c r="AG11" s="192"/>
      <c r="AH11" s="192"/>
      <c r="AI11" s="192"/>
      <c r="AJ11" s="192"/>
      <c r="AK11" s="192"/>
      <c r="AL11" s="192"/>
      <c r="AM11" s="192"/>
      <c r="AN11" s="192"/>
      <c r="AO11" s="192"/>
      <c r="AP11" s="192"/>
      <c r="AQ11" s="192"/>
      <c r="AR11" s="193" t="str">
        <f aca="false">IF($A11="","",IF(OR($N11="Yes",$T11="Yes",$Z11="Yes",$AF11="Yes",$AL11="Yes"),"Yes","No"))</f>
        <v>No</v>
      </c>
      <c r="AS11" s="193" t="str">
        <f aca="false">IF($A11="","",IFERROR(IF($AM11&lt;&gt;"",$AM11,IF($AG11&lt;&gt;"",$AG11,IF($AA11&lt;&gt;"",$AA11,IF($U11&lt;&gt;"",$U11,IF($O11&lt;&gt;"",$O11,""))))),""))</f>
        <v/>
      </c>
      <c r="AT11" s="193" t="str">
        <f aca="false">IFERROR(IF($AN11&lt;&gt;"",$AN11,IF($AH11&lt;&gt;"",$AH11,IF($AB11&lt;&gt;"",$AB11,IF($V11&lt;&gt;"",$V11,IF($P11&lt;&gt;"",$P11,""))))),"")</f>
        <v/>
      </c>
      <c r="AU11" s="194"/>
    </row>
    <row r="12" customFormat="false" ht="124.6" hidden="false" customHeight="false" outlineLevel="0" collapsed="false">
      <c r="A12" s="191" t="str">
        <f aca="false">IF($F12="","",$C$2&amp;"."&amp;COUNTA($F$7:$F12)&amp;"")</f>
        <v>TC_09.4</v>
      </c>
      <c r="B12" s="191" t="s">
        <v>554</v>
      </c>
      <c r="C12" s="191" t="s">
        <v>840</v>
      </c>
      <c r="D12" s="191" t="s">
        <v>41</v>
      </c>
      <c r="E12" s="191" t="s">
        <v>158</v>
      </c>
      <c r="F12" s="13" t="s">
        <v>1122</v>
      </c>
      <c r="G12" s="13" t="s">
        <v>655</v>
      </c>
      <c r="H12" s="13" t="s">
        <v>1123</v>
      </c>
      <c r="I12" s="13" t="s">
        <v>1124</v>
      </c>
      <c r="J12" s="191" t="s">
        <v>658</v>
      </c>
      <c r="K12" s="191" t="s">
        <v>245</v>
      </c>
      <c r="L12" s="191"/>
      <c r="M12" s="191"/>
      <c r="N12" s="192"/>
      <c r="O12" s="192"/>
      <c r="P12" s="192"/>
      <c r="Q12" s="192"/>
      <c r="R12" s="192"/>
      <c r="S12" s="192"/>
      <c r="T12" s="192"/>
      <c r="U12" s="192"/>
      <c r="V12" s="192"/>
      <c r="W12" s="192"/>
      <c r="X12" s="192"/>
      <c r="Y12" s="192"/>
      <c r="Z12" s="192"/>
      <c r="AA12" s="192"/>
      <c r="AB12" s="192"/>
      <c r="AC12" s="192"/>
      <c r="AD12" s="192"/>
      <c r="AE12" s="192"/>
      <c r="AF12" s="192"/>
      <c r="AG12" s="192"/>
      <c r="AH12" s="192"/>
      <c r="AI12" s="192"/>
      <c r="AJ12" s="192"/>
      <c r="AK12" s="192"/>
      <c r="AL12" s="192"/>
      <c r="AM12" s="192"/>
      <c r="AN12" s="192"/>
      <c r="AO12" s="192"/>
      <c r="AP12" s="192"/>
      <c r="AQ12" s="192"/>
      <c r="AR12" s="193" t="str">
        <f aca="false">IF($A12="","",IF(OR($N12="Yes",$T12="Yes",$Z12="Yes",$AF12="Yes",$AL12="Yes"),"Yes","No"))</f>
        <v>No</v>
      </c>
      <c r="AS12" s="193" t="str">
        <f aca="false">IF($A12="","",IFERROR(IF($AM12&lt;&gt;"",$AM12,IF($AG12&lt;&gt;"",$AG12,IF($AA12&lt;&gt;"",$AA12,IF($U12&lt;&gt;"",$U12,IF($O12&lt;&gt;"",$O12,""))))),""))</f>
        <v/>
      </c>
      <c r="AT12" s="193" t="str">
        <f aca="false">IFERROR(IF($AN12&lt;&gt;"",$AN12,IF($AH12&lt;&gt;"",$AH12,IF($AB12&lt;&gt;"",$AB12,IF($V12&lt;&gt;"",$V12,IF($P12&lt;&gt;"",$P12,""))))),"")</f>
        <v/>
      </c>
      <c r="AU12" s="194"/>
    </row>
    <row r="13" customFormat="false" ht="91" hidden="false" customHeight="false" outlineLevel="0" collapsed="false">
      <c r="A13" s="191" t="str">
        <f aca="false">IF($F13="","",$C$2&amp;"."&amp;COUNTA($F$7:$F13)&amp;"")</f>
        <v>TC_09.5</v>
      </c>
      <c r="B13" s="191" t="s">
        <v>554</v>
      </c>
      <c r="C13" s="191" t="s">
        <v>530</v>
      </c>
      <c r="D13" s="191" t="s">
        <v>41</v>
      </c>
      <c r="E13" s="191" t="s">
        <v>159</v>
      </c>
      <c r="F13" s="13" t="s">
        <v>1125</v>
      </c>
      <c r="G13" s="13" t="s">
        <v>1126</v>
      </c>
      <c r="H13" s="13" t="s">
        <v>1127</v>
      </c>
      <c r="I13" s="13" t="s">
        <v>1128</v>
      </c>
      <c r="J13" s="191" t="s">
        <v>658</v>
      </c>
      <c r="K13" s="191" t="s">
        <v>245</v>
      </c>
      <c r="L13" s="191"/>
      <c r="M13" s="191"/>
      <c r="N13" s="192"/>
      <c r="O13" s="192"/>
      <c r="P13" s="192"/>
      <c r="Q13" s="192"/>
      <c r="R13" s="192"/>
      <c r="S13" s="192"/>
      <c r="T13" s="192"/>
      <c r="U13" s="192"/>
      <c r="V13" s="192"/>
      <c r="W13" s="192"/>
      <c r="X13" s="192"/>
      <c r="Y13" s="192"/>
      <c r="Z13" s="192"/>
      <c r="AA13" s="192"/>
      <c r="AB13" s="192"/>
      <c r="AC13" s="192"/>
      <c r="AD13" s="192"/>
      <c r="AE13" s="192"/>
      <c r="AF13" s="192"/>
      <c r="AG13" s="192"/>
      <c r="AH13" s="192"/>
      <c r="AI13" s="192"/>
      <c r="AJ13" s="192"/>
      <c r="AK13" s="192"/>
      <c r="AL13" s="192"/>
      <c r="AM13" s="192"/>
      <c r="AN13" s="192"/>
      <c r="AO13" s="192"/>
      <c r="AP13" s="192"/>
      <c r="AQ13" s="192"/>
      <c r="AR13" s="193" t="str">
        <f aca="false">IF($A13="","",IF(OR($N13="Yes",$T13="Yes",$Z13="Yes",$AF13="Yes",$AL13="Yes"),"Yes","No"))</f>
        <v>No</v>
      </c>
      <c r="AS13" s="193" t="str">
        <f aca="false">IF($A13="","",IFERROR(IF($AM13&lt;&gt;"",$AM13,IF($AG13&lt;&gt;"",$AG13,IF($AA13&lt;&gt;"",$AA13,IF($U13&lt;&gt;"",$U13,IF($O13&lt;&gt;"",$O13,""))))),""))</f>
        <v/>
      </c>
      <c r="AT13" s="193" t="str">
        <f aca="false">IFERROR(IF($AN13&lt;&gt;"",$AN13,IF($AH13&lt;&gt;"",$AH13,IF($AB13&lt;&gt;"",$AB13,IF($V13&lt;&gt;"",$V13,IF($P13&lt;&gt;"",$P13,""))))),"")</f>
        <v/>
      </c>
      <c r="AU13" s="194"/>
    </row>
    <row r="14" customFormat="false" ht="79.85" hidden="false" customHeight="false" outlineLevel="0" collapsed="false">
      <c r="A14" s="191" t="str">
        <f aca="false">IF($F14="","",$C$2&amp;"."&amp;COUNTA($F$7:$F14)&amp;"")</f>
        <v>TC_09.6</v>
      </c>
      <c r="B14" s="191" t="s">
        <v>554</v>
      </c>
      <c r="C14" s="191" t="s">
        <v>530</v>
      </c>
      <c r="D14" s="191" t="s">
        <v>41</v>
      </c>
      <c r="E14" s="191" t="s">
        <v>159</v>
      </c>
      <c r="F14" s="13" t="s">
        <v>1129</v>
      </c>
      <c r="G14" s="13" t="s">
        <v>1130</v>
      </c>
      <c r="H14" s="13" t="s">
        <v>1131</v>
      </c>
      <c r="I14" s="13" t="s">
        <v>1132</v>
      </c>
      <c r="J14" s="191" t="s">
        <v>658</v>
      </c>
      <c r="K14" s="191" t="s">
        <v>245</v>
      </c>
      <c r="L14" s="191"/>
      <c r="M14" s="191"/>
      <c r="N14" s="192"/>
      <c r="O14" s="192"/>
      <c r="P14" s="192"/>
      <c r="Q14" s="192"/>
      <c r="R14" s="192"/>
      <c r="S14" s="192"/>
      <c r="T14" s="192"/>
      <c r="U14" s="192"/>
      <c r="V14" s="192"/>
      <c r="W14" s="192"/>
      <c r="X14" s="192"/>
      <c r="Y14" s="192"/>
      <c r="Z14" s="192"/>
      <c r="AA14" s="192"/>
      <c r="AB14" s="192"/>
      <c r="AC14" s="192"/>
      <c r="AD14" s="192"/>
      <c r="AE14" s="192"/>
      <c r="AF14" s="192"/>
      <c r="AG14" s="192"/>
      <c r="AH14" s="192"/>
      <c r="AI14" s="192"/>
      <c r="AJ14" s="192"/>
      <c r="AK14" s="192"/>
      <c r="AL14" s="192"/>
      <c r="AM14" s="192"/>
      <c r="AN14" s="192"/>
      <c r="AO14" s="192"/>
      <c r="AP14" s="192"/>
      <c r="AQ14" s="192"/>
      <c r="AR14" s="193" t="str">
        <f aca="false">IF($A14="","",IF(OR($N14="Yes",$T14="Yes",$Z14="Yes",$AF14="Yes",$AL14="Yes"),"Yes","No"))</f>
        <v>No</v>
      </c>
      <c r="AS14" s="193" t="str">
        <f aca="false">IF($A14="","",IFERROR(IF($AM14&lt;&gt;"",$AM14,IF($AG14&lt;&gt;"",$AG14,IF($AA14&lt;&gt;"",$AA14,IF($U14&lt;&gt;"",$U14,IF($O14&lt;&gt;"",$O14,""))))),""))</f>
        <v/>
      </c>
      <c r="AT14" s="193" t="str">
        <f aca="false">IFERROR(IF($AN14&lt;&gt;"",$AN14,IF($AH14&lt;&gt;"",$AH14,IF($AB14&lt;&gt;"",$AB14,IF($V14&lt;&gt;"",$V14,IF($P14&lt;&gt;"",$P14,""))))),"")</f>
        <v/>
      </c>
      <c r="AU14" s="194"/>
    </row>
    <row r="15" customFormat="false" ht="91" hidden="false" customHeight="false" outlineLevel="0" collapsed="false">
      <c r="A15" s="191" t="str">
        <f aca="false">IF($F15="","",$C$2&amp;"."&amp;COUNTA($F$7:$F15)&amp;"")</f>
        <v>TC_09.7</v>
      </c>
      <c r="B15" s="191" t="s">
        <v>554</v>
      </c>
      <c r="C15" s="191" t="s">
        <v>530</v>
      </c>
      <c r="D15" s="191" t="s">
        <v>41</v>
      </c>
      <c r="E15" s="191" t="s">
        <v>159</v>
      </c>
      <c r="F15" s="13" t="s">
        <v>1133</v>
      </c>
      <c r="G15" s="13" t="s">
        <v>1134</v>
      </c>
      <c r="H15" s="13" t="s">
        <v>1135</v>
      </c>
      <c r="I15" s="13" t="s">
        <v>1136</v>
      </c>
      <c r="J15" s="191" t="s">
        <v>658</v>
      </c>
      <c r="K15" s="191" t="s">
        <v>245</v>
      </c>
      <c r="L15" s="191"/>
      <c r="M15" s="191"/>
      <c r="N15" s="192"/>
      <c r="O15" s="192"/>
      <c r="P15" s="192"/>
      <c r="Q15" s="192"/>
      <c r="R15" s="192"/>
      <c r="S15" s="192"/>
      <c r="T15" s="192"/>
      <c r="U15" s="192"/>
      <c r="V15" s="192"/>
      <c r="W15" s="192"/>
      <c r="X15" s="192"/>
      <c r="Y15" s="192"/>
      <c r="Z15" s="192"/>
      <c r="AA15" s="192"/>
      <c r="AB15" s="192"/>
      <c r="AC15" s="192"/>
      <c r="AD15" s="192"/>
      <c r="AE15" s="192"/>
      <c r="AF15" s="192"/>
      <c r="AG15" s="192"/>
      <c r="AH15" s="192"/>
      <c r="AI15" s="192"/>
      <c r="AJ15" s="192"/>
      <c r="AK15" s="192"/>
      <c r="AL15" s="192"/>
      <c r="AM15" s="192"/>
      <c r="AN15" s="192"/>
      <c r="AO15" s="192"/>
      <c r="AP15" s="192"/>
      <c r="AQ15" s="192"/>
      <c r="AR15" s="193" t="str">
        <f aca="false">IF($A15="","",IF(OR($N15="Yes",$T15="Yes",$Z15="Yes",$AF15="Yes",$AL15="Yes"),"Yes","No"))</f>
        <v>No</v>
      </c>
      <c r="AS15" s="193" t="str">
        <f aca="false">IF($A15="","",IFERROR(IF($AM15&lt;&gt;"",$AM15,IF($AG15&lt;&gt;"",$AG15,IF($AA15&lt;&gt;"",$AA15,IF($U15&lt;&gt;"",$U15,IF($O15&lt;&gt;"",$O15,""))))),""))</f>
        <v/>
      </c>
      <c r="AT15" s="193" t="str">
        <f aca="false">IFERROR(IF($AN15&lt;&gt;"",$AN15,IF($AH15&lt;&gt;"",$AH15,IF($AB15&lt;&gt;"",$AB15,IF($V15&lt;&gt;"",$V15,IF($P15&lt;&gt;"",$P15,""))))),"")</f>
        <v/>
      </c>
      <c r="AU15" s="194"/>
    </row>
    <row r="16" customFormat="false" ht="79.85" hidden="false" customHeight="false" outlineLevel="0" collapsed="false">
      <c r="A16" s="191" t="str">
        <f aca="false">IF($F16="","",$C$2&amp;"."&amp;COUNTA($F$7:$F16)&amp;"")</f>
        <v>TC_09.8</v>
      </c>
      <c r="B16" s="191" t="s">
        <v>554</v>
      </c>
      <c r="C16" s="191" t="s">
        <v>530</v>
      </c>
      <c r="D16" s="191" t="s">
        <v>41</v>
      </c>
      <c r="E16" s="191" t="s">
        <v>159</v>
      </c>
      <c r="F16" s="13" t="s">
        <v>1137</v>
      </c>
      <c r="G16" s="13" t="s">
        <v>1116</v>
      </c>
      <c r="H16" s="13" t="s">
        <v>1138</v>
      </c>
      <c r="I16" s="13" t="s">
        <v>1139</v>
      </c>
      <c r="J16" s="191" t="s">
        <v>658</v>
      </c>
      <c r="K16" s="191" t="s">
        <v>245</v>
      </c>
      <c r="L16" s="191"/>
      <c r="M16" s="191"/>
      <c r="N16" s="192"/>
      <c r="O16" s="192"/>
      <c r="P16" s="192"/>
      <c r="Q16" s="192"/>
      <c r="R16" s="192"/>
      <c r="S16" s="192"/>
      <c r="T16" s="192"/>
      <c r="U16" s="192"/>
      <c r="V16" s="192"/>
      <c r="W16" s="192"/>
      <c r="X16" s="192"/>
      <c r="Y16" s="192"/>
      <c r="Z16" s="192"/>
      <c r="AA16" s="192"/>
      <c r="AB16" s="192"/>
      <c r="AC16" s="192"/>
      <c r="AD16" s="192"/>
      <c r="AE16" s="192"/>
      <c r="AF16" s="192"/>
      <c r="AG16" s="192"/>
      <c r="AH16" s="192"/>
      <c r="AI16" s="192"/>
      <c r="AJ16" s="192"/>
      <c r="AK16" s="192"/>
      <c r="AL16" s="192"/>
      <c r="AM16" s="192"/>
      <c r="AN16" s="192"/>
      <c r="AO16" s="192"/>
      <c r="AP16" s="192"/>
      <c r="AQ16" s="192"/>
      <c r="AR16" s="193" t="str">
        <f aca="false">IF($A16="","",IF(OR($N16="Yes",$T16="Yes",$Z16="Yes",$AF16="Yes",$AL16="Yes"),"Yes","No"))</f>
        <v>No</v>
      </c>
      <c r="AS16" s="193" t="str">
        <f aca="false">IF($A16="","",IFERROR(IF($AM16&lt;&gt;"",$AM16,IF($AG16&lt;&gt;"",$AG16,IF($AA16&lt;&gt;"",$AA16,IF($U16&lt;&gt;"",$U16,IF($O16&lt;&gt;"",$O16,""))))),""))</f>
        <v/>
      </c>
      <c r="AT16" s="193" t="str">
        <f aca="false">IFERROR(IF($AN16&lt;&gt;"",$AN16,IF($AH16&lt;&gt;"",$AH16,IF($AB16&lt;&gt;"",$AB16,IF($V16&lt;&gt;"",$V16,IF($P16&lt;&gt;"",$P16,""))))),"")</f>
        <v/>
      </c>
      <c r="AU16" s="194"/>
    </row>
    <row r="17" customFormat="false" ht="15" hidden="false" customHeight="false" outlineLevel="0" collapsed="false">
      <c r="A17" s="189"/>
      <c r="B17" s="189"/>
      <c r="C17" s="190" t="s">
        <v>1140</v>
      </c>
      <c r="D17" s="190"/>
      <c r="E17" s="190"/>
      <c r="F17" s="190"/>
      <c r="G17" s="190"/>
      <c r="H17" s="190"/>
      <c r="I17" s="190"/>
      <c r="J17" s="190"/>
      <c r="K17" s="190"/>
      <c r="L17" s="190"/>
      <c r="M17" s="190"/>
      <c r="N17" s="190"/>
      <c r="O17" s="190"/>
      <c r="P17" s="190"/>
      <c r="Q17" s="190"/>
      <c r="R17" s="190"/>
      <c r="S17" s="190"/>
      <c r="T17" s="190"/>
      <c r="U17" s="190"/>
      <c r="V17" s="190"/>
      <c r="W17" s="190"/>
      <c r="X17" s="190"/>
      <c r="Y17" s="190"/>
      <c r="Z17" s="190"/>
      <c r="AA17" s="190"/>
      <c r="AB17" s="190"/>
      <c r="AC17" s="190"/>
      <c r="AD17" s="190"/>
      <c r="AE17" s="190"/>
      <c r="AF17" s="190"/>
      <c r="AG17" s="190"/>
      <c r="AH17" s="190"/>
      <c r="AI17" s="190"/>
      <c r="AJ17" s="190"/>
      <c r="AK17" s="190"/>
      <c r="AL17" s="190"/>
      <c r="AM17" s="190"/>
      <c r="AN17" s="190"/>
      <c r="AO17" s="190"/>
      <c r="AP17" s="190"/>
      <c r="AQ17" s="190"/>
      <c r="AR17" s="190"/>
      <c r="AS17" s="190"/>
      <c r="AT17" s="190"/>
      <c r="AU17" s="190"/>
    </row>
    <row r="18" customFormat="false" ht="113.4" hidden="false" customHeight="false" outlineLevel="0" collapsed="false">
      <c r="A18" s="191" t="str">
        <f aca="false">IF($F18="","",$C$2&amp;"."&amp;COUNTA($F$7:$F18)&amp;"")</f>
        <v>TC_09.9</v>
      </c>
      <c r="B18" s="191" t="s">
        <v>1141</v>
      </c>
      <c r="C18" s="191" t="s">
        <v>530</v>
      </c>
      <c r="D18" s="191" t="s">
        <v>41</v>
      </c>
      <c r="E18" s="191" t="s">
        <v>159</v>
      </c>
      <c r="F18" s="13" t="s">
        <v>1142</v>
      </c>
      <c r="G18" s="13" t="s">
        <v>1143</v>
      </c>
      <c r="H18" s="13" t="s">
        <v>1144</v>
      </c>
      <c r="I18" s="13" t="s">
        <v>1145</v>
      </c>
      <c r="J18" s="191" t="s">
        <v>658</v>
      </c>
      <c r="K18" s="191" t="s">
        <v>245</v>
      </c>
      <c r="L18" s="191"/>
      <c r="M18" s="191"/>
      <c r="N18" s="192"/>
      <c r="O18" s="192"/>
      <c r="P18" s="192"/>
      <c r="Q18" s="192"/>
      <c r="R18" s="192"/>
      <c r="S18" s="192"/>
      <c r="T18" s="192"/>
      <c r="U18" s="192"/>
      <c r="V18" s="192"/>
      <c r="W18" s="192"/>
      <c r="X18" s="192"/>
      <c r="Y18" s="192"/>
      <c r="Z18" s="192"/>
      <c r="AA18" s="192"/>
      <c r="AB18" s="192"/>
      <c r="AC18" s="192"/>
      <c r="AD18" s="192"/>
      <c r="AE18" s="192"/>
      <c r="AF18" s="192"/>
      <c r="AG18" s="192"/>
      <c r="AH18" s="192"/>
      <c r="AI18" s="192"/>
      <c r="AJ18" s="192"/>
      <c r="AK18" s="192"/>
      <c r="AL18" s="192"/>
      <c r="AM18" s="192"/>
      <c r="AN18" s="192"/>
      <c r="AO18" s="192"/>
      <c r="AP18" s="192"/>
      <c r="AQ18" s="192"/>
      <c r="AR18" s="193" t="str">
        <f aca="false">IF($A18="","",IF(OR($N18="Yes",$T18="Yes",$Z18="Yes",$AF18="Yes",$AL18="Yes"),"Yes","No"))</f>
        <v>No</v>
      </c>
      <c r="AS18" s="193" t="str">
        <f aca="false">IF($A18="","",IFERROR(IF($AM18&lt;&gt;"",$AM18,IF($AG18&lt;&gt;"",$AG18,IF($AA18&lt;&gt;"",$AA18,IF($U18&lt;&gt;"",$U18,IF($O18&lt;&gt;"",$O18,""))))),""))</f>
        <v/>
      </c>
      <c r="AT18" s="193" t="str">
        <f aca="false">IFERROR(IF($AN18&lt;&gt;"",$AN18,IF($AH18&lt;&gt;"",$AH18,IF($AB18&lt;&gt;"",$AB18,IF($V18&lt;&gt;"",$V18,IF($P18&lt;&gt;"",$P18,""))))),"")</f>
        <v/>
      </c>
      <c r="AU18" s="194"/>
    </row>
    <row r="19" customFormat="false" ht="15" hidden="false" customHeight="false" outlineLevel="0" collapsed="false">
      <c r="A19" s="189"/>
      <c r="B19" s="189"/>
      <c r="C19" s="190" t="s">
        <v>1146</v>
      </c>
      <c r="D19" s="190"/>
      <c r="E19" s="190"/>
      <c r="F19" s="190"/>
      <c r="G19" s="190"/>
      <c r="H19" s="190"/>
      <c r="I19" s="190"/>
      <c r="J19" s="190"/>
      <c r="K19" s="190"/>
      <c r="L19" s="190"/>
      <c r="M19" s="190"/>
      <c r="N19" s="190"/>
      <c r="O19" s="190"/>
      <c r="P19" s="190"/>
      <c r="Q19" s="190"/>
      <c r="R19" s="190"/>
      <c r="S19" s="190"/>
      <c r="T19" s="190"/>
      <c r="U19" s="190"/>
      <c r="V19" s="190"/>
      <c r="W19" s="190"/>
      <c r="X19" s="190"/>
      <c r="Y19" s="190"/>
      <c r="Z19" s="190"/>
      <c r="AA19" s="190"/>
      <c r="AB19" s="190"/>
      <c r="AC19" s="190"/>
      <c r="AD19" s="190"/>
      <c r="AE19" s="190"/>
      <c r="AF19" s="190"/>
      <c r="AG19" s="190"/>
      <c r="AH19" s="190"/>
      <c r="AI19" s="190"/>
      <c r="AJ19" s="190"/>
      <c r="AK19" s="190"/>
      <c r="AL19" s="190"/>
      <c r="AM19" s="190"/>
      <c r="AN19" s="190"/>
      <c r="AO19" s="190"/>
      <c r="AP19" s="190"/>
      <c r="AQ19" s="190"/>
      <c r="AR19" s="190"/>
      <c r="AS19" s="190"/>
      <c r="AT19" s="190"/>
      <c r="AU19" s="190"/>
    </row>
    <row r="20" customFormat="false" ht="79.85" hidden="false" customHeight="false" outlineLevel="0" collapsed="false">
      <c r="A20" s="191" t="str">
        <f aca="false">IF($F20="","",$C$2&amp;"."&amp;COUNTA($F$7:$F20)&amp;"")</f>
        <v>TC_09.10</v>
      </c>
      <c r="B20" s="191" t="s">
        <v>560</v>
      </c>
      <c r="C20" s="191" t="s">
        <v>530</v>
      </c>
      <c r="D20" s="191" t="s">
        <v>43</v>
      </c>
      <c r="E20" s="191" t="s">
        <v>160</v>
      </c>
      <c r="F20" s="13" t="s">
        <v>1147</v>
      </c>
      <c r="G20" s="13" t="s">
        <v>655</v>
      </c>
      <c r="H20" s="13" t="s">
        <v>1148</v>
      </c>
      <c r="I20" s="13" t="s">
        <v>1149</v>
      </c>
      <c r="J20" s="191" t="s">
        <v>658</v>
      </c>
      <c r="K20" s="191" t="s">
        <v>245</v>
      </c>
      <c r="L20" s="191"/>
      <c r="M20" s="191"/>
      <c r="N20" s="192"/>
      <c r="O20" s="192"/>
      <c r="P20" s="192"/>
      <c r="Q20" s="192"/>
      <c r="R20" s="192"/>
      <c r="S20" s="192"/>
      <c r="T20" s="192"/>
      <c r="U20" s="192"/>
      <c r="V20" s="192"/>
      <c r="W20" s="192"/>
      <c r="X20" s="192"/>
      <c r="Y20" s="192"/>
      <c r="Z20" s="192"/>
      <c r="AA20" s="192"/>
      <c r="AB20" s="192"/>
      <c r="AC20" s="192"/>
      <c r="AD20" s="192"/>
      <c r="AE20" s="192"/>
      <c r="AF20" s="192"/>
      <c r="AG20" s="192"/>
      <c r="AH20" s="192"/>
      <c r="AI20" s="192"/>
      <c r="AJ20" s="192"/>
      <c r="AK20" s="192"/>
      <c r="AL20" s="192"/>
      <c r="AM20" s="192"/>
      <c r="AN20" s="192"/>
      <c r="AO20" s="192"/>
      <c r="AP20" s="192"/>
      <c r="AQ20" s="192"/>
      <c r="AR20" s="193" t="str">
        <f aca="false">IF($A20="","",IF(OR($N20="Yes",$T20="Yes",$Z20="Yes",$AF20="Yes",$AL20="Yes"),"Yes","No"))</f>
        <v>No</v>
      </c>
      <c r="AS20" s="193" t="str">
        <f aca="false">IF($A20="","",IFERROR(IF($AM20&lt;&gt;"",$AM20,IF($AG20&lt;&gt;"",$AG20,IF($AA20&lt;&gt;"",$AA20,IF($U20&lt;&gt;"",$U20,IF($O20&lt;&gt;"",$O20,""))))),""))</f>
        <v/>
      </c>
      <c r="AT20" s="193" t="str">
        <f aca="false">IFERROR(IF($AN20&lt;&gt;"",$AN20,IF($AH20&lt;&gt;"",$AH20,IF($AB20&lt;&gt;"",$AB20,IF($V20&lt;&gt;"",$V20,IF($P20&lt;&gt;"",$P20,""))))),"")</f>
        <v/>
      </c>
      <c r="AU20" s="194"/>
    </row>
    <row r="21" customFormat="false" ht="79.85" hidden="false" customHeight="false" outlineLevel="0" collapsed="false">
      <c r="A21" s="191" t="str">
        <f aca="false">IF($F21="","",$C$2&amp;"."&amp;COUNTA($F$7:$F21)&amp;"")</f>
        <v>TC_09.11</v>
      </c>
      <c r="B21" s="191" t="s">
        <v>560</v>
      </c>
      <c r="C21" s="191" t="s">
        <v>530</v>
      </c>
      <c r="D21" s="191" t="s">
        <v>43</v>
      </c>
      <c r="E21" s="191" t="s">
        <v>160</v>
      </c>
      <c r="F21" s="13" t="s">
        <v>1150</v>
      </c>
      <c r="G21" s="13" t="s">
        <v>655</v>
      </c>
      <c r="H21" s="13" t="s">
        <v>1151</v>
      </c>
      <c r="I21" s="13" t="s">
        <v>1152</v>
      </c>
      <c r="J21" s="191" t="s">
        <v>658</v>
      </c>
      <c r="K21" s="191" t="s">
        <v>245</v>
      </c>
      <c r="L21" s="191"/>
      <c r="M21" s="191"/>
      <c r="N21" s="192"/>
      <c r="O21" s="192"/>
      <c r="P21" s="192"/>
      <c r="Q21" s="192"/>
      <c r="R21" s="192"/>
      <c r="S21" s="192"/>
      <c r="T21" s="192"/>
      <c r="U21" s="192"/>
      <c r="V21" s="192"/>
      <c r="W21" s="192"/>
      <c r="X21" s="192"/>
      <c r="Y21" s="192"/>
      <c r="Z21" s="192"/>
      <c r="AA21" s="192"/>
      <c r="AB21" s="192"/>
      <c r="AC21" s="192"/>
      <c r="AD21" s="192"/>
      <c r="AE21" s="192"/>
      <c r="AF21" s="192"/>
      <c r="AG21" s="192"/>
      <c r="AH21" s="192"/>
      <c r="AI21" s="192"/>
      <c r="AJ21" s="192"/>
      <c r="AK21" s="192"/>
      <c r="AL21" s="192"/>
      <c r="AM21" s="192"/>
      <c r="AN21" s="192"/>
      <c r="AO21" s="192"/>
      <c r="AP21" s="192"/>
      <c r="AQ21" s="192"/>
      <c r="AR21" s="193" t="str">
        <f aca="false">IF($A21="","",IF(OR($N21="Yes",$T21="Yes",$Z21="Yes",$AF21="Yes",$AL21="Yes"),"Yes","No"))</f>
        <v>No</v>
      </c>
      <c r="AS21" s="193" t="str">
        <f aca="false">IF($A21="","",IFERROR(IF($AM21&lt;&gt;"",$AM21,IF($AG21&lt;&gt;"",$AG21,IF($AA21&lt;&gt;"",$AA21,IF($U21&lt;&gt;"",$U21,IF($O21&lt;&gt;"",$O21,""))))),""))</f>
        <v/>
      </c>
      <c r="AT21" s="193" t="str">
        <f aca="false">IFERROR(IF($AN21&lt;&gt;"",$AN21,IF($AH21&lt;&gt;"",$AH21,IF($AB21&lt;&gt;"",$AB21,IF($V21&lt;&gt;"",$V21,IF($P21&lt;&gt;"",$P21,""))))),"")</f>
        <v/>
      </c>
      <c r="AU21" s="194"/>
    </row>
    <row r="22" customFormat="false" ht="15" hidden="false" customHeight="false" outlineLevel="0" collapsed="false">
      <c r="A22" s="189"/>
      <c r="B22" s="189"/>
      <c r="C22" s="190" t="s">
        <v>1153</v>
      </c>
      <c r="D22" s="190"/>
      <c r="E22" s="190"/>
      <c r="F22" s="190"/>
      <c r="G22" s="190"/>
      <c r="H22" s="190"/>
      <c r="I22" s="190"/>
      <c r="J22" s="190"/>
      <c r="K22" s="190"/>
      <c r="L22" s="190"/>
      <c r="M22" s="190"/>
      <c r="N22" s="190"/>
      <c r="O22" s="190"/>
      <c r="P22" s="190"/>
      <c r="Q22" s="190"/>
      <c r="R22" s="190"/>
      <c r="S22" s="190"/>
      <c r="T22" s="190"/>
      <c r="U22" s="190"/>
      <c r="V22" s="190"/>
      <c r="W22" s="190"/>
      <c r="X22" s="190"/>
      <c r="Y22" s="190"/>
      <c r="Z22" s="190"/>
      <c r="AA22" s="190"/>
      <c r="AB22" s="190"/>
      <c r="AC22" s="190"/>
      <c r="AD22" s="190"/>
      <c r="AE22" s="190"/>
      <c r="AF22" s="190"/>
      <c r="AG22" s="190"/>
      <c r="AH22" s="190"/>
      <c r="AI22" s="190"/>
      <c r="AJ22" s="190"/>
      <c r="AK22" s="190"/>
      <c r="AL22" s="190"/>
      <c r="AM22" s="190"/>
      <c r="AN22" s="190"/>
      <c r="AO22" s="190"/>
      <c r="AP22" s="190"/>
      <c r="AQ22" s="190"/>
      <c r="AR22" s="190"/>
      <c r="AS22" s="190"/>
      <c r="AT22" s="190"/>
      <c r="AU22" s="190"/>
    </row>
    <row r="23" customFormat="false" ht="79.85" hidden="false" customHeight="false" outlineLevel="0" collapsed="false">
      <c r="A23" s="191" t="str">
        <f aca="false">IF($F23="","",$C$2&amp;"."&amp;COUNTA($F$7:$F23)&amp;"")</f>
        <v>TC_09.12</v>
      </c>
      <c r="B23" s="191" t="s">
        <v>563</v>
      </c>
      <c r="C23" s="191" t="s">
        <v>530</v>
      </c>
      <c r="D23" s="191" t="s">
        <v>41</v>
      </c>
      <c r="E23" s="191" t="s">
        <v>159</v>
      </c>
      <c r="F23" s="13" t="s">
        <v>1154</v>
      </c>
      <c r="G23" s="13" t="s">
        <v>655</v>
      </c>
      <c r="H23" s="13" t="s">
        <v>1155</v>
      </c>
      <c r="I23" s="13" t="s">
        <v>1156</v>
      </c>
      <c r="J23" s="191" t="s">
        <v>658</v>
      </c>
      <c r="K23" s="191" t="s">
        <v>245</v>
      </c>
      <c r="L23" s="191"/>
      <c r="M23" s="191"/>
      <c r="N23" s="192"/>
      <c r="O23" s="192"/>
      <c r="P23" s="192"/>
      <c r="Q23" s="192"/>
      <c r="R23" s="192"/>
      <c r="S23" s="192"/>
      <c r="T23" s="192"/>
      <c r="U23" s="192"/>
      <c r="V23" s="192"/>
      <c r="W23" s="192"/>
      <c r="X23" s="192"/>
      <c r="Y23" s="192"/>
      <c r="Z23" s="192"/>
      <c r="AA23" s="192"/>
      <c r="AB23" s="192"/>
      <c r="AC23" s="192"/>
      <c r="AD23" s="192"/>
      <c r="AE23" s="192"/>
      <c r="AF23" s="192"/>
      <c r="AG23" s="192"/>
      <c r="AH23" s="192"/>
      <c r="AI23" s="192"/>
      <c r="AJ23" s="192"/>
      <c r="AK23" s="192"/>
      <c r="AL23" s="192"/>
      <c r="AM23" s="192"/>
      <c r="AN23" s="192"/>
      <c r="AO23" s="192"/>
      <c r="AP23" s="192"/>
      <c r="AQ23" s="192"/>
      <c r="AR23" s="193" t="str">
        <f aca="false">IF($A23="","",IF(OR($N23="Yes",$T23="Yes",$Z23="Yes",$AF23="Yes",$AL23="Yes"),"Yes","No"))</f>
        <v>No</v>
      </c>
      <c r="AS23" s="193" t="str">
        <f aca="false">IF($A23="","",IFERROR(IF($AM23&lt;&gt;"",$AM23,IF($AG23&lt;&gt;"",$AG23,IF($AA23&lt;&gt;"",$AA23,IF($U23&lt;&gt;"",$U23,IF($O23&lt;&gt;"",$O23,""))))),""))</f>
        <v/>
      </c>
      <c r="AT23" s="193" t="str">
        <f aca="false">IFERROR(IF($AN23&lt;&gt;"",$AN23,IF($AH23&lt;&gt;"",$AH23,IF($AB23&lt;&gt;"",$AB23,IF($V23&lt;&gt;"",$V23,IF($P23&lt;&gt;"",$P23,""))))),"")</f>
        <v/>
      </c>
      <c r="AU23" s="194"/>
    </row>
    <row r="24" customFormat="false" ht="102.2" hidden="false" customHeight="false" outlineLevel="0" collapsed="false">
      <c r="A24" s="191" t="str">
        <f aca="false">IF($F24="","",$C$2&amp;"."&amp;COUNTA($F$7:$F24)&amp;"")</f>
        <v>TC_09.13</v>
      </c>
      <c r="B24" s="191" t="s">
        <v>563</v>
      </c>
      <c r="C24" s="191" t="s">
        <v>530</v>
      </c>
      <c r="D24" s="191" t="s">
        <v>41</v>
      </c>
      <c r="E24" s="191" t="s">
        <v>159</v>
      </c>
      <c r="F24" s="13" t="s">
        <v>1157</v>
      </c>
      <c r="G24" s="13" t="s">
        <v>655</v>
      </c>
      <c r="H24" s="13" t="s">
        <v>1158</v>
      </c>
      <c r="I24" s="13" t="s">
        <v>1159</v>
      </c>
      <c r="J24" s="191" t="s">
        <v>658</v>
      </c>
      <c r="K24" s="191" t="s">
        <v>245</v>
      </c>
      <c r="L24" s="191"/>
      <c r="M24" s="191"/>
      <c r="N24" s="192"/>
      <c r="O24" s="192"/>
      <c r="P24" s="192"/>
      <c r="Q24" s="192"/>
      <c r="R24" s="192"/>
      <c r="S24" s="192"/>
      <c r="T24" s="192"/>
      <c r="U24" s="192"/>
      <c r="V24" s="192"/>
      <c r="W24" s="192"/>
      <c r="X24" s="192"/>
      <c r="Y24" s="192"/>
      <c r="Z24" s="192"/>
      <c r="AA24" s="192"/>
      <c r="AB24" s="192"/>
      <c r="AC24" s="192"/>
      <c r="AD24" s="192"/>
      <c r="AE24" s="192"/>
      <c r="AF24" s="192"/>
      <c r="AG24" s="192"/>
      <c r="AH24" s="192"/>
      <c r="AI24" s="192"/>
      <c r="AJ24" s="192"/>
      <c r="AK24" s="192"/>
      <c r="AL24" s="192"/>
      <c r="AM24" s="192"/>
      <c r="AN24" s="192"/>
      <c r="AO24" s="192"/>
      <c r="AP24" s="192"/>
      <c r="AQ24" s="192"/>
      <c r="AR24" s="193" t="str">
        <f aca="false">IF($A24="","",IF(OR($N24="Yes",$T24="Yes",$Z24="Yes",$AF24="Yes",$AL24="Yes"),"Yes","No"))</f>
        <v>No</v>
      </c>
      <c r="AS24" s="193" t="str">
        <f aca="false">IF($A24="","",IFERROR(IF($AM24&lt;&gt;"",$AM24,IF($AG24&lt;&gt;"",$AG24,IF($AA24&lt;&gt;"",$AA24,IF($U24&lt;&gt;"",$U24,IF($O24&lt;&gt;"",$O24,""))))),""))</f>
        <v/>
      </c>
      <c r="AT24" s="193" t="str">
        <f aca="false">IFERROR(IF($AN24&lt;&gt;"",$AN24,IF($AH24&lt;&gt;"",$AH24,IF($AB24&lt;&gt;"",$AB24,IF($V24&lt;&gt;"",$V24,IF($P24&lt;&gt;"",$P24,""))))),"")</f>
        <v/>
      </c>
      <c r="AU24" s="194"/>
    </row>
    <row r="25" customFormat="false" ht="79.85" hidden="false" customHeight="false" outlineLevel="0" collapsed="false">
      <c r="A25" s="191" t="str">
        <f aca="false">IF($F25="","",$C$2&amp;"."&amp;COUNTA($F$7:$F25)&amp;"")</f>
        <v>TC_09.14</v>
      </c>
      <c r="B25" s="191" t="s">
        <v>563</v>
      </c>
      <c r="C25" s="191" t="s">
        <v>530</v>
      </c>
      <c r="D25" s="191" t="s">
        <v>41</v>
      </c>
      <c r="E25" s="191" t="s">
        <v>159</v>
      </c>
      <c r="F25" s="13" t="s">
        <v>1160</v>
      </c>
      <c r="G25" s="13" t="s">
        <v>655</v>
      </c>
      <c r="H25" s="13" t="s">
        <v>1161</v>
      </c>
      <c r="I25" s="13" t="s">
        <v>1162</v>
      </c>
      <c r="J25" s="191" t="s">
        <v>658</v>
      </c>
      <c r="K25" s="191" t="s">
        <v>245</v>
      </c>
      <c r="L25" s="191"/>
      <c r="M25" s="191"/>
      <c r="N25" s="192"/>
      <c r="O25" s="192"/>
      <c r="P25" s="192"/>
      <c r="Q25" s="192"/>
      <c r="R25" s="192"/>
      <c r="S25" s="192"/>
      <c r="T25" s="192"/>
      <c r="U25" s="192"/>
      <c r="V25" s="192"/>
      <c r="W25" s="192"/>
      <c r="X25" s="192"/>
      <c r="Y25" s="192"/>
      <c r="Z25" s="192"/>
      <c r="AA25" s="192"/>
      <c r="AB25" s="192"/>
      <c r="AC25" s="192"/>
      <c r="AD25" s="192"/>
      <c r="AE25" s="192"/>
      <c r="AF25" s="192"/>
      <c r="AG25" s="192"/>
      <c r="AH25" s="192"/>
      <c r="AI25" s="192"/>
      <c r="AJ25" s="192"/>
      <c r="AK25" s="192"/>
      <c r="AL25" s="192"/>
      <c r="AM25" s="192"/>
      <c r="AN25" s="192"/>
      <c r="AO25" s="192"/>
      <c r="AP25" s="192"/>
      <c r="AQ25" s="192"/>
      <c r="AR25" s="193" t="str">
        <f aca="false">IF($A25="","",IF(OR($N25="Yes",$T25="Yes",$Z25="Yes",$AF25="Yes",$AL25="Yes"),"Yes","No"))</f>
        <v>No</v>
      </c>
      <c r="AS25" s="193" t="str">
        <f aca="false">IF($A25="","",IFERROR(IF($AM25&lt;&gt;"",$AM25,IF($AG25&lt;&gt;"",$AG25,IF($AA25&lt;&gt;"",$AA25,IF($U25&lt;&gt;"",$U25,IF($O25&lt;&gt;"",$O25,""))))),""))</f>
        <v/>
      </c>
      <c r="AT25" s="193" t="str">
        <f aca="false">IFERROR(IF($AN25&lt;&gt;"",$AN25,IF($AH25&lt;&gt;"",$AH25,IF($AB25&lt;&gt;"",$AB25,IF($V25&lt;&gt;"",$V25,IF($P25&lt;&gt;"",$P25,""))))),"")</f>
        <v/>
      </c>
      <c r="AU25" s="194"/>
    </row>
    <row r="26" customFormat="false" ht="79.85" hidden="false" customHeight="false" outlineLevel="0" collapsed="false">
      <c r="A26" s="191" t="str">
        <f aca="false">IF($F26="","",$C$2&amp;"."&amp;COUNTA($F$7:$F26)&amp;"")</f>
        <v>TC_09.15</v>
      </c>
      <c r="B26" s="191" t="s">
        <v>563</v>
      </c>
      <c r="C26" s="191" t="s">
        <v>530</v>
      </c>
      <c r="D26" s="191" t="s">
        <v>41</v>
      </c>
      <c r="E26" s="191" t="s">
        <v>159</v>
      </c>
      <c r="F26" s="13" t="s">
        <v>1163</v>
      </c>
      <c r="G26" s="13" t="s">
        <v>655</v>
      </c>
      <c r="H26" s="13" t="s">
        <v>1164</v>
      </c>
      <c r="I26" s="13" t="s">
        <v>1165</v>
      </c>
      <c r="J26" s="191" t="s">
        <v>658</v>
      </c>
      <c r="K26" s="191" t="s">
        <v>245</v>
      </c>
      <c r="L26" s="191"/>
      <c r="M26" s="191"/>
      <c r="N26" s="192"/>
      <c r="O26" s="192"/>
      <c r="P26" s="192"/>
      <c r="Q26" s="192"/>
      <c r="R26" s="192"/>
      <c r="S26" s="192"/>
      <c r="T26" s="192"/>
      <c r="U26" s="192"/>
      <c r="V26" s="192"/>
      <c r="W26" s="192"/>
      <c r="X26" s="192"/>
      <c r="Y26" s="192"/>
      <c r="Z26" s="192"/>
      <c r="AA26" s="192"/>
      <c r="AB26" s="192"/>
      <c r="AC26" s="192"/>
      <c r="AD26" s="192"/>
      <c r="AE26" s="192"/>
      <c r="AF26" s="192"/>
      <c r="AG26" s="192"/>
      <c r="AH26" s="192"/>
      <c r="AI26" s="192"/>
      <c r="AJ26" s="192"/>
      <c r="AK26" s="192"/>
      <c r="AL26" s="192"/>
      <c r="AM26" s="192"/>
      <c r="AN26" s="192"/>
      <c r="AO26" s="192"/>
      <c r="AP26" s="192"/>
      <c r="AQ26" s="192"/>
      <c r="AR26" s="193" t="str">
        <f aca="false">IF($A26="","",IF(OR($N26="Yes",$T26="Yes",$Z26="Yes",$AF26="Yes",$AL26="Yes"),"Yes","No"))</f>
        <v>No</v>
      </c>
      <c r="AS26" s="193" t="str">
        <f aca="false">IF($A26="","",IFERROR(IF($AM26&lt;&gt;"",$AM26,IF($AG26&lt;&gt;"",$AG26,IF($AA26&lt;&gt;"",$AA26,IF($U26&lt;&gt;"",$U26,IF($O26&lt;&gt;"",$O26,""))))),""))</f>
        <v/>
      </c>
      <c r="AT26" s="193" t="str">
        <f aca="false">IFERROR(IF($AN26&lt;&gt;"",$AN26,IF($AH26&lt;&gt;"",$AH26,IF($AB26&lt;&gt;"",$AB26,IF($V26&lt;&gt;"",$V26,IF($P26&lt;&gt;"",$P26,""))))),"")</f>
        <v/>
      </c>
      <c r="AU26" s="194"/>
    </row>
    <row r="27" customFormat="false" ht="15" hidden="false" customHeight="false" outlineLevel="0" collapsed="false">
      <c r="A27" s="189"/>
      <c r="B27" s="189"/>
      <c r="C27" s="190" t="s">
        <v>1166</v>
      </c>
      <c r="D27" s="190"/>
      <c r="E27" s="190"/>
      <c r="F27" s="190"/>
      <c r="G27" s="190"/>
      <c r="H27" s="190"/>
      <c r="I27" s="190"/>
      <c r="J27" s="190"/>
      <c r="K27" s="190"/>
      <c r="L27" s="190"/>
      <c r="M27" s="190"/>
      <c r="N27" s="190"/>
      <c r="O27" s="190"/>
      <c r="P27" s="190"/>
      <c r="Q27" s="190"/>
      <c r="R27" s="190"/>
      <c r="S27" s="190"/>
      <c r="T27" s="190"/>
      <c r="U27" s="190"/>
      <c r="V27" s="190"/>
      <c r="W27" s="190"/>
      <c r="X27" s="190"/>
      <c r="Y27" s="190"/>
      <c r="Z27" s="190"/>
      <c r="AA27" s="190"/>
      <c r="AB27" s="190"/>
      <c r="AC27" s="190"/>
      <c r="AD27" s="190"/>
      <c r="AE27" s="190"/>
      <c r="AF27" s="190"/>
      <c r="AG27" s="190"/>
      <c r="AH27" s="190"/>
      <c r="AI27" s="190"/>
      <c r="AJ27" s="190"/>
      <c r="AK27" s="190"/>
      <c r="AL27" s="190"/>
      <c r="AM27" s="190"/>
      <c r="AN27" s="190"/>
      <c r="AO27" s="190"/>
      <c r="AP27" s="190"/>
      <c r="AQ27" s="190"/>
      <c r="AR27" s="190"/>
      <c r="AS27" s="190"/>
      <c r="AT27" s="190"/>
      <c r="AU27" s="190"/>
    </row>
    <row r="28" customFormat="false" ht="79.85" hidden="false" customHeight="false" outlineLevel="0" collapsed="false">
      <c r="A28" s="191" t="str">
        <f aca="false">IF($F28="","",$C$2&amp;"."&amp;COUNTA($F$7:$F28)&amp;"")</f>
        <v>TC_09.16</v>
      </c>
      <c r="B28" s="191" t="s">
        <v>566</v>
      </c>
      <c r="C28" s="191" t="s">
        <v>530</v>
      </c>
      <c r="D28" s="191" t="s">
        <v>41</v>
      </c>
      <c r="E28" s="191" t="s">
        <v>159</v>
      </c>
      <c r="F28" s="13" t="s">
        <v>1167</v>
      </c>
      <c r="G28" s="13" t="s">
        <v>655</v>
      </c>
      <c r="H28" s="13" t="s">
        <v>1168</v>
      </c>
      <c r="I28" s="13" t="s">
        <v>1169</v>
      </c>
      <c r="J28" s="191" t="s">
        <v>658</v>
      </c>
      <c r="K28" s="191" t="s">
        <v>245</v>
      </c>
      <c r="L28" s="191"/>
      <c r="M28" s="191"/>
      <c r="N28" s="192"/>
      <c r="O28" s="192"/>
      <c r="P28" s="192"/>
      <c r="Q28" s="192"/>
      <c r="R28" s="192"/>
      <c r="S28" s="192"/>
      <c r="T28" s="192"/>
      <c r="U28" s="192"/>
      <c r="V28" s="192"/>
      <c r="W28" s="192"/>
      <c r="X28" s="192"/>
      <c r="Y28" s="192"/>
      <c r="Z28" s="192"/>
      <c r="AA28" s="192"/>
      <c r="AB28" s="192"/>
      <c r="AC28" s="192"/>
      <c r="AD28" s="192"/>
      <c r="AE28" s="192"/>
      <c r="AF28" s="192"/>
      <c r="AG28" s="192"/>
      <c r="AH28" s="192"/>
      <c r="AI28" s="192"/>
      <c r="AJ28" s="192"/>
      <c r="AK28" s="192"/>
      <c r="AL28" s="192"/>
      <c r="AM28" s="192"/>
      <c r="AN28" s="192"/>
      <c r="AO28" s="192"/>
      <c r="AP28" s="192"/>
      <c r="AQ28" s="192"/>
      <c r="AR28" s="193" t="str">
        <f aca="false">IF($A28="","",IF(OR($N28="Yes",$T28="Yes",$Z28="Yes",$AF28="Yes",$AL28="Yes"),"Yes","No"))</f>
        <v>No</v>
      </c>
      <c r="AS28" s="193" t="str">
        <f aca="false">IF($A28="","",IFERROR(IF($AM28&lt;&gt;"",$AM28,IF($AG28&lt;&gt;"",$AG28,IF($AA28&lt;&gt;"",$AA28,IF($U28&lt;&gt;"",$U28,IF($O28&lt;&gt;"",$O28,""))))),""))</f>
        <v/>
      </c>
      <c r="AT28" s="193" t="str">
        <f aca="false">IFERROR(IF($AN28&lt;&gt;"",$AN28,IF($AH28&lt;&gt;"",$AH28,IF($AB28&lt;&gt;"",$AB28,IF($V28&lt;&gt;"",$V28,IF($P28&lt;&gt;"",$P28,""))))),"")</f>
        <v/>
      </c>
      <c r="AU28" s="194"/>
    </row>
    <row r="29" customFormat="false" ht="57.45" hidden="false" customHeight="false" outlineLevel="0" collapsed="false">
      <c r="A29" s="191" t="str">
        <f aca="false">IF($F29="","",$C$2&amp;"."&amp;COUNTA($F$7:$F29)&amp;"")</f>
        <v>TC_09.17</v>
      </c>
      <c r="B29" s="191" t="s">
        <v>566</v>
      </c>
      <c r="C29" s="191" t="s">
        <v>530</v>
      </c>
      <c r="D29" s="191" t="s">
        <v>43</v>
      </c>
      <c r="E29" s="191" t="s">
        <v>159</v>
      </c>
      <c r="F29" s="13" t="s">
        <v>1170</v>
      </c>
      <c r="G29" s="13" t="s">
        <v>655</v>
      </c>
      <c r="H29" s="13" t="s">
        <v>1171</v>
      </c>
      <c r="I29" s="13" t="s">
        <v>1172</v>
      </c>
      <c r="J29" s="191" t="s">
        <v>658</v>
      </c>
      <c r="K29" s="191" t="s">
        <v>245</v>
      </c>
      <c r="L29" s="191"/>
      <c r="M29" s="191"/>
      <c r="N29" s="192"/>
      <c r="O29" s="192"/>
      <c r="P29" s="192"/>
      <c r="Q29" s="192"/>
      <c r="R29" s="192"/>
      <c r="S29" s="192"/>
      <c r="T29" s="192"/>
      <c r="U29" s="192"/>
      <c r="V29" s="192"/>
      <c r="W29" s="192"/>
      <c r="X29" s="192"/>
      <c r="Y29" s="192"/>
      <c r="Z29" s="192"/>
      <c r="AA29" s="192"/>
      <c r="AB29" s="192"/>
      <c r="AC29" s="192"/>
      <c r="AD29" s="192"/>
      <c r="AE29" s="192"/>
      <c r="AF29" s="192"/>
      <c r="AG29" s="192"/>
      <c r="AH29" s="192"/>
      <c r="AI29" s="192"/>
      <c r="AJ29" s="192"/>
      <c r="AK29" s="192"/>
      <c r="AL29" s="192"/>
      <c r="AM29" s="192"/>
      <c r="AN29" s="192"/>
      <c r="AO29" s="192"/>
      <c r="AP29" s="192"/>
      <c r="AQ29" s="192"/>
      <c r="AR29" s="193" t="str">
        <f aca="false">IF($A29="","",IF(OR($N29="Yes",$T29="Yes",$Z29="Yes",$AF29="Yes",$AL29="Yes"),"Yes","No"))</f>
        <v>No</v>
      </c>
      <c r="AS29" s="193" t="str">
        <f aca="false">IF($A29="","",IFERROR(IF($AM29&lt;&gt;"",$AM29,IF($AG29&lt;&gt;"",$AG29,IF($AA29&lt;&gt;"",$AA29,IF($U29&lt;&gt;"",$U29,IF($O29&lt;&gt;"",$O29,""))))),""))</f>
        <v/>
      </c>
      <c r="AT29" s="193" t="str">
        <f aca="false">IFERROR(IF($AN29&lt;&gt;"",$AN29,IF($AH29&lt;&gt;"",$AH29,IF($AB29&lt;&gt;"",$AB29,IF($V29&lt;&gt;"",$V29,IF($P29&lt;&gt;"",$P29,""))))),"")</f>
        <v/>
      </c>
      <c r="AU29" s="194"/>
    </row>
    <row r="30" customFormat="false" ht="79.85" hidden="false" customHeight="false" outlineLevel="0" collapsed="false">
      <c r="A30" s="191" t="str">
        <f aca="false">IF($F30="","",$C$2&amp;"."&amp;COUNTA($F$7:$F30)&amp;"")</f>
        <v>TC_09.18</v>
      </c>
      <c r="B30" s="191" t="s">
        <v>566</v>
      </c>
      <c r="C30" s="191" t="s">
        <v>530</v>
      </c>
      <c r="D30" s="191" t="s">
        <v>41</v>
      </c>
      <c r="E30" s="191" t="s">
        <v>159</v>
      </c>
      <c r="F30" s="13" t="s">
        <v>1173</v>
      </c>
      <c r="G30" s="13" t="s">
        <v>1174</v>
      </c>
      <c r="H30" s="13" t="s">
        <v>1175</v>
      </c>
      <c r="I30" s="13" t="s">
        <v>1176</v>
      </c>
      <c r="J30" s="191" t="s">
        <v>658</v>
      </c>
      <c r="K30" s="191" t="s">
        <v>245</v>
      </c>
      <c r="L30" s="191"/>
      <c r="M30" s="191"/>
      <c r="N30" s="192"/>
      <c r="O30" s="192"/>
      <c r="P30" s="192"/>
      <c r="Q30" s="192"/>
      <c r="R30" s="192"/>
      <c r="S30" s="192"/>
      <c r="T30" s="192"/>
      <c r="U30" s="192"/>
      <c r="V30" s="192"/>
      <c r="W30" s="192"/>
      <c r="X30" s="192"/>
      <c r="Y30" s="192"/>
      <c r="Z30" s="192"/>
      <c r="AA30" s="192"/>
      <c r="AB30" s="192"/>
      <c r="AC30" s="192"/>
      <c r="AD30" s="192"/>
      <c r="AE30" s="192"/>
      <c r="AF30" s="192"/>
      <c r="AG30" s="192"/>
      <c r="AH30" s="192"/>
      <c r="AI30" s="192"/>
      <c r="AJ30" s="192"/>
      <c r="AK30" s="192"/>
      <c r="AL30" s="192"/>
      <c r="AM30" s="192"/>
      <c r="AN30" s="192"/>
      <c r="AO30" s="192"/>
      <c r="AP30" s="192"/>
      <c r="AQ30" s="192"/>
      <c r="AR30" s="193" t="str">
        <f aca="false">IF($A30="","",IF(OR($N30="Yes",$T30="Yes",$Z30="Yes",$AF30="Yes",$AL30="Yes"),"Yes","No"))</f>
        <v>No</v>
      </c>
      <c r="AS30" s="193" t="str">
        <f aca="false">IF($A30="","",IFERROR(IF($AM30&lt;&gt;"",$AM30,IF($AG30&lt;&gt;"",$AG30,IF($AA30&lt;&gt;"",$AA30,IF($U30&lt;&gt;"",$U30,IF($O30&lt;&gt;"",$O30,""))))),""))</f>
        <v/>
      </c>
      <c r="AT30" s="193" t="str">
        <f aca="false">IFERROR(IF($AN30&lt;&gt;"",$AN30,IF($AH30&lt;&gt;"",$AH30,IF($AB30&lt;&gt;"",$AB30,IF($V30&lt;&gt;"",$V30,IF($P30&lt;&gt;"",$P30,""))))),"")</f>
        <v/>
      </c>
      <c r="AU30" s="194"/>
    </row>
    <row r="31" customFormat="false" ht="15" hidden="false" customHeight="false" outlineLevel="0" collapsed="false">
      <c r="A31" s="189"/>
      <c r="B31" s="189"/>
      <c r="C31" s="190" t="s">
        <v>1177</v>
      </c>
      <c r="D31" s="190"/>
      <c r="E31" s="190"/>
      <c r="F31" s="190"/>
      <c r="G31" s="190"/>
      <c r="H31" s="190"/>
      <c r="I31" s="190"/>
      <c r="J31" s="190"/>
      <c r="K31" s="190"/>
      <c r="L31" s="190"/>
      <c r="M31" s="190"/>
      <c r="N31" s="190"/>
      <c r="O31" s="190"/>
      <c r="P31" s="190"/>
      <c r="Q31" s="190"/>
      <c r="R31" s="190"/>
      <c r="S31" s="190"/>
      <c r="T31" s="190"/>
      <c r="U31" s="190"/>
      <c r="V31" s="190"/>
      <c r="W31" s="190"/>
      <c r="X31" s="190"/>
      <c r="Y31" s="190"/>
      <c r="Z31" s="190"/>
      <c r="AA31" s="190"/>
      <c r="AB31" s="190"/>
      <c r="AC31" s="190"/>
      <c r="AD31" s="190"/>
      <c r="AE31" s="190"/>
      <c r="AF31" s="190"/>
      <c r="AG31" s="190"/>
      <c r="AH31" s="190"/>
      <c r="AI31" s="190"/>
      <c r="AJ31" s="190"/>
      <c r="AK31" s="190"/>
      <c r="AL31" s="190"/>
      <c r="AM31" s="190"/>
      <c r="AN31" s="190"/>
      <c r="AO31" s="190"/>
      <c r="AP31" s="190"/>
      <c r="AQ31" s="190"/>
      <c r="AR31" s="190"/>
      <c r="AS31" s="190"/>
      <c r="AT31" s="190"/>
      <c r="AU31" s="190"/>
    </row>
    <row r="32" customFormat="false" ht="79.85" hidden="false" customHeight="false" outlineLevel="0" collapsed="false">
      <c r="A32" s="191" t="str">
        <f aca="false">IF($F32="","",$C$2&amp;"."&amp;COUNTA($F$7:$F32)&amp;"")</f>
        <v>TC_09.19</v>
      </c>
      <c r="B32" s="191" t="s">
        <v>569</v>
      </c>
      <c r="C32" s="191" t="s">
        <v>530</v>
      </c>
      <c r="D32" s="191" t="s">
        <v>43</v>
      </c>
      <c r="E32" s="191" t="s">
        <v>159</v>
      </c>
      <c r="F32" s="13" t="s">
        <v>1178</v>
      </c>
      <c r="G32" s="13" t="s">
        <v>1116</v>
      </c>
      <c r="H32" s="13" t="s">
        <v>1179</v>
      </c>
      <c r="I32" s="13" t="s">
        <v>1180</v>
      </c>
      <c r="J32" s="191" t="s">
        <v>658</v>
      </c>
      <c r="K32" s="191" t="s">
        <v>245</v>
      </c>
      <c r="L32" s="191"/>
      <c r="M32" s="191"/>
      <c r="N32" s="192"/>
      <c r="O32" s="192"/>
      <c r="P32" s="192"/>
      <c r="Q32" s="192"/>
      <c r="R32" s="192"/>
      <c r="S32" s="192"/>
      <c r="T32" s="192"/>
      <c r="U32" s="192"/>
      <c r="V32" s="192"/>
      <c r="W32" s="192"/>
      <c r="X32" s="192"/>
      <c r="Y32" s="192"/>
      <c r="Z32" s="192"/>
      <c r="AA32" s="192"/>
      <c r="AB32" s="192"/>
      <c r="AC32" s="192"/>
      <c r="AD32" s="192"/>
      <c r="AE32" s="192"/>
      <c r="AF32" s="192"/>
      <c r="AG32" s="192"/>
      <c r="AH32" s="192"/>
      <c r="AI32" s="192"/>
      <c r="AJ32" s="192"/>
      <c r="AK32" s="192"/>
      <c r="AL32" s="192"/>
      <c r="AM32" s="192"/>
      <c r="AN32" s="192"/>
      <c r="AO32" s="192"/>
      <c r="AP32" s="192"/>
      <c r="AQ32" s="192"/>
      <c r="AR32" s="193" t="str">
        <f aca="false">IF($A32="","",IF(OR($N32="Yes",$T32="Yes",$Z32="Yes",$AF32="Yes",$AL32="Yes"),"Yes","No"))</f>
        <v>No</v>
      </c>
      <c r="AS32" s="193" t="str">
        <f aca="false">IF($A32="","",IFERROR(IF($AM32&lt;&gt;"",$AM32,IF($AG32&lt;&gt;"",$AG32,IF($AA32&lt;&gt;"",$AA32,IF($U32&lt;&gt;"",$U32,IF($O32&lt;&gt;"",$O32,""))))),""))</f>
        <v/>
      </c>
      <c r="AT32" s="193" t="str">
        <f aca="false">IFERROR(IF($AN32&lt;&gt;"",$AN32,IF($AH32&lt;&gt;"",$AH32,IF($AB32&lt;&gt;"",$AB32,IF($V32&lt;&gt;"",$V32,IF($P32&lt;&gt;"",$P32,""))))),"")</f>
        <v/>
      </c>
      <c r="AU32" s="194"/>
    </row>
    <row r="33" customFormat="false" ht="15" hidden="false" customHeight="false" outlineLevel="0" collapsed="false">
      <c r="A33" s="189"/>
      <c r="B33" s="189"/>
      <c r="C33" s="190" t="s">
        <v>1181</v>
      </c>
      <c r="D33" s="190"/>
      <c r="E33" s="190"/>
      <c r="F33" s="190"/>
      <c r="G33" s="190"/>
      <c r="H33" s="190"/>
      <c r="I33" s="190"/>
      <c r="J33" s="190"/>
      <c r="K33" s="190"/>
      <c r="L33" s="190"/>
      <c r="M33" s="190"/>
      <c r="N33" s="190"/>
      <c r="O33" s="190"/>
      <c r="P33" s="190"/>
      <c r="Q33" s="190"/>
      <c r="R33" s="190"/>
      <c r="S33" s="190"/>
      <c r="T33" s="190"/>
      <c r="U33" s="190"/>
      <c r="V33" s="190"/>
      <c r="W33" s="190"/>
      <c r="X33" s="190"/>
      <c r="Y33" s="190"/>
      <c r="Z33" s="190"/>
      <c r="AA33" s="190"/>
      <c r="AB33" s="190"/>
      <c r="AC33" s="190"/>
      <c r="AD33" s="190"/>
      <c r="AE33" s="190"/>
      <c r="AF33" s="190"/>
      <c r="AG33" s="190"/>
      <c r="AH33" s="190"/>
      <c r="AI33" s="190"/>
      <c r="AJ33" s="190"/>
      <c r="AK33" s="190"/>
      <c r="AL33" s="190"/>
      <c r="AM33" s="190"/>
      <c r="AN33" s="190"/>
      <c r="AO33" s="190"/>
      <c r="AP33" s="190"/>
      <c r="AQ33" s="190"/>
      <c r="AR33" s="190"/>
      <c r="AS33" s="190"/>
      <c r="AT33" s="190"/>
      <c r="AU33" s="190"/>
    </row>
    <row r="34" customFormat="false" ht="102.2" hidden="false" customHeight="false" outlineLevel="0" collapsed="false">
      <c r="A34" s="191" t="str">
        <f aca="false">IF($F34="","",$C$2&amp;"."&amp;COUNTA($F$7:$F34)&amp;"")</f>
        <v>TC_09.20</v>
      </c>
      <c r="B34" s="191" t="s">
        <v>572</v>
      </c>
      <c r="C34" s="191" t="s">
        <v>530</v>
      </c>
      <c r="D34" s="191" t="s">
        <v>41</v>
      </c>
      <c r="E34" s="191" t="s">
        <v>159</v>
      </c>
      <c r="F34" s="13" t="s">
        <v>1182</v>
      </c>
      <c r="G34" s="13" t="s">
        <v>729</v>
      </c>
      <c r="H34" s="13" t="s">
        <v>1183</v>
      </c>
      <c r="I34" s="13" t="s">
        <v>1184</v>
      </c>
      <c r="J34" s="191" t="s">
        <v>658</v>
      </c>
      <c r="K34" s="191" t="s">
        <v>245</v>
      </c>
      <c r="L34" s="191"/>
      <c r="M34" s="191"/>
      <c r="N34" s="192"/>
      <c r="O34" s="192"/>
      <c r="P34" s="192"/>
      <c r="Q34" s="192"/>
      <c r="R34" s="192"/>
      <c r="S34" s="192"/>
      <c r="T34" s="192"/>
      <c r="U34" s="192"/>
      <c r="V34" s="192"/>
      <c r="W34" s="192"/>
      <c r="X34" s="192"/>
      <c r="Y34" s="192"/>
      <c r="Z34" s="192"/>
      <c r="AA34" s="192"/>
      <c r="AB34" s="192"/>
      <c r="AC34" s="192"/>
      <c r="AD34" s="192"/>
      <c r="AE34" s="192"/>
      <c r="AF34" s="192"/>
      <c r="AG34" s="192"/>
      <c r="AH34" s="192"/>
      <c r="AI34" s="192"/>
      <c r="AJ34" s="192"/>
      <c r="AK34" s="192"/>
      <c r="AL34" s="192"/>
      <c r="AM34" s="192"/>
      <c r="AN34" s="192"/>
      <c r="AO34" s="192"/>
      <c r="AP34" s="192"/>
      <c r="AQ34" s="192"/>
      <c r="AR34" s="193" t="str">
        <f aca="false">IF($A34="","",IF(OR($N34="Yes",$T34="Yes",$Z34="Yes",$AF34="Yes",$AL34="Yes"),"Yes","No"))</f>
        <v>No</v>
      </c>
      <c r="AS34" s="193" t="str">
        <f aca="false">IF($A34="","",IFERROR(IF($AM34&lt;&gt;"",$AM34,IF($AG34&lt;&gt;"",$AG34,IF($AA34&lt;&gt;"",$AA34,IF($U34&lt;&gt;"",$U34,IF($O34&lt;&gt;"",$O34,""))))),""))</f>
        <v/>
      </c>
      <c r="AT34" s="193" t="str">
        <f aca="false">IFERROR(IF($AN34&lt;&gt;"",$AN34,IF($AH34&lt;&gt;"",$AH34,IF($AB34&lt;&gt;"",$AB34,IF($V34&lt;&gt;"",$V34,IF($P34&lt;&gt;"",$P34,""))))),"")</f>
        <v/>
      </c>
      <c r="AU34" s="194"/>
    </row>
    <row r="35" customFormat="false" ht="15" hidden="false" customHeight="false" outlineLevel="0" collapsed="false">
      <c r="A35" s="189"/>
      <c r="B35" s="189"/>
      <c r="C35" s="190" t="s">
        <v>1185</v>
      </c>
      <c r="D35" s="190"/>
      <c r="E35" s="190"/>
      <c r="F35" s="190"/>
      <c r="G35" s="190"/>
      <c r="H35" s="190"/>
      <c r="I35" s="190"/>
      <c r="J35" s="190"/>
      <c r="K35" s="190"/>
      <c r="L35" s="190"/>
      <c r="M35" s="190"/>
      <c r="N35" s="190"/>
      <c r="O35" s="190"/>
      <c r="P35" s="190"/>
      <c r="Q35" s="190"/>
      <c r="R35" s="190"/>
      <c r="S35" s="190"/>
      <c r="T35" s="190"/>
      <c r="U35" s="190"/>
      <c r="V35" s="190"/>
      <c r="W35" s="190"/>
      <c r="X35" s="190"/>
      <c r="Y35" s="190"/>
      <c r="Z35" s="190"/>
      <c r="AA35" s="190"/>
      <c r="AB35" s="190"/>
      <c r="AC35" s="190"/>
      <c r="AD35" s="190"/>
      <c r="AE35" s="190"/>
      <c r="AF35" s="190"/>
      <c r="AG35" s="190"/>
      <c r="AH35" s="190"/>
      <c r="AI35" s="190"/>
      <c r="AJ35" s="190"/>
      <c r="AK35" s="190"/>
      <c r="AL35" s="190"/>
      <c r="AM35" s="190"/>
      <c r="AN35" s="190"/>
      <c r="AO35" s="190"/>
      <c r="AP35" s="190"/>
      <c r="AQ35" s="190"/>
      <c r="AR35" s="190"/>
      <c r="AS35" s="190"/>
      <c r="AT35" s="190"/>
      <c r="AU35" s="190"/>
    </row>
    <row r="36" customFormat="false" ht="102.2" hidden="false" customHeight="false" outlineLevel="0" collapsed="false">
      <c r="A36" s="191" t="str">
        <f aca="false">IF($F36="","",$C$2&amp;"."&amp;COUNTA($F$7:$F36)&amp;"")</f>
        <v>TC_09.21</v>
      </c>
      <c r="B36" s="191" t="s">
        <v>575</v>
      </c>
      <c r="C36" s="191" t="s">
        <v>530</v>
      </c>
      <c r="D36" s="191" t="s">
        <v>41</v>
      </c>
      <c r="E36" s="191" t="s">
        <v>159</v>
      </c>
      <c r="F36" s="13" t="s">
        <v>1186</v>
      </c>
      <c r="G36" s="13" t="s">
        <v>655</v>
      </c>
      <c r="H36" s="13" t="s">
        <v>1187</v>
      </c>
      <c r="I36" s="13" t="s">
        <v>1188</v>
      </c>
      <c r="J36" s="191" t="s">
        <v>658</v>
      </c>
      <c r="K36" s="191" t="s">
        <v>245</v>
      </c>
      <c r="L36" s="191"/>
      <c r="M36" s="191"/>
      <c r="N36" s="192"/>
      <c r="O36" s="192"/>
      <c r="P36" s="192"/>
      <c r="Q36" s="192"/>
      <c r="R36" s="192"/>
      <c r="S36" s="192"/>
      <c r="T36" s="192"/>
      <c r="U36" s="192"/>
      <c r="V36" s="192"/>
      <c r="W36" s="192"/>
      <c r="X36" s="192"/>
      <c r="Y36" s="192"/>
      <c r="Z36" s="192"/>
      <c r="AA36" s="192"/>
      <c r="AB36" s="192"/>
      <c r="AC36" s="192"/>
      <c r="AD36" s="192"/>
      <c r="AE36" s="192"/>
      <c r="AF36" s="192"/>
      <c r="AG36" s="192"/>
      <c r="AH36" s="192"/>
      <c r="AI36" s="192"/>
      <c r="AJ36" s="192"/>
      <c r="AK36" s="192"/>
      <c r="AL36" s="192"/>
      <c r="AM36" s="192"/>
      <c r="AN36" s="192"/>
      <c r="AO36" s="192"/>
      <c r="AP36" s="192"/>
      <c r="AQ36" s="192"/>
      <c r="AR36" s="193" t="str">
        <f aca="false">IF($A36="","",IF(OR($N36="Yes",$T36="Yes",$Z36="Yes",$AF36="Yes",$AL36="Yes"),"Yes","No"))</f>
        <v>No</v>
      </c>
      <c r="AS36" s="193" t="str">
        <f aca="false">IF($A36="","",IFERROR(IF($AM36&lt;&gt;"",$AM36,IF($AG36&lt;&gt;"",$AG36,IF($AA36&lt;&gt;"",$AA36,IF($U36&lt;&gt;"",$U36,IF($O36&lt;&gt;"",$O36,""))))),""))</f>
        <v/>
      </c>
      <c r="AT36" s="193" t="str">
        <f aca="false">IFERROR(IF($AN36&lt;&gt;"",$AN36,IF($AH36&lt;&gt;"",$AH36,IF($AB36&lt;&gt;"",$AB36,IF($V36&lt;&gt;"",$V36,IF($P36&lt;&gt;"",$P36,""))))),"")</f>
        <v/>
      </c>
      <c r="AU36" s="194"/>
    </row>
    <row r="37" customFormat="false" ht="91" hidden="false" customHeight="false" outlineLevel="0" collapsed="false">
      <c r="A37" s="191" t="str">
        <f aca="false">IF($F37="","",$C$2&amp;"."&amp;COUNTA($F$7:$F37)&amp;"")</f>
        <v>TC_09.22</v>
      </c>
      <c r="B37" s="191" t="s">
        <v>575</v>
      </c>
      <c r="C37" s="191" t="s">
        <v>530</v>
      </c>
      <c r="D37" s="191" t="s">
        <v>41</v>
      </c>
      <c r="E37" s="191" t="s">
        <v>159</v>
      </c>
      <c r="F37" s="13" t="s">
        <v>1189</v>
      </c>
      <c r="G37" s="13" t="s">
        <v>729</v>
      </c>
      <c r="H37" s="13" t="s">
        <v>1190</v>
      </c>
      <c r="I37" s="13" t="s">
        <v>1191</v>
      </c>
      <c r="J37" s="191" t="s">
        <v>658</v>
      </c>
      <c r="K37" s="191" t="s">
        <v>245</v>
      </c>
      <c r="L37" s="191"/>
      <c r="M37" s="191"/>
      <c r="N37" s="192"/>
      <c r="O37" s="192"/>
      <c r="P37" s="192"/>
      <c r="Q37" s="192"/>
      <c r="R37" s="192"/>
      <c r="S37" s="192"/>
      <c r="T37" s="192"/>
      <c r="U37" s="192"/>
      <c r="V37" s="192"/>
      <c r="W37" s="192"/>
      <c r="X37" s="192"/>
      <c r="Y37" s="192"/>
      <c r="Z37" s="192"/>
      <c r="AA37" s="192"/>
      <c r="AB37" s="192"/>
      <c r="AC37" s="192"/>
      <c r="AD37" s="192"/>
      <c r="AE37" s="192"/>
      <c r="AF37" s="192"/>
      <c r="AG37" s="192"/>
      <c r="AH37" s="192"/>
      <c r="AI37" s="192"/>
      <c r="AJ37" s="192"/>
      <c r="AK37" s="192"/>
      <c r="AL37" s="192"/>
      <c r="AM37" s="192"/>
      <c r="AN37" s="192"/>
      <c r="AO37" s="192"/>
      <c r="AP37" s="192"/>
      <c r="AQ37" s="192"/>
      <c r="AR37" s="193" t="str">
        <f aca="false">IF($A37="","",IF(OR($N37="Yes",$T37="Yes",$Z37="Yes",$AF37="Yes",$AL37="Yes"),"Yes","No"))</f>
        <v>No</v>
      </c>
      <c r="AS37" s="193" t="str">
        <f aca="false">IF($A37="","",IFERROR(IF($AM37&lt;&gt;"",$AM37,IF($AG37&lt;&gt;"",$AG37,IF($AA37&lt;&gt;"",$AA37,IF($U37&lt;&gt;"",$U37,IF($O37&lt;&gt;"",$O37,""))))),""))</f>
        <v/>
      </c>
      <c r="AT37" s="193" t="str">
        <f aca="false">IFERROR(IF($AN37&lt;&gt;"",$AN37,IF($AH37&lt;&gt;"",$AH37,IF($AB37&lt;&gt;"",$AB37,IF($V37&lt;&gt;"",$V37,IF($P37&lt;&gt;"",$P37,""))))),"")</f>
        <v/>
      </c>
      <c r="AU37" s="194"/>
    </row>
    <row r="38" customFormat="false" ht="113.4" hidden="false" customHeight="false" outlineLevel="0" collapsed="false">
      <c r="A38" s="191" t="str">
        <f aca="false">IF($F38="","",$C$2&amp;"."&amp;COUNTA($F$7:$F38)&amp;"")</f>
        <v>TC_09.23</v>
      </c>
      <c r="B38" s="191" t="s">
        <v>575</v>
      </c>
      <c r="C38" s="191" t="s">
        <v>530</v>
      </c>
      <c r="D38" s="191" t="s">
        <v>41</v>
      </c>
      <c r="E38" s="191" t="s">
        <v>159</v>
      </c>
      <c r="F38" s="13" t="s">
        <v>1192</v>
      </c>
      <c r="G38" s="13" t="s">
        <v>655</v>
      </c>
      <c r="H38" s="13" t="s">
        <v>1193</v>
      </c>
      <c r="I38" s="13" t="s">
        <v>1194</v>
      </c>
      <c r="J38" s="191" t="s">
        <v>658</v>
      </c>
      <c r="K38" s="191" t="s">
        <v>245</v>
      </c>
      <c r="L38" s="191"/>
      <c r="M38" s="191"/>
      <c r="N38" s="192"/>
      <c r="O38" s="192"/>
      <c r="P38" s="192"/>
      <c r="Q38" s="192"/>
      <c r="R38" s="192"/>
      <c r="S38" s="192"/>
      <c r="T38" s="192"/>
      <c r="U38" s="192"/>
      <c r="V38" s="192"/>
      <c r="W38" s="192"/>
      <c r="X38" s="192"/>
      <c r="Y38" s="192"/>
      <c r="Z38" s="192"/>
      <c r="AA38" s="192"/>
      <c r="AB38" s="192"/>
      <c r="AC38" s="192"/>
      <c r="AD38" s="192"/>
      <c r="AE38" s="192"/>
      <c r="AF38" s="192"/>
      <c r="AG38" s="192"/>
      <c r="AH38" s="192"/>
      <c r="AI38" s="192"/>
      <c r="AJ38" s="192"/>
      <c r="AK38" s="192"/>
      <c r="AL38" s="192"/>
      <c r="AM38" s="192"/>
      <c r="AN38" s="192"/>
      <c r="AO38" s="192"/>
      <c r="AP38" s="192"/>
      <c r="AQ38" s="192"/>
      <c r="AR38" s="193" t="str">
        <f aca="false">IF($A38="","",IF(OR($N38="Yes",$T38="Yes",$Z38="Yes",$AF38="Yes",$AL38="Yes"),"Yes","No"))</f>
        <v>No</v>
      </c>
      <c r="AS38" s="193" t="str">
        <f aca="false">IF($A38="","",IFERROR(IF($AM38&lt;&gt;"",$AM38,IF($AG38&lt;&gt;"",$AG38,IF($AA38&lt;&gt;"",$AA38,IF($U38&lt;&gt;"",$U38,IF($O38&lt;&gt;"",$O38,""))))),""))</f>
        <v/>
      </c>
      <c r="AT38" s="193" t="str">
        <f aca="false">IFERROR(IF($AN38&lt;&gt;"",$AN38,IF($AH38&lt;&gt;"",$AH38,IF($AB38&lt;&gt;"",$AB38,IF($V38&lt;&gt;"",$V38,IF($P38&lt;&gt;"",$P38,""))))),"")</f>
        <v/>
      </c>
      <c r="AU38" s="194"/>
    </row>
    <row r="39" customFormat="false" ht="15" hidden="false" customHeight="false" outlineLevel="0" collapsed="false">
      <c r="A39" s="189"/>
      <c r="B39" s="189"/>
      <c r="C39" s="190" t="s">
        <v>1195</v>
      </c>
      <c r="D39" s="190"/>
      <c r="E39" s="190"/>
      <c r="F39" s="190"/>
      <c r="G39" s="190"/>
      <c r="H39" s="190"/>
      <c r="I39" s="190"/>
      <c r="J39" s="190"/>
      <c r="K39" s="190"/>
      <c r="L39" s="190"/>
      <c r="M39" s="190"/>
      <c r="N39" s="190"/>
      <c r="O39" s="190"/>
      <c r="P39" s="190"/>
      <c r="Q39" s="190"/>
      <c r="R39" s="190"/>
      <c r="S39" s="190"/>
      <c r="T39" s="190"/>
      <c r="U39" s="190"/>
      <c r="V39" s="190"/>
      <c r="W39" s="190"/>
      <c r="X39" s="190"/>
      <c r="Y39" s="190"/>
      <c r="Z39" s="190"/>
      <c r="AA39" s="190"/>
      <c r="AB39" s="190"/>
      <c r="AC39" s="190"/>
      <c r="AD39" s="190"/>
      <c r="AE39" s="190"/>
      <c r="AF39" s="190"/>
      <c r="AG39" s="190"/>
      <c r="AH39" s="190"/>
      <c r="AI39" s="190"/>
      <c r="AJ39" s="190"/>
      <c r="AK39" s="190"/>
      <c r="AL39" s="190"/>
      <c r="AM39" s="190"/>
      <c r="AN39" s="190"/>
      <c r="AO39" s="190"/>
      <c r="AP39" s="190"/>
      <c r="AQ39" s="190"/>
      <c r="AR39" s="190"/>
      <c r="AS39" s="190"/>
      <c r="AT39" s="190"/>
      <c r="AU39" s="190"/>
    </row>
    <row r="40" customFormat="false" ht="147" hidden="false" customHeight="false" outlineLevel="0" collapsed="false">
      <c r="A40" s="191" t="str">
        <f aca="false">IF($F40="","",$C$2&amp;"."&amp;COUNTA($F$7:$F40)&amp;"")</f>
        <v>TC_09.24</v>
      </c>
      <c r="B40" s="191" t="s">
        <v>578</v>
      </c>
      <c r="C40" s="191" t="s">
        <v>530</v>
      </c>
      <c r="D40" s="191" t="s">
        <v>41</v>
      </c>
      <c r="E40" s="191" t="s">
        <v>159</v>
      </c>
      <c r="F40" s="13" t="s">
        <v>1196</v>
      </c>
      <c r="G40" s="13" t="s">
        <v>1197</v>
      </c>
      <c r="H40" s="13" t="s">
        <v>1198</v>
      </c>
      <c r="I40" s="13" t="s">
        <v>1199</v>
      </c>
      <c r="J40" s="191" t="s">
        <v>658</v>
      </c>
      <c r="K40" s="191" t="s">
        <v>245</v>
      </c>
      <c r="L40" s="191"/>
      <c r="M40" s="191"/>
      <c r="N40" s="192"/>
      <c r="O40" s="192"/>
      <c r="P40" s="192"/>
      <c r="Q40" s="192"/>
      <c r="R40" s="192"/>
      <c r="S40" s="192"/>
      <c r="T40" s="192"/>
      <c r="U40" s="192"/>
      <c r="V40" s="192"/>
      <c r="W40" s="192"/>
      <c r="X40" s="192"/>
      <c r="Y40" s="192"/>
      <c r="Z40" s="192"/>
      <c r="AA40" s="192"/>
      <c r="AB40" s="192"/>
      <c r="AC40" s="192"/>
      <c r="AD40" s="192"/>
      <c r="AE40" s="192"/>
      <c r="AF40" s="192"/>
      <c r="AG40" s="192"/>
      <c r="AH40" s="192"/>
      <c r="AI40" s="192"/>
      <c r="AJ40" s="192"/>
      <c r="AK40" s="192"/>
      <c r="AL40" s="192"/>
      <c r="AM40" s="192"/>
      <c r="AN40" s="192"/>
      <c r="AO40" s="192"/>
      <c r="AP40" s="192"/>
      <c r="AQ40" s="192"/>
      <c r="AR40" s="193" t="str">
        <f aca="false">IF($A40="","",IF(OR($N40="Yes",$T40="Yes",$Z40="Yes",$AF40="Yes",$AL40="Yes"),"Yes","No"))</f>
        <v>No</v>
      </c>
      <c r="AS40" s="193" t="str">
        <f aca="false">IF($A40="","",IFERROR(IF($AM40&lt;&gt;"",$AM40,IF($AG40&lt;&gt;"",$AG40,IF($AA40&lt;&gt;"",$AA40,IF($U40&lt;&gt;"",$U40,IF($O40&lt;&gt;"",$O40,""))))),""))</f>
        <v/>
      </c>
      <c r="AT40" s="193" t="str">
        <f aca="false">IFERROR(IF($AN40&lt;&gt;"",$AN40,IF($AH40&lt;&gt;"",$AH40,IF($AB40&lt;&gt;"",$AB40,IF($V40&lt;&gt;"",$V40,IF($P40&lt;&gt;"",$P40,""))))),"")</f>
        <v/>
      </c>
      <c r="AU40" s="194"/>
    </row>
    <row r="41" customFormat="false" ht="124.6" hidden="false" customHeight="false" outlineLevel="0" collapsed="false">
      <c r="A41" s="191" t="str">
        <f aca="false">IF($F41="","",$C$2&amp;"."&amp;COUNTA($F$7:$F41)&amp;"")</f>
        <v>TC_09.25</v>
      </c>
      <c r="B41" s="191" t="s">
        <v>578</v>
      </c>
      <c r="C41" s="191" t="s">
        <v>530</v>
      </c>
      <c r="D41" s="191" t="s">
        <v>41</v>
      </c>
      <c r="E41" s="191" t="s">
        <v>159</v>
      </c>
      <c r="F41" s="13" t="s">
        <v>1200</v>
      </c>
      <c r="G41" s="13" t="s">
        <v>1197</v>
      </c>
      <c r="H41" s="13" t="s">
        <v>1201</v>
      </c>
      <c r="I41" s="13" t="s">
        <v>1202</v>
      </c>
      <c r="J41" s="191" t="s">
        <v>658</v>
      </c>
      <c r="K41" s="191" t="s">
        <v>245</v>
      </c>
      <c r="L41" s="191"/>
      <c r="M41" s="191"/>
      <c r="N41" s="192"/>
      <c r="O41" s="192"/>
      <c r="P41" s="192"/>
      <c r="Q41" s="192"/>
      <c r="R41" s="192"/>
      <c r="S41" s="192"/>
      <c r="T41" s="192"/>
      <c r="U41" s="192"/>
      <c r="V41" s="192"/>
      <c r="W41" s="192"/>
      <c r="X41" s="192"/>
      <c r="Y41" s="192"/>
      <c r="Z41" s="192"/>
      <c r="AA41" s="192"/>
      <c r="AB41" s="192"/>
      <c r="AC41" s="192"/>
      <c r="AD41" s="192"/>
      <c r="AE41" s="192"/>
      <c r="AF41" s="192"/>
      <c r="AG41" s="192"/>
      <c r="AH41" s="192"/>
      <c r="AI41" s="192"/>
      <c r="AJ41" s="192"/>
      <c r="AK41" s="192"/>
      <c r="AL41" s="192"/>
      <c r="AM41" s="192"/>
      <c r="AN41" s="192"/>
      <c r="AO41" s="192"/>
      <c r="AP41" s="192"/>
      <c r="AQ41" s="192"/>
      <c r="AR41" s="193" t="str">
        <f aca="false">IF($A41="","",IF(OR($N41="Yes",$T41="Yes",$Z41="Yes",$AF41="Yes",$AL41="Yes"),"Yes","No"))</f>
        <v>No</v>
      </c>
      <c r="AS41" s="193" t="str">
        <f aca="false">IF($A41="","",IFERROR(IF($AM41&lt;&gt;"",$AM41,IF($AG41&lt;&gt;"",$AG41,IF($AA41&lt;&gt;"",$AA41,IF($U41&lt;&gt;"",$U41,IF($O41&lt;&gt;"",$O41,""))))),""))</f>
        <v/>
      </c>
      <c r="AT41" s="193" t="str">
        <f aca="false">IFERROR(IF($AN41&lt;&gt;"",$AN41,IF($AH41&lt;&gt;"",$AH41,IF($AB41&lt;&gt;"",$AB41,IF($V41&lt;&gt;"",$V41,IF($P41&lt;&gt;"",$P41,""))))),"")</f>
        <v/>
      </c>
      <c r="AU41" s="194"/>
    </row>
    <row r="42" customFormat="false" ht="15" hidden="false" customHeight="false" outlineLevel="0" collapsed="false">
      <c r="A42" s="189"/>
      <c r="B42" s="189"/>
      <c r="C42" s="190" t="s">
        <v>1203</v>
      </c>
      <c r="D42" s="190"/>
      <c r="E42" s="190"/>
      <c r="F42" s="190"/>
      <c r="G42" s="190"/>
      <c r="H42" s="190"/>
      <c r="I42" s="190"/>
      <c r="J42" s="190"/>
      <c r="K42" s="190"/>
      <c r="L42" s="190"/>
      <c r="M42" s="190"/>
      <c r="N42" s="190"/>
      <c r="O42" s="190"/>
      <c r="P42" s="190"/>
      <c r="Q42" s="190"/>
      <c r="R42" s="190"/>
      <c r="S42" s="190"/>
      <c r="T42" s="190"/>
      <c r="U42" s="190"/>
      <c r="V42" s="190"/>
      <c r="W42" s="190"/>
      <c r="X42" s="190"/>
      <c r="Y42" s="190"/>
      <c r="Z42" s="190"/>
      <c r="AA42" s="190"/>
      <c r="AB42" s="190"/>
      <c r="AC42" s="190"/>
      <c r="AD42" s="190"/>
      <c r="AE42" s="190"/>
      <c r="AF42" s="190"/>
      <c r="AG42" s="190"/>
      <c r="AH42" s="190"/>
      <c r="AI42" s="190"/>
      <c r="AJ42" s="190"/>
      <c r="AK42" s="190"/>
      <c r="AL42" s="190"/>
      <c r="AM42" s="190"/>
      <c r="AN42" s="190"/>
      <c r="AO42" s="190"/>
      <c r="AP42" s="190"/>
      <c r="AQ42" s="190"/>
      <c r="AR42" s="190"/>
      <c r="AS42" s="190"/>
      <c r="AT42" s="190"/>
      <c r="AU42" s="190"/>
    </row>
    <row r="43" customFormat="false" ht="102.2" hidden="false" customHeight="false" outlineLevel="0" collapsed="false">
      <c r="A43" s="191" t="str">
        <f aca="false">IF($F43="","",$C$2&amp;"."&amp;COUNTA($F$7:$F43)&amp;"")</f>
        <v>TC_09.26</v>
      </c>
      <c r="B43" s="191" t="s">
        <v>580</v>
      </c>
      <c r="C43" s="191" t="s">
        <v>530</v>
      </c>
      <c r="D43" s="191" t="s">
        <v>41</v>
      </c>
      <c r="E43" s="191" t="s">
        <v>159</v>
      </c>
      <c r="F43" s="13" t="s">
        <v>1204</v>
      </c>
      <c r="G43" s="13" t="s">
        <v>655</v>
      </c>
      <c r="H43" s="13" t="s">
        <v>1205</v>
      </c>
      <c r="I43" s="13" t="s">
        <v>1206</v>
      </c>
      <c r="J43" s="191" t="s">
        <v>658</v>
      </c>
      <c r="K43" s="191" t="s">
        <v>245</v>
      </c>
      <c r="L43" s="191"/>
      <c r="M43" s="191"/>
      <c r="N43" s="192"/>
      <c r="O43" s="192"/>
      <c r="P43" s="192"/>
      <c r="Q43" s="192"/>
      <c r="R43" s="192"/>
      <c r="S43" s="192"/>
      <c r="T43" s="192"/>
      <c r="U43" s="192"/>
      <c r="V43" s="192"/>
      <c r="W43" s="192"/>
      <c r="X43" s="192"/>
      <c r="Y43" s="192"/>
      <c r="Z43" s="192"/>
      <c r="AA43" s="192"/>
      <c r="AB43" s="192"/>
      <c r="AC43" s="192"/>
      <c r="AD43" s="192"/>
      <c r="AE43" s="192"/>
      <c r="AF43" s="192"/>
      <c r="AG43" s="192"/>
      <c r="AH43" s="192"/>
      <c r="AI43" s="192"/>
      <c r="AJ43" s="192"/>
      <c r="AK43" s="192"/>
      <c r="AL43" s="192"/>
      <c r="AM43" s="192"/>
      <c r="AN43" s="192"/>
      <c r="AO43" s="192"/>
      <c r="AP43" s="192"/>
      <c r="AQ43" s="192"/>
      <c r="AR43" s="193" t="str">
        <f aca="false">IF($A43="","",IF(OR($N43="Yes",$T43="Yes",$Z43="Yes",$AF43="Yes",$AL43="Yes"),"Yes","No"))</f>
        <v>No</v>
      </c>
      <c r="AS43" s="193" t="str">
        <f aca="false">IF($A43="","",IFERROR(IF($AM43&lt;&gt;"",$AM43,IF($AG43&lt;&gt;"",$AG43,IF($AA43&lt;&gt;"",$AA43,IF($U43&lt;&gt;"",$U43,IF($O43&lt;&gt;"",$O43,""))))),""))</f>
        <v/>
      </c>
      <c r="AT43" s="193" t="str">
        <f aca="false">IFERROR(IF($AN43&lt;&gt;"",$AN43,IF($AH43&lt;&gt;"",$AH43,IF($AB43&lt;&gt;"",$AB43,IF($V43&lt;&gt;"",$V43,IF($P43&lt;&gt;"",$P43,""))))),"")</f>
        <v/>
      </c>
      <c r="AU43" s="194"/>
    </row>
    <row r="44" customFormat="false" ht="135.8" hidden="false" customHeight="false" outlineLevel="0" collapsed="false">
      <c r="A44" s="191" t="str">
        <f aca="false">IF($F44="","",$C$2&amp;"."&amp;COUNTA($F$7:$F44)&amp;"")</f>
        <v>TC_09.27</v>
      </c>
      <c r="B44" s="191" t="s">
        <v>580</v>
      </c>
      <c r="C44" s="191" t="s">
        <v>530</v>
      </c>
      <c r="D44" s="191" t="s">
        <v>41</v>
      </c>
      <c r="E44" s="191" t="s">
        <v>159</v>
      </c>
      <c r="F44" s="13" t="s">
        <v>1207</v>
      </c>
      <c r="G44" s="13" t="s">
        <v>655</v>
      </c>
      <c r="H44" s="13" t="s">
        <v>1208</v>
      </c>
      <c r="I44" s="13" t="s">
        <v>1209</v>
      </c>
      <c r="J44" s="191" t="s">
        <v>658</v>
      </c>
      <c r="K44" s="191" t="s">
        <v>245</v>
      </c>
      <c r="L44" s="191"/>
      <c r="M44" s="191"/>
      <c r="N44" s="192"/>
      <c r="O44" s="192"/>
      <c r="P44" s="192"/>
      <c r="Q44" s="192"/>
      <c r="R44" s="192"/>
      <c r="S44" s="192"/>
      <c r="T44" s="192"/>
      <c r="U44" s="192"/>
      <c r="V44" s="192"/>
      <c r="W44" s="192"/>
      <c r="X44" s="192"/>
      <c r="Y44" s="192"/>
      <c r="Z44" s="192"/>
      <c r="AA44" s="192"/>
      <c r="AB44" s="192"/>
      <c r="AC44" s="192"/>
      <c r="AD44" s="192"/>
      <c r="AE44" s="192"/>
      <c r="AF44" s="192"/>
      <c r="AG44" s="192"/>
      <c r="AH44" s="192"/>
      <c r="AI44" s="192"/>
      <c r="AJ44" s="192"/>
      <c r="AK44" s="192"/>
      <c r="AL44" s="192"/>
      <c r="AM44" s="192"/>
      <c r="AN44" s="192"/>
      <c r="AO44" s="192"/>
      <c r="AP44" s="192"/>
      <c r="AQ44" s="192"/>
      <c r="AR44" s="193" t="str">
        <f aca="false">IF($A44="","",IF(OR($N44="Yes",$T44="Yes",$Z44="Yes",$AF44="Yes",$AL44="Yes"),"Yes","No"))</f>
        <v>No</v>
      </c>
      <c r="AS44" s="193" t="str">
        <f aca="false">IF($A44="","",IFERROR(IF($AM44&lt;&gt;"",$AM44,IF($AG44&lt;&gt;"",$AG44,IF($AA44&lt;&gt;"",$AA44,IF($U44&lt;&gt;"",$U44,IF($O44&lt;&gt;"",$O44,""))))),""))</f>
        <v/>
      </c>
      <c r="AT44" s="193" t="str">
        <f aca="false">IFERROR(IF($AN44&lt;&gt;"",$AN44,IF($AH44&lt;&gt;"",$AH44,IF($AB44&lt;&gt;"",$AB44,IF($V44&lt;&gt;"",$V44,IF($P44&lt;&gt;"",$P44,""))))),"")</f>
        <v/>
      </c>
      <c r="AU44" s="194"/>
    </row>
    <row r="45" customFormat="false" ht="15" hidden="false" customHeight="false" outlineLevel="0" collapsed="false">
      <c r="A45" s="189"/>
      <c r="B45" s="189"/>
      <c r="C45" s="190" t="s">
        <v>1210</v>
      </c>
      <c r="D45" s="190"/>
      <c r="E45" s="190"/>
      <c r="F45" s="190"/>
      <c r="G45" s="190"/>
      <c r="H45" s="190"/>
      <c r="I45" s="190"/>
      <c r="J45" s="190"/>
      <c r="K45" s="190"/>
      <c r="L45" s="190"/>
      <c r="M45" s="190"/>
      <c r="N45" s="190"/>
      <c r="O45" s="190"/>
      <c r="P45" s="190"/>
      <c r="Q45" s="190"/>
      <c r="R45" s="190"/>
      <c r="S45" s="190"/>
      <c r="T45" s="190"/>
      <c r="U45" s="190"/>
      <c r="V45" s="190"/>
      <c r="W45" s="190"/>
      <c r="X45" s="190"/>
      <c r="Y45" s="190"/>
      <c r="Z45" s="190"/>
      <c r="AA45" s="190"/>
      <c r="AB45" s="190"/>
      <c r="AC45" s="190"/>
      <c r="AD45" s="190"/>
      <c r="AE45" s="190"/>
      <c r="AF45" s="190"/>
      <c r="AG45" s="190"/>
      <c r="AH45" s="190"/>
      <c r="AI45" s="190"/>
      <c r="AJ45" s="190"/>
      <c r="AK45" s="190"/>
      <c r="AL45" s="190"/>
      <c r="AM45" s="190"/>
      <c r="AN45" s="190"/>
      <c r="AO45" s="190"/>
      <c r="AP45" s="190"/>
      <c r="AQ45" s="190"/>
      <c r="AR45" s="190"/>
      <c r="AS45" s="190"/>
      <c r="AT45" s="190"/>
      <c r="AU45" s="190"/>
    </row>
    <row r="46" customFormat="false" ht="124.6" hidden="false" customHeight="false" outlineLevel="0" collapsed="false">
      <c r="A46" s="191" t="str">
        <f aca="false">IF($F46="","",$C$2&amp;"."&amp;COUNTA($F$7:$F46)&amp;"")</f>
        <v>TC_09.28</v>
      </c>
      <c r="B46" s="191" t="s">
        <v>583</v>
      </c>
      <c r="C46" s="191" t="s">
        <v>840</v>
      </c>
      <c r="D46" s="191" t="s">
        <v>41</v>
      </c>
      <c r="E46" s="191" t="s">
        <v>159</v>
      </c>
      <c r="F46" s="13" t="s">
        <v>1211</v>
      </c>
      <c r="G46" s="13" t="s">
        <v>1116</v>
      </c>
      <c r="H46" s="13" t="s">
        <v>1212</v>
      </c>
      <c r="I46" s="13" t="s">
        <v>1213</v>
      </c>
      <c r="J46" s="191" t="s">
        <v>658</v>
      </c>
      <c r="K46" s="191" t="s">
        <v>245</v>
      </c>
      <c r="L46" s="191"/>
      <c r="M46" s="191"/>
      <c r="N46" s="192"/>
      <c r="O46" s="192"/>
      <c r="P46" s="192"/>
      <c r="Q46" s="192"/>
      <c r="R46" s="192"/>
      <c r="S46" s="192"/>
      <c r="T46" s="192"/>
      <c r="U46" s="192"/>
      <c r="V46" s="192"/>
      <c r="W46" s="192"/>
      <c r="X46" s="192"/>
      <c r="Y46" s="192"/>
      <c r="Z46" s="192"/>
      <c r="AA46" s="192"/>
      <c r="AB46" s="192"/>
      <c r="AC46" s="192"/>
      <c r="AD46" s="192"/>
      <c r="AE46" s="192"/>
      <c r="AF46" s="192"/>
      <c r="AG46" s="192"/>
      <c r="AH46" s="192"/>
      <c r="AI46" s="192"/>
      <c r="AJ46" s="192"/>
      <c r="AK46" s="192"/>
      <c r="AL46" s="192"/>
      <c r="AM46" s="192"/>
      <c r="AN46" s="192"/>
      <c r="AO46" s="192"/>
      <c r="AP46" s="192"/>
      <c r="AQ46" s="192"/>
      <c r="AR46" s="193" t="str">
        <f aca="false">IF($A46="","",IF(OR($N46="Yes",$T46="Yes",$Z46="Yes",$AF46="Yes",$AL46="Yes"),"Yes","No"))</f>
        <v>No</v>
      </c>
      <c r="AS46" s="193" t="str">
        <f aca="false">IF($A46="","",IFERROR(IF($AM46&lt;&gt;"",$AM46,IF($AG46&lt;&gt;"",$AG46,IF($AA46&lt;&gt;"",$AA46,IF($U46&lt;&gt;"",$U46,IF($O46&lt;&gt;"",$O46,""))))),""))</f>
        <v/>
      </c>
      <c r="AT46" s="193" t="str">
        <f aca="false">IFERROR(IF($AN46&lt;&gt;"",$AN46,IF($AH46&lt;&gt;"",$AH46,IF($AB46&lt;&gt;"",$AB46,IF($V46&lt;&gt;"",$V46,IF($P46&lt;&gt;"",$P46,""))))),"")</f>
        <v/>
      </c>
      <c r="AU46" s="194"/>
    </row>
    <row r="47" customFormat="false" ht="102.2" hidden="false" customHeight="false" outlineLevel="0" collapsed="false">
      <c r="A47" s="191" t="str">
        <f aca="false">IF($F47="","",$C$2&amp;"."&amp;COUNTA($F$7:$F47)&amp;"")</f>
        <v>TC_09.29</v>
      </c>
      <c r="B47" s="191" t="s">
        <v>583</v>
      </c>
      <c r="C47" s="191" t="s">
        <v>530</v>
      </c>
      <c r="D47" s="191" t="s">
        <v>41</v>
      </c>
      <c r="E47" s="191" t="s">
        <v>159</v>
      </c>
      <c r="F47" s="13" t="s">
        <v>1214</v>
      </c>
      <c r="G47" s="13" t="s">
        <v>1116</v>
      </c>
      <c r="H47" s="13" t="s">
        <v>1215</v>
      </c>
      <c r="I47" s="13" t="s">
        <v>1216</v>
      </c>
      <c r="J47" s="191" t="s">
        <v>658</v>
      </c>
      <c r="K47" s="191" t="s">
        <v>245</v>
      </c>
      <c r="L47" s="191"/>
      <c r="M47" s="191"/>
      <c r="N47" s="192"/>
      <c r="O47" s="192"/>
      <c r="P47" s="192"/>
      <c r="Q47" s="192"/>
      <c r="R47" s="192"/>
      <c r="S47" s="192"/>
      <c r="T47" s="192"/>
      <c r="U47" s="192"/>
      <c r="V47" s="192"/>
      <c r="W47" s="192"/>
      <c r="X47" s="192"/>
      <c r="Y47" s="192"/>
      <c r="Z47" s="192"/>
      <c r="AA47" s="192"/>
      <c r="AB47" s="192"/>
      <c r="AC47" s="192"/>
      <c r="AD47" s="192"/>
      <c r="AE47" s="192"/>
      <c r="AF47" s="192"/>
      <c r="AG47" s="192"/>
      <c r="AH47" s="192"/>
      <c r="AI47" s="192"/>
      <c r="AJ47" s="192"/>
      <c r="AK47" s="192"/>
      <c r="AL47" s="192"/>
      <c r="AM47" s="192"/>
      <c r="AN47" s="192"/>
      <c r="AO47" s="192"/>
      <c r="AP47" s="192"/>
      <c r="AQ47" s="192"/>
      <c r="AR47" s="193" t="str">
        <f aca="false">IF($A47="","",IF(OR($N47="Yes",$T47="Yes",$Z47="Yes",$AF47="Yes",$AL47="Yes"),"Yes","No"))</f>
        <v>No</v>
      </c>
      <c r="AS47" s="193" t="str">
        <f aca="false">IF($A47="","",IFERROR(IF($AM47&lt;&gt;"",$AM47,IF($AG47&lt;&gt;"",$AG47,IF($AA47&lt;&gt;"",$AA47,IF($U47&lt;&gt;"",$U47,IF($O47&lt;&gt;"",$O47,""))))),""))</f>
        <v/>
      </c>
      <c r="AT47" s="193" t="str">
        <f aca="false">IFERROR(IF($AN47&lt;&gt;"",$AN47,IF($AH47&lt;&gt;"",$AH47,IF($AB47&lt;&gt;"",$AB47,IF($V47&lt;&gt;"",$V47,IF($P47&lt;&gt;"",$P47,""))))),"")</f>
        <v/>
      </c>
      <c r="AU47" s="194"/>
    </row>
    <row r="48" customFormat="false" ht="113.4" hidden="false" customHeight="false" outlineLevel="0" collapsed="false">
      <c r="A48" s="191" t="str">
        <f aca="false">IF($F48="","",$C$2&amp;"."&amp;COUNTA($F$7:$F48)&amp;"")</f>
        <v>TC_09.30</v>
      </c>
      <c r="B48" s="191" t="s">
        <v>583</v>
      </c>
      <c r="C48" s="191" t="s">
        <v>840</v>
      </c>
      <c r="D48" s="191" t="s">
        <v>41</v>
      </c>
      <c r="E48" s="191" t="s">
        <v>159</v>
      </c>
      <c r="F48" s="13" t="s">
        <v>1217</v>
      </c>
      <c r="G48" s="13" t="s">
        <v>1116</v>
      </c>
      <c r="H48" s="13" t="s">
        <v>1218</v>
      </c>
      <c r="I48" s="13" t="s">
        <v>1219</v>
      </c>
      <c r="J48" s="191" t="s">
        <v>658</v>
      </c>
      <c r="K48" s="191" t="s">
        <v>245</v>
      </c>
      <c r="L48" s="191"/>
      <c r="M48" s="191"/>
      <c r="N48" s="192"/>
      <c r="O48" s="192"/>
      <c r="P48" s="192"/>
      <c r="Q48" s="192"/>
      <c r="R48" s="192"/>
      <c r="S48" s="192"/>
      <c r="T48" s="192"/>
      <c r="U48" s="192"/>
      <c r="V48" s="192"/>
      <c r="W48" s="192"/>
      <c r="X48" s="192"/>
      <c r="Y48" s="192"/>
      <c r="Z48" s="192"/>
      <c r="AA48" s="192"/>
      <c r="AB48" s="192"/>
      <c r="AC48" s="192"/>
      <c r="AD48" s="192"/>
      <c r="AE48" s="192"/>
      <c r="AF48" s="192"/>
      <c r="AG48" s="192"/>
      <c r="AH48" s="192"/>
      <c r="AI48" s="192"/>
      <c r="AJ48" s="192"/>
      <c r="AK48" s="192"/>
      <c r="AL48" s="192"/>
      <c r="AM48" s="192"/>
      <c r="AN48" s="192"/>
      <c r="AO48" s="192"/>
      <c r="AP48" s="192"/>
      <c r="AQ48" s="192"/>
      <c r="AR48" s="193" t="str">
        <f aca="false">IF($A48="","",IF(OR($N48="Yes",$T48="Yes",$Z48="Yes",$AF48="Yes",$AL48="Yes"),"Yes","No"))</f>
        <v>No</v>
      </c>
      <c r="AS48" s="193" t="str">
        <f aca="false">IF($A48="","",IFERROR(IF($AM48&lt;&gt;"",$AM48,IF($AG48&lt;&gt;"",$AG48,IF($AA48&lt;&gt;"",$AA48,IF($U48&lt;&gt;"",$U48,IF($O48&lt;&gt;"",$O48,""))))),""))</f>
        <v/>
      </c>
      <c r="AT48" s="193" t="str">
        <f aca="false">IFERROR(IF($AN48&lt;&gt;"",$AN48,IF($AH48&lt;&gt;"",$AH48,IF($AB48&lt;&gt;"",$AB48,IF($V48&lt;&gt;"",$V48,IF($P48&lt;&gt;"",$P48,""))))),"")</f>
        <v/>
      </c>
      <c r="AU48" s="194"/>
    </row>
    <row r="49" customFormat="false" ht="102.2" hidden="false" customHeight="false" outlineLevel="0" collapsed="false">
      <c r="A49" s="191" t="str">
        <f aca="false">IF($F49="","",$C$2&amp;"."&amp;COUNTA($F$7:$F49)&amp;"")</f>
        <v>TC_09.31</v>
      </c>
      <c r="B49" s="191" t="s">
        <v>583</v>
      </c>
      <c r="C49" s="191" t="s">
        <v>530</v>
      </c>
      <c r="D49" s="191" t="s">
        <v>41</v>
      </c>
      <c r="E49" s="191" t="s">
        <v>159</v>
      </c>
      <c r="F49" s="13" t="s">
        <v>1220</v>
      </c>
      <c r="G49" s="13" t="s">
        <v>1116</v>
      </c>
      <c r="H49" s="13" t="s">
        <v>1221</v>
      </c>
      <c r="I49" s="13" t="s">
        <v>1222</v>
      </c>
      <c r="J49" s="191" t="s">
        <v>658</v>
      </c>
      <c r="K49" s="191" t="s">
        <v>245</v>
      </c>
      <c r="L49" s="191"/>
      <c r="M49" s="191"/>
      <c r="N49" s="192"/>
      <c r="O49" s="192"/>
      <c r="P49" s="192"/>
      <c r="Q49" s="192"/>
      <c r="R49" s="192"/>
      <c r="S49" s="192"/>
      <c r="T49" s="192"/>
      <c r="U49" s="192"/>
      <c r="V49" s="192"/>
      <c r="W49" s="192"/>
      <c r="X49" s="192"/>
      <c r="Y49" s="192"/>
      <c r="Z49" s="192"/>
      <c r="AA49" s="192"/>
      <c r="AB49" s="192"/>
      <c r="AC49" s="192"/>
      <c r="AD49" s="192"/>
      <c r="AE49" s="192"/>
      <c r="AF49" s="192"/>
      <c r="AG49" s="192"/>
      <c r="AH49" s="192"/>
      <c r="AI49" s="192"/>
      <c r="AJ49" s="192"/>
      <c r="AK49" s="192"/>
      <c r="AL49" s="192"/>
      <c r="AM49" s="192"/>
      <c r="AN49" s="192"/>
      <c r="AO49" s="192"/>
      <c r="AP49" s="192"/>
      <c r="AQ49" s="192"/>
      <c r="AR49" s="193" t="str">
        <f aca="false">IF($A49="","",IF(OR($N49="Yes",$T49="Yes",$Z49="Yes",$AF49="Yes",$AL49="Yes"),"Yes","No"))</f>
        <v>No</v>
      </c>
      <c r="AS49" s="193" t="str">
        <f aca="false">IF($A49="","",IFERROR(IF($AM49&lt;&gt;"",$AM49,IF($AG49&lt;&gt;"",$AG49,IF($AA49&lt;&gt;"",$AA49,IF($U49&lt;&gt;"",$U49,IF($O49&lt;&gt;"",$O49,""))))),""))</f>
        <v/>
      </c>
      <c r="AT49" s="193" t="str">
        <f aca="false">IFERROR(IF($AN49&lt;&gt;"",$AN49,IF($AH49&lt;&gt;"",$AH49,IF($AB49&lt;&gt;"",$AB49,IF($V49&lt;&gt;"",$V49,IF($P49&lt;&gt;"",$P49,""))))),"")</f>
        <v/>
      </c>
      <c r="AU49" s="194"/>
    </row>
    <row r="50" customFormat="false" ht="15" hidden="false" customHeight="false" outlineLevel="0" collapsed="false">
      <c r="A50" s="189"/>
      <c r="B50" s="189"/>
      <c r="C50" s="190" t="s">
        <v>1223</v>
      </c>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0"/>
      <c r="AP50" s="190"/>
      <c r="AQ50" s="190"/>
      <c r="AR50" s="190"/>
      <c r="AS50" s="190"/>
      <c r="AT50" s="190"/>
      <c r="AU50" s="190"/>
    </row>
    <row r="51" customFormat="false" ht="79.85" hidden="false" customHeight="false" outlineLevel="0" collapsed="false">
      <c r="A51" s="191" t="str">
        <f aca="false">IF($F51="","",$C$2&amp;"."&amp;COUNTA($F$7:$F51)&amp;"")</f>
        <v>TC_09.32</v>
      </c>
      <c r="B51" s="191" t="s">
        <v>586</v>
      </c>
      <c r="C51" s="191" t="s">
        <v>530</v>
      </c>
      <c r="D51" s="191" t="s">
        <v>43</v>
      </c>
      <c r="E51" s="191" t="s">
        <v>160</v>
      </c>
      <c r="F51" s="13" t="s">
        <v>1224</v>
      </c>
      <c r="G51" s="13" t="s">
        <v>655</v>
      </c>
      <c r="H51" s="13" t="s">
        <v>1225</v>
      </c>
      <c r="I51" s="13" t="s">
        <v>1226</v>
      </c>
      <c r="J51" s="191" t="s">
        <v>658</v>
      </c>
      <c r="K51" s="191" t="s">
        <v>245</v>
      </c>
      <c r="L51" s="191"/>
      <c r="M51" s="191"/>
      <c r="N51" s="192"/>
      <c r="O51" s="192"/>
      <c r="P51" s="192"/>
      <c r="Q51" s="192"/>
      <c r="R51" s="192"/>
      <c r="S51" s="192"/>
      <c r="T51" s="192"/>
      <c r="U51" s="192"/>
      <c r="V51" s="192"/>
      <c r="W51" s="192"/>
      <c r="X51" s="192"/>
      <c r="Y51" s="192"/>
      <c r="Z51" s="192"/>
      <c r="AA51" s="192"/>
      <c r="AB51" s="192"/>
      <c r="AC51" s="192"/>
      <c r="AD51" s="192"/>
      <c r="AE51" s="192"/>
      <c r="AF51" s="192"/>
      <c r="AG51" s="192"/>
      <c r="AH51" s="192"/>
      <c r="AI51" s="192"/>
      <c r="AJ51" s="192"/>
      <c r="AK51" s="192"/>
      <c r="AL51" s="192"/>
      <c r="AM51" s="192"/>
      <c r="AN51" s="192"/>
      <c r="AO51" s="192"/>
      <c r="AP51" s="192"/>
      <c r="AQ51" s="192"/>
      <c r="AR51" s="193" t="str">
        <f aca="false">IF($A51="","",IF(OR($N51="Yes",$T51="Yes",$Z51="Yes",$AF51="Yes",$AL51="Yes"),"Yes","No"))</f>
        <v>No</v>
      </c>
      <c r="AS51" s="193" t="str">
        <f aca="false">IF($A51="","",IFERROR(IF($AM51&lt;&gt;"",$AM51,IF($AG51&lt;&gt;"",$AG51,IF($AA51&lt;&gt;"",$AA51,IF($U51&lt;&gt;"",$U51,IF($O51&lt;&gt;"",$O51,""))))),""))</f>
        <v/>
      </c>
      <c r="AT51" s="193" t="str">
        <f aca="false">IFERROR(IF($AN51&lt;&gt;"",$AN51,IF($AH51&lt;&gt;"",$AH51,IF($AB51&lt;&gt;"",$AB51,IF($V51&lt;&gt;"",$V51,IF($P51&lt;&gt;"",$P51,""))))),"")</f>
        <v/>
      </c>
      <c r="AU51" s="194"/>
    </row>
    <row r="52" customFormat="false" ht="102.2" hidden="false" customHeight="false" outlineLevel="0" collapsed="false">
      <c r="A52" s="191" t="str">
        <f aca="false">IF($F52="","",$C$2&amp;"."&amp;COUNTA($F$7:$F52)&amp;"")</f>
        <v>TC_09.33</v>
      </c>
      <c r="B52" s="191" t="s">
        <v>586</v>
      </c>
      <c r="C52" s="191" t="s">
        <v>530</v>
      </c>
      <c r="D52" s="191" t="s">
        <v>43</v>
      </c>
      <c r="E52" s="191" t="s">
        <v>160</v>
      </c>
      <c r="F52" s="13" t="s">
        <v>1227</v>
      </c>
      <c r="G52" s="13" t="s">
        <v>655</v>
      </c>
      <c r="H52" s="13" t="s">
        <v>1228</v>
      </c>
      <c r="I52" s="13" t="s">
        <v>1229</v>
      </c>
      <c r="J52" s="191" t="s">
        <v>658</v>
      </c>
      <c r="K52" s="191" t="s">
        <v>245</v>
      </c>
      <c r="L52" s="191"/>
      <c r="M52" s="191"/>
      <c r="N52" s="192"/>
      <c r="O52" s="192"/>
      <c r="P52" s="192"/>
      <c r="Q52" s="192"/>
      <c r="R52" s="192"/>
      <c r="S52" s="192"/>
      <c r="T52" s="192"/>
      <c r="U52" s="192"/>
      <c r="V52" s="192"/>
      <c r="W52" s="192"/>
      <c r="X52" s="192"/>
      <c r="Y52" s="192"/>
      <c r="Z52" s="192"/>
      <c r="AA52" s="192"/>
      <c r="AB52" s="192"/>
      <c r="AC52" s="192"/>
      <c r="AD52" s="192"/>
      <c r="AE52" s="192"/>
      <c r="AF52" s="192"/>
      <c r="AG52" s="192"/>
      <c r="AH52" s="192"/>
      <c r="AI52" s="192"/>
      <c r="AJ52" s="192"/>
      <c r="AK52" s="192"/>
      <c r="AL52" s="192"/>
      <c r="AM52" s="192"/>
      <c r="AN52" s="192"/>
      <c r="AO52" s="192"/>
      <c r="AP52" s="192"/>
      <c r="AQ52" s="192"/>
      <c r="AR52" s="193" t="str">
        <f aca="false">IF($A52="","",IF(OR($N52="Yes",$T52="Yes",$Z52="Yes",$AF52="Yes",$AL52="Yes"),"Yes","No"))</f>
        <v>No</v>
      </c>
      <c r="AS52" s="193" t="str">
        <f aca="false">IF($A52="","",IFERROR(IF($AM52&lt;&gt;"",$AM52,IF($AG52&lt;&gt;"",$AG52,IF($AA52&lt;&gt;"",$AA52,IF($U52&lt;&gt;"",$U52,IF($O52&lt;&gt;"",$O52,""))))),""))</f>
        <v/>
      </c>
      <c r="AT52" s="193" t="str">
        <f aca="false">IFERROR(IF($AN52&lt;&gt;"",$AN52,IF($AH52&lt;&gt;"",$AH52,IF($AB52&lt;&gt;"",$AB52,IF($V52&lt;&gt;"",$V52,IF($P52&lt;&gt;"",$P52,""))))),"")</f>
        <v/>
      </c>
      <c r="AU52" s="194"/>
    </row>
    <row r="53" customFormat="false" ht="15" hidden="false" customHeight="false" outlineLevel="0" collapsed="false">
      <c r="A53" s="189"/>
      <c r="B53" s="189"/>
      <c r="C53" s="190" t="s">
        <v>1230</v>
      </c>
      <c r="D53" s="190"/>
      <c r="E53" s="190"/>
      <c r="F53" s="190"/>
      <c r="G53" s="190"/>
      <c r="H53" s="190"/>
      <c r="I53" s="190"/>
      <c r="J53" s="190"/>
      <c r="K53" s="190"/>
      <c r="L53" s="190"/>
      <c r="M53" s="190"/>
      <c r="N53" s="190"/>
      <c r="O53" s="190"/>
      <c r="P53" s="190"/>
      <c r="Q53" s="190"/>
      <c r="R53" s="190"/>
      <c r="S53" s="190"/>
      <c r="T53" s="190"/>
      <c r="U53" s="190"/>
      <c r="V53" s="190"/>
      <c r="W53" s="190"/>
      <c r="X53" s="190"/>
      <c r="Y53" s="190"/>
      <c r="Z53" s="190"/>
      <c r="AA53" s="190"/>
      <c r="AB53" s="190"/>
      <c r="AC53" s="190"/>
      <c r="AD53" s="190"/>
      <c r="AE53" s="190"/>
      <c r="AF53" s="190"/>
      <c r="AG53" s="190"/>
      <c r="AH53" s="190"/>
      <c r="AI53" s="190"/>
      <c r="AJ53" s="190"/>
      <c r="AK53" s="190"/>
      <c r="AL53" s="190"/>
      <c r="AM53" s="190"/>
      <c r="AN53" s="190"/>
      <c r="AO53" s="190"/>
      <c r="AP53" s="190"/>
      <c r="AQ53" s="190"/>
      <c r="AR53" s="190"/>
      <c r="AS53" s="190"/>
      <c r="AT53" s="190"/>
      <c r="AU53" s="190"/>
    </row>
    <row r="54" customFormat="false" ht="113.4" hidden="false" customHeight="false" outlineLevel="0" collapsed="false">
      <c r="A54" s="191" t="str">
        <f aca="false">IF($F54="","",$C$2&amp;"."&amp;COUNTA($F$7:$F54)&amp;"")</f>
        <v>TC_09.34</v>
      </c>
      <c r="B54" s="191" t="s">
        <v>589</v>
      </c>
      <c r="C54" s="191" t="s">
        <v>530</v>
      </c>
      <c r="D54" s="191" t="s">
        <v>41</v>
      </c>
      <c r="E54" s="191" t="s">
        <v>158</v>
      </c>
      <c r="F54" s="13" t="s">
        <v>1231</v>
      </c>
      <c r="G54" s="13" t="s">
        <v>1232</v>
      </c>
      <c r="H54" s="13" t="s">
        <v>1233</v>
      </c>
      <c r="I54" s="13" t="s">
        <v>1234</v>
      </c>
      <c r="J54" s="191" t="s">
        <v>658</v>
      </c>
      <c r="K54" s="191" t="s">
        <v>245</v>
      </c>
      <c r="L54" s="191"/>
      <c r="M54" s="191"/>
      <c r="N54" s="192"/>
      <c r="O54" s="192"/>
      <c r="P54" s="192"/>
      <c r="Q54" s="192"/>
      <c r="R54" s="192"/>
      <c r="S54" s="192"/>
      <c r="T54" s="192"/>
      <c r="U54" s="192"/>
      <c r="V54" s="192"/>
      <c r="W54" s="192"/>
      <c r="X54" s="192"/>
      <c r="Y54" s="192"/>
      <c r="Z54" s="192"/>
      <c r="AA54" s="192"/>
      <c r="AB54" s="192"/>
      <c r="AC54" s="192"/>
      <c r="AD54" s="192"/>
      <c r="AE54" s="192"/>
      <c r="AF54" s="192"/>
      <c r="AG54" s="192"/>
      <c r="AH54" s="192"/>
      <c r="AI54" s="192"/>
      <c r="AJ54" s="192"/>
      <c r="AK54" s="192"/>
      <c r="AL54" s="192"/>
      <c r="AM54" s="192"/>
      <c r="AN54" s="192"/>
      <c r="AO54" s="192"/>
      <c r="AP54" s="192"/>
      <c r="AQ54" s="192"/>
      <c r="AR54" s="193" t="str">
        <f aca="false">IF($A54="","",IF(OR($N54="Yes",$T54="Yes",$Z54="Yes",$AF54="Yes",$AL54="Yes"),"Yes","No"))</f>
        <v>No</v>
      </c>
      <c r="AS54" s="193" t="str">
        <f aca="false">IF($A54="","",IFERROR(IF($AM54&lt;&gt;"",$AM54,IF($AG54&lt;&gt;"",$AG54,IF($AA54&lt;&gt;"",$AA54,IF($U54&lt;&gt;"",$U54,IF($O54&lt;&gt;"",$O54,""))))),""))</f>
        <v/>
      </c>
      <c r="AT54" s="193" t="str">
        <f aca="false">IFERROR(IF($AN54&lt;&gt;"",$AN54,IF($AH54&lt;&gt;"",$AH54,IF($AB54&lt;&gt;"",$AB54,IF($V54&lt;&gt;"",$V54,IF($P54&lt;&gt;"",$P54,""))))),"")</f>
        <v/>
      </c>
      <c r="AU54" s="194"/>
    </row>
    <row r="55" customFormat="false" ht="91" hidden="false" customHeight="false" outlineLevel="0" collapsed="false">
      <c r="A55" s="191" t="str">
        <f aca="false">IF($F55="","",$C$2&amp;"."&amp;COUNTA($F$7:$F55)&amp;"")</f>
        <v>TC_09.35</v>
      </c>
      <c r="B55" s="191" t="s">
        <v>589</v>
      </c>
      <c r="C55" s="191" t="s">
        <v>530</v>
      </c>
      <c r="D55" s="191" t="s">
        <v>41</v>
      </c>
      <c r="E55" s="191" t="s">
        <v>159</v>
      </c>
      <c r="F55" s="13" t="s">
        <v>1235</v>
      </c>
      <c r="G55" s="13" t="s">
        <v>655</v>
      </c>
      <c r="H55" s="13" t="s">
        <v>1236</v>
      </c>
      <c r="I55" s="13" t="s">
        <v>1237</v>
      </c>
      <c r="J55" s="191" t="s">
        <v>658</v>
      </c>
      <c r="K55" s="191" t="s">
        <v>245</v>
      </c>
      <c r="L55" s="191"/>
      <c r="M55" s="191"/>
      <c r="N55" s="192"/>
      <c r="O55" s="192"/>
      <c r="P55" s="192"/>
      <c r="Q55" s="192"/>
      <c r="R55" s="192"/>
      <c r="S55" s="192"/>
      <c r="T55" s="192"/>
      <c r="U55" s="192"/>
      <c r="V55" s="192"/>
      <c r="W55" s="192"/>
      <c r="X55" s="192"/>
      <c r="Y55" s="192"/>
      <c r="Z55" s="192"/>
      <c r="AA55" s="192"/>
      <c r="AB55" s="192"/>
      <c r="AC55" s="192"/>
      <c r="AD55" s="192"/>
      <c r="AE55" s="192"/>
      <c r="AF55" s="192"/>
      <c r="AG55" s="192"/>
      <c r="AH55" s="192"/>
      <c r="AI55" s="192"/>
      <c r="AJ55" s="192"/>
      <c r="AK55" s="192"/>
      <c r="AL55" s="192"/>
      <c r="AM55" s="192"/>
      <c r="AN55" s="192"/>
      <c r="AO55" s="192"/>
      <c r="AP55" s="192"/>
      <c r="AQ55" s="192"/>
      <c r="AR55" s="193" t="str">
        <f aca="false">IF($A55="","",IF(OR($N55="Yes",$T55="Yes",$Z55="Yes",$AF55="Yes",$AL55="Yes"),"Yes","No"))</f>
        <v>No</v>
      </c>
      <c r="AS55" s="193" t="str">
        <f aca="false">IF($A55="","",IFERROR(IF($AM55&lt;&gt;"",$AM55,IF($AG55&lt;&gt;"",$AG55,IF($AA55&lt;&gt;"",$AA55,IF($U55&lt;&gt;"",$U55,IF($O55&lt;&gt;"",$O55,""))))),""))</f>
        <v/>
      </c>
      <c r="AT55" s="193" t="str">
        <f aca="false">IFERROR(IF($AN55&lt;&gt;"",$AN55,IF($AH55&lt;&gt;"",$AH55,IF($AB55&lt;&gt;"",$AB55,IF($V55&lt;&gt;"",$V55,IF($P55&lt;&gt;"",$P55,""))))),"")</f>
        <v/>
      </c>
      <c r="AU55" s="194"/>
    </row>
    <row r="56" customFormat="false" ht="91" hidden="false" customHeight="false" outlineLevel="0" collapsed="false">
      <c r="A56" s="191" t="str">
        <f aca="false">IF($F56="","",$C$2&amp;"."&amp;COUNTA($F$7:$F56)&amp;"")</f>
        <v>TC_09.36</v>
      </c>
      <c r="B56" s="191" t="s">
        <v>589</v>
      </c>
      <c r="C56" s="191" t="s">
        <v>530</v>
      </c>
      <c r="D56" s="191" t="s">
        <v>41</v>
      </c>
      <c r="E56" s="191" t="s">
        <v>159</v>
      </c>
      <c r="F56" s="13" t="s">
        <v>1238</v>
      </c>
      <c r="G56" s="13" t="s">
        <v>1239</v>
      </c>
      <c r="H56" s="13" t="s">
        <v>1240</v>
      </c>
      <c r="I56" s="13" t="s">
        <v>1237</v>
      </c>
      <c r="J56" s="191" t="s">
        <v>658</v>
      </c>
      <c r="K56" s="191" t="s">
        <v>245</v>
      </c>
      <c r="L56" s="191"/>
      <c r="M56" s="191"/>
      <c r="N56" s="192"/>
      <c r="O56" s="192"/>
      <c r="P56" s="192"/>
      <c r="Q56" s="192"/>
      <c r="R56" s="192"/>
      <c r="S56" s="192"/>
      <c r="T56" s="192"/>
      <c r="U56" s="192"/>
      <c r="V56" s="192"/>
      <c r="W56" s="192"/>
      <c r="X56" s="192"/>
      <c r="Y56" s="192"/>
      <c r="Z56" s="192"/>
      <c r="AA56" s="192"/>
      <c r="AB56" s="192"/>
      <c r="AC56" s="192"/>
      <c r="AD56" s="192"/>
      <c r="AE56" s="192"/>
      <c r="AF56" s="192"/>
      <c r="AG56" s="192"/>
      <c r="AH56" s="192"/>
      <c r="AI56" s="192"/>
      <c r="AJ56" s="192"/>
      <c r="AK56" s="192"/>
      <c r="AL56" s="192"/>
      <c r="AM56" s="192"/>
      <c r="AN56" s="192"/>
      <c r="AO56" s="192"/>
      <c r="AP56" s="192"/>
      <c r="AQ56" s="192"/>
      <c r="AR56" s="193" t="str">
        <f aca="false">IF($A56="","",IF(OR($N56="Yes",$T56="Yes",$Z56="Yes",$AF56="Yes",$AL56="Yes"),"Yes","No"))</f>
        <v>No</v>
      </c>
      <c r="AS56" s="193" t="str">
        <f aca="false">IF($A56="","",IFERROR(IF($AM56&lt;&gt;"",$AM56,IF($AG56&lt;&gt;"",$AG56,IF($AA56&lt;&gt;"",$AA56,IF($U56&lt;&gt;"",$U56,IF($O56&lt;&gt;"",$O56,""))))),""))</f>
        <v/>
      </c>
      <c r="AT56" s="193" t="str">
        <f aca="false">IFERROR(IF($AN56&lt;&gt;"",$AN56,IF($AH56&lt;&gt;"",$AH56,IF($AB56&lt;&gt;"",$AB56,IF($V56&lt;&gt;"",$V56,IF($P56&lt;&gt;"",$P56,""))))),"")</f>
        <v/>
      </c>
      <c r="AU56" s="194"/>
    </row>
    <row r="57" customFormat="false" ht="91" hidden="false" customHeight="false" outlineLevel="0" collapsed="false">
      <c r="A57" s="191" t="str">
        <f aca="false">IF($F57="","",$C$2&amp;"."&amp;COUNTA($F$7:$F57)&amp;"")</f>
        <v>TC_09.37</v>
      </c>
      <c r="B57" s="191" t="s">
        <v>589</v>
      </c>
      <c r="C57" s="191" t="s">
        <v>530</v>
      </c>
      <c r="D57" s="191" t="s">
        <v>41</v>
      </c>
      <c r="E57" s="191" t="s">
        <v>159</v>
      </c>
      <c r="F57" s="13" t="s">
        <v>1241</v>
      </c>
      <c r="G57" s="13" t="s">
        <v>655</v>
      </c>
      <c r="H57" s="13" t="s">
        <v>1242</v>
      </c>
      <c r="I57" s="13" t="s">
        <v>1243</v>
      </c>
      <c r="J57" s="191" t="s">
        <v>658</v>
      </c>
      <c r="K57" s="191" t="s">
        <v>245</v>
      </c>
      <c r="L57" s="191"/>
      <c r="M57" s="191"/>
      <c r="N57" s="192"/>
      <c r="O57" s="192"/>
      <c r="P57" s="192"/>
      <c r="Q57" s="192"/>
      <c r="R57" s="192"/>
      <c r="S57" s="192"/>
      <c r="T57" s="192"/>
      <c r="U57" s="192"/>
      <c r="V57" s="192"/>
      <c r="W57" s="192"/>
      <c r="X57" s="192"/>
      <c r="Y57" s="192"/>
      <c r="Z57" s="192"/>
      <c r="AA57" s="192"/>
      <c r="AB57" s="192"/>
      <c r="AC57" s="192"/>
      <c r="AD57" s="192"/>
      <c r="AE57" s="192"/>
      <c r="AF57" s="192"/>
      <c r="AG57" s="192"/>
      <c r="AH57" s="192"/>
      <c r="AI57" s="192"/>
      <c r="AJ57" s="192"/>
      <c r="AK57" s="192"/>
      <c r="AL57" s="192"/>
      <c r="AM57" s="192"/>
      <c r="AN57" s="192"/>
      <c r="AO57" s="192"/>
      <c r="AP57" s="192"/>
      <c r="AQ57" s="192"/>
      <c r="AR57" s="193" t="str">
        <f aca="false">IF($A57="","",IF(OR($N57="Yes",$T57="Yes",$Z57="Yes",$AF57="Yes",$AL57="Yes"),"Yes","No"))</f>
        <v>No</v>
      </c>
      <c r="AS57" s="193" t="str">
        <f aca="false">IF($A57="","",IFERROR(IF($AM57&lt;&gt;"",$AM57,IF($AG57&lt;&gt;"",$AG57,IF($AA57&lt;&gt;"",$AA57,IF($U57&lt;&gt;"",$U57,IF($O57&lt;&gt;"",$O57,""))))),""))</f>
        <v/>
      </c>
      <c r="AT57" s="193" t="str">
        <f aca="false">IFERROR(IF($AN57&lt;&gt;"",$AN57,IF($AH57&lt;&gt;"",$AH57,IF($AB57&lt;&gt;"",$AB57,IF($V57&lt;&gt;"",$V57,IF($P57&lt;&gt;"",$P57,""))))),"")</f>
        <v/>
      </c>
      <c r="AU57" s="194"/>
    </row>
    <row r="58" customFormat="false" ht="91" hidden="false" customHeight="false" outlineLevel="0" collapsed="false">
      <c r="A58" s="191" t="str">
        <f aca="false">IF($F58="","",$C$2&amp;"."&amp;COUNTA($F$7:$F58)&amp;"")</f>
        <v>TC_09.38</v>
      </c>
      <c r="B58" s="191" t="s">
        <v>589</v>
      </c>
      <c r="C58" s="191" t="s">
        <v>530</v>
      </c>
      <c r="D58" s="191" t="s">
        <v>41</v>
      </c>
      <c r="E58" s="191" t="s">
        <v>159</v>
      </c>
      <c r="F58" s="13" t="s">
        <v>1244</v>
      </c>
      <c r="G58" s="13" t="s">
        <v>655</v>
      </c>
      <c r="H58" s="13" t="s">
        <v>1245</v>
      </c>
      <c r="I58" s="13" t="s">
        <v>1246</v>
      </c>
      <c r="J58" s="191" t="s">
        <v>658</v>
      </c>
      <c r="K58" s="191" t="s">
        <v>245</v>
      </c>
      <c r="L58" s="191"/>
      <c r="M58" s="191"/>
      <c r="N58" s="192"/>
      <c r="O58" s="192"/>
      <c r="P58" s="192"/>
      <c r="Q58" s="192"/>
      <c r="R58" s="192"/>
      <c r="S58" s="192"/>
      <c r="T58" s="192"/>
      <c r="U58" s="192"/>
      <c r="V58" s="192"/>
      <c r="W58" s="192"/>
      <c r="X58" s="192"/>
      <c r="Y58" s="192"/>
      <c r="Z58" s="192"/>
      <c r="AA58" s="192"/>
      <c r="AB58" s="192"/>
      <c r="AC58" s="192"/>
      <c r="AD58" s="192"/>
      <c r="AE58" s="192"/>
      <c r="AF58" s="192"/>
      <c r="AG58" s="192"/>
      <c r="AH58" s="192"/>
      <c r="AI58" s="192"/>
      <c r="AJ58" s="192"/>
      <c r="AK58" s="192"/>
      <c r="AL58" s="192"/>
      <c r="AM58" s="192"/>
      <c r="AN58" s="192"/>
      <c r="AO58" s="192"/>
      <c r="AP58" s="192"/>
      <c r="AQ58" s="192"/>
      <c r="AR58" s="193" t="str">
        <f aca="false">IF($A58="","",IF(OR($N58="Yes",$T58="Yes",$Z58="Yes",$AF58="Yes",$AL58="Yes"),"Yes","No"))</f>
        <v>No</v>
      </c>
      <c r="AS58" s="193" t="str">
        <f aca="false">IF($A58="","",IFERROR(IF($AM58&lt;&gt;"",$AM58,IF($AG58&lt;&gt;"",$AG58,IF($AA58&lt;&gt;"",$AA58,IF($U58&lt;&gt;"",$U58,IF($O58&lt;&gt;"",$O58,""))))),""))</f>
        <v/>
      </c>
      <c r="AT58" s="193" t="str">
        <f aca="false">IFERROR(IF($AN58&lt;&gt;"",$AN58,IF($AH58&lt;&gt;"",$AH58,IF($AB58&lt;&gt;"",$AB58,IF($V58&lt;&gt;"",$V58,IF($P58&lt;&gt;"",$P58,""))))),"")</f>
        <v/>
      </c>
      <c r="AU58" s="194"/>
    </row>
    <row r="59" customFormat="false" ht="15" hidden="false" customHeight="false" outlineLevel="0" collapsed="false">
      <c r="A59" s="189"/>
      <c r="B59" s="189"/>
      <c r="C59" s="190" t="s">
        <v>1247</v>
      </c>
      <c r="D59" s="190"/>
      <c r="E59" s="190"/>
      <c r="F59" s="190"/>
      <c r="G59" s="190"/>
      <c r="H59" s="190"/>
      <c r="I59" s="190"/>
      <c r="J59" s="190"/>
      <c r="K59" s="190"/>
      <c r="L59" s="190"/>
      <c r="M59" s="190"/>
      <c r="N59" s="190"/>
      <c r="O59" s="190"/>
      <c r="P59" s="190"/>
      <c r="Q59" s="190"/>
      <c r="R59" s="190"/>
      <c r="S59" s="190"/>
      <c r="T59" s="190"/>
      <c r="U59" s="190"/>
      <c r="V59" s="190"/>
      <c r="W59" s="190"/>
      <c r="X59" s="190"/>
      <c r="Y59" s="190"/>
      <c r="Z59" s="190"/>
      <c r="AA59" s="190"/>
      <c r="AB59" s="190"/>
      <c r="AC59" s="190"/>
      <c r="AD59" s="190"/>
      <c r="AE59" s="190"/>
      <c r="AF59" s="190"/>
      <c r="AG59" s="190"/>
      <c r="AH59" s="190"/>
      <c r="AI59" s="190"/>
      <c r="AJ59" s="190"/>
      <c r="AK59" s="190"/>
      <c r="AL59" s="190"/>
      <c r="AM59" s="190"/>
      <c r="AN59" s="190"/>
      <c r="AO59" s="190"/>
      <c r="AP59" s="190"/>
      <c r="AQ59" s="190"/>
      <c r="AR59" s="190"/>
      <c r="AS59" s="190"/>
      <c r="AT59" s="190"/>
      <c r="AU59" s="190"/>
    </row>
    <row r="60" customFormat="false" ht="135.8" hidden="false" customHeight="false" outlineLevel="0" collapsed="false">
      <c r="A60" s="191" t="str">
        <f aca="false">IF($F60="","",$C$2&amp;"."&amp;COUNTA($F$7:$F60)&amp;"")</f>
        <v>TC_09.39</v>
      </c>
      <c r="B60" s="191" t="s">
        <v>592</v>
      </c>
      <c r="C60" s="191" t="s">
        <v>530</v>
      </c>
      <c r="D60" s="191" t="s">
        <v>41</v>
      </c>
      <c r="E60" s="191" t="s">
        <v>159</v>
      </c>
      <c r="F60" s="13" t="s">
        <v>1248</v>
      </c>
      <c r="G60" s="13" t="s">
        <v>655</v>
      </c>
      <c r="H60" s="13" t="s">
        <v>1249</v>
      </c>
      <c r="I60" s="13" t="s">
        <v>1250</v>
      </c>
      <c r="J60" s="191" t="s">
        <v>658</v>
      </c>
      <c r="K60" s="191" t="s">
        <v>245</v>
      </c>
      <c r="L60" s="191"/>
      <c r="M60" s="191"/>
      <c r="N60" s="192"/>
      <c r="O60" s="192"/>
      <c r="P60" s="192"/>
      <c r="Q60" s="192"/>
      <c r="R60" s="192"/>
      <c r="S60" s="192"/>
      <c r="T60" s="192"/>
      <c r="U60" s="192"/>
      <c r="V60" s="192"/>
      <c r="W60" s="192"/>
      <c r="X60" s="192"/>
      <c r="Y60" s="192"/>
      <c r="Z60" s="192"/>
      <c r="AA60" s="192"/>
      <c r="AB60" s="192"/>
      <c r="AC60" s="192"/>
      <c r="AD60" s="192"/>
      <c r="AE60" s="192"/>
      <c r="AF60" s="192"/>
      <c r="AG60" s="192"/>
      <c r="AH60" s="192"/>
      <c r="AI60" s="192"/>
      <c r="AJ60" s="192"/>
      <c r="AK60" s="192"/>
      <c r="AL60" s="192"/>
      <c r="AM60" s="192"/>
      <c r="AN60" s="192"/>
      <c r="AO60" s="192"/>
      <c r="AP60" s="192"/>
      <c r="AQ60" s="192"/>
      <c r="AR60" s="193" t="str">
        <f aca="false">IF($A60="","",IF(OR($N60="Yes",$T60="Yes",$Z60="Yes",$AF60="Yes",$AL60="Yes"),"Yes","No"))</f>
        <v>No</v>
      </c>
      <c r="AS60" s="193" t="str">
        <f aca="false">IF($A60="","",IFERROR(IF($AM60&lt;&gt;"",$AM60,IF($AG60&lt;&gt;"",$AG60,IF($AA60&lt;&gt;"",$AA60,IF($U60&lt;&gt;"",$U60,IF($O60&lt;&gt;"",$O60,""))))),""))</f>
        <v/>
      </c>
      <c r="AT60" s="193" t="str">
        <f aca="false">IFERROR(IF($AN60&lt;&gt;"",$AN60,IF($AH60&lt;&gt;"",$AH60,IF($AB60&lt;&gt;"",$AB60,IF($V60&lt;&gt;"",$V60,IF($P60&lt;&gt;"",$P60,""))))),"")</f>
        <v/>
      </c>
      <c r="AU60" s="194"/>
    </row>
    <row r="61" customFormat="false" ht="135.8" hidden="false" customHeight="false" outlineLevel="0" collapsed="false">
      <c r="A61" s="191" t="str">
        <f aca="false">IF($F61="","",$C$2&amp;"."&amp;COUNTA($F$7:$F61)&amp;"")</f>
        <v>TC_09.40</v>
      </c>
      <c r="B61" s="191" t="s">
        <v>592</v>
      </c>
      <c r="C61" s="191" t="s">
        <v>530</v>
      </c>
      <c r="D61" s="191" t="s">
        <v>41</v>
      </c>
      <c r="E61" s="191" t="s">
        <v>159</v>
      </c>
      <c r="F61" s="13" t="s">
        <v>1251</v>
      </c>
      <c r="G61" s="13" t="s">
        <v>1116</v>
      </c>
      <c r="H61" s="13" t="s">
        <v>1252</v>
      </c>
      <c r="I61" s="13" t="s">
        <v>1253</v>
      </c>
      <c r="J61" s="191" t="s">
        <v>658</v>
      </c>
      <c r="K61" s="191" t="s">
        <v>245</v>
      </c>
      <c r="L61" s="191"/>
      <c r="M61" s="191"/>
      <c r="N61" s="192"/>
      <c r="O61" s="192"/>
      <c r="P61" s="192"/>
      <c r="Q61" s="192"/>
      <c r="R61" s="192"/>
      <c r="S61" s="192"/>
      <c r="T61" s="192"/>
      <c r="U61" s="192"/>
      <c r="V61" s="192"/>
      <c r="W61" s="192"/>
      <c r="X61" s="192"/>
      <c r="Y61" s="192"/>
      <c r="Z61" s="192"/>
      <c r="AA61" s="192"/>
      <c r="AB61" s="192"/>
      <c r="AC61" s="192"/>
      <c r="AD61" s="192"/>
      <c r="AE61" s="192"/>
      <c r="AF61" s="192"/>
      <c r="AG61" s="192"/>
      <c r="AH61" s="192"/>
      <c r="AI61" s="192"/>
      <c r="AJ61" s="192"/>
      <c r="AK61" s="192"/>
      <c r="AL61" s="192"/>
      <c r="AM61" s="192"/>
      <c r="AN61" s="192"/>
      <c r="AO61" s="192"/>
      <c r="AP61" s="192"/>
      <c r="AQ61" s="192"/>
      <c r="AR61" s="193" t="str">
        <f aca="false">IF($A61="","",IF(OR($N61="Yes",$T61="Yes",$Z61="Yes",$AF61="Yes",$AL61="Yes"),"Yes","No"))</f>
        <v>No</v>
      </c>
      <c r="AS61" s="193" t="str">
        <f aca="false">IF($A61="","",IFERROR(IF($AM61&lt;&gt;"",$AM61,IF($AG61&lt;&gt;"",$AG61,IF($AA61&lt;&gt;"",$AA61,IF($U61&lt;&gt;"",$U61,IF($O61&lt;&gt;"",$O61,""))))),""))</f>
        <v/>
      </c>
      <c r="AT61" s="193" t="str">
        <f aca="false">IFERROR(IF($AN61&lt;&gt;"",$AN61,IF($AH61&lt;&gt;"",$AH61,IF($AB61&lt;&gt;"",$AB61,IF($V61&lt;&gt;"",$V61,IF($P61&lt;&gt;"",$P61,""))))),"")</f>
        <v/>
      </c>
      <c r="AU61" s="194"/>
      <c r="AV61" s="1"/>
    </row>
    <row r="62" customFormat="false" ht="158.2" hidden="false" customHeight="false" outlineLevel="0" collapsed="false">
      <c r="A62" s="191" t="str">
        <f aca="false">IF($F62="","",$C$2&amp;"."&amp;COUNTA($F$7:$F62)&amp;"")</f>
        <v>TC_09.41</v>
      </c>
      <c r="B62" s="191" t="s">
        <v>592</v>
      </c>
      <c r="C62" s="191" t="s">
        <v>530</v>
      </c>
      <c r="D62" s="191" t="s">
        <v>41</v>
      </c>
      <c r="E62" s="191" t="s">
        <v>159</v>
      </c>
      <c r="F62" s="13" t="s">
        <v>1254</v>
      </c>
      <c r="G62" s="13" t="s">
        <v>655</v>
      </c>
      <c r="H62" s="13" t="s">
        <v>1255</v>
      </c>
      <c r="I62" s="13" t="s">
        <v>1256</v>
      </c>
      <c r="J62" s="191" t="s">
        <v>658</v>
      </c>
      <c r="K62" s="191" t="s">
        <v>245</v>
      </c>
      <c r="L62" s="191"/>
      <c r="M62" s="191"/>
      <c r="N62" s="192"/>
      <c r="O62" s="192"/>
      <c r="P62" s="192"/>
      <c r="Q62" s="192"/>
      <c r="R62" s="192"/>
      <c r="S62" s="192"/>
      <c r="T62" s="192"/>
      <c r="U62" s="192"/>
      <c r="V62" s="192"/>
      <c r="W62" s="192"/>
      <c r="X62" s="192"/>
      <c r="Y62" s="192"/>
      <c r="Z62" s="192"/>
      <c r="AA62" s="192"/>
      <c r="AB62" s="192"/>
      <c r="AC62" s="192"/>
      <c r="AD62" s="192"/>
      <c r="AE62" s="192"/>
      <c r="AF62" s="192"/>
      <c r="AG62" s="192"/>
      <c r="AH62" s="192"/>
      <c r="AI62" s="192"/>
      <c r="AJ62" s="192"/>
      <c r="AK62" s="192"/>
      <c r="AL62" s="192"/>
      <c r="AM62" s="192"/>
      <c r="AN62" s="192"/>
      <c r="AO62" s="192"/>
      <c r="AP62" s="192"/>
      <c r="AQ62" s="192"/>
      <c r="AR62" s="193" t="str">
        <f aca="false">IF($A62="","",IF(OR($N62="Yes",$T62="Yes",$Z62="Yes",$AF62="Yes",$AL62="Yes"),"Yes","No"))</f>
        <v>No</v>
      </c>
      <c r="AS62" s="193" t="str">
        <f aca="false">IF($A62="","",IFERROR(IF($AM62&lt;&gt;"",$AM62,IF($AG62&lt;&gt;"",$AG62,IF($AA62&lt;&gt;"",$AA62,IF($U62&lt;&gt;"",$U62,IF($O62&lt;&gt;"",$O62,""))))),""))</f>
        <v/>
      </c>
      <c r="AT62" s="193" t="str">
        <f aca="false">IFERROR(IF($AN62&lt;&gt;"",$AN62,IF($AH62&lt;&gt;"",$AH62,IF($AB62&lt;&gt;"",$AB62,IF($V62&lt;&gt;"",$V62,IF($P62&lt;&gt;"",$P62,""))))),"")</f>
        <v/>
      </c>
      <c r="AU62" s="194"/>
      <c r="AV62" s="1"/>
    </row>
    <row r="63" customFormat="false" ht="124.6" hidden="false" customHeight="false" outlineLevel="0" collapsed="false">
      <c r="A63" s="191" t="str">
        <f aca="false">IF($F63="","",$C$2&amp;"."&amp;COUNTA($F$7:$F63)&amp;"")</f>
        <v>TC_09.42</v>
      </c>
      <c r="B63" s="191" t="s">
        <v>592</v>
      </c>
      <c r="C63" s="191" t="s">
        <v>530</v>
      </c>
      <c r="D63" s="191" t="s">
        <v>41</v>
      </c>
      <c r="E63" s="191" t="s">
        <v>160</v>
      </c>
      <c r="F63" s="13" t="s">
        <v>1257</v>
      </c>
      <c r="G63" s="13" t="s">
        <v>1116</v>
      </c>
      <c r="H63" s="13" t="s">
        <v>1258</v>
      </c>
      <c r="I63" s="13" t="s">
        <v>1259</v>
      </c>
      <c r="J63" s="191" t="s">
        <v>658</v>
      </c>
      <c r="K63" s="191" t="s">
        <v>245</v>
      </c>
      <c r="L63" s="191"/>
      <c r="M63" s="191"/>
      <c r="N63" s="192"/>
      <c r="O63" s="192"/>
      <c r="P63" s="192"/>
      <c r="Q63" s="192"/>
      <c r="R63" s="192"/>
      <c r="S63" s="192"/>
      <c r="T63" s="192"/>
      <c r="U63" s="192"/>
      <c r="V63" s="192"/>
      <c r="W63" s="192"/>
      <c r="X63" s="192"/>
      <c r="Y63" s="192"/>
      <c r="Z63" s="192"/>
      <c r="AA63" s="192"/>
      <c r="AB63" s="192"/>
      <c r="AC63" s="192"/>
      <c r="AD63" s="192"/>
      <c r="AE63" s="192"/>
      <c r="AF63" s="192"/>
      <c r="AG63" s="192"/>
      <c r="AH63" s="192"/>
      <c r="AI63" s="192"/>
      <c r="AJ63" s="192"/>
      <c r="AK63" s="192"/>
      <c r="AL63" s="192"/>
      <c r="AM63" s="192"/>
      <c r="AN63" s="192"/>
      <c r="AO63" s="192"/>
      <c r="AP63" s="192"/>
      <c r="AQ63" s="192"/>
      <c r="AR63" s="193" t="str">
        <f aca="false">IF($A63="","",IF(OR($N63="Yes",$T63="Yes",$Z63="Yes",$AF63="Yes",$AL63="Yes"),"Yes","No"))</f>
        <v>No</v>
      </c>
      <c r="AS63" s="193" t="str">
        <f aca="false">IF($A63="","",IFERROR(IF($AM63&lt;&gt;"",$AM63,IF($AG63&lt;&gt;"",$AG63,IF($AA63&lt;&gt;"",$AA63,IF($U63&lt;&gt;"",$U63,IF($O63&lt;&gt;"",$O63,""))))),""))</f>
        <v/>
      </c>
      <c r="AT63" s="193" t="str">
        <f aca="false">IFERROR(IF($AN63&lt;&gt;"",$AN63,IF($AH63&lt;&gt;"",$AH63,IF($AB63&lt;&gt;"",$AB63,IF($V63&lt;&gt;"",$V63,IF($P63&lt;&gt;"",$P63,""))))),"")</f>
        <v/>
      </c>
      <c r="AU63" s="194"/>
      <c r="AV63" s="1"/>
    </row>
    <row r="64" customFormat="false" ht="15" hidden="false" customHeight="false" outlineLevel="0" collapsed="false">
      <c r="A64" s="196"/>
      <c r="B64" s="196"/>
      <c r="C64" s="197" t="s">
        <v>1260</v>
      </c>
      <c r="D64" s="197"/>
      <c r="E64" s="197"/>
      <c r="F64" s="197"/>
      <c r="G64" s="197"/>
      <c r="H64" s="197"/>
      <c r="I64" s="197"/>
      <c r="J64" s="197"/>
      <c r="K64" s="197"/>
      <c r="L64" s="197"/>
      <c r="M64" s="197"/>
      <c r="N64" s="197"/>
      <c r="O64" s="197"/>
      <c r="P64" s="197"/>
      <c r="Q64" s="197"/>
      <c r="R64" s="197"/>
      <c r="S64" s="197"/>
      <c r="T64" s="197"/>
      <c r="U64" s="197"/>
      <c r="V64" s="197"/>
      <c r="W64" s="197"/>
      <c r="X64" s="197"/>
      <c r="Y64" s="197"/>
      <c r="Z64" s="197"/>
      <c r="AA64" s="197"/>
      <c r="AB64" s="197"/>
      <c r="AC64" s="197"/>
      <c r="AD64" s="197"/>
      <c r="AE64" s="197"/>
      <c r="AF64" s="197"/>
      <c r="AG64" s="197"/>
      <c r="AH64" s="197"/>
      <c r="AI64" s="197"/>
      <c r="AJ64" s="197"/>
      <c r="AK64" s="197"/>
      <c r="AL64" s="197"/>
      <c r="AM64" s="197"/>
      <c r="AN64" s="197"/>
      <c r="AO64" s="197"/>
      <c r="AP64" s="197"/>
      <c r="AQ64" s="197"/>
      <c r="AR64" s="197"/>
      <c r="AS64" s="197"/>
      <c r="AT64" s="197"/>
      <c r="AU64" s="197"/>
      <c r="AV64" s="1"/>
    </row>
    <row r="65" customFormat="false" ht="113.4" hidden="false" customHeight="false" outlineLevel="0" collapsed="false">
      <c r="A65" s="191" t="str">
        <f aca="false">IF($F65="","",$C$2&amp;"."&amp;COUNTA($F$7:$F65)&amp;"")</f>
        <v>TC_09.43</v>
      </c>
      <c r="B65" s="191" t="s">
        <v>1261</v>
      </c>
      <c r="C65" s="191" t="s">
        <v>530</v>
      </c>
      <c r="D65" s="191" t="s">
        <v>41</v>
      </c>
      <c r="E65" s="191" t="s">
        <v>159</v>
      </c>
      <c r="F65" s="13" t="s">
        <v>1262</v>
      </c>
      <c r="G65" s="13" t="s">
        <v>655</v>
      </c>
      <c r="H65" s="13" t="s">
        <v>1263</v>
      </c>
      <c r="I65" s="13" t="s">
        <v>1264</v>
      </c>
      <c r="J65" s="191" t="s">
        <v>658</v>
      </c>
      <c r="K65" s="191" t="s">
        <v>245</v>
      </c>
      <c r="L65" s="191"/>
      <c r="M65" s="191"/>
      <c r="N65" s="192"/>
      <c r="O65" s="192"/>
      <c r="P65" s="192"/>
      <c r="Q65" s="192"/>
      <c r="R65" s="192"/>
      <c r="S65" s="192"/>
      <c r="T65" s="192"/>
      <c r="U65" s="192"/>
      <c r="V65" s="192"/>
      <c r="W65" s="192"/>
      <c r="X65" s="192"/>
      <c r="Y65" s="192"/>
      <c r="Z65" s="192"/>
      <c r="AA65" s="192"/>
      <c r="AB65" s="192"/>
      <c r="AC65" s="192"/>
      <c r="AD65" s="192"/>
      <c r="AE65" s="192"/>
      <c r="AF65" s="192"/>
      <c r="AG65" s="192"/>
      <c r="AH65" s="192"/>
      <c r="AI65" s="192"/>
      <c r="AJ65" s="192"/>
      <c r="AK65" s="192"/>
      <c r="AL65" s="192"/>
      <c r="AM65" s="192"/>
      <c r="AN65" s="192"/>
      <c r="AO65" s="192"/>
      <c r="AP65" s="192"/>
      <c r="AQ65" s="192"/>
      <c r="AR65" s="193" t="str">
        <f aca="false">IF($A65="","",IF(OR($N65="Yes",$T65="Yes",$Z65="Yes",$AF65="Yes",$AL65="Yes"),"Yes","No"))</f>
        <v>No</v>
      </c>
      <c r="AS65" s="193" t="str">
        <f aca="false">IF($A65="","",IFERROR(IF($AM65&lt;&gt;"",$AM65,IF($AG65&lt;&gt;"",$AG65,IF($AA65&lt;&gt;"",$AA65,IF($U65&lt;&gt;"",$U65,IF($O65&lt;&gt;"",$O65,""))))),""))</f>
        <v/>
      </c>
      <c r="AT65" s="193" t="str">
        <f aca="false">IFERROR(IF($AN65&lt;&gt;"",$AN65,IF($AH65&lt;&gt;"",$AH65,IF($AB65&lt;&gt;"",$AB65,IF($V65&lt;&gt;"",$V65,IF($P65&lt;&gt;"",$P65,""))))),"")</f>
        <v/>
      </c>
      <c r="AU65" s="194"/>
      <c r="AV65" s="1"/>
    </row>
    <row r="66" customFormat="false" ht="124.6" hidden="false" customHeight="false" outlineLevel="0" collapsed="false">
      <c r="A66" s="191" t="str">
        <f aca="false">IF($F66="","",$C$2&amp;"."&amp;COUNTA($F$7:$F66)&amp;"")</f>
        <v>TC_09.44</v>
      </c>
      <c r="B66" s="191" t="s">
        <v>595</v>
      </c>
      <c r="C66" s="191" t="s">
        <v>530</v>
      </c>
      <c r="D66" s="191" t="s">
        <v>41</v>
      </c>
      <c r="E66" s="191" t="s">
        <v>159</v>
      </c>
      <c r="F66" s="13" t="s">
        <v>1265</v>
      </c>
      <c r="G66" s="13" t="s">
        <v>655</v>
      </c>
      <c r="H66" s="13" t="s">
        <v>1266</v>
      </c>
      <c r="I66" s="13" t="s">
        <v>1264</v>
      </c>
      <c r="J66" s="191" t="s">
        <v>658</v>
      </c>
      <c r="K66" s="191" t="s">
        <v>245</v>
      </c>
      <c r="L66" s="191"/>
      <c r="M66" s="191"/>
      <c r="N66" s="192"/>
      <c r="O66" s="192"/>
      <c r="P66" s="192"/>
      <c r="Q66" s="192"/>
      <c r="R66" s="192"/>
      <c r="S66" s="192"/>
      <c r="T66" s="192"/>
      <c r="U66" s="192"/>
      <c r="V66" s="192"/>
      <c r="W66" s="192"/>
      <c r="X66" s="192"/>
      <c r="Y66" s="192"/>
      <c r="Z66" s="192"/>
      <c r="AA66" s="192"/>
      <c r="AB66" s="192"/>
      <c r="AC66" s="192"/>
      <c r="AD66" s="192"/>
      <c r="AE66" s="192"/>
      <c r="AF66" s="192"/>
      <c r="AG66" s="192"/>
      <c r="AH66" s="192"/>
      <c r="AI66" s="192"/>
      <c r="AJ66" s="192"/>
      <c r="AK66" s="192"/>
      <c r="AL66" s="192"/>
      <c r="AM66" s="192"/>
      <c r="AN66" s="192"/>
      <c r="AO66" s="192"/>
      <c r="AP66" s="192"/>
      <c r="AQ66" s="192"/>
      <c r="AR66" s="193" t="str">
        <f aca="false">IF($A66="","",IF(OR($N66="Yes",$T66="Yes",$Z66="Yes",$AF66="Yes",$AL66="Yes"),"Yes","No"))</f>
        <v>No</v>
      </c>
      <c r="AS66" s="193" t="str">
        <f aca="false">IF($A66="","",IFERROR(IF($AM66&lt;&gt;"",$AM66,IF($AG66&lt;&gt;"",$AG66,IF($AA66&lt;&gt;"",$AA66,IF($U66&lt;&gt;"",$U66,IF($O66&lt;&gt;"",$O66,""))))),""))</f>
        <v/>
      </c>
      <c r="AT66" s="193" t="str">
        <f aca="false">IFERROR(IF($AN66&lt;&gt;"",$AN66,IF($AH66&lt;&gt;"",$AH66,IF($AB66&lt;&gt;"",$AB66,IF($V66&lt;&gt;"",$V66,IF($P66&lt;&gt;"",$P66,""))))),"")</f>
        <v/>
      </c>
      <c r="AU66" s="194"/>
      <c r="AV66" s="1"/>
    </row>
    <row r="67" customFormat="false" ht="15" hidden="false" customHeight="false" outlineLevel="0" collapsed="false">
      <c r="A67" s="196"/>
      <c r="B67" s="196"/>
      <c r="C67" s="197" t="s">
        <v>1267</v>
      </c>
      <c r="D67" s="197"/>
      <c r="E67" s="197"/>
      <c r="F67" s="197"/>
      <c r="G67" s="197"/>
      <c r="H67" s="197"/>
      <c r="I67" s="197"/>
      <c r="J67" s="197"/>
      <c r="K67" s="197"/>
      <c r="L67" s="197"/>
      <c r="M67" s="197"/>
      <c r="N67" s="197"/>
      <c r="O67" s="197"/>
      <c r="P67" s="197"/>
      <c r="Q67" s="197"/>
      <c r="R67" s="197"/>
      <c r="S67" s="197"/>
      <c r="T67" s="197"/>
      <c r="U67" s="197"/>
      <c r="V67" s="197"/>
      <c r="W67" s="197"/>
      <c r="X67" s="197"/>
      <c r="Y67" s="197"/>
      <c r="Z67" s="197"/>
      <c r="AA67" s="197"/>
      <c r="AB67" s="197"/>
      <c r="AC67" s="197"/>
      <c r="AD67" s="197"/>
      <c r="AE67" s="197"/>
      <c r="AF67" s="197"/>
      <c r="AG67" s="197"/>
      <c r="AH67" s="197"/>
      <c r="AI67" s="197"/>
      <c r="AJ67" s="197"/>
      <c r="AK67" s="197"/>
      <c r="AL67" s="197"/>
      <c r="AM67" s="197"/>
      <c r="AN67" s="197"/>
      <c r="AO67" s="197"/>
      <c r="AP67" s="197"/>
      <c r="AQ67" s="197"/>
      <c r="AR67" s="197"/>
      <c r="AS67" s="197"/>
      <c r="AT67" s="197"/>
      <c r="AU67" s="197"/>
      <c r="AV67" s="1"/>
    </row>
    <row r="68" customFormat="false" ht="113.4" hidden="false" customHeight="false" outlineLevel="0" collapsed="false">
      <c r="A68" s="191" t="str">
        <f aca="false">IF($F68="","",$C$2&amp;"."&amp;COUNTA($F$7:$F68)&amp;"")</f>
        <v>TC_09.45</v>
      </c>
      <c r="B68" s="191" t="s">
        <v>601</v>
      </c>
      <c r="C68" s="191" t="s">
        <v>530</v>
      </c>
      <c r="D68" s="191" t="s">
        <v>43</v>
      </c>
      <c r="E68" s="191" t="s">
        <v>160</v>
      </c>
      <c r="F68" s="13" t="s">
        <v>1268</v>
      </c>
      <c r="G68" s="13" t="s">
        <v>655</v>
      </c>
      <c r="H68" s="13" t="s">
        <v>1269</v>
      </c>
      <c r="I68" s="13" t="s">
        <v>1270</v>
      </c>
      <c r="J68" s="191" t="s">
        <v>658</v>
      </c>
      <c r="K68" s="191" t="s">
        <v>245</v>
      </c>
      <c r="L68" s="191"/>
      <c r="M68" s="191"/>
      <c r="N68" s="192"/>
      <c r="O68" s="192"/>
      <c r="P68" s="192"/>
      <c r="Q68" s="192"/>
      <c r="R68" s="192"/>
      <c r="S68" s="192"/>
      <c r="T68" s="192"/>
      <c r="U68" s="192"/>
      <c r="V68" s="192"/>
      <c r="W68" s="192"/>
      <c r="X68" s="192"/>
      <c r="Y68" s="192"/>
      <c r="Z68" s="192"/>
      <c r="AA68" s="192"/>
      <c r="AB68" s="192"/>
      <c r="AC68" s="192"/>
      <c r="AD68" s="192"/>
      <c r="AE68" s="192"/>
      <c r="AF68" s="192"/>
      <c r="AG68" s="192"/>
      <c r="AH68" s="192"/>
      <c r="AI68" s="192"/>
      <c r="AJ68" s="192"/>
      <c r="AK68" s="192"/>
      <c r="AL68" s="192"/>
      <c r="AM68" s="192"/>
      <c r="AN68" s="192"/>
      <c r="AO68" s="192"/>
      <c r="AP68" s="192"/>
      <c r="AQ68" s="192"/>
      <c r="AR68" s="193" t="str">
        <f aca="false">IF($A68="","",IF(OR($N68="Yes",$T68="Yes",$Z68="Yes",$AF68="Yes",$AL68="Yes"),"Yes","No"))</f>
        <v>No</v>
      </c>
      <c r="AS68" s="193" t="str">
        <f aca="false">IF($A68="","",IFERROR(IF($AM68&lt;&gt;"",$AM68,IF($AG68&lt;&gt;"",$AG68,IF($AA68&lt;&gt;"",$AA68,IF($U68&lt;&gt;"",$U68,IF($O68&lt;&gt;"",$O68,""))))),""))</f>
        <v/>
      </c>
      <c r="AT68" s="193" t="str">
        <f aca="false">IFERROR(IF($AN68&lt;&gt;"",$AN68,IF($AH68&lt;&gt;"",$AH68,IF($AB68&lt;&gt;"",$AB68,IF($V68&lt;&gt;"",$V68,IF($P68&lt;&gt;"",$P68,""))))),"")</f>
        <v/>
      </c>
      <c r="AU68" s="194"/>
      <c r="AV68" s="1"/>
    </row>
    <row r="69" customFormat="false" ht="113.4" hidden="false" customHeight="false" outlineLevel="0" collapsed="false">
      <c r="A69" s="191" t="str">
        <f aca="false">IF($F69="","",$C$2&amp;"."&amp;COUNTA($F$7:$F69)&amp;"")</f>
        <v>TC_09.46</v>
      </c>
      <c r="B69" s="191" t="s">
        <v>601</v>
      </c>
      <c r="C69" s="191" t="s">
        <v>530</v>
      </c>
      <c r="D69" s="191" t="s">
        <v>43</v>
      </c>
      <c r="E69" s="191" t="s">
        <v>160</v>
      </c>
      <c r="F69" s="13" t="s">
        <v>1271</v>
      </c>
      <c r="G69" s="13" t="s">
        <v>655</v>
      </c>
      <c r="H69" s="13" t="s">
        <v>1272</v>
      </c>
      <c r="I69" s="13" t="s">
        <v>1273</v>
      </c>
      <c r="J69" s="191" t="s">
        <v>658</v>
      </c>
      <c r="K69" s="191" t="s">
        <v>245</v>
      </c>
      <c r="L69" s="191"/>
      <c r="M69" s="191"/>
      <c r="N69" s="192"/>
      <c r="O69" s="192"/>
      <c r="P69" s="192"/>
      <c r="Q69" s="192"/>
      <c r="R69" s="192"/>
      <c r="S69" s="192"/>
      <c r="T69" s="192"/>
      <c r="U69" s="192"/>
      <c r="V69" s="192"/>
      <c r="W69" s="192"/>
      <c r="X69" s="192"/>
      <c r="Y69" s="192"/>
      <c r="Z69" s="192"/>
      <c r="AA69" s="192"/>
      <c r="AB69" s="192"/>
      <c r="AC69" s="192"/>
      <c r="AD69" s="192"/>
      <c r="AE69" s="192"/>
      <c r="AF69" s="192"/>
      <c r="AG69" s="192"/>
      <c r="AH69" s="192"/>
      <c r="AI69" s="192"/>
      <c r="AJ69" s="192"/>
      <c r="AK69" s="192"/>
      <c r="AL69" s="192"/>
      <c r="AM69" s="192"/>
      <c r="AN69" s="192"/>
      <c r="AO69" s="192"/>
      <c r="AP69" s="192"/>
      <c r="AQ69" s="192"/>
      <c r="AR69" s="193" t="str">
        <f aca="false">IF($A69="","",IF(OR($N69="Yes",$T69="Yes",$Z69="Yes",$AF69="Yes",$AL69="Yes"),"Yes","No"))</f>
        <v>No</v>
      </c>
      <c r="AS69" s="193" t="str">
        <f aca="false">IF($A69="","",IFERROR(IF($AM69&lt;&gt;"",$AM69,IF($AG69&lt;&gt;"",$AG69,IF($AA69&lt;&gt;"",$AA69,IF($U69&lt;&gt;"",$U69,IF($O69&lt;&gt;"",$O69,""))))),""))</f>
        <v/>
      </c>
      <c r="AT69" s="193" t="str">
        <f aca="false">IFERROR(IF($AN69&lt;&gt;"",$AN69,IF($AH69&lt;&gt;"",$AH69,IF($AB69&lt;&gt;"",$AB69,IF($V69&lt;&gt;"",$V69,IF($P69&lt;&gt;"",$P69,""))))),"")</f>
        <v/>
      </c>
      <c r="AU69" s="194"/>
      <c r="AV69" s="1"/>
    </row>
    <row r="70" customFormat="false" ht="15" hidden="false" customHeight="false" outlineLevel="0" collapsed="false">
      <c r="A70" s="196"/>
      <c r="B70" s="196"/>
      <c r="C70" s="197" t="s">
        <v>1274</v>
      </c>
      <c r="D70" s="197"/>
      <c r="E70" s="197"/>
      <c r="F70" s="197"/>
      <c r="G70" s="197"/>
      <c r="H70" s="197"/>
      <c r="I70" s="197"/>
      <c r="J70" s="197"/>
      <c r="K70" s="197"/>
      <c r="L70" s="197"/>
      <c r="M70" s="197"/>
      <c r="N70" s="197"/>
      <c r="O70" s="197"/>
      <c r="P70" s="197"/>
      <c r="Q70" s="197"/>
      <c r="R70" s="197"/>
      <c r="S70" s="197"/>
      <c r="T70" s="197"/>
      <c r="U70" s="197"/>
      <c r="V70" s="197"/>
      <c r="W70" s="197"/>
      <c r="X70" s="197"/>
      <c r="Y70" s="197"/>
      <c r="Z70" s="197"/>
      <c r="AA70" s="197"/>
      <c r="AB70" s="197"/>
      <c r="AC70" s="197"/>
      <c r="AD70" s="197"/>
      <c r="AE70" s="197"/>
      <c r="AF70" s="197"/>
      <c r="AG70" s="197"/>
      <c r="AH70" s="197"/>
      <c r="AI70" s="197"/>
      <c r="AJ70" s="197"/>
      <c r="AK70" s="197"/>
      <c r="AL70" s="197"/>
      <c r="AM70" s="197"/>
      <c r="AN70" s="197"/>
      <c r="AO70" s="197"/>
      <c r="AP70" s="197"/>
      <c r="AQ70" s="197"/>
      <c r="AR70" s="197"/>
      <c r="AS70" s="197"/>
      <c r="AT70" s="197"/>
      <c r="AU70" s="197"/>
      <c r="AV70" s="1"/>
    </row>
    <row r="71" customFormat="false" ht="79.85" hidden="false" customHeight="false" outlineLevel="0" collapsed="false">
      <c r="A71" s="191" t="str">
        <f aca="false">IF($F71="","",$C$2&amp;"."&amp;COUNTA($F$7:$F71)&amp;"")</f>
        <v>TC_09.47</v>
      </c>
      <c r="B71" s="191" t="s">
        <v>604</v>
      </c>
      <c r="C71" s="191" t="s">
        <v>530</v>
      </c>
      <c r="D71" s="191" t="s">
        <v>41</v>
      </c>
      <c r="E71" s="191" t="s">
        <v>160</v>
      </c>
      <c r="F71" s="13" t="s">
        <v>1275</v>
      </c>
      <c r="G71" s="13" t="s">
        <v>1116</v>
      </c>
      <c r="H71" s="13" t="s">
        <v>1276</v>
      </c>
      <c r="I71" s="13" t="s">
        <v>1277</v>
      </c>
      <c r="J71" s="191" t="s">
        <v>658</v>
      </c>
      <c r="K71" s="191" t="s">
        <v>245</v>
      </c>
      <c r="L71" s="191"/>
      <c r="M71" s="191"/>
      <c r="N71" s="192"/>
      <c r="O71" s="192"/>
      <c r="P71" s="192"/>
      <c r="Q71" s="192"/>
      <c r="R71" s="192"/>
      <c r="S71" s="192"/>
      <c r="T71" s="192"/>
      <c r="U71" s="192"/>
      <c r="V71" s="192"/>
      <c r="W71" s="192"/>
      <c r="X71" s="192"/>
      <c r="Y71" s="192"/>
      <c r="Z71" s="192"/>
      <c r="AA71" s="192"/>
      <c r="AB71" s="192"/>
      <c r="AC71" s="192"/>
      <c r="AD71" s="192"/>
      <c r="AE71" s="192"/>
      <c r="AF71" s="192"/>
      <c r="AG71" s="192"/>
      <c r="AH71" s="192"/>
      <c r="AI71" s="192"/>
      <c r="AJ71" s="192"/>
      <c r="AK71" s="192"/>
      <c r="AL71" s="192"/>
      <c r="AM71" s="192"/>
      <c r="AN71" s="192"/>
      <c r="AO71" s="192"/>
      <c r="AP71" s="192"/>
      <c r="AQ71" s="192"/>
      <c r="AR71" s="193" t="str">
        <f aca="false">IF($A71="","",IF(OR($N71="Yes",$T71="Yes",$Z71="Yes",$AF71="Yes",$AL71="Yes"),"Yes","No"))</f>
        <v>No</v>
      </c>
      <c r="AS71" s="193" t="str">
        <f aca="false">IF($A71="","",IFERROR(IF($AM71&lt;&gt;"",$AM71,IF($AG71&lt;&gt;"",$AG71,IF($AA71&lt;&gt;"",$AA71,IF($U71&lt;&gt;"",$U71,IF($O71&lt;&gt;"",$O71,""))))),""))</f>
        <v/>
      </c>
      <c r="AT71" s="193" t="str">
        <f aca="false">IFERROR(IF($AN71&lt;&gt;"",$AN71,IF($AH71&lt;&gt;"",$AH71,IF($AB71&lt;&gt;"",$AB71,IF($V71&lt;&gt;"",$V71,IF($P71&lt;&gt;"",$P71,""))))),"")</f>
        <v/>
      </c>
      <c r="AU71" s="194"/>
      <c r="AV71" s="1"/>
    </row>
    <row r="72" customFormat="false" ht="79.85" hidden="false" customHeight="false" outlineLevel="0" collapsed="false">
      <c r="A72" s="191" t="str">
        <f aca="false">IF($F72="","",$C$2&amp;"."&amp;COUNTA($F$7:$F72)&amp;"")</f>
        <v>TC_09.48</v>
      </c>
      <c r="B72" s="191" t="s">
        <v>604</v>
      </c>
      <c r="C72" s="191" t="s">
        <v>530</v>
      </c>
      <c r="D72" s="191" t="s">
        <v>41</v>
      </c>
      <c r="E72" s="191" t="s">
        <v>160</v>
      </c>
      <c r="F72" s="13" t="s">
        <v>1278</v>
      </c>
      <c r="G72" s="13" t="s">
        <v>655</v>
      </c>
      <c r="H72" s="13" t="s">
        <v>1279</v>
      </c>
      <c r="I72" s="13" t="s">
        <v>1280</v>
      </c>
      <c r="J72" s="191" t="s">
        <v>658</v>
      </c>
      <c r="K72" s="191" t="s">
        <v>245</v>
      </c>
      <c r="L72" s="191"/>
      <c r="M72" s="191"/>
      <c r="N72" s="192"/>
      <c r="O72" s="192"/>
      <c r="P72" s="192"/>
      <c r="Q72" s="192"/>
      <c r="R72" s="192"/>
      <c r="S72" s="192"/>
      <c r="T72" s="192"/>
      <c r="U72" s="192"/>
      <c r="V72" s="192"/>
      <c r="W72" s="192"/>
      <c r="X72" s="192"/>
      <c r="Y72" s="192"/>
      <c r="Z72" s="192"/>
      <c r="AA72" s="192"/>
      <c r="AB72" s="192"/>
      <c r="AC72" s="192"/>
      <c r="AD72" s="192"/>
      <c r="AE72" s="192"/>
      <c r="AF72" s="192"/>
      <c r="AG72" s="192"/>
      <c r="AH72" s="192"/>
      <c r="AI72" s="192"/>
      <c r="AJ72" s="192"/>
      <c r="AK72" s="192"/>
      <c r="AL72" s="192"/>
      <c r="AM72" s="192"/>
      <c r="AN72" s="192"/>
      <c r="AO72" s="192"/>
      <c r="AP72" s="192"/>
      <c r="AQ72" s="192"/>
      <c r="AR72" s="193" t="str">
        <f aca="false">IF($A72="","",IF(OR($N72="Yes",$T72="Yes",$Z72="Yes",$AF72="Yes",$AL72="Yes"),"Yes","No"))</f>
        <v>No</v>
      </c>
      <c r="AS72" s="193" t="str">
        <f aca="false">IF($A72="","",IFERROR(IF($AM72&lt;&gt;"",$AM72,IF($AG72&lt;&gt;"",$AG72,IF($AA72&lt;&gt;"",$AA72,IF($U72&lt;&gt;"",$U72,IF($O72&lt;&gt;"",$O72,""))))),""))</f>
        <v/>
      </c>
      <c r="AT72" s="193" t="str">
        <f aca="false">IFERROR(IF($AN72&lt;&gt;"",$AN72,IF($AH72&lt;&gt;"",$AH72,IF($AB72&lt;&gt;"",$AB72,IF($V72&lt;&gt;"",$V72,IF($P72&lt;&gt;"",$P72,""))))),"")</f>
        <v/>
      </c>
      <c r="AU72" s="194"/>
      <c r="AV72" s="1"/>
    </row>
    <row r="73" customFormat="false" ht="15.75" hidden="false" customHeight="false" outlineLevel="0" collapsed="false">
      <c r="AV73" s="1"/>
    </row>
    <row r="74" customFormat="false" ht="15.75" hidden="false" customHeight="false" outlineLevel="0" collapsed="false">
      <c r="AV74" s="1"/>
    </row>
    <row r="75" customFormat="false" ht="15.75" hidden="false" customHeight="false" outlineLevel="0" collapsed="false">
      <c r="AV75" s="1"/>
    </row>
    <row r="76" customFormat="false" ht="15.75" hidden="false" customHeight="false" outlineLevel="0" collapsed="false">
      <c r="AV76" s="1"/>
    </row>
    <row r="77" customFormat="false" ht="15.75" hidden="false" customHeight="false" outlineLevel="0" collapsed="false">
      <c r="AV77" s="1"/>
    </row>
    <row r="78" customFormat="false" ht="15.75" hidden="false" customHeight="false" outlineLevel="0" collapsed="false">
      <c r="AV78" s="1"/>
    </row>
    <row r="79" customFormat="false" ht="15.75" hidden="false" customHeight="false" outlineLevel="0" collapsed="false">
      <c r="AV79" s="1"/>
    </row>
    <row r="80" customFormat="false" ht="15.75" hidden="false" customHeight="false" outlineLevel="0" collapsed="false">
      <c r="AV80" s="1"/>
    </row>
    <row r="81" customFormat="false" ht="15.75" hidden="false" customHeight="false" outlineLevel="0" collapsed="false">
      <c r="AV81" s="1"/>
    </row>
    <row r="82" customFormat="false" ht="15.75" hidden="false" customHeight="false" outlineLevel="0" collapsed="false">
      <c r="AV82" s="1"/>
    </row>
    <row r="83" customFormat="false" ht="15.75" hidden="false" customHeight="false" outlineLevel="0" collapsed="false">
      <c r="AV83" s="1"/>
    </row>
    <row r="84" customFormat="false" ht="15.75" hidden="false" customHeight="false" outlineLevel="0" collapsed="false">
      <c r="AV84" s="1"/>
    </row>
    <row r="85" customFormat="false" ht="15.75" hidden="false" customHeight="false" outlineLevel="0" collapsed="false">
      <c r="AV85" s="1"/>
    </row>
    <row r="86" customFormat="false" ht="15.75" hidden="false" customHeight="false" outlineLevel="0" collapsed="false">
      <c r="AV86" s="1"/>
    </row>
    <row r="87" customFormat="false" ht="15.75" hidden="false" customHeight="false" outlineLevel="0" collapsed="false">
      <c r="AV87" s="1"/>
    </row>
    <row r="88" customFormat="false" ht="15.75" hidden="false" customHeight="false" outlineLevel="0" collapsed="false">
      <c r="AV88" s="1"/>
    </row>
    <row r="89" customFormat="false" ht="15.75" hidden="false" customHeight="false" outlineLevel="0" collapsed="false">
      <c r="AV89" s="1"/>
    </row>
    <row r="90" customFormat="false" ht="15.75" hidden="false" customHeight="false" outlineLevel="0" collapsed="false">
      <c r="AV90" s="1"/>
    </row>
    <row r="91" customFormat="false" ht="15.75" hidden="false" customHeight="false" outlineLevel="0" collapsed="false">
      <c r="AV91" s="1"/>
    </row>
    <row r="92" customFormat="false" ht="15.75" hidden="false" customHeight="false" outlineLevel="0" collapsed="false">
      <c r="AV92" s="1"/>
    </row>
    <row r="93" customFormat="false" ht="15.75" hidden="false" customHeight="false" outlineLevel="0" collapsed="false">
      <c r="AV93" s="1"/>
    </row>
    <row r="94" customFormat="false" ht="15.75" hidden="false" customHeight="false" outlineLevel="0" collapsed="false">
      <c r="AV94" s="1"/>
    </row>
    <row r="95" customFormat="false" ht="15.75" hidden="false" customHeight="false" outlineLevel="0" collapsed="false">
      <c r="AV95" s="1"/>
    </row>
    <row r="96" customFormat="false" ht="15.75" hidden="false" customHeight="false" outlineLevel="0" collapsed="false">
      <c r="AV96" s="1"/>
    </row>
    <row r="97" customFormat="false" ht="15.75" hidden="false" customHeight="false" outlineLevel="0" collapsed="false">
      <c r="AV97" s="1"/>
    </row>
    <row r="98" customFormat="false" ht="15.75" hidden="false" customHeight="false" outlineLevel="0" collapsed="false">
      <c r="AV98" s="1"/>
    </row>
    <row r="99" customFormat="false" ht="15.75" hidden="false" customHeight="false" outlineLevel="0" collapsed="false">
      <c r="AV99" s="1"/>
    </row>
    <row r="100" customFormat="false" ht="15.75" hidden="false" customHeight="false" outlineLevel="0" collapsed="false">
      <c r="AV100" s="1"/>
    </row>
    <row r="101" customFormat="false" ht="15.75" hidden="false" customHeight="false" outlineLevel="0" collapsed="false">
      <c r="AV101" s="1"/>
    </row>
    <row r="102" customFormat="false" ht="15.75" hidden="false" customHeight="false" outlineLevel="0" collapsed="false">
      <c r="AV102" s="1"/>
    </row>
    <row r="103" customFormat="false" ht="15.75" hidden="false" customHeight="false" outlineLevel="0" collapsed="false">
      <c r="AV103" s="1"/>
    </row>
    <row r="104" customFormat="false" ht="15.75" hidden="false" customHeight="false" outlineLevel="0" collapsed="false">
      <c r="AV104" s="1"/>
    </row>
    <row r="105" customFormat="false" ht="15.75" hidden="false" customHeight="false" outlineLevel="0" collapsed="false">
      <c r="AV105" s="1"/>
    </row>
    <row r="106" customFormat="false" ht="15.75" hidden="false" customHeight="false" outlineLevel="0" collapsed="false">
      <c r="AV106" s="1"/>
    </row>
    <row r="107" customFormat="false" ht="15.75" hidden="false" customHeight="false" outlineLevel="0" collapsed="false">
      <c r="AV107" s="1"/>
    </row>
    <row r="108" customFormat="false" ht="15.75" hidden="false" customHeight="false" outlineLevel="0" collapsed="false">
      <c r="AV108" s="1"/>
    </row>
    <row r="109" customFormat="false" ht="15.75" hidden="false" customHeight="false" outlineLevel="0" collapsed="false">
      <c r="AV109" s="1"/>
    </row>
    <row r="110" customFormat="false" ht="15.75" hidden="false" customHeight="false" outlineLevel="0" collapsed="false">
      <c r="AV110" s="1"/>
    </row>
    <row r="111" customFormat="false" ht="15.75" hidden="false" customHeight="false" outlineLevel="0" collapsed="false">
      <c r="AV111" s="1"/>
    </row>
    <row r="112" customFormat="false" ht="15.75" hidden="false" customHeight="false" outlineLevel="0" collapsed="false">
      <c r="AV112" s="1"/>
    </row>
    <row r="113" customFormat="false" ht="15.75" hidden="false" customHeight="false" outlineLevel="0" collapsed="false">
      <c r="AV113" s="1"/>
    </row>
    <row r="114" customFormat="false" ht="15.75" hidden="false" customHeight="false" outlineLevel="0" collapsed="false">
      <c r="AV114" s="1"/>
    </row>
    <row r="115" customFormat="false" ht="15.75" hidden="false" customHeight="false" outlineLevel="0" collapsed="false">
      <c r="AV115" s="1"/>
    </row>
    <row r="116" customFormat="false" ht="15.75" hidden="false" customHeight="false" outlineLevel="0" collapsed="false">
      <c r="AV116" s="1"/>
    </row>
    <row r="117" customFormat="false" ht="15.75" hidden="false" customHeight="false" outlineLevel="0" collapsed="false">
      <c r="AV117" s="1"/>
    </row>
    <row r="118" customFormat="false" ht="15.75" hidden="false" customHeight="false" outlineLevel="0" collapsed="false">
      <c r="AV118" s="1"/>
    </row>
    <row r="119" customFormat="false" ht="15.75" hidden="false" customHeight="false" outlineLevel="0" collapsed="false">
      <c r="AV119" s="1"/>
    </row>
    <row r="120" customFormat="false" ht="15.75" hidden="false" customHeight="false" outlineLevel="0" collapsed="false">
      <c r="AV120" s="1"/>
    </row>
    <row r="121" customFormat="false" ht="15.75" hidden="false" customHeight="false" outlineLevel="0" collapsed="false">
      <c r="AV121" s="1"/>
    </row>
    <row r="122" customFormat="false" ht="15.75" hidden="false" customHeight="false" outlineLevel="0" collapsed="false">
      <c r="AV122" s="1"/>
    </row>
    <row r="123" customFormat="false" ht="15.75" hidden="false" customHeight="false" outlineLevel="0" collapsed="false">
      <c r="AV123" s="1"/>
    </row>
    <row r="124" customFormat="false" ht="15.75" hidden="false" customHeight="false" outlineLevel="0" collapsed="false">
      <c r="AV124" s="1"/>
    </row>
    <row r="125" customFormat="false" ht="15.75" hidden="false" customHeight="false" outlineLevel="0" collapsed="false">
      <c r="AV125" s="1"/>
    </row>
    <row r="126" customFormat="false" ht="15.75" hidden="false" customHeight="false" outlineLevel="0" collapsed="false">
      <c r="AV126" s="1"/>
    </row>
    <row r="127" customFormat="false" ht="15.75" hidden="false" customHeight="false" outlineLevel="0" collapsed="false">
      <c r="AV127" s="1"/>
    </row>
    <row r="128" customFormat="false" ht="15.75" hidden="false" customHeight="false" outlineLevel="0" collapsed="false">
      <c r="AV128" s="1"/>
    </row>
    <row r="129" customFormat="false" ht="15.75" hidden="false" customHeight="false" outlineLevel="0" collapsed="false">
      <c r="AV129" s="1"/>
    </row>
    <row r="130" customFormat="false" ht="15.75" hidden="false" customHeight="false" outlineLevel="0" collapsed="false">
      <c r="AV130" s="1"/>
    </row>
    <row r="131" customFormat="false" ht="15.75" hidden="false" customHeight="false" outlineLevel="0" collapsed="false">
      <c r="AV131" s="1"/>
    </row>
    <row r="132" customFormat="false" ht="15.75" hidden="false" customHeight="false" outlineLevel="0" collapsed="false">
      <c r="AV132" s="1"/>
    </row>
    <row r="133" customFormat="false" ht="15.75" hidden="false" customHeight="false" outlineLevel="0" collapsed="false">
      <c r="AV133" s="1"/>
    </row>
    <row r="134" customFormat="false" ht="15.75" hidden="false" customHeight="false" outlineLevel="0" collapsed="false">
      <c r="AV134" s="1"/>
    </row>
    <row r="135" customFormat="false" ht="15.75" hidden="false" customHeight="false" outlineLevel="0" collapsed="false">
      <c r="AV135" s="1"/>
    </row>
    <row r="136" customFormat="false" ht="15.75" hidden="false" customHeight="false" outlineLevel="0" collapsed="false">
      <c r="AV136" s="1"/>
    </row>
    <row r="137" customFormat="false" ht="15.75" hidden="false" customHeight="false" outlineLevel="0" collapsed="false">
      <c r="AV137" s="1"/>
    </row>
    <row r="138" customFormat="false" ht="15.75" hidden="false" customHeight="false" outlineLevel="0" collapsed="false">
      <c r="AV138" s="1"/>
    </row>
    <row r="139" customFormat="false" ht="15.75" hidden="false" customHeight="false" outlineLevel="0" collapsed="false">
      <c r="AV139" s="1"/>
    </row>
    <row r="140" customFormat="false" ht="15.75" hidden="false" customHeight="false" outlineLevel="0" collapsed="false">
      <c r="AV140" s="1"/>
    </row>
    <row r="141" customFormat="false" ht="15.75" hidden="false" customHeight="false" outlineLevel="0" collapsed="false">
      <c r="AV141" s="1"/>
    </row>
    <row r="142" customFormat="false" ht="15.75" hidden="false" customHeight="false" outlineLevel="0" collapsed="false">
      <c r="AV142" s="1"/>
    </row>
    <row r="143" customFormat="false" ht="15.75" hidden="false" customHeight="false" outlineLevel="0" collapsed="false">
      <c r="AV143" s="1"/>
    </row>
    <row r="144" customFormat="false" ht="15.75" hidden="false" customHeight="false" outlineLevel="0" collapsed="false">
      <c r="AV144" s="1"/>
    </row>
    <row r="145" customFormat="false" ht="15.75" hidden="false" customHeight="false" outlineLevel="0" collapsed="false">
      <c r="AV145" s="1"/>
    </row>
    <row r="146" customFormat="false" ht="15.75" hidden="false" customHeight="false" outlineLevel="0" collapsed="false">
      <c r="AV146" s="1"/>
    </row>
    <row r="147" customFormat="false" ht="15.75" hidden="false" customHeight="false" outlineLevel="0" collapsed="false">
      <c r="AV147" s="1"/>
    </row>
    <row r="148" customFormat="false" ht="15.75" hidden="false" customHeight="false" outlineLevel="0" collapsed="false">
      <c r="AV148" s="1"/>
    </row>
    <row r="149" customFormat="false" ht="15.75" hidden="false" customHeight="false" outlineLevel="0" collapsed="false">
      <c r="AV149" s="1"/>
    </row>
    <row r="150" customFormat="false" ht="15.75" hidden="false" customHeight="false" outlineLevel="0" collapsed="false">
      <c r="AV150" s="1"/>
    </row>
    <row r="151" customFormat="false" ht="15.75" hidden="false" customHeight="false" outlineLevel="0" collapsed="false">
      <c r="AV151" s="1"/>
    </row>
    <row r="152" customFormat="false" ht="15.75" hidden="false" customHeight="false" outlineLevel="0" collapsed="false">
      <c r="AV152" s="1"/>
    </row>
    <row r="153" customFormat="false" ht="15.75" hidden="false" customHeight="false" outlineLevel="0" collapsed="false">
      <c r="AV153" s="1"/>
    </row>
    <row r="154" customFormat="false" ht="15.75" hidden="false" customHeight="false" outlineLevel="0" collapsed="false">
      <c r="AV154" s="1"/>
    </row>
    <row r="155" customFormat="false" ht="15.75" hidden="false" customHeight="false" outlineLevel="0" collapsed="false">
      <c r="AV155" s="1"/>
    </row>
    <row r="156" customFormat="false" ht="15.75" hidden="false" customHeight="false" outlineLevel="0" collapsed="false">
      <c r="AV156" s="1"/>
    </row>
    <row r="157" customFormat="false" ht="15.75" hidden="false" customHeight="false" outlineLevel="0" collapsed="false">
      <c r="AV157" s="1"/>
    </row>
    <row r="158" customFormat="false" ht="15.75" hidden="false" customHeight="false" outlineLevel="0" collapsed="false">
      <c r="AV158" s="1"/>
    </row>
    <row r="159" customFormat="false" ht="15.75" hidden="false" customHeight="false" outlineLevel="0" collapsed="false">
      <c r="AV159" s="1"/>
    </row>
    <row r="160" customFormat="false" ht="15.75" hidden="false" customHeight="false" outlineLevel="0" collapsed="false">
      <c r="AV160" s="1"/>
    </row>
    <row r="161" customFormat="false" ht="15.75" hidden="false" customHeight="false" outlineLevel="0" collapsed="false">
      <c r="AV161" s="1"/>
    </row>
    <row r="162" customFormat="false" ht="15.75" hidden="false" customHeight="false" outlineLevel="0" collapsed="false">
      <c r="AV162" s="1"/>
    </row>
    <row r="163" customFormat="false" ht="15.75" hidden="false" customHeight="false" outlineLevel="0" collapsed="false">
      <c r="AV163" s="1"/>
    </row>
    <row r="164" customFormat="false" ht="15.75" hidden="false" customHeight="false" outlineLevel="0" collapsed="false">
      <c r="AV164" s="1"/>
    </row>
    <row r="165" customFormat="false" ht="15.75" hidden="false" customHeight="false" outlineLevel="0" collapsed="false">
      <c r="AV165" s="1"/>
    </row>
    <row r="166" customFormat="false" ht="15.75" hidden="false" customHeight="false" outlineLevel="0" collapsed="false">
      <c r="AV166" s="1"/>
    </row>
    <row r="167" customFormat="false" ht="15.75" hidden="false" customHeight="false" outlineLevel="0" collapsed="false">
      <c r="AV167" s="1"/>
    </row>
    <row r="168" customFormat="false" ht="15.75" hidden="false" customHeight="false" outlineLevel="0" collapsed="false">
      <c r="AV168" s="1"/>
    </row>
    <row r="169" customFormat="false" ht="15.75" hidden="false" customHeight="false" outlineLevel="0" collapsed="false">
      <c r="AV169" s="1"/>
    </row>
    <row r="170" customFormat="false" ht="15.75" hidden="false" customHeight="false" outlineLevel="0" collapsed="false">
      <c r="AV170" s="1"/>
    </row>
    <row r="171" customFormat="false" ht="15.75" hidden="false" customHeight="false" outlineLevel="0" collapsed="false">
      <c r="AV171" s="1"/>
    </row>
    <row r="172" customFormat="false" ht="15.75" hidden="false" customHeight="false" outlineLevel="0" collapsed="false">
      <c r="AV172" s="1"/>
    </row>
    <row r="173" customFormat="false" ht="15.75" hidden="false" customHeight="true" outlineLevel="0" collapsed="false">
      <c r="AV173" s="1"/>
    </row>
    <row r="174" customFormat="false" ht="15.75" hidden="false" customHeight="true" outlineLevel="0" collapsed="false">
      <c r="AV174" s="1"/>
    </row>
    <row r="175" customFormat="false" ht="15.75" hidden="false" customHeight="true" outlineLevel="0" collapsed="false">
      <c r="AV175" s="1"/>
    </row>
    <row r="176" customFormat="false" ht="15.75" hidden="false" customHeight="true" outlineLevel="0" collapsed="false">
      <c r="AV176" s="1"/>
    </row>
    <row r="177" customFormat="false" ht="15.75" hidden="false" customHeight="true" outlineLevel="0" collapsed="false">
      <c r="AV177" s="1"/>
    </row>
    <row r="178" customFormat="false" ht="15.75" hidden="false" customHeight="true" outlineLevel="0" collapsed="false">
      <c r="AV178" s="1"/>
    </row>
    <row r="179" customFormat="false" ht="15.75" hidden="false" customHeight="true" outlineLevel="0" collapsed="false">
      <c r="AV179" s="1"/>
    </row>
    <row r="180" customFormat="false" ht="15.75" hidden="false" customHeight="true" outlineLevel="0" collapsed="false">
      <c r="AV180" s="1"/>
    </row>
    <row r="181" customFormat="false" ht="15.75" hidden="false" customHeight="true" outlineLevel="0" collapsed="false">
      <c r="AV181" s="1"/>
    </row>
    <row r="182" customFormat="false" ht="15.75" hidden="false" customHeight="true" outlineLevel="0" collapsed="false">
      <c r="AV182" s="1"/>
    </row>
    <row r="183" customFormat="false" ht="15.75" hidden="false" customHeight="true" outlineLevel="0" collapsed="false">
      <c r="AV183" s="1"/>
    </row>
    <row r="184" customFormat="false" ht="15.75" hidden="false" customHeight="true" outlineLevel="0" collapsed="false">
      <c r="AV184" s="1"/>
    </row>
    <row r="185" customFormat="false" ht="15.75" hidden="false" customHeight="true" outlineLevel="0" collapsed="false">
      <c r="AV185" s="1"/>
    </row>
    <row r="186" customFormat="false" ht="15.75" hidden="false" customHeight="true" outlineLevel="0" collapsed="false">
      <c r="AV186" s="1"/>
    </row>
    <row r="187" customFormat="false" ht="15.75" hidden="false" customHeight="true" outlineLevel="0" collapsed="false">
      <c r="AV187" s="1"/>
    </row>
    <row r="188" customFormat="false" ht="15.75" hidden="false" customHeight="true" outlineLevel="0" collapsed="false">
      <c r="AV188" s="1"/>
    </row>
    <row r="189" customFormat="false" ht="15.75" hidden="false" customHeight="true" outlineLevel="0" collapsed="false">
      <c r="AV189" s="1"/>
    </row>
    <row r="190" customFormat="false" ht="15.75" hidden="false" customHeight="true" outlineLevel="0" collapsed="false">
      <c r="AV190" s="1"/>
    </row>
    <row r="191" customFormat="false" ht="15.75" hidden="false" customHeight="true" outlineLevel="0" collapsed="false">
      <c r="AV191" s="1"/>
    </row>
    <row r="192" customFormat="false" ht="15.75" hidden="false" customHeight="true" outlineLevel="0" collapsed="false">
      <c r="AV192" s="1"/>
    </row>
    <row r="193" customFormat="false" ht="15.75" hidden="false" customHeight="true" outlineLevel="0" collapsed="false">
      <c r="AV193" s="1"/>
    </row>
    <row r="194" customFormat="false" ht="15.75" hidden="false" customHeight="true" outlineLevel="0" collapsed="false">
      <c r="AV194" s="1"/>
    </row>
    <row r="195" customFormat="false" ht="15.75" hidden="false" customHeight="true" outlineLevel="0" collapsed="false">
      <c r="AV195" s="1"/>
    </row>
    <row r="196" customFormat="false" ht="15.75" hidden="false" customHeight="true" outlineLevel="0" collapsed="false">
      <c r="AV196" s="1"/>
    </row>
    <row r="197" customFormat="false" ht="15.75" hidden="false" customHeight="true" outlineLevel="0" collapsed="false">
      <c r="AV197" s="1"/>
    </row>
    <row r="198" customFormat="false" ht="15.75" hidden="false" customHeight="true" outlineLevel="0" collapsed="false">
      <c r="AV198" s="1"/>
    </row>
    <row r="199" customFormat="false" ht="15.75" hidden="false" customHeight="true" outlineLevel="0" collapsed="false">
      <c r="AV199" s="1"/>
    </row>
    <row r="200" customFormat="false" ht="15.75" hidden="false" customHeight="true" outlineLevel="0" collapsed="false">
      <c r="AV200" s="1"/>
    </row>
    <row r="201" customFormat="false" ht="15.75" hidden="false" customHeight="true" outlineLevel="0" collapsed="false">
      <c r="AV201" s="1"/>
    </row>
    <row r="202" customFormat="false" ht="15.75" hidden="false" customHeight="true" outlineLevel="0" collapsed="false">
      <c r="AV202" s="1"/>
    </row>
    <row r="203" customFormat="false" ht="15.75" hidden="false" customHeight="true" outlineLevel="0" collapsed="false">
      <c r="AV203" s="1"/>
    </row>
    <row r="204" customFormat="false" ht="15.75" hidden="false" customHeight="true" outlineLevel="0" collapsed="false">
      <c r="AV204" s="1"/>
    </row>
    <row r="205" customFormat="false" ht="15.75" hidden="false" customHeight="true" outlineLevel="0" collapsed="false">
      <c r="AV205" s="1"/>
    </row>
    <row r="206" customFormat="false" ht="15.75" hidden="false" customHeight="true" outlineLevel="0" collapsed="false">
      <c r="AV206" s="1"/>
    </row>
    <row r="207" customFormat="false" ht="15.75" hidden="false" customHeight="true" outlineLevel="0" collapsed="false">
      <c r="AV207" s="1"/>
    </row>
    <row r="208" customFormat="false" ht="15.75" hidden="false" customHeight="true" outlineLevel="0" collapsed="false">
      <c r="AV208" s="1"/>
    </row>
    <row r="209" customFormat="false" ht="15.75" hidden="false" customHeight="true" outlineLevel="0" collapsed="false">
      <c r="AV209" s="1"/>
    </row>
    <row r="210" customFormat="false" ht="15.75" hidden="false" customHeight="true" outlineLevel="0" collapsed="false">
      <c r="AV210" s="1"/>
    </row>
    <row r="211" customFormat="false" ht="15.75" hidden="false" customHeight="true" outlineLevel="0" collapsed="false">
      <c r="AV211" s="1"/>
    </row>
    <row r="212" customFormat="false" ht="15.75" hidden="false" customHeight="true" outlineLevel="0" collapsed="false">
      <c r="AV212" s="1"/>
    </row>
    <row r="213" customFormat="false" ht="15.75" hidden="false" customHeight="true" outlineLevel="0" collapsed="false">
      <c r="AV213" s="1"/>
    </row>
    <row r="214" customFormat="false" ht="15.75" hidden="false" customHeight="true" outlineLevel="0" collapsed="false">
      <c r="AV214" s="1"/>
    </row>
    <row r="215" customFormat="false" ht="15.75" hidden="false" customHeight="true" outlineLevel="0" collapsed="false">
      <c r="AV215" s="1"/>
    </row>
    <row r="216" customFormat="false" ht="15.75" hidden="false" customHeight="true" outlineLevel="0" collapsed="false">
      <c r="AV216" s="1"/>
    </row>
    <row r="217" customFormat="false" ht="15.75" hidden="false" customHeight="true" outlineLevel="0" collapsed="false">
      <c r="AV217" s="1"/>
    </row>
    <row r="218" customFormat="false" ht="15.75" hidden="false" customHeight="true" outlineLevel="0" collapsed="false">
      <c r="AV218" s="1"/>
    </row>
    <row r="219" customFormat="false" ht="15.75" hidden="false" customHeight="true" outlineLevel="0" collapsed="false">
      <c r="AV219" s="1"/>
    </row>
    <row r="220" customFormat="false" ht="15.75" hidden="false" customHeight="true" outlineLevel="0" collapsed="false">
      <c r="AV220" s="1"/>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6:AU6"/>
  <mergeCells count="37">
    <mergeCell ref="A2:B2"/>
    <mergeCell ref="C2:E2"/>
    <mergeCell ref="A3:B3"/>
    <mergeCell ref="C3:E3"/>
    <mergeCell ref="G3:H3"/>
    <mergeCell ref="I3:J3"/>
    <mergeCell ref="A4:B4"/>
    <mergeCell ref="C4:E4"/>
    <mergeCell ref="G4:H4"/>
    <mergeCell ref="I4:J4"/>
    <mergeCell ref="A5:C5"/>
    <mergeCell ref="D5:I5"/>
    <mergeCell ref="J5:M5"/>
    <mergeCell ref="N5:S5"/>
    <mergeCell ref="T5:Y5"/>
    <mergeCell ref="Z5:AE5"/>
    <mergeCell ref="AF5:AK5"/>
    <mergeCell ref="AL5:AQ5"/>
    <mergeCell ref="AR5:AU5"/>
    <mergeCell ref="C7:AU7"/>
    <mergeCell ref="C9:AU9"/>
    <mergeCell ref="C17:AU17"/>
    <mergeCell ref="C19:AU19"/>
    <mergeCell ref="C22:AU22"/>
    <mergeCell ref="C27:AU27"/>
    <mergeCell ref="C31:AU31"/>
    <mergeCell ref="C33:AU33"/>
    <mergeCell ref="C35:AU35"/>
    <mergeCell ref="C39:AU39"/>
    <mergeCell ref="C42:AU42"/>
    <mergeCell ref="C45:AU45"/>
    <mergeCell ref="C50:AU50"/>
    <mergeCell ref="C53:AU53"/>
    <mergeCell ref="C59:AU59"/>
    <mergeCell ref="C64:AU64"/>
    <mergeCell ref="C67:AU67"/>
    <mergeCell ref="C70:AU70"/>
  </mergeCells>
  <conditionalFormatting sqref="O7:O500 P7:P500 U7:U500 V7:V500 AA7:AA500 AB7:AB500 AG7:AG500 AH7:AH500 AM7:AM500 AN7:AN500 AS7:AS500 AT7:AT500">
    <cfRule type="cellIs" priority="2" operator="equal" aboveAverage="0" equalAverage="0" bottom="0" percent="0" rank="0" text="" dxfId="0">
      <formula>"Pass"</formula>
    </cfRule>
    <cfRule type="cellIs" priority="3" operator="equal" aboveAverage="0" equalAverage="0" bottom="0" percent="0" rank="0" text="" dxfId="1">
      <formula>"Fail"</formula>
    </cfRule>
    <cfRule type="cellIs" priority="4" operator="equal" aboveAverage="0" equalAverage="0" bottom="0" percent="0" rank="0" text="" dxfId="2">
      <formula>"Block"</formula>
    </cfRule>
    <cfRule type="cellIs" priority="5" operator="equal" aboveAverage="0" equalAverage="0" bottom="0" percent="0" rank="0" text="" dxfId="3">
      <formula>"N/A"</formula>
    </cfRule>
  </conditionalFormatting>
  <dataValidations count="8">
    <dataValidation allowBlank="true" errorStyle="stop" operator="between" showDropDown="false" showErrorMessage="false" showInputMessage="false" sqref="J7:J500" type="list">
      <formula1>"AI,QC"</formula1>
      <formula2>0</formula2>
    </dataValidation>
    <dataValidation allowBlank="true" errorStyle="stop" operator="between" showDropDown="false" showErrorMessage="false" showInputMessage="false" sqref="E7:E500" type="list">
      <formula1>"High,Medium,Low"</formula1>
      <formula2>0</formula2>
    </dataValidation>
    <dataValidation allowBlank="true" errorStyle="stop" operator="between" showDropDown="false" showErrorMessage="false" showInputMessage="false" sqref="P7:P500 V7:V500 AB7:AB500 AH7:AH500 AN7:AN500" type="list">
      <formula1>"Pass,Fail,Block,N/A"</formula1>
      <formula2>0</formula2>
    </dataValidation>
    <dataValidation allowBlank="true" errorStyle="stop" operator="between" showDropDown="false" showErrorMessage="false" showInputMessage="false" sqref="N7:N500 T7:T500 Z7:Z500 AF7:AF500 AL7:AL500" type="list">
      <formula1>"Yes,No,N/A"</formula1>
      <formula2>0</formula2>
    </dataValidation>
    <dataValidation allowBlank="true" errorStyle="stop" operator="between" showDropDown="false" showErrorMessage="false" showInputMessage="false" sqref="O7:O500 U7:U500 AA7:AA500 AG7:AG500 AM7:AM500" type="list">
      <formula1>"Pass,Fail,Block,N/A,Chưa chạy"</formula1>
      <formula2>0</formula2>
    </dataValidation>
    <dataValidation allowBlank="true" errorStyle="stop" operator="between" showDropDown="false" showErrorMessage="false" showInputMessage="false" sqref="D7:D500" type="list">
      <formula1>"Functional,UI,Integration,Database Test Case"</formula1>
      <formula2>0</formula2>
    </dataValidation>
    <dataValidation allowBlank="true" errorStyle="stop" operator="between" showDropDown="false" showErrorMessage="false" showInputMessage="false" sqref="K7:K500" type="list">
      <formula1>"Reviewed,Pending,N/A"</formula1>
      <formula2>0</formula2>
    </dataValidation>
    <dataValidation allowBlank="true" errorStyle="stop" operator="between" showDropDown="false" showErrorMessage="false" showInputMessage="false" sqref="L7:L500"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V1000"/>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1" ySplit="6" topLeftCell="AA7" activePane="bottomRight" state="frozen"/>
      <selection pane="topLeft" activeCell="A1" activeCellId="0" sqref="A1"/>
      <selection pane="topRight" activeCell="AA1" activeCellId="0" sqref="AA1"/>
      <selection pane="bottomLeft" activeCell="A7" activeCellId="0" sqref="A7"/>
      <selection pane="bottomRight" activeCell="AX9" activeCellId="0" sqref="AX9"/>
    </sheetView>
  </sheetViews>
  <sheetFormatPr defaultColWidth="14.43359375" defaultRowHeight="15" customHeight="true" zeroHeight="false" outlineLevelRow="0" outlineLevelCol="0"/>
  <cols>
    <col collapsed="false" customWidth="true" hidden="false" outlineLevel="0" max="2" min="1" style="1" width="14"/>
    <col collapsed="false" customWidth="true" hidden="false" outlineLevel="0" max="4" min="3" style="1" width="13"/>
    <col collapsed="false" customWidth="true" hidden="false" outlineLevel="0" max="5" min="5" style="1" width="11"/>
    <col collapsed="false" customWidth="true" hidden="false" outlineLevel="0" max="6" min="6" style="1" width="34"/>
    <col collapsed="false" customWidth="true" hidden="false" outlineLevel="0" max="7" min="7" style="1" width="28"/>
    <col collapsed="false" customWidth="true" hidden="false" outlineLevel="0" max="8" min="8" style="1" width="40"/>
    <col collapsed="false" customWidth="true" hidden="false" outlineLevel="0" max="9" min="9" style="1" width="34"/>
    <col collapsed="false" customWidth="true" hidden="false" outlineLevel="0" max="10" min="10" style="1" width="10"/>
    <col collapsed="false" customWidth="true" hidden="false" outlineLevel="0" max="11" min="11" style="1" width="12.43"/>
    <col collapsed="false" customWidth="true" hidden="false" outlineLevel="0" max="12" min="12" style="1" width="14"/>
    <col collapsed="false" customWidth="true" hidden="false" outlineLevel="0" max="13" min="13" style="1" width="26.16"/>
    <col collapsed="false" customWidth="true" hidden="false" outlineLevel="0" max="14" min="14" style="1" width="9"/>
    <col collapsed="false" customWidth="true" hidden="false" outlineLevel="0" max="15" min="15" style="1" width="10"/>
    <col collapsed="false" customWidth="true" hidden="false" outlineLevel="0" max="16" min="16" style="1" width="9"/>
    <col collapsed="false" customWidth="true" hidden="false" outlineLevel="0" max="17" min="17" style="1" width="13"/>
    <col collapsed="false" customWidth="true" hidden="false" outlineLevel="0" max="18" min="18" style="1" width="11"/>
    <col collapsed="false" customWidth="true" hidden="false" outlineLevel="0" max="19" min="19" style="1" width="22"/>
    <col collapsed="false" customWidth="true" hidden="false" outlineLevel="0" max="20" min="20" style="1" width="9"/>
    <col collapsed="false" customWidth="true" hidden="false" outlineLevel="0" max="21" min="21" style="1" width="10"/>
    <col collapsed="false" customWidth="true" hidden="false" outlineLevel="0" max="22" min="22" style="1" width="9"/>
    <col collapsed="false" customWidth="true" hidden="false" outlineLevel="0" max="23" min="23" style="1" width="13"/>
    <col collapsed="false" customWidth="true" hidden="false" outlineLevel="0" max="24" min="24" style="1" width="11"/>
    <col collapsed="false" customWidth="true" hidden="false" outlineLevel="0" max="25" min="25" style="1" width="22"/>
    <col collapsed="false" customWidth="true" hidden="false" outlineLevel="0" max="26" min="26" style="1" width="9"/>
    <col collapsed="false" customWidth="true" hidden="false" outlineLevel="0" max="27" min="27" style="1" width="10"/>
    <col collapsed="false" customWidth="true" hidden="false" outlineLevel="0" max="28" min="28" style="1" width="9"/>
    <col collapsed="false" customWidth="true" hidden="false" outlineLevel="0" max="29" min="29" style="1" width="13"/>
    <col collapsed="false" customWidth="true" hidden="false" outlineLevel="0" max="30" min="30" style="1" width="11"/>
    <col collapsed="false" customWidth="true" hidden="false" outlineLevel="0" max="31" min="31" style="1" width="22"/>
    <col collapsed="false" customWidth="true" hidden="false" outlineLevel="0" max="32" min="32" style="1" width="9"/>
    <col collapsed="false" customWidth="true" hidden="false" outlineLevel="0" max="33" min="33" style="1" width="10"/>
    <col collapsed="false" customWidth="true" hidden="false" outlineLevel="0" max="34" min="34" style="1" width="9"/>
    <col collapsed="false" customWidth="true" hidden="false" outlineLevel="0" max="35" min="35" style="1" width="13"/>
    <col collapsed="false" customWidth="true" hidden="false" outlineLevel="0" max="36" min="36" style="1" width="11"/>
    <col collapsed="false" customWidth="true" hidden="false" outlineLevel="0" max="37" min="37" style="1" width="22"/>
    <col collapsed="false" customWidth="true" hidden="false" outlineLevel="0" max="38" min="38" style="1" width="9"/>
    <col collapsed="false" customWidth="true" hidden="false" outlineLevel="0" max="39" min="39" style="1" width="10"/>
    <col collapsed="false" customWidth="true" hidden="false" outlineLevel="0" max="40" min="40" style="1" width="9"/>
    <col collapsed="false" customWidth="true" hidden="false" outlineLevel="0" max="41" min="41" style="1" width="13"/>
    <col collapsed="false" customWidth="true" hidden="false" outlineLevel="0" max="42" min="42" style="1" width="11"/>
    <col collapsed="false" customWidth="true" hidden="false" outlineLevel="0" max="43" min="43" style="1" width="22"/>
    <col collapsed="false" customWidth="true" hidden="false" outlineLevel="0" max="44" min="44" style="1" width="12"/>
    <col collapsed="false" customWidth="true" hidden="false" outlineLevel="0" max="45" min="45" style="1" width="14"/>
    <col collapsed="false" customWidth="true" hidden="false" outlineLevel="0" max="46" min="46" style="1" width="11"/>
    <col collapsed="false" customWidth="true" hidden="false" outlineLevel="0" max="47" min="47" style="1" width="24"/>
  </cols>
  <sheetData>
    <row r="1" customFormat="false" ht="15" hidden="false" customHeight="true" outlineLevel="0" collapsed="false">
      <c r="A1" s="172"/>
    </row>
    <row r="2" customFormat="false" ht="15" hidden="false" customHeight="true" outlineLevel="0" collapsed="false">
      <c r="A2" s="180" t="s">
        <v>629</v>
      </c>
      <c r="B2" s="180"/>
      <c r="C2" s="181" t="s">
        <v>213</v>
      </c>
      <c r="D2" s="181"/>
      <c r="E2" s="181"/>
    </row>
    <row r="3" customFormat="false" ht="15" hidden="false" customHeight="true" outlineLevel="0" collapsed="false">
      <c r="A3" s="180" t="s">
        <v>630</v>
      </c>
      <c r="B3" s="180"/>
      <c r="C3" s="181" t="s">
        <v>214</v>
      </c>
      <c r="D3" s="181"/>
      <c r="E3" s="181"/>
      <c r="G3" s="180" t="s">
        <v>82</v>
      </c>
      <c r="H3" s="180"/>
      <c r="I3" s="38" t="str">
        <f aca="false">Summary!$C$8</f>
        <v>v1.1</v>
      </c>
      <c r="J3" s="38"/>
    </row>
    <row r="4" customFormat="false" ht="15" hidden="false" customHeight="true" outlineLevel="0" collapsed="false">
      <c r="A4" s="180" t="s">
        <v>145</v>
      </c>
      <c r="B4" s="180"/>
      <c r="C4" s="38" t="str">
        <f aca="false">TEXT(Summary!$C$10,"DD/MM/YYYY")&amp;"  →  "&amp;TEXT(Summary!$C$11,"DD/MM/YYYY")</f>
        <v>18/09/2026  →  25/09/2026</v>
      </c>
      <c r="D4" s="38"/>
      <c r="E4" s="38"/>
      <c r="G4" s="180" t="s">
        <v>103</v>
      </c>
      <c r="H4" s="180"/>
      <c r="I4" s="38" t="str">
        <f aca="false">Summary!$C$13</f>
        <v>GiangDC2</v>
      </c>
      <c r="J4" s="38"/>
    </row>
    <row r="5" customFormat="false" ht="15" hidden="false" customHeight="true" outlineLevel="0" collapsed="false">
      <c r="A5" s="182" t="s">
        <v>631</v>
      </c>
      <c r="B5" s="182"/>
      <c r="C5" s="182"/>
      <c r="D5" s="117" t="s">
        <v>632</v>
      </c>
      <c r="E5" s="117"/>
      <c r="F5" s="117"/>
      <c r="G5" s="117"/>
      <c r="H5" s="117"/>
      <c r="I5" s="117"/>
      <c r="J5" s="136" t="s">
        <v>58</v>
      </c>
      <c r="K5" s="136"/>
      <c r="L5" s="136"/>
      <c r="M5" s="136"/>
      <c r="N5" s="183" t="s">
        <v>633</v>
      </c>
      <c r="O5" s="183"/>
      <c r="P5" s="183"/>
      <c r="Q5" s="183"/>
      <c r="R5" s="183"/>
      <c r="S5" s="183"/>
      <c r="T5" s="184" t="s">
        <v>634</v>
      </c>
      <c r="U5" s="184"/>
      <c r="V5" s="184"/>
      <c r="W5" s="184"/>
      <c r="X5" s="184"/>
      <c r="Y5" s="184"/>
      <c r="Z5" s="183" t="s">
        <v>635</v>
      </c>
      <c r="AA5" s="183"/>
      <c r="AB5" s="183"/>
      <c r="AC5" s="183"/>
      <c r="AD5" s="183"/>
      <c r="AE5" s="183"/>
      <c r="AF5" s="184" t="s">
        <v>636</v>
      </c>
      <c r="AG5" s="184"/>
      <c r="AH5" s="184"/>
      <c r="AI5" s="184"/>
      <c r="AJ5" s="184"/>
      <c r="AK5" s="184"/>
      <c r="AL5" s="183" t="s">
        <v>637</v>
      </c>
      <c r="AM5" s="183"/>
      <c r="AN5" s="183"/>
      <c r="AO5" s="183"/>
      <c r="AP5" s="183"/>
      <c r="AQ5" s="183"/>
      <c r="AR5" s="185" t="s">
        <v>638</v>
      </c>
      <c r="AS5" s="185"/>
      <c r="AT5" s="185"/>
      <c r="AU5" s="185"/>
    </row>
    <row r="6" customFormat="false" ht="30" hidden="false" customHeight="true" outlineLevel="0" collapsed="false">
      <c r="A6" s="186" t="s">
        <v>639</v>
      </c>
      <c r="B6" s="186" t="s">
        <v>405</v>
      </c>
      <c r="C6" s="186" t="s">
        <v>640</v>
      </c>
      <c r="D6" s="125" t="s">
        <v>40</v>
      </c>
      <c r="E6" s="125" t="s">
        <v>32</v>
      </c>
      <c r="F6" s="125" t="s">
        <v>641</v>
      </c>
      <c r="G6" s="125" t="s">
        <v>642</v>
      </c>
      <c r="H6" s="125" t="s">
        <v>643</v>
      </c>
      <c r="I6" s="125" t="s">
        <v>644</v>
      </c>
      <c r="J6" s="175" t="s">
        <v>645</v>
      </c>
      <c r="K6" s="175" t="s">
        <v>62</v>
      </c>
      <c r="L6" s="175" t="s">
        <v>64</v>
      </c>
      <c r="M6" s="175" t="s">
        <v>66</v>
      </c>
      <c r="N6" s="187" t="s">
        <v>68</v>
      </c>
      <c r="O6" s="187" t="s">
        <v>70</v>
      </c>
      <c r="P6" s="187" t="s">
        <v>646</v>
      </c>
      <c r="Q6" s="187" t="s">
        <v>647</v>
      </c>
      <c r="R6" s="187" t="s">
        <v>648</v>
      </c>
      <c r="S6" s="187" t="s">
        <v>265</v>
      </c>
      <c r="T6" s="187" t="s">
        <v>68</v>
      </c>
      <c r="U6" s="187" t="s">
        <v>70</v>
      </c>
      <c r="V6" s="187" t="s">
        <v>646</v>
      </c>
      <c r="W6" s="187" t="s">
        <v>647</v>
      </c>
      <c r="X6" s="187" t="s">
        <v>648</v>
      </c>
      <c r="Y6" s="187" t="s">
        <v>265</v>
      </c>
      <c r="Z6" s="187" t="s">
        <v>68</v>
      </c>
      <c r="AA6" s="187" t="s">
        <v>70</v>
      </c>
      <c r="AB6" s="187" t="s">
        <v>646</v>
      </c>
      <c r="AC6" s="187" t="s">
        <v>647</v>
      </c>
      <c r="AD6" s="187" t="s">
        <v>648</v>
      </c>
      <c r="AE6" s="187" t="s">
        <v>265</v>
      </c>
      <c r="AF6" s="187" t="s">
        <v>68</v>
      </c>
      <c r="AG6" s="187" t="s">
        <v>70</v>
      </c>
      <c r="AH6" s="187" t="s">
        <v>646</v>
      </c>
      <c r="AI6" s="187" t="s">
        <v>647</v>
      </c>
      <c r="AJ6" s="187" t="s">
        <v>648</v>
      </c>
      <c r="AK6" s="187" t="s">
        <v>265</v>
      </c>
      <c r="AL6" s="187" t="s">
        <v>68</v>
      </c>
      <c r="AM6" s="187" t="s">
        <v>70</v>
      </c>
      <c r="AN6" s="187" t="s">
        <v>646</v>
      </c>
      <c r="AO6" s="187" t="s">
        <v>647</v>
      </c>
      <c r="AP6" s="187" t="s">
        <v>648</v>
      </c>
      <c r="AQ6" s="187" t="s">
        <v>265</v>
      </c>
      <c r="AR6" s="188" t="s">
        <v>649</v>
      </c>
      <c r="AS6" s="188" t="s">
        <v>650</v>
      </c>
      <c r="AT6" s="188" t="s">
        <v>50</v>
      </c>
      <c r="AU6" s="188" t="s">
        <v>651</v>
      </c>
    </row>
    <row r="7" customFormat="false" ht="60" hidden="false" customHeight="true" outlineLevel="0" collapsed="false">
      <c r="A7" s="189"/>
      <c r="B7" s="189"/>
      <c r="C7" s="190" t="s">
        <v>1281</v>
      </c>
      <c r="D7" s="190"/>
      <c r="E7" s="190"/>
      <c r="F7" s="190"/>
      <c r="G7" s="190"/>
      <c r="H7" s="190"/>
      <c r="I7" s="190"/>
      <c r="J7" s="190"/>
      <c r="K7" s="190"/>
      <c r="L7" s="190"/>
      <c r="M7" s="190"/>
      <c r="N7" s="190"/>
      <c r="O7" s="190"/>
      <c r="P7" s="190"/>
      <c r="Q7" s="190"/>
      <c r="R7" s="190"/>
      <c r="S7" s="190"/>
      <c r="T7" s="190"/>
      <c r="U7" s="190"/>
      <c r="V7" s="190"/>
      <c r="W7" s="190"/>
      <c r="X7" s="190"/>
      <c r="Y7" s="190"/>
      <c r="Z7" s="190"/>
      <c r="AA7" s="190"/>
      <c r="AB7" s="190"/>
      <c r="AC7" s="190"/>
      <c r="AD7" s="190"/>
      <c r="AE7" s="190"/>
      <c r="AF7" s="190"/>
      <c r="AG7" s="190"/>
      <c r="AH7" s="190"/>
      <c r="AI7" s="190"/>
      <c r="AJ7" s="190"/>
      <c r="AK7" s="190"/>
      <c r="AL7" s="190"/>
      <c r="AM7" s="190"/>
      <c r="AN7" s="190"/>
      <c r="AO7" s="190"/>
      <c r="AP7" s="190"/>
      <c r="AQ7" s="190"/>
      <c r="AR7" s="190"/>
      <c r="AS7" s="190"/>
      <c r="AT7" s="190"/>
      <c r="AU7" s="190"/>
    </row>
    <row r="8" customFormat="false" ht="60" hidden="false" customHeight="true" outlineLevel="0" collapsed="false">
      <c r="A8" s="191" t="str">
        <f aca="false">IF($F8="","",$C$2&amp;"."&amp;COUNTA($F$7:$F8)&amp;"")</f>
        <v>TC_10.1</v>
      </c>
      <c r="B8" s="191" t="s">
        <v>607</v>
      </c>
      <c r="C8" s="191" t="s">
        <v>840</v>
      </c>
      <c r="D8" s="191" t="s">
        <v>41</v>
      </c>
      <c r="E8" s="191" t="s">
        <v>158</v>
      </c>
      <c r="F8" s="13" t="s">
        <v>1282</v>
      </c>
      <c r="G8" s="13" t="s">
        <v>800</v>
      </c>
      <c r="H8" s="13" t="s">
        <v>1283</v>
      </c>
      <c r="I8" s="13" t="s">
        <v>1284</v>
      </c>
      <c r="J8" s="191" t="s">
        <v>658</v>
      </c>
      <c r="K8" s="191" t="s">
        <v>245</v>
      </c>
      <c r="L8" s="191"/>
      <c r="M8" s="191"/>
      <c r="N8" s="192"/>
      <c r="O8" s="192"/>
      <c r="P8" s="192"/>
      <c r="Q8" s="192"/>
      <c r="R8" s="192"/>
      <c r="S8" s="192"/>
      <c r="T8" s="192"/>
      <c r="U8" s="192"/>
      <c r="V8" s="192"/>
      <c r="W8" s="192"/>
      <c r="X8" s="192"/>
      <c r="Y8" s="192"/>
      <c r="Z8" s="192"/>
      <c r="AA8" s="192"/>
      <c r="AB8" s="192"/>
      <c r="AC8" s="192"/>
      <c r="AD8" s="192"/>
      <c r="AE8" s="192"/>
      <c r="AF8" s="192"/>
      <c r="AG8" s="192"/>
      <c r="AH8" s="192"/>
      <c r="AI8" s="192"/>
      <c r="AJ8" s="192"/>
      <c r="AK8" s="192"/>
      <c r="AL8" s="192"/>
      <c r="AM8" s="192"/>
      <c r="AN8" s="192"/>
      <c r="AO8" s="192"/>
      <c r="AP8" s="192"/>
      <c r="AQ8" s="192"/>
      <c r="AR8" s="193" t="str">
        <f aca="false">IF($A8="","",IF(OR($N8="Yes",$T8="Yes",$Z8="Yes",$AF8="Yes",$AL8="Yes"),"Yes","No"))</f>
        <v>No</v>
      </c>
      <c r="AS8" s="193" t="str">
        <f aca="false">IF($A8="","",IFERROR(IF($AM8&lt;&gt;"",$AM8,IF($AG8&lt;&gt;"",$AG8,IF($AA8&lt;&gt;"",$AA8,IF($U8&lt;&gt;"",$U8,IF($O8&lt;&gt;"",$O8,""))))),""))</f>
        <v/>
      </c>
      <c r="AT8" s="193" t="str">
        <f aca="false">IFERROR(IF($AN8&lt;&gt;"",$AN8,IF($AH8&lt;&gt;"",$AH8,IF($AB8&lt;&gt;"",$AB8,IF($V8&lt;&gt;"",$V8,IF($P8&lt;&gt;"",$P8,""))))),"")</f>
        <v/>
      </c>
      <c r="AU8" s="194"/>
    </row>
    <row r="9" customFormat="false" ht="60" hidden="false" customHeight="true" outlineLevel="0" collapsed="false">
      <c r="A9" s="191" t="str">
        <f aca="false">IF($F9="","",$C$2&amp;"."&amp;COUNTA($F$7:$F9)&amp;"")</f>
        <v>TC_10.2</v>
      </c>
      <c r="B9" s="191" t="s">
        <v>607</v>
      </c>
      <c r="C9" s="191" t="s">
        <v>840</v>
      </c>
      <c r="D9" s="191" t="s">
        <v>41</v>
      </c>
      <c r="E9" s="191" t="s">
        <v>158</v>
      </c>
      <c r="F9" s="13" t="s">
        <v>1285</v>
      </c>
      <c r="G9" s="13" t="s">
        <v>1286</v>
      </c>
      <c r="H9" s="13" t="s">
        <v>1287</v>
      </c>
      <c r="I9" s="13" t="s">
        <v>1288</v>
      </c>
      <c r="J9" s="191" t="s">
        <v>658</v>
      </c>
      <c r="K9" s="191" t="s">
        <v>245</v>
      </c>
      <c r="L9" s="191"/>
      <c r="M9" s="191"/>
      <c r="N9" s="192"/>
      <c r="O9" s="192"/>
      <c r="P9" s="192"/>
      <c r="Q9" s="192"/>
      <c r="R9" s="192"/>
      <c r="S9" s="192"/>
      <c r="T9" s="192"/>
      <c r="U9" s="192"/>
      <c r="V9" s="192"/>
      <c r="W9" s="192"/>
      <c r="X9" s="192"/>
      <c r="Y9" s="192"/>
      <c r="Z9" s="192"/>
      <c r="AA9" s="192"/>
      <c r="AB9" s="192"/>
      <c r="AC9" s="192"/>
      <c r="AD9" s="192"/>
      <c r="AE9" s="192"/>
      <c r="AF9" s="192"/>
      <c r="AG9" s="192"/>
      <c r="AH9" s="192"/>
      <c r="AI9" s="192"/>
      <c r="AJ9" s="192"/>
      <c r="AK9" s="192"/>
      <c r="AL9" s="192"/>
      <c r="AM9" s="192"/>
      <c r="AN9" s="192"/>
      <c r="AO9" s="192"/>
      <c r="AP9" s="192"/>
      <c r="AQ9" s="192"/>
      <c r="AR9" s="193" t="str">
        <f aca="false">IF($A9="","",IF(OR($N9="Yes",$T9="Yes",$Z9="Yes",$AF9="Yes",$AL9="Yes"),"Yes","No"))</f>
        <v>No</v>
      </c>
      <c r="AS9" s="193" t="str">
        <f aca="false">IF($A9="","",IFERROR(IF($AM9&lt;&gt;"",$AM9,IF($AG9&lt;&gt;"",$AG9,IF($AA9&lt;&gt;"",$AA9,IF($U9&lt;&gt;"",$U9,IF($O9&lt;&gt;"",$O9,""))))),""))</f>
        <v/>
      </c>
      <c r="AT9" s="193" t="str">
        <f aca="false">IFERROR(IF($AN9&lt;&gt;"",$AN9,IF($AH9&lt;&gt;"",$AH9,IF($AB9&lt;&gt;"",$AB9,IF($V9&lt;&gt;"",$V9,IF($P9&lt;&gt;"",$P9,""))))),"")</f>
        <v/>
      </c>
      <c r="AU9" s="194"/>
    </row>
    <row r="10" customFormat="false" ht="15" hidden="false" customHeight="true" outlineLevel="0" collapsed="false">
      <c r="A10" s="189"/>
      <c r="B10" s="189"/>
      <c r="C10" s="190" t="s">
        <v>1289</v>
      </c>
      <c r="D10" s="190"/>
      <c r="E10" s="190"/>
      <c r="F10" s="190"/>
      <c r="G10" s="190"/>
      <c r="H10" s="190"/>
      <c r="I10" s="190"/>
      <c r="J10" s="190"/>
      <c r="K10" s="190"/>
      <c r="L10" s="190"/>
      <c r="M10" s="190"/>
      <c r="N10" s="190"/>
      <c r="O10" s="190"/>
      <c r="P10" s="190"/>
      <c r="Q10" s="190"/>
      <c r="R10" s="190"/>
      <c r="S10" s="190"/>
      <c r="T10" s="190"/>
      <c r="U10" s="190"/>
      <c r="V10" s="190"/>
      <c r="W10" s="190"/>
      <c r="X10" s="190"/>
      <c r="Y10" s="190"/>
      <c r="Z10" s="190"/>
      <c r="AA10" s="190"/>
      <c r="AB10" s="190"/>
      <c r="AC10" s="190"/>
      <c r="AD10" s="190"/>
      <c r="AE10" s="190"/>
      <c r="AF10" s="190"/>
      <c r="AG10" s="190"/>
      <c r="AH10" s="190"/>
      <c r="AI10" s="190"/>
      <c r="AJ10" s="190"/>
      <c r="AK10" s="190"/>
      <c r="AL10" s="190"/>
      <c r="AM10" s="190"/>
      <c r="AN10" s="190"/>
      <c r="AO10" s="190"/>
      <c r="AP10" s="190"/>
      <c r="AQ10" s="190"/>
      <c r="AR10" s="190"/>
      <c r="AS10" s="190"/>
      <c r="AT10" s="190"/>
      <c r="AU10" s="190"/>
    </row>
    <row r="11" customFormat="false" ht="157.5" hidden="false" customHeight="true" outlineLevel="0" collapsed="false">
      <c r="A11" s="191" t="str">
        <f aca="false">IF($F11="","",$C$2&amp;"."&amp;COUNTA($F$7:$F11)&amp;"")</f>
        <v>TC_10.3</v>
      </c>
      <c r="B11" s="191" t="s">
        <v>607</v>
      </c>
      <c r="C11" s="191" t="s">
        <v>530</v>
      </c>
      <c r="D11" s="191" t="s">
        <v>41</v>
      </c>
      <c r="E11" s="191" t="s">
        <v>159</v>
      </c>
      <c r="F11" s="13" t="s">
        <v>1290</v>
      </c>
      <c r="G11" s="13" t="s">
        <v>800</v>
      </c>
      <c r="H11" s="13" t="s">
        <v>1291</v>
      </c>
      <c r="I11" s="13" t="s">
        <v>1292</v>
      </c>
      <c r="J11" s="191" t="s">
        <v>658</v>
      </c>
      <c r="K11" s="191" t="s">
        <v>245</v>
      </c>
      <c r="L11" s="191"/>
      <c r="M11" s="191"/>
      <c r="N11" s="192"/>
      <c r="O11" s="192"/>
      <c r="P11" s="192"/>
      <c r="Q11" s="192"/>
      <c r="R11" s="192"/>
      <c r="S11" s="192"/>
      <c r="T11" s="192"/>
      <c r="U11" s="192"/>
      <c r="V11" s="192"/>
      <c r="W11" s="192"/>
      <c r="X11" s="192"/>
      <c r="Y11" s="192"/>
      <c r="Z11" s="192"/>
      <c r="AA11" s="192"/>
      <c r="AB11" s="192"/>
      <c r="AC11" s="192"/>
      <c r="AD11" s="192"/>
      <c r="AE11" s="192"/>
      <c r="AF11" s="192"/>
      <c r="AG11" s="192"/>
      <c r="AH11" s="192"/>
      <c r="AI11" s="192"/>
      <c r="AJ11" s="192"/>
      <c r="AK11" s="192"/>
      <c r="AL11" s="192"/>
      <c r="AM11" s="192"/>
      <c r="AN11" s="192"/>
      <c r="AO11" s="192"/>
      <c r="AP11" s="192"/>
      <c r="AQ11" s="192"/>
      <c r="AR11" s="193" t="str">
        <f aca="false">IF($A11="","",IF(OR($N11="Yes",$T11="Yes",$Z11="Yes",$AF11="Yes",$AL11="Yes"),"Yes","No"))</f>
        <v>No</v>
      </c>
      <c r="AS11" s="193" t="str">
        <f aca="false">IF($A11="","",IFERROR(IF($AM11&lt;&gt;"",$AM11,IF($AG11&lt;&gt;"",$AG11,IF($AA11&lt;&gt;"",$AA11,IF($U11&lt;&gt;"",$U11,IF($O11&lt;&gt;"",$O11,""))))),""))</f>
        <v/>
      </c>
      <c r="AT11" s="193" t="str">
        <f aca="false">IFERROR(IF($AN11&lt;&gt;"",$AN11,IF($AH11&lt;&gt;"",$AH11,IF($AB11&lt;&gt;"",$AB11,IF($V11&lt;&gt;"",$V11,IF($P11&lt;&gt;"",$P11,""))))),"")</f>
        <v/>
      </c>
      <c r="AU11" s="194"/>
    </row>
    <row r="12" customFormat="false" ht="135.75" hidden="false" customHeight="true" outlineLevel="0" collapsed="false">
      <c r="A12" s="191" t="str">
        <f aca="false">IF($F12="","",$C$2&amp;"."&amp;COUNTA($F$7:$F12)&amp;"")</f>
        <v>TC_10.4</v>
      </c>
      <c r="B12" s="191" t="s">
        <v>607</v>
      </c>
      <c r="C12" s="191" t="s">
        <v>530</v>
      </c>
      <c r="D12" s="191" t="s">
        <v>41</v>
      </c>
      <c r="E12" s="191" t="s">
        <v>159</v>
      </c>
      <c r="F12" s="13" t="s">
        <v>1293</v>
      </c>
      <c r="G12" s="13" t="s">
        <v>800</v>
      </c>
      <c r="H12" s="13" t="s">
        <v>1294</v>
      </c>
      <c r="I12" s="13" t="s">
        <v>1292</v>
      </c>
      <c r="J12" s="191" t="s">
        <v>658</v>
      </c>
      <c r="K12" s="191" t="s">
        <v>245</v>
      </c>
      <c r="L12" s="191"/>
      <c r="M12" s="191"/>
      <c r="N12" s="192"/>
      <c r="O12" s="192"/>
      <c r="P12" s="192"/>
      <c r="Q12" s="192"/>
      <c r="R12" s="192"/>
      <c r="S12" s="192"/>
      <c r="T12" s="192"/>
      <c r="U12" s="192"/>
      <c r="V12" s="192"/>
      <c r="W12" s="192"/>
      <c r="X12" s="192"/>
      <c r="Y12" s="192"/>
      <c r="Z12" s="192"/>
      <c r="AA12" s="192"/>
      <c r="AB12" s="192"/>
      <c r="AC12" s="192"/>
      <c r="AD12" s="192"/>
      <c r="AE12" s="192"/>
      <c r="AF12" s="192"/>
      <c r="AG12" s="192"/>
      <c r="AH12" s="192"/>
      <c r="AI12" s="192"/>
      <c r="AJ12" s="192"/>
      <c r="AK12" s="192"/>
      <c r="AL12" s="192"/>
      <c r="AM12" s="192"/>
      <c r="AN12" s="192"/>
      <c r="AO12" s="192"/>
      <c r="AP12" s="192"/>
      <c r="AQ12" s="192"/>
      <c r="AR12" s="193" t="str">
        <f aca="false">IF($A12="","",IF(OR($N12="Yes",$T12="Yes",$Z12="Yes",$AF12="Yes",$AL12="Yes"),"Yes","No"))</f>
        <v>No</v>
      </c>
      <c r="AS12" s="193" t="str">
        <f aca="false">IF($A12="","",IFERROR(IF($AM12&lt;&gt;"",$AM12,IF($AG12&lt;&gt;"",$AG12,IF($AA12&lt;&gt;"",$AA12,IF($U12&lt;&gt;"",$U12,IF($O12&lt;&gt;"",$O12,""))))),""))</f>
        <v/>
      </c>
      <c r="AT12" s="193" t="str">
        <f aca="false">IFERROR(IF($AN12&lt;&gt;"",$AN12,IF($AH12&lt;&gt;"",$AH12,IF($AB12&lt;&gt;"",$AB12,IF($V12&lt;&gt;"",$V12,IF($P12&lt;&gt;"",$P12,""))))),"")</f>
        <v/>
      </c>
      <c r="AU12" s="194"/>
    </row>
    <row r="13" customFormat="false" ht="157.5" hidden="false" customHeight="true" outlineLevel="0" collapsed="false">
      <c r="A13" s="191" t="str">
        <f aca="false">IF($F13="","",$C$2&amp;"."&amp;COUNTA($F$7:$F13)&amp;"")</f>
        <v>TC_10.5</v>
      </c>
      <c r="B13" s="191" t="s">
        <v>607</v>
      </c>
      <c r="C13" s="191" t="s">
        <v>530</v>
      </c>
      <c r="D13" s="191" t="s">
        <v>41</v>
      </c>
      <c r="E13" s="191" t="s">
        <v>159</v>
      </c>
      <c r="F13" s="13" t="s">
        <v>1295</v>
      </c>
      <c r="G13" s="13" t="s">
        <v>800</v>
      </c>
      <c r="H13" s="13" t="s">
        <v>1296</v>
      </c>
      <c r="I13" s="13" t="s">
        <v>1297</v>
      </c>
      <c r="J13" s="191" t="s">
        <v>658</v>
      </c>
      <c r="K13" s="191" t="s">
        <v>245</v>
      </c>
      <c r="L13" s="191"/>
      <c r="M13" s="191"/>
      <c r="N13" s="192"/>
      <c r="O13" s="192"/>
      <c r="P13" s="192"/>
      <c r="Q13" s="192"/>
      <c r="R13" s="192"/>
      <c r="S13" s="192"/>
      <c r="T13" s="192"/>
      <c r="U13" s="192"/>
      <c r="V13" s="192"/>
      <c r="W13" s="192"/>
      <c r="X13" s="192"/>
      <c r="Y13" s="192"/>
      <c r="Z13" s="192"/>
      <c r="AA13" s="192"/>
      <c r="AB13" s="192"/>
      <c r="AC13" s="192"/>
      <c r="AD13" s="192"/>
      <c r="AE13" s="192"/>
      <c r="AF13" s="192"/>
      <c r="AG13" s="192"/>
      <c r="AH13" s="192"/>
      <c r="AI13" s="192"/>
      <c r="AJ13" s="192"/>
      <c r="AK13" s="192"/>
      <c r="AL13" s="192"/>
      <c r="AM13" s="192"/>
      <c r="AN13" s="192"/>
      <c r="AO13" s="192"/>
      <c r="AP13" s="192"/>
      <c r="AQ13" s="192"/>
      <c r="AR13" s="193" t="str">
        <f aca="false">IF($A13="","",IF(OR($N13="Yes",$T13="Yes",$Z13="Yes",$AF13="Yes",$AL13="Yes"),"Yes","No"))</f>
        <v>No</v>
      </c>
      <c r="AS13" s="193" t="str">
        <f aca="false">IF($A13="","",IFERROR(IF($AM13&lt;&gt;"",$AM13,IF($AG13&lt;&gt;"",$AG13,IF($AA13&lt;&gt;"",$AA13,IF($U13&lt;&gt;"",$U13,IF($O13&lt;&gt;"",$O13,""))))),""))</f>
        <v/>
      </c>
      <c r="AT13" s="193" t="str">
        <f aca="false">IFERROR(IF($AN13&lt;&gt;"",$AN13,IF($AH13&lt;&gt;"",$AH13,IF($AB13&lt;&gt;"",$AB13,IF($V13&lt;&gt;"",$V13,IF($P13&lt;&gt;"",$P13,""))))),"")</f>
        <v/>
      </c>
      <c r="AU13" s="194"/>
    </row>
    <row r="14" customFormat="false" ht="15" hidden="false" customHeight="true" outlineLevel="0" collapsed="false">
      <c r="A14" s="189"/>
      <c r="B14" s="189"/>
      <c r="C14" s="190" t="s">
        <v>1298</v>
      </c>
      <c r="D14" s="190"/>
      <c r="E14" s="190"/>
      <c r="F14" s="190"/>
      <c r="G14" s="190"/>
      <c r="H14" s="190"/>
      <c r="I14" s="190"/>
      <c r="J14" s="190"/>
      <c r="K14" s="190"/>
      <c r="L14" s="190"/>
      <c r="M14" s="190"/>
      <c r="N14" s="190"/>
      <c r="O14" s="190"/>
      <c r="P14" s="190"/>
      <c r="Q14" s="190"/>
      <c r="R14" s="190"/>
      <c r="S14" s="190"/>
      <c r="T14" s="190"/>
      <c r="U14" s="190"/>
      <c r="V14" s="190"/>
      <c r="W14" s="190"/>
      <c r="X14" s="190"/>
      <c r="Y14" s="190"/>
      <c r="Z14" s="190"/>
      <c r="AA14" s="190"/>
      <c r="AB14" s="190"/>
      <c r="AC14" s="190"/>
      <c r="AD14" s="190"/>
      <c r="AE14" s="190"/>
      <c r="AF14" s="190"/>
      <c r="AG14" s="190"/>
      <c r="AH14" s="190"/>
      <c r="AI14" s="190"/>
      <c r="AJ14" s="190"/>
      <c r="AK14" s="190"/>
      <c r="AL14" s="190"/>
      <c r="AM14" s="190"/>
      <c r="AN14" s="190"/>
      <c r="AO14" s="190"/>
      <c r="AP14" s="190"/>
      <c r="AQ14" s="190"/>
      <c r="AR14" s="190"/>
      <c r="AS14" s="190"/>
      <c r="AT14" s="190"/>
      <c r="AU14" s="190"/>
    </row>
    <row r="15" customFormat="false" ht="157.5" hidden="false" customHeight="true" outlineLevel="0" collapsed="false">
      <c r="A15" s="191" t="str">
        <f aca="false">IF($F15="","",$C$2&amp;"."&amp;COUNTA($F$7:$F15)&amp;"")</f>
        <v>TC_10.6</v>
      </c>
      <c r="B15" s="191" t="s">
        <v>607</v>
      </c>
      <c r="C15" s="191" t="s">
        <v>530</v>
      </c>
      <c r="D15" s="191" t="s">
        <v>41</v>
      </c>
      <c r="E15" s="191" t="s">
        <v>160</v>
      </c>
      <c r="F15" s="13" t="s">
        <v>1299</v>
      </c>
      <c r="G15" s="13" t="s">
        <v>800</v>
      </c>
      <c r="H15" s="13" t="s">
        <v>1300</v>
      </c>
      <c r="I15" s="13" t="s">
        <v>1301</v>
      </c>
      <c r="J15" s="191" t="s">
        <v>658</v>
      </c>
      <c r="K15" s="191" t="s">
        <v>245</v>
      </c>
      <c r="L15" s="191"/>
      <c r="M15" s="191"/>
      <c r="N15" s="192"/>
      <c r="O15" s="192"/>
      <c r="P15" s="192"/>
      <c r="Q15" s="192"/>
      <c r="R15" s="192"/>
      <c r="S15" s="192"/>
      <c r="T15" s="192"/>
      <c r="U15" s="192"/>
      <c r="V15" s="192"/>
      <c r="W15" s="192"/>
      <c r="X15" s="192"/>
      <c r="Y15" s="192"/>
      <c r="Z15" s="192"/>
      <c r="AA15" s="192"/>
      <c r="AB15" s="192"/>
      <c r="AC15" s="192"/>
      <c r="AD15" s="192"/>
      <c r="AE15" s="192"/>
      <c r="AF15" s="192"/>
      <c r="AG15" s="192"/>
      <c r="AH15" s="192"/>
      <c r="AI15" s="192"/>
      <c r="AJ15" s="192"/>
      <c r="AK15" s="192"/>
      <c r="AL15" s="192"/>
      <c r="AM15" s="192"/>
      <c r="AN15" s="192"/>
      <c r="AO15" s="192"/>
      <c r="AP15" s="192"/>
      <c r="AQ15" s="192"/>
      <c r="AR15" s="193" t="str">
        <f aca="false">IF($A15="","",IF(OR($N15="Yes",$T15="Yes",$Z15="Yes",$AF15="Yes",$AL15="Yes"),"Yes","No"))</f>
        <v>No</v>
      </c>
      <c r="AS15" s="193" t="str">
        <f aca="false">IF($A15="","",IFERROR(IF($AM15&lt;&gt;"",$AM15,IF($AG15&lt;&gt;"",$AG15,IF($AA15&lt;&gt;"",$AA15,IF($U15&lt;&gt;"",$U15,IF($O15&lt;&gt;"",$O15,""))))),""))</f>
        <v/>
      </c>
      <c r="AT15" s="193" t="str">
        <f aca="false">IFERROR(IF($AN15&lt;&gt;"",$AN15,IF($AH15&lt;&gt;"",$AH15,IF($AB15&lt;&gt;"",$AB15,IF($V15&lt;&gt;"",$V15,IF($P15&lt;&gt;"",$P15,""))))),"")</f>
        <v/>
      </c>
      <c r="AU15" s="194"/>
    </row>
    <row r="16" customFormat="false" ht="147" hidden="false" customHeight="true" outlineLevel="0" collapsed="false">
      <c r="A16" s="191" t="str">
        <f aca="false">IF($F16="","",$C$2&amp;"."&amp;COUNTA($F$7:$F16)&amp;"")</f>
        <v>TC_10.7</v>
      </c>
      <c r="B16" s="191" t="s">
        <v>607</v>
      </c>
      <c r="C16" s="191" t="s">
        <v>840</v>
      </c>
      <c r="D16" s="191" t="s">
        <v>41</v>
      </c>
      <c r="E16" s="191" t="s">
        <v>160</v>
      </c>
      <c r="F16" s="13" t="s">
        <v>1302</v>
      </c>
      <c r="G16" s="13" t="s">
        <v>1303</v>
      </c>
      <c r="H16" s="13" t="s">
        <v>1304</v>
      </c>
      <c r="I16" s="13" t="s">
        <v>1305</v>
      </c>
      <c r="J16" s="191" t="s">
        <v>658</v>
      </c>
      <c r="K16" s="191" t="s">
        <v>245</v>
      </c>
      <c r="L16" s="191"/>
      <c r="M16" s="191"/>
      <c r="N16" s="192"/>
      <c r="O16" s="192"/>
      <c r="P16" s="192"/>
      <c r="Q16" s="192"/>
      <c r="R16" s="192"/>
      <c r="S16" s="192"/>
      <c r="T16" s="192"/>
      <c r="U16" s="192"/>
      <c r="V16" s="192"/>
      <c r="W16" s="192"/>
      <c r="X16" s="192"/>
      <c r="Y16" s="192"/>
      <c r="Z16" s="192"/>
      <c r="AA16" s="192"/>
      <c r="AB16" s="192"/>
      <c r="AC16" s="192"/>
      <c r="AD16" s="192"/>
      <c r="AE16" s="192"/>
      <c r="AF16" s="192"/>
      <c r="AG16" s="192"/>
      <c r="AH16" s="192"/>
      <c r="AI16" s="192"/>
      <c r="AJ16" s="192"/>
      <c r="AK16" s="192"/>
      <c r="AL16" s="192"/>
      <c r="AM16" s="192"/>
      <c r="AN16" s="192"/>
      <c r="AO16" s="192"/>
      <c r="AP16" s="192"/>
      <c r="AQ16" s="192"/>
      <c r="AR16" s="193" t="str">
        <f aca="false">IF($A16="","",IF(OR($N16="Yes",$T16="Yes",$Z16="Yes",$AF16="Yes",$AL16="Yes"),"Yes","No"))</f>
        <v>No</v>
      </c>
      <c r="AS16" s="193" t="str">
        <f aca="false">IF($A16="","",IFERROR(IF($AM16&lt;&gt;"",$AM16,IF($AG16&lt;&gt;"",$AG16,IF($AA16&lt;&gt;"",$AA16,IF($U16&lt;&gt;"",$U16,IF($O16&lt;&gt;"",$O16,""))))),""))</f>
        <v/>
      </c>
      <c r="AT16" s="193" t="str">
        <f aca="false">IFERROR(IF($AN16&lt;&gt;"",$AN16,IF($AH16&lt;&gt;"",$AH16,IF($AB16&lt;&gt;"",$AB16,IF($V16&lt;&gt;"",$V16,IF($P16&lt;&gt;"",$P16,""))))),"")</f>
        <v/>
      </c>
      <c r="AU16" s="194"/>
    </row>
    <row r="17" customFormat="false" ht="135.75" hidden="false" customHeight="true" outlineLevel="0" collapsed="false">
      <c r="A17" s="191" t="str">
        <f aca="false">IF($F17="","",$C$2&amp;"."&amp;COUNTA($F$7:$F17)&amp;"")</f>
        <v>TC_10.8</v>
      </c>
      <c r="B17" s="191" t="s">
        <v>607</v>
      </c>
      <c r="C17" s="191" t="s">
        <v>530</v>
      </c>
      <c r="D17" s="191" t="s">
        <v>41</v>
      </c>
      <c r="E17" s="191" t="s">
        <v>160</v>
      </c>
      <c r="F17" s="13" t="s">
        <v>1306</v>
      </c>
      <c r="G17" s="13" t="s">
        <v>1286</v>
      </c>
      <c r="H17" s="13" t="s">
        <v>1307</v>
      </c>
      <c r="I17" s="13" t="s">
        <v>1308</v>
      </c>
      <c r="J17" s="191" t="s">
        <v>658</v>
      </c>
      <c r="K17" s="191" t="s">
        <v>245</v>
      </c>
      <c r="L17" s="191"/>
      <c r="M17" s="191"/>
      <c r="N17" s="192"/>
      <c r="O17" s="192"/>
      <c r="P17" s="192"/>
      <c r="Q17" s="192"/>
      <c r="R17" s="192"/>
      <c r="S17" s="192"/>
      <c r="T17" s="192"/>
      <c r="U17" s="192"/>
      <c r="V17" s="192"/>
      <c r="W17" s="192"/>
      <c r="X17" s="192"/>
      <c r="Y17" s="192"/>
      <c r="Z17" s="192"/>
      <c r="AA17" s="192"/>
      <c r="AB17" s="192"/>
      <c r="AC17" s="192"/>
      <c r="AD17" s="192"/>
      <c r="AE17" s="192"/>
      <c r="AF17" s="192"/>
      <c r="AG17" s="192"/>
      <c r="AH17" s="192"/>
      <c r="AI17" s="192"/>
      <c r="AJ17" s="192"/>
      <c r="AK17" s="192"/>
      <c r="AL17" s="192"/>
      <c r="AM17" s="192"/>
      <c r="AN17" s="192"/>
      <c r="AO17" s="192"/>
      <c r="AP17" s="192"/>
      <c r="AQ17" s="192"/>
      <c r="AR17" s="193" t="str">
        <f aca="false">IF($A17="","",IF(OR($N17="Yes",$T17="Yes",$Z17="Yes",$AF17="Yes",$AL17="Yes"),"Yes","No"))</f>
        <v>No</v>
      </c>
      <c r="AS17" s="193" t="str">
        <f aca="false">IF($A17="","",IFERROR(IF($AM17&lt;&gt;"",$AM17,IF($AG17&lt;&gt;"",$AG17,IF($AA17&lt;&gt;"",$AA17,IF($U17&lt;&gt;"",$U17,IF($O17&lt;&gt;"",$O17,""))))),""))</f>
        <v/>
      </c>
      <c r="AT17" s="193" t="str">
        <f aca="false">IFERROR(IF($AN17&lt;&gt;"",$AN17,IF($AH17&lt;&gt;"",$AH17,IF($AB17&lt;&gt;"",$AB17,IF($V17&lt;&gt;"",$V17,IF($P17&lt;&gt;"",$P17,""))))),"")</f>
        <v/>
      </c>
      <c r="AU17" s="194"/>
    </row>
    <row r="18" customFormat="false" ht="15" hidden="false" customHeight="true" outlineLevel="0" collapsed="false">
      <c r="A18" s="189"/>
      <c r="B18" s="189"/>
      <c r="C18" s="190" t="s">
        <v>1309</v>
      </c>
      <c r="D18" s="190"/>
      <c r="E18" s="190"/>
      <c r="F18" s="190"/>
      <c r="G18" s="190"/>
      <c r="H18" s="190"/>
      <c r="I18" s="190"/>
      <c r="J18" s="190"/>
      <c r="K18" s="190"/>
      <c r="L18" s="190"/>
      <c r="M18" s="190"/>
      <c r="N18" s="190"/>
      <c r="O18" s="190"/>
      <c r="P18" s="190"/>
      <c r="Q18" s="190"/>
      <c r="R18" s="190"/>
      <c r="S18" s="190"/>
      <c r="T18" s="190"/>
      <c r="U18" s="190"/>
      <c r="V18" s="190"/>
      <c r="W18" s="190"/>
      <c r="X18" s="190"/>
      <c r="Y18" s="190"/>
      <c r="Z18" s="190"/>
      <c r="AA18" s="190"/>
      <c r="AB18" s="190"/>
      <c r="AC18" s="190"/>
      <c r="AD18" s="190"/>
      <c r="AE18" s="190"/>
      <c r="AF18" s="190"/>
      <c r="AG18" s="190"/>
      <c r="AH18" s="190"/>
      <c r="AI18" s="190"/>
      <c r="AJ18" s="190"/>
      <c r="AK18" s="190"/>
      <c r="AL18" s="190"/>
      <c r="AM18" s="190"/>
      <c r="AN18" s="190"/>
      <c r="AO18" s="190"/>
      <c r="AP18" s="190"/>
      <c r="AQ18" s="190"/>
      <c r="AR18" s="190"/>
      <c r="AS18" s="190"/>
      <c r="AT18" s="190"/>
      <c r="AU18" s="190"/>
    </row>
    <row r="19" customFormat="false" ht="135.75" hidden="false" customHeight="true" outlineLevel="0" collapsed="false">
      <c r="A19" s="191" t="str">
        <f aca="false">IF($F19="","",$C$2&amp;"."&amp;COUNTA($F$7:$F19)&amp;"")</f>
        <v>TC_10.9</v>
      </c>
      <c r="B19" s="191" t="s">
        <v>607</v>
      </c>
      <c r="C19" s="191" t="s">
        <v>530</v>
      </c>
      <c r="D19" s="191" t="s">
        <v>41</v>
      </c>
      <c r="E19" s="191" t="s">
        <v>159</v>
      </c>
      <c r="F19" s="13" t="s">
        <v>1310</v>
      </c>
      <c r="G19" s="13" t="s">
        <v>1311</v>
      </c>
      <c r="H19" s="13" t="s">
        <v>1312</v>
      </c>
      <c r="I19" s="13" t="s">
        <v>1313</v>
      </c>
      <c r="J19" s="191" t="s">
        <v>658</v>
      </c>
      <c r="K19" s="191" t="s">
        <v>245</v>
      </c>
      <c r="L19" s="191"/>
      <c r="M19" s="191"/>
      <c r="N19" s="192"/>
      <c r="O19" s="192"/>
      <c r="P19" s="192"/>
      <c r="Q19" s="192"/>
      <c r="R19" s="192"/>
      <c r="S19" s="192"/>
      <c r="T19" s="192"/>
      <c r="U19" s="192"/>
      <c r="V19" s="192"/>
      <c r="W19" s="192"/>
      <c r="X19" s="192"/>
      <c r="Y19" s="192"/>
      <c r="Z19" s="192"/>
      <c r="AA19" s="192"/>
      <c r="AB19" s="192"/>
      <c r="AC19" s="192"/>
      <c r="AD19" s="192"/>
      <c r="AE19" s="192"/>
      <c r="AF19" s="192"/>
      <c r="AG19" s="192"/>
      <c r="AH19" s="192"/>
      <c r="AI19" s="192"/>
      <c r="AJ19" s="192"/>
      <c r="AK19" s="192"/>
      <c r="AL19" s="192"/>
      <c r="AM19" s="192"/>
      <c r="AN19" s="192"/>
      <c r="AO19" s="192"/>
      <c r="AP19" s="192"/>
      <c r="AQ19" s="192"/>
      <c r="AR19" s="193" t="str">
        <f aca="false">IF($A19="","",IF(OR($N19="Yes",$T19="Yes",$Z19="Yes",$AF19="Yes",$AL19="Yes"),"Yes","No"))</f>
        <v>No</v>
      </c>
      <c r="AS19" s="193" t="str">
        <f aca="false">IF($A19="","",IFERROR(IF($AM19&lt;&gt;"",$AM19,IF($AG19&lt;&gt;"",$AG19,IF($AA19&lt;&gt;"",$AA19,IF($U19&lt;&gt;"",$U19,IF($O19&lt;&gt;"",$O19,""))))),""))</f>
        <v/>
      </c>
      <c r="AT19" s="193" t="str">
        <f aca="false">IFERROR(IF($AN19&lt;&gt;"",$AN19,IF($AH19&lt;&gt;"",$AH19,IF($AB19&lt;&gt;"",$AB19,IF($V19&lt;&gt;"",$V19,IF($P19&lt;&gt;"",$P19,""))))),"")</f>
        <v/>
      </c>
      <c r="AU19" s="194"/>
    </row>
    <row r="20" customFormat="false" ht="147" hidden="false" customHeight="true" outlineLevel="0" collapsed="false">
      <c r="A20" s="191" t="str">
        <f aca="false">IF($F20="","",$C$2&amp;"."&amp;COUNTA($F$7:$F20)&amp;"")</f>
        <v>TC_10.10</v>
      </c>
      <c r="B20" s="191" t="s">
        <v>607</v>
      </c>
      <c r="C20" s="191" t="s">
        <v>530</v>
      </c>
      <c r="D20" s="191" t="s">
        <v>41</v>
      </c>
      <c r="E20" s="191" t="s">
        <v>159</v>
      </c>
      <c r="F20" s="13" t="s">
        <v>1314</v>
      </c>
      <c r="G20" s="13" t="s">
        <v>1311</v>
      </c>
      <c r="H20" s="13" t="s">
        <v>1315</v>
      </c>
      <c r="I20" s="13" t="s">
        <v>1316</v>
      </c>
      <c r="J20" s="191" t="s">
        <v>658</v>
      </c>
      <c r="K20" s="191" t="s">
        <v>245</v>
      </c>
      <c r="L20" s="191"/>
      <c r="M20" s="191"/>
      <c r="N20" s="192"/>
      <c r="O20" s="192"/>
      <c r="P20" s="192"/>
      <c r="Q20" s="192"/>
      <c r="R20" s="192"/>
      <c r="S20" s="192"/>
      <c r="T20" s="192"/>
      <c r="U20" s="192"/>
      <c r="V20" s="192"/>
      <c r="W20" s="192"/>
      <c r="X20" s="192"/>
      <c r="Y20" s="192"/>
      <c r="Z20" s="192"/>
      <c r="AA20" s="192"/>
      <c r="AB20" s="192"/>
      <c r="AC20" s="192"/>
      <c r="AD20" s="192"/>
      <c r="AE20" s="192"/>
      <c r="AF20" s="192"/>
      <c r="AG20" s="192"/>
      <c r="AH20" s="192"/>
      <c r="AI20" s="192"/>
      <c r="AJ20" s="192"/>
      <c r="AK20" s="192"/>
      <c r="AL20" s="192"/>
      <c r="AM20" s="192"/>
      <c r="AN20" s="192"/>
      <c r="AO20" s="192"/>
      <c r="AP20" s="192"/>
      <c r="AQ20" s="192"/>
      <c r="AR20" s="193" t="str">
        <f aca="false">IF($A20="","",IF(OR($N20="Yes",$T20="Yes",$Z20="Yes",$AF20="Yes",$AL20="Yes"),"Yes","No"))</f>
        <v>No</v>
      </c>
      <c r="AS20" s="193" t="str">
        <f aca="false">IF($A20="","",IFERROR(IF($AM20&lt;&gt;"",$AM20,IF($AG20&lt;&gt;"",$AG20,IF($AA20&lt;&gt;"",$AA20,IF($U20&lt;&gt;"",$U20,IF($O20&lt;&gt;"",$O20,""))))),""))</f>
        <v/>
      </c>
      <c r="AT20" s="193" t="str">
        <f aca="false">IFERROR(IF($AN20&lt;&gt;"",$AN20,IF($AH20&lt;&gt;"",$AH20,IF($AB20&lt;&gt;"",$AB20,IF($V20&lt;&gt;"",$V20,IF($P20&lt;&gt;"",$P20,""))))),"")</f>
        <v/>
      </c>
      <c r="AU20" s="194"/>
    </row>
    <row r="21" customFormat="false" ht="15.75" hidden="false" customHeight="true" outlineLevel="0" collapsed="false">
      <c r="A21" s="189"/>
      <c r="B21" s="189"/>
      <c r="C21" s="190" t="s">
        <v>1317</v>
      </c>
      <c r="D21" s="190"/>
      <c r="E21" s="190"/>
      <c r="F21" s="190"/>
      <c r="G21" s="190"/>
      <c r="H21" s="190"/>
      <c r="I21" s="190"/>
      <c r="J21" s="190"/>
      <c r="K21" s="190"/>
      <c r="L21" s="190"/>
      <c r="M21" s="190"/>
      <c r="N21" s="190"/>
      <c r="O21" s="190"/>
      <c r="P21" s="190"/>
      <c r="Q21" s="190"/>
      <c r="R21" s="190"/>
      <c r="S21" s="190"/>
      <c r="T21" s="190"/>
      <c r="U21" s="190"/>
      <c r="V21" s="190"/>
      <c r="W21" s="190"/>
      <c r="X21" s="190"/>
      <c r="Y21" s="190"/>
      <c r="Z21" s="190"/>
      <c r="AA21" s="190"/>
      <c r="AB21" s="190"/>
      <c r="AC21" s="190"/>
      <c r="AD21" s="190"/>
      <c r="AE21" s="190"/>
      <c r="AF21" s="190"/>
      <c r="AG21" s="190"/>
      <c r="AH21" s="190"/>
      <c r="AI21" s="190"/>
      <c r="AJ21" s="190"/>
      <c r="AK21" s="190"/>
      <c r="AL21" s="190"/>
      <c r="AM21" s="190"/>
      <c r="AN21" s="190"/>
      <c r="AO21" s="190"/>
      <c r="AP21" s="190"/>
      <c r="AQ21" s="190"/>
      <c r="AR21" s="190"/>
      <c r="AS21" s="190"/>
      <c r="AT21" s="190"/>
      <c r="AU21" s="190"/>
    </row>
    <row r="22" customFormat="false" ht="15.75" hidden="false" customHeight="true" outlineLevel="0" collapsed="false">
      <c r="A22" s="191" t="str">
        <f aca="false">IF($F22="","",$C$2&amp;"."&amp;COUNTA($F$7:$F22)&amp;"")</f>
        <v>TC_10.11</v>
      </c>
      <c r="B22" s="191" t="s">
        <v>607</v>
      </c>
      <c r="C22" s="191" t="s">
        <v>530</v>
      </c>
      <c r="D22" s="191" t="s">
        <v>41</v>
      </c>
      <c r="E22" s="191" t="s">
        <v>160</v>
      </c>
      <c r="F22" s="13" t="s">
        <v>1318</v>
      </c>
      <c r="G22" s="13" t="s">
        <v>800</v>
      </c>
      <c r="H22" s="13" t="s">
        <v>1319</v>
      </c>
      <c r="I22" s="13" t="s">
        <v>1320</v>
      </c>
      <c r="J22" s="191" t="s">
        <v>658</v>
      </c>
      <c r="K22" s="191" t="s">
        <v>245</v>
      </c>
      <c r="L22" s="191"/>
      <c r="M22" s="191"/>
      <c r="N22" s="192"/>
      <c r="O22" s="192"/>
      <c r="P22" s="192"/>
      <c r="Q22" s="192"/>
      <c r="R22" s="192"/>
      <c r="S22" s="192"/>
      <c r="T22" s="192"/>
      <c r="U22" s="192"/>
      <c r="V22" s="192"/>
      <c r="W22" s="192"/>
      <c r="X22" s="192"/>
      <c r="Y22" s="192"/>
      <c r="Z22" s="192"/>
      <c r="AA22" s="192"/>
      <c r="AB22" s="192"/>
      <c r="AC22" s="192"/>
      <c r="AD22" s="192"/>
      <c r="AE22" s="192"/>
      <c r="AF22" s="192"/>
      <c r="AG22" s="192"/>
      <c r="AH22" s="192"/>
      <c r="AI22" s="192"/>
      <c r="AJ22" s="192"/>
      <c r="AK22" s="192"/>
      <c r="AL22" s="192"/>
      <c r="AM22" s="192"/>
      <c r="AN22" s="192"/>
      <c r="AO22" s="192"/>
      <c r="AP22" s="192"/>
      <c r="AQ22" s="192"/>
      <c r="AR22" s="193" t="str">
        <f aca="false">IF($A22="","",IF(OR($N22="Yes",$T22="Yes",$Z22="Yes",$AF22="Yes",$AL22="Yes"),"Yes","No"))</f>
        <v>No</v>
      </c>
      <c r="AS22" s="193" t="str">
        <f aca="false">IF($A22="","",IFERROR(IF($AM22&lt;&gt;"",$AM22,IF($AG22&lt;&gt;"",$AG22,IF($AA22&lt;&gt;"",$AA22,IF($U22&lt;&gt;"",$U22,IF($O22&lt;&gt;"",$O22,""))))),""))</f>
        <v/>
      </c>
      <c r="AT22" s="193" t="str">
        <f aca="false">IFERROR(IF($AN22&lt;&gt;"",$AN22,IF($AH22&lt;&gt;"",$AH22,IF($AB22&lt;&gt;"",$AB22,IF($V22&lt;&gt;"",$V22,IF($P22&lt;&gt;"",$P22,""))))),"")</f>
        <v/>
      </c>
      <c r="AU22" s="194"/>
    </row>
    <row r="23" customFormat="false" ht="15.75" hidden="false" customHeight="true" outlineLevel="0" collapsed="false">
      <c r="A23" s="191" t="str">
        <f aca="false">IF($F23="","",$C$2&amp;"."&amp;COUNTA($F$7:$F23)&amp;"")</f>
        <v>TC_10.12</v>
      </c>
      <c r="B23" s="191" t="s">
        <v>607</v>
      </c>
      <c r="C23" s="191" t="s">
        <v>530</v>
      </c>
      <c r="D23" s="191" t="s">
        <v>41</v>
      </c>
      <c r="E23" s="191" t="s">
        <v>160</v>
      </c>
      <c r="F23" s="13" t="s">
        <v>1321</v>
      </c>
      <c r="G23" s="13" t="s">
        <v>800</v>
      </c>
      <c r="H23" s="13" t="s">
        <v>1322</v>
      </c>
      <c r="I23" s="13" t="s">
        <v>1323</v>
      </c>
      <c r="J23" s="191" t="s">
        <v>658</v>
      </c>
      <c r="K23" s="191" t="s">
        <v>245</v>
      </c>
      <c r="L23" s="191"/>
      <c r="M23" s="191"/>
      <c r="N23" s="192"/>
      <c r="O23" s="192"/>
      <c r="P23" s="192"/>
      <c r="Q23" s="192"/>
      <c r="R23" s="192"/>
      <c r="S23" s="192"/>
      <c r="T23" s="192"/>
      <c r="U23" s="192"/>
      <c r="V23" s="192"/>
      <c r="W23" s="192"/>
      <c r="X23" s="192"/>
      <c r="Y23" s="192"/>
      <c r="Z23" s="192"/>
      <c r="AA23" s="192"/>
      <c r="AB23" s="192"/>
      <c r="AC23" s="192"/>
      <c r="AD23" s="192"/>
      <c r="AE23" s="192"/>
      <c r="AF23" s="192"/>
      <c r="AG23" s="192"/>
      <c r="AH23" s="192"/>
      <c r="AI23" s="192"/>
      <c r="AJ23" s="192"/>
      <c r="AK23" s="192"/>
      <c r="AL23" s="192"/>
      <c r="AM23" s="192"/>
      <c r="AN23" s="192"/>
      <c r="AO23" s="192"/>
      <c r="AP23" s="192"/>
      <c r="AQ23" s="192"/>
      <c r="AR23" s="193" t="str">
        <f aca="false">IF($A23="","",IF(OR($N23="Yes",$T23="Yes",$Z23="Yes",$AF23="Yes",$AL23="Yes"),"Yes","No"))</f>
        <v>No</v>
      </c>
      <c r="AS23" s="193" t="str">
        <f aca="false">IF($A23="","",IFERROR(IF($AM23&lt;&gt;"",$AM23,IF($AG23&lt;&gt;"",$AG23,IF($AA23&lt;&gt;"",$AA23,IF($U23&lt;&gt;"",$U23,IF($O23&lt;&gt;"",$O23,""))))),""))</f>
        <v/>
      </c>
      <c r="AT23" s="193" t="str">
        <f aca="false">IFERROR(IF($AN23&lt;&gt;"",$AN23,IF($AH23&lt;&gt;"",$AH23,IF($AB23&lt;&gt;"",$AB23,IF($V23&lt;&gt;"",$V23,IF($P23&lt;&gt;"",$P23,""))))),"")</f>
        <v/>
      </c>
      <c r="AU23" s="194"/>
    </row>
    <row r="24" customFormat="false" ht="15.75" hidden="false" customHeight="true" outlineLevel="0" collapsed="false">
      <c r="A24" s="189"/>
      <c r="B24" s="189"/>
      <c r="C24" s="190" t="s">
        <v>1324</v>
      </c>
      <c r="D24" s="190"/>
      <c r="E24" s="190"/>
      <c r="F24" s="190"/>
      <c r="G24" s="190"/>
      <c r="H24" s="190"/>
      <c r="I24" s="190"/>
      <c r="J24" s="190"/>
      <c r="K24" s="190"/>
      <c r="L24" s="190"/>
      <c r="M24" s="190"/>
      <c r="N24" s="190"/>
      <c r="O24" s="190"/>
      <c r="P24" s="190"/>
      <c r="Q24" s="190"/>
      <c r="R24" s="190"/>
      <c r="S24" s="190"/>
      <c r="T24" s="190"/>
      <c r="U24" s="190"/>
      <c r="V24" s="190"/>
      <c r="W24" s="190"/>
      <c r="X24" s="190"/>
      <c r="Y24" s="190"/>
      <c r="Z24" s="190"/>
      <c r="AA24" s="190"/>
      <c r="AB24" s="190"/>
      <c r="AC24" s="190"/>
      <c r="AD24" s="190"/>
      <c r="AE24" s="190"/>
      <c r="AF24" s="190"/>
      <c r="AG24" s="190"/>
      <c r="AH24" s="190"/>
      <c r="AI24" s="190"/>
      <c r="AJ24" s="190"/>
      <c r="AK24" s="190"/>
      <c r="AL24" s="190"/>
      <c r="AM24" s="190"/>
      <c r="AN24" s="190"/>
      <c r="AO24" s="190"/>
      <c r="AP24" s="190"/>
      <c r="AQ24" s="190"/>
      <c r="AR24" s="190"/>
      <c r="AS24" s="190"/>
      <c r="AT24" s="190"/>
      <c r="AU24" s="190"/>
    </row>
    <row r="25" customFormat="false" ht="15.75" hidden="false" customHeight="true" outlineLevel="0" collapsed="false">
      <c r="A25" s="191" t="str">
        <f aca="false">IF($F25="","",$C$2&amp;"."&amp;COUNTA($F$7:$F25)&amp;"")</f>
        <v>TC_10.13</v>
      </c>
      <c r="B25" s="191" t="s">
        <v>607</v>
      </c>
      <c r="C25" s="191" t="s">
        <v>530</v>
      </c>
      <c r="D25" s="191" t="s">
        <v>41</v>
      </c>
      <c r="E25" s="191" t="s">
        <v>159</v>
      </c>
      <c r="F25" s="13" t="s">
        <v>1325</v>
      </c>
      <c r="G25" s="13" t="s">
        <v>800</v>
      </c>
      <c r="H25" s="13" t="s">
        <v>1326</v>
      </c>
      <c r="I25" s="13" t="s">
        <v>1327</v>
      </c>
      <c r="J25" s="191" t="s">
        <v>658</v>
      </c>
      <c r="K25" s="191" t="s">
        <v>245</v>
      </c>
      <c r="L25" s="191"/>
      <c r="M25" s="191"/>
      <c r="N25" s="192"/>
      <c r="O25" s="192"/>
      <c r="P25" s="192"/>
      <c r="Q25" s="192"/>
      <c r="R25" s="192"/>
      <c r="S25" s="192"/>
      <c r="T25" s="192"/>
      <c r="U25" s="192"/>
      <c r="V25" s="192"/>
      <c r="W25" s="192"/>
      <c r="X25" s="192"/>
      <c r="Y25" s="192"/>
      <c r="Z25" s="192"/>
      <c r="AA25" s="192"/>
      <c r="AB25" s="192"/>
      <c r="AC25" s="192"/>
      <c r="AD25" s="192"/>
      <c r="AE25" s="192"/>
      <c r="AF25" s="192"/>
      <c r="AG25" s="192"/>
      <c r="AH25" s="192"/>
      <c r="AI25" s="192"/>
      <c r="AJ25" s="192"/>
      <c r="AK25" s="192"/>
      <c r="AL25" s="192"/>
      <c r="AM25" s="192"/>
      <c r="AN25" s="192"/>
      <c r="AO25" s="192"/>
      <c r="AP25" s="192"/>
      <c r="AQ25" s="192"/>
      <c r="AR25" s="193" t="str">
        <f aca="false">IF($A25="","",IF(OR($N25="Yes",$T25="Yes",$Z25="Yes",$AF25="Yes",$AL25="Yes"),"Yes","No"))</f>
        <v>No</v>
      </c>
      <c r="AS25" s="193" t="str">
        <f aca="false">IF($A25="","",IFERROR(IF($AM25&lt;&gt;"",$AM25,IF($AG25&lt;&gt;"",$AG25,IF($AA25&lt;&gt;"",$AA25,IF($U25&lt;&gt;"",$U25,IF($O25&lt;&gt;"",$O25,""))))),""))</f>
        <v/>
      </c>
      <c r="AT25" s="193" t="str">
        <f aca="false">IFERROR(IF($AN25&lt;&gt;"",$AN25,IF($AH25&lt;&gt;"",$AH25,IF($AB25&lt;&gt;"",$AB25,IF($V25&lt;&gt;"",$V25,IF($P25&lt;&gt;"",$P25,""))))),"")</f>
        <v/>
      </c>
      <c r="AU25" s="194"/>
    </row>
    <row r="26" customFormat="false" ht="15.75" hidden="false" customHeight="true" outlineLevel="0" collapsed="false">
      <c r="A26" s="189"/>
      <c r="B26" s="189"/>
      <c r="C26" s="190" t="s">
        <v>1328</v>
      </c>
      <c r="D26" s="190"/>
      <c r="E26" s="190"/>
      <c r="F26" s="190"/>
      <c r="G26" s="190"/>
      <c r="H26" s="190"/>
      <c r="I26" s="190"/>
      <c r="J26" s="190"/>
      <c r="K26" s="190"/>
      <c r="L26" s="190"/>
      <c r="M26" s="190"/>
      <c r="N26" s="190"/>
      <c r="O26" s="190"/>
      <c r="P26" s="190"/>
      <c r="Q26" s="190"/>
      <c r="R26" s="190"/>
      <c r="S26" s="190"/>
      <c r="T26" s="190"/>
      <c r="U26" s="190"/>
      <c r="V26" s="190"/>
      <c r="W26" s="190"/>
      <c r="X26" s="190"/>
      <c r="Y26" s="190"/>
      <c r="Z26" s="190"/>
      <c r="AA26" s="190"/>
      <c r="AB26" s="190"/>
      <c r="AC26" s="190"/>
      <c r="AD26" s="190"/>
      <c r="AE26" s="190"/>
      <c r="AF26" s="190"/>
      <c r="AG26" s="190"/>
      <c r="AH26" s="190"/>
      <c r="AI26" s="190"/>
      <c r="AJ26" s="190"/>
      <c r="AK26" s="190"/>
      <c r="AL26" s="190"/>
      <c r="AM26" s="190"/>
      <c r="AN26" s="190"/>
      <c r="AO26" s="190"/>
      <c r="AP26" s="190"/>
      <c r="AQ26" s="190"/>
      <c r="AR26" s="190"/>
      <c r="AS26" s="190"/>
      <c r="AT26" s="190"/>
      <c r="AU26" s="190"/>
    </row>
    <row r="27" customFormat="false" ht="15.75" hidden="false" customHeight="true" outlineLevel="0" collapsed="false">
      <c r="A27" s="191" t="str">
        <f aca="false">IF($F27="","",$C$2&amp;"."&amp;COUNTA($F$7:$F27)&amp;"")</f>
        <v>TC_10.14</v>
      </c>
      <c r="B27" s="191" t="s">
        <v>607</v>
      </c>
      <c r="C27" s="191" t="s">
        <v>840</v>
      </c>
      <c r="D27" s="191" t="s">
        <v>41</v>
      </c>
      <c r="E27" s="191" t="s">
        <v>160</v>
      </c>
      <c r="F27" s="13" t="s">
        <v>1329</v>
      </c>
      <c r="G27" s="13" t="s">
        <v>800</v>
      </c>
      <c r="H27" s="13" t="s">
        <v>1330</v>
      </c>
      <c r="I27" s="13" t="s">
        <v>1331</v>
      </c>
      <c r="J27" s="191" t="s">
        <v>658</v>
      </c>
      <c r="K27" s="191" t="s">
        <v>245</v>
      </c>
      <c r="L27" s="191"/>
      <c r="M27" s="191"/>
      <c r="N27" s="192"/>
      <c r="O27" s="192"/>
      <c r="P27" s="192"/>
      <c r="Q27" s="192"/>
      <c r="R27" s="192"/>
      <c r="S27" s="192"/>
      <c r="T27" s="192"/>
      <c r="U27" s="192"/>
      <c r="V27" s="192"/>
      <c r="W27" s="192"/>
      <c r="X27" s="192"/>
      <c r="Y27" s="192"/>
      <c r="Z27" s="192"/>
      <c r="AA27" s="192"/>
      <c r="AB27" s="192"/>
      <c r="AC27" s="192"/>
      <c r="AD27" s="192"/>
      <c r="AE27" s="192"/>
      <c r="AF27" s="192"/>
      <c r="AG27" s="192"/>
      <c r="AH27" s="192"/>
      <c r="AI27" s="192"/>
      <c r="AJ27" s="192"/>
      <c r="AK27" s="192"/>
      <c r="AL27" s="192"/>
      <c r="AM27" s="192"/>
      <c r="AN27" s="192"/>
      <c r="AO27" s="192"/>
      <c r="AP27" s="192"/>
      <c r="AQ27" s="192"/>
      <c r="AR27" s="193" t="str">
        <f aca="false">IF($A27="","",IF(OR($N27="Yes",$T27="Yes",$Z27="Yes",$AF27="Yes",$AL27="Yes"),"Yes","No"))</f>
        <v>No</v>
      </c>
      <c r="AS27" s="193" t="str">
        <f aca="false">IF($A27="","",IFERROR(IF($AM27&lt;&gt;"",$AM27,IF($AG27&lt;&gt;"",$AG27,IF($AA27&lt;&gt;"",$AA27,IF($U27&lt;&gt;"",$U27,IF($O27&lt;&gt;"",$O27,""))))),""))</f>
        <v/>
      </c>
      <c r="AT27" s="193" t="str">
        <f aca="false">IFERROR(IF($AN27&lt;&gt;"",$AN27,IF($AH27&lt;&gt;"",$AH27,IF($AB27&lt;&gt;"",$AB27,IF($V27&lt;&gt;"",$V27,IF($P27&lt;&gt;"",$P27,""))))),"")</f>
        <v/>
      </c>
      <c r="AU27" s="194"/>
    </row>
    <row r="28" customFormat="false" ht="15.75" hidden="false" customHeight="true" outlineLevel="0" collapsed="false">
      <c r="A28" s="189"/>
      <c r="B28" s="189"/>
      <c r="C28" s="190" t="s">
        <v>1332</v>
      </c>
      <c r="D28" s="190"/>
      <c r="E28" s="190"/>
      <c r="F28" s="190"/>
      <c r="G28" s="190"/>
      <c r="H28" s="190"/>
      <c r="I28" s="190"/>
      <c r="J28" s="190"/>
      <c r="K28" s="190"/>
      <c r="L28" s="190"/>
      <c r="M28" s="190"/>
      <c r="N28" s="190"/>
      <c r="O28" s="190"/>
      <c r="P28" s="190"/>
      <c r="Q28" s="190"/>
      <c r="R28" s="190"/>
      <c r="S28" s="190"/>
      <c r="T28" s="190"/>
      <c r="U28" s="190"/>
      <c r="V28" s="190"/>
      <c r="W28" s="190"/>
      <c r="X28" s="190"/>
      <c r="Y28" s="190"/>
      <c r="Z28" s="190"/>
      <c r="AA28" s="190"/>
      <c r="AB28" s="190"/>
      <c r="AC28" s="190"/>
      <c r="AD28" s="190"/>
      <c r="AE28" s="190"/>
      <c r="AF28" s="190"/>
      <c r="AG28" s="190"/>
      <c r="AH28" s="190"/>
      <c r="AI28" s="190"/>
      <c r="AJ28" s="190"/>
      <c r="AK28" s="190"/>
      <c r="AL28" s="190"/>
      <c r="AM28" s="190"/>
      <c r="AN28" s="190"/>
      <c r="AO28" s="190"/>
      <c r="AP28" s="190"/>
      <c r="AQ28" s="190"/>
      <c r="AR28" s="190"/>
      <c r="AS28" s="190"/>
      <c r="AT28" s="190"/>
      <c r="AU28" s="190"/>
    </row>
    <row r="29" customFormat="false" ht="15.75" hidden="false" customHeight="true" outlineLevel="0" collapsed="false">
      <c r="A29" s="191" t="str">
        <f aca="false">IF($F29="","",$C$2&amp;"."&amp;COUNTA($F$7:$F29)&amp;"")</f>
        <v>TC_10.15</v>
      </c>
      <c r="B29" s="191" t="s">
        <v>607</v>
      </c>
      <c r="C29" s="191" t="s">
        <v>840</v>
      </c>
      <c r="D29" s="191" t="s">
        <v>43</v>
      </c>
      <c r="E29" s="191" t="s">
        <v>159</v>
      </c>
      <c r="F29" s="13" t="s">
        <v>1333</v>
      </c>
      <c r="G29" s="13" t="s">
        <v>800</v>
      </c>
      <c r="H29" s="13" t="s">
        <v>1334</v>
      </c>
      <c r="I29" s="13" t="s">
        <v>1335</v>
      </c>
      <c r="J29" s="191" t="s">
        <v>658</v>
      </c>
      <c r="K29" s="191" t="s">
        <v>245</v>
      </c>
      <c r="L29" s="191"/>
      <c r="M29" s="191"/>
      <c r="N29" s="192"/>
      <c r="O29" s="192"/>
      <c r="P29" s="192"/>
      <c r="Q29" s="192"/>
      <c r="R29" s="192"/>
      <c r="S29" s="192"/>
      <c r="T29" s="192"/>
      <c r="U29" s="192"/>
      <c r="V29" s="192"/>
      <c r="W29" s="192"/>
      <c r="X29" s="192"/>
      <c r="Y29" s="192"/>
      <c r="Z29" s="192"/>
      <c r="AA29" s="192"/>
      <c r="AB29" s="192"/>
      <c r="AC29" s="192"/>
      <c r="AD29" s="192"/>
      <c r="AE29" s="192"/>
      <c r="AF29" s="192"/>
      <c r="AG29" s="192"/>
      <c r="AH29" s="192"/>
      <c r="AI29" s="192"/>
      <c r="AJ29" s="192"/>
      <c r="AK29" s="192"/>
      <c r="AL29" s="192"/>
      <c r="AM29" s="192"/>
      <c r="AN29" s="192"/>
      <c r="AO29" s="192"/>
      <c r="AP29" s="192"/>
      <c r="AQ29" s="192"/>
      <c r="AR29" s="193" t="str">
        <f aca="false">IF($A29="","",IF(OR($N29="Yes",$T29="Yes",$Z29="Yes",$AF29="Yes",$AL29="Yes"),"Yes","No"))</f>
        <v>No</v>
      </c>
      <c r="AS29" s="193" t="str">
        <f aca="false">IF($A29="","",IFERROR(IF($AM29&lt;&gt;"",$AM29,IF($AG29&lt;&gt;"",$AG29,IF($AA29&lt;&gt;"",$AA29,IF($U29&lt;&gt;"",$U29,IF($O29&lt;&gt;"",$O29,""))))),""))</f>
        <v/>
      </c>
      <c r="AT29" s="193" t="str">
        <f aca="false">IFERROR(IF($AN29&lt;&gt;"",$AN29,IF($AH29&lt;&gt;"",$AH29,IF($AB29&lt;&gt;"",$AB29,IF($V29&lt;&gt;"",$V29,IF($P29&lt;&gt;"",$P29,""))))),"")</f>
        <v/>
      </c>
      <c r="AU29" s="194"/>
    </row>
    <row r="30" customFormat="false" ht="15.75" hidden="false" customHeight="true" outlineLevel="0" collapsed="false">
      <c r="A30" s="191" t="str">
        <f aca="false">IF($F30="","",$C$2&amp;"."&amp;COUNTA($F$7:$F30)&amp;"")</f>
        <v>TC_10.16</v>
      </c>
      <c r="B30" s="191" t="s">
        <v>607</v>
      </c>
      <c r="C30" s="191" t="s">
        <v>840</v>
      </c>
      <c r="D30" s="191" t="s">
        <v>43</v>
      </c>
      <c r="E30" s="191" t="s">
        <v>159</v>
      </c>
      <c r="F30" s="13" t="s">
        <v>1336</v>
      </c>
      <c r="G30" s="13" t="s">
        <v>800</v>
      </c>
      <c r="H30" s="13" t="s">
        <v>1337</v>
      </c>
      <c r="I30" s="13" t="s">
        <v>1338</v>
      </c>
      <c r="J30" s="191" t="s">
        <v>658</v>
      </c>
      <c r="K30" s="191" t="s">
        <v>245</v>
      </c>
      <c r="L30" s="191"/>
      <c r="M30" s="191"/>
      <c r="N30" s="192"/>
      <c r="O30" s="192"/>
      <c r="P30" s="192"/>
      <c r="Q30" s="192"/>
      <c r="R30" s="192"/>
      <c r="S30" s="192"/>
      <c r="T30" s="192"/>
      <c r="U30" s="192"/>
      <c r="V30" s="192"/>
      <c r="W30" s="192"/>
      <c r="X30" s="192"/>
      <c r="Y30" s="192"/>
      <c r="Z30" s="192"/>
      <c r="AA30" s="192"/>
      <c r="AB30" s="192"/>
      <c r="AC30" s="192"/>
      <c r="AD30" s="192"/>
      <c r="AE30" s="192"/>
      <c r="AF30" s="192"/>
      <c r="AG30" s="192"/>
      <c r="AH30" s="192"/>
      <c r="AI30" s="192"/>
      <c r="AJ30" s="192"/>
      <c r="AK30" s="192"/>
      <c r="AL30" s="192"/>
      <c r="AM30" s="192"/>
      <c r="AN30" s="192"/>
      <c r="AO30" s="192"/>
      <c r="AP30" s="192"/>
      <c r="AQ30" s="192"/>
      <c r="AR30" s="193" t="str">
        <f aca="false">IF($A30="","",IF(OR($N30="Yes",$T30="Yes",$Z30="Yes",$AF30="Yes",$AL30="Yes"),"Yes","No"))</f>
        <v>No</v>
      </c>
      <c r="AS30" s="193" t="str">
        <f aca="false">IF($A30="","",IFERROR(IF($AM30&lt;&gt;"",$AM30,IF($AG30&lt;&gt;"",$AG30,IF($AA30&lt;&gt;"",$AA30,IF($U30&lt;&gt;"",$U30,IF($O30&lt;&gt;"",$O30,""))))),""))</f>
        <v/>
      </c>
      <c r="AT30" s="193" t="str">
        <f aca="false">IFERROR(IF($AN30&lt;&gt;"",$AN30,IF($AH30&lt;&gt;"",$AH30,IF($AB30&lt;&gt;"",$AB30,IF($V30&lt;&gt;"",$V30,IF($P30&lt;&gt;"",$P30,""))))),"")</f>
        <v/>
      </c>
      <c r="AU30" s="194"/>
    </row>
    <row r="31" customFormat="false" ht="15.75" hidden="false" customHeight="true" outlineLevel="0" collapsed="false">
      <c r="A31" s="191" t="str">
        <f aca="false">IF($F31="","",$C$2&amp;"."&amp;COUNTA($F$7:$F31)&amp;"")</f>
        <v>TC_10.17</v>
      </c>
      <c r="B31" s="191" t="s">
        <v>607</v>
      </c>
      <c r="C31" s="191" t="s">
        <v>840</v>
      </c>
      <c r="D31" s="191" t="s">
        <v>43</v>
      </c>
      <c r="E31" s="191" t="s">
        <v>159</v>
      </c>
      <c r="F31" s="13" t="s">
        <v>1339</v>
      </c>
      <c r="G31" s="13" t="s">
        <v>800</v>
      </c>
      <c r="H31" s="13" t="s">
        <v>1340</v>
      </c>
      <c r="I31" s="13" t="s">
        <v>1341</v>
      </c>
      <c r="J31" s="191" t="s">
        <v>658</v>
      </c>
      <c r="K31" s="191" t="s">
        <v>245</v>
      </c>
      <c r="L31" s="191"/>
      <c r="M31" s="191"/>
      <c r="N31" s="192"/>
      <c r="O31" s="192"/>
      <c r="P31" s="192"/>
      <c r="Q31" s="192"/>
      <c r="R31" s="192"/>
      <c r="S31" s="192"/>
      <c r="T31" s="192"/>
      <c r="U31" s="192"/>
      <c r="V31" s="192"/>
      <c r="W31" s="192"/>
      <c r="X31" s="192"/>
      <c r="Y31" s="192"/>
      <c r="Z31" s="192"/>
      <c r="AA31" s="192"/>
      <c r="AB31" s="192"/>
      <c r="AC31" s="192"/>
      <c r="AD31" s="192"/>
      <c r="AE31" s="192"/>
      <c r="AF31" s="192"/>
      <c r="AG31" s="192"/>
      <c r="AH31" s="192"/>
      <c r="AI31" s="192"/>
      <c r="AJ31" s="192"/>
      <c r="AK31" s="192"/>
      <c r="AL31" s="192"/>
      <c r="AM31" s="192"/>
      <c r="AN31" s="192"/>
      <c r="AO31" s="192"/>
      <c r="AP31" s="192"/>
      <c r="AQ31" s="192"/>
      <c r="AR31" s="193" t="str">
        <f aca="false">IF($A31="","",IF(OR($N31="Yes",$T31="Yes",$Z31="Yes",$AF31="Yes",$AL31="Yes"),"Yes","No"))</f>
        <v>No</v>
      </c>
      <c r="AS31" s="193" t="str">
        <f aca="false">IF($A31="","",IFERROR(IF($AM31&lt;&gt;"",$AM31,IF($AG31&lt;&gt;"",$AG31,IF($AA31&lt;&gt;"",$AA31,IF($U31&lt;&gt;"",$U31,IF($O31&lt;&gt;"",$O31,""))))),""))</f>
        <v/>
      </c>
      <c r="AT31" s="193" t="str">
        <f aca="false">IFERROR(IF($AN31&lt;&gt;"",$AN31,IF($AH31&lt;&gt;"",$AH31,IF($AB31&lt;&gt;"",$AB31,IF($V31&lt;&gt;"",$V31,IF($P31&lt;&gt;"",$P31,""))))),"")</f>
        <v/>
      </c>
      <c r="AU31" s="194"/>
    </row>
    <row r="32" customFormat="false" ht="15.75" hidden="false" customHeight="true" outlineLevel="0" collapsed="false">
      <c r="A32" s="191"/>
      <c r="B32" s="191"/>
      <c r="C32" s="191"/>
      <c r="D32" s="191"/>
      <c r="E32" s="191"/>
      <c r="F32" s="191"/>
      <c r="G32" s="191"/>
      <c r="H32" s="191"/>
      <c r="I32" s="191"/>
      <c r="J32" s="191"/>
      <c r="K32" s="191"/>
      <c r="L32" s="191"/>
      <c r="M32" s="191"/>
      <c r="N32" s="191"/>
      <c r="O32" s="191"/>
      <c r="P32" s="191"/>
      <c r="Q32" s="191"/>
      <c r="AR32" s="195"/>
      <c r="AS32" s="195"/>
    </row>
    <row r="33" customFormat="false" ht="15.75" hidden="false" customHeight="true" outlineLevel="0" collapsed="false">
      <c r="A33" s="191"/>
      <c r="B33" s="191"/>
      <c r="C33" s="191"/>
      <c r="D33" s="191"/>
      <c r="E33" s="191"/>
      <c r="F33" s="191"/>
      <c r="G33" s="191"/>
      <c r="H33" s="191"/>
      <c r="I33" s="191"/>
      <c r="J33" s="191"/>
      <c r="K33" s="191"/>
      <c r="L33" s="191"/>
      <c r="M33" s="191"/>
      <c r="N33" s="191"/>
      <c r="O33" s="191"/>
      <c r="P33" s="191"/>
      <c r="Q33" s="191"/>
      <c r="AR33" s="195"/>
      <c r="AS33" s="195"/>
    </row>
    <row r="34" customFormat="false" ht="15.75" hidden="false" customHeight="true" outlineLevel="0" collapsed="false">
      <c r="A34" s="191"/>
      <c r="B34" s="191"/>
      <c r="C34" s="191"/>
      <c r="D34" s="191"/>
      <c r="E34" s="191"/>
      <c r="F34" s="191"/>
      <c r="G34" s="191"/>
      <c r="H34" s="191"/>
      <c r="I34" s="191"/>
      <c r="J34" s="191"/>
      <c r="K34" s="191"/>
      <c r="L34" s="191"/>
      <c r="M34" s="191"/>
      <c r="N34" s="191"/>
      <c r="O34" s="191"/>
      <c r="P34" s="191"/>
      <c r="Q34" s="191"/>
      <c r="AR34" s="195"/>
      <c r="AS34" s="195"/>
    </row>
    <row r="35" customFormat="false" ht="15.75" hidden="false" customHeight="true" outlineLevel="0" collapsed="false">
      <c r="A35" s="191"/>
      <c r="B35" s="191"/>
      <c r="C35" s="191"/>
      <c r="D35" s="191"/>
      <c r="E35" s="191"/>
      <c r="F35" s="191"/>
      <c r="G35" s="191"/>
      <c r="H35" s="191"/>
      <c r="I35" s="191"/>
      <c r="J35" s="191"/>
      <c r="K35" s="191"/>
      <c r="L35" s="191"/>
      <c r="M35" s="191"/>
      <c r="N35" s="191"/>
      <c r="O35" s="191"/>
      <c r="P35" s="191"/>
      <c r="Q35" s="191"/>
      <c r="AR35" s="195"/>
      <c r="AS35" s="195"/>
    </row>
    <row r="36" customFormat="false" ht="15.75" hidden="false" customHeight="true" outlineLevel="0" collapsed="false">
      <c r="A36" s="191"/>
      <c r="B36" s="191"/>
      <c r="C36" s="191"/>
      <c r="D36" s="191"/>
      <c r="E36" s="191"/>
      <c r="F36" s="191"/>
      <c r="G36" s="191"/>
      <c r="H36" s="191"/>
      <c r="I36" s="191"/>
      <c r="J36" s="191"/>
      <c r="K36" s="191"/>
      <c r="L36" s="191"/>
      <c r="M36" s="191"/>
      <c r="N36" s="191"/>
      <c r="O36" s="191"/>
      <c r="P36" s="191"/>
      <c r="Q36" s="191"/>
      <c r="AR36" s="195"/>
      <c r="AS36" s="195"/>
    </row>
    <row r="37" customFormat="false" ht="15.75" hidden="false" customHeight="true" outlineLevel="0" collapsed="false">
      <c r="A37" s="191"/>
      <c r="B37" s="191"/>
      <c r="C37" s="191"/>
      <c r="D37" s="191"/>
      <c r="E37" s="191"/>
      <c r="F37" s="191"/>
      <c r="G37" s="191"/>
      <c r="H37" s="191"/>
      <c r="I37" s="191"/>
      <c r="J37" s="191"/>
      <c r="K37" s="191"/>
      <c r="L37" s="191"/>
      <c r="M37" s="191"/>
      <c r="N37" s="191"/>
      <c r="O37" s="191"/>
      <c r="P37" s="191"/>
      <c r="Q37" s="191"/>
      <c r="AR37" s="195"/>
      <c r="AS37" s="195"/>
    </row>
    <row r="38" customFormat="false" ht="15.75" hidden="false" customHeight="true" outlineLevel="0" collapsed="false">
      <c r="A38" s="191"/>
      <c r="B38" s="191"/>
      <c r="C38" s="191"/>
      <c r="D38" s="191"/>
      <c r="E38" s="191"/>
      <c r="F38" s="191"/>
      <c r="G38" s="191"/>
      <c r="H38" s="191"/>
      <c r="I38" s="191"/>
      <c r="J38" s="191"/>
      <c r="K38" s="191"/>
      <c r="L38" s="191"/>
      <c r="M38" s="191"/>
      <c r="N38" s="191"/>
      <c r="O38" s="191"/>
      <c r="P38" s="191"/>
      <c r="Q38" s="191"/>
      <c r="AR38" s="195"/>
      <c r="AS38" s="195"/>
    </row>
    <row r="39" customFormat="false" ht="15.75" hidden="false" customHeight="true" outlineLevel="0" collapsed="false">
      <c r="A39" s="191"/>
      <c r="B39" s="191"/>
      <c r="C39" s="191"/>
      <c r="D39" s="191"/>
      <c r="E39" s="191"/>
      <c r="F39" s="191"/>
      <c r="G39" s="191"/>
      <c r="H39" s="191"/>
      <c r="I39" s="191"/>
      <c r="J39" s="191"/>
      <c r="K39" s="191"/>
      <c r="L39" s="191"/>
      <c r="M39" s="191"/>
      <c r="N39" s="191"/>
      <c r="O39" s="191"/>
      <c r="P39" s="191"/>
      <c r="Q39" s="191"/>
      <c r="AR39" s="195"/>
      <c r="AS39" s="195"/>
    </row>
    <row r="40" customFormat="false" ht="15.75" hidden="false" customHeight="true" outlineLevel="0" collapsed="false">
      <c r="A40" s="191"/>
      <c r="B40" s="191"/>
      <c r="C40" s="191"/>
      <c r="D40" s="191"/>
      <c r="E40" s="191"/>
      <c r="F40" s="191"/>
      <c r="G40" s="191"/>
      <c r="H40" s="191"/>
      <c r="I40" s="191"/>
      <c r="J40" s="191"/>
      <c r="K40" s="191"/>
      <c r="L40" s="191"/>
      <c r="M40" s="191"/>
      <c r="N40" s="191"/>
      <c r="O40" s="191"/>
      <c r="P40" s="191"/>
      <c r="Q40" s="191"/>
      <c r="AR40" s="195"/>
      <c r="AS40" s="195"/>
    </row>
    <row r="41" customFormat="false" ht="15.75" hidden="false" customHeight="true" outlineLevel="0" collapsed="false">
      <c r="A41" s="191"/>
      <c r="B41" s="191"/>
      <c r="C41" s="191"/>
      <c r="D41" s="191"/>
      <c r="E41" s="191"/>
      <c r="F41" s="191"/>
      <c r="G41" s="191"/>
      <c r="H41" s="191"/>
      <c r="I41" s="191"/>
      <c r="J41" s="191"/>
      <c r="K41" s="191"/>
      <c r="L41" s="191"/>
      <c r="M41" s="191"/>
      <c r="N41" s="191"/>
      <c r="O41" s="191"/>
      <c r="P41" s="191"/>
      <c r="Q41" s="191"/>
      <c r="AR41" s="195"/>
      <c r="AS41" s="195"/>
    </row>
    <row r="42" customFormat="false" ht="15.75" hidden="false" customHeight="true" outlineLevel="0" collapsed="false">
      <c r="A42" s="191"/>
      <c r="B42" s="191"/>
      <c r="C42" s="191"/>
      <c r="D42" s="191"/>
      <c r="E42" s="191"/>
      <c r="F42" s="191"/>
      <c r="G42" s="191"/>
      <c r="H42" s="191"/>
      <c r="I42" s="191"/>
      <c r="J42" s="191"/>
      <c r="K42" s="191"/>
      <c r="L42" s="191"/>
      <c r="M42" s="191"/>
      <c r="N42" s="191"/>
      <c r="O42" s="191"/>
      <c r="P42" s="191"/>
      <c r="Q42" s="191"/>
      <c r="AR42" s="195"/>
      <c r="AS42" s="195"/>
    </row>
    <row r="43" customFormat="false" ht="15.75" hidden="false" customHeight="true" outlineLevel="0" collapsed="false">
      <c r="A43" s="191"/>
      <c r="B43" s="191"/>
      <c r="C43" s="191"/>
      <c r="D43" s="191"/>
      <c r="E43" s="191"/>
      <c r="F43" s="191"/>
      <c r="G43" s="191"/>
      <c r="H43" s="191"/>
      <c r="I43" s="191"/>
      <c r="J43" s="191"/>
      <c r="K43" s="191"/>
      <c r="L43" s="191"/>
      <c r="M43" s="191"/>
      <c r="N43" s="191"/>
      <c r="O43" s="191"/>
      <c r="P43" s="191"/>
      <c r="Q43" s="191"/>
      <c r="AR43" s="195"/>
      <c r="AS43" s="195"/>
    </row>
    <row r="44" customFormat="false" ht="15.75" hidden="false" customHeight="true" outlineLevel="0" collapsed="false">
      <c r="A44" s="191"/>
      <c r="B44" s="191"/>
      <c r="C44" s="191"/>
      <c r="D44" s="191"/>
      <c r="E44" s="191"/>
      <c r="F44" s="191"/>
      <c r="G44" s="191"/>
      <c r="H44" s="191"/>
      <c r="I44" s="191"/>
      <c r="J44" s="191"/>
      <c r="K44" s="191"/>
      <c r="L44" s="191"/>
      <c r="M44" s="191"/>
      <c r="N44" s="191"/>
      <c r="O44" s="191"/>
      <c r="P44" s="191"/>
      <c r="Q44" s="191"/>
      <c r="AR44" s="195"/>
      <c r="AS44" s="195"/>
    </row>
    <row r="45" customFormat="false" ht="15.75" hidden="false" customHeight="true" outlineLevel="0" collapsed="false">
      <c r="A45" s="191"/>
      <c r="B45" s="191"/>
      <c r="C45" s="191"/>
      <c r="D45" s="191"/>
      <c r="E45" s="191"/>
      <c r="F45" s="191"/>
      <c r="G45" s="191"/>
      <c r="H45" s="191"/>
      <c r="I45" s="191"/>
      <c r="J45" s="191"/>
      <c r="K45" s="191"/>
      <c r="L45" s="191"/>
      <c r="M45" s="191"/>
      <c r="N45" s="191"/>
      <c r="O45" s="191"/>
      <c r="P45" s="191"/>
      <c r="Q45" s="191"/>
      <c r="AR45" s="195"/>
      <c r="AS45" s="195"/>
    </row>
    <row r="46" customFormat="false" ht="15.75" hidden="false" customHeight="true" outlineLevel="0" collapsed="false">
      <c r="A46" s="191"/>
      <c r="B46" s="191"/>
      <c r="C46" s="191"/>
      <c r="D46" s="191"/>
      <c r="E46" s="191"/>
      <c r="F46" s="191"/>
      <c r="G46" s="191"/>
      <c r="H46" s="191"/>
      <c r="I46" s="191"/>
      <c r="J46" s="191"/>
      <c r="K46" s="191"/>
      <c r="L46" s="191"/>
      <c r="M46" s="191"/>
      <c r="N46" s="191"/>
      <c r="O46" s="191"/>
      <c r="P46" s="191"/>
      <c r="Q46" s="191"/>
      <c r="AR46" s="195"/>
      <c r="AS46" s="195"/>
    </row>
    <row r="47" customFormat="false" ht="15.75" hidden="false" customHeight="true" outlineLevel="0" collapsed="false">
      <c r="A47" s="191"/>
      <c r="B47" s="191"/>
      <c r="C47" s="191"/>
      <c r="D47" s="191"/>
      <c r="E47" s="191"/>
      <c r="F47" s="191"/>
      <c r="G47" s="191"/>
      <c r="H47" s="191"/>
      <c r="I47" s="191"/>
      <c r="J47" s="191"/>
      <c r="K47" s="191"/>
      <c r="L47" s="191"/>
      <c r="M47" s="191"/>
      <c r="N47" s="191"/>
      <c r="O47" s="191"/>
      <c r="P47" s="191"/>
      <c r="Q47" s="191"/>
      <c r="AR47" s="195"/>
      <c r="AS47" s="195"/>
    </row>
    <row r="48" customFormat="false" ht="15.75" hidden="false" customHeight="true" outlineLevel="0" collapsed="false">
      <c r="A48" s="191"/>
      <c r="B48" s="191"/>
      <c r="C48" s="191"/>
      <c r="D48" s="191"/>
      <c r="E48" s="191"/>
      <c r="F48" s="191"/>
      <c r="G48" s="191"/>
      <c r="H48" s="191"/>
      <c r="I48" s="191"/>
      <c r="J48" s="191"/>
      <c r="K48" s="191"/>
      <c r="L48" s="191"/>
      <c r="M48" s="191"/>
      <c r="N48" s="191"/>
      <c r="O48" s="191"/>
      <c r="P48" s="191"/>
      <c r="Q48" s="191"/>
      <c r="AR48" s="195"/>
      <c r="AS48" s="195"/>
    </row>
    <row r="49" customFormat="false" ht="15.75" hidden="false" customHeight="true" outlineLevel="0" collapsed="false">
      <c r="A49" s="191"/>
      <c r="B49" s="191"/>
      <c r="C49" s="191"/>
      <c r="D49" s="191"/>
      <c r="E49" s="191"/>
      <c r="F49" s="191"/>
      <c r="G49" s="191"/>
      <c r="H49" s="191"/>
      <c r="I49" s="191"/>
      <c r="J49" s="191"/>
      <c r="K49" s="191"/>
      <c r="L49" s="191"/>
      <c r="M49" s="191"/>
      <c r="N49" s="191"/>
      <c r="O49" s="191"/>
      <c r="P49" s="191"/>
      <c r="Q49" s="191"/>
      <c r="AR49" s="195"/>
      <c r="AS49" s="195"/>
    </row>
    <row r="50" customFormat="false" ht="15.75" hidden="false" customHeight="true" outlineLevel="0" collapsed="false">
      <c r="A50" s="191"/>
      <c r="B50" s="191"/>
      <c r="C50" s="191"/>
      <c r="D50" s="191"/>
      <c r="E50" s="191"/>
      <c r="F50" s="191"/>
      <c r="G50" s="191"/>
      <c r="H50" s="191"/>
      <c r="I50" s="191"/>
      <c r="J50" s="191"/>
      <c r="K50" s="191"/>
      <c r="L50" s="191"/>
      <c r="M50" s="191"/>
      <c r="N50" s="191"/>
      <c r="O50" s="191"/>
      <c r="P50" s="191"/>
      <c r="Q50" s="191"/>
      <c r="AR50" s="195"/>
      <c r="AS50" s="195"/>
    </row>
    <row r="51" customFormat="false" ht="15.75" hidden="false" customHeight="true" outlineLevel="0" collapsed="false">
      <c r="A51" s="191"/>
      <c r="B51" s="191"/>
      <c r="C51" s="191"/>
      <c r="D51" s="191"/>
      <c r="E51" s="191"/>
      <c r="F51" s="191"/>
      <c r="G51" s="191"/>
      <c r="H51" s="191"/>
      <c r="I51" s="191"/>
      <c r="J51" s="191"/>
      <c r="K51" s="191"/>
      <c r="L51" s="191"/>
      <c r="M51" s="191"/>
      <c r="N51" s="191"/>
      <c r="O51" s="191"/>
      <c r="P51" s="191"/>
      <c r="Q51" s="191"/>
      <c r="AR51" s="195"/>
      <c r="AS51" s="195"/>
    </row>
    <row r="52" customFormat="false" ht="15.75" hidden="false" customHeight="true" outlineLevel="0" collapsed="false">
      <c r="A52" s="191"/>
      <c r="B52" s="191"/>
      <c r="C52" s="191"/>
      <c r="D52" s="191"/>
      <c r="E52" s="191"/>
      <c r="F52" s="191"/>
      <c r="G52" s="191"/>
      <c r="H52" s="191"/>
      <c r="I52" s="191"/>
      <c r="J52" s="191"/>
      <c r="K52" s="191"/>
      <c r="L52" s="191"/>
      <c r="M52" s="191"/>
      <c r="N52" s="191"/>
      <c r="O52" s="191"/>
      <c r="P52" s="191"/>
      <c r="Q52" s="191"/>
      <c r="AR52" s="195"/>
      <c r="AS52" s="195"/>
    </row>
    <row r="53" customFormat="false" ht="15.75" hidden="false" customHeight="true" outlineLevel="0" collapsed="false">
      <c r="A53" s="191"/>
      <c r="B53" s="191"/>
      <c r="C53" s="191"/>
      <c r="D53" s="191"/>
      <c r="E53" s="191"/>
      <c r="F53" s="191"/>
      <c r="G53" s="191"/>
      <c r="H53" s="191"/>
      <c r="I53" s="191"/>
      <c r="J53" s="191"/>
      <c r="K53" s="191"/>
      <c r="L53" s="191"/>
      <c r="M53" s="191"/>
      <c r="N53" s="191"/>
      <c r="O53" s="191"/>
      <c r="P53" s="191"/>
      <c r="Q53" s="191"/>
      <c r="AR53" s="195"/>
      <c r="AS53" s="195"/>
    </row>
    <row r="54" customFormat="false" ht="15.75" hidden="false" customHeight="true" outlineLevel="0" collapsed="false">
      <c r="A54" s="191"/>
      <c r="B54" s="191"/>
      <c r="C54" s="191"/>
      <c r="D54" s="191"/>
      <c r="E54" s="191"/>
      <c r="F54" s="191"/>
      <c r="G54" s="191"/>
      <c r="H54" s="191"/>
      <c r="I54" s="191"/>
      <c r="J54" s="191"/>
      <c r="K54" s="191"/>
      <c r="L54" s="191"/>
      <c r="M54" s="191"/>
      <c r="N54" s="191"/>
      <c r="O54" s="191"/>
      <c r="P54" s="191"/>
      <c r="Q54" s="191"/>
      <c r="AR54" s="195"/>
      <c r="AS54" s="195"/>
    </row>
    <row r="55" customFormat="false" ht="15.75" hidden="false" customHeight="true" outlineLevel="0" collapsed="false">
      <c r="A55" s="191"/>
      <c r="B55" s="191"/>
      <c r="C55" s="191"/>
      <c r="D55" s="191"/>
      <c r="E55" s="191"/>
      <c r="F55" s="191"/>
      <c r="G55" s="191"/>
      <c r="H55" s="191"/>
      <c r="I55" s="191"/>
      <c r="J55" s="191"/>
      <c r="K55" s="191"/>
      <c r="L55" s="191"/>
      <c r="M55" s="191"/>
      <c r="N55" s="191"/>
      <c r="O55" s="191"/>
      <c r="P55" s="191"/>
      <c r="Q55" s="191"/>
      <c r="AR55" s="195"/>
      <c r="AS55" s="195"/>
    </row>
    <row r="56" customFormat="false" ht="15.75" hidden="false" customHeight="true" outlineLevel="0" collapsed="false">
      <c r="A56" s="191"/>
      <c r="B56" s="191"/>
      <c r="C56" s="191"/>
      <c r="D56" s="191"/>
      <c r="E56" s="191"/>
      <c r="F56" s="191"/>
      <c r="G56" s="191"/>
      <c r="H56" s="191"/>
      <c r="I56" s="191"/>
      <c r="J56" s="191"/>
      <c r="K56" s="191"/>
      <c r="L56" s="191"/>
      <c r="M56" s="191"/>
      <c r="N56" s="191"/>
      <c r="O56" s="191"/>
      <c r="P56" s="191"/>
      <c r="Q56" s="191"/>
      <c r="AR56" s="195"/>
      <c r="AS56" s="195"/>
    </row>
    <row r="57" customFormat="false" ht="15.75" hidden="false" customHeight="true" outlineLevel="0" collapsed="false">
      <c r="A57" s="191"/>
      <c r="B57" s="191"/>
      <c r="C57" s="191"/>
      <c r="D57" s="191"/>
      <c r="E57" s="191"/>
      <c r="F57" s="191"/>
      <c r="G57" s="191"/>
      <c r="H57" s="191"/>
      <c r="I57" s="191"/>
      <c r="J57" s="191"/>
      <c r="K57" s="191"/>
      <c r="L57" s="191"/>
      <c r="M57" s="191"/>
      <c r="N57" s="191"/>
      <c r="O57" s="191"/>
      <c r="P57" s="191"/>
      <c r="Q57" s="191"/>
      <c r="AR57" s="195"/>
      <c r="AS57" s="195"/>
    </row>
    <row r="58" customFormat="false" ht="15.75" hidden="false" customHeight="true" outlineLevel="0" collapsed="false">
      <c r="A58" s="191"/>
      <c r="B58" s="191"/>
      <c r="C58" s="191"/>
      <c r="D58" s="191"/>
      <c r="E58" s="191"/>
      <c r="F58" s="191"/>
      <c r="G58" s="191"/>
      <c r="H58" s="191"/>
      <c r="I58" s="191"/>
      <c r="J58" s="191"/>
      <c r="K58" s="191"/>
      <c r="L58" s="191"/>
      <c r="M58" s="191"/>
      <c r="N58" s="191"/>
      <c r="O58" s="191"/>
      <c r="P58" s="191"/>
      <c r="Q58" s="191"/>
      <c r="AR58" s="195"/>
      <c r="AS58" s="195"/>
    </row>
    <row r="59" customFormat="false" ht="15.75" hidden="false" customHeight="true" outlineLevel="0" collapsed="false">
      <c r="A59" s="191"/>
      <c r="B59" s="191"/>
      <c r="C59" s="191"/>
      <c r="D59" s="191"/>
      <c r="E59" s="191"/>
      <c r="F59" s="191"/>
      <c r="G59" s="191"/>
      <c r="H59" s="191"/>
      <c r="I59" s="191"/>
      <c r="J59" s="191"/>
      <c r="K59" s="191"/>
      <c r="L59" s="191"/>
      <c r="M59" s="191"/>
      <c r="N59" s="191"/>
      <c r="O59" s="191"/>
      <c r="P59" s="191"/>
      <c r="Q59" s="191"/>
      <c r="AR59" s="195"/>
      <c r="AS59" s="195"/>
    </row>
    <row r="60" customFormat="false" ht="15.75" hidden="false" customHeight="true" outlineLevel="0" collapsed="false">
      <c r="A60" s="191"/>
      <c r="B60" s="191"/>
      <c r="C60" s="191"/>
      <c r="D60" s="191"/>
      <c r="E60" s="191"/>
      <c r="F60" s="191"/>
      <c r="G60" s="191"/>
      <c r="H60" s="191"/>
      <c r="I60" s="191"/>
      <c r="J60" s="191"/>
      <c r="K60" s="191"/>
      <c r="L60" s="191"/>
      <c r="M60" s="191"/>
      <c r="N60" s="191"/>
      <c r="O60" s="191"/>
      <c r="P60" s="191"/>
      <c r="Q60" s="191"/>
      <c r="AR60" s="195"/>
      <c r="AS60" s="195"/>
    </row>
    <row r="61" customFormat="false" ht="15.75" hidden="false" customHeight="true" outlineLevel="0" collapsed="false">
      <c r="AV61" s="1"/>
    </row>
    <row r="62" customFormat="false" ht="15.75" hidden="false" customHeight="true" outlineLevel="0" collapsed="false">
      <c r="AV62" s="1"/>
    </row>
    <row r="63" customFormat="false" ht="15.75" hidden="false" customHeight="true" outlineLevel="0" collapsed="false">
      <c r="AV63" s="1"/>
    </row>
    <row r="64" customFormat="false" ht="15.75" hidden="false" customHeight="true" outlineLevel="0" collapsed="false">
      <c r="AV64" s="1"/>
    </row>
    <row r="65" customFormat="false" ht="15.75" hidden="false" customHeight="true" outlineLevel="0" collapsed="false">
      <c r="AV65" s="1"/>
    </row>
    <row r="66" customFormat="false" ht="15.75" hidden="false" customHeight="true" outlineLevel="0" collapsed="false">
      <c r="AV66" s="1"/>
    </row>
    <row r="67" customFormat="false" ht="15.75" hidden="false" customHeight="true" outlineLevel="0" collapsed="false">
      <c r="AV67" s="1"/>
    </row>
    <row r="68" customFormat="false" ht="15.75" hidden="false" customHeight="true" outlineLevel="0" collapsed="false">
      <c r="AV68" s="1"/>
    </row>
    <row r="69" customFormat="false" ht="15.75" hidden="false" customHeight="true" outlineLevel="0" collapsed="false">
      <c r="AV69" s="1"/>
    </row>
    <row r="70" customFormat="false" ht="15.75" hidden="false" customHeight="true" outlineLevel="0" collapsed="false">
      <c r="AV70" s="1"/>
    </row>
    <row r="71" customFormat="false" ht="15.75" hidden="false" customHeight="true" outlineLevel="0" collapsed="false">
      <c r="AV71" s="1"/>
    </row>
    <row r="72" customFormat="false" ht="15.75" hidden="false" customHeight="true" outlineLevel="0" collapsed="false">
      <c r="AV72" s="1"/>
    </row>
    <row r="73" customFormat="false" ht="15.75" hidden="false" customHeight="true" outlineLevel="0" collapsed="false">
      <c r="AV73" s="1"/>
    </row>
    <row r="74" customFormat="false" ht="15.75" hidden="false" customHeight="true" outlineLevel="0" collapsed="false">
      <c r="AV74" s="1"/>
    </row>
    <row r="75" customFormat="false" ht="15.75" hidden="false" customHeight="true" outlineLevel="0" collapsed="false">
      <c r="AV75" s="1"/>
    </row>
    <row r="76" customFormat="false" ht="15.75" hidden="false" customHeight="true" outlineLevel="0" collapsed="false">
      <c r="AV76" s="1"/>
    </row>
    <row r="77" customFormat="false" ht="15.75" hidden="false" customHeight="true" outlineLevel="0" collapsed="false">
      <c r="AV77" s="1"/>
    </row>
    <row r="78" customFormat="false" ht="15.75" hidden="false" customHeight="true" outlineLevel="0" collapsed="false">
      <c r="AV78" s="1"/>
    </row>
    <row r="79" customFormat="false" ht="15.75" hidden="false" customHeight="true" outlineLevel="0" collapsed="false">
      <c r="AV79" s="1"/>
    </row>
    <row r="80" customFormat="false" ht="15.75" hidden="false" customHeight="true" outlineLevel="0" collapsed="false">
      <c r="AV80" s="1"/>
    </row>
    <row r="81" customFormat="false" ht="15.75" hidden="false" customHeight="true" outlineLevel="0" collapsed="false">
      <c r="AV81" s="1"/>
    </row>
    <row r="82" customFormat="false" ht="15.75" hidden="false" customHeight="true" outlineLevel="0" collapsed="false">
      <c r="AV82" s="1"/>
    </row>
    <row r="83" customFormat="false" ht="15.75" hidden="false" customHeight="true" outlineLevel="0" collapsed="false">
      <c r="AV83" s="1"/>
    </row>
    <row r="84" customFormat="false" ht="15.75" hidden="false" customHeight="true" outlineLevel="0" collapsed="false">
      <c r="AV84" s="1"/>
    </row>
    <row r="85" customFormat="false" ht="15.75" hidden="false" customHeight="true" outlineLevel="0" collapsed="false">
      <c r="AV85" s="1"/>
    </row>
    <row r="86" customFormat="false" ht="15.75" hidden="false" customHeight="true" outlineLevel="0" collapsed="false">
      <c r="AV86" s="1"/>
    </row>
    <row r="87" customFormat="false" ht="15.75" hidden="false" customHeight="true" outlineLevel="0" collapsed="false">
      <c r="AV87" s="1"/>
    </row>
    <row r="88" customFormat="false" ht="15.75" hidden="false" customHeight="true" outlineLevel="0" collapsed="false">
      <c r="AV88" s="1"/>
    </row>
    <row r="89" customFormat="false" ht="15.75" hidden="false" customHeight="true" outlineLevel="0" collapsed="false">
      <c r="AV89" s="1"/>
    </row>
    <row r="90" customFormat="false" ht="15.75" hidden="false" customHeight="true" outlineLevel="0" collapsed="false">
      <c r="AV90" s="1"/>
    </row>
    <row r="91" customFormat="false" ht="15.75" hidden="false" customHeight="true" outlineLevel="0" collapsed="false">
      <c r="AV91" s="1"/>
    </row>
    <row r="92" customFormat="false" ht="15.75" hidden="false" customHeight="true" outlineLevel="0" collapsed="false">
      <c r="AV92" s="1"/>
    </row>
    <row r="93" customFormat="false" ht="15.75" hidden="false" customHeight="true" outlineLevel="0" collapsed="false">
      <c r="AV93" s="1"/>
    </row>
    <row r="94" customFormat="false" ht="15.75" hidden="false" customHeight="true" outlineLevel="0" collapsed="false">
      <c r="AV94" s="1"/>
    </row>
    <row r="95" customFormat="false" ht="15.75" hidden="false" customHeight="true" outlineLevel="0" collapsed="false">
      <c r="AV95" s="1"/>
    </row>
    <row r="96" customFormat="false" ht="15.75" hidden="false" customHeight="true" outlineLevel="0" collapsed="false">
      <c r="AV96" s="1"/>
    </row>
    <row r="97" customFormat="false" ht="15.75" hidden="false" customHeight="true" outlineLevel="0" collapsed="false">
      <c r="AV97" s="1"/>
    </row>
    <row r="98" customFormat="false" ht="15.75" hidden="false" customHeight="true" outlineLevel="0" collapsed="false">
      <c r="AV98" s="1"/>
    </row>
    <row r="99" customFormat="false" ht="15.75" hidden="false" customHeight="true" outlineLevel="0" collapsed="false">
      <c r="AV99" s="1"/>
    </row>
    <row r="100" customFormat="false" ht="15.75" hidden="false" customHeight="true" outlineLevel="0" collapsed="false">
      <c r="AV100" s="1"/>
    </row>
    <row r="101" customFormat="false" ht="15.75" hidden="false" customHeight="true" outlineLevel="0" collapsed="false">
      <c r="AV101" s="1"/>
    </row>
    <row r="102" customFormat="false" ht="15.75" hidden="false" customHeight="true" outlineLevel="0" collapsed="false">
      <c r="AV102" s="1"/>
    </row>
    <row r="103" customFormat="false" ht="15.75" hidden="false" customHeight="true" outlineLevel="0" collapsed="false">
      <c r="AV103" s="1"/>
    </row>
    <row r="104" customFormat="false" ht="15.75" hidden="false" customHeight="true" outlineLevel="0" collapsed="false">
      <c r="AV104" s="1"/>
    </row>
    <row r="105" customFormat="false" ht="15.75" hidden="false" customHeight="true" outlineLevel="0" collapsed="false">
      <c r="AV105" s="1"/>
    </row>
    <row r="106" customFormat="false" ht="15.75" hidden="false" customHeight="true" outlineLevel="0" collapsed="false">
      <c r="AV106" s="1"/>
    </row>
    <row r="107" customFormat="false" ht="15.75" hidden="false" customHeight="true" outlineLevel="0" collapsed="false">
      <c r="AV107" s="1"/>
    </row>
    <row r="108" customFormat="false" ht="15.75" hidden="false" customHeight="true" outlineLevel="0" collapsed="false">
      <c r="AV108" s="1"/>
    </row>
    <row r="109" customFormat="false" ht="15.75" hidden="false" customHeight="true" outlineLevel="0" collapsed="false">
      <c r="AV109" s="1"/>
    </row>
    <row r="110" customFormat="false" ht="15.75" hidden="false" customHeight="true" outlineLevel="0" collapsed="false">
      <c r="AV110" s="1"/>
    </row>
    <row r="111" customFormat="false" ht="15.75" hidden="false" customHeight="true" outlineLevel="0" collapsed="false">
      <c r="AV111" s="1"/>
    </row>
    <row r="112" customFormat="false" ht="15.75" hidden="false" customHeight="true" outlineLevel="0" collapsed="false">
      <c r="AV112" s="1"/>
    </row>
    <row r="113" customFormat="false" ht="15.75" hidden="false" customHeight="true" outlineLevel="0" collapsed="false">
      <c r="AV113" s="1"/>
    </row>
    <row r="114" customFormat="false" ht="15.75" hidden="false" customHeight="true" outlineLevel="0" collapsed="false">
      <c r="AV114" s="1"/>
    </row>
    <row r="115" customFormat="false" ht="15.75" hidden="false" customHeight="true" outlineLevel="0" collapsed="false">
      <c r="AV115" s="1"/>
    </row>
    <row r="116" customFormat="false" ht="15.75" hidden="false" customHeight="true" outlineLevel="0" collapsed="false">
      <c r="AV116" s="1"/>
    </row>
    <row r="117" customFormat="false" ht="15.75" hidden="false" customHeight="true" outlineLevel="0" collapsed="false">
      <c r="AV117" s="1"/>
    </row>
    <row r="118" customFormat="false" ht="15.75" hidden="false" customHeight="true" outlineLevel="0" collapsed="false">
      <c r="AV118" s="1"/>
    </row>
    <row r="119" customFormat="false" ht="15.75" hidden="false" customHeight="true" outlineLevel="0" collapsed="false">
      <c r="AV119" s="1"/>
    </row>
    <row r="120" customFormat="false" ht="15.75" hidden="false" customHeight="true" outlineLevel="0" collapsed="false">
      <c r="AV120" s="1"/>
    </row>
    <row r="121" customFormat="false" ht="15.75" hidden="false" customHeight="true" outlineLevel="0" collapsed="false">
      <c r="AV121" s="1"/>
    </row>
    <row r="122" customFormat="false" ht="15.75" hidden="false" customHeight="true" outlineLevel="0" collapsed="false">
      <c r="AV122" s="1"/>
    </row>
    <row r="123" customFormat="false" ht="15.75" hidden="false" customHeight="true" outlineLevel="0" collapsed="false">
      <c r="AV123" s="1"/>
    </row>
    <row r="124" customFormat="false" ht="15.75" hidden="false" customHeight="true" outlineLevel="0" collapsed="false">
      <c r="AV124" s="1"/>
    </row>
    <row r="125" customFormat="false" ht="15.75" hidden="false" customHeight="true" outlineLevel="0" collapsed="false">
      <c r="AV125" s="1"/>
    </row>
    <row r="126" customFormat="false" ht="15.75" hidden="false" customHeight="true" outlineLevel="0" collapsed="false">
      <c r="AV126" s="1"/>
    </row>
    <row r="127" customFormat="false" ht="15.75" hidden="false" customHeight="true" outlineLevel="0" collapsed="false">
      <c r="AV127" s="1"/>
    </row>
    <row r="128" customFormat="false" ht="15.75" hidden="false" customHeight="true" outlineLevel="0" collapsed="false">
      <c r="AV128" s="1"/>
    </row>
    <row r="129" customFormat="false" ht="15.75" hidden="false" customHeight="true" outlineLevel="0" collapsed="false">
      <c r="AV129" s="1"/>
    </row>
    <row r="130" customFormat="false" ht="15.75" hidden="false" customHeight="true" outlineLevel="0" collapsed="false">
      <c r="AV130" s="1"/>
    </row>
    <row r="131" customFormat="false" ht="15.75" hidden="false" customHeight="true" outlineLevel="0" collapsed="false">
      <c r="AV131" s="1"/>
    </row>
    <row r="132" customFormat="false" ht="15.75" hidden="false" customHeight="true" outlineLevel="0" collapsed="false">
      <c r="AV132" s="1"/>
    </row>
    <row r="133" customFormat="false" ht="15.75" hidden="false" customHeight="true" outlineLevel="0" collapsed="false">
      <c r="AV133" s="1"/>
    </row>
    <row r="134" customFormat="false" ht="15.75" hidden="false" customHeight="true" outlineLevel="0" collapsed="false">
      <c r="AV134" s="1"/>
    </row>
    <row r="135" customFormat="false" ht="15.75" hidden="false" customHeight="true" outlineLevel="0" collapsed="false">
      <c r="AV135" s="1"/>
    </row>
    <row r="136" customFormat="false" ht="15.75" hidden="false" customHeight="true" outlineLevel="0" collapsed="false">
      <c r="AV136" s="1"/>
    </row>
    <row r="137" customFormat="false" ht="15.75" hidden="false" customHeight="true" outlineLevel="0" collapsed="false">
      <c r="AV137" s="1"/>
    </row>
    <row r="138" customFormat="false" ht="15.75" hidden="false" customHeight="true" outlineLevel="0" collapsed="false">
      <c r="AV138" s="1"/>
    </row>
    <row r="139" customFormat="false" ht="15.75" hidden="false" customHeight="true" outlineLevel="0" collapsed="false">
      <c r="AV139" s="1"/>
    </row>
    <row r="140" customFormat="false" ht="15.75" hidden="false" customHeight="true" outlineLevel="0" collapsed="false">
      <c r="AV140" s="1"/>
    </row>
    <row r="141" customFormat="false" ht="15.75" hidden="false" customHeight="true" outlineLevel="0" collapsed="false">
      <c r="AV141" s="1"/>
    </row>
    <row r="142" customFormat="false" ht="15.75" hidden="false" customHeight="true" outlineLevel="0" collapsed="false">
      <c r="AV142" s="1"/>
    </row>
    <row r="143" customFormat="false" ht="15.75" hidden="false" customHeight="true" outlineLevel="0" collapsed="false">
      <c r="AV143" s="1"/>
    </row>
    <row r="144" customFormat="false" ht="15.75" hidden="false" customHeight="true" outlineLevel="0" collapsed="false">
      <c r="AV144" s="1"/>
    </row>
    <row r="145" customFormat="false" ht="15.75" hidden="false" customHeight="true" outlineLevel="0" collapsed="false">
      <c r="AV145" s="1"/>
    </row>
    <row r="146" customFormat="false" ht="15.75" hidden="false" customHeight="true" outlineLevel="0" collapsed="false">
      <c r="AV146" s="1"/>
    </row>
    <row r="147" customFormat="false" ht="15.75" hidden="false" customHeight="true" outlineLevel="0" collapsed="false">
      <c r="AV147" s="1"/>
    </row>
    <row r="148" customFormat="false" ht="15.75" hidden="false" customHeight="true" outlineLevel="0" collapsed="false">
      <c r="AV148" s="1"/>
    </row>
    <row r="149" customFormat="false" ht="15.75" hidden="false" customHeight="true" outlineLevel="0" collapsed="false">
      <c r="AV149" s="1"/>
    </row>
    <row r="150" customFormat="false" ht="15.75" hidden="false" customHeight="true" outlineLevel="0" collapsed="false">
      <c r="AV150" s="1"/>
    </row>
    <row r="151" customFormat="false" ht="15.75" hidden="false" customHeight="true" outlineLevel="0" collapsed="false">
      <c r="AV151" s="1"/>
    </row>
    <row r="152" customFormat="false" ht="15.75" hidden="false" customHeight="true" outlineLevel="0" collapsed="false">
      <c r="AV152" s="1"/>
    </row>
    <row r="153" customFormat="false" ht="15.75" hidden="false" customHeight="true" outlineLevel="0" collapsed="false">
      <c r="AV153" s="1"/>
    </row>
    <row r="154" customFormat="false" ht="15.75" hidden="false" customHeight="true" outlineLevel="0" collapsed="false">
      <c r="AV154" s="1"/>
    </row>
    <row r="155" customFormat="false" ht="15.75" hidden="false" customHeight="true" outlineLevel="0" collapsed="false">
      <c r="AV155" s="1"/>
    </row>
    <row r="156" customFormat="false" ht="15.75" hidden="false" customHeight="true" outlineLevel="0" collapsed="false">
      <c r="AV156" s="1"/>
    </row>
    <row r="157" customFormat="false" ht="15.75" hidden="false" customHeight="true" outlineLevel="0" collapsed="false">
      <c r="AV157" s="1"/>
    </row>
    <row r="158" customFormat="false" ht="15.75" hidden="false" customHeight="true" outlineLevel="0" collapsed="false">
      <c r="AV158" s="1"/>
    </row>
    <row r="159" customFormat="false" ht="15.75" hidden="false" customHeight="true" outlineLevel="0" collapsed="false">
      <c r="AV159" s="1"/>
    </row>
    <row r="160" customFormat="false" ht="15.75" hidden="false" customHeight="true" outlineLevel="0" collapsed="false">
      <c r="AV160" s="1"/>
    </row>
    <row r="161" customFormat="false" ht="15.75" hidden="false" customHeight="true" outlineLevel="0" collapsed="false">
      <c r="AV161" s="1"/>
    </row>
    <row r="162" customFormat="false" ht="15.75" hidden="false" customHeight="true" outlineLevel="0" collapsed="false">
      <c r="AV162" s="1"/>
    </row>
    <row r="163" customFormat="false" ht="15.75" hidden="false" customHeight="true" outlineLevel="0" collapsed="false">
      <c r="AV163" s="1"/>
    </row>
    <row r="164" customFormat="false" ht="15.75" hidden="false" customHeight="true" outlineLevel="0" collapsed="false">
      <c r="AV164" s="1"/>
    </row>
    <row r="165" customFormat="false" ht="15.75" hidden="false" customHeight="true" outlineLevel="0" collapsed="false">
      <c r="AV165" s="1"/>
    </row>
    <row r="166" customFormat="false" ht="15.75" hidden="false" customHeight="true" outlineLevel="0" collapsed="false">
      <c r="AV166" s="1"/>
    </row>
    <row r="167" customFormat="false" ht="15.75" hidden="false" customHeight="true" outlineLevel="0" collapsed="false">
      <c r="AV167" s="1"/>
    </row>
    <row r="168" customFormat="false" ht="15.75" hidden="false" customHeight="true" outlineLevel="0" collapsed="false">
      <c r="AV168" s="1"/>
    </row>
    <row r="169" customFormat="false" ht="15.75" hidden="false" customHeight="true" outlineLevel="0" collapsed="false">
      <c r="AV169" s="1"/>
    </row>
    <row r="170" customFormat="false" ht="15.75" hidden="false" customHeight="true" outlineLevel="0" collapsed="false">
      <c r="AV170" s="1"/>
    </row>
    <row r="171" customFormat="false" ht="15.75" hidden="false" customHeight="true" outlineLevel="0" collapsed="false">
      <c r="AV171" s="1"/>
    </row>
    <row r="172" customFormat="false" ht="15.75" hidden="false" customHeight="true" outlineLevel="0" collapsed="false">
      <c r="AV172" s="1"/>
    </row>
    <row r="173" customFormat="false" ht="15.75" hidden="false" customHeight="true" outlineLevel="0" collapsed="false">
      <c r="AV173" s="1"/>
    </row>
    <row r="174" customFormat="false" ht="15.75" hidden="false" customHeight="true" outlineLevel="0" collapsed="false">
      <c r="AV174" s="1"/>
    </row>
    <row r="175" customFormat="false" ht="15.75" hidden="false" customHeight="true" outlineLevel="0" collapsed="false">
      <c r="AV175" s="1"/>
    </row>
    <row r="176" customFormat="false" ht="15.75" hidden="false" customHeight="true" outlineLevel="0" collapsed="false">
      <c r="AV176" s="1"/>
    </row>
    <row r="177" customFormat="false" ht="15.75" hidden="false" customHeight="true" outlineLevel="0" collapsed="false">
      <c r="AV177" s="1"/>
    </row>
    <row r="178" customFormat="false" ht="15.75" hidden="false" customHeight="true" outlineLevel="0" collapsed="false">
      <c r="AV178" s="1"/>
    </row>
    <row r="179" customFormat="false" ht="15.75" hidden="false" customHeight="true" outlineLevel="0" collapsed="false">
      <c r="AV179" s="1"/>
    </row>
    <row r="180" customFormat="false" ht="15.75" hidden="false" customHeight="true" outlineLevel="0" collapsed="false">
      <c r="AV180" s="1"/>
    </row>
    <row r="181" customFormat="false" ht="15.75" hidden="false" customHeight="true" outlineLevel="0" collapsed="false">
      <c r="AV181" s="1"/>
    </row>
    <row r="182" customFormat="false" ht="15.75" hidden="false" customHeight="true" outlineLevel="0" collapsed="false">
      <c r="AV182" s="1"/>
    </row>
    <row r="183" customFormat="false" ht="15.75" hidden="false" customHeight="true" outlineLevel="0" collapsed="false">
      <c r="AV183" s="1"/>
    </row>
    <row r="184" customFormat="false" ht="15.75" hidden="false" customHeight="true" outlineLevel="0" collapsed="false">
      <c r="AV184" s="1"/>
    </row>
    <row r="185" customFormat="false" ht="15.75" hidden="false" customHeight="true" outlineLevel="0" collapsed="false">
      <c r="AV185" s="1"/>
    </row>
    <row r="186" customFormat="false" ht="15.75" hidden="false" customHeight="true" outlineLevel="0" collapsed="false">
      <c r="AV186" s="1"/>
    </row>
    <row r="187" customFormat="false" ht="15.75" hidden="false" customHeight="true" outlineLevel="0" collapsed="false">
      <c r="AV187" s="1"/>
    </row>
    <row r="188" customFormat="false" ht="15.75" hidden="false" customHeight="true" outlineLevel="0" collapsed="false">
      <c r="AV188" s="1"/>
    </row>
    <row r="189" customFormat="false" ht="15.75" hidden="false" customHeight="true" outlineLevel="0" collapsed="false">
      <c r="AV189" s="1"/>
    </row>
    <row r="190" customFormat="false" ht="15.75" hidden="false" customHeight="true" outlineLevel="0" collapsed="false">
      <c r="AV190" s="1"/>
    </row>
    <row r="191" customFormat="false" ht="15.75" hidden="false" customHeight="true" outlineLevel="0" collapsed="false">
      <c r="AV191" s="1"/>
    </row>
    <row r="192" customFormat="false" ht="15.75" hidden="false" customHeight="true" outlineLevel="0" collapsed="false">
      <c r="AV192" s="1"/>
    </row>
    <row r="193" customFormat="false" ht="15.75" hidden="false" customHeight="true" outlineLevel="0" collapsed="false">
      <c r="AV193" s="1"/>
    </row>
    <row r="194" customFormat="false" ht="15.75" hidden="false" customHeight="true" outlineLevel="0" collapsed="false">
      <c r="AV194" s="1"/>
    </row>
    <row r="195" customFormat="false" ht="15.75" hidden="false" customHeight="true" outlineLevel="0" collapsed="false">
      <c r="AV195" s="1"/>
    </row>
    <row r="196" customFormat="false" ht="15.75" hidden="false" customHeight="true" outlineLevel="0" collapsed="false">
      <c r="AV196" s="1"/>
    </row>
    <row r="197" customFormat="false" ht="15.75" hidden="false" customHeight="true" outlineLevel="0" collapsed="false">
      <c r="AV197" s="1"/>
    </row>
    <row r="198" customFormat="false" ht="15.75" hidden="false" customHeight="true" outlineLevel="0" collapsed="false">
      <c r="AV198" s="1"/>
    </row>
    <row r="199" customFormat="false" ht="15.75" hidden="false" customHeight="true" outlineLevel="0" collapsed="false">
      <c r="AV199" s="1"/>
    </row>
    <row r="200" customFormat="false" ht="15.75" hidden="false" customHeight="true" outlineLevel="0" collapsed="false">
      <c r="AV200" s="1"/>
    </row>
    <row r="201" customFormat="false" ht="15.75" hidden="false" customHeight="true" outlineLevel="0" collapsed="false">
      <c r="AV201" s="1"/>
    </row>
    <row r="202" customFormat="false" ht="15.75" hidden="false" customHeight="true" outlineLevel="0" collapsed="false">
      <c r="AV202" s="1"/>
    </row>
    <row r="203" customFormat="false" ht="15.75" hidden="false" customHeight="true" outlineLevel="0" collapsed="false">
      <c r="AV203" s="1"/>
    </row>
    <row r="204" customFormat="false" ht="15.75" hidden="false" customHeight="true" outlineLevel="0" collapsed="false">
      <c r="AV204" s="1"/>
    </row>
    <row r="205" customFormat="false" ht="15.75" hidden="false" customHeight="true" outlineLevel="0" collapsed="false">
      <c r="AV205" s="1"/>
    </row>
    <row r="206" customFormat="false" ht="15.75" hidden="false" customHeight="true" outlineLevel="0" collapsed="false">
      <c r="AV206" s="1"/>
    </row>
    <row r="207" customFormat="false" ht="15.75" hidden="false" customHeight="true" outlineLevel="0" collapsed="false">
      <c r="AV207" s="1"/>
    </row>
    <row r="208" customFormat="false" ht="15.75" hidden="false" customHeight="true" outlineLevel="0" collapsed="false">
      <c r="AV208" s="1"/>
    </row>
    <row r="209" customFormat="false" ht="15.75" hidden="false" customHeight="true" outlineLevel="0" collapsed="false">
      <c r="AV209" s="1"/>
    </row>
    <row r="210" customFormat="false" ht="15.75" hidden="false" customHeight="true" outlineLevel="0" collapsed="false">
      <c r="AV210" s="1"/>
    </row>
    <row r="211" customFormat="false" ht="15.75" hidden="false" customHeight="true" outlineLevel="0" collapsed="false">
      <c r="AV211" s="1"/>
    </row>
    <row r="212" customFormat="false" ht="15.75" hidden="false" customHeight="true" outlineLevel="0" collapsed="false">
      <c r="AV212" s="1"/>
    </row>
    <row r="213" customFormat="false" ht="15.75" hidden="false" customHeight="true" outlineLevel="0" collapsed="false">
      <c r="AV213" s="1"/>
    </row>
    <row r="214" customFormat="false" ht="15.75" hidden="false" customHeight="true" outlineLevel="0" collapsed="false">
      <c r="AV214" s="1"/>
    </row>
    <row r="215" customFormat="false" ht="15.75" hidden="false" customHeight="true" outlineLevel="0" collapsed="false">
      <c r="AV215" s="1"/>
    </row>
    <row r="216" customFormat="false" ht="15.75" hidden="false" customHeight="true" outlineLevel="0" collapsed="false">
      <c r="AV216" s="1"/>
    </row>
    <row r="217" customFormat="false" ht="15.75" hidden="false" customHeight="true" outlineLevel="0" collapsed="false">
      <c r="AV217" s="1"/>
    </row>
    <row r="218" customFormat="false" ht="15.75" hidden="false" customHeight="true" outlineLevel="0" collapsed="false">
      <c r="AV218" s="1"/>
    </row>
    <row r="219" customFormat="false" ht="15.75" hidden="false" customHeight="true" outlineLevel="0" collapsed="false">
      <c r="AV219" s="1"/>
    </row>
    <row r="220" customFormat="false" ht="15.75" hidden="false" customHeight="true" outlineLevel="0" collapsed="false">
      <c r="AV220" s="1"/>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6:AU6"/>
  <mergeCells count="27">
    <mergeCell ref="A2:B2"/>
    <mergeCell ref="C2:E2"/>
    <mergeCell ref="A3:B3"/>
    <mergeCell ref="C3:E3"/>
    <mergeCell ref="G3:H3"/>
    <mergeCell ref="I3:J3"/>
    <mergeCell ref="A4:B4"/>
    <mergeCell ref="C4:E4"/>
    <mergeCell ref="G4:H4"/>
    <mergeCell ref="I4:J4"/>
    <mergeCell ref="A5:C5"/>
    <mergeCell ref="D5:I5"/>
    <mergeCell ref="J5:M5"/>
    <mergeCell ref="N5:S5"/>
    <mergeCell ref="T5:Y5"/>
    <mergeCell ref="Z5:AE5"/>
    <mergeCell ref="AF5:AK5"/>
    <mergeCell ref="AL5:AQ5"/>
    <mergeCell ref="AR5:AU5"/>
    <mergeCell ref="C7:AU7"/>
    <mergeCell ref="C10:AU10"/>
    <mergeCell ref="C14:AU14"/>
    <mergeCell ref="C18:AU18"/>
    <mergeCell ref="C21:AU21"/>
    <mergeCell ref="C24:AU24"/>
    <mergeCell ref="C26:AU26"/>
    <mergeCell ref="C28:AU28"/>
  </mergeCells>
  <conditionalFormatting sqref="O7:O500 P7:P500 U7:U500 V7:V500 AA7:AA500 AB7:AB500 AG7:AG500 AH7:AH500 AM7:AM500 AN7:AN500 AS7:AS500 AT7:AT500">
    <cfRule type="cellIs" priority="2" operator="equal" aboveAverage="0" equalAverage="0" bottom="0" percent="0" rank="0" text="" dxfId="0">
      <formula>"Pass"</formula>
    </cfRule>
    <cfRule type="cellIs" priority="3" operator="equal" aboveAverage="0" equalAverage="0" bottom="0" percent="0" rank="0" text="" dxfId="1">
      <formula>"Fail"</formula>
    </cfRule>
    <cfRule type="cellIs" priority="4" operator="equal" aboveAverage="0" equalAverage="0" bottom="0" percent="0" rank="0" text="" dxfId="2">
      <formula>"Block"</formula>
    </cfRule>
    <cfRule type="cellIs" priority="5" operator="equal" aboveAverage="0" equalAverage="0" bottom="0" percent="0" rank="0" text="" dxfId="3">
      <formula>"N/A"</formula>
    </cfRule>
  </conditionalFormatting>
  <dataValidations count="8">
    <dataValidation allowBlank="true" errorStyle="stop" operator="between" showDropDown="false" showErrorMessage="false" showInputMessage="false" sqref="J7:J500" type="list">
      <formula1>"AI,QC"</formula1>
      <formula2>0</formula2>
    </dataValidation>
    <dataValidation allowBlank="true" errorStyle="stop" operator="between" showDropDown="false" showErrorMessage="false" showInputMessage="false" sqref="E7:E500" type="list">
      <formula1>"High,Medium,Low"</formula1>
      <formula2>0</formula2>
    </dataValidation>
    <dataValidation allowBlank="true" errorStyle="stop" operator="between" showDropDown="false" showErrorMessage="false" showInputMessage="false" sqref="P7:P500 V7:V500 AB7:AB500 AH7:AH500 AN7:AN500" type="list">
      <formula1>"Pass,Fail,Block,N/A"</formula1>
      <formula2>0</formula2>
    </dataValidation>
    <dataValidation allowBlank="true" errorStyle="stop" operator="between" showDropDown="false" showErrorMessage="false" showInputMessage="false" sqref="N7:N500 T7:T500 Z7:Z500 AF7:AF500 AL7:AL500" type="list">
      <formula1>"Yes,No,N/A"</formula1>
      <formula2>0</formula2>
    </dataValidation>
    <dataValidation allowBlank="true" errorStyle="stop" operator="between" showDropDown="false" showErrorMessage="false" showInputMessage="false" sqref="O7:O500 U7:U500 AA7:AA500 AG7:AG500 AM7:AM500" type="list">
      <formula1>"Pass,Fail,Block,N/A,Chưa chạy"</formula1>
      <formula2>0</formula2>
    </dataValidation>
    <dataValidation allowBlank="true" errorStyle="stop" operator="between" showDropDown="false" showErrorMessage="false" showInputMessage="false" sqref="D7:D500" type="list">
      <formula1>"Functional,UI,Integration,Database Test Case"</formula1>
      <formula2>0</formula2>
    </dataValidation>
    <dataValidation allowBlank="true" errorStyle="stop" operator="between" showDropDown="false" showErrorMessage="false" showInputMessage="false" sqref="K7:K500" type="list">
      <formula1>"Reviewed,Pending,N/A"</formula1>
      <formula2>0</formula2>
    </dataValidation>
    <dataValidation allowBlank="true" errorStyle="stop" operator="between" showDropDown="false" showErrorMessage="false" showInputMessage="false" sqref="L7:L500"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V1000"/>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1" ySplit="6" topLeftCell="AF7" activePane="bottomRight" state="frozen"/>
      <selection pane="topLeft" activeCell="A1" activeCellId="0" sqref="A1"/>
      <selection pane="topRight" activeCell="AF1" activeCellId="0" sqref="AF1"/>
      <selection pane="bottomLeft" activeCell="A7" activeCellId="0" sqref="A7"/>
      <selection pane="bottomRight" activeCell="AX9" activeCellId="0" sqref="AX9"/>
    </sheetView>
  </sheetViews>
  <sheetFormatPr defaultColWidth="14.43359375" defaultRowHeight="15" customHeight="true" zeroHeight="false" outlineLevelRow="0" outlineLevelCol="0"/>
  <cols>
    <col collapsed="false" customWidth="true" hidden="false" outlineLevel="0" max="2" min="1" style="1" width="14"/>
    <col collapsed="false" customWidth="true" hidden="false" outlineLevel="0" max="4" min="3" style="1" width="13"/>
    <col collapsed="false" customWidth="true" hidden="false" outlineLevel="0" max="5" min="5" style="1" width="11"/>
    <col collapsed="false" customWidth="true" hidden="false" outlineLevel="0" max="6" min="6" style="1" width="34"/>
    <col collapsed="false" customWidth="true" hidden="false" outlineLevel="0" max="7" min="7" style="1" width="28"/>
    <col collapsed="false" customWidth="true" hidden="false" outlineLevel="0" max="8" min="8" style="1" width="40"/>
    <col collapsed="false" customWidth="true" hidden="false" outlineLevel="0" max="9" min="9" style="1" width="34"/>
    <col collapsed="false" customWidth="true" hidden="false" outlineLevel="0" max="10" min="10" style="1" width="10"/>
    <col collapsed="false" customWidth="true" hidden="false" outlineLevel="0" max="11" min="11" style="1" width="12.43"/>
    <col collapsed="false" customWidth="true" hidden="false" outlineLevel="0" max="12" min="12" style="1" width="14"/>
    <col collapsed="false" customWidth="true" hidden="false" outlineLevel="0" max="13" min="13" style="1" width="26.16"/>
    <col collapsed="false" customWidth="true" hidden="false" outlineLevel="0" max="14" min="14" style="1" width="9"/>
    <col collapsed="false" customWidth="true" hidden="false" outlineLevel="0" max="15" min="15" style="1" width="10"/>
    <col collapsed="false" customWidth="true" hidden="false" outlineLevel="0" max="16" min="16" style="1" width="9"/>
    <col collapsed="false" customWidth="true" hidden="false" outlineLevel="0" max="17" min="17" style="1" width="13"/>
    <col collapsed="false" customWidth="true" hidden="false" outlineLevel="0" max="18" min="18" style="1" width="11"/>
    <col collapsed="false" customWidth="true" hidden="false" outlineLevel="0" max="19" min="19" style="1" width="22"/>
    <col collapsed="false" customWidth="true" hidden="false" outlineLevel="0" max="20" min="20" style="1" width="9"/>
    <col collapsed="false" customWidth="true" hidden="false" outlineLevel="0" max="21" min="21" style="1" width="10"/>
    <col collapsed="false" customWidth="true" hidden="false" outlineLevel="0" max="22" min="22" style="1" width="9"/>
    <col collapsed="false" customWidth="true" hidden="false" outlineLevel="0" max="23" min="23" style="1" width="13"/>
    <col collapsed="false" customWidth="true" hidden="false" outlineLevel="0" max="24" min="24" style="1" width="11"/>
    <col collapsed="false" customWidth="true" hidden="false" outlineLevel="0" max="25" min="25" style="1" width="22"/>
    <col collapsed="false" customWidth="true" hidden="false" outlineLevel="0" max="26" min="26" style="1" width="9"/>
    <col collapsed="false" customWidth="true" hidden="false" outlineLevel="0" max="27" min="27" style="1" width="10"/>
    <col collapsed="false" customWidth="true" hidden="false" outlineLevel="0" max="28" min="28" style="1" width="9"/>
    <col collapsed="false" customWidth="true" hidden="false" outlineLevel="0" max="29" min="29" style="1" width="13"/>
    <col collapsed="false" customWidth="true" hidden="false" outlineLevel="0" max="30" min="30" style="1" width="11"/>
    <col collapsed="false" customWidth="true" hidden="false" outlineLevel="0" max="31" min="31" style="1" width="22"/>
    <col collapsed="false" customWidth="true" hidden="false" outlineLevel="0" max="32" min="32" style="1" width="9"/>
    <col collapsed="false" customWidth="true" hidden="false" outlineLevel="0" max="33" min="33" style="1" width="10"/>
    <col collapsed="false" customWidth="true" hidden="false" outlineLevel="0" max="34" min="34" style="1" width="9"/>
    <col collapsed="false" customWidth="true" hidden="false" outlineLevel="0" max="35" min="35" style="1" width="13"/>
    <col collapsed="false" customWidth="true" hidden="false" outlineLevel="0" max="36" min="36" style="1" width="11"/>
    <col collapsed="false" customWidth="true" hidden="false" outlineLevel="0" max="37" min="37" style="1" width="22"/>
    <col collapsed="false" customWidth="true" hidden="false" outlineLevel="0" max="38" min="38" style="1" width="9"/>
    <col collapsed="false" customWidth="true" hidden="false" outlineLevel="0" max="39" min="39" style="1" width="10"/>
    <col collapsed="false" customWidth="true" hidden="false" outlineLevel="0" max="40" min="40" style="1" width="9"/>
    <col collapsed="false" customWidth="true" hidden="false" outlineLevel="0" max="41" min="41" style="1" width="13"/>
    <col collapsed="false" customWidth="true" hidden="false" outlineLevel="0" max="42" min="42" style="1" width="11"/>
    <col collapsed="false" customWidth="true" hidden="false" outlineLevel="0" max="43" min="43" style="1" width="22"/>
    <col collapsed="false" customWidth="true" hidden="false" outlineLevel="0" max="44" min="44" style="1" width="12"/>
    <col collapsed="false" customWidth="true" hidden="false" outlineLevel="0" max="45" min="45" style="1" width="14"/>
    <col collapsed="false" customWidth="true" hidden="false" outlineLevel="0" max="46" min="46" style="1" width="11"/>
    <col collapsed="false" customWidth="true" hidden="false" outlineLevel="0" max="47" min="47" style="1" width="24"/>
  </cols>
  <sheetData>
    <row r="1" customFormat="false" ht="15" hidden="false" customHeight="true" outlineLevel="0" collapsed="false">
      <c r="A1" s="172"/>
      <c r="AU1" s="198"/>
    </row>
    <row r="2" customFormat="false" ht="15" hidden="false" customHeight="true" outlineLevel="0" collapsed="false">
      <c r="A2" s="180" t="s">
        <v>629</v>
      </c>
      <c r="B2" s="180"/>
      <c r="C2" s="181" t="s">
        <v>215</v>
      </c>
      <c r="D2" s="181"/>
      <c r="E2" s="181"/>
    </row>
    <row r="3" customFormat="false" ht="15" hidden="false" customHeight="true" outlineLevel="0" collapsed="false">
      <c r="A3" s="180" t="s">
        <v>630</v>
      </c>
      <c r="B3" s="180"/>
      <c r="C3" s="181" t="s">
        <v>216</v>
      </c>
      <c r="D3" s="181"/>
      <c r="E3" s="181"/>
      <c r="G3" s="180" t="s">
        <v>82</v>
      </c>
      <c r="H3" s="180"/>
      <c r="I3" s="38" t="str">
        <f aca="false">Summary!$C$8</f>
        <v>v1.1</v>
      </c>
      <c r="J3" s="38"/>
    </row>
    <row r="4" customFormat="false" ht="15" hidden="false" customHeight="true" outlineLevel="0" collapsed="false">
      <c r="A4" s="180" t="s">
        <v>145</v>
      </c>
      <c r="B4" s="180"/>
      <c r="C4" s="38" t="str">
        <f aca="false">TEXT(Summary!$C$10,"DD/MM/YYYY")&amp;"  →  "&amp;TEXT(Summary!$C$11,"DD/MM/YYYY")</f>
        <v>18/09/2026  →  25/09/2026</v>
      </c>
      <c r="D4" s="38"/>
      <c r="E4" s="38"/>
      <c r="G4" s="180" t="s">
        <v>103</v>
      </c>
      <c r="H4" s="180"/>
      <c r="I4" s="38" t="str">
        <f aca="false">Summary!$C$13</f>
        <v>GiangDC2</v>
      </c>
      <c r="J4" s="38"/>
    </row>
    <row r="5" customFormat="false" ht="15" hidden="false" customHeight="true" outlineLevel="0" collapsed="false">
      <c r="A5" s="182" t="s">
        <v>631</v>
      </c>
      <c r="B5" s="182"/>
      <c r="C5" s="182"/>
      <c r="D5" s="117" t="s">
        <v>632</v>
      </c>
      <c r="E5" s="117"/>
      <c r="F5" s="117"/>
      <c r="G5" s="117"/>
      <c r="H5" s="117"/>
      <c r="I5" s="117"/>
      <c r="J5" s="136" t="s">
        <v>58</v>
      </c>
      <c r="K5" s="136"/>
      <c r="L5" s="136"/>
      <c r="M5" s="136"/>
      <c r="N5" s="183" t="s">
        <v>633</v>
      </c>
      <c r="O5" s="183"/>
      <c r="P5" s="183"/>
      <c r="Q5" s="183"/>
      <c r="R5" s="183"/>
      <c r="S5" s="183"/>
      <c r="T5" s="184" t="s">
        <v>634</v>
      </c>
      <c r="U5" s="184"/>
      <c r="V5" s="184"/>
      <c r="W5" s="184"/>
      <c r="X5" s="184"/>
      <c r="Y5" s="184"/>
      <c r="Z5" s="183" t="s">
        <v>635</v>
      </c>
      <c r="AA5" s="183"/>
      <c r="AB5" s="183"/>
      <c r="AC5" s="183"/>
      <c r="AD5" s="183"/>
      <c r="AE5" s="183"/>
      <c r="AF5" s="184" t="s">
        <v>636</v>
      </c>
      <c r="AG5" s="184"/>
      <c r="AH5" s="184"/>
      <c r="AI5" s="184"/>
      <c r="AJ5" s="184"/>
      <c r="AK5" s="184"/>
      <c r="AL5" s="183" t="s">
        <v>637</v>
      </c>
      <c r="AM5" s="183"/>
      <c r="AN5" s="183"/>
      <c r="AO5" s="183"/>
      <c r="AP5" s="183"/>
      <c r="AQ5" s="183"/>
      <c r="AR5" s="185" t="s">
        <v>638</v>
      </c>
      <c r="AS5" s="185"/>
      <c r="AT5" s="185"/>
      <c r="AU5" s="185"/>
    </row>
    <row r="6" customFormat="false" ht="30" hidden="false" customHeight="true" outlineLevel="0" collapsed="false">
      <c r="A6" s="186" t="s">
        <v>639</v>
      </c>
      <c r="B6" s="186" t="s">
        <v>405</v>
      </c>
      <c r="C6" s="186" t="s">
        <v>640</v>
      </c>
      <c r="D6" s="125" t="s">
        <v>40</v>
      </c>
      <c r="E6" s="125" t="s">
        <v>32</v>
      </c>
      <c r="F6" s="125" t="s">
        <v>641</v>
      </c>
      <c r="G6" s="125" t="s">
        <v>642</v>
      </c>
      <c r="H6" s="125" t="s">
        <v>643</v>
      </c>
      <c r="I6" s="125" t="s">
        <v>644</v>
      </c>
      <c r="J6" s="175" t="s">
        <v>645</v>
      </c>
      <c r="K6" s="175" t="s">
        <v>62</v>
      </c>
      <c r="L6" s="175" t="s">
        <v>64</v>
      </c>
      <c r="M6" s="175" t="s">
        <v>66</v>
      </c>
      <c r="N6" s="187" t="s">
        <v>68</v>
      </c>
      <c r="O6" s="187" t="s">
        <v>70</v>
      </c>
      <c r="P6" s="187" t="s">
        <v>646</v>
      </c>
      <c r="Q6" s="187" t="s">
        <v>647</v>
      </c>
      <c r="R6" s="187" t="s">
        <v>648</v>
      </c>
      <c r="S6" s="187" t="s">
        <v>265</v>
      </c>
      <c r="T6" s="187" t="s">
        <v>68</v>
      </c>
      <c r="U6" s="187" t="s">
        <v>70</v>
      </c>
      <c r="V6" s="187" t="s">
        <v>646</v>
      </c>
      <c r="W6" s="187" t="s">
        <v>647</v>
      </c>
      <c r="X6" s="187" t="s">
        <v>648</v>
      </c>
      <c r="Y6" s="187" t="s">
        <v>265</v>
      </c>
      <c r="Z6" s="187" t="s">
        <v>68</v>
      </c>
      <c r="AA6" s="187" t="s">
        <v>70</v>
      </c>
      <c r="AB6" s="187" t="s">
        <v>646</v>
      </c>
      <c r="AC6" s="187" t="s">
        <v>647</v>
      </c>
      <c r="AD6" s="187" t="s">
        <v>648</v>
      </c>
      <c r="AE6" s="187" t="s">
        <v>265</v>
      </c>
      <c r="AF6" s="187" t="s">
        <v>68</v>
      </c>
      <c r="AG6" s="187" t="s">
        <v>70</v>
      </c>
      <c r="AH6" s="187" t="s">
        <v>646</v>
      </c>
      <c r="AI6" s="187" t="s">
        <v>647</v>
      </c>
      <c r="AJ6" s="187" t="s">
        <v>648</v>
      </c>
      <c r="AK6" s="187" t="s">
        <v>265</v>
      </c>
      <c r="AL6" s="187" t="s">
        <v>68</v>
      </c>
      <c r="AM6" s="187" t="s">
        <v>70</v>
      </c>
      <c r="AN6" s="187" t="s">
        <v>646</v>
      </c>
      <c r="AO6" s="187" t="s">
        <v>647</v>
      </c>
      <c r="AP6" s="187" t="s">
        <v>648</v>
      </c>
      <c r="AQ6" s="187" t="s">
        <v>265</v>
      </c>
      <c r="AR6" s="188" t="s">
        <v>649</v>
      </c>
      <c r="AS6" s="188" t="s">
        <v>650</v>
      </c>
      <c r="AT6" s="188" t="s">
        <v>50</v>
      </c>
      <c r="AU6" s="188" t="s">
        <v>651</v>
      </c>
    </row>
    <row r="7" customFormat="false" ht="15" hidden="false" customHeight="true" outlineLevel="0" collapsed="false">
      <c r="A7" s="189"/>
      <c r="B7" s="189"/>
      <c r="C7" s="190" t="s">
        <v>1342</v>
      </c>
      <c r="D7" s="190"/>
      <c r="E7" s="190"/>
      <c r="F7" s="190"/>
      <c r="G7" s="190"/>
      <c r="H7" s="190"/>
      <c r="I7" s="190"/>
      <c r="J7" s="190"/>
      <c r="K7" s="190"/>
      <c r="L7" s="190"/>
      <c r="M7" s="190"/>
      <c r="N7" s="190"/>
      <c r="O7" s="190"/>
      <c r="P7" s="190"/>
      <c r="Q7" s="190"/>
      <c r="R7" s="190"/>
      <c r="S7" s="190"/>
      <c r="T7" s="190"/>
      <c r="U7" s="190"/>
      <c r="V7" s="190"/>
      <c r="W7" s="190"/>
      <c r="X7" s="190"/>
      <c r="Y7" s="190"/>
      <c r="Z7" s="190"/>
      <c r="AA7" s="190"/>
      <c r="AB7" s="190"/>
      <c r="AC7" s="190"/>
      <c r="AD7" s="190"/>
      <c r="AE7" s="190"/>
      <c r="AF7" s="190"/>
      <c r="AG7" s="190"/>
      <c r="AH7" s="190"/>
      <c r="AI7" s="190"/>
      <c r="AJ7" s="190"/>
      <c r="AK7" s="190"/>
      <c r="AL7" s="190"/>
      <c r="AM7" s="190"/>
      <c r="AN7" s="190"/>
      <c r="AO7" s="190"/>
      <c r="AP7" s="190"/>
      <c r="AQ7" s="190"/>
      <c r="AR7" s="190"/>
      <c r="AS7" s="190"/>
      <c r="AT7" s="190"/>
      <c r="AU7" s="190"/>
    </row>
    <row r="8" customFormat="false" ht="60" hidden="false" customHeight="true" outlineLevel="0" collapsed="false">
      <c r="A8" s="191" t="str">
        <f aca="false">IF($F8="","",$C$2&amp;"."&amp;COUNTA($F$7:$F8)&amp;"")</f>
        <v>TC_11.1</v>
      </c>
      <c r="B8" s="191" t="s">
        <v>610</v>
      </c>
      <c r="C8" s="191" t="s">
        <v>840</v>
      </c>
      <c r="D8" s="191" t="s">
        <v>43</v>
      </c>
      <c r="E8" s="191" t="s">
        <v>159</v>
      </c>
      <c r="F8" s="13" t="s">
        <v>1343</v>
      </c>
      <c r="G8" s="13" t="s">
        <v>655</v>
      </c>
      <c r="H8" s="13" t="s">
        <v>1344</v>
      </c>
      <c r="I8" s="13" t="s">
        <v>1345</v>
      </c>
      <c r="J8" s="191" t="s">
        <v>658</v>
      </c>
      <c r="K8" s="191" t="s">
        <v>245</v>
      </c>
      <c r="L8" s="191"/>
      <c r="M8" s="191"/>
      <c r="N8" s="192"/>
      <c r="O8" s="192"/>
      <c r="P8" s="192"/>
      <c r="Q8" s="192"/>
      <c r="R8" s="192"/>
      <c r="S8" s="192"/>
      <c r="T8" s="192"/>
      <c r="U8" s="192"/>
      <c r="V8" s="192"/>
      <c r="W8" s="192"/>
      <c r="X8" s="192"/>
      <c r="Y8" s="192"/>
      <c r="Z8" s="192"/>
      <c r="AA8" s="192"/>
      <c r="AB8" s="192"/>
      <c r="AC8" s="192"/>
      <c r="AD8" s="192"/>
      <c r="AE8" s="192"/>
      <c r="AF8" s="192"/>
      <c r="AG8" s="192"/>
      <c r="AH8" s="192"/>
      <c r="AI8" s="192"/>
      <c r="AJ8" s="192"/>
      <c r="AK8" s="192"/>
      <c r="AL8" s="192"/>
      <c r="AM8" s="192"/>
      <c r="AN8" s="192"/>
      <c r="AO8" s="192"/>
      <c r="AP8" s="192"/>
      <c r="AQ8" s="192"/>
      <c r="AR8" s="193" t="str">
        <f aca="false">IF($A8="","",IF(OR($N8="Yes",$T8="Yes",$Z8="Yes",$AF8="Yes",$AL8="Yes"),"Yes","No"))</f>
        <v>No</v>
      </c>
      <c r="AS8" s="193" t="str">
        <f aca="false">IF($A8="","",IFERROR(IF($AM8&lt;&gt;"",$AM8,IF($AG8&lt;&gt;"",$AG8,IF($AA8&lt;&gt;"",$AA8,IF($U8&lt;&gt;"",$U8,IF($O8&lt;&gt;"",$O8,""))))),""))</f>
        <v/>
      </c>
      <c r="AT8" s="193" t="str">
        <f aca="false">IFERROR(IF($AN8&lt;&gt;"",$AN8,IF($AH8&lt;&gt;"",$AH8,IF($AB8&lt;&gt;"",$AB8,IF($V8&lt;&gt;"",$V8,IF($P8&lt;&gt;"",$P8,""))))),"")</f>
        <v/>
      </c>
      <c r="AU8" s="194"/>
    </row>
    <row r="9" customFormat="false" ht="60" hidden="false" customHeight="true" outlineLevel="0" collapsed="false">
      <c r="A9" s="191" t="str">
        <f aca="false">IF($F9="","",$C$2&amp;"."&amp;COUNTA($F$7:$F9)&amp;"")</f>
        <v>TC_11.2</v>
      </c>
      <c r="B9" s="191" t="s">
        <v>610</v>
      </c>
      <c r="C9" s="191" t="s">
        <v>530</v>
      </c>
      <c r="D9" s="191" t="s">
        <v>41</v>
      </c>
      <c r="E9" s="191" t="s">
        <v>159</v>
      </c>
      <c r="F9" s="13" t="s">
        <v>1346</v>
      </c>
      <c r="G9" s="13" t="s">
        <v>655</v>
      </c>
      <c r="H9" s="13" t="s">
        <v>1347</v>
      </c>
      <c r="I9" s="13" t="s">
        <v>1348</v>
      </c>
      <c r="J9" s="191" t="s">
        <v>658</v>
      </c>
      <c r="K9" s="191" t="s">
        <v>245</v>
      </c>
      <c r="L9" s="191"/>
      <c r="M9" s="191"/>
      <c r="N9" s="192"/>
      <c r="O9" s="192"/>
      <c r="P9" s="192"/>
      <c r="Q9" s="192"/>
      <c r="R9" s="192"/>
      <c r="S9" s="192"/>
      <c r="T9" s="192"/>
      <c r="U9" s="192"/>
      <c r="V9" s="192"/>
      <c r="W9" s="192"/>
      <c r="X9" s="192"/>
      <c r="Y9" s="192"/>
      <c r="Z9" s="192"/>
      <c r="AA9" s="192"/>
      <c r="AB9" s="192"/>
      <c r="AC9" s="192"/>
      <c r="AD9" s="192"/>
      <c r="AE9" s="192"/>
      <c r="AF9" s="192"/>
      <c r="AG9" s="192"/>
      <c r="AH9" s="192"/>
      <c r="AI9" s="192"/>
      <c r="AJ9" s="192"/>
      <c r="AK9" s="192"/>
      <c r="AL9" s="192"/>
      <c r="AM9" s="192"/>
      <c r="AN9" s="192"/>
      <c r="AO9" s="192"/>
      <c r="AP9" s="192"/>
      <c r="AQ9" s="192"/>
      <c r="AR9" s="193" t="str">
        <f aca="false">IF($A9="","",IF(OR($N9="Yes",$T9="Yes",$Z9="Yes",$AF9="Yes",$AL9="Yes"),"Yes","No"))</f>
        <v>No</v>
      </c>
      <c r="AS9" s="193" t="str">
        <f aca="false">IF($A9="","",IFERROR(IF($AM9&lt;&gt;"",$AM9,IF($AG9&lt;&gt;"",$AG9,IF($AA9&lt;&gt;"",$AA9,IF($U9&lt;&gt;"",$U9,IF($O9&lt;&gt;"",$O9,""))))),""))</f>
        <v/>
      </c>
      <c r="AT9" s="193" t="str">
        <f aca="false">IFERROR(IF($AN9&lt;&gt;"",$AN9,IF($AH9&lt;&gt;"",$AH9,IF($AB9&lt;&gt;"",$AB9,IF($V9&lt;&gt;"",$V9,IF($P9&lt;&gt;"",$P9,""))))),"")</f>
        <v/>
      </c>
      <c r="AU9" s="194"/>
    </row>
    <row r="10" customFormat="false" ht="15" hidden="false" customHeight="true" outlineLevel="0" collapsed="false">
      <c r="A10" s="189"/>
      <c r="B10" s="189"/>
      <c r="C10" s="190" t="s">
        <v>1349</v>
      </c>
      <c r="D10" s="190"/>
      <c r="E10" s="190"/>
      <c r="F10" s="190"/>
      <c r="G10" s="190"/>
      <c r="H10" s="190"/>
      <c r="I10" s="190"/>
      <c r="J10" s="190"/>
      <c r="K10" s="190"/>
      <c r="L10" s="190"/>
      <c r="M10" s="190"/>
      <c r="N10" s="190"/>
      <c r="O10" s="190"/>
      <c r="P10" s="190"/>
      <c r="Q10" s="190"/>
      <c r="R10" s="190"/>
      <c r="S10" s="190"/>
      <c r="T10" s="190"/>
      <c r="U10" s="190"/>
      <c r="V10" s="190"/>
      <c r="W10" s="190"/>
      <c r="X10" s="190"/>
      <c r="Y10" s="190"/>
      <c r="Z10" s="190"/>
      <c r="AA10" s="190"/>
      <c r="AB10" s="190"/>
      <c r="AC10" s="190"/>
      <c r="AD10" s="190"/>
      <c r="AE10" s="190"/>
      <c r="AF10" s="190"/>
      <c r="AG10" s="190"/>
      <c r="AH10" s="190"/>
      <c r="AI10" s="190"/>
      <c r="AJ10" s="190"/>
      <c r="AK10" s="190"/>
      <c r="AL10" s="190"/>
      <c r="AM10" s="190"/>
      <c r="AN10" s="190"/>
      <c r="AO10" s="190"/>
      <c r="AP10" s="190"/>
      <c r="AQ10" s="190"/>
      <c r="AR10" s="190"/>
      <c r="AS10" s="190"/>
      <c r="AT10" s="190"/>
      <c r="AU10" s="190"/>
    </row>
    <row r="11" customFormat="false" ht="113.25" hidden="false" customHeight="true" outlineLevel="0" collapsed="false">
      <c r="A11" s="191" t="str">
        <f aca="false">IF($F11="","",$C$2&amp;"."&amp;COUNTA($F$7:$F11)&amp;"")</f>
        <v>TC_11.3</v>
      </c>
      <c r="B11" s="191" t="s">
        <v>613</v>
      </c>
      <c r="C11" s="191" t="s">
        <v>530</v>
      </c>
      <c r="D11" s="191" t="s">
        <v>41</v>
      </c>
      <c r="E11" s="191" t="s">
        <v>160</v>
      </c>
      <c r="F11" s="13" t="s">
        <v>1350</v>
      </c>
      <c r="G11" s="13" t="s">
        <v>655</v>
      </c>
      <c r="H11" s="13" t="s">
        <v>1351</v>
      </c>
      <c r="I11" s="13" t="s">
        <v>1352</v>
      </c>
      <c r="J11" s="191" t="s">
        <v>658</v>
      </c>
      <c r="K11" s="191" t="s">
        <v>245</v>
      </c>
      <c r="L11" s="191"/>
      <c r="M11" s="191"/>
      <c r="N11" s="192"/>
      <c r="O11" s="192"/>
      <c r="P11" s="192"/>
      <c r="Q11" s="192"/>
      <c r="R11" s="192"/>
      <c r="S11" s="192"/>
      <c r="T11" s="192"/>
      <c r="U11" s="192"/>
      <c r="V11" s="192"/>
      <c r="W11" s="192"/>
      <c r="X11" s="192"/>
      <c r="Y11" s="192"/>
      <c r="Z11" s="192"/>
      <c r="AA11" s="192"/>
      <c r="AB11" s="192"/>
      <c r="AC11" s="192"/>
      <c r="AD11" s="192"/>
      <c r="AE11" s="192"/>
      <c r="AF11" s="192"/>
      <c r="AG11" s="192"/>
      <c r="AH11" s="192"/>
      <c r="AI11" s="192"/>
      <c r="AJ11" s="192"/>
      <c r="AK11" s="192"/>
      <c r="AL11" s="192"/>
      <c r="AM11" s="192"/>
      <c r="AN11" s="192"/>
      <c r="AO11" s="192"/>
      <c r="AP11" s="192"/>
      <c r="AQ11" s="192"/>
      <c r="AR11" s="193" t="str">
        <f aca="false">IF($A11="","",IF(OR($N11="Yes",$T11="Yes",$Z11="Yes",$AF11="Yes",$AL11="Yes"),"Yes","No"))</f>
        <v>No</v>
      </c>
      <c r="AS11" s="193" t="str">
        <f aca="false">IF($A11="","",IFERROR(IF($AM11&lt;&gt;"",$AM11,IF($AG11&lt;&gt;"",$AG11,IF($AA11&lt;&gt;"",$AA11,IF($U11&lt;&gt;"",$U11,IF($O11&lt;&gt;"",$O11,""))))),""))</f>
        <v/>
      </c>
      <c r="AT11" s="193" t="str">
        <f aca="false">IFERROR(IF($AN11&lt;&gt;"",$AN11,IF($AH11&lt;&gt;"",$AH11,IF($AB11&lt;&gt;"",$AB11,IF($V11&lt;&gt;"",$V11,IF($P11&lt;&gt;"",$P11,""))))),"")</f>
        <v/>
      </c>
      <c r="AU11" s="194"/>
    </row>
    <row r="12" customFormat="false" ht="113.25" hidden="false" customHeight="true" outlineLevel="0" collapsed="false">
      <c r="A12" s="191" t="str">
        <f aca="false">IF($F12="","",$C$2&amp;"."&amp;COUNTA($F$7:$F12)&amp;"")</f>
        <v>TC_11.4</v>
      </c>
      <c r="B12" s="191" t="s">
        <v>613</v>
      </c>
      <c r="C12" s="191" t="s">
        <v>840</v>
      </c>
      <c r="D12" s="191" t="s">
        <v>43</v>
      </c>
      <c r="E12" s="191" t="s">
        <v>160</v>
      </c>
      <c r="F12" s="13" t="s">
        <v>1353</v>
      </c>
      <c r="G12" s="13" t="s">
        <v>655</v>
      </c>
      <c r="H12" s="13" t="s">
        <v>1354</v>
      </c>
      <c r="I12" s="13" t="s">
        <v>1355</v>
      </c>
      <c r="J12" s="191" t="s">
        <v>658</v>
      </c>
      <c r="K12" s="191" t="s">
        <v>245</v>
      </c>
      <c r="L12" s="191"/>
      <c r="M12" s="191"/>
      <c r="N12" s="192"/>
      <c r="O12" s="192"/>
      <c r="P12" s="192"/>
      <c r="Q12" s="192"/>
      <c r="R12" s="192"/>
      <c r="S12" s="192"/>
      <c r="T12" s="192"/>
      <c r="U12" s="192"/>
      <c r="V12" s="192"/>
      <c r="W12" s="192"/>
      <c r="X12" s="192"/>
      <c r="Y12" s="192"/>
      <c r="Z12" s="192"/>
      <c r="AA12" s="192"/>
      <c r="AB12" s="192"/>
      <c r="AC12" s="192"/>
      <c r="AD12" s="192"/>
      <c r="AE12" s="192"/>
      <c r="AF12" s="192"/>
      <c r="AG12" s="192"/>
      <c r="AH12" s="192"/>
      <c r="AI12" s="192"/>
      <c r="AJ12" s="192"/>
      <c r="AK12" s="192"/>
      <c r="AL12" s="192"/>
      <c r="AM12" s="192"/>
      <c r="AN12" s="192"/>
      <c r="AO12" s="192"/>
      <c r="AP12" s="192"/>
      <c r="AQ12" s="192"/>
      <c r="AR12" s="193" t="str">
        <f aca="false">IF($A12="","",IF(OR($N12="Yes",$T12="Yes",$Z12="Yes",$AF12="Yes",$AL12="Yes"),"Yes","No"))</f>
        <v>No</v>
      </c>
      <c r="AS12" s="193" t="str">
        <f aca="false">IF($A12="","",IFERROR(IF($AM12&lt;&gt;"",$AM12,IF($AG12&lt;&gt;"",$AG12,IF($AA12&lt;&gt;"",$AA12,IF($U12&lt;&gt;"",$U12,IF($O12&lt;&gt;"",$O12,""))))),""))</f>
        <v/>
      </c>
      <c r="AT12" s="193" t="str">
        <f aca="false">IFERROR(IF($AN12&lt;&gt;"",$AN12,IF($AH12&lt;&gt;"",$AH12,IF($AB12&lt;&gt;"",$AB12,IF($V12&lt;&gt;"",$V12,IF($P12&lt;&gt;"",$P12,""))))),"")</f>
        <v/>
      </c>
      <c r="AU12" s="194"/>
    </row>
    <row r="13" customFormat="false" ht="15" hidden="false" customHeight="true" outlineLevel="0" collapsed="false">
      <c r="A13" s="189"/>
      <c r="B13" s="189"/>
      <c r="C13" s="190" t="s">
        <v>1356</v>
      </c>
      <c r="D13" s="190"/>
      <c r="E13" s="190"/>
      <c r="F13" s="190"/>
      <c r="G13" s="190"/>
      <c r="H13" s="190"/>
      <c r="I13" s="190"/>
      <c r="J13" s="190"/>
      <c r="K13" s="190"/>
      <c r="L13" s="190"/>
      <c r="M13" s="190"/>
      <c r="N13" s="190"/>
      <c r="O13" s="190"/>
      <c r="P13" s="190"/>
      <c r="Q13" s="190"/>
      <c r="R13" s="190"/>
      <c r="S13" s="190"/>
      <c r="T13" s="190"/>
      <c r="U13" s="190"/>
      <c r="V13" s="190"/>
      <c r="W13" s="190"/>
      <c r="X13" s="190"/>
      <c r="Y13" s="190"/>
      <c r="Z13" s="190"/>
      <c r="AA13" s="190"/>
      <c r="AB13" s="190"/>
      <c r="AC13" s="190"/>
      <c r="AD13" s="190"/>
      <c r="AE13" s="190"/>
      <c r="AF13" s="190"/>
      <c r="AG13" s="190"/>
      <c r="AH13" s="190"/>
      <c r="AI13" s="190"/>
      <c r="AJ13" s="190"/>
      <c r="AK13" s="190"/>
      <c r="AL13" s="190"/>
      <c r="AM13" s="190"/>
      <c r="AN13" s="190"/>
      <c r="AO13" s="190"/>
      <c r="AP13" s="190"/>
      <c r="AQ13" s="190"/>
      <c r="AR13" s="190"/>
      <c r="AS13" s="190"/>
      <c r="AT13" s="190"/>
      <c r="AU13" s="190"/>
    </row>
    <row r="14" customFormat="false" ht="57" hidden="false" customHeight="true" outlineLevel="0" collapsed="false">
      <c r="A14" s="191" t="str">
        <f aca="false">IF($F14="","",$C$2&amp;"."&amp;COUNTA($F$7:$F14)&amp;"")</f>
        <v>TC_11.5</v>
      </c>
      <c r="B14" s="191" t="s">
        <v>616</v>
      </c>
      <c r="C14" s="191" t="s">
        <v>530</v>
      </c>
      <c r="D14" s="191" t="s">
        <v>43</v>
      </c>
      <c r="E14" s="191" t="s">
        <v>159</v>
      </c>
      <c r="F14" s="13" t="s">
        <v>1357</v>
      </c>
      <c r="G14" s="13" t="s">
        <v>655</v>
      </c>
      <c r="H14" s="13" t="s">
        <v>1358</v>
      </c>
      <c r="I14" s="13" t="s">
        <v>1359</v>
      </c>
      <c r="J14" s="191" t="s">
        <v>658</v>
      </c>
      <c r="K14" s="191" t="s">
        <v>245</v>
      </c>
      <c r="L14" s="191"/>
      <c r="M14" s="191"/>
      <c r="N14" s="192"/>
      <c r="O14" s="192"/>
      <c r="P14" s="192"/>
      <c r="Q14" s="192"/>
      <c r="R14" s="192"/>
      <c r="S14" s="192"/>
      <c r="T14" s="192"/>
      <c r="U14" s="192"/>
      <c r="V14" s="192"/>
      <c r="W14" s="192"/>
      <c r="X14" s="192"/>
      <c r="Y14" s="192"/>
      <c r="Z14" s="192"/>
      <c r="AA14" s="192"/>
      <c r="AB14" s="192"/>
      <c r="AC14" s="192"/>
      <c r="AD14" s="192"/>
      <c r="AE14" s="192"/>
      <c r="AF14" s="192"/>
      <c r="AG14" s="192"/>
      <c r="AH14" s="192"/>
      <c r="AI14" s="192"/>
      <c r="AJ14" s="192"/>
      <c r="AK14" s="192"/>
      <c r="AL14" s="192"/>
      <c r="AM14" s="192"/>
      <c r="AN14" s="192"/>
      <c r="AO14" s="192"/>
      <c r="AP14" s="192"/>
      <c r="AQ14" s="192"/>
      <c r="AR14" s="193" t="str">
        <f aca="false">IF($A14="","",IF(OR($N14="Yes",$T14="Yes",$Z14="Yes",$AF14="Yes",$AL14="Yes"),"Yes","No"))</f>
        <v>No</v>
      </c>
      <c r="AS14" s="193" t="str">
        <f aca="false">IF($A14="","",IFERROR(IF($AM14&lt;&gt;"",$AM14,IF($AG14&lt;&gt;"",$AG14,IF($AA14&lt;&gt;"",$AA14,IF($U14&lt;&gt;"",$U14,IF($O14&lt;&gt;"",$O14,""))))),""))</f>
        <v/>
      </c>
      <c r="AT14" s="193" t="str">
        <f aca="false">IFERROR(IF($AN14&lt;&gt;"",$AN14,IF($AH14&lt;&gt;"",$AH14,IF($AB14&lt;&gt;"",$AB14,IF($V14&lt;&gt;"",$V14,IF($P14&lt;&gt;"",$P14,""))))),"")</f>
        <v/>
      </c>
      <c r="AU14" s="194"/>
    </row>
    <row r="15" customFormat="false" ht="68.25" hidden="false" customHeight="true" outlineLevel="0" collapsed="false">
      <c r="A15" s="191" t="str">
        <f aca="false">IF($F15="","",$C$2&amp;"."&amp;COUNTA($F$7:$F15)&amp;"")</f>
        <v>TC_11.6</v>
      </c>
      <c r="B15" s="191" t="s">
        <v>1360</v>
      </c>
      <c r="C15" s="191" t="s">
        <v>840</v>
      </c>
      <c r="D15" s="191" t="s">
        <v>43</v>
      </c>
      <c r="E15" s="191" t="s">
        <v>159</v>
      </c>
      <c r="F15" s="13" t="s">
        <v>1361</v>
      </c>
      <c r="G15" s="13" t="s">
        <v>655</v>
      </c>
      <c r="H15" s="13" t="s">
        <v>1362</v>
      </c>
      <c r="I15" s="13" t="s">
        <v>1363</v>
      </c>
      <c r="J15" s="191" t="s">
        <v>658</v>
      </c>
      <c r="K15" s="191" t="s">
        <v>245</v>
      </c>
      <c r="L15" s="191"/>
      <c r="M15" s="191"/>
      <c r="N15" s="192"/>
      <c r="O15" s="192"/>
      <c r="P15" s="192"/>
      <c r="Q15" s="192"/>
      <c r="R15" s="192"/>
      <c r="S15" s="192"/>
      <c r="T15" s="192"/>
      <c r="U15" s="192"/>
      <c r="V15" s="192"/>
      <c r="W15" s="192"/>
      <c r="X15" s="192"/>
      <c r="Y15" s="192"/>
      <c r="Z15" s="192"/>
      <c r="AA15" s="192"/>
      <c r="AB15" s="192"/>
      <c r="AC15" s="192"/>
      <c r="AD15" s="192"/>
      <c r="AE15" s="192"/>
      <c r="AF15" s="192"/>
      <c r="AG15" s="192"/>
      <c r="AH15" s="192"/>
      <c r="AI15" s="192"/>
      <c r="AJ15" s="192"/>
      <c r="AK15" s="192"/>
      <c r="AL15" s="192"/>
      <c r="AM15" s="192"/>
      <c r="AN15" s="192"/>
      <c r="AO15" s="192"/>
      <c r="AP15" s="192"/>
      <c r="AQ15" s="192"/>
      <c r="AR15" s="193" t="str">
        <f aca="false">IF($A15="","",IF(OR($N15="Yes",$T15="Yes",$Z15="Yes",$AF15="Yes",$AL15="Yes"),"Yes","No"))</f>
        <v>No</v>
      </c>
      <c r="AS15" s="193" t="str">
        <f aca="false">IF($A15="","",IFERROR(IF($AM15&lt;&gt;"",$AM15,IF($AG15&lt;&gt;"",$AG15,IF($AA15&lt;&gt;"",$AA15,IF($U15&lt;&gt;"",$U15,IF($O15&lt;&gt;"",$O15,""))))),""))</f>
        <v/>
      </c>
      <c r="AT15" s="193" t="str">
        <f aca="false">IFERROR(IF($AN15&lt;&gt;"",$AN15,IF($AH15&lt;&gt;"",$AH15,IF($AB15&lt;&gt;"",$AB15,IF($V15&lt;&gt;"",$V15,IF($P15&lt;&gt;"",$P15,""))))),"")</f>
        <v/>
      </c>
      <c r="AU15" s="194"/>
    </row>
    <row r="16" customFormat="false" ht="15" hidden="false" customHeight="true" outlineLevel="0" collapsed="false">
      <c r="A16" s="189"/>
      <c r="B16" s="189"/>
      <c r="C16" s="190" t="s">
        <v>1364</v>
      </c>
      <c r="D16" s="190"/>
      <c r="E16" s="190"/>
      <c r="F16" s="190"/>
      <c r="G16" s="190"/>
      <c r="H16" s="190"/>
      <c r="I16" s="190"/>
      <c r="J16" s="190"/>
      <c r="K16" s="190"/>
      <c r="L16" s="190"/>
      <c r="M16" s="190"/>
      <c r="N16" s="190"/>
      <c r="O16" s="190"/>
      <c r="P16" s="190"/>
      <c r="Q16" s="190"/>
      <c r="R16" s="190"/>
      <c r="S16" s="190"/>
      <c r="T16" s="190"/>
      <c r="U16" s="190"/>
      <c r="V16" s="190"/>
      <c r="W16" s="190"/>
      <c r="X16" s="190"/>
      <c r="Y16" s="190"/>
      <c r="Z16" s="190"/>
      <c r="AA16" s="190"/>
      <c r="AB16" s="190"/>
      <c r="AC16" s="190"/>
      <c r="AD16" s="190"/>
      <c r="AE16" s="190"/>
      <c r="AF16" s="190"/>
      <c r="AG16" s="190"/>
      <c r="AH16" s="190"/>
      <c r="AI16" s="190"/>
      <c r="AJ16" s="190"/>
      <c r="AK16" s="190"/>
      <c r="AL16" s="190"/>
      <c r="AM16" s="190"/>
      <c r="AN16" s="190"/>
      <c r="AO16" s="190"/>
      <c r="AP16" s="190"/>
      <c r="AQ16" s="190"/>
      <c r="AR16" s="190"/>
      <c r="AS16" s="190"/>
      <c r="AT16" s="190"/>
      <c r="AU16" s="190"/>
    </row>
    <row r="17" customFormat="false" ht="147" hidden="false" customHeight="true" outlineLevel="0" collapsed="false">
      <c r="A17" s="191" t="str">
        <f aca="false">IF($F17="","",$C$2&amp;"."&amp;COUNTA($F$7:$F17)&amp;"")</f>
        <v>TC_11.7</v>
      </c>
      <c r="B17" s="191" t="s">
        <v>619</v>
      </c>
      <c r="C17" s="191" t="s">
        <v>1365</v>
      </c>
      <c r="D17" s="191" t="s">
        <v>41</v>
      </c>
      <c r="E17" s="191" t="s">
        <v>158</v>
      </c>
      <c r="F17" s="13" t="s">
        <v>1366</v>
      </c>
      <c r="G17" s="13" t="s">
        <v>655</v>
      </c>
      <c r="H17" s="13" t="s">
        <v>1367</v>
      </c>
      <c r="I17" s="13" t="s">
        <v>1368</v>
      </c>
      <c r="J17" s="191" t="s">
        <v>658</v>
      </c>
      <c r="K17" s="191" t="s">
        <v>245</v>
      </c>
      <c r="L17" s="191"/>
      <c r="M17" s="191"/>
      <c r="N17" s="192"/>
      <c r="O17" s="192"/>
      <c r="P17" s="192"/>
      <c r="Q17" s="192"/>
      <c r="R17" s="192"/>
      <c r="S17" s="192"/>
      <c r="T17" s="192"/>
      <c r="U17" s="192"/>
      <c r="V17" s="192"/>
      <c r="W17" s="192"/>
      <c r="X17" s="192"/>
      <c r="Y17" s="192"/>
      <c r="Z17" s="192"/>
      <c r="AA17" s="192"/>
      <c r="AB17" s="192"/>
      <c r="AC17" s="192"/>
      <c r="AD17" s="192"/>
      <c r="AE17" s="192"/>
      <c r="AF17" s="192"/>
      <c r="AG17" s="192"/>
      <c r="AH17" s="192"/>
      <c r="AI17" s="192"/>
      <c r="AJ17" s="192"/>
      <c r="AK17" s="192"/>
      <c r="AL17" s="192"/>
      <c r="AM17" s="192"/>
      <c r="AN17" s="192"/>
      <c r="AO17" s="192"/>
      <c r="AP17" s="192"/>
      <c r="AQ17" s="192"/>
      <c r="AR17" s="193" t="str">
        <f aca="false">IF($A17="","",IF(OR($N17="Yes",$T17="Yes",$Z17="Yes",$AF17="Yes",$AL17="Yes"),"Yes","No"))</f>
        <v>No</v>
      </c>
      <c r="AS17" s="193" t="str">
        <f aca="false">IF($A17="","",IFERROR(IF($AM17&lt;&gt;"",$AM17,IF($AG17&lt;&gt;"",$AG17,IF($AA17&lt;&gt;"",$AA17,IF($U17&lt;&gt;"",$U17,IF($O17&lt;&gt;"",$O17,""))))),""))</f>
        <v/>
      </c>
      <c r="AT17" s="193" t="str">
        <f aca="false">IFERROR(IF($AN17&lt;&gt;"",$AN17,IF($AH17&lt;&gt;"",$AH17,IF($AB17&lt;&gt;"",$AB17,IF($V17&lt;&gt;"",$V17,IF($P17&lt;&gt;"",$P17,""))))),"")</f>
        <v/>
      </c>
      <c r="AU17" s="194"/>
    </row>
    <row r="18" customFormat="false" ht="202.5" hidden="false" customHeight="true" outlineLevel="0" collapsed="false">
      <c r="A18" s="191" t="str">
        <f aca="false">IF($F18="","",$C$2&amp;"."&amp;COUNTA($F$7:$F18)&amp;"")</f>
        <v>TC_11.8</v>
      </c>
      <c r="B18" s="191" t="s">
        <v>619</v>
      </c>
      <c r="C18" s="191" t="s">
        <v>1365</v>
      </c>
      <c r="D18" s="191" t="s">
        <v>41</v>
      </c>
      <c r="E18" s="191" t="s">
        <v>158</v>
      </c>
      <c r="F18" s="13" t="s">
        <v>1369</v>
      </c>
      <c r="G18" s="13" t="s">
        <v>655</v>
      </c>
      <c r="H18" s="13" t="s">
        <v>1370</v>
      </c>
      <c r="I18" s="13" t="s">
        <v>1371</v>
      </c>
      <c r="J18" s="191" t="s">
        <v>658</v>
      </c>
      <c r="K18" s="191" t="s">
        <v>245</v>
      </c>
      <c r="L18" s="191"/>
      <c r="M18" s="191"/>
      <c r="N18" s="192"/>
      <c r="O18" s="192"/>
      <c r="P18" s="192"/>
      <c r="Q18" s="192"/>
      <c r="R18" s="192"/>
      <c r="S18" s="192"/>
      <c r="T18" s="192"/>
      <c r="U18" s="192"/>
      <c r="V18" s="192"/>
      <c r="W18" s="192"/>
      <c r="X18" s="192"/>
      <c r="Y18" s="192"/>
      <c r="Z18" s="192"/>
      <c r="AA18" s="192"/>
      <c r="AB18" s="192"/>
      <c r="AC18" s="192"/>
      <c r="AD18" s="192"/>
      <c r="AE18" s="192"/>
      <c r="AF18" s="192"/>
      <c r="AG18" s="192"/>
      <c r="AH18" s="192"/>
      <c r="AI18" s="192"/>
      <c r="AJ18" s="192"/>
      <c r="AK18" s="192"/>
      <c r="AL18" s="192"/>
      <c r="AM18" s="192"/>
      <c r="AN18" s="192"/>
      <c r="AO18" s="192"/>
      <c r="AP18" s="192"/>
      <c r="AQ18" s="192"/>
      <c r="AR18" s="193" t="str">
        <f aca="false">IF($A18="","",IF(OR($N18="Yes",$T18="Yes",$Z18="Yes",$AF18="Yes",$AL18="Yes"),"Yes","No"))</f>
        <v>No</v>
      </c>
      <c r="AS18" s="193" t="str">
        <f aca="false">IF($A18="","",IFERROR(IF($AM18&lt;&gt;"",$AM18,IF($AG18&lt;&gt;"",$AG18,IF($AA18&lt;&gt;"",$AA18,IF($U18&lt;&gt;"",$U18,IF($O18&lt;&gt;"",$O18,""))))),""))</f>
        <v/>
      </c>
      <c r="AT18" s="193" t="str">
        <f aca="false">IFERROR(IF($AN18&lt;&gt;"",$AN18,IF($AH18&lt;&gt;"",$AH18,IF($AB18&lt;&gt;"",$AB18,IF($V18&lt;&gt;"",$V18,IF($P18&lt;&gt;"",$P18,""))))),"")</f>
        <v/>
      </c>
      <c r="AU18" s="194"/>
    </row>
    <row r="19" customFormat="false" ht="191.25" hidden="false" customHeight="true" outlineLevel="0" collapsed="false">
      <c r="A19" s="191" t="str">
        <f aca="false">IF($F19="","",$C$2&amp;"."&amp;COUNTA($F$7:$F19)&amp;"")</f>
        <v>TC_11.9</v>
      </c>
      <c r="B19" s="191" t="s">
        <v>619</v>
      </c>
      <c r="C19" s="191" t="s">
        <v>530</v>
      </c>
      <c r="D19" s="191" t="s">
        <v>43</v>
      </c>
      <c r="E19" s="191" t="s">
        <v>160</v>
      </c>
      <c r="F19" s="13" t="s">
        <v>1372</v>
      </c>
      <c r="G19" s="13" t="s">
        <v>655</v>
      </c>
      <c r="H19" s="13" t="s">
        <v>1373</v>
      </c>
      <c r="I19" s="13" t="s">
        <v>1374</v>
      </c>
      <c r="J19" s="191" t="s">
        <v>658</v>
      </c>
      <c r="K19" s="191" t="s">
        <v>245</v>
      </c>
      <c r="L19" s="191"/>
      <c r="M19" s="191"/>
      <c r="N19" s="192"/>
      <c r="O19" s="192"/>
      <c r="P19" s="192"/>
      <c r="Q19" s="192"/>
      <c r="R19" s="192"/>
      <c r="S19" s="192"/>
      <c r="T19" s="192"/>
      <c r="U19" s="192"/>
      <c r="V19" s="192"/>
      <c r="W19" s="192"/>
      <c r="X19" s="192"/>
      <c r="Y19" s="192"/>
      <c r="Z19" s="192"/>
      <c r="AA19" s="192"/>
      <c r="AB19" s="192"/>
      <c r="AC19" s="192"/>
      <c r="AD19" s="192"/>
      <c r="AE19" s="192"/>
      <c r="AF19" s="192"/>
      <c r="AG19" s="192"/>
      <c r="AH19" s="192"/>
      <c r="AI19" s="192"/>
      <c r="AJ19" s="192"/>
      <c r="AK19" s="192"/>
      <c r="AL19" s="192"/>
      <c r="AM19" s="192"/>
      <c r="AN19" s="192"/>
      <c r="AO19" s="192"/>
      <c r="AP19" s="192"/>
      <c r="AQ19" s="192"/>
      <c r="AR19" s="193" t="str">
        <f aca="false">IF($A19="","",IF(OR($N19="Yes",$T19="Yes",$Z19="Yes",$AF19="Yes",$AL19="Yes"),"Yes","No"))</f>
        <v>No</v>
      </c>
      <c r="AS19" s="193" t="str">
        <f aca="false">IF($A19="","",IFERROR(IF($AM19&lt;&gt;"",$AM19,IF($AG19&lt;&gt;"",$AG19,IF($AA19&lt;&gt;"",$AA19,IF($U19&lt;&gt;"",$U19,IF($O19&lt;&gt;"",$O19,""))))),""))</f>
        <v/>
      </c>
      <c r="AT19" s="193" t="str">
        <f aca="false">IFERROR(IF($AN19&lt;&gt;"",$AN19,IF($AH19&lt;&gt;"",$AH19,IF($AB19&lt;&gt;"",$AB19,IF($V19&lt;&gt;"",$V19,IF($P19&lt;&gt;"",$P19,""))))),"")</f>
        <v/>
      </c>
      <c r="AU19" s="194"/>
    </row>
    <row r="20" customFormat="false" ht="15" hidden="false" customHeight="true" outlineLevel="0" collapsed="false">
      <c r="A20" s="189"/>
      <c r="B20" s="189"/>
      <c r="C20" s="190" t="s">
        <v>1375</v>
      </c>
      <c r="D20" s="190"/>
      <c r="E20" s="190"/>
      <c r="F20" s="190"/>
      <c r="G20" s="190"/>
      <c r="H20" s="190"/>
      <c r="I20" s="190"/>
      <c r="J20" s="190"/>
      <c r="K20" s="190"/>
      <c r="L20" s="190"/>
      <c r="M20" s="190"/>
      <c r="N20" s="190"/>
      <c r="O20" s="190"/>
      <c r="P20" s="190"/>
      <c r="Q20" s="190"/>
      <c r="R20" s="190"/>
      <c r="S20" s="190"/>
      <c r="T20" s="190"/>
      <c r="U20" s="190"/>
      <c r="V20" s="190"/>
      <c r="W20" s="190"/>
      <c r="X20" s="190"/>
      <c r="Y20" s="190"/>
      <c r="Z20" s="190"/>
      <c r="AA20" s="190"/>
      <c r="AB20" s="190"/>
      <c r="AC20" s="190"/>
      <c r="AD20" s="190"/>
      <c r="AE20" s="190"/>
      <c r="AF20" s="190"/>
      <c r="AG20" s="190"/>
      <c r="AH20" s="190"/>
      <c r="AI20" s="190"/>
      <c r="AJ20" s="190"/>
      <c r="AK20" s="190"/>
      <c r="AL20" s="190"/>
      <c r="AM20" s="190"/>
      <c r="AN20" s="190"/>
      <c r="AO20" s="190"/>
      <c r="AP20" s="190"/>
      <c r="AQ20" s="190"/>
      <c r="AR20" s="190"/>
      <c r="AS20" s="190"/>
      <c r="AT20" s="190"/>
      <c r="AU20" s="190"/>
    </row>
    <row r="21" customFormat="false" ht="15.75" hidden="false" customHeight="true" outlineLevel="0" collapsed="false">
      <c r="A21" s="191" t="str">
        <f aca="false">IF($F21="","",$C$2&amp;"."&amp;COUNTA($F$7:$F21)&amp;"")</f>
        <v>TC_11.10</v>
      </c>
      <c r="B21" s="191" t="s">
        <v>619</v>
      </c>
      <c r="C21" s="191" t="s">
        <v>530</v>
      </c>
      <c r="D21" s="191" t="s">
        <v>41</v>
      </c>
      <c r="E21" s="191" t="s">
        <v>159</v>
      </c>
      <c r="F21" s="13" t="s">
        <v>1376</v>
      </c>
      <c r="G21" s="13" t="s">
        <v>655</v>
      </c>
      <c r="H21" s="13" t="s">
        <v>1377</v>
      </c>
      <c r="I21" s="13" t="s">
        <v>1378</v>
      </c>
      <c r="J21" s="191" t="s">
        <v>658</v>
      </c>
      <c r="K21" s="191" t="s">
        <v>245</v>
      </c>
      <c r="L21" s="191"/>
      <c r="M21" s="191"/>
      <c r="N21" s="192"/>
      <c r="O21" s="192"/>
      <c r="P21" s="192"/>
      <c r="Q21" s="192"/>
      <c r="R21" s="192"/>
      <c r="S21" s="192"/>
      <c r="T21" s="192"/>
      <c r="U21" s="192"/>
      <c r="V21" s="192"/>
      <c r="W21" s="192"/>
      <c r="X21" s="192"/>
      <c r="Y21" s="192"/>
      <c r="Z21" s="192"/>
      <c r="AA21" s="192"/>
      <c r="AB21" s="192"/>
      <c r="AC21" s="192"/>
      <c r="AD21" s="192"/>
      <c r="AE21" s="192"/>
      <c r="AF21" s="192"/>
      <c r="AG21" s="192"/>
      <c r="AH21" s="192"/>
      <c r="AI21" s="192"/>
      <c r="AJ21" s="192"/>
      <c r="AK21" s="192"/>
      <c r="AL21" s="192"/>
      <c r="AM21" s="192"/>
      <c r="AN21" s="192"/>
      <c r="AO21" s="192"/>
      <c r="AP21" s="192"/>
      <c r="AQ21" s="192"/>
      <c r="AR21" s="193" t="str">
        <f aca="false">IF($A21="","",IF(OR($N21="Yes",$T21="Yes",$Z21="Yes",$AF21="Yes",$AL21="Yes"),"Yes","No"))</f>
        <v>No</v>
      </c>
      <c r="AS21" s="193" t="str">
        <f aca="false">IF($A21="","",IFERROR(IF($AM21&lt;&gt;"",$AM21,IF($AG21&lt;&gt;"",$AG21,IF($AA21&lt;&gt;"",$AA21,IF($U21&lt;&gt;"",$U21,IF($O21&lt;&gt;"",$O21,""))))),""))</f>
        <v/>
      </c>
      <c r="AT21" s="193" t="str">
        <f aca="false">IFERROR(IF($AN21&lt;&gt;"",$AN21,IF($AH21&lt;&gt;"",$AH21,IF($AB21&lt;&gt;"",$AB21,IF($V21&lt;&gt;"",$V21,IF($P21&lt;&gt;"",$P21,""))))),"")</f>
        <v/>
      </c>
      <c r="AU21" s="194"/>
    </row>
    <row r="22" customFormat="false" ht="15.75" hidden="false" customHeight="true" outlineLevel="0" collapsed="false">
      <c r="A22" s="191" t="str">
        <f aca="false">IF($F22="","",$C$2&amp;"."&amp;COUNTA($F$7:$F22)&amp;"")</f>
        <v>TC_11.11</v>
      </c>
      <c r="B22" s="191" t="s">
        <v>619</v>
      </c>
      <c r="C22" s="191" t="s">
        <v>530</v>
      </c>
      <c r="D22" s="191" t="s">
        <v>41</v>
      </c>
      <c r="E22" s="191" t="s">
        <v>159</v>
      </c>
      <c r="F22" s="13" t="s">
        <v>1379</v>
      </c>
      <c r="G22" s="13" t="s">
        <v>655</v>
      </c>
      <c r="H22" s="13" t="s">
        <v>1380</v>
      </c>
      <c r="I22" s="13" t="s">
        <v>1381</v>
      </c>
      <c r="J22" s="191" t="s">
        <v>658</v>
      </c>
      <c r="K22" s="191" t="s">
        <v>245</v>
      </c>
      <c r="L22" s="191"/>
      <c r="M22" s="191"/>
      <c r="N22" s="192"/>
      <c r="O22" s="192"/>
      <c r="P22" s="192"/>
      <c r="Q22" s="192"/>
      <c r="R22" s="192"/>
      <c r="S22" s="192"/>
      <c r="T22" s="192"/>
      <c r="U22" s="192"/>
      <c r="V22" s="192"/>
      <c r="W22" s="192"/>
      <c r="X22" s="192"/>
      <c r="Y22" s="192"/>
      <c r="Z22" s="192"/>
      <c r="AA22" s="192"/>
      <c r="AB22" s="192"/>
      <c r="AC22" s="192"/>
      <c r="AD22" s="192"/>
      <c r="AE22" s="192"/>
      <c r="AF22" s="192"/>
      <c r="AG22" s="192"/>
      <c r="AH22" s="192"/>
      <c r="AI22" s="192"/>
      <c r="AJ22" s="192"/>
      <c r="AK22" s="192"/>
      <c r="AL22" s="192"/>
      <c r="AM22" s="192"/>
      <c r="AN22" s="192"/>
      <c r="AO22" s="192"/>
      <c r="AP22" s="192"/>
      <c r="AQ22" s="192"/>
      <c r="AR22" s="193" t="str">
        <f aca="false">IF($A22="","",IF(OR($N22="Yes",$T22="Yes",$Z22="Yes",$AF22="Yes",$AL22="Yes"),"Yes","No"))</f>
        <v>No</v>
      </c>
      <c r="AS22" s="193" t="str">
        <f aca="false">IF($A22="","",IFERROR(IF($AM22&lt;&gt;"",$AM22,IF($AG22&lt;&gt;"",$AG22,IF($AA22&lt;&gt;"",$AA22,IF($U22&lt;&gt;"",$U22,IF($O22&lt;&gt;"",$O22,""))))),""))</f>
        <v/>
      </c>
      <c r="AT22" s="193" t="str">
        <f aca="false">IFERROR(IF($AN22&lt;&gt;"",$AN22,IF($AH22&lt;&gt;"",$AH22,IF($AB22&lt;&gt;"",$AB22,IF($V22&lt;&gt;"",$V22,IF($P22&lt;&gt;"",$P22,""))))),"")</f>
        <v/>
      </c>
      <c r="AU22" s="194"/>
    </row>
    <row r="23" customFormat="false" ht="15.75" hidden="false" customHeight="true" outlineLevel="0" collapsed="false">
      <c r="A23" s="191" t="str">
        <f aca="false">IF($F23="","",$C$2&amp;"."&amp;COUNTA($F$7:$F23)&amp;"")</f>
        <v>TC_11.12</v>
      </c>
      <c r="B23" s="191" t="s">
        <v>619</v>
      </c>
      <c r="C23" s="191" t="s">
        <v>530</v>
      </c>
      <c r="D23" s="191" t="s">
        <v>41</v>
      </c>
      <c r="E23" s="191" t="s">
        <v>159</v>
      </c>
      <c r="F23" s="13" t="s">
        <v>1382</v>
      </c>
      <c r="G23" s="13" t="s">
        <v>655</v>
      </c>
      <c r="H23" s="13" t="s">
        <v>1383</v>
      </c>
      <c r="I23" s="13" t="s">
        <v>1384</v>
      </c>
      <c r="J23" s="191" t="s">
        <v>658</v>
      </c>
      <c r="K23" s="191" t="s">
        <v>245</v>
      </c>
      <c r="L23" s="191"/>
      <c r="M23" s="191"/>
      <c r="N23" s="192"/>
      <c r="O23" s="192"/>
      <c r="P23" s="192"/>
      <c r="Q23" s="192"/>
      <c r="R23" s="192"/>
      <c r="S23" s="192"/>
      <c r="T23" s="192"/>
      <c r="U23" s="192"/>
      <c r="V23" s="192"/>
      <c r="W23" s="192"/>
      <c r="X23" s="192"/>
      <c r="Y23" s="192"/>
      <c r="Z23" s="192"/>
      <c r="AA23" s="192"/>
      <c r="AB23" s="192"/>
      <c r="AC23" s="192"/>
      <c r="AD23" s="192"/>
      <c r="AE23" s="192"/>
      <c r="AF23" s="192"/>
      <c r="AG23" s="192"/>
      <c r="AH23" s="192"/>
      <c r="AI23" s="192"/>
      <c r="AJ23" s="192"/>
      <c r="AK23" s="192"/>
      <c r="AL23" s="192"/>
      <c r="AM23" s="192"/>
      <c r="AN23" s="192"/>
      <c r="AO23" s="192"/>
      <c r="AP23" s="192"/>
      <c r="AQ23" s="192"/>
      <c r="AR23" s="193" t="str">
        <f aca="false">IF($A23="","",IF(OR($N23="Yes",$T23="Yes",$Z23="Yes",$AF23="Yes",$AL23="Yes"),"Yes","No"))</f>
        <v>No</v>
      </c>
      <c r="AS23" s="193" t="str">
        <f aca="false">IF($A23="","",IFERROR(IF($AM23&lt;&gt;"",$AM23,IF($AG23&lt;&gt;"",$AG23,IF($AA23&lt;&gt;"",$AA23,IF($U23&lt;&gt;"",$U23,IF($O23&lt;&gt;"",$O23,""))))),""))</f>
        <v/>
      </c>
      <c r="AT23" s="193" t="str">
        <f aca="false">IFERROR(IF($AN23&lt;&gt;"",$AN23,IF($AH23&lt;&gt;"",$AH23,IF($AB23&lt;&gt;"",$AB23,IF($V23&lt;&gt;"",$V23,IF($P23&lt;&gt;"",$P23,""))))),"")</f>
        <v/>
      </c>
      <c r="AU23" s="194"/>
    </row>
    <row r="24" customFormat="false" ht="15.75" hidden="false" customHeight="true" outlineLevel="0" collapsed="false">
      <c r="A24" s="191" t="str">
        <f aca="false">IF($F24="","",$C$2&amp;"."&amp;COUNTA($F$7:$F24)&amp;"")</f>
        <v>TC_11.13</v>
      </c>
      <c r="B24" s="191" t="s">
        <v>619</v>
      </c>
      <c r="C24" s="191" t="s">
        <v>530</v>
      </c>
      <c r="D24" s="191" t="s">
        <v>41</v>
      </c>
      <c r="E24" s="191" t="s">
        <v>159</v>
      </c>
      <c r="F24" s="13" t="s">
        <v>1385</v>
      </c>
      <c r="G24" s="13" t="s">
        <v>655</v>
      </c>
      <c r="H24" s="13" t="s">
        <v>1386</v>
      </c>
      <c r="I24" s="13" t="s">
        <v>1381</v>
      </c>
      <c r="J24" s="191" t="s">
        <v>658</v>
      </c>
      <c r="K24" s="191" t="s">
        <v>245</v>
      </c>
      <c r="L24" s="191"/>
      <c r="M24" s="191"/>
      <c r="N24" s="192"/>
      <c r="O24" s="192"/>
      <c r="P24" s="192"/>
      <c r="Q24" s="192"/>
      <c r="R24" s="192"/>
      <c r="S24" s="192"/>
      <c r="T24" s="192"/>
      <c r="U24" s="192"/>
      <c r="V24" s="192"/>
      <c r="W24" s="192"/>
      <c r="X24" s="192"/>
      <c r="Y24" s="192"/>
      <c r="Z24" s="192"/>
      <c r="AA24" s="192"/>
      <c r="AB24" s="192"/>
      <c r="AC24" s="192"/>
      <c r="AD24" s="192"/>
      <c r="AE24" s="192"/>
      <c r="AF24" s="192"/>
      <c r="AG24" s="192"/>
      <c r="AH24" s="192"/>
      <c r="AI24" s="192"/>
      <c r="AJ24" s="192"/>
      <c r="AK24" s="192"/>
      <c r="AL24" s="192"/>
      <c r="AM24" s="192"/>
      <c r="AN24" s="192"/>
      <c r="AO24" s="192"/>
      <c r="AP24" s="192"/>
      <c r="AQ24" s="192"/>
      <c r="AR24" s="193" t="str">
        <f aca="false">IF($A24="","",IF(OR($N24="Yes",$T24="Yes",$Z24="Yes",$AF24="Yes",$AL24="Yes"),"Yes","No"))</f>
        <v>No</v>
      </c>
      <c r="AS24" s="193" t="str">
        <f aca="false">IF($A24="","",IFERROR(IF($AM24&lt;&gt;"",$AM24,IF($AG24&lt;&gt;"",$AG24,IF($AA24&lt;&gt;"",$AA24,IF($U24&lt;&gt;"",$U24,IF($O24&lt;&gt;"",$O24,""))))),""))</f>
        <v/>
      </c>
      <c r="AT24" s="193" t="str">
        <f aca="false">IFERROR(IF($AN24&lt;&gt;"",$AN24,IF($AH24&lt;&gt;"",$AH24,IF($AB24&lt;&gt;"",$AB24,IF($V24&lt;&gt;"",$V24,IF($P24&lt;&gt;"",$P24,""))))),"")</f>
        <v/>
      </c>
      <c r="AU24" s="194"/>
    </row>
    <row r="25" customFormat="false" ht="15.75" hidden="false" customHeight="true" outlineLevel="0" collapsed="false">
      <c r="A25" s="191" t="str">
        <f aca="false">IF($F25="","",$C$2&amp;"."&amp;COUNTA($F$7:$F25)&amp;"")</f>
        <v>TC_11.14</v>
      </c>
      <c r="B25" s="191" t="s">
        <v>619</v>
      </c>
      <c r="C25" s="191" t="s">
        <v>530</v>
      </c>
      <c r="D25" s="191" t="s">
        <v>41</v>
      </c>
      <c r="E25" s="191" t="s">
        <v>159</v>
      </c>
      <c r="F25" s="13" t="s">
        <v>1387</v>
      </c>
      <c r="G25" s="13" t="s">
        <v>655</v>
      </c>
      <c r="H25" s="13" t="s">
        <v>1388</v>
      </c>
      <c r="I25" s="13" t="s">
        <v>1381</v>
      </c>
      <c r="J25" s="191" t="s">
        <v>658</v>
      </c>
      <c r="K25" s="191" t="s">
        <v>245</v>
      </c>
      <c r="L25" s="191"/>
      <c r="M25" s="191"/>
      <c r="N25" s="192"/>
      <c r="O25" s="192"/>
      <c r="P25" s="192"/>
      <c r="Q25" s="192"/>
      <c r="R25" s="192"/>
      <c r="S25" s="192"/>
      <c r="T25" s="192"/>
      <c r="U25" s="192"/>
      <c r="V25" s="192"/>
      <c r="W25" s="192"/>
      <c r="X25" s="192"/>
      <c r="Y25" s="192"/>
      <c r="Z25" s="192"/>
      <c r="AA25" s="192"/>
      <c r="AB25" s="192"/>
      <c r="AC25" s="192"/>
      <c r="AD25" s="192"/>
      <c r="AE25" s="192"/>
      <c r="AF25" s="192"/>
      <c r="AG25" s="192"/>
      <c r="AH25" s="192"/>
      <c r="AI25" s="192"/>
      <c r="AJ25" s="192"/>
      <c r="AK25" s="192"/>
      <c r="AL25" s="192"/>
      <c r="AM25" s="192"/>
      <c r="AN25" s="192"/>
      <c r="AO25" s="192"/>
      <c r="AP25" s="192"/>
      <c r="AQ25" s="192"/>
      <c r="AR25" s="193" t="str">
        <f aca="false">IF($A25="","",IF(OR($N25="Yes",$T25="Yes",$Z25="Yes",$AF25="Yes",$AL25="Yes"),"Yes","No"))</f>
        <v>No</v>
      </c>
      <c r="AS25" s="193" t="str">
        <f aca="false">IF($A25="","",IFERROR(IF($AM25&lt;&gt;"",$AM25,IF($AG25&lt;&gt;"",$AG25,IF($AA25&lt;&gt;"",$AA25,IF($U25&lt;&gt;"",$U25,IF($O25&lt;&gt;"",$O25,""))))),""))</f>
        <v/>
      </c>
      <c r="AT25" s="193" t="str">
        <f aca="false">IFERROR(IF($AN25&lt;&gt;"",$AN25,IF($AH25&lt;&gt;"",$AH25,IF($AB25&lt;&gt;"",$AB25,IF($V25&lt;&gt;"",$V25,IF($P25&lt;&gt;"",$P25,""))))),"")</f>
        <v/>
      </c>
      <c r="AU25" s="194"/>
    </row>
    <row r="26" customFormat="false" ht="15.75" hidden="false" customHeight="true" outlineLevel="0" collapsed="false">
      <c r="A26" s="191" t="str">
        <f aca="false">IF($F26="","",$C$2&amp;"."&amp;COUNTA($F$7:$F26)&amp;"")</f>
        <v>TC_11.15</v>
      </c>
      <c r="B26" s="191" t="s">
        <v>619</v>
      </c>
      <c r="C26" s="191" t="s">
        <v>530</v>
      </c>
      <c r="D26" s="191" t="s">
        <v>41</v>
      </c>
      <c r="E26" s="191" t="s">
        <v>159</v>
      </c>
      <c r="F26" s="13" t="s">
        <v>1389</v>
      </c>
      <c r="G26" s="13" t="s">
        <v>655</v>
      </c>
      <c r="H26" s="13" t="s">
        <v>1390</v>
      </c>
      <c r="I26" s="13" t="s">
        <v>1381</v>
      </c>
      <c r="J26" s="191" t="s">
        <v>658</v>
      </c>
      <c r="K26" s="191" t="s">
        <v>245</v>
      </c>
      <c r="L26" s="191"/>
      <c r="M26" s="191"/>
      <c r="N26" s="192"/>
      <c r="O26" s="192"/>
      <c r="P26" s="192"/>
      <c r="Q26" s="192"/>
      <c r="R26" s="192"/>
      <c r="S26" s="192"/>
      <c r="T26" s="192"/>
      <c r="U26" s="192"/>
      <c r="V26" s="192"/>
      <c r="W26" s="192"/>
      <c r="X26" s="192"/>
      <c r="Y26" s="192"/>
      <c r="Z26" s="192"/>
      <c r="AA26" s="192"/>
      <c r="AB26" s="192"/>
      <c r="AC26" s="192"/>
      <c r="AD26" s="192"/>
      <c r="AE26" s="192"/>
      <c r="AF26" s="192"/>
      <c r="AG26" s="192"/>
      <c r="AH26" s="192"/>
      <c r="AI26" s="192"/>
      <c r="AJ26" s="192"/>
      <c r="AK26" s="192"/>
      <c r="AL26" s="192"/>
      <c r="AM26" s="192"/>
      <c r="AN26" s="192"/>
      <c r="AO26" s="192"/>
      <c r="AP26" s="192"/>
      <c r="AQ26" s="192"/>
      <c r="AR26" s="193" t="str">
        <f aca="false">IF($A26="","",IF(OR($N26="Yes",$T26="Yes",$Z26="Yes",$AF26="Yes",$AL26="Yes"),"Yes","No"))</f>
        <v>No</v>
      </c>
      <c r="AS26" s="193" t="str">
        <f aca="false">IF($A26="","",IFERROR(IF($AM26&lt;&gt;"",$AM26,IF($AG26&lt;&gt;"",$AG26,IF($AA26&lt;&gt;"",$AA26,IF($U26&lt;&gt;"",$U26,IF($O26&lt;&gt;"",$O26,""))))),""))</f>
        <v/>
      </c>
      <c r="AT26" s="193" t="str">
        <f aca="false">IFERROR(IF($AN26&lt;&gt;"",$AN26,IF($AH26&lt;&gt;"",$AH26,IF($AB26&lt;&gt;"",$AB26,IF($V26&lt;&gt;"",$V26,IF($P26&lt;&gt;"",$P26,""))))),"")</f>
        <v/>
      </c>
      <c r="AU26" s="194"/>
    </row>
    <row r="27" customFormat="false" ht="15.75" hidden="false" customHeight="true" outlineLevel="0" collapsed="false">
      <c r="A27" s="191" t="str">
        <f aca="false">IF($F27="","",$C$2&amp;"."&amp;COUNTA($F$7:$F27)&amp;"")</f>
        <v>TC_11.16</v>
      </c>
      <c r="B27" s="191" t="s">
        <v>619</v>
      </c>
      <c r="C27" s="191" t="s">
        <v>530</v>
      </c>
      <c r="D27" s="191" t="s">
        <v>41</v>
      </c>
      <c r="E27" s="191" t="s">
        <v>159</v>
      </c>
      <c r="F27" s="13" t="s">
        <v>1391</v>
      </c>
      <c r="G27" s="13" t="s">
        <v>655</v>
      </c>
      <c r="H27" s="13" t="s">
        <v>1392</v>
      </c>
      <c r="I27" s="13" t="s">
        <v>1381</v>
      </c>
      <c r="J27" s="191" t="s">
        <v>658</v>
      </c>
      <c r="K27" s="191" t="s">
        <v>245</v>
      </c>
      <c r="L27" s="191"/>
      <c r="M27" s="191"/>
      <c r="N27" s="192"/>
      <c r="O27" s="192"/>
      <c r="P27" s="192"/>
      <c r="Q27" s="192"/>
      <c r="R27" s="192"/>
      <c r="S27" s="192"/>
      <c r="T27" s="192"/>
      <c r="U27" s="192"/>
      <c r="V27" s="192"/>
      <c r="W27" s="192"/>
      <c r="X27" s="192"/>
      <c r="Y27" s="192"/>
      <c r="Z27" s="192"/>
      <c r="AA27" s="192"/>
      <c r="AB27" s="192"/>
      <c r="AC27" s="192"/>
      <c r="AD27" s="192"/>
      <c r="AE27" s="192"/>
      <c r="AF27" s="192"/>
      <c r="AG27" s="192"/>
      <c r="AH27" s="192"/>
      <c r="AI27" s="192"/>
      <c r="AJ27" s="192"/>
      <c r="AK27" s="192"/>
      <c r="AL27" s="192"/>
      <c r="AM27" s="192"/>
      <c r="AN27" s="192"/>
      <c r="AO27" s="192"/>
      <c r="AP27" s="192"/>
      <c r="AQ27" s="192"/>
      <c r="AR27" s="193" t="str">
        <f aca="false">IF($A27="","",IF(OR($N27="Yes",$T27="Yes",$Z27="Yes",$AF27="Yes",$AL27="Yes"),"Yes","No"))</f>
        <v>No</v>
      </c>
      <c r="AS27" s="193" t="str">
        <f aca="false">IF($A27="","",IFERROR(IF($AM27&lt;&gt;"",$AM27,IF($AG27&lt;&gt;"",$AG27,IF($AA27&lt;&gt;"",$AA27,IF($U27&lt;&gt;"",$U27,IF($O27&lt;&gt;"",$O27,""))))),""))</f>
        <v/>
      </c>
      <c r="AT27" s="193" t="str">
        <f aca="false">IFERROR(IF($AN27&lt;&gt;"",$AN27,IF($AH27&lt;&gt;"",$AH27,IF($AB27&lt;&gt;"",$AB27,IF($V27&lt;&gt;"",$V27,IF($P27&lt;&gt;"",$P27,""))))),"")</f>
        <v/>
      </c>
      <c r="AU27" s="194"/>
    </row>
    <row r="28" customFormat="false" ht="15.75" hidden="false" customHeight="true" outlineLevel="0" collapsed="false">
      <c r="A28" s="189"/>
      <c r="B28" s="189"/>
      <c r="C28" s="190" t="s">
        <v>1393</v>
      </c>
      <c r="D28" s="190"/>
      <c r="E28" s="190"/>
      <c r="F28" s="190"/>
      <c r="G28" s="190"/>
      <c r="H28" s="190"/>
      <c r="I28" s="190"/>
      <c r="J28" s="190"/>
      <c r="K28" s="190"/>
      <c r="L28" s="190"/>
      <c r="M28" s="190"/>
      <c r="N28" s="190"/>
      <c r="O28" s="190"/>
      <c r="P28" s="190"/>
      <c r="Q28" s="190"/>
      <c r="R28" s="190"/>
      <c r="S28" s="190"/>
      <c r="T28" s="190"/>
      <c r="U28" s="190"/>
      <c r="V28" s="190"/>
      <c r="W28" s="190"/>
      <c r="X28" s="190"/>
      <c r="Y28" s="190"/>
      <c r="Z28" s="190"/>
      <c r="AA28" s="190"/>
      <c r="AB28" s="190"/>
      <c r="AC28" s="190"/>
      <c r="AD28" s="190"/>
      <c r="AE28" s="190"/>
      <c r="AF28" s="190"/>
      <c r="AG28" s="190"/>
      <c r="AH28" s="190"/>
      <c r="AI28" s="190"/>
      <c r="AJ28" s="190"/>
      <c r="AK28" s="190"/>
      <c r="AL28" s="190"/>
      <c r="AM28" s="190"/>
      <c r="AN28" s="190"/>
      <c r="AO28" s="190"/>
      <c r="AP28" s="190"/>
      <c r="AQ28" s="190"/>
      <c r="AR28" s="190"/>
      <c r="AS28" s="190"/>
      <c r="AT28" s="190"/>
      <c r="AU28" s="190"/>
    </row>
    <row r="29" customFormat="false" ht="15.75" hidden="false" customHeight="true" outlineLevel="0" collapsed="false">
      <c r="A29" s="191" t="str">
        <f aca="false">IF($F29="","",$C$2&amp;"."&amp;COUNTA($F$7:$F29)&amp;"")</f>
        <v>TC_11.17</v>
      </c>
      <c r="B29" s="191" t="s">
        <v>1394</v>
      </c>
      <c r="C29" s="191" t="s">
        <v>840</v>
      </c>
      <c r="D29" s="191" t="s">
        <v>41</v>
      </c>
      <c r="E29" s="191" t="s">
        <v>159</v>
      </c>
      <c r="F29" s="13" t="s">
        <v>1395</v>
      </c>
      <c r="G29" s="13" t="s">
        <v>655</v>
      </c>
      <c r="H29" s="13" t="s">
        <v>1396</v>
      </c>
      <c r="I29" s="13" t="s">
        <v>1397</v>
      </c>
      <c r="J29" s="191" t="s">
        <v>658</v>
      </c>
      <c r="K29" s="191" t="s">
        <v>245</v>
      </c>
      <c r="L29" s="191"/>
      <c r="M29" s="191"/>
      <c r="N29" s="192"/>
      <c r="O29" s="192"/>
      <c r="P29" s="192"/>
      <c r="Q29" s="192"/>
      <c r="R29" s="192"/>
      <c r="S29" s="192"/>
      <c r="T29" s="192"/>
      <c r="U29" s="192"/>
      <c r="V29" s="192"/>
      <c r="W29" s="192"/>
      <c r="X29" s="192"/>
      <c r="Y29" s="192"/>
      <c r="Z29" s="192"/>
      <c r="AA29" s="192"/>
      <c r="AB29" s="192"/>
      <c r="AC29" s="192"/>
      <c r="AD29" s="192"/>
      <c r="AE29" s="192"/>
      <c r="AF29" s="192"/>
      <c r="AG29" s="192"/>
      <c r="AH29" s="192"/>
      <c r="AI29" s="192"/>
      <c r="AJ29" s="192"/>
      <c r="AK29" s="192"/>
      <c r="AL29" s="192"/>
      <c r="AM29" s="192"/>
      <c r="AN29" s="192"/>
      <c r="AO29" s="192"/>
      <c r="AP29" s="192"/>
      <c r="AQ29" s="192"/>
      <c r="AR29" s="193" t="str">
        <f aca="false">IF($A29="","",IF(OR($N29="Yes",$T29="Yes",$Z29="Yes",$AF29="Yes",$AL29="Yes"),"Yes","No"))</f>
        <v>No</v>
      </c>
      <c r="AS29" s="193" t="str">
        <f aca="false">IF($A29="","",IFERROR(IF($AM29&lt;&gt;"",$AM29,IF($AG29&lt;&gt;"",$AG29,IF($AA29&lt;&gt;"",$AA29,IF($U29&lt;&gt;"",$U29,IF($O29&lt;&gt;"",$O29,""))))),""))</f>
        <v/>
      </c>
      <c r="AT29" s="193" t="str">
        <f aca="false">IFERROR(IF($AN29&lt;&gt;"",$AN29,IF($AH29&lt;&gt;"",$AH29,IF($AB29&lt;&gt;"",$AB29,IF($V29&lt;&gt;"",$V29,IF($P29&lt;&gt;"",$P29,""))))),"")</f>
        <v/>
      </c>
      <c r="AU29" s="194"/>
    </row>
    <row r="30" customFormat="false" ht="15.75" hidden="false" customHeight="true" outlineLevel="0" collapsed="false">
      <c r="A30" s="189"/>
      <c r="B30" s="189"/>
      <c r="C30" s="190" t="s">
        <v>1398</v>
      </c>
      <c r="D30" s="190"/>
      <c r="E30" s="190"/>
      <c r="F30" s="190"/>
      <c r="G30" s="190"/>
      <c r="H30" s="190"/>
      <c r="I30" s="190"/>
      <c r="J30" s="190"/>
      <c r="K30" s="190"/>
      <c r="L30" s="190"/>
      <c r="M30" s="190"/>
      <c r="N30" s="190"/>
      <c r="O30" s="190"/>
      <c r="P30" s="190"/>
      <c r="Q30" s="190"/>
      <c r="R30" s="190"/>
      <c r="S30" s="190"/>
      <c r="T30" s="190"/>
      <c r="U30" s="190"/>
      <c r="V30" s="190"/>
      <c r="W30" s="190"/>
      <c r="X30" s="190"/>
      <c r="Y30" s="190"/>
      <c r="Z30" s="190"/>
      <c r="AA30" s="190"/>
      <c r="AB30" s="190"/>
      <c r="AC30" s="190"/>
      <c r="AD30" s="190"/>
      <c r="AE30" s="190"/>
      <c r="AF30" s="190"/>
      <c r="AG30" s="190"/>
      <c r="AH30" s="190"/>
      <c r="AI30" s="190"/>
      <c r="AJ30" s="190"/>
      <c r="AK30" s="190"/>
      <c r="AL30" s="190"/>
      <c r="AM30" s="190"/>
      <c r="AN30" s="190"/>
      <c r="AO30" s="190"/>
      <c r="AP30" s="190"/>
      <c r="AQ30" s="190"/>
      <c r="AR30" s="190"/>
      <c r="AS30" s="190"/>
      <c r="AT30" s="190"/>
      <c r="AU30" s="190"/>
    </row>
    <row r="31" customFormat="false" ht="15.75" hidden="false" customHeight="true" outlineLevel="0" collapsed="false">
      <c r="A31" s="191" t="str">
        <f aca="false">IF($F31="","",$C$2&amp;"."&amp;COUNTA($F$7:$F31)&amp;"")</f>
        <v>TC_11.18</v>
      </c>
      <c r="B31" s="191" t="s">
        <v>622</v>
      </c>
      <c r="C31" s="191" t="s">
        <v>1365</v>
      </c>
      <c r="D31" s="191" t="s">
        <v>41</v>
      </c>
      <c r="E31" s="191" t="s">
        <v>158</v>
      </c>
      <c r="F31" s="13" t="s">
        <v>1399</v>
      </c>
      <c r="G31" s="13" t="s">
        <v>1400</v>
      </c>
      <c r="H31" s="13" t="s">
        <v>1401</v>
      </c>
      <c r="I31" s="13" t="s">
        <v>1402</v>
      </c>
      <c r="J31" s="191" t="s">
        <v>658</v>
      </c>
      <c r="K31" s="191" t="s">
        <v>245</v>
      </c>
      <c r="L31" s="191"/>
      <c r="M31" s="191"/>
      <c r="N31" s="192"/>
      <c r="O31" s="192"/>
      <c r="P31" s="192"/>
      <c r="Q31" s="192"/>
      <c r="R31" s="192"/>
      <c r="S31" s="192"/>
      <c r="T31" s="192"/>
      <c r="U31" s="192"/>
      <c r="V31" s="192"/>
      <c r="W31" s="192"/>
      <c r="X31" s="192"/>
      <c r="Y31" s="192"/>
      <c r="Z31" s="192"/>
      <c r="AA31" s="192"/>
      <c r="AB31" s="192"/>
      <c r="AC31" s="192"/>
      <c r="AD31" s="192"/>
      <c r="AE31" s="192"/>
      <c r="AF31" s="192"/>
      <c r="AG31" s="192"/>
      <c r="AH31" s="192"/>
      <c r="AI31" s="192"/>
      <c r="AJ31" s="192"/>
      <c r="AK31" s="192"/>
      <c r="AL31" s="192"/>
      <c r="AM31" s="192"/>
      <c r="AN31" s="192"/>
      <c r="AO31" s="192"/>
      <c r="AP31" s="192"/>
      <c r="AQ31" s="192"/>
      <c r="AR31" s="193" t="str">
        <f aca="false">IF($A31="","",IF(OR($N31="Yes",$T31="Yes",$Z31="Yes",$AF31="Yes",$AL31="Yes"),"Yes","No"))</f>
        <v>No</v>
      </c>
      <c r="AS31" s="193" t="str">
        <f aca="false">IF($A31="","",IFERROR(IF($AM31&lt;&gt;"",$AM31,IF($AG31&lt;&gt;"",$AG31,IF($AA31&lt;&gt;"",$AA31,IF($U31&lt;&gt;"",$U31,IF($O31&lt;&gt;"",$O31,""))))),""))</f>
        <v/>
      </c>
      <c r="AT31" s="193" t="str">
        <f aca="false">IFERROR(IF($AN31&lt;&gt;"",$AN31,IF($AH31&lt;&gt;"",$AH31,IF($AB31&lt;&gt;"",$AB31,IF($V31&lt;&gt;"",$V31,IF($P31&lt;&gt;"",$P31,""))))),"")</f>
        <v/>
      </c>
      <c r="AU31" s="194"/>
    </row>
    <row r="32" customFormat="false" ht="15.75" hidden="false" customHeight="true" outlineLevel="0" collapsed="false">
      <c r="A32" s="191" t="str">
        <f aca="false">IF($F32="","",$C$2&amp;"."&amp;COUNTA($F$7:$F32)&amp;"")</f>
        <v>TC_11.19</v>
      </c>
      <c r="B32" s="191" t="s">
        <v>625</v>
      </c>
      <c r="C32" s="191" t="s">
        <v>1365</v>
      </c>
      <c r="D32" s="191" t="s">
        <v>41</v>
      </c>
      <c r="E32" s="191" t="s">
        <v>159</v>
      </c>
      <c r="F32" s="13" t="s">
        <v>1403</v>
      </c>
      <c r="G32" s="13" t="s">
        <v>1400</v>
      </c>
      <c r="H32" s="13" t="s">
        <v>1404</v>
      </c>
      <c r="I32" s="13" t="s">
        <v>1405</v>
      </c>
      <c r="J32" s="191" t="s">
        <v>658</v>
      </c>
      <c r="K32" s="191" t="s">
        <v>245</v>
      </c>
      <c r="L32" s="191"/>
      <c r="M32" s="191"/>
      <c r="N32" s="192"/>
      <c r="O32" s="192"/>
      <c r="P32" s="192"/>
      <c r="Q32" s="192"/>
      <c r="R32" s="192"/>
      <c r="S32" s="192"/>
      <c r="T32" s="192"/>
      <c r="U32" s="192"/>
      <c r="V32" s="192"/>
      <c r="W32" s="192"/>
      <c r="X32" s="192"/>
      <c r="Y32" s="192"/>
      <c r="Z32" s="192"/>
      <c r="AA32" s="192"/>
      <c r="AB32" s="192"/>
      <c r="AC32" s="192"/>
      <c r="AD32" s="192"/>
      <c r="AE32" s="192"/>
      <c r="AF32" s="192"/>
      <c r="AG32" s="192"/>
      <c r="AH32" s="192"/>
      <c r="AI32" s="192"/>
      <c r="AJ32" s="192"/>
      <c r="AK32" s="192"/>
      <c r="AL32" s="192"/>
      <c r="AM32" s="192"/>
      <c r="AN32" s="192"/>
      <c r="AO32" s="192"/>
      <c r="AP32" s="192"/>
      <c r="AQ32" s="192"/>
      <c r="AR32" s="193" t="str">
        <f aca="false">IF($A32="","",IF(OR($N32="Yes",$T32="Yes",$Z32="Yes",$AF32="Yes",$AL32="Yes"),"Yes","No"))</f>
        <v>No</v>
      </c>
      <c r="AS32" s="193" t="str">
        <f aca="false">IF($A32="","",IFERROR(IF($AM32&lt;&gt;"",$AM32,IF($AG32&lt;&gt;"",$AG32,IF($AA32&lt;&gt;"",$AA32,IF($U32&lt;&gt;"",$U32,IF($O32&lt;&gt;"",$O32,""))))),""))</f>
        <v/>
      </c>
      <c r="AT32" s="193" t="str">
        <f aca="false">IFERROR(IF($AN32&lt;&gt;"",$AN32,IF($AH32&lt;&gt;"",$AH32,IF($AB32&lt;&gt;"",$AB32,IF($V32&lt;&gt;"",$V32,IF($P32&lt;&gt;"",$P32,""))))),"")</f>
        <v/>
      </c>
      <c r="AU32" s="194"/>
    </row>
    <row r="33" customFormat="false" ht="15.75" hidden="false" customHeight="true" outlineLevel="0" collapsed="false">
      <c r="A33" s="189"/>
      <c r="B33" s="189"/>
      <c r="C33" s="190" t="s">
        <v>1406</v>
      </c>
      <c r="D33" s="190"/>
      <c r="E33" s="190"/>
      <c r="F33" s="190"/>
      <c r="G33" s="190"/>
      <c r="H33" s="190"/>
      <c r="I33" s="190"/>
      <c r="J33" s="190"/>
      <c r="K33" s="190"/>
      <c r="L33" s="190"/>
      <c r="M33" s="190"/>
      <c r="N33" s="190"/>
      <c r="O33" s="190"/>
      <c r="P33" s="190"/>
      <c r="Q33" s="190"/>
      <c r="R33" s="190"/>
      <c r="S33" s="190"/>
      <c r="T33" s="190"/>
      <c r="U33" s="190"/>
      <c r="V33" s="190"/>
      <c r="W33" s="190"/>
      <c r="X33" s="190"/>
      <c r="Y33" s="190"/>
      <c r="Z33" s="190"/>
      <c r="AA33" s="190"/>
      <c r="AB33" s="190"/>
      <c r="AC33" s="190"/>
      <c r="AD33" s="190"/>
      <c r="AE33" s="190"/>
      <c r="AF33" s="190"/>
      <c r="AG33" s="190"/>
      <c r="AH33" s="190"/>
      <c r="AI33" s="190"/>
      <c r="AJ33" s="190"/>
      <c r="AK33" s="190"/>
      <c r="AL33" s="190"/>
      <c r="AM33" s="190"/>
      <c r="AN33" s="190"/>
      <c r="AO33" s="190"/>
      <c r="AP33" s="190"/>
      <c r="AQ33" s="190"/>
      <c r="AR33" s="190"/>
      <c r="AS33" s="190"/>
      <c r="AT33" s="190"/>
      <c r="AU33" s="190"/>
    </row>
    <row r="34" customFormat="false" ht="15.75" hidden="false" customHeight="true" outlineLevel="0" collapsed="false">
      <c r="A34" s="191" t="str">
        <f aca="false">IF($F34="","",$C$2&amp;"."&amp;COUNTA($F$7:$F34)&amp;"")</f>
        <v>TC_11.20</v>
      </c>
      <c r="B34" s="191" t="s">
        <v>619</v>
      </c>
      <c r="C34" s="191" t="s">
        <v>1365</v>
      </c>
      <c r="D34" s="191" t="s">
        <v>41</v>
      </c>
      <c r="E34" s="191" t="s">
        <v>159</v>
      </c>
      <c r="F34" s="13" t="s">
        <v>1407</v>
      </c>
      <c r="G34" s="13" t="s">
        <v>655</v>
      </c>
      <c r="H34" s="13" t="s">
        <v>1408</v>
      </c>
      <c r="I34" s="13" t="s">
        <v>1409</v>
      </c>
      <c r="J34" s="191" t="s">
        <v>658</v>
      </c>
      <c r="K34" s="191" t="s">
        <v>245</v>
      </c>
      <c r="L34" s="191"/>
      <c r="M34" s="191"/>
      <c r="N34" s="192"/>
      <c r="O34" s="192"/>
      <c r="P34" s="192"/>
      <c r="Q34" s="192"/>
      <c r="R34" s="192"/>
      <c r="S34" s="192"/>
      <c r="T34" s="192"/>
      <c r="U34" s="192"/>
      <c r="V34" s="192"/>
      <c r="W34" s="192"/>
      <c r="X34" s="192"/>
      <c r="Y34" s="192"/>
      <c r="Z34" s="192"/>
      <c r="AA34" s="192"/>
      <c r="AB34" s="192"/>
      <c r="AC34" s="192"/>
      <c r="AD34" s="192"/>
      <c r="AE34" s="192"/>
      <c r="AF34" s="192"/>
      <c r="AG34" s="192"/>
      <c r="AH34" s="192"/>
      <c r="AI34" s="192"/>
      <c r="AJ34" s="192"/>
      <c r="AK34" s="192"/>
      <c r="AL34" s="192"/>
      <c r="AM34" s="192"/>
      <c r="AN34" s="192"/>
      <c r="AO34" s="192"/>
      <c r="AP34" s="192"/>
      <c r="AQ34" s="192"/>
      <c r="AR34" s="193" t="str">
        <f aca="false">IF($A34="","",IF(OR($N34="Yes",$T34="Yes",$Z34="Yes",$AF34="Yes",$AL34="Yes"),"Yes","No"))</f>
        <v>No</v>
      </c>
      <c r="AS34" s="193" t="str">
        <f aca="false">IF($A34="","",IFERROR(IF($AM34&lt;&gt;"",$AM34,IF($AG34&lt;&gt;"",$AG34,IF($AA34&lt;&gt;"",$AA34,IF($U34&lt;&gt;"",$U34,IF($O34&lt;&gt;"",$O34,""))))),""))</f>
        <v/>
      </c>
      <c r="AT34" s="193" t="str">
        <f aca="false">IFERROR(IF($AN34&lt;&gt;"",$AN34,IF($AH34&lt;&gt;"",$AH34,IF($AB34&lt;&gt;"",$AB34,IF($V34&lt;&gt;"",$V34,IF($P34&lt;&gt;"",$P34,""))))),"")</f>
        <v/>
      </c>
      <c r="AU34" s="194"/>
    </row>
    <row r="35" customFormat="false" ht="15.75" hidden="false" customHeight="true" outlineLevel="0" collapsed="false">
      <c r="A35" s="191" t="str">
        <f aca="false">IF($F35="","",$C$2&amp;"."&amp;COUNTA($F$7:$F35)&amp;"")</f>
        <v>TC_11.21</v>
      </c>
      <c r="B35" s="191" t="s">
        <v>619</v>
      </c>
      <c r="C35" s="191" t="s">
        <v>1365</v>
      </c>
      <c r="D35" s="191" t="s">
        <v>41</v>
      </c>
      <c r="E35" s="191" t="s">
        <v>159</v>
      </c>
      <c r="F35" s="13" t="s">
        <v>1410</v>
      </c>
      <c r="G35" s="13" t="s">
        <v>655</v>
      </c>
      <c r="H35" s="13" t="s">
        <v>1411</v>
      </c>
      <c r="I35" s="13" t="s">
        <v>1412</v>
      </c>
      <c r="J35" s="191" t="s">
        <v>658</v>
      </c>
      <c r="K35" s="191" t="s">
        <v>245</v>
      </c>
      <c r="L35" s="191"/>
      <c r="M35" s="191"/>
      <c r="N35" s="192"/>
      <c r="O35" s="192"/>
      <c r="P35" s="192"/>
      <c r="Q35" s="192"/>
      <c r="R35" s="192"/>
      <c r="S35" s="192"/>
      <c r="T35" s="192"/>
      <c r="U35" s="192"/>
      <c r="V35" s="192"/>
      <c r="W35" s="192"/>
      <c r="X35" s="192"/>
      <c r="Y35" s="192"/>
      <c r="Z35" s="192"/>
      <c r="AA35" s="192"/>
      <c r="AB35" s="192"/>
      <c r="AC35" s="192"/>
      <c r="AD35" s="192"/>
      <c r="AE35" s="192"/>
      <c r="AF35" s="192"/>
      <c r="AG35" s="192"/>
      <c r="AH35" s="192"/>
      <c r="AI35" s="192"/>
      <c r="AJ35" s="192"/>
      <c r="AK35" s="192"/>
      <c r="AL35" s="192"/>
      <c r="AM35" s="192"/>
      <c r="AN35" s="192"/>
      <c r="AO35" s="192"/>
      <c r="AP35" s="192"/>
      <c r="AQ35" s="192"/>
      <c r="AR35" s="193" t="str">
        <f aca="false">IF($A35="","",IF(OR($N35="Yes",$T35="Yes",$Z35="Yes",$AF35="Yes",$AL35="Yes"),"Yes","No"))</f>
        <v>No</v>
      </c>
      <c r="AS35" s="193" t="str">
        <f aca="false">IF($A35="","",IFERROR(IF($AM35&lt;&gt;"",$AM35,IF($AG35&lt;&gt;"",$AG35,IF($AA35&lt;&gt;"",$AA35,IF($U35&lt;&gt;"",$U35,IF($O35&lt;&gt;"",$O35,""))))),""))</f>
        <v/>
      </c>
      <c r="AT35" s="193" t="str">
        <f aca="false">IFERROR(IF($AN35&lt;&gt;"",$AN35,IF($AH35&lt;&gt;"",$AH35,IF($AB35&lt;&gt;"",$AB35,IF($V35&lt;&gt;"",$V35,IF($P35&lt;&gt;"",$P35,""))))),"")</f>
        <v/>
      </c>
      <c r="AU35" s="194"/>
    </row>
    <row r="36" customFormat="false" ht="15.75" hidden="false" customHeight="true" outlineLevel="0" collapsed="false">
      <c r="A36" s="191" t="str">
        <f aca="false">IF($F36="","",$C$2&amp;"."&amp;COUNTA($F$7:$F36)&amp;"")</f>
        <v>TC_11.22</v>
      </c>
      <c r="B36" s="191" t="s">
        <v>619</v>
      </c>
      <c r="C36" s="191" t="s">
        <v>1365</v>
      </c>
      <c r="D36" s="191" t="s">
        <v>41</v>
      </c>
      <c r="E36" s="191" t="s">
        <v>159</v>
      </c>
      <c r="F36" s="13" t="s">
        <v>1413</v>
      </c>
      <c r="G36" s="13" t="s">
        <v>655</v>
      </c>
      <c r="H36" s="13" t="s">
        <v>1414</v>
      </c>
      <c r="I36" s="13" t="s">
        <v>1415</v>
      </c>
      <c r="J36" s="191" t="s">
        <v>658</v>
      </c>
      <c r="K36" s="191" t="s">
        <v>245</v>
      </c>
      <c r="L36" s="191"/>
      <c r="M36" s="191"/>
      <c r="N36" s="192"/>
      <c r="O36" s="192"/>
      <c r="P36" s="192"/>
      <c r="Q36" s="192"/>
      <c r="R36" s="192"/>
      <c r="S36" s="192"/>
      <c r="T36" s="192"/>
      <c r="U36" s="192"/>
      <c r="V36" s="192"/>
      <c r="W36" s="192"/>
      <c r="X36" s="192"/>
      <c r="Y36" s="192"/>
      <c r="Z36" s="192"/>
      <c r="AA36" s="192"/>
      <c r="AB36" s="192"/>
      <c r="AC36" s="192"/>
      <c r="AD36" s="192"/>
      <c r="AE36" s="192"/>
      <c r="AF36" s="192"/>
      <c r="AG36" s="192"/>
      <c r="AH36" s="192"/>
      <c r="AI36" s="192"/>
      <c r="AJ36" s="192"/>
      <c r="AK36" s="192"/>
      <c r="AL36" s="192"/>
      <c r="AM36" s="192"/>
      <c r="AN36" s="192"/>
      <c r="AO36" s="192"/>
      <c r="AP36" s="192"/>
      <c r="AQ36" s="192"/>
      <c r="AR36" s="193" t="str">
        <f aca="false">IF($A36="","",IF(OR($N36="Yes",$T36="Yes",$Z36="Yes",$AF36="Yes",$AL36="Yes"),"Yes","No"))</f>
        <v>No</v>
      </c>
      <c r="AS36" s="193" t="str">
        <f aca="false">IF($A36="","",IFERROR(IF($AM36&lt;&gt;"",$AM36,IF($AG36&lt;&gt;"",$AG36,IF($AA36&lt;&gt;"",$AA36,IF($U36&lt;&gt;"",$U36,IF($O36&lt;&gt;"",$O36,""))))),""))</f>
        <v/>
      </c>
      <c r="AT36" s="193" t="str">
        <f aca="false">IFERROR(IF($AN36&lt;&gt;"",$AN36,IF($AH36&lt;&gt;"",$AH36,IF($AB36&lt;&gt;"",$AB36,IF($V36&lt;&gt;"",$V36,IF($P36&lt;&gt;"",$P36,""))))),"")</f>
        <v/>
      </c>
      <c r="AU36" s="194"/>
    </row>
    <row r="37" customFormat="false" ht="15.75" hidden="false" customHeight="true" outlineLevel="0" collapsed="false">
      <c r="A37" s="189"/>
      <c r="B37" s="189"/>
      <c r="C37" s="190" t="s">
        <v>1416</v>
      </c>
      <c r="D37" s="190"/>
      <c r="E37" s="190"/>
      <c r="F37" s="190"/>
      <c r="G37" s="190"/>
      <c r="H37" s="190"/>
      <c r="I37" s="190"/>
      <c r="J37" s="190"/>
      <c r="K37" s="190"/>
      <c r="L37" s="190"/>
      <c r="M37" s="190"/>
      <c r="N37" s="190"/>
      <c r="O37" s="190"/>
      <c r="P37" s="190"/>
      <c r="Q37" s="190"/>
      <c r="R37" s="190"/>
      <c r="S37" s="190"/>
      <c r="T37" s="190"/>
      <c r="U37" s="190"/>
      <c r="V37" s="190"/>
      <c r="W37" s="190"/>
      <c r="X37" s="190"/>
      <c r="Y37" s="190"/>
      <c r="Z37" s="190"/>
      <c r="AA37" s="190"/>
      <c r="AB37" s="190"/>
      <c r="AC37" s="190"/>
      <c r="AD37" s="190"/>
      <c r="AE37" s="190"/>
      <c r="AF37" s="190"/>
      <c r="AG37" s="190"/>
      <c r="AH37" s="190"/>
      <c r="AI37" s="190"/>
      <c r="AJ37" s="190"/>
      <c r="AK37" s="190"/>
      <c r="AL37" s="190"/>
      <c r="AM37" s="190"/>
      <c r="AN37" s="190"/>
      <c r="AO37" s="190"/>
      <c r="AP37" s="190"/>
      <c r="AQ37" s="190"/>
      <c r="AR37" s="190"/>
      <c r="AS37" s="190"/>
      <c r="AT37" s="190"/>
      <c r="AU37" s="190"/>
    </row>
    <row r="38" customFormat="false" ht="15.75" hidden="false" customHeight="true" outlineLevel="0" collapsed="false">
      <c r="A38" s="191" t="str">
        <f aca="false">IF($F38="","",$C$2&amp;"."&amp;COUNTA($F$7:$F38)&amp;"")</f>
        <v>TC_11.23</v>
      </c>
      <c r="B38" s="191" t="s">
        <v>619</v>
      </c>
      <c r="C38" s="191" t="s">
        <v>1365</v>
      </c>
      <c r="D38" s="191" t="s">
        <v>41</v>
      </c>
      <c r="E38" s="191" t="s">
        <v>159</v>
      </c>
      <c r="F38" s="13" t="s">
        <v>1417</v>
      </c>
      <c r="G38" s="13" t="s">
        <v>655</v>
      </c>
      <c r="H38" s="13" t="s">
        <v>1418</v>
      </c>
      <c r="I38" s="13" t="s">
        <v>1419</v>
      </c>
      <c r="J38" s="191" t="s">
        <v>658</v>
      </c>
      <c r="K38" s="191" t="s">
        <v>245</v>
      </c>
      <c r="L38" s="191"/>
      <c r="M38" s="191"/>
      <c r="N38" s="192"/>
      <c r="O38" s="192"/>
      <c r="P38" s="192"/>
      <c r="Q38" s="192"/>
      <c r="R38" s="192"/>
      <c r="S38" s="192"/>
      <c r="T38" s="192"/>
      <c r="U38" s="192"/>
      <c r="V38" s="192"/>
      <c r="W38" s="192"/>
      <c r="X38" s="192"/>
      <c r="Y38" s="192"/>
      <c r="Z38" s="192"/>
      <c r="AA38" s="192"/>
      <c r="AB38" s="192"/>
      <c r="AC38" s="192"/>
      <c r="AD38" s="192"/>
      <c r="AE38" s="192"/>
      <c r="AF38" s="192"/>
      <c r="AG38" s="192"/>
      <c r="AH38" s="192"/>
      <c r="AI38" s="192"/>
      <c r="AJ38" s="192"/>
      <c r="AK38" s="192"/>
      <c r="AL38" s="192"/>
      <c r="AM38" s="192"/>
      <c r="AN38" s="192"/>
      <c r="AO38" s="192"/>
      <c r="AP38" s="192"/>
      <c r="AQ38" s="192"/>
      <c r="AR38" s="193" t="str">
        <f aca="false">IF($A38="","",IF(OR($N38="Yes",$T38="Yes",$Z38="Yes",$AF38="Yes",$AL38="Yes"),"Yes","No"))</f>
        <v>No</v>
      </c>
      <c r="AS38" s="193" t="str">
        <f aca="false">IF($A38="","",IFERROR(IF($AM38&lt;&gt;"",$AM38,IF($AG38&lt;&gt;"",$AG38,IF($AA38&lt;&gt;"",$AA38,IF($U38&lt;&gt;"",$U38,IF($O38&lt;&gt;"",$O38,""))))),""))</f>
        <v/>
      </c>
      <c r="AT38" s="193" t="str">
        <f aca="false">IFERROR(IF($AN38&lt;&gt;"",$AN38,IF($AH38&lt;&gt;"",$AH38,IF($AB38&lt;&gt;"",$AB38,IF($V38&lt;&gt;"",$V38,IF($P38&lt;&gt;"",$P38,""))))),"")</f>
        <v/>
      </c>
      <c r="AU38" s="194"/>
    </row>
    <row r="39" customFormat="false" ht="15.75" hidden="false" customHeight="true" outlineLevel="0" collapsed="false">
      <c r="A39" s="191" t="str">
        <f aca="false">IF($F39="","",$C$2&amp;"."&amp;COUNTA($F$7:$F39)&amp;"")</f>
        <v>TC_11.24</v>
      </c>
      <c r="B39" s="191" t="s">
        <v>619</v>
      </c>
      <c r="C39" s="191" t="s">
        <v>1365</v>
      </c>
      <c r="D39" s="191" t="s">
        <v>41</v>
      </c>
      <c r="E39" s="191" t="s">
        <v>159</v>
      </c>
      <c r="F39" s="13" t="s">
        <v>1420</v>
      </c>
      <c r="G39" s="13" t="s">
        <v>655</v>
      </c>
      <c r="H39" s="13" t="s">
        <v>1421</v>
      </c>
      <c r="I39" s="13" t="s">
        <v>1422</v>
      </c>
      <c r="J39" s="191" t="s">
        <v>658</v>
      </c>
      <c r="K39" s="191" t="s">
        <v>245</v>
      </c>
      <c r="L39" s="191"/>
      <c r="M39" s="191"/>
      <c r="N39" s="192"/>
      <c r="O39" s="192"/>
      <c r="P39" s="192"/>
      <c r="Q39" s="192"/>
      <c r="R39" s="192"/>
      <c r="S39" s="192"/>
      <c r="T39" s="192"/>
      <c r="U39" s="192"/>
      <c r="V39" s="192"/>
      <c r="W39" s="192"/>
      <c r="X39" s="192"/>
      <c r="Y39" s="192"/>
      <c r="Z39" s="192"/>
      <c r="AA39" s="192"/>
      <c r="AB39" s="192"/>
      <c r="AC39" s="192"/>
      <c r="AD39" s="192"/>
      <c r="AE39" s="192"/>
      <c r="AF39" s="192"/>
      <c r="AG39" s="192"/>
      <c r="AH39" s="192"/>
      <c r="AI39" s="192"/>
      <c r="AJ39" s="192"/>
      <c r="AK39" s="192"/>
      <c r="AL39" s="192"/>
      <c r="AM39" s="192"/>
      <c r="AN39" s="192"/>
      <c r="AO39" s="192"/>
      <c r="AP39" s="192"/>
      <c r="AQ39" s="192"/>
      <c r="AR39" s="193" t="str">
        <f aca="false">IF($A39="","",IF(OR($N39="Yes",$T39="Yes",$Z39="Yes",$AF39="Yes",$AL39="Yes"),"Yes","No"))</f>
        <v>No</v>
      </c>
      <c r="AS39" s="193" t="str">
        <f aca="false">IF($A39="","",IFERROR(IF($AM39&lt;&gt;"",$AM39,IF($AG39&lt;&gt;"",$AG39,IF($AA39&lt;&gt;"",$AA39,IF($U39&lt;&gt;"",$U39,IF($O39&lt;&gt;"",$O39,""))))),""))</f>
        <v/>
      </c>
      <c r="AT39" s="193" t="str">
        <f aca="false">IFERROR(IF($AN39&lt;&gt;"",$AN39,IF($AH39&lt;&gt;"",$AH39,IF($AB39&lt;&gt;"",$AB39,IF($V39&lt;&gt;"",$V39,IF($P39&lt;&gt;"",$P39,""))))),"")</f>
        <v/>
      </c>
      <c r="AU39" s="194"/>
    </row>
    <row r="40" customFormat="false" ht="15.75" hidden="false" customHeight="true" outlineLevel="0" collapsed="false">
      <c r="A40" s="191" t="str">
        <f aca="false">IF($F40="","",$C$2&amp;"."&amp;COUNTA($F$7:$F40)&amp;"")</f>
        <v>TC_11.25</v>
      </c>
      <c r="B40" s="191" t="s">
        <v>619</v>
      </c>
      <c r="C40" s="191" t="s">
        <v>1365</v>
      </c>
      <c r="D40" s="191" t="s">
        <v>41</v>
      </c>
      <c r="E40" s="191" t="s">
        <v>159</v>
      </c>
      <c r="F40" s="13" t="s">
        <v>1423</v>
      </c>
      <c r="G40" s="13" t="s">
        <v>655</v>
      </c>
      <c r="H40" s="13" t="s">
        <v>1424</v>
      </c>
      <c r="I40" s="13" t="s">
        <v>1425</v>
      </c>
      <c r="J40" s="191" t="s">
        <v>658</v>
      </c>
      <c r="K40" s="191" t="s">
        <v>245</v>
      </c>
      <c r="L40" s="191"/>
      <c r="M40" s="191"/>
      <c r="N40" s="192"/>
      <c r="O40" s="192"/>
      <c r="P40" s="192"/>
      <c r="Q40" s="192"/>
      <c r="R40" s="192"/>
      <c r="S40" s="192"/>
      <c r="T40" s="192"/>
      <c r="U40" s="192"/>
      <c r="V40" s="192"/>
      <c r="W40" s="192"/>
      <c r="X40" s="192"/>
      <c r="Y40" s="192"/>
      <c r="Z40" s="192"/>
      <c r="AA40" s="192"/>
      <c r="AB40" s="192"/>
      <c r="AC40" s="192"/>
      <c r="AD40" s="192"/>
      <c r="AE40" s="192"/>
      <c r="AF40" s="192"/>
      <c r="AG40" s="192"/>
      <c r="AH40" s="192"/>
      <c r="AI40" s="192"/>
      <c r="AJ40" s="192"/>
      <c r="AK40" s="192"/>
      <c r="AL40" s="192"/>
      <c r="AM40" s="192"/>
      <c r="AN40" s="192"/>
      <c r="AO40" s="192"/>
      <c r="AP40" s="192"/>
      <c r="AQ40" s="192"/>
      <c r="AR40" s="193" t="str">
        <f aca="false">IF($A40="","",IF(OR($N40="Yes",$T40="Yes",$Z40="Yes",$AF40="Yes",$AL40="Yes"),"Yes","No"))</f>
        <v>No</v>
      </c>
      <c r="AS40" s="193" t="str">
        <f aca="false">IF($A40="","",IFERROR(IF($AM40&lt;&gt;"",$AM40,IF($AG40&lt;&gt;"",$AG40,IF($AA40&lt;&gt;"",$AA40,IF($U40&lt;&gt;"",$U40,IF($O40&lt;&gt;"",$O40,""))))),""))</f>
        <v/>
      </c>
      <c r="AT40" s="193" t="str">
        <f aca="false">IFERROR(IF($AN40&lt;&gt;"",$AN40,IF($AH40&lt;&gt;"",$AH40,IF($AB40&lt;&gt;"",$AB40,IF($V40&lt;&gt;"",$V40,IF($P40&lt;&gt;"",$P40,""))))),"")</f>
        <v/>
      </c>
      <c r="AU40" s="194"/>
    </row>
    <row r="41" customFormat="false" ht="15.75" hidden="false" customHeight="true" outlineLevel="0" collapsed="false">
      <c r="A41" s="191" t="str">
        <f aca="false">IF($F41="","",$C$2&amp;"."&amp;COUNTA($F$7:$F41)&amp;"")</f>
        <v>TC_11.26</v>
      </c>
      <c r="B41" s="191" t="s">
        <v>619</v>
      </c>
      <c r="C41" s="191" t="s">
        <v>1365</v>
      </c>
      <c r="D41" s="191" t="s">
        <v>41</v>
      </c>
      <c r="E41" s="191" t="s">
        <v>159</v>
      </c>
      <c r="F41" s="13" t="s">
        <v>1426</v>
      </c>
      <c r="G41" s="13" t="s">
        <v>655</v>
      </c>
      <c r="H41" s="13" t="s">
        <v>1427</v>
      </c>
      <c r="I41" s="13" t="s">
        <v>1428</v>
      </c>
      <c r="J41" s="191" t="s">
        <v>658</v>
      </c>
      <c r="K41" s="191" t="s">
        <v>245</v>
      </c>
      <c r="L41" s="191"/>
      <c r="M41" s="191"/>
      <c r="N41" s="192"/>
      <c r="O41" s="192"/>
      <c r="P41" s="192"/>
      <c r="Q41" s="192"/>
      <c r="R41" s="192"/>
      <c r="S41" s="192"/>
      <c r="T41" s="192"/>
      <c r="U41" s="192"/>
      <c r="V41" s="192"/>
      <c r="W41" s="192"/>
      <c r="X41" s="192"/>
      <c r="Y41" s="192"/>
      <c r="Z41" s="192"/>
      <c r="AA41" s="192"/>
      <c r="AB41" s="192"/>
      <c r="AC41" s="192"/>
      <c r="AD41" s="192"/>
      <c r="AE41" s="192"/>
      <c r="AF41" s="192"/>
      <c r="AG41" s="192"/>
      <c r="AH41" s="192"/>
      <c r="AI41" s="192"/>
      <c r="AJ41" s="192"/>
      <c r="AK41" s="192"/>
      <c r="AL41" s="192"/>
      <c r="AM41" s="192"/>
      <c r="AN41" s="192"/>
      <c r="AO41" s="192"/>
      <c r="AP41" s="192"/>
      <c r="AQ41" s="192"/>
      <c r="AR41" s="193" t="str">
        <f aca="false">IF($A41="","",IF(OR($N41="Yes",$T41="Yes",$Z41="Yes",$AF41="Yes",$AL41="Yes"),"Yes","No"))</f>
        <v>No</v>
      </c>
      <c r="AS41" s="193" t="str">
        <f aca="false">IF($A41="","",IFERROR(IF($AM41&lt;&gt;"",$AM41,IF($AG41&lt;&gt;"",$AG41,IF($AA41&lt;&gt;"",$AA41,IF($U41&lt;&gt;"",$U41,IF($O41&lt;&gt;"",$O41,""))))),""))</f>
        <v/>
      </c>
      <c r="AT41" s="193" t="str">
        <f aca="false">IFERROR(IF($AN41&lt;&gt;"",$AN41,IF($AH41&lt;&gt;"",$AH41,IF($AB41&lt;&gt;"",$AB41,IF($V41&lt;&gt;"",$V41,IF($P41&lt;&gt;"",$P41,""))))),"")</f>
        <v/>
      </c>
      <c r="AU41" s="194"/>
    </row>
    <row r="42" customFormat="false" ht="15.75" hidden="false" customHeight="true" outlineLevel="0" collapsed="false">
      <c r="A42" s="191" t="str">
        <f aca="false">IF($F42="","",$C$2&amp;"."&amp;COUNTA($F$7:$F42)&amp;"")</f>
        <v>TC_11.27</v>
      </c>
      <c r="B42" s="191" t="s">
        <v>619</v>
      </c>
      <c r="C42" s="191" t="s">
        <v>1365</v>
      </c>
      <c r="D42" s="191" t="s">
        <v>41</v>
      </c>
      <c r="E42" s="191" t="s">
        <v>159</v>
      </c>
      <c r="F42" s="13" t="s">
        <v>1429</v>
      </c>
      <c r="G42" s="13" t="s">
        <v>655</v>
      </c>
      <c r="H42" s="13" t="s">
        <v>1430</v>
      </c>
      <c r="I42" s="13" t="s">
        <v>1428</v>
      </c>
      <c r="J42" s="191" t="s">
        <v>658</v>
      </c>
      <c r="K42" s="191" t="s">
        <v>245</v>
      </c>
      <c r="L42" s="191"/>
      <c r="M42" s="191"/>
      <c r="N42" s="192"/>
      <c r="O42" s="192"/>
      <c r="P42" s="192"/>
      <c r="Q42" s="192"/>
      <c r="R42" s="192"/>
      <c r="S42" s="192"/>
      <c r="T42" s="192"/>
      <c r="U42" s="192"/>
      <c r="V42" s="192"/>
      <c r="W42" s="192"/>
      <c r="X42" s="192"/>
      <c r="Y42" s="192"/>
      <c r="Z42" s="192"/>
      <c r="AA42" s="192"/>
      <c r="AB42" s="192"/>
      <c r="AC42" s="192"/>
      <c r="AD42" s="192"/>
      <c r="AE42" s="192"/>
      <c r="AF42" s="192"/>
      <c r="AG42" s="192"/>
      <c r="AH42" s="192"/>
      <c r="AI42" s="192"/>
      <c r="AJ42" s="192"/>
      <c r="AK42" s="192"/>
      <c r="AL42" s="192"/>
      <c r="AM42" s="192"/>
      <c r="AN42" s="192"/>
      <c r="AO42" s="192"/>
      <c r="AP42" s="192"/>
      <c r="AQ42" s="192"/>
      <c r="AR42" s="193" t="str">
        <f aca="false">IF($A42="","",IF(OR($N42="Yes",$T42="Yes",$Z42="Yes",$AF42="Yes",$AL42="Yes"),"Yes","No"))</f>
        <v>No</v>
      </c>
      <c r="AS42" s="193" t="str">
        <f aca="false">IF($A42="","",IFERROR(IF($AM42&lt;&gt;"",$AM42,IF($AG42&lt;&gt;"",$AG42,IF($AA42&lt;&gt;"",$AA42,IF($U42&lt;&gt;"",$U42,IF($O42&lt;&gt;"",$O42,""))))),""))</f>
        <v/>
      </c>
      <c r="AT42" s="193" t="str">
        <f aca="false">IFERROR(IF($AN42&lt;&gt;"",$AN42,IF($AH42&lt;&gt;"",$AH42,IF($AB42&lt;&gt;"",$AB42,IF($V42&lt;&gt;"",$V42,IF($P42&lt;&gt;"",$P42,""))))),"")</f>
        <v/>
      </c>
      <c r="AU42" s="194"/>
    </row>
    <row r="43" customFormat="false" ht="15.75" hidden="false" customHeight="true" outlineLevel="0" collapsed="false">
      <c r="A43" s="191" t="str">
        <f aca="false">IF($F43="","",$C$2&amp;"."&amp;COUNTA($F$7:$F43)&amp;"")</f>
        <v>TC_11.28</v>
      </c>
      <c r="B43" s="191" t="s">
        <v>619</v>
      </c>
      <c r="C43" s="191" t="s">
        <v>1365</v>
      </c>
      <c r="D43" s="191" t="s">
        <v>41</v>
      </c>
      <c r="E43" s="191" t="s">
        <v>159</v>
      </c>
      <c r="F43" s="13" t="s">
        <v>1431</v>
      </c>
      <c r="G43" s="13" t="s">
        <v>655</v>
      </c>
      <c r="H43" s="13" t="s">
        <v>1432</v>
      </c>
      <c r="I43" s="13" t="s">
        <v>1428</v>
      </c>
      <c r="J43" s="191" t="s">
        <v>658</v>
      </c>
      <c r="K43" s="191" t="s">
        <v>245</v>
      </c>
      <c r="L43" s="191"/>
      <c r="M43" s="191"/>
      <c r="N43" s="192"/>
      <c r="O43" s="192"/>
      <c r="P43" s="192"/>
      <c r="Q43" s="192"/>
      <c r="R43" s="192"/>
      <c r="S43" s="192"/>
      <c r="T43" s="192"/>
      <c r="U43" s="192"/>
      <c r="V43" s="192"/>
      <c r="W43" s="192"/>
      <c r="X43" s="192"/>
      <c r="Y43" s="192"/>
      <c r="Z43" s="192"/>
      <c r="AA43" s="192"/>
      <c r="AB43" s="192"/>
      <c r="AC43" s="192"/>
      <c r="AD43" s="192"/>
      <c r="AE43" s="192"/>
      <c r="AF43" s="192"/>
      <c r="AG43" s="192"/>
      <c r="AH43" s="192"/>
      <c r="AI43" s="192"/>
      <c r="AJ43" s="192"/>
      <c r="AK43" s="192"/>
      <c r="AL43" s="192"/>
      <c r="AM43" s="192"/>
      <c r="AN43" s="192"/>
      <c r="AO43" s="192"/>
      <c r="AP43" s="192"/>
      <c r="AQ43" s="192"/>
      <c r="AR43" s="193" t="str">
        <f aca="false">IF($A43="","",IF(OR($N43="Yes",$T43="Yes",$Z43="Yes",$AF43="Yes",$AL43="Yes"),"Yes","No"))</f>
        <v>No</v>
      </c>
      <c r="AS43" s="193" t="str">
        <f aca="false">IF($A43="","",IFERROR(IF($AM43&lt;&gt;"",$AM43,IF($AG43&lt;&gt;"",$AG43,IF($AA43&lt;&gt;"",$AA43,IF($U43&lt;&gt;"",$U43,IF($O43&lt;&gt;"",$O43,""))))),""))</f>
        <v/>
      </c>
      <c r="AT43" s="193" t="str">
        <f aca="false">IFERROR(IF($AN43&lt;&gt;"",$AN43,IF($AH43&lt;&gt;"",$AH43,IF($AB43&lt;&gt;"",$AB43,IF($V43&lt;&gt;"",$V43,IF($P43&lt;&gt;"",$P43,""))))),"")</f>
        <v/>
      </c>
      <c r="AU43" s="194"/>
    </row>
    <row r="44" customFormat="false" ht="15.75" hidden="false" customHeight="true" outlineLevel="0" collapsed="false">
      <c r="A44" s="191" t="str">
        <f aca="false">IF($F44="","",$C$2&amp;"."&amp;COUNTA($F$7:$F44)&amp;"")</f>
        <v>TC_11.29</v>
      </c>
      <c r="B44" s="191" t="s">
        <v>619</v>
      </c>
      <c r="C44" s="191" t="s">
        <v>1365</v>
      </c>
      <c r="D44" s="191" t="s">
        <v>41</v>
      </c>
      <c r="E44" s="191" t="s">
        <v>159</v>
      </c>
      <c r="F44" s="13" t="s">
        <v>1433</v>
      </c>
      <c r="G44" s="13" t="s">
        <v>655</v>
      </c>
      <c r="H44" s="13" t="s">
        <v>1434</v>
      </c>
      <c r="I44" s="13" t="s">
        <v>1435</v>
      </c>
      <c r="J44" s="191" t="s">
        <v>658</v>
      </c>
      <c r="K44" s="191" t="s">
        <v>245</v>
      </c>
      <c r="L44" s="191"/>
      <c r="M44" s="191"/>
      <c r="N44" s="192"/>
      <c r="O44" s="192"/>
      <c r="P44" s="192"/>
      <c r="Q44" s="192"/>
      <c r="R44" s="192"/>
      <c r="S44" s="192"/>
      <c r="T44" s="192"/>
      <c r="U44" s="192"/>
      <c r="V44" s="192"/>
      <c r="W44" s="192"/>
      <c r="X44" s="192"/>
      <c r="Y44" s="192"/>
      <c r="Z44" s="192"/>
      <c r="AA44" s="192"/>
      <c r="AB44" s="192"/>
      <c r="AC44" s="192"/>
      <c r="AD44" s="192"/>
      <c r="AE44" s="192"/>
      <c r="AF44" s="192"/>
      <c r="AG44" s="192"/>
      <c r="AH44" s="192"/>
      <c r="AI44" s="192"/>
      <c r="AJ44" s="192"/>
      <c r="AK44" s="192"/>
      <c r="AL44" s="192"/>
      <c r="AM44" s="192"/>
      <c r="AN44" s="192"/>
      <c r="AO44" s="192"/>
      <c r="AP44" s="192"/>
      <c r="AQ44" s="192"/>
      <c r="AR44" s="193" t="str">
        <f aca="false">IF($A44="","",IF(OR($N44="Yes",$T44="Yes",$Z44="Yes",$AF44="Yes",$AL44="Yes"),"Yes","No"))</f>
        <v>No</v>
      </c>
      <c r="AS44" s="193" t="str">
        <f aca="false">IF($A44="","",IFERROR(IF($AM44&lt;&gt;"",$AM44,IF($AG44&lt;&gt;"",$AG44,IF($AA44&lt;&gt;"",$AA44,IF($U44&lt;&gt;"",$U44,IF($O44&lt;&gt;"",$O44,""))))),""))</f>
        <v/>
      </c>
      <c r="AT44" s="193" t="str">
        <f aca="false">IFERROR(IF($AN44&lt;&gt;"",$AN44,IF($AH44&lt;&gt;"",$AH44,IF($AB44&lt;&gt;"",$AB44,IF($V44&lt;&gt;"",$V44,IF($P44&lt;&gt;"",$P44,""))))),"")</f>
        <v/>
      </c>
      <c r="AU44" s="194"/>
    </row>
    <row r="45" customFormat="false" ht="15.75" hidden="false" customHeight="true" outlineLevel="0" collapsed="false">
      <c r="A45" s="191" t="str">
        <f aca="false">IF($F45="","",$C$2&amp;"."&amp;COUNTA($F$7:$F45)&amp;"")</f>
        <v>TC_11.30</v>
      </c>
      <c r="B45" s="191" t="s">
        <v>619</v>
      </c>
      <c r="C45" s="191" t="s">
        <v>1365</v>
      </c>
      <c r="D45" s="191" t="s">
        <v>41</v>
      </c>
      <c r="E45" s="191" t="s">
        <v>159</v>
      </c>
      <c r="F45" s="13" t="s">
        <v>1436</v>
      </c>
      <c r="G45" s="13" t="s">
        <v>655</v>
      </c>
      <c r="H45" s="13" t="s">
        <v>1437</v>
      </c>
      <c r="I45" s="13" t="s">
        <v>1438</v>
      </c>
      <c r="J45" s="191" t="s">
        <v>658</v>
      </c>
      <c r="K45" s="191" t="s">
        <v>245</v>
      </c>
      <c r="L45" s="191"/>
      <c r="M45" s="191"/>
      <c r="N45" s="192"/>
      <c r="O45" s="192"/>
      <c r="P45" s="192"/>
      <c r="Q45" s="192"/>
      <c r="R45" s="192"/>
      <c r="S45" s="192"/>
      <c r="T45" s="192"/>
      <c r="U45" s="192"/>
      <c r="V45" s="192"/>
      <c r="W45" s="192"/>
      <c r="X45" s="192"/>
      <c r="Y45" s="192"/>
      <c r="Z45" s="192"/>
      <c r="AA45" s="192"/>
      <c r="AB45" s="192"/>
      <c r="AC45" s="192"/>
      <c r="AD45" s="192"/>
      <c r="AE45" s="192"/>
      <c r="AF45" s="192"/>
      <c r="AG45" s="192"/>
      <c r="AH45" s="192"/>
      <c r="AI45" s="192"/>
      <c r="AJ45" s="192"/>
      <c r="AK45" s="192"/>
      <c r="AL45" s="192"/>
      <c r="AM45" s="192"/>
      <c r="AN45" s="192"/>
      <c r="AO45" s="192"/>
      <c r="AP45" s="192"/>
      <c r="AQ45" s="192"/>
      <c r="AR45" s="193" t="str">
        <f aca="false">IF($A45="","",IF(OR($N45="Yes",$T45="Yes",$Z45="Yes",$AF45="Yes",$AL45="Yes"),"Yes","No"))</f>
        <v>No</v>
      </c>
      <c r="AS45" s="193" t="str">
        <f aca="false">IF($A45="","",IFERROR(IF($AM45&lt;&gt;"",$AM45,IF($AG45&lt;&gt;"",$AG45,IF($AA45&lt;&gt;"",$AA45,IF($U45&lt;&gt;"",$U45,IF($O45&lt;&gt;"",$O45,""))))),""))</f>
        <v/>
      </c>
      <c r="AT45" s="193" t="str">
        <f aca="false">IFERROR(IF($AN45&lt;&gt;"",$AN45,IF($AH45&lt;&gt;"",$AH45,IF($AB45&lt;&gt;"",$AB45,IF($V45&lt;&gt;"",$V45,IF($P45&lt;&gt;"",$P45,""))))),"")</f>
        <v/>
      </c>
      <c r="AU45" s="194"/>
    </row>
    <row r="46" customFormat="false" ht="15.75" hidden="false" customHeight="true" outlineLevel="0" collapsed="false">
      <c r="A46" s="191" t="str">
        <f aca="false">IF($F46="","",$C$2&amp;"."&amp;COUNTA($F$7:$F46)&amp;"")</f>
        <v>TC_11.31</v>
      </c>
      <c r="B46" s="191" t="s">
        <v>619</v>
      </c>
      <c r="C46" s="191" t="s">
        <v>1365</v>
      </c>
      <c r="D46" s="191" t="s">
        <v>41</v>
      </c>
      <c r="E46" s="191" t="s">
        <v>159</v>
      </c>
      <c r="F46" s="13" t="s">
        <v>1439</v>
      </c>
      <c r="G46" s="13" t="s">
        <v>655</v>
      </c>
      <c r="H46" s="13" t="s">
        <v>1440</v>
      </c>
      <c r="I46" s="13" t="s">
        <v>1419</v>
      </c>
      <c r="J46" s="191" t="s">
        <v>658</v>
      </c>
      <c r="K46" s="191" t="s">
        <v>245</v>
      </c>
      <c r="L46" s="191"/>
      <c r="M46" s="191"/>
      <c r="N46" s="192"/>
      <c r="O46" s="192"/>
      <c r="P46" s="192"/>
      <c r="Q46" s="192"/>
      <c r="R46" s="192"/>
      <c r="S46" s="192"/>
      <c r="T46" s="192"/>
      <c r="U46" s="192"/>
      <c r="V46" s="192"/>
      <c r="W46" s="192"/>
      <c r="X46" s="192"/>
      <c r="Y46" s="192"/>
      <c r="Z46" s="192"/>
      <c r="AA46" s="192"/>
      <c r="AB46" s="192"/>
      <c r="AC46" s="192"/>
      <c r="AD46" s="192"/>
      <c r="AE46" s="192"/>
      <c r="AF46" s="192"/>
      <c r="AG46" s="192"/>
      <c r="AH46" s="192"/>
      <c r="AI46" s="192"/>
      <c r="AJ46" s="192"/>
      <c r="AK46" s="192"/>
      <c r="AL46" s="192"/>
      <c r="AM46" s="192"/>
      <c r="AN46" s="192"/>
      <c r="AO46" s="192"/>
      <c r="AP46" s="192"/>
      <c r="AQ46" s="192"/>
      <c r="AR46" s="193" t="str">
        <f aca="false">IF($A46="","",IF(OR($N46="Yes",$T46="Yes",$Z46="Yes",$AF46="Yes",$AL46="Yes"),"Yes","No"))</f>
        <v>No</v>
      </c>
      <c r="AS46" s="193" t="str">
        <f aca="false">IF($A46="","",IFERROR(IF($AM46&lt;&gt;"",$AM46,IF($AG46&lt;&gt;"",$AG46,IF($AA46&lt;&gt;"",$AA46,IF($U46&lt;&gt;"",$U46,IF($O46&lt;&gt;"",$O46,""))))),""))</f>
        <v/>
      </c>
      <c r="AT46" s="193" t="str">
        <f aca="false">IFERROR(IF($AN46&lt;&gt;"",$AN46,IF($AH46&lt;&gt;"",$AH46,IF($AB46&lt;&gt;"",$AB46,IF($V46&lt;&gt;"",$V46,IF($P46&lt;&gt;"",$P46,""))))),"")</f>
        <v/>
      </c>
      <c r="AU46" s="194"/>
    </row>
    <row r="47" customFormat="false" ht="15.75" hidden="false" customHeight="true" outlineLevel="0" collapsed="false">
      <c r="A47" s="189"/>
      <c r="B47" s="189"/>
      <c r="C47" s="190" t="s">
        <v>1441</v>
      </c>
      <c r="D47" s="190"/>
      <c r="E47" s="190"/>
      <c r="F47" s="190"/>
      <c r="G47" s="190"/>
      <c r="H47" s="190"/>
      <c r="I47" s="190"/>
      <c r="J47" s="190"/>
      <c r="K47" s="190"/>
      <c r="L47" s="190"/>
      <c r="M47" s="190"/>
      <c r="N47" s="190"/>
      <c r="O47" s="190"/>
      <c r="P47" s="190"/>
      <c r="Q47" s="190"/>
      <c r="R47" s="190"/>
      <c r="S47" s="190"/>
      <c r="T47" s="190"/>
      <c r="U47" s="190"/>
      <c r="V47" s="190"/>
      <c r="W47" s="190"/>
      <c r="X47" s="190"/>
      <c r="Y47" s="190"/>
      <c r="Z47" s="190"/>
      <c r="AA47" s="190"/>
      <c r="AB47" s="190"/>
      <c r="AC47" s="190"/>
      <c r="AD47" s="190"/>
      <c r="AE47" s="190"/>
      <c r="AF47" s="190"/>
      <c r="AG47" s="190"/>
      <c r="AH47" s="190"/>
      <c r="AI47" s="190"/>
      <c r="AJ47" s="190"/>
      <c r="AK47" s="190"/>
      <c r="AL47" s="190"/>
      <c r="AM47" s="190"/>
      <c r="AN47" s="190"/>
      <c r="AO47" s="190"/>
      <c r="AP47" s="190"/>
      <c r="AQ47" s="190"/>
      <c r="AR47" s="190"/>
      <c r="AS47" s="190"/>
      <c r="AT47" s="190"/>
      <c r="AU47" s="190"/>
    </row>
    <row r="48" customFormat="false" ht="15.75" hidden="false" customHeight="true" outlineLevel="0" collapsed="false">
      <c r="A48" s="191" t="str">
        <f aca="false">IF($F48="","",$C$2&amp;"."&amp;COUNTA($F$7:$F48)&amp;"")</f>
        <v>TC_11.32</v>
      </c>
      <c r="B48" s="191" t="s">
        <v>619</v>
      </c>
      <c r="C48" s="191" t="s">
        <v>530</v>
      </c>
      <c r="D48" s="191" t="s">
        <v>41</v>
      </c>
      <c r="E48" s="191" t="s">
        <v>159</v>
      </c>
      <c r="F48" s="13" t="s">
        <v>1442</v>
      </c>
      <c r="G48" s="13" t="s">
        <v>1443</v>
      </c>
      <c r="H48" s="13" t="s">
        <v>1444</v>
      </c>
      <c r="I48" s="13" t="s">
        <v>1445</v>
      </c>
      <c r="J48" s="191" t="s">
        <v>658</v>
      </c>
      <c r="K48" s="191" t="s">
        <v>245</v>
      </c>
      <c r="L48" s="191"/>
      <c r="M48" s="191"/>
      <c r="N48" s="192"/>
      <c r="O48" s="192"/>
      <c r="P48" s="192"/>
      <c r="Q48" s="192"/>
      <c r="R48" s="192"/>
      <c r="S48" s="192"/>
      <c r="T48" s="192"/>
      <c r="U48" s="192"/>
      <c r="V48" s="192"/>
      <c r="W48" s="192"/>
      <c r="X48" s="192"/>
      <c r="Y48" s="192"/>
      <c r="Z48" s="192"/>
      <c r="AA48" s="192"/>
      <c r="AB48" s="192"/>
      <c r="AC48" s="192"/>
      <c r="AD48" s="192"/>
      <c r="AE48" s="192"/>
      <c r="AF48" s="192"/>
      <c r="AG48" s="192"/>
      <c r="AH48" s="192"/>
      <c r="AI48" s="192"/>
      <c r="AJ48" s="192"/>
      <c r="AK48" s="192"/>
      <c r="AL48" s="192"/>
      <c r="AM48" s="192"/>
      <c r="AN48" s="192"/>
      <c r="AO48" s="192"/>
      <c r="AP48" s="192"/>
      <c r="AQ48" s="192"/>
      <c r="AR48" s="193" t="str">
        <f aca="false">IF($A48="","",IF(OR($N48="Yes",$T48="Yes",$Z48="Yes",$AF48="Yes",$AL48="Yes"),"Yes","No"))</f>
        <v>No</v>
      </c>
      <c r="AS48" s="193" t="str">
        <f aca="false">IF($A48="","",IFERROR(IF($AM48&lt;&gt;"",$AM48,IF($AG48&lt;&gt;"",$AG48,IF($AA48&lt;&gt;"",$AA48,IF($U48&lt;&gt;"",$U48,IF($O48&lt;&gt;"",$O48,""))))),""))</f>
        <v/>
      </c>
      <c r="AT48" s="193" t="str">
        <f aca="false">IFERROR(IF($AN48&lt;&gt;"",$AN48,IF($AH48&lt;&gt;"",$AH48,IF($AB48&lt;&gt;"",$AB48,IF($V48&lt;&gt;"",$V48,IF($P48&lt;&gt;"",$P48,""))))),"")</f>
        <v/>
      </c>
      <c r="AU48" s="194"/>
    </row>
    <row r="49" customFormat="false" ht="15.75" hidden="false" customHeight="true" outlineLevel="0" collapsed="false">
      <c r="A49" s="191" t="str">
        <f aca="false">IF($F49="","",$C$2&amp;"."&amp;COUNTA($F$7:$F49)&amp;"")</f>
        <v>TC_11.33</v>
      </c>
      <c r="B49" s="191" t="s">
        <v>619</v>
      </c>
      <c r="C49" s="191" t="s">
        <v>530</v>
      </c>
      <c r="D49" s="191" t="s">
        <v>41</v>
      </c>
      <c r="E49" s="191" t="s">
        <v>159</v>
      </c>
      <c r="F49" s="13" t="s">
        <v>1446</v>
      </c>
      <c r="G49" s="13" t="s">
        <v>1447</v>
      </c>
      <c r="H49" s="13" t="s">
        <v>1448</v>
      </c>
      <c r="I49" s="13" t="s">
        <v>1449</v>
      </c>
      <c r="J49" s="191" t="s">
        <v>658</v>
      </c>
      <c r="K49" s="191" t="s">
        <v>245</v>
      </c>
      <c r="L49" s="191"/>
      <c r="M49" s="191"/>
      <c r="N49" s="192"/>
      <c r="O49" s="192"/>
      <c r="P49" s="192"/>
      <c r="Q49" s="192"/>
      <c r="R49" s="192"/>
      <c r="S49" s="192"/>
      <c r="T49" s="192"/>
      <c r="U49" s="192"/>
      <c r="V49" s="192"/>
      <c r="W49" s="192"/>
      <c r="X49" s="192"/>
      <c r="Y49" s="192"/>
      <c r="Z49" s="192"/>
      <c r="AA49" s="192"/>
      <c r="AB49" s="192"/>
      <c r="AC49" s="192"/>
      <c r="AD49" s="192"/>
      <c r="AE49" s="192"/>
      <c r="AF49" s="192"/>
      <c r="AG49" s="192"/>
      <c r="AH49" s="192"/>
      <c r="AI49" s="192"/>
      <c r="AJ49" s="192"/>
      <c r="AK49" s="192"/>
      <c r="AL49" s="192"/>
      <c r="AM49" s="192"/>
      <c r="AN49" s="192"/>
      <c r="AO49" s="192"/>
      <c r="AP49" s="192"/>
      <c r="AQ49" s="192"/>
      <c r="AR49" s="193" t="str">
        <f aca="false">IF($A49="","",IF(OR($N49="Yes",$T49="Yes",$Z49="Yes",$AF49="Yes",$AL49="Yes"),"Yes","No"))</f>
        <v>No</v>
      </c>
      <c r="AS49" s="193" t="str">
        <f aca="false">IF($A49="","",IFERROR(IF($AM49&lt;&gt;"",$AM49,IF($AG49&lt;&gt;"",$AG49,IF($AA49&lt;&gt;"",$AA49,IF($U49&lt;&gt;"",$U49,IF($O49&lt;&gt;"",$O49,""))))),""))</f>
        <v/>
      </c>
      <c r="AT49" s="193" t="str">
        <f aca="false">IFERROR(IF($AN49&lt;&gt;"",$AN49,IF($AH49&lt;&gt;"",$AH49,IF($AB49&lt;&gt;"",$AB49,IF($V49&lt;&gt;"",$V49,IF($P49&lt;&gt;"",$P49,""))))),"")</f>
        <v/>
      </c>
      <c r="AU49" s="194"/>
    </row>
    <row r="50" customFormat="false" ht="15.75" hidden="false" customHeight="true" outlineLevel="0" collapsed="false">
      <c r="A50" s="191" t="str">
        <f aca="false">IF($F50="","",$C$2&amp;"."&amp;COUNTA($F$7:$F50)&amp;"")</f>
        <v>TC_11.34</v>
      </c>
      <c r="B50" s="191" t="s">
        <v>619</v>
      </c>
      <c r="C50" s="191" t="s">
        <v>1365</v>
      </c>
      <c r="D50" s="191" t="s">
        <v>41</v>
      </c>
      <c r="E50" s="191" t="s">
        <v>159</v>
      </c>
      <c r="F50" s="13" t="s">
        <v>1450</v>
      </c>
      <c r="G50" s="13" t="s">
        <v>1451</v>
      </c>
      <c r="H50" s="13" t="s">
        <v>1452</v>
      </c>
      <c r="I50" s="13" t="s">
        <v>1453</v>
      </c>
      <c r="J50" s="191" t="s">
        <v>658</v>
      </c>
      <c r="K50" s="191" t="s">
        <v>245</v>
      </c>
      <c r="L50" s="191"/>
      <c r="M50" s="191"/>
      <c r="N50" s="192"/>
      <c r="O50" s="192"/>
      <c r="P50" s="192"/>
      <c r="Q50" s="192"/>
      <c r="R50" s="192"/>
      <c r="S50" s="192"/>
      <c r="T50" s="192"/>
      <c r="U50" s="192"/>
      <c r="V50" s="192"/>
      <c r="W50" s="192"/>
      <c r="X50" s="192"/>
      <c r="Y50" s="192"/>
      <c r="Z50" s="192"/>
      <c r="AA50" s="192"/>
      <c r="AB50" s="192"/>
      <c r="AC50" s="192"/>
      <c r="AD50" s="192"/>
      <c r="AE50" s="192"/>
      <c r="AF50" s="192"/>
      <c r="AG50" s="192"/>
      <c r="AH50" s="192"/>
      <c r="AI50" s="192"/>
      <c r="AJ50" s="192"/>
      <c r="AK50" s="192"/>
      <c r="AL50" s="192"/>
      <c r="AM50" s="192"/>
      <c r="AN50" s="192"/>
      <c r="AO50" s="192"/>
      <c r="AP50" s="192"/>
      <c r="AQ50" s="192"/>
      <c r="AR50" s="193" t="str">
        <f aca="false">IF($A50="","",IF(OR($N50="Yes",$T50="Yes",$Z50="Yes",$AF50="Yes",$AL50="Yes"),"Yes","No"))</f>
        <v>No</v>
      </c>
      <c r="AS50" s="193" t="str">
        <f aca="false">IF($A50="","",IFERROR(IF($AM50&lt;&gt;"",$AM50,IF($AG50&lt;&gt;"",$AG50,IF($AA50&lt;&gt;"",$AA50,IF($U50&lt;&gt;"",$U50,IF($O50&lt;&gt;"",$O50,""))))),""))</f>
        <v/>
      </c>
      <c r="AT50" s="193" t="str">
        <f aca="false">IFERROR(IF($AN50&lt;&gt;"",$AN50,IF($AH50&lt;&gt;"",$AH50,IF($AB50&lt;&gt;"",$AB50,IF($V50&lt;&gt;"",$V50,IF($P50&lt;&gt;"",$P50,""))))),"")</f>
        <v/>
      </c>
      <c r="AU50" s="194"/>
    </row>
    <row r="51" customFormat="false" ht="15.75" hidden="false" customHeight="true" outlineLevel="0" collapsed="false">
      <c r="A51" s="191" t="str">
        <f aca="false">IF($F51="","",$C$2&amp;"."&amp;COUNTA($F$7:$F51)&amp;"")</f>
        <v>TC_11.35</v>
      </c>
      <c r="B51" s="191" t="s">
        <v>619</v>
      </c>
      <c r="C51" s="191" t="s">
        <v>530</v>
      </c>
      <c r="D51" s="191" t="s">
        <v>41</v>
      </c>
      <c r="E51" s="191" t="s">
        <v>159</v>
      </c>
      <c r="F51" s="13" t="s">
        <v>1454</v>
      </c>
      <c r="G51" s="13" t="s">
        <v>1455</v>
      </c>
      <c r="H51" s="13" t="s">
        <v>1456</v>
      </c>
      <c r="I51" s="13" t="s">
        <v>1457</v>
      </c>
      <c r="J51" s="191" t="s">
        <v>658</v>
      </c>
      <c r="K51" s="191" t="s">
        <v>245</v>
      </c>
      <c r="L51" s="191"/>
      <c r="M51" s="191"/>
      <c r="N51" s="192"/>
      <c r="O51" s="192"/>
      <c r="P51" s="192"/>
      <c r="Q51" s="192"/>
      <c r="R51" s="192"/>
      <c r="S51" s="192"/>
      <c r="T51" s="192"/>
      <c r="U51" s="192"/>
      <c r="V51" s="192"/>
      <c r="W51" s="192"/>
      <c r="X51" s="192"/>
      <c r="Y51" s="192"/>
      <c r="Z51" s="192"/>
      <c r="AA51" s="192"/>
      <c r="AB51" s="192"/>
      <c r="AC51" s="192"/>
      <c r="AD51" s="192"/>
      <c r="AE51" s="192"/>
      <c r="AF51" s="192"/>
      <c r="AG51" s="192"/>
      <c r="AH51" s="192"/>
      <c r="AI51" s="192"/>
      <c r="AJ51" s="192"/>
      <c r="AK51" s="192"/>
      <c r="AL51" s="192"/>
      <c r="AM51" s="192"/>
      <c r="AN51" s="192"/>
      <c r="AO51" s="192"/>
      <c r="AP51" s="192"/>
      <c r="AQ51" s="192"/>
      <c r="AR51" s="193" t="str">
        <f aca="false">IF($A51="","",IF(OR($N51="Yes",$T51="Yes",$Z51="Yes",$AF51="Yes",$AL51="Yes"),"Yes","No"))</f>
        <v>No</v>
      </c>
      <c r="AS51" s="193" t="str">
        <f aca="false">IF($A51="","",IFERROR(IF($AM51&lt;&gt;"",$AM51,IF($AG51&lt;&gt;"",$AG51,IF($AA51&lt;&gt;"",$AA51,IF($U51&lt;&gt;"",$U51,IF($O51&lt;&gt;"",$O51,""))))),""))</f>
        <v/>
      </c>
      <c r="AT51" s="193" t="str">
        <f aca="false">IFERROR(IF($AN51&lt;&gt;"",$AN51,IF($AH51&lt;&gt;"",$AH51,IF($AB51&lt;&gt;"",$AB51,IF($V51&lt;&gt;"",$V51,IF($P51&lt;&gt;"",$P51,""))))),"")</f>
        <v/>
      </c>
      <c r="AU51" s="194"/>
    </row>
    <row r="52" customFormat="false" ht="15.75" hidden="false" customHeight="true" outlineLevel="0" collapsed="false">
      <c r="A52" s="191" t="str">
        <f aca="false">IF($F52="","",$C$2&amp;"."&amp;COUNTA($F$7:$F52)&amp;"")</f>
        <v>TC_11.36</v>
      </c>
      <c r="B52" s="191" t="s">
        <v>619</v>
      </c>
      <c r="C52" s="191" t="s">
        <v>530</v>
      </c>
      <c r="D52" s="191" t="s">
        <v>41</v>
      </c>
      <c r="E52" s="191" t="s">
        <v>159</v>
      </c>
      <c r="F52" s="13" t="s">
        <v>1458</v>
      </c>
      <c r="G52" s="13" t="s">
        <v>1459</v>
      </c>
      <c r="H52" s="13" t="s">
        <v>1460</v>
      </c>
      <c r="I52" s="13" t="s">
        <v>1378</v>
      </c>
      <c r="J52" s="191" t="s">
        <v>658</v>
      </c>
      <c r="K52" s="191" t="s">
        <v>245</v>
      </c>
      <c r="L52" s="191"/>
      <c r="M52" s="191"/>
      <c r="N52" s="192"/>
      <c r="O52" s="192"/>
      <c r="P52" s="192"/>
      <c r="Q52" s="192"/>
      <c r="R52" s="192"/>
      <c r="S52" s="192"/>
      <c r="T52" s="192"/>
      <c r="U52" s="192"/>
      <c r="V52" s="192"/>
      <c r="W52" s="192"/>
      <c r="X52" s="192"/>
      <c r="Y52" s="192"/>
      <c r="Z52" s="192"/>
      <c r="AA52" s="192"/>
      <c r="AB52" s="192"/>
      <c r="AC52" s="192"/>
      <c r="AD52" s="192"/>
      <c r="AE52" s="192"/>
      <c r="AF52" s="192"/>
      <c r="AG52" s="192"/>
      <c r="AH52" s="192"/>
      <c r="AI52" s="192"/>
      <c r="AJ52" s="192"/>
      <c r="AK52" s="192"/>
      <c r="AL52" s="192"/>
      <c r="AM52" s="192"/>
      <c r="AN52" s="192"/>
      <c r="AO52" s="192"/>
      <c r="AP52" s="192"/>
      <c r="AQ52" s="192"/>
      <c r="AR52" s="193" t="str">
        <f aca="false">IF($A52="","",IF(OR($N52="Yes",$T52="Yes",$Z52="Yes",$AF52="Yes",$AL52="Yes"),"Yes","No"))</f>
        <v>No</v>
      </c>
      <c r="AS52" s="193" t="str">
        <f aca="false">IF($A52="","",IFERROR(IF($AM52&lt;&gt;"",$AM52,IF($AG52&lt;&gt;"",$AG52,IF($AA52&lt;&gt;"",$AA52,IF($U52&lt;&gt;"",$U52,IF($O52&lt;&gt;"",$O52,""))))),""))</f>
        <v/>
      </c>
      <c r="AT52" s="193" t="str">
        <f aca="false">IFERROR(IF($AN52&lt;&gt;"",$AN52,IF($AH52&lt;&gt;"",$AH52,IF($AB52&lt;&gt;"",$AB52,IF($V52&lt;&gt;"",$V52,IF($P52&lt;&gt;"",$P52,""))))),"")</f>
        <v/>
      </c>
      <c r="AU52" s="194"/>
    </row>
    <row r="53" customFormat="false" ht="15.75" hidden="false" customHeight="true" outlineLevel="0" collapsed="false">
      <c r="A53" s="189"/>
      <c r="B53" s="189"/>
      <c r="C53" s="190" t="s">
        <v>1461</v>
      </c>
      <c r="D53" s="190"/>
      <c r="E53" s="190"/>
      <c r="F53" s="190"/>
      <c r="G53" s="190"/>
      <c r="H53" s="190"/>
      <c r="I53" s="190"/>
      <c r="J53" s="190"/>
      <c r="K53" s="190"/>
      <c r="L53" s="190"/>
      <c r="M53" s="190"/>
      <c r="N53" s="190"/>
      <c r="O53" s="190"/>
      <c r="P53" s="190"/>
      <c r="Q53" s="190"/>
      <c r="R53" s="190"/>
      <c r="S53" s="190"/>
      <c r="T53" s="190"/>
      <c r="U53" s="190"/>
      <c r="V53" s="190"/>
      <c r="W53" s="190"/>
      <c r="X53" s="190"/>
      <c r="Y53" s="190"/>
      <c r="Z53" s="190"/>
      <c r="AA53" s="190"/>
      <c r="AB53" s="190"/>
      <c r="AC53" s="190"/>
      <c r="AD53" s="190"/>
      <c r="AE53" s="190"/>
      <c r="AF53" s="190"/>
      <c r="AG53" s="190"/>
      <c r="AH53" s="190"/>
      <c r="AI53" s="190"/>
      <c r="AJ53" s="190"/>
      <c r="AK53" s="190"/>
      <c r="AL53" s="190"/>
      <c r="AM53" s="190"/>
      <c r="AN53" s="190"/>
      <c r="AO53" s="190"/>
      <c r="AP53" s="190"/>
      <c r="AQ53" s="190"/>
      <c r="AR53" s="190"/>
      <c r="AS53" s="190"/>
      <c r="AT53" s="190"/>
      <c r="AU53" s="190"/>
    </row>
    <row r="54" customFormat="false" ht="15.75" hidden="false" customHeight="true" outlineLevel="0" collapsed="false">
      <c r="A54" s="191" t="str">
        <f aca="false">IF($F54="","",$C$2&amp;"."&amp;COUNTA($F$7:$F54)&amp;"")</f>
        <v>TC_11.37</v>
      </c>
      <c r="B54" s="191" t="s">
        <v>619</v>
      </c>
      <c r="C54" s="191" t="s">
        <v>1365</v>
      </c>
      <c r="D54" s="191" t="s">
        <v>41</v>
      </c>
      <c r="E54" s="191" t="s">
        <v>160</v>
      </c>
      <c r="F54" s="13" t="s">
        <v>1462</v>
      </c>
      <c r="G54" s="13" t="s">
        <v>655</v>
      </c>
      <c r="H54" s="13" t="s">
        <v>1463</v>
      </c>
      <c r="I54" s="13" t="s">
        <v>1464</v>
      </c>
      <c r="J54" s="191" t="s">
        <v>658</v>
      </c>
      <c r="K54" s="191" t="s">
        <v>245</v>
      </c>
      <c r="L54" s="191"/>
      <c r="M54" s="191"/>
      <c r="N54" s="192"/>
      <c r="O54" s="192"/>
      <c r="P54" s="192"/>
      <c r="Q54" s="192"/>
      <c r="R54" s="192"/>
      <c r="S54" s="192"/>
      <c r="T54" s="192"/>
      <c r="U54" s="192"/>
      <c r="V54" s="192"/>
      <c r="W54" s="192"/>
      <c r="X54" s="192"/>
      <c r="Y54" s="192"/>
      <c r="Z54" s="192"/>
      <c r="AA54" s="192"/>
      <c r="AB54" s="192"/>
      <c r="AC54" s="192"/>
      <c r="AD54" s="192"/>
      <c r="AE54" s="192"/>
      <c r="AF54" s="192"/>
      <c r="AG54" s="192"/>
      <c r="AH54" s="192"/>
      <c r="AI54" s="192"/>
      <c r="AJ54" s="192"/>
      <c r="AK54" s="192"/>
      <c r="AL54" s="192"/>
      <c r="AM54" s="192"/>
      <c r="AN54" s="192"/>
      <c r="AO54" s="192"/>
      <c r="AP54" s="192"/>
      <c r="AQ54" s="192"/>
      <c r="AR54" s="193" t="str">
        <f aca="false">IF($A54="","",IF(OR($N54="Yes",$T54="Yes",$Z54="Yes",$AF54="Yes",$AL54="Yes"),"Yes","No"))</f>
        <v>No</v>
      </c>
      <c r="AS54" s="193" t="str">
        <f aca="false">IF($A54="","",IFERROR(IF($AM54&lt;&gt;"",$AM54,IF($AG54&lt;&gt;"",$AG54,IF($AA54&lt;&gt;"",$AA54,IF($U54&lt;&gt;"",$U54,IF($O54&lt;&gt;"",$O54,""))))),""))</f>
        <v/>
      </c>
      <c r="AT54" s="193" t="str">
        <f aca="false">IFERROR(IF($AN54&lt;&gt;"",$AN54,IF($AH54&lt;&gt;"",$AH54,IF($AB54&lt;&gt;"",$AB54,IF($V54&lt;&gt;"",$V54,IF($P54&lt;&gt;"",$P54,""))))),"")</f>
        <v/>
      </c>
      <c r="AU54" s="194"/>
    </row>
    <row r="55" customFormat="false" ht="15.75" hidden="false" customHeight="true" outlineLevel="0" collapsed="false">
      <c r="A55" s="191" t="str">
        <f aca="false">IF($F55="","",$C$2&amp;"."&amp;COUNTA($F$7:$F55)&amp;"")</f>
        <v>TC_11.38</v>
      </c>
      <c r="B55" s="191" t="s">
        <v>619</v>
      </c>
      <c r="C55" s="191" t="s">
        <v>1365</v>
      </c>
      <c r="D55" s="191" t="s">
        <v>41</v>
      </c>
      <c r="E55" s="191" t="s">
        <v>160</v>
      </c>
      <c r="F55" s="13" t="s">
        <v>1465</v>
      </c>
      <c r="G55" s="13" t="s">
        <v>655</v>
      </c>
      <c r="H55" s="13" t="s">
        <v>1466</v>
      </c>
      <c r="I55" s="13" t="s">
        <v>1467</v>
      </c>
      <c r="J55" s="191" t="s">
        <v>658</v>
      </c>
      <c r="K55" s="191" t="s">
        <v>245</v>
      </c>
      <c r="L55" s="191"/>
      <c r="M55" s="191"/>
      <c r="N55" s="192"/>
      <c r="O55" s="192"/>
      <c r="P55" s="192"/>
      <c r="Q55" s="192"/>
      <c r="R55" s="192"/>
      <c r="S55" s="192"/>
      <c r="T55" s="192"/>
      <c r="U55" s="192"/>
      <c r="V55" s="192"/>
      <c r="W55" s="192"/>
      <c r="X55" s="192"/>
      <c r="Y55" s="192"/>
      <c r="Z55" s="192"/>
      <c r="AA55" s="192"/>
      <c r="AB55" s="192"/>
      <c r="AC55" s="192"/>
      <c r="AD55" s="192"/>
      <c r="AE55" s="192"/>
      <c r="AF55" s="192"/>
      <c r="AG55" s="192"/>
      <c r="AH55" s="192"/>
      <c r="AI55" s="192"/>
      <c r="AJ55" s="192"/>
      <c r="AK55" s="192"/>
      <c r="AL55" s="192"/>
      <c r="AM55" s="192"/>
      <c r="AN55" s="192"/>
      <c r="AO55" s="192"/>
      <c r="AP55" s="192"/>
      <c r="AQ55" s="192"/>
      <c r="AR55" s="193" t="str">
        <f aca="false">IF($A55="","",IF(OR($N55="Yes",$T55="Yes",$Z55="Yes",$AF55="Yes",$AL55="Yes"),"Yes","No"))</f>
        <v>No</v>
      </c>
      <c r="AS55" s="193" t="str">
        <f aca="false">IF($A55="","",IFERROR(IF($AM55&lt;&gt;"",$AM55,IF($AG55&lt;&gt;"",$AG55,IF($AA55&lt;&gt;"",$AA55,IF($U55&lt;&gt;"",$U55,IF($O55&lt;&gt;"",$O55,""))))),""))</f>
        <v/>
      </c>
      <c r="AT55" s="193" t="str">
        <f aca="false">IFERROR(IF($AN55&lt;&gt;"",$AN55,IF($AH55&lt;&gt;"",$AH55,IF($AB55&lt;&gt;"",$AB55,IF($V55&lt;&gt;"",$V55,IF($P55&lt;&gt;"",$P55,""))))),"")</f>
        <v/>
      </c>
      <c r="AU55" s="194"/>
    </row>
    <row r="56" customFormat="false" ht="15.75" hidden="false" customHeight="true" outlineLevel="0" collapsed="false">
      <c r="A56" s="191"/>
      <c r="B56" s="191"/>
      <c r="C56" s="191"/>
      <c r="D56" s="191"/>
      <c r="E56" s="191"/>
      <c r="F56" s="191"/>
      <c r="G56" s="191"/>
      <c r="H56" s="191"/>
      <c r="I56" s="191"/>
      <c r="J56" s="191"/>
      <c r="K56" s="191"/>
      <c r="L56" s="191"/>
      <c r="M56" s="191"/>
      <c r="N56" s="191"/>
      <c r="O56" s="191"/>
      <c r="P56" s="191"/>
      <c r="Q56" s="191"/>
      <c r="AR56" s="195"/>
      <c r="AS56" s="195"/>
    </row>
    <row r="57" customFormat="false" ht="15.75" hidden="false" customHeight="true" outlineLevel="0" collapsed="false">
      <c r="A57" s="191"/>
      <c r="B57" s="191"/>
      <c r="C57" s="191"/>
      <c r="D57" s="191"/>
      <c r="E57" s="191"/>
      <c r="F57" s="191"/>
      <c r="G57" s="191"/>
      <c r="H57" s="191"/>
      <c r="I57" s="191"/>
      <c r="J57" s="191"/>
      <c r="K57" s="191"/>
      <c r="L57" s="191"/>
      <c r="M57" s="191"/>
      <c r="N57" s="191"/>
      <c r="O57" s="191"/>
      <c r="P57" s="191"/>
      <c r="Q57" s="191"/>
      <c r="AR57" s="195"/>
      <c r="AS57" s="195"/>
    </row>
    <row r="58" customFormat="false" ht="15.75" hidden="false" customHeight="true" outlineLevel="0" collapsed="false">
      <c r="A58" s="191"/>
      <c r="B58" s="191"/>
      <c r="C58" s="191"/>
      <c r="D58" s="191"/>
      <c r="E58" s="191"/>
      <c r="F58" s="191"/>
      <c r="G58" s="191"/>
      <c r="H58" s="191"/>
      <c r="I58" s="191"/>
      <c r="J58" s="191"/>
      <c r="K58" s="191"/>
      <c r="L58" s="191"/>
      <c r="M58" s="191"/>
      <c r="N58" s="191"/>
      <c r="O58" s="191"/>
      <c r="P58" s="191"/>
      <c r="Q58" s="191"/>
      <c r="AR58" s="195"/>
      <c r="AS58" s="195"/>
    </row>
    <row r="59" customFormat="false" ht="15.75" hidden="false" customHeight="true" outlineLevel="0" collapsed="false">
      <c r="A59" s="191"/>
      <c r="B59" s="191"/>
      <c r="C59" s="191"/>
      <c r="D59" s="191"/>
      <c r="E59" s="191"/>
      <c r="F59" s="191"/>
      <c r="G59" s="191"/>
      <c r="H59" s="191"/>
      <c r="I59" s="191"/>
      <c r="J59" s="191"/>
      <c r="K59" s="191"/>
      <c r="L59" s="191"/>
      <c r="M59" s="191"/>
      <c r="N59" s="191"/>
      <c r="O59" s="191"/>
      <c r="P59" s="191"/>
      <c r="Q59" s="191"/>
      <c r="AR59" s="195"/>
      <c r="AS59" s="195"/>
    </row>
    <row r="60" customFormat="false" ht="15.75" hidden="false" customHeight="true" outlineLevel="0" collapsed="false">
      <c r="A60" s="191"/>
      <c r="B60" s="191"/>
      <c r="C60" s="191"/>
      <c r="D60" s="191"/>
      <c r="E60" s="191"/>
      <c r="F60" s="191"/>
      <c r="G60" s="191"/>
      <c r="H60" s="191"/>
      <c r="I60" s="191"/>
      <c r="J60" s="191"/>
      <c r="K60" s="191"/>
      <c r="L60" s="191"/>
      <c r="M60" s="191"/>
      <c r="N60" s="191"/>
      <c r="O60" s="191"/>
      <c r="P60" s="191"/>
      <c r="Q60" s="191"/>
      <c r="AR60" s="195"/>
      <c r="AS60" s="195"/>
    </row>
    <row r="61" customFormat="false" ht="15.75" hidden="false" customHeight="true" outlineLevel="0" collapsed="false">
      <c r="AV61" s="1"/>
    </row>
    <row r="62" customFormat="false" ht="15.75" hidden="false" customHeight="true" outlineLevel="0" collapsed="false">
      <c r="AV62" s="1"/>
    </row>
    <row r="63" customFormat="false" ht="15.75" hidden="false" customHeight="true" outlineLevel="0" collapsed="false">
      <c r="AV63" s="1"/>
    </row>
    <row r="64" customFormat="false" ht="15.75" hidden="false" customHeight="true" outlineLevel="0" collapsed="false">
      <c r="AV64" s="1"/>
    </row>
    <row r="65" customFormat="false" ht="15.75" hidden="false" customHeight="true" outlineLevel="0" collapsed="false">
      <c r="AV65" s="1"/>
    </row>
    <row r="66" customFormat="false" ht="15.75" hidden="false" customHeight="true" outlineLevel="0" collapsed="false">
      <c r="AV66" s="1"/>
    </row>
    <row r="67" customFormat="false" ht="15.75" hidden="false" customHeight="true" outlineLevel="0" collapsed="false">
      <c r="AV67" s="1"/>
    </row>
    <row r="68" customFormat="false" ht="15.75" hidden="false" customHeight="true" outlineLevel="0" collapsed="false">
      <c r="AV68" s="1"/>
    </row>
    <row r="69" customFormat="false" ht="15.75" hidden="false" customHeight="true" outlineLevel="0" collapsed="false">
      <c r="AV69" s="1"/>
    </row>
    <row r="70" customFormat="false" ht="15.75" hidden="false" customHeight="true" outlineLevel="0" collapsed="false">
      <c r="AV70" s="1"/>
    </row>
    <row r="71" customFormat="false" ht="15.75" hidden="false" customHeight="true" outlineLevel="0" collapsed="false">
      <c r="AV71" s="1"/>
    </row>
    <row r="72" customFormat="false" ht="15.75" hidden="false" customHeight="true" outlineLevel="0" collapsed="false">
      <c r="AV72" s="1"/>
    </row>
    <row r="73" customFormat="false" ht="15.75" hidden="false" customHeight="true" outlineLevel="0" collapsed="false">
      <c r="AV73" s="1"/>
    </row>
    <row r="74" customFormat="false" ht="15.75" hidden="false" customHeight="true" outlineLevel="0" collapsed="false">
      <c r="AV74" s="1"/>
    </row>
    <row r="75" customFormat="false" ht="15.75" hidden="false" customHeight="true" outlineLevel="0" collapsed="false">
      <c r="AV75" s="1"/>
    </row>
    <row r="76" customFormat="false" ht="15.75" hidden="false" customHeight="true" outlineLevel="0" collapsed="false">
      <c r="AV76" s="1"/>
    </row>
    <row r="77" customFormat="false" ht="15.75" hidden="false" customHeight="true" outlineLevel="0" collapsed="false">
      <c r="AV77" s="1"/>
    </row>
    <row r="78" customFormat="false" ht="15.75" hidden="false" customHeight="true" outlineLevel="0" collapsed="false">
      <c r="AV78" s="1"/>
    </row>
    <row r="79" customFormat="false" ht="15.75" hidden="false" customHeight="true" outlineLevel="0" collapsed="false">
      <c r="AV79" s="1"/>
    </row>
    <row r="80" customFormat="false" ht="15.75" hidden="false" customHeight="true" outlineLevel="0" collapsed="false">
      <c r="AV80" s="1"/>
    </row>
    <row r="81" customFormat="false" ht="15.75" hidden="false" customHeight="true" outlineLevel="0" collapsed="false">
      <c r="AV81" s="1"/>
    </row>
    <row r="82" customFormat="false" ht="15.75" hidden="false" customHeight="true" outlineLevel="0" collapsed="false">
      <c r="AV82" s="1"/>
    </row>
    <row r="83" customFormat="false" ht="15.75" hidden="false" customHeight="true" outlineLevel="0" collapsed="false">
      <c r="AV83" s="1"/>
    </row>
    <row r="84" customFormat="false" ht="15.75" hidden="false" customHeight="true" outlineLevel="0" collapsed="false">
      <c r="AV84" s="1"/>
    </row>
    <row r="85" customFormat="false" ht="15.75" hidden="false" customHeight="true" outlineLevel="0" collapsed="false">
      <c r="AV85" s="1"/>
    </row>
    <row r="86" customFormat="false" ht="15.75" hidden="false" customHeight="true" outlineLevel="0" collapsed="false">
      <c r="AV86" s="1"/>
    </row>
    <row r="87" customFormat="false" ht="15.75" hidden="false" customHeight="true" outlineLevel="0" collapsed="false">
      <c r="AV87" s="1"/>
    </row>
    <row r="88" customFormat="false" ht="15.75" hidden="false" customHeight="true" outlineLevel="0" collapsed="false">
      <c r="AV88" s="1"/>
    </row>
    <row r="89" customFormat="false" ht="15.75" hidden="false" customHeight="true" outlineLevel="0" collapsed="false">
      <c r="AV89" s="1"/>
    </row>
    <row r="90" customFormat="false" ht="15.75" hidden="false" customHeight="true" outlineLevel="0" collapsed="false">
      <c r="AV90" s="1"/>
    </row>
    <row r="91" customFormat="false" ht="15.75" hidden="false" customHeight="true" outlineLevel="0" collapsed="false">
      <c r="AV91" s="1"/>
    </row>
    <row r="92" customFormat="false" ht="15.75" hidden="false" customHeight="true" outlineLevel="0" collapsed="false">
      <c r="AV92" s="1"/>
    </row>
    <row r="93" customFormat="false" ht="15.75" hidden="false" customHeight="true" outlineLevel="0" collapsed="false">
      <c r="AV93" s="1"/>
    </row>
    <row r="94" customFormat="false" ht="15.75" hidden="false" customHeight="true" outlineLevel="0" collapsed="false">
      <c r="AV94" s="1"/>
    </row>
    <row r="95" customFormat="false" ht="15.75" hidden="false" customHeight="true" outlineLevel="0" collapsed="false">
      <c r="AV95" s="1"/>
    </row>
    <row r="96" customFormat="false" ht="15.75" hidden="false" customHeight="true" outlineLevel="0" collapsed="false">
      <c r="AV96" s="1"/>
    </row>
    <row r="97" customFormat="false" ht="15.75" hidden="false" customHeight="true" outlineLevel="0" collapsed="false">
      <c r="AV97" s="1"/>
    </row>
    <row r="98" customFormat="false" ht="15.75" hidden="false" customHeight="true" outlineLevel="0" collapsed="false">
      <c r="AV98" s="1"/>
    </row>
    <row r="99" customFormat="false" ht="15.75" hidden="false" customHeight="true" outlineLevel="0" collapsed="false">
      <c r="AV99" s="1"/>
    </row>
    <row r="100" customFormat="false" ht="15.75" hidden="false" customHeight="true" outlineLevel="0" collapsed="false">
      <c r="AV100" s="1"/>
    </row>
    <row r="101" customFormat="false" ht="15.75" hidden="false" customHeight="true" outlineLevel="0" collapsed="false">
      <c r="AV101" s="1"/>
    </row>
    <row r="102" customFormat="false" ht="15.75" hidden="false" customHeight="true" outlineLevel="0" collapsed="false">
      <c r="AV102" s="1"/>
    </row>
    <row r="103" customFormat="false" ht="15.75" hidden="false" customHeight="true" outlineLevel="0" collapsed="false">
      <c r="AV103" s="1"/>
    </row>
    <row r="104" customFormat="false" ht="15.75" hidden="false" customHeight="true" outlineLevel="0" collapsed="false">
      <c r="AV104" s="1"/>
    </row>
    <row r="105" customFormat="false" ht="15.75" hidden="false" customHeight="true" outlineLevel="0" collapsed="false">
      <c r="AV105" s="1"/>
    </row>
    <row r="106" customFormat="false" ht="15.75" hidden="false" customHeight="true" outlineLevel="0" collapsed="false">
      <c r="AV106" s="1"/>
    </row>
    <row r="107" customFormat="false" ht="15.75" hidden="false" customHeight="true" outlineLevel="0" collapsed="false">
      <c r="AV107" s="1"/>
    </row>
    <row r="108" customFormat="false" ht="15.75" hidden="false" customHeight="true" outlineLevel="0" collapsed="false">
      <c r="AV108" s="1"/>
    </row>
    <row r="109" customFormat="false" ht="15.75" hidden="false" customHeight="true" outlineLevel="0" collapsed="false">
      <c r="AV109" s="1"/>
    </row>
    <row r="110" customFormat="false" ht="15.75" hidden="false" customHeight="true" outlineLevel="0" collapsed="false">
      <c r="AV110" s="1"/>
    </row>
    <row r="111" customFormat="false" ht="15.75" hidden="false" customHeight="true" outlineLevel="0" collapsed="false">
      <c r="AV111" s="1"/>
    </row>
    <row r="112" customFormat="false" ht="15.75" hidden="false" customHeight="true" outlineLevel="0" collapsed="false">
      <c r="AV112" s="1"/>
    </row>
    <row r="113" customFormat="false" ht="15.75" hidden="false" customHeight="true" outlineLevel="0" collapsed="false">
      <c r="AV113" s="1"/>
    </row>
    <row r="114" customFormat="false" ht="15.75" hidden="false" customHeight="true" outlineLevel="0" collapsed="false">
      <c r="AV114" s="1"/>
    </row>
    <row r="115" customFormat="false" ht="15.75" hidden="false" customHeight="true" outlineLevel="0" collapsed="false">
      <c r="AV115" s="1"/>
    </row>
    <row r="116" customFormat="false" ht="15.75" hidden="false" customHeight="true" outlineLevel="0" collapsed="false">
      <c r="AV116" s="1"/>
    </row>
    <row r="117" customFormat="false" ht="15.75" hidden="false" customHeight="true" outlineLevel="0" collapsed="false">
      <c r="AV117" s="1"/>
    </row>
    <row r="118" customFormat="false" ht="15.75" hidden="false" customHeight="true" outlineLevel="0" collapsed="false">
      <c r="AV118" s="1"/>
    </row>
    <row r="119" customFormat="false" ht="15.75" hidden="false" customHeight="true" outlineLevel="0" collapsed="false">
      <c r="AV119" s="1"/>
    </row>
    <row r="120" customFormat="false" ht="15.75" hidden="false" customHeight="true" outlineLevel="0" collapsed="false">
      <c r="AV120" s="1"/>
    </row>
    <row r="121" customFormat="false" ht="15.75" hidden="false" customHeight="true" outlineLevel="0" collapsed="false">
      <c r="AV121" s="1"/>
    </row>
    <row r="122" customFormat="false" ht="15.75" hidden="false" customHeight="true" outlineLevel="0" collapsed="false">
      <c r="AV122" s="1"/>
    </row>
    <row r="123" customFormat="false" ht="15.75" hidden="false" customHeight="true" outlineLevel="0" collapsed="false">
      <c r="AV123" s="1"/>
    </row>
    <row r="124" customFormat="false" ht="15.75" hidden="false" customHeight="true" outlineLevel="0" collapsed="false">
      <c r="AV124" s="1"/>
    </row>
    <row r="125" customFormat="false" ht="15.75" hidden="false" customHeight="true" outlineLevel="0" collapsed="false">
      <c r="AV125" s="1"/>
    </row>
    <row r="126" customFormat="false" ht="15.75" hidden="false" customHeight="true" outlineLevel="0" collapsed="false">
      <c r="AV126" s="1"/>
    </row>
    <row r="127" customFormat="false" ht="15.75" hidden="false" customHeight="true" outlineLevel="0" collapsed="false">
      <c r="AV127" s="1"/>
    </row>
    <row r="128" customFormat="false" ht="15.75" hidden="false" customHeight="true" outlineLevel="0" collapsed="false">
      <c r="AV128" s="1"/>
    </row>
    <row r="129" customFormat="false" ht="15.75" hidden="false" customHeight="true" outlineLevel="0" collapsed="false">
      <c r="AV129" s="1"/>
    </row>
    <row r="130" customFormat="false" ht="15.75" hidden="false" customHeight="true" outlineLevel="0" collapsed="false">
      <c r="AV130" s="1"/>
    </row>
    <row r="131" customFormat="false" ht="15.75" hidden="false" customHeight="true" outlineLevel="0" collapsed="false">
      <c r="AV131" s="1"/>
    </row>
    <row r="132" customFormat="false" ht="15.75" hidden="false" customHeight="true" outlineLevel="0" collapsed="false">
      <c r="AV132" s="1"/>
    </row>
    <row r="133" customFormat="false" ht="15.75" hidden="false" customHeight="true" outlineLevel="0" collapsed="false">
      <c r="AV133" s="1"/>
    </row>
    <row r="134" customFormat="false" ht="15.75" hidden="false" customHeight="true" outlineLevel="0" collapsed="false">
      <c r="AV134" s="1"/>
    </row>
    <row r="135" customFormat="false" ht="15.75" hidden="false" customHeight="true" outlineLevel="0" collapsed="false">
      <c r="AV135" s="1"/>
    </row>
    <row r="136" customFormat="false" ht="15.75" hidden="false" customHeight="true" outlineLevel="0" collapsed="false">
      <c r="AV136" s="1"/>
    </row>
    <row r="137" customFormat="false" ht="15.75" hidden="false" customHeight="true" outlineLevel="0" collapsed="false">
      <c r="AV137" s="1"/>
    </row>
    <row r="138" customFormat="false" ht="15.75" hidden="false" customHeight="true" outlineLevel="0" collapsed="false">
      <c r="AV138" s="1"/>
    </row>
    <row r="139" customFormat="false" ht="15.75" hidden="false" customHeight="true" outlineLevel="0" collapsed="false">
      <c r="AV139" s="1"/>
    </row>
    <row r="140" customFormat="false" ht="15.75" hidden="false" customHeight="true" outlineLevel="0" collapsed="false">
      <c r="AV140" s="1"/>
    </row>
    <row r="141" customFormat="false" ht="15.75" hidden="false" customHeight="true" outlineLevel="0" collapsed="false">
      <c r="AV141" s="1"/>
    </row>
    <row r="142" customFormat="false" ht="15.75" hidden="false" customHeight="true" outlineLevel="0" collapsed="false">
      <c r="AV142" s="1"/>
    </row>
    <row r="143" customFormat="false" ht="15.75" hidden="false" customHeight="true" outlineLevel="0" collapsed="false">
      <c r="AV143" s="1"/>
    </row>
    <row r="144" customFormat="false" ht="15.75" hidden="false" customHeight="true" outlineLevel="0" collapsed="false">
      <c r="AV144" s="1"/>
    </row>
    <row r="145" customFormat="false" ht="15.75" hidden="false" customHeight="true" outlineLevel="0" collapsed="false">
      <c r="AV145" s="1"/>
    </row>
    <row r="146" customFormat="false" ht="15.75" hidden="false" customHeight="true" outlineLevel="0" collapsed="false">
      <c r="AV146" s="1"/>
    </row>
    <row r="147" customFormat="false" ht="15.75" hidden="false" customHeight="true" outlineLevel="0" collapsed="false">
      <c r="AV147" s="1"/>
    </row>
    <row r="148" customFormat="false" ht="15.75" hidden="false" customHeight="true" outlineLevel="0" collapsed="false">
      <c r="AV148" s="1"/>
    </row>
    <row r="149" customFormat="false" ht="15.75" hidden="false" customHeight="true" outlineLevel="0" collapsed="false">
      <c r="AV149" s="1"/>
    </row>
    <row r="150" customFormat="false" ht="15.75" hidden="false" customHeight="true" outlineLevel="0" collapsed="false">
      <c r="AV150" s="1"/>
    </row>
    <row r="151" customFormat="false" ht="15.75" hidden="false" customHeight="true" outlineLevel="0" collapsed="false">
      <c r="AV151" s="1"/>
    </row>
    <row r="152" customFormat="false" ht="15.75" hidden="false" customHeight="true" outlineLevel="0" collapsed="false">
      <c r="AV152" s="1"/>
    </row>
    <row r="153" customFormat="false" ht="15.75" hidden="false" customHeight="true" outlineLevel="0" collapsed="false">
      <c r="AV153" s="1"/>
    </row>
    <row r="154" customFormat="false" ht="15.75" hidden="false" customHeight="true" outlineLevel="0" collapsed="false">
      <c r="AV154" s="1"/>
    </row>
    <row r="155" customFormat="false" ht="15.75" hidden="false" customHeight="true" outlineLevel="0" collapsed="false">
      <c r="AV155" s="1"/>
    </row>
    <row r="156" customFormat="false" ht="15.75" hidden="false" customHeight="true" outlineLevel="0" collapsed="false">
      <c r="AV156" s="1"/>
    </row>
    <row r="157" customFormat="false" ht="15.75" hidden="false" customHeight="true" outlineLevel="0" collapsed="false">
      <c r="AV157" s="1"/>
    </row>
    <row r="158" customFormat="false" ht="15.75" hidden="false" customHeight="true" outlineLevel="0" collapsed="false">
      <c r="AV158" s="1"/>
    </row>
    <row r="159" customFormat="false" ht="15.75" hidden="false" customHeight="true" outlineLevel="0" collapsed="false">
      <c r="AV159" s="1"/>
    </row>
    <row r="160" customFormat="false" ht="15.75" hidden="false" customHeight="true" outlineLevel="0" collapsed="false">
      <c r="AV160" s="1"/>
    </row>
    <row r="161" customFormat="false" ht="15.75" hidden="false" customHeight="true" outlineLevel="0" collapsed="false">
      <c r="AV161" s="1"/>
    </row>
    <row r="162" customFormat="false" ht="15.75" hidden="false" customHeight="true" outlineLevel="0" collapsed="false">
      <c r="AV162" s="1"/>
    </row>
    <row r="163" customFormat="false" ht="15.75" hidden="false" customHeight="true" outlineLevel="0" collapsed="false">
      <c r="AV163" s="1"/>
    </row>
    <row r="164" customFormat="false" ht="15.75" hidden="false" customHeight="true" outlineLevel="0" collapsed="false">
      <c r="AV164" s="1"/>
    </row>
    <row r="165" customFormat="false" ht="15.75" hidden="false" customHeight="true" outlineLevel="0" collapsed="false">
      <c r="AV165" s="1"/>
    </row>
    <row r="166" customFormat="false" ht="15.75" hidden="false" customHeight="true" outlineLevel="0" collapsed="false">
      <c r="AV166" s="1"/>
    </row>
    <row r="167" customFormat="false" ht="15.75" hidden="false" customHeight="true" outlineLevel="0" collapsed="false">
      <c r="AV167" s="1"/>
    </row>
    <row r="168" customFormat="false" ht="15.75" hidden="false" customHeight="true" outlineLevel="0" collapsed="false">
      <c r="AV168" s="1"/>
    </row>
    <row r="169" customFormat="false" ht="15.75" hidden="false" customHeight="true" outlineLevel="0" collapsed="false">
      <c r="AV169" s="1"/>
    </row>
    <row r="170" customFormat="false" ht="15.75" hidden="false" customHeight="true" outlineLevel="0" collapsed="false">
      <c r="AV170" s="1"/>
    </row>
    <row r="171" customFormat="false" ht="15.75" hidden="false" customHeight="true" outlineLevel="0" collapsed="false">
      <c r="AV171" s="1"/>
    </row>
    <row r="172" customFormat="false" ht="15.75" hidden="false" customHeight="true" outlineLevel="0" collapsed="false">
      <c r="AV172" s="1"/>
    </row>
    <row r="173" customFormat="false" ht="15.75" hidden="false" customHeight="true" outlineLevel="0" collapsed="false">
      <c r="AV173" s="1"/>
    </row>
    <row r="174" customFormat="false" ht="15.75" hidden="false" customHeight="true" outlineLevel="0" collapsed="false">
      <c r="AV174" s="1"/>
    </row>
    <row r="175" customFormat="false" ht="15.75" hidden="false" customHeight="true" outlineLevel="0" collapsed="false">
      <c r="AV175" s="1"/>
    </row>
    <row r="176" customFormat="false" ht="15.75" hidden="false" customHeight="true" outlineLevel="0" collapsed="false">
      <c r="AV176" s="1"/>
    </row>
    <row r="177" customFormat="false" ht="15.75" hidden="false" customHeight="true" outlineLevel="0" collapsed="false">
      <c r="AV177" s="1"/>
    </row>
    <row r="178" customFormat="false" ht="15.75" hidden="false" customHeight="true" outlineLevel="0" collapsed="false">
      <c r="AV178" s="1"/>
    </row>
    <row r="179" customFormat="false" ht="15.75" hidden="false" customHeight="true" outlineLevel="0" collapsed="false">
      <c r="AV179" s="1"/>
    </row>
    <row r="180" customFormat="false" ht="15.75" hidden="false" customHeight="true" outlineLevel="0" collapsed="false">
      <c r="AV180" s="1"/>
    </row>
    <row r="181" customFormat="false" ht="15.75" hidden="false" customHeight="true" outlineLevel="0" collapsed="false">
      <c r="AV181" s="1"/>
    </row>
    <row r="182" customFormat="false" ht="15.75" hidden="false" customHeight="true" outlineLevel="0" collapsed="false">
      <c r="AV182" s="1"/>
    </row>
    <row r="183" customFormat="false" ht="15.75" hidden="false" customHeight="true" outlineLevel="0" collapsed="false">
      <c r="AV183" s="1"/>
    </row>
    <row r="184" customFormat="false" ht="15.75" hidden="false" customHeight="true" outlineLevel="0" collapsed="false">
      <c r="AV184" s="1"/>
    </row>
    <row r="185" customFormat="false" ht="15.75" hidden="false" customHeight="true" outlineLevel="0" collapsed="false">
      <c r="AV185" s="1"/>
    </row>
    <row r="186" customFormat="false" ht="15.75" hidden="false" customHeight="true" outlineLevel="0" collapsed="false">
      <c r="AV186" s="1"/>
    </row>
    <row r="187" customFormat="false" ht="15.75" hidden="false" customHeight="true" outlineLevel="0" collapsed="false">
      <c r="AV187" s="1"/>
    </row>
    <row r="188" customFormat="false" ht="15.75" hidden="false" customHeight="true" outlineLevel="0" collapsed="false">
      <c r="AV188" s="1"/>
    </row>
    <row r="189" customFormat="false" ht="15.75" hidden="false" customHeight="true" outlineLevel="0" collapsed="false">
      <c r="AV189" s="1"/>
    </row>
    <row r="190" customFormat="false" ht="15.75" hidden="false" customHeight="true" outlineLevel="0" collapsed="false">
      <c r="AV190" s="1"/>
    </row>
    <row r="191" customFormat="false" ht="15.75" hidden="false" customHeight="true" outlineLevel="0" collapsed="false">
      <c r="AV191" s="1"/>
    </row>
    <row r="192" customFormat="false" ht="15.75" hidden="false" customHeight="true" outlineLevel="0" collapsed="false">
      <c r="AV192" s="1"/>
    </row>
    <row r="193" customFormat="false" ht="15.75" hidden="false" customHeight="true" outlineLevel="0" collapsed="false">
      <c r="AV193" s="1"/>
    </row>
    <row r="194" customFormat="false" ht="15.75" hidden="false" customHeight="true" outlineLevel="0" collapsed="false">
      <c r="AV194" s="1"/>
    </row>
    <row r="195" customFormat="false" ht="15.75" hidden="false" customHeight="true" outlineLevel="0" collapsed="false">
      <c r="AV195" s="1"/>
    </row>
    <row r="196" customFormat="false" ht="15.75" hidden="false" customHeight="true" outlineLevel="0" collapsed="false">
      <c r="AV196" s="1"/>
    </row>
    <row r="197" customFormat="false" ht="15.75" hidden="false" customHeight="true" outlineLevel="0" collapsed="false">
      <c r="AV197" s="1"/>
    </row>
    <row r="198" customFormat="false" ht="15.75" hidden="false" customHeight="true" outlineLevel="0" collapsed="false">
      <c r="AV198" s="1"/>
    </row>
    <row r="199" customFormat="false" ht="15.75" hidden="false" customHeight="true" outlineLevel="0" collapsed="false">
      <c r="AV199" s="1"/>
    </row>
    <row r="200" customFormat="false" ht="15.75" hidden="false" customHeight="true" outlineLevel="0" collapsed="false">
      <c r="AV200" s="1"/>
    </row>
    <row r="201" customFormat="false" ht="15.75" hidden="false" customHeight="true" outlineLevel="0" collapsed="false">
      <c r="AV201" s="1"/>
    </row>
    <row r="202" customFormat="false" ht="15.75" hidden="false" customHeight="true" outlineLevel="0" collapsed="false">
      <c r="AV202" s="1"/>
    </row>
    <row r="203" customFormat="false" ht="15.75" hidden="false" customHeight="true" outlineLevel="0" collapsed="false">
      <c r="AV203" s="1"/>
    </row>
    <row r="204" customFormat="false" ht="15.75" hidden="false" customHeight="true" outlineLevel="0" collapsed="false">
      <c r="AV204" s="1"/>
    </row>
    <row r="205" customFormat="false" ht="15.75" hidden="false" customHeight="true" outlineLevel="0" collapsed="false">
      <c r="AV205" s="1"/>
    </row>
    <row r="206" customFormat="false" ht="15.75" hidden="false" customHeight="true" outlineLevel="0" collapsed="false">
      <c r="AV206" s="1"/>
    </row>
    <row r="207" customFormat="false" ht="15.75" hidden="false" customHeight="true" outlineLevel="0" collapsed="false">
      <c r="AV207" s="1"/>
    </row>
    <row r="208" customFormat="false" ht="15.75" hidden="false" customHeight="true" outlineLevel="0" collapsed="false">
      <c r="AV208" s="1"/>
    </row>
    <row r="209" customFormat="false" ht="15.75" hidden="false" customHeight="true" outlineLevel="0" collapsed="false">
      <c r="AV209" s="1"/>
    </row>
    <row r="210" customFormat="false" ht="15.75" hidden="false" customHeight="true" outlineLevel="0" collapsed="false">
      <c r="AV210" s="1"/>
    </row>
    <row r="211" customFormat="false" ht="15.75" hidden="false" customHeight="true" outlineLevel="0" collapsed="false">
      <c r="AV211" s="1"/>
    </row>
    <row r="212" customFormat="false" ht="15.75" hidden="false" customHeight="true" outlineLevel="0" collapsed="false">
      <c r="AV212" s="1"/>
    </row>
    <row r="213" customFormat="false" ht="15.75" hidden="false" customHeight="true" outlineLevel="0" collapsed="false">
      <c r="AV213" s="1"/>
    </row>
    <row r="214" customFormat="false" ht="15.75" hidden="false" customHeight="true" outlineLevel="0" collapsed="false">
      <c r="AV214" s="1"/>
    </row>
    <row r="215" customFormat="false" ht="15.75" hidden="false" customHeight="true" outlineLevel="0" collapsed="false">
      <c r="AV215" s="1"/>
    </row>
    <row r="216" customFormat="false" ht="15.75" hidden="false" customHeight="true" outlineLevel="0" collapsed="false">
      <c r="AV216" s="1"/>
    </row>
    <row r="217" customFormat="false" ht="15.75" hidden="false" customHeight="true" outlineLevel="0" collapsed="false">
      <c r="AV217" s="1"/>
    </row>
    <row r="218" customFormat="false" ht="15.75" hidden="false" customHeight="true" outlineLevel="0" collapsed="false">
      <c r="AV218" s="1"/>
    </row>
    <row r="219" customFormat="false" ht="15.75" hidden="false" customHeight="true" outlineLevel="0" collapsed="false">
      <c r="AV219" s="1"/>
    </row>
    <row r="220" customFormat="false" ht="15.75" hidden="false" customHeight="true" outlineLevel="0" collapsed="false">
      <c r="AV220" s="1"/>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6:AU6"/>
  <mergeCells count="30">
    <mergeCell ref="A2:B2"/>
    <mergeCell ref="C2:E2"/>
    <mergeCell ref="A3:B3"/>
    <mergeCell ref="C3:E3"/>
    <mergeCell ref="G3:H3"/>
    <mergeCell ref="I3:J3"/>
    <mergeCell ref="A4:B4"/>
    <mergeCell ref="C4:E4"/>
    <mergeCell ref="G4:H4"/>
    <mergeCell ref="I4:J4"/>
    <mergeCell ref="A5:C5"/>
    <mergeCell ref="D5:I5"/>
    <mergeCell ref="J5:M5"/>
    <mergeCell ref="N5:S5"/>
    <mergeCell ref="T5:Y5"/>
    <mergeCell ref="Z5:AE5"/>
    <mergeCell ref="AF5:AK5"/>
    <mergeCell ref="AL5:AQ5"/>
    <mergeCell ref="AR5:AU5"/>
    <mergeCell ref="C7:AU7"/>
    <mergeCell ref="C10:AU10"/>
    <mergeCell ref="C13:AU13"/>
    <mergeCell ref="C16:AU16"/>
    <mergeCell ref="C20:AU20"/>
    <mergeCell ref="C28:AU28"/>
    <mergeCell ref="C30:AU30"/>
    <mergeCell ref="C33:AU33"/>
    <mergeCell ref="C37:AU37"/>
    <mergeCell ref="C47:AU47"/>
    <mergeCell ref="C53:AU53"/>
  </mergeCells>
  <conditionalFormatting sqref="O7:O500 P7:P500 U7:U500 V7:V500 AA7:AA500 AB7:AB500 AG7:AG500 AH7:AH500 AM7:AM500 AN7:AN500 AS7:AS500 AT7:AT500">
    <cfRule type="cellIs" priority="2" operator="equal" aboveAverage="0" equalAverage="0" bottom="0" percent="0" rank="0" text="" dxfId="0">
      <formula>"Pass"</formula>
    </cfRule>
    <cfRule type="cellIs" priority="3" operator="equal" aboveAverage="0" equalAverage="0" bottom="0" percent="0" rank="0" text="" dxfId="1">
      <formula>"Fail"</formula>
    </cfRule>
    <cfRule type="cellIs" priority="4" operator="equal" aboveAverage="0" equalAverage="0" bottom="0" percent="0" rank="0" text="" dxfId="2">
      <formula>"Block"</formula>
    </cfRule>
    <cfRule type="cellIs" priority="5" operator="equal" aboveAverage="0" equalAverage="0" bottom="0" percent="0" rank="0" text="" dxfId="3">
      <formula>"N/A"</formula>
    </cfRule>
  </conditionalFormatting>
  <dataValidations count="8">
    <dataValidation allowBlank="true" errorStyle="stop" operator="between" showDropDown="false" showErrorMessage="false" showInputMessage="false" sqref="J7:J500" type="list">
      <formula1>"AI,QC"</formula1>
      <formula2>0</formula2>
    </dataValidation>
    <dataValidation allowBlank="true" errorStyle="stop" operator="between" showDropDown="false" showErrorMessage="false" showInputMessage="false" sqref="E7:E500" type="list">
      <formula1>"High,Medium,Low"</formula1>
      <formula2>0</formula2>
    </dataValidation>
    <dataValidation allowBlank="true" errorStyle="stop" operator="between" showDropDown="false" showErrorMessage="false" showInputMessage="false" sqref="P7:P500 V7:V500 AB7:AB500 AH7:AH500 AN7:AN500" type="list">
      <formula1>"Pass,Fail,Block,N/A"</formula1>
      <formula2>0</formula2>
    </dataValidation>
    <dataValidation allowBlank="true" errorStyle="stop" operator="between" showDropDown="false" showErrorMessage="false" showInputMessage="false" sqref="N7:N500 T7:T500 Z7:Z500 AF7:AF500 AL7:AL500" type="list">
      <formula1>"Yes,No,N/A"</formula1>
      <formula2>0</formula2>
    </dataValidation>
    <dataValidation allowBlank="true" errorStyle="stop" operator="between" showDropDown="false" showErrorMessage="false" showInputMessage="false" sqref="O7:O500 U7:U500 AA7:AA500 AG7:AG500 AM7:AM500" type="list">
      <formula1>"Pass,Fail,Block,N/A,Chưa chạy"</formula1>
      <formula2>0</formula2>
    </dataValidation>
    <dataValidation allowBlank="true" errorStyle="stop" operator="between" showDropDown="false" showErrorMessage="false" showInputMessage="false" sqref="D7:D500" type="list">
      <formula1>"Functional,UI,Integration,Database Test Case"</formula1>
      <formula2>0</formula2>
    </dataValidation>
    <dataValidation allowBlank="true" errorStyle="stop" operator="between" showDropDown="false" showErrorMessage="false" showInputMessage="false" sqref="K7:K500" type="list">
      <formula1>"Reviewed,Pending,N/A"</formula1>
      <formula2>0</formula2>
    </dataValidation>
    <dataValidation allowBlank="true" errorStyle="stop" operator="between" showDropDown="false" showErrorMessage="false" showInputMessage="false" sqref="L7:L500"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4</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2026-09-10T10:47:30Z</dcterms:created>
  <dc:creator>openpyxl</dc:creator>
  <dc:description/>
  <dc:language>en-US</dc:language>
  <cp:lastModifiedBy/>
  <dcterms:modified xsi:type="dcterms:W3CDTF">2026-09-17T20:02:47Z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