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charts/colors9.xml" ContentType="application/vnd.ms-office.chartcolorstyle+xml"/>
  <Override PartName="/xl/charts/style4.xml" ContentType="application/vnd.ms-office.chartstyle+xml"/>
  <Override PartName="/xl/charts/colors8.xml" ContentType="application/vnd.ms-office.chartcolorstyle+xml"/>
  <Override PartName="/xl/charts/style3.xml" ContentType="application/vnd.ms-office.chartstyle+xml"/>
  <Override PartName="/xl/charts/style2.xml" ContentType="application/vnd.ms-office.chartstyle+xml"/>
  <Override PartName="/xl/charts/style7.xml" ContentType="application/vnd.ms-office.chartstyle+xml"/>
  <Override PartName="/xl/charts/colors6.xml" ContentType="application/vnd.ms-office.chartcolorstyle+xml"/>
  <Override PartName="/xl/charts/style6.xml" ContentType="application/vnd.ms-office.chartstyle+xml"/>
  <Override PartName="/xl/charts/chart10.xml" ContentType="application/vnd.openxmlformats-officedocument.drawingml.chart+xml"/>
  <Override PartName="/xl/charts/style5.xml" ContentType="application/vnd.ms-office.chartstyle+xml"/>
  <Override PartName="/xl/charts/colors1.xml" ContentType="application/vnd.ms-office.chartcolorstyle+xml"/>
  <Override PartName="/xl/charts/chart6.xml" ContentType="application/vnd.openxmlformats-officedocument.drawingml.chart+xml"/>
  <Override PartName="/xl/charts/colors2.xml" ContentType="application/vnd.ms-office.chartcolorstyle+xml"/>
  <Override PartName="/xl/charts/chart3.xml" ContentType="application/vnd.openxmlformats-officedocument.drawingml.chart+xml"/>
  <Override PartName="/xl/charts/style1.xml" ContentType="application/vnd.ms-office.chartstyle+xml"/>
  <Override PartName="/xl/charts/style9.xml" ContentType="application/vnd.ms-office.chartstyle+xml"/>
  <Override PartName="/xl/charts/colors5.xml" ContentType="application/vnd.ms-office.chartcolorstyle+xml"/>
  <Override PartName="/xl/charts/style8.xml" ContentType="application/vnd.ms-office.chartstyle+xml"/>
  <Override PartName="/xl/charts/chart14.xml" ContentType="application/vnd.openxmlformats-officedocument.drawingml.chart+xml"/>
  <Override PartName="/xl/charts/chart9.xml" ContentType="application/vnd.openxmlformats-officedocument.drawingml.chart+xml"/>
  <Override PartName="/xl/charts/colors13.xml" ContentType="application/vnd.ms-office.chartcolorstyle+xml"/>
  <Override PartName="/xl/charts/style18.xml" ContentType="application/vnd.ms-office.chartstyle+xml"/>
  <Override PartName="/xl/charts/colors16.xml" ContentType="application/vnd.ms-office.chartcolorstyle+xml"/>
  <Override PartName="/xl/charts/chart5.xml" ContentType="application/vnd.openxmlformats-officedocument.drawingml.chart+xml"/>
  <Override PartName="/xl/charts/style17.xml" ContentType="application/vnd.ms-office.chartstyle+xml"/>
  <Override PartName="/xl/charts/chart17.xml" ContentType="application/vnd.openxmlformats-officedocument.drawingml.chart+xml"/>
  <Override PartName="/xl/charts/chart1.xml" ContentType="application/vnd.openxmlformats-officedocument.drawingml.chart+xml"/>
  <Override PartName="/xl/charts/colors15.xml" ContentType="application/vnd.ms-office.chartcolorstyle+xml"/>
  <Override PartName="/xl/charts/colors17.xml" ContentType="application/vnd.ms-office.chartcolorstyle+xml"/>
  <Override PartName="/xl/charts/chart13.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chart18.xml" ContentType="application/vnd.openxmlformats-officedocument.drawingml.chart+xml"/>
  <Override PartName="/xl/charts/colors18.xml" ContentType="application/vnd.ms-office.chartcolorstyle+xml"/>
  <Override PartName="/xl/charts/style13.xml" ContentType="application/vnd.ms-office.chartstyle+xml"/>
  <Override PartName="/xl/charts/colors14.xml" ContentType="application/vnd.ms-office.chartcolorstyle+xml"/>
  <Override PartName="/xl/charts/style10.xml" ContentType="application/vnd.ms-office.chartstyle+xml"/>
  <Override PartName="/xl/charts/style16.xml" ContentType="application/vnd.ms-office.chartstyle+xml"/>
  <Override PartName="/xl/charts/chart2.xml" ContentType="application/vnd.openxmlformats-officedocument.drawingml.chart+xml"/>
  <Override PartName="/xl/charts/style15.xml" ContentType="application/vnd.ms-office.chartstyle+xml"/>
  <Override PartName="/xl/charts/chart16.xml" ContentType="application/vnd.openxmlformats-officedocument.drawingml.chart+xml"/>
  <Override PartName="/xl/charts/style11.xml" ContentType="application/vnd.ms-office.chartstyle+xml"/>
  <Override PartName="/xl/charts/colors4.xml" ContentType="application/vnd.ms-office.chartcolorstyle+xml"/>
  <Override PartName="/xl/charts/style12.xml" ContentType="application/vnd.ms-office.chartstyle+xml"/>
  <Override PartName="/xl/charts/chart8.xml" ContentType="application/vnd.openxmlformats-officedocument.drawingml.chart+xml"/>
  <Override PartName="/xl/charts/chart12.xml" ContentType="application/vnd.openxmlformats-officedocument.drawingml.chart+xml"/>
  <Override PartName="/xl/charts/colors11.xml" ContentType="application/vnd.ms-office.chartcolorstyle+xml"/>
  <Override PartName="/xl/charts/colors3.xml" ContentType="application/vnd.ms-office.chartcolorstyle+xml"/>
  <Override PartName="/xl/charts/style14.xml" ContentType="application/vnd.ms-office.chartstyle+xml"/>
  <Override PartName="/xl/charts/colors12.xml" ContentType="application/vnd.ms-office.chartcolorstyle+xml"/>
  <Override PartName="/xl/charts/colors10.xml" ContentType="application/vnd.ms-office.chartcolorstyle+xml"/>
  <Override PartName="/xl/charts/chart15.xml" ContentType="application/vnd.openxmlformats-officedocument.drawingml.chart+xml"/>
  <Override PartName="/xl/charts/chart4.xml" ContentType="application/vnd.openxmlformats-officedocument.drawingml.chart+xml"/>
  <Override PartName="/xl/charts/chart7.xml" ContentType="application/vnd.openxmlformats-officedocument.drawingml.chart+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4"/>
  </bookViews>
  <sheets>
    <sheet name="Cover" sheetId="1" state="visible" r:id="rId3"/>
    <sheet name="Guideline" sheetId="2" state="visible" r:id="rId4"/>
    <sheet name="Revision History" sheetId="3" state="visible" r:id="rId5"/>
    <sheet name="Summary" sheetId="4" state="visible" r:id="rId6"/>
    <sheet name="Dashboard" sheetId="5" state="visible" r:id="rId7"/>
    <sheet name="Report Test" sheetId="6" state="visible" r:id="rId8"/>
    <sheet name="Bug Data" sheetId="7" state="visible" r:id="rId9"/>
    <sheet name="RTM" sheetId="8" state="visible" r:id="rId10"/>
    <sheet name="Hoạt động (Đơn của tôi)" sheetId="9" state="visible" r:id="rId11"/>
    <sheet name="Ghép nối" sheetId="10" state="visible" r:id="rId12"/>
    <sheet name="Huỷ đơn - Huỷ nhận đơn" sheetId="11" state="visible" r:id="rId13"/>
    <sheet name="Giao nhận &amp; Theo dõi đơn" sheetId="12" state="visible" r:id="rId14"/>
    <sheet name="Bảng tin &amp; Chi tiết tin" sheetId="13" state="visible" r:id="rId15"/>
    <sheet name="Quà cảm ơn" sheetId="14" state="visible" r:id="rId16"/>
    <sheet name="Trang chủ" sheetId="15" state="visible" r:id="rId17"/>
    <sheet name="Thông báo" sheetId="16" state="visible" r:id="rId18"/>
    <sheet name="Đăng tin &amp; Quản lý tin" sheetId="17" state="visible" r:id="rId19"/>
    <sheet name="Trust &amp; Safety" sheetId="18" state="visible" r:id="rId20"/>
    <sheet name="Tài khoản &amp; Hồ sơ" sheetId="19" state="visible" r:id="rId21"/>
  </sheets>
  <definedNames>
    <definedName function="false" hidden="true" localSheetId="12" name="_xlnm._FilterDatabase" vbProcedure="false">'Bảng tin &amp; Chi tiết tin'!$A$6:$AU$6</definedName>
    <definedName function="false" hidden="true" localSheetId="16" name="_xlnm._FilterDatabase" vbProcedure="false">'Đăng tin &amp; Quản lý tin'!$A$6:$AU$6</definedName>
    <definedName function="false" hidden="true" localSheetId="9" name="_xlnm._FilterDatabase" vbProcedure="false">'Ghép nối'!$A$6:$AU$6</definedName>
    <definedName function="false" hidden="true" localSheetId="11" name="_xlnm._FilterDatabase" vbProcedure="false">'Giao nhận &amp; Theo dõi đơn'!$A$6:$AU$6</definedName>
    <definedName function="false" hidden="true" localSheetId="8" name="_xlnm._FilterDatabase" vbProcedure="false">'Hoạt động (Đơn của tôi)'!$A$6:$AU$6</definedName>
    <definedName function="false" hidden="true" localSheetId="10" name="_xlnm._FilterDatabase" vbProcedure="false">'Huỷ đơn - Huỷ nhận đơn'!$A$6:$AU$6</definedName>
    <definedName function="false" hidden="true" localSheetId="13" name="_xlnm._FilterDatabase" vbProcedure="false">'Quà cảm ơn'!$A$6:$AU$6</definedName>
    <definedName function="false" hidden="true" localSheetId="18" name="_xlnm._FilterDatabase" vbProcedure="false">'Tài khoản &amp; Hồ sơ'!$A$6:$AU$6</definedName>
    <definedName function="false" hidden="true" localSheetId="15" name="_xlnm._FilterDatabase" vbProcedure="false">'Thông báo'!$A$6:$AU$6</definedName>
    <definedName function="false" hidden="true" localSheetId="14" name="_xlnm._FilterDatabase" vbProcedure="false">'Trang chủ'!$A$6:$AU$6</definedName>
    <definedName function="false" hidden="true" localSheetId="17" name="_xlnm._FilterDatabase" vbProcedure="false">'Trust &amp; Safety'!$A$6:$AU$6</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None</author>
  </authors>
  <commentList>
    <comment ref="L220" authorId="0">
      <text>
        <r>
          <rPr>
            <sz val="10"/>
            <rFont val="Arial"/>
            <family val="2"/>
          </rPr>
          <t xml:space="preserve">======
ID#AAACAZ0I57g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r>
      </text>
    </comment>
  </commentList>
</comments>
</file>

<file path=xl/sharedStrings.xml><?xml version="1.0" encoding="utf-8"?>
<sst xmlns="http://schemas.openxmlformats.org/spreadsheetml/2006/main" count="3838" uniqueCount="1468">
  <si>
    <t xml:space="preserve">foxeco-v2</t>
  </si>
  <si>
    <t xml:space="preserve">TEST CASE &amp; TEST REPORT</t>
  </si>
  <si>
    <t xml:space="preserve">Bộ tài liệu kiểm thử — quy trình SDLC</t>
  </si>
  <si>
    <t xml:space="preserve">Mã hiệu</t>
  </si>
  <si>
    <t xml:space="preserve">7.1-BM/PM/HDCV/ISC</t>
  </si>
  <si>
    <t xml:space="preserve">Phiên bản</t>
  </si>
  <si>
    <t xml:space="preserve">v1.1</t>
  </si>
  <si>
    <t xml:space="preserve">File gồm 2 phần: TEST CASE (viết &amp; theo dõi case) và REPORT (tổng hợp kết quả &amp; bug).</t>
  </si>
  <si>
    <t xml:space="preserve">Sheet: Guideline · Revision History · Summary · Dashboard · Report Test · Data · RTM·  Test Cases </t>
  </si>
  <si>
    <t xml:space="preserve">QUY ĐỊNH CHUNG</t>
  </si>
  <si>
    <t xml:space="preserve">1. Đặt tên file</t>
  </si>
  <si>
    <t xml:space="preserve">ISC_[Tên dự án]_[Version]_TC_[Version TC]_R[Số round test].xlsx 
VD: ISC_FCP-Web_v1.0_TC_v1.0_R1.xls</t>
  </si>
  <si>
    <t xml:space="preserve">2. Tách sheet</t>
  </si>
  <si>
    <t xml:space="preserve">Mỗi Function/Screen tách thành 1 sheet Test Cases riêng (copy sheet mẫu).</t>
  </si>
  <si>
    <t xml:space="preserve">3. Test Title</t>
  </si>
  <si>
    <t xml:space="preserve">Mỗi case kiểm tra 1 nội dung; bắt đầu bằng 'Check ...'</t>
  </si>
  <si>
    <t xml:space="preserve">4. Người thực hiện</t>
  </si>
  <si>
    <t xml:space="preserve">Dùng email, mỗi case 1 người</t>
  </si>
  <si>
    <t xml:space="preserve">5. Phiên bản</t>
  </si>
  <si>
    <t xml:space="preserve">Khi update nội dung file test cases phải tăng [Version TC] và quản lý lịch sử thay đổi trong sheet Revision History </t>
  </si>
  <si>
    <t xml:space="preserve">PHÂN LOẠI TRẠNG THÁI (Status — trạng thái TỔNG của TC)</t>
  </si>
  <si>
    <t xml:space="preserve">Trạng thái</t>
  </si>
  <si>
    <t xml:space="preserve">Ý nghĩa</t>
  </si>
  <si>
    <t xml:space="preserve">Pass</t>
  </si>
  <si>
    <t xml:space="preserve">Đạt — chỉ Pass khi TẤT CẢ bước/kiểm tra trong case đều đạt</t>
  </si>
  <si>
    <t xml:space="preserve">Fail</t>
  </si>
  <si>
    <t xml:space="preserve">Chỉ cần 1 bước/kiểm tra không đạt → Fail (ghi ID Bugs)</t>
  </si>
  <si>
    <t xml:space="preserve">Block</t>
  </si>
  <si>
    <t xml:space="preserve">Không thực hiện được / Pending — ghi rõ lý do ở Remark</t>
  </si>
  <si>
    <t xml:space="preserve">N/A</t>
  </si>
  <si>
    <t xml:space="preserve">Case không áp dụng (VD: Won't fix)</t>
  </si>
  <si>
    <t xml:space="preserve">PHÂN LOẠI ĐỘ ƯU TIÊN </t>
  </si>
  <si>
    <t xml:space="preserve">Priority</t>
  </si>
  <si>
    <t xml:space="preserve">High (P1)</t>
  </si>
  <si>
    <t xml:space="preserve">Bắt buộc chạy; ảnh hưởng luồng/nghiệp vụ chính</t>
  </si>
  <si>
    <t xml:space="preserve">Medium (P2)</t>
  </si>
  <si>
    <t xml:space="preserve">Chạy ít nhất 1 lần; ảnh hưởng người dùng mức trung bình</t>
  </si>
  <si>
    <t xml:space="preserve">Low (P3)</t>
  </si>
  <si>
    <t xml:space="preserve">Có thể bỏ khi rút ngắn thời gian; ít ảnh hưởng</t>
  </si>
  <si>
    <t xml:space="preserve">PHÂN LOẠI NHÓM (Group)</t>
  </si>
  <si>
    <t xml:space="preserve">Group</t>
  </si>
  <si>
    <t xml:space="preserve">Functional</t>
  </si>
  <si>
    <t xml:space="preserve">Kiểm tra chức năng theo luồng nghiệp vụ</t>
  </si>
  <si>
    <t xml:space="preserve">UI</t>
  </si>
  <si>
    <t xml:space="preserve">Kiểm tra giao diện: bố cục, hiển thị, responsive, thông báo, trạng thái control</t>
  </si>
  <si>
    <t xml:space="preserve">Integration</t>
  </si>
  <si>
    <t xml:space="preserve">Kiểm tra tích hợp giữa các module / API / hệ thống</t>
  </si>
  <si>
    <t xml:space="preserve">Database</t>
  </si>
  <si>
    <t xml:space="preserve">Kiểm tra tầng dữ liệu: lưu/đọc đúng, ràng buộc &amp; toàn vẹn dữ liệu (CSDL)</t>
  </si>
  <si>
    <t xml:space="preserve">Ý NGHĨA CỘT EXECUTION</t>
  </si>
  <si>
    <t xml:space="preserve">Status</t>
  </si>
  <si>
    <t xml:space="preserve">Trạng thái TỔNG của TC = kết quả round MỚI NHẤT (tự động, không nhập tay).</t>
  </si>
  <si>
    <t xml:space="preserve">Executed By (mỗi round)</t>
  </si>
  <si>
    <t xml:space="preserve">Email người thực thi test ở TỪNG round.</t>
  </si>
  <si>
    <t xml:space="preserve">ID Bugs (mỗi round)</t>
  </si>
  <si>
    <t xml:space="preserve">Mã bug (Jira) phát sinh ở round đó khi Fail.</t>
  </si>
  <si>
    <t xml:space="preserve">Note (mỗi round)</t>
  </si>
  <si>
    <t xml:space="preserve">Ghi chú tự do cho round đó: lý do Block/Fail, môi trường/dữ liệu đã dùng, link evidence… (không ảnh hưởng Status).</t>
  </si>
  <si>
    <t xml:space="preserve">SDLC</t>
  </si>
  <si>
    <t xml:space="preserve">Các cột dưới đây tích hợp AI vào quy trình kiểm thử</t>
  </si>
  <si>
    <t xml:space="preserve">Origin (Nguồn tạo)</t>
  </si>
  <si>
    <t xml:space="preserve">AI = TC do AI sinh · QC = QC viết tay</t>
  </si>
  <si>
    <t xml:space="preserve">Review</t>
  </si>
  <si>
    <t xml:space="preserve">Reviewed = QC đã review · Pending = chờ review · N/A</t>
  </si>
  <si>
    <t xml:space="preserve">Automated</t>
  </si>
  <si>
    <t xml:space="preserve">Yes/No — TC đã được viết script automation hay chưa</t>
  </si>
  <si>
    <t xml:space="preserve">Script</t>
  </si>
  <si>
    <t xml:space="preserve">Đường dẫn file script automation (nếu có)</t>
  </si>
  <si>
    <t xml:space="preserve">Vibe-test</t>
  </si>
  <si>
    <t xml:space="preserve">Yes/No/N-A theo TỪNG round — TC có kiểm thử kiểu 'vibe-test' (thăm dò có AI agent hỗ trợ) ở round đó. Cột 'Vibe-test (tổng)' tự gộp = Yes nếu có ≥1 round Yes.</t>
  </si>
  <si>
    <t xml:space="preserve">KQ Script</t>
  </si>
  <si>
    <t xml:space="preserve">Kết quả CHẠY script tự động theo TỪNG round: Pass/Fail/Block/N/A/Chưa chạy. Cột 'KQ Script (tổng)' tự lấy kết quả round mới nhất.</t>
  </si>
  <si>
    <t xml:space="preserve">Traceability</t>
  </si>
  <si>
    <t xml:space="preserve">Scenario ID + Req ID + DOC Source: truy vết TC ↔ kịch bản ↔ yêu cầu ↔ tài liệu nguồn</t>
  </si>
  <si>
    <t xml:space="preserve">TEST THEO ROUND (nhiều round trong 1 version)</t>
  </si>
  <si>
    <t xml:space="preserve">R1 … R5</t>
  </si>
  <si>
    <t xml:space="preserve">Mỗi round là 1 khối 6 cột: Vibe-test · KQ Script · Kết quả · Executed By · ID Bugs · Note. Chạy round nào thì nhập vào khối round đó. Template hỗ trợ 5 round. Ô Kết quả/KQ Script tự tô màu: Pass=xanh · Fail=đỏ · Block=xám · N/A=vàng.</t>
  </si>
  <si>
    <t xml:space="preserve">TỰ ĐỘNG = kết quả (Kết quả) của round MỚI NHẤT trong R1…R5. Không nhập tay.</t>
  </si>
  <si>
    <t xml:space="preserve">Round (Bug Data)</t>
  </si>
  <si>
    <t xml:space="preserve">Round phát hiện bug. Report mục IV thống kê Bug theo round &amp; tiến độ Pass/Fail theo round.</t>
  </si>
  <si>
    <t xml:space="preserve">REVISION HISTORY</t>
  </si>
  <si>
    <t xml:space="preserve">Date</t>
  </si>
  <si>
    <t xml:space="preserve">Version</t>
  </si>
  <si>
    <t xml:space="preserve">Author</t>
  </si>
  <si>
    <t xml:space="preserve">Reviewer</t>
  </si>
  <si>
    <t xml:space="preserve">Approver</t>
  </si>
  <si>
    <t xml:space="preserve">Change Description</t>
  </si>
  <si>
    <t xml:space="preserve">QC</t>
  </si>
  <si>
    <t xml:space="preserve">QC Lead</t>
  </si>
  <si>
    <t xml:space="preserve">PM</t>
  </si>
  <si>
    <t xml:space="preserve">Tạo mới</t>
  </si>
  <si>
    <t xml:space="preserve">SUMMARY — Thiết lập chung &amp; Chỉ số Test Case</t>
  </si>
  <si>
    <t xml:space="preserve">Sheet SETUP CHUNG. Chỉ số TỔNG QUAN bên dưới được GOM TỰ ĐỘNG từ TẤT CẢ sheet Test Case, quản lý ở sheet "Dashboard".</t>
  </si>
  <si>
    <t xml:space="preserve">THIẾT LẬP CHUNG</t>
  </si>
  <si>
    <t xml:space="preserve">Tên dự án</t>
  </si>
  <si>
    <t xml:space="preserve">FoxEco</t>
  </si>
  <si>
    <t xml:space="preserve">Mã tài liệu</t>
  </si>
  <si>
    <t xml:space="preserve">Sprint</t>
  </si>
  <si>
    <t xml:space="preserve">Ngày bắt đầu test</t>
  </si>
  <si>
    <t xml:space="preserve">18/09/2026</t>
  </si>
  <si>
    <t xml:space="preserve">Ngày kết thúc test</t>
  </si>
  <si>
    <t xml:space="preserve">25/09/2026</t>
  </si>
  <si>
    <t xml:space="preserve">Số sheet chức năng</t>
  </si>
  <si>
    <t xml:space="preserve">PIC</t>
  </si>
  <si>
    <t xml:space="preserve">GiangDC2</t>
  </si>
  <si>
    <t xml:space="preserve">Ô vàng = nhập tay. Version / ngày test được Test Cases &amp; Report tham chiếu tự động.</t>
  </si>
  <si>
    <t xml:space="preserve">TỔNG QUAN TEST CASE — ƯU TIÊN &amp; TIẾN ĐỘ THỰC THI</t>
  </si>
  <si>
    <t xml:space="preserve">Tổng số Test Case</t>
  </si>
  <si>
    <t xml:space="preserve">THEO NHÓM LOẠI TC (Group)</t>
  </si>
  <si>
    <t xml:space="preserve">Mức ưu tiên</t>
  </si>
  <si>
    <t xml:space="preserve">Tổng TC</t>
  </si>
  <si>
    <t xml:space="preserve">% / Tổng</t>
  </si>
  <si>
    <t xml:space="preserve">Đã chạy</t>
  </si>
  <si>
    <t xml:space="preserve">% đã chạy</t>
  </si>
  <si>
    <t xml:space="preserve">Nhóm</t>
  </si>
  <si>
    <t xml:space="preserve">Số TC</t>
  </si>
  <si>
    <t xml:space="preserve">Tổng</t>
  </si>
  <si>
    <t xml:space="preserve">SDLC — MỨC ĐỘ ÁP DỤNG</t>
  </si>
  <si>
    <t xml:space="preserve">Chỉ số</t>
  </si>
  <si>
    <t xml:space="preserve">Số lượng</t>
  </si>
  <si>
    <t xml:space="preserve">% / Tổng TC</t>
  </si>
  <si>
    <t xml:space="preserve">TC do AI sinh (Origin=AI)</t>
  </si>
  <si>
    <t xml:space="preserve">TC do QC viết (Origin=QC)</t>
  </si>
  <si>
    <t xml:space="preserve">TC đã automation (Automated=Yes)</t>
  </si>
  <si>
    <t xml:space="preserve">TC Vibe-test (Yes)</t>
  </si>
  <si>
    <t xml:space="preserve">TC script auto chạy Pass</t>
  </si>
  <si>
    <t xml:space="preserve">TC đã TL review</t>
  </si>
  <si>
    <t xml:space="preserve">% tính trên TỔNG SỐ TEST CASE. Tự đếm từ sheet Test Cases (khác khối III của Report — khối đó nhập tay theo bug).</t>
  </si>
  <si>
    <t xml:space="preserve">Test nhiều Round/1 version: nhập kết quả từng round ở cột R1…R8 (sheet Test Case); Status = round mới nhất. Chi tiết tiến độ theo round ở Report — mục IV.</t>
  </si>
  <si>
    <t xml:space="preserve">MÔI TRƯỜNG &amp; PHẠM VI TEST</t>
  </si>
  <si>
    <t xml:space="preserve">Environment</t>
  </si>
  <si>
    <t xml:space="preserve">STG</t>
  </si>
  <si>
    <t xml:space="preserve">Platform</t>
  </si>
  <si>
    <t xml:space="preserve">App</t>
  </si>
  <si>
    <t xml:space="preserve">Device</t>
  </si>
  <si>
    <t xml:space="preserve">VD: iPhone 14 (iOS 17), Galaxy S23 (Android 14)</t>
  </si>
  <si>
    <t xml:space="preserve">Accounts</t>
  </si>
  <si>
    <t xml:space="preserve">VD: user01, user02</t>
  </si>
  <si>
    <t xml:space="preserve">Functional Testing</t>
  </si>
  <si>
    <t xml:space="preserve">VD: 1. Function A / 2. Function B</t>
  </si>
  <si>
    <t xml:space="preserve">System Integration Testing (nếu có)</t>
  </si>
  <si>
    <t xml:space="preserve">VD: Tool A, Tool B</t>
  </si>
  <si>
    <t xml:space="preserve">►  QUẢN LÝ DANH SÁCH SHEET TEST CASE: xem sheet "Dashboard".
     Thêm/bớt function chỉ cần thêm/xoá 1 dòng (tên tab sheet) ở Dashboard — mọi chỉ số tự cập nhật.</t>
  </si>
  <si>
    <t xml:space="preserve">BẢNG ĐIỀU KHIỂN — QUẢN LÝ &amp; GOM SỐ LIỆU TẤT CẢ SHEET TEST CASE</t>
  </si>
  <si>
    <t xml:space="preserve">QUẢN LÝ SHEET  (nhập tay 3 cột)</t>
  </si>
  <si>
    <t xml:space="preserve">Execution</t>
  </si>
  <si>
    <t xml:space="preserve">PRIORITY</t>
  </si>
  <si>
    <t xml:space="preserve">GROUP TC</t>
  </si>
  <si>
    <t xml:space="preserve">PRIORITY — ĐÃ CHẠY</t>
  </si>
  <si>
    <t xml:space="preserve">TIẾN ĐỘ THEO ROUND (mỗi round chạy lại toàn bộ TC)</t>
  </si>
  <si>
    <t xml:space="preserve">STT</t>
  </si>
  <si>
    <t xml:space="preserve">Mã CN</t>
  </si>
  <si>
    <t xml:space="preserve">Tên tab sheet
(đúng 100%)</t>
  </si>
  <si>
    <t xml:space="preserve">Function / Màn hình</t>
  </si>
  <si>
    <t xml:space="preserve">Chưa chạy</t>
  </si>
  <si>
    <t xml:space="preserve">Executed</t>
  </si>
  <si>
    <t xml:space="preserve">Coverage %</t>
  </si>
  <si>
    <t xml:space="preserve">Pass %</t>
  </si>
  <si>
    <t xml:space="preserve">High</t>
  </si>
  <si>
    <t xml:space="preserve">Medium</t>
  </si>
  <si>
    <t xml:space="preserve">Low</t>
  </si>
  <si>
    <t xml:space="preserve">AI-gen</t>
  </si>
  <si>
    <t xml:space="preserve">QC viết</t>
  </si>
  <si>
    <t xml:space="preserve">Auto</t>
  </si>
  <si>
    <t xml:space="preserve">Vibe</t>
  </si>
  <si>
    <t xml:space="preserve">Script Pass</t>
  </si>
  <si>
    <t xml:space="preserve">Reviewed</t>
  </si>
  <si>
    <t xml:space="preserve">High
đã chạy</t>
  </si>
  <si>
    <t xml:space="preserve">Medium
đã chạy</t>
  </si>
  <si>
    <t xml:space="preserve">Low
đã chạy</t>
  </si>
  <si>
    <t xml:space="preserve">R1 Executed</t>
  </si>
  <si>
    <t xml:space="preserve">R1 Pass</t>
  </si>
  <si>
    <t xml:space="preserve">R1 Fail</t>
  </si>
  <si>
    <t xml:space="preserve">R1 Block</t>
  </si>
  <si>
    <t xml:space="preserve">R1 N/A</t>
  </si>
  <si>
    <t xml:space="preserve">R2 Executed</t>
  </si>
  <si>
    <t xml:space="preserve">R2 Pass</t>
  </si>
  <si>
    <t xml:space="preserve">R2 Fail</t>
  </si>
  <si>
    <t xml:space="preserve">R2 Block</t>
  </si>
  <si>
    <t xml:space="preserve">R2 N/A</t>
  </si>
  <si>
    <t xml:space="preserve">R3 Executed</t>
  </si>
  <si>
    <t xml:space="preserve">R3 Pass</t>
  </si>
  <si>
    <t xml:space="preserve">R3 Fail</t>
  </si>
  <si>
    <t xml:space="preserve">R3 Block</t>
  </si>
  <si>
    <t xml:space="preserve">R3 N/A</t>
  </si>
  <si>
    <t xml:space="preserve">R4 Executed</t>
  </si>
  <si>
    <t xml:space="preserve">R4 Pass</t>
  </si>
  <si>
    <t xml:space="preserve">R4 Fail</t>
  </si>
  <si>
    <t xml:space="preserve">R4 Block</t>
  </si>
  <si>
    <t xml:space="preserve">R4 N/A</t>
  </si>
  <si>
    <t xml:space="preserve">R5 Executed</t>
  </si>
  <si>
    <t xml:space="preserve">R5 Pass</t>
  </si>
  <si>
    <t xml:space="preserve">R5 Fail</t>
  </si>
  <si>
    <t xml:space="preserve">R5 Block</t>
  </si>
  <si>
    <t xml:space="preserve">R5 N/A</t>
  </si>
  <si>
    <t xml:space="preserve">TC_01</t>
  </si>
  <si>
    <t xml:space="preserve">Hoạt động (Đơn của tôi)</t>
  </si>
  <si>
    <t xml:space="preserve">TC_02</t>
  </si>
  <si>
    <t xml:space="preserve">Ghép nối</t>
  </si>
  <si>
    <t xml:space="preserve">TC_03</t>
  </si>
  <si>
    <t xml:space="preserve">Huỷ đơn - Huỷ nhận đơn</t>
  </si>
  <si>
    <t xml:space="preserve">TC_04</t>
  </si>
  <si>
    <t xml:space="preserve">Giao nhận &amp; Theo dõi đơn</t>
  </si>
  <si>
    <t xml:space="preserve">TC_05</t>
  </si>
  <si>
    <t xml:space="preserve">Bảng tin &amp; Chi tiết tin</t>
  </si>
  <si>
    <t xml:space="preserve">TC_06</t>
  </si>
  <si>
    <t xml:space="preserve">Quà cảm ơn</t>
  </si>
  <si>
    <t xml:space="preserve">TC_07</t>
  </si>
  <si>
    <t xml:space="preserve">Trang chủ</t>
  </si>
  <si>
    <t xml:space="preserve">TC_08</t>
  </si>
  <si>
    <t xml:space="preserve">Thông báo</t>
  </si>
  <si>
    <t xml:space="preserve">TC_09</t>
  </si>
  <si>
    <t xml:space="preserve">Đăng tin &amp; Quản lý tin</t>
  </si>
  <si>
    <t xml:space="preserve">TC_10</t>
  </si>
  <si>
    <t xml:space="preserve">Trust &amp; Safety</t>
  </si>
  <si>
    <t xml:space="preserve">TC_11</t>
  </si>
  <si>
    <t xml:space="preserve">Tài khoản &amp; Hồ sơ</t>
  </si>
  <si>
    <t xml:space="preserve">TOTAL</t>
  </si>
  <si>
    <t xml:space="preserve">CÁCH THÊM 1 FUNCTION MỚI (chạy được cả Excel &amp; Google Sheets):</t>
  </si>
  <si>
    <t xml:space="preserve">1. Nhân bản (Duplicate) 1 sheet Test Case có sẵn → đổi tên tab thành tên function mới.</t>
  </si>
  <si>
    <t xml:space="preserve">2. Thêm 1 dòng ở bảng trên: nhập Mã CN, TÊN TAB SHEET (phải giống hệt tên tab), Function.</t>
  </si>
  <si>
    <t xml:space="preserve">3. Xong! Tổng TC / Pass / Coverage / Priority / SDLC tự cộng vào Summary &amp; Report Test.</t>
  </si>
  <si>
    <t xml:space="preserve">Lưu ý: cột "Tên tab sheet" phải trùng KHÍT tên tab (kể cả khoảng trắng). Sai tên → dòng đó = 0 (không lỗi).</t>
  </si>
  <si>
    <t xml:space="preserve">Các chỉ số lấy từ sheet Test Case: A=Testcase ID · D=Group · E=Priority · J=Origin · K=Review · L=Auto · AR=Vibe(tổng) · AS=KQ Script(tổng) · Kết quả từng round: P/V/AB/AH/AN · Status(mới nhất)=AT.</t>
  </si>
  <si>
    <t xml:space="preserve">I. THÔNG TIN CHUNG</t>
  </si>
  <si>
    <t xml:space="preserve">TỔNG QUAN NHANH</t>
  </si>
  <si>
    <t xml:space="preserve">Tổng số Bug</t>
  </si>
  <si>
    <t xml:space="preserve">Critical + Major</t>
  </si>
  <si>
    <t xml:space="preserve">% Bug đã đóng</t>
  </si>
  <si>
    <t xml:space="preserve">Test Period</t>
  </si>
  <si>
    <t xml:space="preserve">% Coverage (thực thi)</t>
  </si>
  <si>
    <t xml:space="preserve">Thông tin dự án load tự động từ sheet Summary (PROJECT SETUP). Môi trường · thiết bị · tài khoản · phạm vi test: xem mục 'MÔI TRƯỜNG &amp; PHẠM VI TEST' trong Summary.</t>
  </si>
  <si>
    <t xml:space="preserve">% Automation</t>
  </si>
  <si>
    <t xml:space="preserve">% Bug do AI phát hiện</t>
  </si>
  <si>
    <t xml:space="preserve">% TC Pass</t>
  </si>
  <si>
    <t xml:space="preserve">Critical/Major còn Open</t>
  </si>
  <si>
    <t xml:space="preserve">II. REPORT TEST</t>
  </si>
  <si>
    <t xml:space="preserve">KPI = chỉ số chính (Key Performance Indicator). Ô có màu = nhập ở khối III / Data; số tự cập nhật.</t>
  </si>
  <si>
    <t xml:space="preserve">PHẦN A — TỔNG QUAN</t>
  </si>
  <si>
    <t xml:space="preserve">1. Total Test</t>
  </si>
  <si>
    <t xml:space="preserve">1a. Bug Status theo nền tảng (Platform)</t>
  </si>
  <si>
    <t xml:space="preserve">Nền tảng</t>
  </si>
  <si>
    <t xml:space="preserve">To Do</t>
  </si>
  <si>
    <t xml:space="preserve">In Progress</t>
  </si>
  <si>
    <t xml:space="preserve">In Review</t>
  </si>
  <si>
    <t xml:space="preserve">Pending</t>
  </si>
  <si>
    <t xml:space="preserve">Cancel</t>
  </si>
  <si>
    <t xml:space="preserve">Done</t>
  </si>
  <si>
    <t xml:space="preserve">Total</t>
  </si>
  <si>
    <t xml:space="preserve">Web</t>
  </si>
  <si>
    <t xml:space="preserve">Web, App</t>
  </si>
  <si>
    <t xml:space="preserve">Mỗi cột = 1 trạng thái Jira của bug (sheet Bug Data, cột Bug Status); Total = tổng 6 cột. Bug chưa đóng (Open) = To Do + In Progress + In Review. Bug ở trạng thái riêng của board (Reopened, QA Verify…) KHÔNG lên bảng này — script export cảnh báo khi gặp.</t>
  </si>
  <si>
    <t xml:space="preserve">1b. Tỷ lệ Bug theo chức năng (Function)</t>
  </si>
  <si>
    <t xml:space="preserve">Bug theo chức năng</t>
  </si>
  <si>
    <t xml:space="preserve">ID</t>
  </si>
  <si>
    <t xml:space="preserve">Chức năng</t>
  </si>
  <si>
    <t xml:space="preserve">Tỷ lệ</t>
  </si>
  <si>
    <t xml:space="preserve">—</t>
  </si>
  <si>
    <t xml:space="preserve">Khác / chưa gán chức năng</t>
  </si>
  <si>
    <t xml:space="preserve">Chức năng khớp theo cột "Function" ở sheet Bug Data — script tự chuẩn hoá về tên module TC-MASTER (bỏ qua khác biệt hoa/thường, dấu, gạch dưới). Chức năng không map được vẫn được liệt kê với ID "—"; dòng "Khác / chưa gán chức năng" gom phần còn lại nên Total của bảng này luôn khớp Total ở mục 1a. ID = mã module của sheet Dashboard.</t>
  </si>
  <si>
    <t xml:space="preserve">2. Coverage (Độ phủ Test Case)</t>
  </si>
  <si>
    <t xml:space="preserve">Coverage theo chức năng</t>
  </si>
  <si>
    <t xml:space="preserve">Total TC</t>
  </si>
  <si>
    <t xml:space="preserve">Executed TC</t>
  </si>
  <si>
    <t xml:space="preserve">Coverage</t>
  </si>
  <si>
    <t xml:space="preserve">Note</t>
  </si>
  <si>
    <t xml:space="preserve">Tổng (dòng Total) = gộp TẤT CẢ sheet Test Case. Các dòng ở trên là từng module (tối đa 18) — ID/tên chức năng lấy trực tiếp từ sheet "Dashboard" nên luôn khớp.</t>
  </si>
  <si>
    <t xml:space="preserve">2b. Kết quả thực thi Test Case</t>
  </si>
  <si>
    <t xml:space="preserve">Kết quả TC theo Status (từ sheet Test Cases)</t>
  </si>
  <si>
    <t xml:space="preserve">Chưa thực hiện</t>
  </si>
  <si>
    <t xml:space="preserve">3. Bug Severity</t>
  </si>
  <si>
    <t xml:space="preserve">Bug Severity</t>
  </si>
  <si>
    <t xml:space="preserve">Mức độ</t>
  </si>
  <si>
    <t xml:space="preserve">Thang điểm</t>
  </si>
  <si>
    <t xml:space="preserve">Critical Bug</t>
  </si>
  <si>
    <t xml:space="preserve">Major Bug</t>
  </si>
  <si>
    <t xml:space="preserve">Medium Bug</t>
  </si>
  <si>
    <t xml:space="preserve">Low Bug</t>
  </si>
  <si>
    <t xml:space="preserve">Suggest Bug</t>
  </si>
  <si>
    <t xml:space="preserve">Thang điểm: Critical=20, Major=10, Medium=5, Low=2.</t>
  </si>
  <si>
    <t xml:space="preserve">PHẦN B — CHI TIẾT QC</t>
  </si>
  <si>
    <t xml:space="preserve">4. Bug Resolution</t>
  </si>
  <si>
    <t xml:space="preserve">Bug Resolution</t>
  </si>
  <si>
    <t xml:space="preserve">Resolution</t>
  </si>
  <si>
    <t xml:space="preserve">Fixed</t>
  </si>
  <si>
    <t xml:space="preserve">Won't fix</t>
  </si>
  <si>
    <t xml:space="preserve">Chưa xác định</t>
  </si>
  <si>
    <t xml:space="preserve">5. Bug Won't fix By Reason</t>
  </si>
  <si>
    <t xml:space="preserve">Bug Won't fix By Reason</t>
  </si>
  <si>
    <t xml:space="preserve">Mã</t>
  </si>
  <si>
    <t xml:space="preserve">Lý do</t>
  </si>
  <si>
    <t xml:space="preserve">1.1</t>
  </si>
  <si>
    <t xml:space="preserve">QC miss thông tin/ nghiệp vụ</t>
  </si>
  <si>
    <t xml:space="preserve">1.2</t>
  </si>
  <si>
    <t xml:space="preserve">QC post trùng bug</t>
  </si>
  <si>
    <t xml:space="preserve">1.3</t>
  </si>
  <si>
    <t xml:space="preserve">QC không tái hiện được Bug</t>
  </si>
  <si>
    <t xml:space="preserve">2.1</t>
  </si>
  <si>
    <t xml:space="preserve">BA miss luồng</t>
  </si>
  <si>
    <t xml:space="preserve">2.2</t>
  </si>
  <si>
    <t xml:space="preserve">BA thiếu/ sai nghiệp vụ</t>
  </si>
  <si>
    <t xml:space="preserve">3.1</t>
  </si>
  <si>
    <t xml:space="preserve">Dev không sửa do Ngoài scope dự án</t>
  </si>
  <si>
    <t xml:space="preserve">3.2</t>
  </si>
  <si>
    <t xml:space="preserve">Dev không fix do Phụ thuộc thông tin các bên liên quan ngoài ISC</t>
  </si>
  <si>
    <t xml:space="preserve">3.3</t>
  </si>
  <si>
    <t xml:space="preserve">Dev không fix do Điều kiện test không đáp ứng (Môi trường, cấu hình, dữ liệu, thiết bị,...)</t>
  </si>
  <si>
    <t xml:space="preserve">3.4</t>
  </si>
  <si>
    <t xml:space="preserve">Dev miss thông tin</t>
  </si>
  <si>
    <t xml:space="preserve">4.1</t>
  </si>
  <si>
    <t xml:space="preserve">PM/PMO CR, QC không nhận thông tin</t>
  </si>
  <si>
    <t xml:space="preserve">6. Defect Type</t>
  </si>
  <si>
    <t xml:space="preserve">Defect Type</t>
  </si>
  <si>
    <t xml:space="preserve">Loại</t>
  </si>
  <si>
    <t xml:space="preserve">SL</t>
  </si>
  <si>
    <t xml:space="preserve">Data</t>
  </si>
  <si>
    <t xml:space="preserve">Interface</t>
  </si>
  <si>
    <t xml:space="preserve">Logic</t>
  </si>
  <si>
    <t xml:space="preserve">Requirement</t>
  </si>
  <si>
    <t xml:space="preserve">Server</t>
  </si>
  <si>
    <t xml:space="preserve">Other</t>
  </si>
  <si>
    <t xml:space="preserve">7. Effect</t>
  </si>
  <si>
    <t xml:space="preserve">Effect</t>
  </si>
  <si>
    <t xml:space="preserve">Functionality</t>
  </si>
  <si>
    <t xml:space="preserve">Performance</t>
  </si>
  <si>
    <t xml:space="preserve">Security</t>
  </si>
  <si>
    <t xml:space="preserve">Serviceability</t>
  </si>
  <si>
    <t xml:space="preserve">Usability</t>
  </si>
  <si>
    <t xml:space="preserve">8. Bug Rework</t>
  </si>
  <si>
    <t xml:space="preserve">Bug Rework</t>
  </si>
  <si>
    <t xml:space="preserve">Số lần rework</t>
  </si>
  <si>
    <t xml:space="preserve">1-2 lần</t>
  </si>
  <si>
    <t xml:space="preserve">3-5 lần</t>
  </si>
  <si>
    <t xml:space="preserve">6-7 lần</t>
  </si>
  <si>
    <t xml:space="preserve">8-10 lần</t>
  </si>
  <si>
    <t xml:space="preserve">III. SDLC / AUTOMATION METRICS</t>
  </si>
  <si>
    <t xml:space="preserve">Chỉ số SDLC &amp; Automation</t>
  </si>
  <si>
    <t xml:space="preserve">TC sinh bởi AI (AI-generated)</t>
  </si>
  <si>
    <t xml:space="preserve">TC do QC viết tay</t>
  </si>
  <si>
    <t xml:space="preserve">TC đã automation (có script)</t>
  </si>
  <si>
    <t xml:space="preserve">TC Vibe-test</t>
  </si>
  <si>
    <t xml:space="preserve">TC đã QC review</t>
  </si>
  <si>
    <t xml:space="preserve">Bug do AI phát hiện (nhập tay)</t>
  </si>
  <si>
    <t xml:space="preserve">Ô vàng = nhập tay; các % tự tính trên Tổng TC. % Bug do AI = Bug do AI phát hiện / Tổng số Bug.</t>
  </si>
  <si>
    <t xml:space="preserve">IV. KẾT QUẢ THỰC THI THEO ROUND (Round-by-Round)</t>
  </si>
  <si>
    <t xml:space="preserve">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</si>
  <si>
    <t xml:space="preserve">Bảng kết quả theo Round (số liệu gom tự động từ Dashboard)</t>
  </si>
  <si>
    <t xml:space="preserve">Round</t>
  </si>
  <si>
    <t xml:space="preserve">Thời gian</t>
  </si>
  <si>
    <t xml:space="preserve">Coverage%</t>
  </si>
  <si>
    <t xml:space="preserve">Pass rate</t>
  </si>
  <si>
    <t xml:space="preserve">Phạm vi / Chức năng test</t>
  </si>
  <si>
    <t xml:space="preserve">Round 1</t>
  </si>
  <si>
    <t xml:space="preserve">Toàn bộ chức năng</t>
  </si>
  <si>
    <t xml:space="preserve">Round 2</t>
  </si>
  <si>
    <t xml:space="preserve">Round 3</t>
  </si>
  <si>
    <t xml:space="preserve">Round 4</t>
  </si>
  <si>
    <t xml:space="preserve">Round 5</t>
  </si>
  <si>
    <t xml:space="preserve">Cuối (Final)</t>
  </si>
  <si>
    <t xml:space="preserve">Xu hướng Bug theo Round (phát hiện vs đã đóng)</t>
  </si>
  <si>
    <t xml:space="preserve">Phát hiện</t>
  </si>
  <si>
    <t xml:space="preserve">Đã đóng</t>
  </si>
  <si>
    <t xml:space="preserve">Phát hiện = đếm cột T `Round` (round PHÁT HIỆN bug) · Đã đóng = đếm cột U `Round closed bug` (round ĐÓNG bug) ⇒ bug tìm ở R1 mà fix xong ở R3 vào Phát hiện R1 + Đã đóng R3, KHÔNG cộng cả hai vào R1. Total Phát hiện = số bug có Round (phải khớp Tổng số Bug ở mục 1) · Total Đã đóng = số bug đã đóng có điền Round closed bug — chênh lệch 2 Total = bug còn nợ; bug chưa đóng để TRỐNG cột U.</t>
  </si>
  <si>
    <t xml:space="preserve">Key</t>
  </si>
  <si>
    <t xml:space="preserve">Type</t>
  </si>
  <si>
    <t xml:space="preserve">Summary</t>
  </si>
  <si>
    <t xml:space="preserve">Bug Status</t>
  </si>
  <si>
    <t xml:space="preserve">Priority (Jira)</t>
  </si>
  <si>
    <t xml:space="preserve">Assignee</t>
  </si>
  <si>
    <t xml:space="preserve">Reporter</t>
  </si>
  <si>
    <t xml:space="preserve">Created</t>
  </si>
  <si>
    <t xml:space="preserve">Resolved</t>
  </si>
  <si>
    <t xml:space="preserve">Fix Version</t>
  </si>
  <si>
    <t xml:space="preserve">Severity</t>
  </si>
  <si>
    <t xml:space="preserve">Function</t>
  </si>
  <si>
    <t xml:space="preserve">Won't Fix Reason</t>
  </si>
  <si>
    <t xml:space="preserve">Defect</t>
  </si>
  <si>
    <t xml:space="preserve">Rework number</t>
  </si>
  <si>
    <t xml:space="preserve">Round closed bug</t>
  </si>
  <si>
    <t xml:space="preserve">Danh mục Won't Fix Reason (nguồn dropdown cột P)</t>
  </si>
  <si>
    <t xml:space="preserve">HƯỚNG DẪN IMPORT TỪ JIRA</t>
  </si>
  <si>
    <t xml:space="preserve">1.1 QC miss thông tin/ nghiệp vụ</t>
  </si>
  <si>
    <t xml:space="preserve">① KHỐI JIRA (cột A–K, nền vàng): export/CSV từ Jira rồi dán trực tiếp bắt đầu ô A2.</t>
  </si>
  <si>
    <t xml:space="preserve">1.2 QC post trùng bug</t>
  </si>
  <si>
    <t xml:space="preserve">   • Board dự án: foxproject.atlassian.net (project key IP). Mỗi round = 1 Sprint.</t>
  </si>
  <si>
    <t xml:space="preserve">1.3 QC không tái hiện được Bug</t>
  </si>
  <si>
    <t xml:space="preserve">   • A Key, B Type, C Summary, D Bug Status, E Priority, F Assignee, G Reporter,</t>
  </si>
  <si>
    <t xml:space="preserve">2.1 BA miss luồng</t>
  </si>
  <si>
    <t xml:space="preserve">     H Created, I Resolved, J Fix Version, K Sprint — khớp cột export mặc định của Jira.</t>
  </si>
  <si>
    <t xml:space="preserve">2.2 BA thiếu/ sai nghiệp vụ</t>
  </si>
  <si>
    <t xml:space="preserve">② KHỐI QC PHÂN TÍCH (cột L–U, nền cam): QC tự điền, là nguồn cho biểu đồ sheet Report Test.</t>
  </si>
  <si>
    <t xml:space="preserve">3.1 Dev không sửa do Ngoài scope dự án</t>
  </si>
  <si>
    <t xml:space="preserve">   • L Severity (20=Critical,10=Major,5=Medium,2=Low) — map từ Priority/field Severity của Jira.</t>
  </si>
  <si>
    <t xml:space="preserve">3.2 Dev không fix do Phụ thuộc thông tin các bên liên quan ngoài ISC</t>
  </si>
  <si>
    <t xml:space="preserve">   • D Bug Status: GIỮ NGUYÊN status của board Jira (không gom nhóm, không có cột status thứ 2). Report Test §1a/§1b đếm theo từng trạng thái này.</t>
  </si>
  <si>
    <t xml:space="preserve">3.3 Dev không fix do Điều kiện test không đáp ứng (Môi trường, cấu hình, dữ liệu, thiết bị,...)</t>
  </si>
  <si>
    <t xml:space="preserve">   • T Round: round PHÁT HIỆN bug (1..5) — map từ Sprint (K). Là nguồn cột 'Phát hiện' của biểu đồ Xu hướng Bug theo Round (Report Test §IV).</t>
  </si>
  <si>
    <t xml:space="preserve">3.4 Dev miss thông tin</t>
  </si>
  <si>
    <t xml:space="preserve">   • U Round closed bug: round ĐÓNG bug (1..5) — điền khi bug đã đóng, để trống nếu chưa. Là nguồn cột 'Đã đóng' của biểu đồ đó: bug tìm ở R1 mà fix xong ở R3 thì T=1, U=3 (KHÔNG phải U=1).</t>
  </si>
  <si>
    <t xml:space="preserve">4.1 PM/PMO CR, QC không nhận thông tin</t>
  </si>
  <si>
    <t xml:space="preserve">   • P Won't Fix Reason: chọn theo danh mục (mã + lý do) ở cột Y.</t>
  </si>
  <si>
    <t xml:space="preserve">③ 13 dòng mẫu nền vàng/cam: xoá khi dùng dữ liệu thật. Chỉ dán vào khối Jira, khối QC điền tay.</t>
  </si>
  <si>
    <t xml:space="preserve">Ghi chú: mapping theo cấu trúc export chuẩn của Jira; nếu dự án dùng custom field (Severity, Sprint) có thể chỉnh cột tương ứng.</t>
  </si>
  <si>
    <t xml:space="preserve">RTM — MA TRẬN TRUY VẾT YÊU CẦU (Requirement Traceability Matrix)</t>
  </si>
  <si>
    <t xml:space="preserve">Mỗi dòng = 1 yêu cầu (Req ID) ĐÃ CÓ test case — REQ out-scope / chốt không làm không liệt kê ở đây. Số liệu tự đếm từ các sheet Test Case.</t>
  </si>
  <si>
    <t xml:space="preserve">Req ID</t>
  </si>
  <si>
    <t xml:space="preserve">Yêu cầu (mô tả)</t>
  </si>
  <si>
    <t xml:space="preserve">Nguồn (DOC)</t>
  </si>
  <si>
    <t xml:space="preserve">% phủ</t>
  </si>
  <si>
    <t xml:space="preserve">REQ-ACT-001</t>
  </si>
  <si>
    <t xml:space="preserve">Nguồn (v1.0) — `DOC-v1.0-02 §3.7` + `KP-01 §3 KB-ORD-07` (quan sát app 2026-07-27): "Màn Hoạt động có 2 tab: **Đang diễn ra** / **Đã hoàn thành**.</t>
  </si>
  <si>
    <t xml:space="preserve">DOC-v1.1-01 §8.17.1 EMP-05 / EMP-06 · trang 51</t>
  </si>
  <si>
    <t xml:space="preserve">REQ-ACT</t>
  </si>
  <si>
    <t xml:space="preserve">REQ-ACT-004</t>
  </si>
  <si>
    <t xml:space="preserve">Nguồn (v1.0) — `DOC-v1.0-02 §3.7 đoạn 3` + `DOC-v1.0-01 §D1b US-D04 L166`: "Tab 'Đã hoàn thành' liệt kê các đơn đã kết thúc.</t>
  </si>
  <si>
    <t xml:space="preserve">DOC-v1.1-01 §6.2 AC-24.2.01 · trang 25</t>
  </si>
  <si>
    <t xml:space="preserve">REQ-ASN</t>
  </si>
  <si>
    <t xml:space="preserve">REQ-ACT-005</t>
  </si>
  <si>
    <t xml:space="preserve">Nguồn (v1.0) — `DOC-v1.0-06 KP-01 §3 KB-ORD-07 (#4,#6)` (quan sát app): card "Hết hạn" **có** lý do, nhưng **chuỗi lý do lấy từ màn hình**, không từ tài liệu.</t>
  </si>
  <si>
    <t xml:space="preserve">DOC-v1.1-01 §8.5.1 BR05-03 · trang 38</t>
  </si>
  <si>
    <t xml:space="preserve">REQ-CNL</t>
  </si>
  <si>
    <t xml:space="preserve">REQ-ACT-008</t>
  </si>
  <si>
    <t xml:space="preserve">Nguồn (v1.0) — `DOC-v1.0-06 KP-02 §5 dòng C-ORD-06`: text empty state **chưa chốt** — từng Resolved 2026-07-28 rồi **REVERT** 2026-07-29 vì chốt không kèm bằng chứng.</t>
  </si>
  <si>
    <t xml:space="preserve">DOC-v1.1-01 §8.17.1 bảng Danh mục empty state, dòng EMP-05 / EMP-06 · trang 51</t>
  </si>
  <si>
    <t xml:space="preserve">REQ-DLV</t>
  </si>
  <si>
    <t xml:space="preserve">REQ-ACT-009</t>
  </si>
  <si>
    <t xml:space="preserve">Nguồn (v1.0) — `DOC-v1.0-02 §3.7 đoạn 3` + `KP-01 §6 KB-GIFT-02`, gắn `C-GIFT-01` Resolved *"Out of scope **v1.0**"* ⇒ SC chỉ **ghi nhận**.</t>
  </si>
  <si>
    <t xml:space="preserve">DOC-v1.1-01 §8.14.1 BR14-03 · trang 49</t>
  </si>
  <si>
    <t xml:space="preserve">REQ-FEED</t>
  </si>
  <si>
    <t xml:space="preserve">REQ-ACT-010</t>
  </si>
  <si>
    <t xml:space="preserve">Nguồn #1 — BR17-01..03 (§8.17.2, trang 51): "BR17-01 | Mỗi empty state gồm: icon nét mảnh màu neutral + một dòng tiêu đề + một dòng giải thích + tối đa một CTA." "BR17-02 | Không dùng ảnh minh hoạ nặng; không hiện skeleton vô hạn — phân biệt rõ đang tải và không có dữ liệu." "BR17-03 | Empty state không được che thanh tab dưới và vẫn cuộn được.</t>
  </si>
  <si>
    <t xml:space="preserve">DOC-v1.1-01 §8.17.2 BR17-01..03 · trang 51</t>
  </si>
  <si>
    <t xml:space="preserve">REQ-GIFT</t>
  </si>
  <si>
    <t xml:space="preserve">REQ-ASN-003</t>
  </si>
  <si>
    <t xml:space="preserve">BR03-02 | Ghép ngay khi người vận chuyển bấm nhận — không có bước chủ tin duyệt. Một tin chỉ có một cặp ghép active; ghép cho người bấm đầu tiên, chống double-accept bằng khoá giao dịch." "NFR-06 | Data Integrity | Một tin chỉ tồn tại một cặp ghép active; tỷ lệ ghép trùng = 0% dưới điều kiện 50 request đồng thời trên cùng một tin | Cách đo: Concurrency test trên staging</t>
  </si>
  <si>
    <t xml:space="preserve">DOC-v1.1-01 §8.3 "FR03" BR03-02 · page 37</t>
  </si>
  <si>
    <t xml:space="preserve">REQ-HOME</t>
  </si>
  <si>
    <t xml:space="preserve">REQ-ASN-005</t>
  </si>
  <si>
    <t xml:space="preserve">NFR-08 | Consistency | Ba vai trò thấy cùng một trạng thái đơn trong ≤ 5 giây sau khi trạng thái đổi | Cách đo: Integration test đa thiết bị</t>
  </si>
  <si>
    <t xml:space="preserve">DOC-v1.1-01 §9 NFR-08 · page 53</t>
  </si>
  <si>
    <t xml:space="preserve">REQ-NTF</t>
  </si>
  <si>
    <t xml:space="preserve">REQ-ASN-007</t>
  </si>
  <si>
    <t xml:space="preserve">Nguồn v1.0 (`DOC-v1.0-06` KP-01 §4 `KB-ASN-04`): "= trùng địa chỉ giao hàng đã chọn + khung giờ phù hợp. KHÔNG dùng bán kính GPS / khoảng cách địa lý." · "🔴 Còn thiếu: "khung giờ phù hợp" là trùng hoàn toàn hay có độ lệch cho phép? Chu kỳ quét khớp?</t>
  </si>
  <si>
    <t xml:space="preserve">DOC-v1.1-01 §8.4 "FR04 — Khớp tuyến OFFER ↔ NEED" · Business Rules · page 38</t>
  </si>
  <si>
    <t xml:space="preserve">REQ-ORD</t>
  </si>
  <si>
    <t xml:space="preserve">REQ-ASN-008</t>
  </si>
  <si>
    <t xml:space="preserve">`DOC-v1.0-06` KP-01 §4 `KB-ASN-03`: "Không phải "5 thông báo/ngày" cộng dồn — tính riêng theo từng tin.</t>
  </si>
  <si>
    <t xml:space="preserve">DOC-v1.1-01 §8.4 "FR04 — Khớp tuyến OFFER ↔ NEED" BR04-04 · page 38</t>
  </si>
  <si>
    <t xml:space="preserve">REQ-TS</t>
  </si>
  <si>
    <t xml:space="preserve">REQ-ASN-009</t>
  </si>
  <si>
    <t xml:space="preserve">`DOC-v1.0-01` §D7 `OPR-04` L340: "Sắp xếp theo độ gần tuyến → thời gian đăng (mới trước)" — Analyst Note v1.0 kết luận "độ gần tuyến là nhị phân nên không còn thang để sắp xếp ⇒ tiêu chí duy nhất kiểm chứng được là thời gian đăng".</t>
  </si>
  <si>
    <t xml:space="preserve">DOC-v1.1-01 §8.3 "FR03 — Ghép nối &amp; lộ liên hệ" BR03-06 · page 37</t>
  </si>
  <si>
    <t xml:space="preserve">REQ-USR</t>
  </si>
  <si>
    <t xml:space="preserve">REQ-ASN-013</t>
  </si>
  <si>
    <t xml:space="preserve">NFR-11 | Security | Tin OFFER không truy cập được trực tiếp; mọi request đọc tin OFFER bởi người dùng không phải chủ tin phải bị chặn lỗi và ghi audit log | Cách đo: Security test</t>
  </si>
  <si>
    <t xml:space="preserve">DOC-v1.1-01 §9 NFR-11 · page 54</t>
  </si>
  <si>
    <t xml:space="preserve">REQ-CNL-002</t>
  </si>
  <si>
    <t xml:space="preserve">Nguồn (v1.0) — `DOC-v1.0-01 §D8.3 VAL-04 · L395`: "Huỷ đơn: bắt buộc lý do ≥ 5 ký tự mới bật nút xác nhận.</t>
  </si>
  <si>
    <t xml:space="preserve">DOC-v1.1-01 §8.18.2 VAL-03/VAL-04 · trang 52</t>
  </si>
  <si>
    <t xml:space="preserve">REQ-CNL-003</t>
  </si>
  <si>
    <t xml:space="preserve">Nguồn (v1.0) — `DOC-v1.0-01 §D7 OPR-11 · L347`: "Sau khi người vận chuyển đã nhận hàng (IN_TRANSIT) thì KHÔNG ai được huỷ đơn thường.</t>
  </si>
  <si>
    <t xml:space="preserve">DOC-v1.1-01 §8.11 dòng Pre-Conditions · trang 44</t>
  </si>
  <si>
    <t xml:space="preserve">REQ-CNL-007</t>
  </si>
  <si>
    <t xml:space="preserve">Nguồn (v1.0) — `DOC-v1.0-01 §D2 · L233` (`[INCIDENT]` có tên trong sơ đồ vòng đời nhưng không mô tả field/màn) ⇒ `C-CNL-01` Resolved: *"Out of scope v1.0 (chưa có đặc tả field)"*.</t>
  </si>
  <si>
    <t xml:space="preserve">DOC-v1.1-01 §8.16 "FR16 — Báo cáo sự cố &amp; hỗ trợ" · trang 50</t>
  </si>
  <si>
    <t xml:space="preserve">REQ-CNL-006</t>
  </si>
  <si>
    <t xml:space="preserve">Nguồn (v1.0) — `DOC-v1.0-06 KP-01 §7 KB-CNL-01` (live-verify 2026-07-29) + `C-CNL-02` Resolved-override 2026-07-30: "Huỷ đơn không ghi log nào, chỉ hiện banner đỏ. Huỷ nhận đơn XOÁ dòng 'Ghép thành công' khỏi LỊCH SỬ.</t>
  </si>
  <si>
    <t xml:space="preserve">DOC-v1.1-01 §8.11.1 BR11-02 / BR11-03 · trang 44</t>
  </si>
  <si>
    <t xml:space="preserve">REQ-CNL-008</t>
  </si>
  <si>
    <t xml:space="preserve">Nguồn #1 — AC-25.2.01 (§6.2, trang 26): "Given: Đơn ở IN_TRANSIT hoặc muộn hơn. When: Bất kỳ vai trò nào mở màn theo dõi đơn. Then: Không còn thao tác huỷ đơn thường cho bất kỳ ai. Chỉ còn hai đường: hoàn hàng (RETURNING) hoặc báo sự cố (INCIDENT). Đơn ở INCIDENT không tự về COMPLETED, phải qua admin hỗ trợ.</t>
  </si>
  <si>
    <t xml:space="preserve">DOC-v1.1-01 §6.2 AC-25.2.01 "Sau khi hàng đã lên đường" · trang 26</t>
  </si>
  <si>
    <t xml:space="preserve">REQ-CNL-009</t>
  </si>
  <si>
    <t xml:space="preserve">Nguồn — FR11 Actor (§8.11, trang 44): "Người gửi · Người vận chuyển · Người nhận · Admin vận hành</t>
  </si>
  <si>
    <t xml:space="preserve">DOC-v1.1-01 §8.11 dòng Actor · trang 44</t>
  </si>
  <si>
    <t xml:space="preserve">REQ-DLV-002</t>
  </si>
  <si>
    <t xml:space="preserve">RESCHEDULED | Xem lịch hẹn giao lại | Giao lại theo lịch (mở lại màn giao hàng) | Xem lịch hẹn" "RETURNING | 'Xác nhận đã nhận lại hàng' · xem lịch hẹn | Xem lịch hẹn trả hàng | Xem lý do hoàn hàng" "RETURNED · CANCELLED · EXPIRED | Xem lý do · đăng lại | Xem lý do | Xem lý do</t>
  </si>
  <si>
    <t xml:space="preserve">DOC-v1.1-01 §8.12.3 "Hành động khả dụng theo trạng thái" · trang 45-46</t>
  </si>
  <si>
    <t xml:space="preserve">REQ-DLV-007</t>
  </si>
  <si>
    <t xml:space="preserve">BR10-04 | Đơn có báo cáo sự cố (INCIDENT) không tự chuyển về COMPLETED — phải qua admin hỗ trợ dựa trên nhật ký và ảnh.</t>
  </si>
  <si>
    <t xml:space="preserve">DOC-v1.1-01 §8.10.1 "FR10" BR10-04 · trang 43</t>
  </si>
  <si>
    <t xml:space="preserve">REQ-DLV-012</t>
  </si>
  <si>
    <t xml:space="preserve">BR06-01 | Ảnh lúc lấy hàng là tuỳ chọn nhưng được khuyến nghị mạnh; tối đa 5 ảnh.</t>
  </si>
  <si>
    <t xml:space="preserve">DOC-v1.1-01 §8.6.1 "FR06" BR06-01 · trang 38</t>
  </si>
  <si>
    <t xml:space="preserve">REQ-DLV-017</t>
  </si>
  <si>
    <t xml:space="preserve">Description (§8.7): "Ghi nhận việc bàn giao hàng với đối tượng nhận rõ ràng và bằng chứng ảnh bắt buộc, phục vụ truy vết và xử lý tranh chấp."  BR07-01: "Bắt buộc chọn 1 trong 4 đối tượng nhận: Người nhận · Người được uỷ quyền · Quầy lễ tân · Quầy bảo vệ." BR07-02: "Ảnh khi giao là bắt buộc ≥ 1 (tối đa 5) cho mọi kết cục giao; nút xác nhận vô hiệu hoá đến khi đủ ảnh." BR07-03: "Với ba lựa chọn khác 'Người nhận': tên người nhận thay là bắt buộc (2–60 ký tự), số điện thoại là khuyến nghị. Quầy lễ tân/bảo vệ vẫn phải nhập tên người trực — không cho ghi chung chung." BR07-04: "Người nhận uỷ quyền do người gửi chỉ định lúc đăng tin, hoặc do người nhận / người gửi chỉ định tại hiện trường; ứng dụng luôn ghi rõ ai uỷ quyền. Người vận chuyển không tự chọn người nhận thay." BR07-05: "Trường 'Uỷ quyền bởi' tự sinh: 'Người nhận' khi đến từ màn Xác nhận giao hàng, 'Người gửi' khi đến từ màn Liên hệ người gửi. Chỉ đọc." BR07-06: "Mọi thao tác ghi mốc không thể hoàn tác đều qua popup xác nhận nêu rõ hệ quả trước khi ghi." BR07-07: "Ảnh bằng chứng không xoá được sau khi đơn đã ghi mốc (phục vụ truy vết).</t>
  </si>
  <si>
    <t xml:space="preserve">DOC-v1.1-01 §8.7 "FR07", §8.7.1 BR07-01..07, §8.7.3 UI/Field Spec · trang 39-41</t>
  </si>
  <si>
    <t xml:space="preserve">REQ-DLV-018</t>
  </si>
  <si>
    <t xml:space="preserve">Description: "Cung cấp đường xử lý chuẩn khi người vận chuyển tới nơi mà không liên lạc được người nhận, thay vì để họ tự quyết định."  BR08-01: "Người vận chuyển không được tự ý để hàng ở nơi khác mà không đi qua luồng này." BR08-02: "Thứ tự ưu tiên xử lý (màn hình sắp xếp đúng thứ tự này): (1) giao cho người uỷ quyền người gửi đã khai sẵn → (2) liên hệ người gửi xin uỷ quyền người khác → (3) gửi quầy lễ tân/chốt bảo vệ → (4) cầm hàng về." BR08-03: "Màn 'Liên hệ người gửi': ô tên và số điện thoại người nhận thay để trống (không prefill), dòng 'Uỷ quyền bởi: Người gửi', ảnh bắt buộc; hiển thị số điện thoại người gửi có thể bấm gọi." BR08-04: "Hai phương án gửi quầy: bắt buộc ≥ 1 ảnh và tên người trực quầy, ghi chú tuỳ chọn, có popup xác nhận trước khi ghi." BR08-05: "Đơn có cờ không liên lạc được người nhận thì hiện cảnh báo trong nhật ký cho cả ba bên." BR08-06: "Thời hạn giữ hàng tại quầy: nhắc người nhận sau 4 giờ và cuối ngày; sau 24 giờ chưa xác nhận thì chuyển admin hỗ trợ." BR08-07: "Nếu không có ai ở quầy để ghi tên thì không xác nhận được — buộc chuyển sang 'Cầm hàng về'.</t>
  </si>
  <si>
    <t xml:space="preserve">DOC-v1.1-01 §8.8 "FR08", §8.8.1 BR08-01..07, §8.8.2 UI/Field Spec · trang 41-42</t>
  </si>
  <si>
    <t xml:space="preserve">REQ-DLV-019</t>
  </si>
  <si>
    <t xml:space="preserve">Description: "Khi không giao được, người vận chuyển cầm hàng về và hẹn lịch rõ ràng: giao lại sau, hoặc trả hàng về cho người gửi. Đơn không bị huỷ."  BR09-01: "'Cầm hàng về' không phải huỷ đơn — đơn vẫn sống ở RESCHEDULED/RETURNING và bắt buộc có lịch hẹn." BR09-02: "Bắt buộc chọn chế độ: giao lại sau (`retry`) hoặc trả về người gửi (`return`)." BR09-03: "Lịch hẹn dùng giờ chính xác (không dùng buổi)... giờ đến &gt; giờ từ, tối thiểu 30 phút." BR09-04: "Lịch hẹn phải trong vòng 7 ngày kể từ ngày cầm hàng về; quá lịch hẹn 24 giờ mà đơn chưa đóng thì chuyển admin hỗ trợ." BR09-05: "Chế độ `retry`: theo lịch hẹn, đơn quay lại IN_TRANSIT và người vận chuyển giao lại theo FR07." BR09-06: "Chế độ `return`: người gửi bấm 'Xác nhận đã nhận lại hàng' → RETURNED. Đơn RETURNED không mở bước tặng quà và không cộng vào 'Đơn đã giúp' của người vận chuyển, nhưng vẫn nằm trong lịch sử đơn." BR09-07: "Người nhận từ chối nhận hàng: người vận chuyển chọn chế độ `return`, ghi lý do vào ghi chú.</t>
  </si>
  <si>
    <t xml:space="preserve">DOC-v1.1-01 §8.9 "FR09", §8.9.1 BR09-01..07, §8.9.2 UI/Field Spec · trang 42-43</t>
  </si>
  <si>
    <t xml:space="preserve">REQ-DLV-020</t>
  </si>
  <si>
    <t xml:space="preserve">Giao tận tay người nhận → 'Đã giao tận tay người nhận'" "Giao cho người được uỷ quyền → 'Đã giao cho người được uỷ quyền — {tên · SĐT} — uỷ quyền bởi {người gửi/người nhận}'" "Gửi quầy lễ tân → 'Đã gửi tại quầy lễ tân — {tên người trực quầy}'" "Gửi quầy/chốt bảo vệ → 'Đã gửi tại quầy bảo vệ — {tên người trực}'" "Cầm hàng về, hẹn giao lại → 'Cầm hàng về — hẹn giao lại {ngày · giờ · nơi hẹn}'" "Trả về người gửi → 'Đã trả lại người gửi'" "Mọi dòng | Kèm thời điểm, cờ 'không liên lạc được người nhận' (nếu có) và dấu hiệu 'có ảnh bằng chứng'.</t>
  </si>
  <si>
    <t xml:space="preserve">DOC-v1.1-01 §8.12.4 "Nội dung dòng nhật ký theo kết cục giao" · trang 46</t>
  </si>
  <si>
    <t xml:space="preserve">REQ-DLV-021</t>
  </si>
  <si>
    <t xml:space="preserve">BR12-01: "Chỉ được đi theo chuyển tiếp hợp lệ ở bảng 8.12.2 — mọi request sai trạng thái bị từ chối và không ghi mốc." BR12-02: "Không nhảy bậc: không DELIVERED khi chưa IN_TRANSIT, không COMPLETED khi chưa DELIVERED." BR12-03: "Mỗi lần đổi trạng thái ghi: trạng thái cũ → mới, actor, thời điểm, ảnh kèm — không sửa, không xoá được." BR12-07: "Admin có quyền can thiệp hỗ trợ dựa trên nhật ký; mọi can thiệp cũng được ghi nhật ký.</t>
  </si>
  <si>
    <t xml:space="preserve">DOC-v1.1-01 §8.12.1 "FR12" BR12-01, BR12-02, BR12-03, BR12-07 · trang 44-45</t>
  </si>
  <si>
    <t xml:space="preserve">REQ-DLV-022</t>
  </si>
  <si>
    <t xml:space="preserve">NFR-03 | Performance | "Tải 5 ảnh bằng chứng (mỗi ảnh ≤ 5MB) hoàn tất &lt; 15 giây (p95) trên 4G; có chỉ báo tiến trình và cho phép thử lại từng ảnh." | Cách đo: "Test trên thiết bị thật + APM." NFR-07 | Data Integrity | "Bản ghi nhật ký đơn là chỉ-thêm (append-only): không API nào cho phép sửa hoặc xoá bản ghi và ảnh bằng chứng đã ghi." | Cách đo: "Code review + security test." NFR-12 | Privacy | "Dữ liệu người nhận thay (tên · số điện thoại) chỉ dùng làm bằng chứng bàn giao; không xuất hiện ở bất kỳ báo cáo/thống kê nào ngoài nhật ký đơn." | Cách đo: "Code review + kiểm tra báo cáo.</t>
  </si>
  <si>
    <t xml:space="preserve">DOC-v1.1-01 §9 "Non-Functional Requirements" · NFR-03, NFR-07, NFR-12 · trang 53-54</t>
  </si>
  <si>
    <t xml:space="preserve">REQ-DLV-023</t>
  </si>
  <si>
    <t xml:space="preserve">↪ *Quote `BR18-04` (icon copy) — home ở `../ORD-dang-tin/requirement_traceability.md` (không chép lại — tránh lặp home, health-check G-03 2026-09-17)*</t>
  </si>
  <si>
    <t xml:space="preserve">DOC-v1.1-01 §8.18.1 "FR18" BR18-04 · trang 52</t>
  </si>
  <si>
    <t xml:space="preserve">REQ-FEED-001</t>
  </si>
  <si>
    <t xml:space="preserve">DOC-v1.0-02</t>
  </si>
  <si>
    <t xml:space="preserve">REQ-FEED-004</t>
  </si>
  <si>
    <t xml:space="preserve">DOC-v1.0-01 · DOC-v1.0-02</t>
  </si>
  <si>
    <t xml:space="preserve">REQ-FEED-005</t>
  </si>
  <si>
    <t xml:space="preserve">REQ-FEED-009</t>
  </si>
  <si>
    <t xml:space="preserve">DOC-v1.1-01 · DOC-v1.0-06</t>
  </si>
  <si>
    <t xml:space="preserve">REQ-GIFT-001</t>
  </si>
  <si>
    <t xml:space="preserve">Nguồn (v1.0) — `DOC-v1.0-01 §D3 GIFT-01 · L258` + `§A7 L107-108`: "Người gửi tặng quà ảo cảm ơn người vận chuyển sau khi đơn hoàn thành. 4 loại quà phi vật chất.</t>
  </si>
  <si>
    <t xml:space="preserve">DOC-v1.1-01 §8.14.1 BR14-01 · trang 49</t>
  </si>
  <si>
    <t xml:space="preserve">REQ-GIFT-002</t>
  </si>
  <si>
    <t xml:space="preserve">Nguồn (v1.0) — `DOC-v1.0-01 §D4 BR-GIFT-01 · L271`: "Quà gửi một chiều, không cần người nhận xác nhận.</t>
  </si>
  <si>
    <t xml:space="preserve">DOC-v1.1-01 §8.14.1 BR14-02 · trang 49</t>
  </si>
  <si>
    <t xml:space="preserve">REQ-GIFT-004</t>
  </si>
  <si>
    <t xml:space="preserve">Nguồn (v1.0) — `DOC-v1.0-01 §D1b US-D20 · L196` + `KP-01 §6 KB-GIFT-03`: "Người vận chuyển xem 'Quà đã nhận'. (Có danh sách lịch sử hay chỉ card đếm — chưa rõ.)</t>
  </si>
  <si>
    <t xml:space="preserve">DOC-v1.1-01 §6.2 AC-26.1.01 · trang 27</t>
  </si>
  <si>
    <t xml:space="preserve">REQ-GIFT-007</t>
  </si>
  <si>
    <t xml:space="preserve">Nguồn (v1.0) — `DOC-v1.0-06 KP-02 §5 dòng C-ORD-06` ⇒ text empty state **chưa chốt** (từng Resolved 2026-07-28 rồi **REVERT** 2026-07-29 vì chốt không kèm bằng chứng).</t>
  </si>
  <si>
    <t xml:space="preserve">DOC-v1.1-01 §8.17.1 EMP-08 · trang 51</t>
  </si>
  <si>
    <t xml:space="preserve">REQ-GIFT-005</t>
  </si>
  <si>
    <t xml:space="preserve">Nguồn (v1.0) — `DOC-v1.0-01 §D3 RAT-01/02 · L256` ⇒ `C-GIFT-01` Resolved: *"Out of scope **v1.0**; v1.0 chỉ có Quà ảo"*.</t>
  </si>
  <si>
    <t xml:space="preserve">REQ-GIFT-009</t>
  </si>
  <si>
    <t xml:space="preserve">Nguồn #1 — FR14 Pre-Conditions (§8.14): "Đơn ở COMPLETED (đơn RETURNED không mở bước này)</t>
  </si>
  <si>
    <t xml:space="preserve">DOC-v1.1-01 §8.14 dòng Pre-Conditions · trang 48-49</t>
  </si>
  <si>
    <t xml:space="preserve">REQ-HOME-004</t>
  </si>
  <si>
    <t xml:space="preserve">[qua SC-HOME-008] `C-HOME-06` — "a. 0 / b. toàn hệ thống, người tham gia / c. realtime" (`CL-hoi-BA-v1.1.xlsx` sheet `HOME`)</t>
  </si>
  <si>
    <t xml:space="preserve">DOC-v1.1-01</t>
  </si>
  <si>
    <t xml:space="preserve">REQ-HOME-011</t>
  </si>
  <si>
    <t xml:space="preserve">US11: "Là Người vận chuyển, tôi muốn xem tối đa 5 tin cần gửi mới nhất trên trang chủ, để nhanh chóng thấy tin thuận tuyến mà không phải tìm."  AC-11.1.01 — Given: "Trong khu vực của người dùng có 12 tin NEED đang ở POSTED." — When: "Mở trang chủ." — Then: "Khối 'Tin mới' hiển thị đúng 5 tin mới nhất. Có nút 'Xem thêm trên Bảng tin'. Tin đã MATCHED, EXPIRED hoặc tin của chính người dùng không nằm trong danh sách gợi ý."  AC-11.2.01 — Given: "Không có tin NEED nào ở POSTED trong khu vực của người dùng." — When: "Mở trang chủ." — Then: "Khối 'Tin mới' hiển thị empty state: icon nét mảnh + 'Chưa có tin nào trong khu vực của bạn' + một dòng giải thích + đúng một CTA 'Đăng tin ngay'. Không hiện skeleton kéo dài; phân biệt rõ đang tải và không có dữ liệu.</t>
  </si>
  <si>
    <t xml:space="preserve">DOC-v1.1-01 §6.1 "Danh sách User Story" · US11 · trang 12</t>
  </si>
  <si>
    <t xml:space="preserve">REQ-HOME-012</t>
  </si>
  <si>
    <t xml:space="preserve">Description: "Đặc tả nội dung hiển thị khi chưa có dữ liệu, để người dùng mới hiểu cần làm gì thay vì tưởng ứng dụng bị lỗi."  §8.17.1 (bảng, 3 dòng liên quan Trang chủ): EMP-01 | Trang chủ — Tin mới | "Chưa có tin nào trong khu vực của bạn" + "Đăng tin để đồng nghiệp nhìn thấy nhu cầu của bạn" | CTA "Đăng tin ngay" EMP-02 | Trang chủ — Đơn của tôi | "Bạn chưa có đơn nào đang chạy" | CTA "Tạo đơn gửi hàng" EMP-03 | Trang chủ — Hero &amp; cộng đồng | Hero hiện "0 · Chưa có đóng góp nào"; cụm cộng đồng hiện "0 đơn · 0 người" | CTA "—"  BR17-01: "Mỗi empty state gồm: icon nét mảnh màu neutral + một dòng tiêu đề + một dòng giải thích + tối đa một CTA." BR17-02: "Không dùng ảnh minh hoạ nặng; không hiện skeleton vô hạn — phân biệt rõ đang tải và không có dữ liệu." BR17-03: "Empty state không được che thanh tab dưới và vẫn cuộn được.</t>
  </si>
  <si>
    <t xml:space="preserve">DOC-v1.1-01 §8.17 "FR17 — Trạng thái trống (Empty state)" · §8.17.1 "Danh mục empty state" · trang 51</t>
  </si>
  <si>
    <t xml:space="preserve">REQ-HOME-013</t>
  </si>
  <si>
    <t xml:space="preserve">NFR01 | Performance | "Bảng tin và trang chủ hiển thị nội dung đầu tiên &lt; 2 giây (p95) trên mạng 4G với 1.000 người dùng đồng thời." | Cách đo: "Load test trước go-live.</t>
  </si>
  <si>
    <t xml:space="preserve">DOC-v1.1-01 §9 "Non-Functional Requirements" · NFR01 · trang 53</t>
  </si>
  <si>
    <t xml:space="preserve">REQ-NTF-003</t>
  </si>
  <si>
    <t xml:space="preserve">NTF-06 | Người nhận "Xác nhận đã nhận hàng" (COMPLETED) | Người gửi · Người vận chuyển | "Đơn đã hoàn tất — cảm ơn bạn!"" (mâu thuẫn với `DOC-v1.0-06 KP-07` hàng #6 — Figma/PRD-demo ghi *"Đơn đã hoàn thành — đánh giá ngay"*)</t>
  </si>
  <si>
    <t xml:space="preserve">DOC-v1.1-01 §8.13.1 · page 48</t>
  </si>
  <si>
    <t xml:space="preserve">REQ-NTF-005</t>
  </si>
  <si>
    <t xml:space="preserve">SĐT chỉ lộ sau khi ghép, chỉ cho đúng 2 người trong cặp; không đưa SĐT vào nội dung push</t>
  </si>
  <si>
    <t xml:space="preserve">DOC-v1.1-01 §8.13.1 · page 47-48</t>
  </si>
  <si>
    <t xml:space="preserve">REQ-NTF-010</t>
  </si>
  <si>
    <t xml:space="preserve">Danh sách sự kiện bắn thông báo dựa trên flow &amp; màn hình hiện có của prototype. **Nháp — chờ BA review &amp; bổ sung.**</t>
  </si>
  <si>
    <t xml:space="preserve">DOC-v1.1-01 §8.13 · §8.13.1 · page 47-48</t>
  </si>
  <si>
    <t xml:space="preserve">REQ-NTF-012</t>
  </si>
  <si>
    <t xml:space="preserve">NTF-10 | Giao cho người được uỷ quyền | Người nhận · Người gửi | "Hàng đã được giao cho {tên người nhận thay} (uỷ quyền bởi {người gửi/người nhận}) — có ảnh bằng chứng""
"NTF-11 | Gửi tại quầy lễ tân / bảo vệ | Người nhận · Người gửi | "Hàng đang được giữ tại {quầy lễ tân/bảo vệ} — người giữ: {tên} — vui lòng nhận trong hôm nay""
"NTF-12 | Người vận chuyển không liên lạc được người nhận | Người gửi | "Người vận chuyển không liên lạc được người nhận — cần bạn xác nhận uỷ quyền cho người khác nhận hàng""
"NTF-13 | Người vận chuyển chọn hẹn giao lại (RESCHEDULED) | Người nhận · Người gửi | "Người vận chuyển sẽ giao lại vào {ngày · giờ} tại {nơi hẹn}""
"NTF-14 | Người vận chuyển chọn trả hàng về người gửi (RETURNING) | Người gửi · Người nhận | "Hàng được cầm về — vui lòng nhận lại vào {ngày · giờ} tại {nơi hẹn}""
"NTF-15 | Người gửi xác nhận đã nhận lại hàng (RETURNED) | Người vận chuyển · Người nhận | "Đơn đã đóng — hàng đã được trả lại người gửi</t>
  </si>
  <si>
    <t xml:space="preserve">REQ-ORD-003</t>
  </si>
  <si>
    <t xml:space="preserve">Nguồn (v1.0) — `DOC-v1.0-01 §D8.1 ORD-01 · L357` + `KP-01 §10.2/§10.3` (quan sát app): **3 nguồn cho 3 danh mục khác nhau**; app STG có 8 chip nhưng chip đầu là **"Giấy tờ, hồ sơ"**, ⛔ **không có chip "Tài liệu"**.</t>
  </si>
  <si>
    <t xml:space="preserve">DOC-v1.1-01 §8.1.4 UI/Field Spec, dòng "Loại hàng" · trang 35</t>
  </si>
  <si>
    <t xml:space="preserve">REQ-ORD-006</t>
  </si>
  <si>
    <t xml:space="preserve">Nguồn (v1.0) — `DOC-v1.0-01 §D8.1 dòng "Ảnh sản phẩm" · L360`: có field ảnh, **không nêu bắt buộc hay không**, không nêu trần.</t>
  </si>
  <si>
    <t xml:space="preserve">DOC-v1.1-01 §8.1.1 BR01-01 · trang 33</t>
  </si>
  <si>
    <t xml:space="preserve">REQ-ORD-007</t>
  </si>
  <si>
    <t xml:space="preserve">Nguồn (v1.0) — `KP-01 §10.5/§10.6/§10.10` (quan sát app): **địa chỉ lấy hàng KHÔNG được pre-fill** ⇒ `C-ORD-10` mở: *"bug hay tài khoản test chưa cấu hình?"*</t>
  </si>
  <si>
    <t xml:space="preserve">DOC-v1.1-01 §8.1.4 UI/Field Spec · trang 35</t>
  </si>
  <si>
    <t xml:space="preserve">REQ-ORD-010</t>
  </si>
  <si>
    <t xml:space="preserve">Nguồn (v1.0) — `DOC-v1.0-01 §D3 LOC-03 L246` + `KP-01 §3 KB-ORD-06` ⇒ `C-ORD-11` Open: *"preset 6 văn phòng / không chip gợi ý / autocomplete?"*</t>
  </si>
  <si>
    <t xml:space="preserve">DOC-v1.1-01 §8.1.4 dòng "Địa chỉ lấy hàng" · trang 35</t>
  </si>
  <si>
    <t xml:space="preserve">REQ-ORD-011</t>
  </si>
  <si>
    <t xml:space="preserve">Nguồn (v1.0) — `DOC-v1.0-01 §D8.1 L370-371`: có Từ ngày / Đến ngày, **không nêu trần khoảng ngày**.</t>
  </si>
  <si>
    <t xml:space="preserve">DOC-v1.1-01 §8.1.1 BR01-04 · trang 34</t>
  </si>
  <si>
    <t xml:space="preserve">REQ-ORD-012</t>
  </si>
  <si>
    <t xml:space="preserve">Nguồn (v1.0) — `DOC-v1.0-01 §D8.1 dòng "Khung giờ" · L372` + `KP-01 §10.11`: có khung giờ, **chưa rõ enum và quy tắc loại trừ**.</t>
  </si>
  <si>
    <t xml:space="preserve">DOC-v1.1-01 §8.1.1 BR01-04 / BR01-05 · trang 34</t>
  </si>
  <si>
    <t xml:space="preserve">REQ-ORD-015</t>
  </si>
  <si>
    <t xml:space="preserve">Nguồn (v1.0) — `DOC-v1.0-02 §3.5.4` + `DOC-v1.0-04` (**2 biến thể mockup**) ⇒ `C-ORD-05` Open: *"Màn 'Đăng tin thành công' có 'Mã tin' hay không?"*</t>
  </si>
  <si>
    <t xml:space="preserve">DOC-v1.1-01 §6.2 AC-07.1.01 · trang 18</t>
  </si>
  <si>
    <t xml:space="preserve">REQ-ORD-016</t>
  </si>
  <si>
    <t xml:space="preserve">Nguồn (v1.0) — `DOC-v1.0-01 §D8.2 L379-386` + `KP-01 §3 KB-ORD-11`: form OFFER 1 trang, tin không công khai.</t>
  </si>
  <si>
    <t xml:space="preserve">DOC-v1.1-01 §8.2 · trang 36</t>
  </si>
  <si>
    <t xml:space="preserve">REQ-ORD-017</t>
  </si>
  <si>
    <t xml:space="preserve">Nguồn (v1.0) — `DOC-v1.0-01 §D3 ORD-10 L252` · `§D4 BR-EDIT-01 L269` · `§D7 OPR-10 L346`: chỉ sửa khi còn "Chờ ghép".</t>
  </si>
  <si>
    <t xml:space="preserve">DOC-v1.1-01 §8.5.1 BR05-01 / BR05-02 · trang 38</t>
  </si>
  <si>
    <t xml:space="preserve">REQ-ORD-018</t>
  </si>
  <si>
    <t xml:space="preserve">Nguồn (v1.0) — `DOC-v1.0-01 §D3 ORD-06 L244` + `KP-01 §3 KB-ORD-02` ⇒ `C-ORD-03` Resolved: hạn tin = **giá trị "Đến ngày"** user chọn.</t>
  </si>
  <si>
    <t xml:space="preserve">REQ-ORD-021</t>
  </si>
  <si>
    <t xml:space="preserve">Nguồn (v1.0) — `DOC-v1.0-06 KP-02 §5 dòng C-ORD-08` ⇒ Open: *"Thoát/Reset giữa wizard có xoá form?"*</t>
  </si>
  <si>
    <t xml:space="preserve">DOC-v1.1-01 §6.2 AC-01.2.01 · trang 17</t>
  </si>
  <si>
    <t xml:space="preserve">REQ-ORD-024</t>
  </si>
  <si>
    <t xml:space="preserve">Nguồn #1 — BR01-02 (§8.1.1, trang 34): "Khối lượng và kích thước là bắt buộc — dùng để người vận chuyển tự lượng sức; ứng dụng không chặn theo ngưỡng.</t>
  </si>
  <si>
    <t xml:space="preserve">DOC-v1.1-01 §8.1.1 BR01-02 · trang 34</t>
  </si>
  <si>
    <t xml:space="preserve">REQ-ORD-026</t>
  </si>
  <si>
    <t xml:space="preserve">BR18-03 | Nơi hiển thị nhiều ảnh dùng carousel lướt ngang có badge đếm "2/5"; chạm ảnh mở lightbox nền tối giữ đúng tỉ lệ, có nút đóng và chạm nền để đóng.</t>
  </si>
  <si>
    <t xml:space="preserve">DOC-v1.1-01 §8.18.1 BR18-03 · trang 52</t>
  </si>
  <si>
    <t xml:space="preserve">REQ-ORD-008</t>
  </si>
  <si>
    <t xml:space="preserve">Nguồn (v1.0) — `DOC-v1.0-01 §D3 USR-EML L253` + `§D8.1 L366`: có field email người nhận, **autofill** được nhắc nhưng không nêu nguồn dữ liệu.</t>
  </si>
  <si>
    <t xml:space="preserve">DOC-v1.1-01 §8.1.1 BR01-09 · trang 34</t>
  </si>
  <si>
    <t xml:space="preserve">REQ-ORD-023</t>
  </si>
  <si>
    <t xml:space="preserve">Nguồn #1 — BR01-06 (§8.1.1, trang 34): "Người nhận uỷ quyền là không bắt buộc; nếu có thì tên 2–60 ký tự, số điện thoại đúng định dạng Việt Nam khi được nhập.</t>
  </si>
  <si>
    <t xml:space="preserve">DOC-v1.1-01 §8.1.1 BR01-06 · trang 34</t>
  </si>
  <si>
    <t xml:space="preserve">REQ-ORD-028</t>
  </si>
  <si>
    <t xml:space="preserve">Địa chỉ giao hàng | Có | Văn bản · tự điền từ danh bạ | Không để trống; phải khác địa chỉ lấy hàng</t>
  </si>
  <si>
    <t xml:space="preserve">DOC-v1.1-01 §8.1.4 UI/Field Spec, dòng "Địa chỉ giao hàng" · trang 35</t>
  </si>
  <si>
    <t xml:space="preserve">REQ-ORD-009</t>
  </si>
  <si>
    <t xml:space="preserve">Nguồn (v1.0) — `DOC-v1.0-01 §D8.1 L367-369` + `DOC-v1.0-02 §3.5.2`: 3 trường người nhận (tên · SĐT · địa chỉ giao), chưa nêu ràng buộc liên-trường.</t>
  </si>
  <si>
    <t xml:space="preserve">DOC-v1.1-01 §8.1.4 UI/Field Spec, nhóm người nhận · trang 35</t>
  </si>
  <si>
    <t xml:space="preserve">REQ-ORD-025</t>
  </si>
  <si>
    <t xml:space="preserve">BR18-04 | Icon copy đặt cạnh địa chỉ giao và số điện thoại ở màn chi tiết tin và màn theo dõi đơn; sau khi copy, icon đổi trạng thái và màu xanh trong khoảng 1,8 giây.</t>
  </si>
  <si>
    <t xml:space="preserve">DOC-v1.1-01 §8.18.1 BR18-04 · trang 52</t>
  </si>
  <si>
    <t xml:space="preserve">REQ-ORD-027</t>
  </si>
  <si>
    <t xml:space="preserve">BR18-05 | Ảnh đã gắn vào một mốc nhật ký thì không xoá được (phục vụ truy vết).</t>
  </si>
  <si>
    <t xml:space="preserve">DOC-v1.1-01 §8.18.1 BR18-05 · trang 52</t>
  </si>
  <si>
    <t xml:space="preserve">REQ-TS-006</t>
  </si>
  <si>
    <t xml:space="preserve">Nguồn #1 — Description (§8.16): "Kênh tiếp nhận sự cố/góp ý ở Phase 1: mở Google Form trong WebView với ngữ cảnh đơn được điền sẵn, không xây back-office trong ứng dụng.</t>
  </si>
  <si>
    <t xml:space="preserve">DOC-v1.1-01 §8.16 "FR16 — Báo cáo sự cố &amp; hỗ trợ" · trang 50-51</t>
  </si>
  <si>
    <t xml:space="preserve">REQ-USR-002</t>
  </si>
  <si>
    <t xml:space="preserve">Nguồn (v1.0) — `DOC-v1.0-01 §A6 USR-02 · L100`: "USR-02 | Xem/cập nhật hồ sơ: tên, SĐT, avatar, phòng ban, khu vực/văn phòng, kênh liên hệ"  ⇒ `C-USR-03` Resolved 2026-07-24 theo **quan sát app STG**: *"KHÔNG (view-only)"*; `SC-USR-003` là SC negative bảo vệ kết luận đó.</t>
  </si>
  <si>
    <t xml:space="preserve">DOC-v1.1-01 §8.15 · trang 48</t>
  </si>
  <si>
    <t xml:space="preserve">REQ-USR-007</t>
  </si>
  <si>
    <t xml:space="preserve">[qua SC-USR-007] ↪ *Quote `BR14-03` / `AC-26.1.01` / `§4 Out of Scope` — home ở `risk_assessment.md` · `C-USR-06`*</t>
  </si>
  <si>
    <t xml:space="preserve">DOC-v1.1-01 §8.14.1 BR14-03 · trang 48</t>
  </si>
  <si>
    <t xml:space="preserve">REQ-USR-006</t>
  </si>
  <si>
    <t xml:space="preserve">Nguồn (v1.0) — `DOC-v1.0-02 §3.9` + `KP-01 §2 KB-USR-04` ⇒ `C-USR-04` Open: *"Nhãn mục menu thứ hai + 3 trường hồ sơ chưa có bằng chứng UI"*; `SC-USR-012` là SC dạng `[GAP]`.</t>
  </si>
  <si>
    <t xml:space="preserve">DOC-v1.1-01 §8.15 dòng Trigger · trang 48</t>
  </si>
  <si>
    <t xml:space="preserve">REQ-USR-008</t>
  </si>
  <si>
    <t xml:space="preserve">Nguồn #1 — Description + Trigger (§8.15, trang 48): "Cho phép sửa số điện thoại và địa chỉ mặc định dùng để prefill khi đăng tin; các trường đồng bộ từ SSO là chỉ đọc." "Trigger: Mở "Cập nhật thông tin" trong trang cá nhân (nằm dưới mục "Quà đã nhận")</t>
  </si>
  <si>
    <t xml:space="preserve">DOC-v1.1-01 §8.15 "FR15 — Hồ sơ &amp; cập nhật thông tin" · trang 48-49</t>
  </si>
  <si>
    <t xml:space="preserve">REQ-USR-009</t>
  </si>
  <si>
    <t xml:space="preserve">Nguồn #1 — `BR15-03` (§8.15.1, trang 49): "Sửa hồ sơ không làm thay đổi các đơn đã tạo — đơn giữ nguyên số điện thoại/địa chỉ tại thời điểm đăng.</t>
  </si>
  <si>
    <t xml:space="preserve">DOC-v1.1-01 §8.15.1 BR15-03 · trang 49</t>
  </si>
  <si>
    <t xml:space="preserve">REQ-USR-010</t>
  </si>
  <si>
    <t xml:space="preserve">Nguồn #1 — `BR15-04` (§8.15.1, trang 49): "Giá trị mặc định được prefill vào ô số điện thoại người gửi và địa chỉ lấy hàng ở lần đăng tin sau; người dùng vẫn sửa trong từng đơn mà không ghi lại hồ sơ.</t>
  </si>
  <si>
    <t xml:space="preserve">DOC-v1.1-01 §8.15.1 BR15-04 · trang 49</t>
  </si>
  <si>
    <t xml:space="preserve">Ghi chú: Số liệu tự đếm trên TẤT CẢ sheet Test Case (khớp theo Req ID nên 1 TC gắn nhiều Req vẫn được tính cho từng Req). Số TC = Pass + Fail + Block + N/A + chưa chạy · % phủ = Đã chạy / Số TC (đã chạy gồm cả Block/N-A) — là độ phủ TRÊN TẬP REQ CÓ TC, không phải trên toàn bộ REQ của tài liệu. Trạng thái theo thứ tự ưu tiên: Chưa có TC (gap) → Có lỗi (Fail) → Bị block → Đang test → Không áp dụng (N/A) → Đã test xong.</t>
  </si>
  <si>
    <t xml:space="preserve">Mã chức năng</t>
  </si>
  <si>
    <t xml:space="preserve">Tên chức năng</t>
  </si>
  <si>
    <t xml:space="preserve">TRACEABILITY</t>
  </si>
  <si>
    <t xml:space="preserve">TEST DESIGN</t>
  </si>
  <si>
    <t xml:space="preserve">ROUND 1</t>
  </si>
  <si>
    <t xml:space="preserve">ROUND 2</t>
  </si>
  <si>
    <t xml:space="preserve">ROUND 3</t>
  </si>
  <si>
    <t xml:space="preserve">ROUND 4</t>
  </si>
  <si>
    <t xml:space="preserve">ROUND 5</t>
  </si>
  <si>
    <t xml:space="preserve">KẾT QUẢ TỔNG</t>
  </si>
  <si>
    <t xml:space="preserve">Testcase ID</t>
  </si>
  <si>
    <t xml:space="preserve">DOC Source</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</si>
  <si>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</si>
  <si>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</si>
  <si>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</si>
  <si>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</si>
  <si>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</si>
  <si>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Kết quả</t>
  </si>
  <si>
    <t xml:space="preserve">Executed By</t>
  </si>
  <si>
    <t xml:space="preserve">ID Bugs</t>
  </si>
  <si>
    <t xml:space="preserve">Vibe-test
(tổng)</t>
  </si>
  <si>
    <t xml:space="preserve">KQ Script
(tổng)</t>
  </si>
  <si>
    <t xml:space="preserve">Remark</t>
  </si>
  <si>
    <t xml:space="preserve">▬▬  1. Nhãn màn và hai tab  ·  1 TC (TC-ACT-001)</t>
  </si>
  <si>
    <t xml:space="preserve">DOC-v1.1-01 · DOC-v1.1-02</t>
  </si>
  <si>
    <t xml:space="preserve">Check màn Hoạt động dùng đúng bộ nhãn của app cho tên màn và hai tab</t>
  </si>
  <si>
    <t xml:space="preserve">- Tài khoản A là CBNV có hồ sơ đầy đủ trên STG.
- Host app FoxPro đã cài trên thiết bị Android/iOS.</t>
  </si>
  <si>
    <t xml:space="preserve">1. Đăng nhập FoxEco từ host app FoxPro. (setup)
2. Nhấn tab "Hoạt động" ở bottom nav. (setup)
3. Check nhãn mục vừa nhấn ở bottom nav, tiêu đề màn và hàng tab con phía trên danh sách.</t>
  </si>
  <si>
    <t xml:space="preserve">3. Nhãn bottom nav là "Hoạt động"; tiêu đề màn là "Đơn của tôi"; hàng tab con có đúng 2 tab "Đang diễn ra" và "Đã hoàn thành", không có tab con thứ ba.</t>
  </si>
  <si>
    <t xml:space="preserve">AI</t>
  </si>
  <si>
    <t xml:space="preserve">▬▬  2. Dữ liệu tab Đã hoàn thành  ·  2 TC (TC-ACT-005…TC-ACT-015)</t>
  </si>
  <si>
    <t xml:space="preserve">Check tab Đã hoàn thành chứa đủ cả ba loại đơn kết thúc</t>
  </si>
  <si>
    <t xml:space="preserve">- Tài khoản A là CBNV có hồ sơ đầy đủ trên STG, đã seed sẵn `SEED-ACT-03` (xem §0.4).
- Host app FoxPro đã cài trên thiết bị Android/iOS.</t>
  </si>
  <si>
    <t xml:space="preserve">1. Đăng nhập FoxEco và nhấn tab "Hoạt động". (setup)
2. Nhấn tab con "Đã hoàn thành". (setup)
3. Check badge trạng thái của từng card trong danh sách.</t>
  </si>
  <si>
    <t xml:space="preserve">3. Danh sách có đủ ba card mang badge "Hoàn thành", "Hết hạn" và badge của đơn đã trả lại người gửi; KHÔNG có card nào badge "Chờ ghép", "Đã ghép", "Đang giao" hay "Đã giao".</t>
  </si>
  <si>
    <t xml:space="preserve">Check đơn đã trả người gửi hiện kèm lý do còn đơn đã huỷ vẫn bị ẩn</t>
  </si>
  <si>
    <t xml:space="preserve">- Tài khoản A là CBNV có hồ sơ đầy đủ trên STG, đã seed sẵn `SEED-ACT-03` (xem §0.4) — gồm cặp đối chứng 1 đơn đã trả lại người gửi và 1 đơn "Đã huỷ".
- Host app FoxPro đã cài trên thiết bị Android/iOS.</t>
  </si>
  <si>
    <t xml:space="preserve">1. Đăng nhập FoxEco và nhấn tab "Hoạt động". (setup)
2. Nhấn tab con "Đã hoàn thành". (setup)
3. Nhấn tab con "Đang diễn ra" rồi rà toàn bộ danh sách. (setup)
4. Nhấn lại tab con "Đã hoàn thành" và check cả hai đơn của cặp đối chứng trong cùng một lượt xem.</t>
  </si>
  <si>
    <t xml:space="preserve">4. Đơn đã trả lại người gửi CÓ trong danh sách tab "Đã hoàn thành" và hiện lý do hoàn hàng trên card; đơn "Đã huỷ" KHÔNG xuất hiện ở cả hai tab.</t>
  </si>
  <si>
    <t xml:space="preserve">▬▬  3. Card đơn Hết hạn  ·  1 TC (TC-ACT-008)</t>
  </si>
  <si>
    <t xml:space="preserve">Check card đơn Hết hạn hiện badge và đúng chuỗi lý do chính thức</t>
  </si>
  <si>
    <t xml:space="preserve">- Tài khoản A là CBNV có hồ sơ đầy đủ trên STG, đã seed sẵn `SEED-ACT-03` (xem §0.4) — gồm đơn "Hết hạn" cần dev/QA chuẩn bị trước vì ⛔ không tạo được qua UI.
- Host app FoxPro đã cài trên thiết bị Android/iOS.</t>
  </si>
  <si>
    <t xml:space="preserve">1. Đăng nhập FoxEco, nhấn tab "Hoạt động" rồi nhấn tab con "Đã hoàn thành". (setup)
2. Check badge và dòng lý do trên card đơn "Hết hạn".</t>
  </si>
  <si>
    <t xml:space="preserve">2. Card hiển thị badge "Hết hạn" kèm dòng lý do đúng chuỗi "Không có ai nhận mang giúp trong thời gian đăng".</t>
  </si>
  <si>
    <t xml:space="preserve">▬▬  4. Empty state hai tab  ·  2 TC (TC-ACT-012…TC-ACT-014)</t>
  </si>
  <si>
    <t xml:space="preserve">Check empty state tab Đang diễn ra hiện đúng chuỗi và đúng một nút đăng tin</t>
  </si>
  <si>
    <t xml:space="preserve">- Tài khoản CBNV "trắng" trên STG = `SEED-ACT-02` (không có đơn nào ở trạng thái từ "Chờ ghép" đến "Đã giao") — dùng chung với `TC-ACT-014/016/017/018`, chuẩn bị 1 lần.
- Host app FoxPro đã cài trên thiết bị Android/iOS.</t>
  </si>
  <si>
    <t xml:space="preserve">1. Đăng nhập FoxEco bằng tài khoản "trắng". (setup)
2. Nhấn tab "Hoạt động". (setup)
3. Check vùng danh sách của tab "Đang diễn ra": icon, dòng tiêu đề, dòng giải thích và số lượng nút CTA.</t>
  </si>
  <si>
    <t xml:space="preserve">3. Vùng danh sách hiện icon nét mảnh màu neutral, dòng tiêu đề đúng chuỗi "Không có đơn đang thực hiện", 1 dòng giải thích, và đúng 1 nút CTA nhãn "Đăng tin gửi hàng".</t>
  </si>
  <si>
    <t xml:space="preserve">Check empty state tab Đã hoàn thành hiện đúng chuỗi không có CTA và ẩn hẳn khối lịch sử</t>
  </si>
  <si>
    <t xml:space="preserve">- Tài khoản CBNV "trắng" trên STG = `SEED-ACT-02` (chưa có đơn "Hoàn thành", "Hết hạn" hay đơn đã trả lại người gửi) — dùng chung với `TC-ACT-012/016/017/018`, không chuẩn bị lại.
- Host app FoxPro đã cài trên thiết bị Android/iOS.</t>
  </si>
  <si>
    <t xml:space="preserve">1. Đăng nhập FoxEco bằng tài khoản "trắng". (setup)
2. Nhấn tab "Hoạt động". (setup)
3. Nhấn tab con "Đã hoàn thành". (setup)
4. Check vùng danh sách: dòng tiêu đề, số lượng nút CTA và khu vực khối lịch sử.</t>
  </si>
  <si>
    <t xml:space="preserve">4. Vùng danh sách hiện dòng tiêu đề đúng chuỗi "Chưa có đơn hoàn tất", KHÔNG có nút CTA nào, và khối lịch sử bị ẩn hẳn chứ không hiện khung rỗng.</t>
  </si>
  <si>
    <t xml:space="preserve">▬▬  5. Dấu vết sao · điểm · tier  ·  1 TC (TC-ACT-013)</t>
  </si>
  <si>
    <t xml:space="preserve">Check card đơn Hoàn thành không còn dấu vết sao điểm tier hay chỉ số môi trường</t>
  </si>
  <si>
    <t xml:space="preserve">1. Đăng nhập FoxEco, nhấn tab "Hoạt động" rồi nhấn tab con "Đã hoàn thành". (setup)
2. Check toàn bộ nội dung hiển thị trên từng card đơn trong danh sách.</t>
  </si>
  <si>
    <t xml:space="preserve">2. KHÔNG card nào chứa chuỗi sao, điểm số, nhãn tier hay chỉ số môi trường.</t>
  </si>
  <si>
    <t xml:space="preserve">▬▬  6. Rule hình thức chung empty state  ·  3 TC (TC-ACT-016…TC-ACT-018)</t>
  </si>
  <si>
    <t xml:space="preserve">Check empty state không che thanh tab dưới ở cả hai tab rỗng</t>
  </si>
  <si>
    <t xml:space="preserve">- Tài khoản CBNV "trắng" trên STG = `SEED-ACT-02` (không có đơn nào ở cả 2 tab) — dùng chung với `TC-ACT-012/014/017/018`, không chuẩn bị lại.
- Host app FoxPro đã cài trên thiết bị Android/iOS.</t>
  </si>
  <si>
    <t xml:space="preserve">1. Đăng nhập FoxEco bằng tài khoản "trắng". (setup)
2. Nhấn tab "Hoạt động". (setup)
3. Nhấn lần lượt từng mục trên thanh tab dưới rồi quay lại tab "Hoạt động".
4. Nhấn tab con "Đã hoàn thành".
5. Nhấn lần lượt từng mục trên thanh tab dưới rồi quay lại tab "Hoạt động", và check thanh tab dưới ở cả hai tab con.</t>
  </si>
  <si>
    <t xml:space="preserve">5. Thanh tab dưới hiển thị đủ 5 mục và mọi mục đều nhấn được ở cả hai tab con, không mục nào bị empty state che lấp.</t>
  </si>
  <si>
    <t xml:space="preserve">Check màn vẫn cuộn được khi đang hiện empty state ở cả hai tab rỗng</t>
  </si>
  <si>
    <t xml:space="preserve">- Tài khoản CBNV "trắng" trên STG = `SEED-ACT-02` (không có đơn nào ở cả 2 tab) — dùng chung với `TC-ACT-012/014/016/018`, không chuẩn bị lại.
- Host app FoxPro đã cài trên thiết bị Android/iOS.</t>
  </si>
  <si>
    <t xml:space="preserve">1. Đăng nhập FoxEco bằng tài khoản "trắng". (setup)
2. Nhấn tab "Hoạt động". (setup)
3. Vuốt lên và vuốt xuống trên vùng danh sách của tab "Đang diễn ra".
4. Nhấn tab con "Đã hoàn thành".
5. Vuốt lên và vuốt xuống trên vùng danh sách, và check phản hồi cuộn của màn ở cả hai tab con.</t>
  </si>
  <si>
    <t xml:space="preserve">5. Màn phản hồi thao tác cuộn ở cả hai tab con, không bị khoá cứng tại chỗ.</t>
  </si>
  <si>
    <t xml:space="preserve">Check tab rỗng phân biệt rõ trạng thái đang tải với trạng thái không có dữ liệu</t>
  </si>
  <si>
    <t xml:space="preserve">- Tài khoản CBNV "trắng" trên STG = `SEED-ACT-02` (không có đơn nào ở cả 2 tab) — dùng chung với `TC-ACT-012/014/016/017`, không chuẩn bị lại.
- Host app FoxPro đã cài trên thiết bị Android/iOS.
- Có sẵn công cụ throttle mạng về 3G chậm — không dựng được bằng thao tác trong app.</t>
  </si>
  <si>
    <t xml:space="preserve">1. Throttle mạng thiết bị về 3G chậm. (setup)
2. Đăng nhập FoxEco bằng tài khoản "trắng". (setup)
3. Nhấn tab "Hoạt động" và theo dõi liên tục vùng danh sách của tab "Đang diễn ra" từ lúc vào màn.
4. Nhấn tab con "Đã hoàn thành" và theo dõi liên tục vùng danh sách từ lúc chuyển tab.
5. Check chuỗi trạng thái hiển thị đã quan sát ở cả hai tab con.</t>
  </si>
  <si>
    <t xml:space="preserve">5. Ở cả hai tab con, vùng danh sách đi qua pha đang tải rồi chuyển hẳn sang empty state; pha đang tải kết thúc chứ không lặp skeleton vô hạn.</t>
  </si>
  <si>
    <t xml:space="preserve">▬▬  1. Ghép nối đồng thời  ·  2 TC (TC-ASN-006…TC-ASN-024)</t>
  </si>
  <si>
    <t xml:space="preserve">Check hai người vận chuyển nhận gần đồng thời chỉ một người ghép được</t>
  </si>
  <si>
    <t xml:space="preserve">- Tài khoản A, B và C là 3 CBNV khác nhau trên STG.
- Có 2 thiết bị Android/iOS đã cài host app FoxPro.</t>
  </si>
  <si>
    <t xml:space="preserve">1. Đăng nhập bằng tài khoản A, đăng 1 tin NEED rồi đăng xuất. (setup)
2. Đăng nhập tài khoản B trên thiết bị 1 và tài khoản C trên thiết bị 2, cùng mở màn Chi tiết tin của tin đó. (setup)
3. Trên cả hai thiết bị, nhấn "Tôi mang giúp được".
4. Nhấn "Xác nhận" trên cả hai thiết bị cách nhau dưới 2 giây.
5. Check màn hiện ra trên từng thiết bị, sau đó đăng nhập lại tài khoản A và check người vận chuyển của đơn.</t>
  </si>
  <si>
    <t xml:space="preserve">5. Một thiết bị mở màn Theo dõi đơn với vai người vận chuyển, thiết bị còn lại KHÔNG ghép được và hiển thị thông báo tin đã có người nhận; đơn có đúng 1 người vận chuyển là tài khoản của thiết bị ghép thành công.</t>
  </si>
  <si>
    <t xml:space="preserve">Check 50 request ghép đồng thời trên cùng 1 tin giữ tỷ lệ trùng 0%</t>
  </si>
  <si>
    <t xml:space="preserve">- Có sẵn 1 tin NEED `POSTED` của tài khoản A.
- Có công cụ gửi 50 request ghép đồng thời tới API ghép của tin đó (concurrency/load test tool, vd JMeter/k6) — ⛔ không thực hiện bằng thao tác tay trên UI.</t>
  </si>
  <si>
    <t xml:space="preserve">1. Chuẩn bị 50 request gọi API "Tôi mang giúp được" cho cùng 1 tin NEED đó, mỗi request gán 1 tài khoản Carrier/token khác nhau. (setup)
2. Gửi đồng thời toàn bộ 50 request tại cùng 1 thời điểm.
3. Đếm số request trả về thành công và check trạng thái cuối cùng của tin trên hệ thống.</t>
  </si>
  <si>
    <t xml:space="preserve">3. Đúng 1 request thành công (ghép được), 49 request còn lại bị từ chối; tin chỉ có đúng 1 cặp ghép active — tỷ lệ ghép trùng = **0%**.</t>
  </si>
  <si>
    <t xml:space="preserve">▬▬  2. Đồng bộ trạng thái ba vai  ·  1 TC (TC-ASN-008)</t>
  </si>
  <si>
    <t xml:space="preserve">Check ba phiên ba vai cùng cập nhật "Đã ghép" trong vòng 5 giây</t>
  </si>
  <si>
    <t xml:space="preserve">- Tài khoản A, B và C là 3 CBNV khác nhau trên STG.
- Có 3 thiết bị Android/iOS đã cài host app FoxPro.</t>
  </si>
  <si>
    <t xml:space="preserve">1. Đăng nhập tài khoản A trên thiết bị 1, đăng 1 tin NEED khai C là người nhận. (setup)
2. Đăng nhập tài khoản C trên thiết bị 3, mở màn Theo dõi đơn của đơn đó. (setup)
3. Trên thiết bị 1, mở màn Theo dõi đơn của đơn vừa đăng và giữ nguyên màn. (setup)
4. Trên thiết bị 2, đăng nhập tài khoản B, nhận đơn đó và xác nhận; ghi lại thời điểm xác nhận.
5. Không thao tác kéo làm mới trên thiết bị 1 và 3; đo thời điểm trạng thái đơn đổi thành "Đã ghép" trên từng thiết bị.</t>
  </si>
  <si>
    <t xml:space="preserve">5. Trên cả thiết bị 1 và thiết bị 3, trạng thái đơn đổi sang "Đã ghép" trong vòng **≤5 giây** kể từ thời điểm xác nhận ở bước 4, không cần kéo làm mới hay mở lại màn.</t>
  </si>
  <si>
    <t xml:space="preserve">▬▬  3. Điều kiện khớp tuyến  ·  4 TC (TC-ASN-011…TC-ASN-023)</t>
  </si>
  <si>
    <t xml:space="preserve">Check không có thông báo khớp tuyến khi tin NEED lệch điểm giao hàng</t>
  </si>
  <si>
    <t xml:space="preserve">- Tin OFFER của `SEED-ASN-01` (điểm P1→P2, khoảng ngày D1-D2, buổi "Sáng"+"Chiều" — xem sheet `Seed` của chính file này) của tài khoản B đã có sẵn — không seed riêng.
- Host app FoxPro đã cài trên thiết bị Android/iOS.</t>
  </si>
  <si>
    <t xml:space="preserve">1. Đăng nhập bằng tài khoản A, đăng 1 tin NEED trùng điểm lấy P1 nhưng chọn điểm giao KHÁC P2, khoảng ngày trùng D1-D2 và chọn buổi "Sáng", rồi đăng xuất. (setup)
2. Đăng nhập bằng tài khoản B, nhấn icon chuông, check danh sách thông báo.</t>
  </si>
  <si>
    <t xml:space="preserve">2. KHÔNG có thông báo khớp tuyến nào trỏ tới tin NEED vừa đăng ở bước 1.</t>
  </si>
  <si>
    <t xml:space="preserve">Check không có thông báo khớp tuyến khi khoảng ngày không giao nhau</t>
  </si>
  <si>
    <t xml:space="preserve">- Tin OFFER của `SEED-ASN-01` (xem sheet `Seed` của chính file này) của tài khoản B đã có sẵn — không seed riêng.
- Host app FoxPro đã cài trên thiết bị Android/iOS.</t>
  </si>
  <si>
    <t xml:space="preserve">1. Đăng nhập bằng tài khoản A, đăng 1 tin NEED trùng điểm P1/P2 nhưng chọn khoảng ngày KHÔNG giao nhau với D1-D2 của tin OFFER, chọn buổi "Giờ nào cũng được", rồi đăng xuất. (setup)
2. Đăng nhập bằng tài khoản B, nhấn icon chuông, check danh sách thông báo.</t>
  </si>
  <si>
    <t xml:space="preserve">Check không có thông báo khớp tuyến khi ngày giao nhau nhưng buổi không chung</t>
  </si>
  <si>
    <t xml:space="preserve">- Tin OFFER của `SEED-ASN-01` (buổi "Sáng"+"Chiều" — xem sheet `Seed` của chính file này) của tài khoản B đã có sẵn — không seed riêng.
- Host app FoxPro đã cài trên thiết bị Android/iOS.</t>
  </si>
  <si>
    <t xml:space="preserve">1. Đăng nhập bằng tài khoản A, đăng 1 tin NEED trùng điểm P1/P2, khoảng ngày có giao nhau với D1-D2 nhưng chỉ chọn buổi "Sau giờ làm" (không có buổi chung với "Sáng"/"Chiều" của tin OFFER, không chọn "Giờ nào cũng được"), rồi đăng xuất. (setup)
2. Đăng nhập bằng tài khoản B, nhấn icon chuông, check danh sách thông báo.</t>
  </si>
  <si>
    <t xml:space="preserve">Check có thông báo khớp tuyến trong vòng 60 giây khi khớp đầy đủ điều kiện</t>
  </si>
  <si>
    <t xml:space="preserve">1. Đăng nhập bằng tài khoản A, đăng 1 tin NEED trùng điểm P1/P2, khoảng ngày có giao nhau với D1-D2 và chọn buổi "Sáng" (có buổi chung với tin OFFER); ghi lại thời điểm đăng, rồi đăng xuất. (setup)
2. Đăng nhập bằng tài khoản B, nhấn icon chuông theo chu kỳ tới khi thấy thông báo hoặc quá 60 giây kể từ thời điểm đã ghi ở bước 1, check nội dung và thời điểm nhận thông báo.</t>
  </si>
  <si>
    <t xml:space="preserve">2. B CÓ nhận thông báo khớp tuyến trỏ tới tin NEED vừa đăng, trong vòng **≤60 giây** kể từ thời điểm đăng ở bước 1.</t>
  </si>
  <si>
    <t xml:space="preserve">▬▬  4. Trần thông báo khớp tuyến  ·  4 TC (TC-ASN-015…TC-ASN-025)</t>
  </si>
  <si>
    <t xml:space="preserve">Check tin OFFER có 3 tin NEED khớp nhận đủ 3 thông báo</t>
  </si>
  <si>
    <t xml:space="preserve">- Tài khoản A và B là hai CBNV khác nhau trên STG.
- Host app FoxPro đã cài trên thiết bị Android/iOS.</t>
  </si>
  <si>
    <t xml:space="preserve">1. Đăng nhập bằng tài khoản B, đăng 1 tin OFFER với điểm lấy, điểm giao, khoảng ngày và tập buổi xác định, rồi đăng xuất. (setup)
2. Đăng nhập bằng tài khoản A, đăng đúng 3 tin NEED qua wizard, mỗi tin trùng 2 điểm và giao ngày/buổi với tin OFFER đó, rồi đăng xuất. (setup)
3. Đăng nhập bằng tài khoản B, nhấn icon chuông, đếm số thông báo khớp tuyến của tin OFFER đó.</t>
  </si>
  <si>
    <t xml:space="preserve">3. Có đúng 3 thông báo khớp tuyến cho tin OFFER đó.</t>
  </si>
  <si>
    <t xml:space="preserve">Check tin OFFER có 5 tin NEED khớp nhận đủ 5 thông báo</t>
  </si>
  <si>
    <t xml:space="preserve">1. Đăng nhập bằng tài khoản B, đăng 1 tin OFFER với điểm lấy, điểm giao, khoảng ngày và tập buổi xác định, rồi đăng xuất. (setup)
2. Đăng nhập bằng tài khoản A, đăng đúng 5 tin NEED qua wizard, mỗi tin trùng 2 điểm và giao ngày/buổi với tin OFFER đó, rồi đăng xuất. (setup)
3. Đăng nhập bằng tài khoản B, nhấn icon chuông, đếm số thông báo khớp tuyến của tin OFFER đó.</t>
  </si>
  <si>
    <t xml:space="preserve">3. Có đúng 5 thông báo khớp tuyến cho tin OFFER đó.</t>
  </si>
  <si>
    <t xml:space="preserve">Check tin NEED khớp thứ 6 không sinh thêm thông báo khi tuyến đã đủ trần 5</t>
  </si>
  <si>
    <t xml:space="preserve">1. Đăng nhập bằng tài khoản B, đăng 1 tin OFFER với điểm lấy, điểm giao, khoảng ngày và tập buổi xác định. (setup)
2. Đăng nhập bằng tài khoản A, đăng đúng 5 tin NEED qua wizard, mỗi tin trùng 2 điểm và giao ngày/buổi với tin OFFER đó. (setup)
3. Đăng nhập bằng tài khoản B, nhấn icon chuông và ghi lại số thông báo khớp tuyến hiện có. (setup)
4. Đăng nhập lại tài khoản A, đăng thêm 1 tin NEED thứ 6 cũng trùng 2 điểm và giao ngày/buổi với tin OFFER đó, rồi đăng xuất. (setup)
5. Đăng nhập tài khoản B, nhấn icon chuông, đếm lại số thông báo khớp tuyến của tin OFFER đó.</t>
  </si>
  <si>
    <t xml:space="preserve">5. Số thông báo khớp tuyến vẫn bằng số đã ghi ở bước 3; KHÔNG có thông báo mới cho tin NEED thứ 6.</t>
  </si>
  <si>
    <t xml:space="preserve">Check mỗi tuyến OFFER có trần 5 thông báo độc lập, không cộng dồn</t>
  </si>
  <si>
    <t xml:space="preserve">- Tài khoản B đã đăng đủ 5 tin NEED khớp cho tuyến OFFER thứ nhất và đã nhận đủ 5 thông báo cho tuyến đó (tái dùng seed của `TC-ASN-016`) — không seed riêng.
- Host app FoxPro đã cài trên thiết bị Android/iOS.</t>
  </si>
  <si>
    <t xml:space="preserve">1. Đăng nhập tài khoản B, đăng thêm 1 tin OFFER thứ hai với tuyến khác (P3→P4), rồi đăng xuất. (setup)
2. Đăng nhập tài khoản A, đăng 1 tin NEED trùng tuyến P3→P4 (ngày/buổi giao nhau với tuyến thứ hai), rồi đăng xuất. (setup)
3. Đăng nhập tài khoản B, nhấn icon chuông, check thông báo của riêng tuyến thứ hai (P3→P4) và tổng số thông báo hiện có.</t>
  </si>
  <si>
    <t xml:space="preserve">3. Tuyến thứ hai (P3→P4) nhận được thông báo mới dù tuyến thứ nhất đã đạt trần 5; tổng số thông báo của tài khoản B lớn hơn 5 (2 tuyến không cộng dồn chung 1 trần).</t>
  </si>
  <si>
    <t xml:space="preserve">▬▬  5. Thứ tự ưu tiên gợi ý  ·  1 TC (TC-ASN-018)</t>
  </si>
  <si>
    <t xml:space="preserve">Check danh sách gợi ý ưu tiên tin trùng tuyến trước, thời gian đăng sau</t>
  </si>
  <si>
    <t xml:space="preserve">- Tài khoản B đã đăng 1 tin OFFER (điểm P1→P2, khoảng ngày D1-D2, tập buổi S).
- Host app FoxPro đã cài trên thiết bị Android/iOS.</t>
  </si>
  <si>
    <t xml:space="preserve">1. Đăng nhập tài khoản A, đăng 1 tin NEED KHÔNG trùng tuyến của B (điểm khác) nhưng đăng SỚM NHẤT trong 3 tin, ghi lại thời điểm. (setup)
2. Vẫn tài khoản A, đăng tin NEED thứ hai trùng tuyến P1/P2 với B (ngày/buổi giao nhau), ghi lại thời điểm. (setup)
3. Vẫn tài khoản A, đăng tin NEED thứ ba cũng trùng tuyến P1/P2 với B, đăng sau tin thứ hai ít nhất 1 phút, ghi lại thời điểm, rồi đăng xuất. (setup)
4. Đăng nhập tài khoản B, nhấn icon chuông, ghi lại thứ tự 3 thông báo/gợi ý từ trên xuống, đối chiếu với 3 thời điểm đã ghi.</t>
  </si>
  <si>
    <t xml:space="preserve">4. Tin thứ hai và tin thứ ba (trùng tuyến) đều xếp TRƯỚC tin thứ nhất (không trùng tuyến) dù tin thứ nhất đăng sớm nhất; giữa tin thứ hai và tin thứ ba, tin thứ ba (đăng sau) xếp trước tin thứ hai.</t>
  </si>
  <si>
    <t xml:space="preserve">▬▬  6. Bảo mật API tin OFFER  ·  1 TC (TC-ASN-026)</t>
  </si>
  <si>
    <t xml:space="preserve">Check request đọc tin OFFER qua API bởi người ngoài bị chặn và ghi audit log</t>
  </si>
  <si>
    <t xml:space="preserve">- Tin OFFER đang `POSTED` của tài khoản B (không phải sở hữu của tài khoản D).
- Có sẵn công cụ gọi API trực tiếp (vd Postman) với token hợp lệ của tài khoản D, biết endpoint đọc chi tiết tin OFFER.</t>
  </si>
  <si>
    <t xml:space="preserve">1. Dùng công cụ API, gọi endpoint đọc chi tiết tin OFFER đó bằng token của tài khoản D. (setup)
2. Check response trả về và hệ thống ghi audit log.</t>
  </si>
  <si>
    <t xml:space="preserve">2. Request bị chặn (không trả dữ liệu tin OFFER); hệ thống ghi thêm đúng 1 dòng audit log ghi nhận request trái phép này (tài khoản D, thời điểm, tin OFFER mục tiêu).</t>
  </si>
  <si>
    <t xml:space="preserve">▬▬  1. Lý do huỷ đơn  ·  2 TC (TC-CNL-004…TC-CNL-012)</t>
  </si>
  <si>
    <t xml:space="preserve">Check lý do huỷ 4 ký tự bị chặn ngay từ nút xác nhận</t>
  </si>
  <si>
    <t xml:space="preserve">1. Đăng nhập bằng tài khoản A và đăng 1 tin NEED qua wizard "+ Đăng tin". (setup)
2. Nhấn tab "Hoạt động", mở đơn vừa đăng và nhấn "Huỷ đơn". (setup)
3. Nhập "abcd" vào ô lý do.
4. Check trạng thái nút "Xác nhận" và vùng dưới ô lý do.</t>
  </si>
  <si>
    <t xml:space="preserve">4. Nút "Xác nhận" ở trạng thái vô hiệu hoá ngay (không phải bấm được rồi mới báo lỗi); hiện lỗi ngay dưới ô lý do; trạng thái đơn không đổi.</t>
  </si>
  <si>
    <t xml:space="preserve">Check lý do huỷ gồm năm dấu cách bị chặn sau khi cắt khoảng trắng</t>
  </si>
  <si>
    <t xml:space="preserve">1. Đăng nhập bằng tài khoản A và đăng 1 tin NEED qua wizard "+ Đăng tin". (setup)
2. Nhấn tab "Hoạt động", mở đơn vừa đăng và nhấn "Huỷ đơn". (setup)
3. Nhập đúng 5 dấu cách vào ô lý do.
4. Check trạng thái nút "Xác nhận".</t>
  </si>
  <si>
    <t xml:space="preserve">4. Nút "Xác nhận" ở trạng thái vô hiệu hoá, không nhấn được (sau khi tự cắt khoảng trắng đầu/cuối thì lý do rỗng).</t>
  </si>
  <si>
    <t xml:space="preserve">▬▬  2. Báo cáo sự cố theo vai  ·  3 TC (TC-CNL-006…TC-CNL-016)</t>
  </si>
  <si>
    <t xml:space="preserve">REQ-CNL-003, REQ-CNL-007</t>
  </si>
  <si>
    <t xml:space="preserve">Check nút "Báo cáo sự cố" tồn tại cho vai Người gửi khi đơn đang giao</t>
  </si>
  <si>
    <t xml:space="preserve">- Đơn đã ở checkpoint 2 (`IN_TRANSIT`/Đang giao) của `SEED-DLV-01` (xem sheet `Seed` của chính file này) — không seed riêng.
- Host app FoxPro đã cài trên thiết bị Android/iOS.</t>
  </si>
  <si>
    <t xml:space="preserve">1. Đăng nhập bằng tài khoản A (Người gửi), mở màn Theo dõi đơn của đơn đó. (setup)
2. Check góc trên bên phải màn Theo dõi đơn.</t>
  </si>
  <si>
    <t xml:space="preserve">2. Có nút "Báo cáo sự cố"; nhấn vào mở được luồng báo sự cố.</t>
  </si>
  <si>
    <t xml:space="preserve">Check nút "Báo cáo sự cố" tồn tại cho vai Người vận chuyển khi đơn đang giao</t>
  </si>
  <si>
    <t xml:space="preserve">1. Đăng nhập bằng tài khoản B (Người vận chuyển), mở màn Theo dõi đơn của đơn đó. (setup)
2. Check góc trên bên phải màn Theo dõi đơn.</t>
  </si>
  <si>
    <t xml:space="preserve">Check nút "Báo cáo sự cố" tồn tại cho vai Người nhận khi đơn đang giao</t>
  </si>
  <si>
    <t xml:space="preserve">1. Đăng nhập bằng tài khoản C (Người nhận), mở màn Theo dõi đơn của đơn đó. (setup)
2. Check góc trên bên phải màn Theo dõi đơn.</t>
  </si>
  <si>
    <t xml:space="preserve">▬▬  3. Nhật ký huỷ đơn  ·  2 TC (TC-CNL-009…TC-CNL-010)</t>
  </si>
  <si>
    <t xml:space="preserve">Check huỷ đơn ghi log đủ vai trò, lý do và thời điểm</t>
  </si>
  <si>
    <t xml:space="preserve">1. Đăng nhập bằng tài khoản A, đăng 1 tin NEED, nhờ tài khoản B nhận đơn để đơn sang "Đã ghép". (setup)
2. Mở màn Theo dõi đơn của đơn đó, mở block LỊCH SỬ. (setup)
3. Ghi lại số dòng log hiện có.
4. Nhấn "Huỷ đơn".
5. Nhập lý do "Huy vi trung lich".
6. Nhấn "Xác nhận".
7. Không rời màn Theo dõi đơn, mở lại block LỊCH SỬ.
8. Check số dòng log mới và nội dung dòng đó.</t>
  </si>
  <si>
    <t xml:space="preserve">8. Block LỊCH SỬ có nhiều hơn số dòng đã ghi ở bước 3 đúng 1 dòng; dòng mới ghi đủ 3 thành phần: vai "Người gửi", lý do "Huy vi trung lich" và thời điểm (timestamp) huỷ.</t>
  </si>
  <si>
    <t xml:space="preserve">Check huỷ nhận đơn giữ nguyên log ghép cũ và đơn về lại bảng tin</t>
  </si>
  <si>
    <t xml:space="preserve">1. Đăng nhập bằng tài khoản A, đăng 1 tin NEED rồi đăng xuất. (setup)
2. Đăng nhập bằng tài khoản B, nhận đơn đó và xác nhận. (setup)
3. Mở màn Theo dõi đơn, mở block LỊCH SỬ. (setup)
4. Check sự tồn tại của dòng "Ghép thành công". (setup)
5. Nhấn "✕ Huỷ nhận đơn".
6. Nhập lý do "Doi ca lam viec".
7. Nhấn "Xác nhận".
8. Không rời màn Theo dõi đơn, mở lại block LỊCH SỬ.
9. Điều hướng đến "Bảng tin" và tìm đơn đó.</t>
  </si>
  <si>
    <t xml:space="preserve">9. Dòng "Ghép thành công" vẫn còn trong block LỊCH SỬ ở bước 8 (không bị xoá), có thêm 1 dòng log ghi hành động huỷ nhận kèm vai "Người vận chuyển" và lý do "Doi ca lam viec"; đơn chuyển về trạng thái "Chờ ghép" và hiện lại trên bảng tin.</t>
  </si>
  <si>
    <t xml:space="preserve">▬▬  4. Đường thoát sau khi ghép  ·  4 TC (TC-CNL-017…TC-CNL-020)</t>
  </si>
  <si>
    <t xml:space="preserve">Check chỉ còn đúng 2 đường thoát cho vai Người gửi sau khi đơn đang giao</t>
  </si>
  <si>
    <t xml:space="preserve">1. Đăng nhập bằng tài khoản A (Người gửi), mở màn Theo dõi đơn của đơn đó. (setup)
2. Rà toàn bộ nút hành động trên màn.</t>
  </si>
  <si>
    <t xml:space="preserve">2. KHÔNG còn nút huỷ đơn thường nào; chỉ có đúng 2 nút hành động liên quan huỷ: "Yêu cầu hoàn hàng" và "Báo cáo sự cố".</t>
  </si>
  <si>
    <t xml:space="preserve">Check chỉ còn đúng 2 đường thoát cho vai Người vận chuyển sau khi đơn đang giao</t>
  </si>
  <si>
    <t xml:space="preserve">1. Đăng nhập bằng tài khoản B (Người vận chuyển), mở màn Theo dõi đơn của đơn đó. (setup)
2. Rà toàn bộ nút hành động trên màn.</t>
  </si>
  <si>
    <t xml:space="preserve">Check chỉ còn đúng 2 đường thoát cho vai Người nhận sau khi đơn đang giao</t>
  </si>
  <si>
    <t xml:space="preserve">1. Đăng nhập bằng tài khoản C (Người nhận), mở màn Theo dõi đơn của đơn đó. (setup)
2. Rà toàn bộ nút hành động trên màn.</t>
  </si>
  <si>
    <t xml:space="preserve">Check đơn ở trạng thái sự cố không tự chuyển hoàn thành</t>
  </si>
  <si>
    <t xml:space="preserve">- Đơn đã ở trạng thái `INCIDENT` qua luồng báo sự cố (`FR16`).
- Host app FoxPro đã cài trên thiết bị Android/iOS.</t>
  </si>
  <si>
    <t xml:space="preserve">1. Đăng nhập bằng tài khoản C (Người nhận) của đơn `INCIDENT`, mở màn Theo dõi đơn. (setup)
2. Rà toàn bộ nút hành động và nội dung màn.</t>
  </si>
  <si>
    <t xml:space="preserve">2. KHÔNG có nút "Xác nhận đã nhận hàng" khả dụng để chuyển trạng thái đơn; màn nêu rõ đơn đang chờ admin hỗ trợ, KHÔNG tự chuyển sang "Hoàn thành".</t>
  </si>
  <si>
    <t xml:space="preserve">▬▬  5. Điều kiện chặn huỷ đơn  ·  1 TC (TC-CNL-021)</t>
  </si>
  <si>
    <t xml:space="preserve">Check huỷ đơn bị chặn khi đơn còn hiện Đã ghép nhưng người vận chuyển đã bấm lấy hàng</t>
  </si>
  <si>
    <t xml:space="preserve">- Đơn đang ở "Đã ghép" (`MATCHED`), sẵn 2 phiên đăng nhập song song: tài khoản A (Người gửi) và tài khoản B (Người vận chuyển).
- Host app FoxPro đã cài trên thiết bị Android/iOS.</t>
  </si>
  <si>
    <t xml:space="preserve">1. Trên phiên B, nhấn nút "Tôi đã lấy hàng" nhưng CHƯA xác nhận popup (giữ popup đang mở).
2. Trên phiên A, mở màn Theo dõi đơn của đơn đó và nhấn "Huỷ đơn".</t>
  </si>
  <si>
    <t xml:space="preserve">2. Huỷ bị chặn (không mở được popup nhập lý do, hoặc hiển thị lỗi ngăn huỷ).</t>
  </si>
  <si>
    <t xml:space="preserve">▬▬  6. Bề mặt Admin ngoài scope  ·  1 TC (TC-CNL-022)</t>
  </si>
  <si>
    <t xml:space="preserve">Check không tồn tại bề mặt Admin vận hành trong app end-user</t>
  </si>
  <si>
    <t xml:space="preserve">- Tài khoản A là CBNV thường (không có vai Admin) trên STG.
- Host app FoxPro đã cài trên thiết bị Android/iOS.</t>
  </si>
  <si>
    <t xml:space="preserve">1. Đăng nhập bằng tài khoản A. (setup)
2. Rà toàn bộ màn Theo dõi đơn và trang Cá nhân tìm chức năng huỷ/can thiệp của "Admin vận hành".</t>
  </si>
  <si>
    <t xml:space="preserve">2. KHÔNG có bề mặt Admin nào (không màn, không field, không nút) trong app end-user.</t>
  </si>
  <si>
    <t xml:space="preserve">▬▬  1. Ma trận hành động theo trạng thái mới  ·  9 TC (TC-DLV-031…TC-DLV-039)</t>
  </si>
  <si>
    <t xml:space="preserve">Check người gửi thấy nhãn xem lịch hẹn giao lại khi đơn hẹn giao lại</t>
  </si>
  <si>
    <t xml:space="preserve">- Tài khoản A, B, C là ba CBNV khác nhau trên STG.
- Host app FoxPro đã cài trên thiết bị Android/iOS.</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</si>
  <si>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</si>
  <si>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"Xem lịch hẹn giao lại".</t>
  </si>
  <si>
    <t xml:space="preserve">Check người vận chuyển thấy nhãn giao lại theo lịch khi đơn hẹn giao lại</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</si>
  <si>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(setup)
4. Nhấn tab "Hoạt động" và mở lại đơn đó. (setup)
5. Check nhãn hành động chính trên màn Theo dõi đơn.</t>
  </si>
  <si>
    <t xml:space="preserve">5. Nhãn hành động chính hiển thị "Giao lại theo lịch" và nhấn được để mở lại màn giao hàng.</t>
  </si>
  <si>
    <t xml:space="preserve">Check người nhận thấy nhãn xem lịch hẹn khi đơn hẹn giao lại</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</si>
  <si>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</si>
  <si>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lịch hẹn" và KHÔNG có nút giao lại nào.</t>
  </si>
  <si>
    <t xml:space="preserve">Check người gửi thấy nút xác nhận đã nhận lại hàng khi đơn đang hoàn hàng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</si>
  <si>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</si>
  <si>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"Xác nhận đã nhận lại hàng" ở trạng thái enable và màn có mục xem lịch hẹn trả hàng.</t>
  </si>
  <si>
    <t xml:space="preserve">Check người vận chuyển thấy nhãn xem lịch hẹn trả hàng khi đơn đang hoàn hàng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</si>
  <si>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Nhấn tab "Hoạt động" và mở lại đơn đó. (setup)
5. Check nhãn hành động chính trên màn Theo dõi đơn.</t>
  </si>
  <si>
    <t xml:space="preserve">5. Nhãn hành động chính hiển thị "Xem lịch hẹn trả hàng" và KHÔNG có nút xác nhận đóng đơn.</t>
  </si>
  <si>
    <t xml:space="preserve">Check người nhận thấy nhãn xem lý do hoàn hàng khi đơn đang hoàn hàng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</si>
  <si>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</si>
  <si>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lý do hoàn hàng".</t>
  </si>
  <si>
    <t xml:space="preserve">Check người gửi thấy nhãn xem lý do và đăng lại ở ba trạng thái đóng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</si>
  <si>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mở đơn đó và nhấn "Xác nhận đã nhận lại hàng". (setup)
5. Đăng 1 tin NEED khác rồi huỷ đơn đó, và để 1 tin NEED thứ ba quá "Đến ngày" mà không ai nhận. (setup)
6. Mở lần lượt cả ba đơn ở tab "Đã hoàn thành" và check nhãn hành động chính của từng đơn.</t>
  </si>
  <si>
    <t xml:space="preserve">6. Cả ba đơn đều hiển thị nhãn "Xem lý do" kèm lựa chọn "Đăng lại".</t>
  </si>
  <si>
    <t xml:space="preserve">Check người vận chuyển chỉ thấy nhãn xem lý do ở ba trạng thái đóng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</si>
  <si>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Đăng nhập bằng tài khoản A, mở đơn đó và nhấn "Xác nhận đã nhận lại hàng", rồi đăng xuất. (setup)
5. Đăng nhập lại bằng tài khoản B, nhấn tab "Hoạt động" và mở đơn đó ở tab "Đã hoàn thành". (setup)
6. Check nhãn hành động chính trên màn Theo dõi đơn.</t>
  </si>
  <si>
    <t xml:space="preserve">6. Nhãn hành động chính hiển thị "Xem lý do" và KHÔNG có lựa chọn "Đăng lại".</t>
  </si>
  <si>
    <t xml:space="preserve">Check người nhận chỉ thấy nhãn xem lý do ở ba trạng thái đóng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</si>
  <si>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mở đơn đó và nhấn "Xác nhận đã nhận lại hàng", rồi đăng xuất. (setup)
5. Đăng nhập bằng tài khoản C, nhấn tab "Hoạt động" và mở đơn đó ở tab "Đã hoàn thành". (setup)
6. Check nhãn hành động chính trên màn Theo dõi đơn.</t>
  </si>
  <si>
    <t xml:space="preserve">▬▬  2. Đơn có sự cố  ·  1 TC (TC-DLV-040)</t>
  </si>
  <si>
    <t xml:space="preserve">Check đơn có báo cáo sự cố không tự chuyển sang hoàn thành sau các mốc nhắc</t>
  </si>
  <si>
    <t xml:space="preserve">- Tài khoản A, B, C là ba CBNV khác nhau trên STG.
- Host app FoxPro đã cài trên thiết bị Android/iOS.
- Dev/QA hỗ trợ lùi timestamp đơn để vượt mốc 2 giờ và 4 giờ — ⛔ không tái tạo được qua UI.</t>
  </si>
  <si>
    <t xml:space="preserve">1. Đăng nhập bằng tài khoản A, đăng 1 tin NEED khai tài khoản C là người nhận, rồi đăng xuất. (setup)
2. Đăng nhập bằng tài khoản B, nhận đơn đó, nhấn "Tôi đã lấy hàng" và xác nhận. (setup)
3. Nhấn "Báo cáo sự cố", gửi form báo sự cố cho đơn này, rồi đăng xuất. (setup)
4. Nhờ dev/QA lùi timestamp của đơn để vượt qua cả mốc 2 giờ và mốc 4 giờ. (setup)
5. Đăng nhập bằng tài khoản A, nhấn tab "Hoạt động" và mở đơn đó. (setup)
6. Check trạng thái đơn và tab chứa đơn.</t>
  </si>
  <si>
    <t xml:space="preserve">6. Đơn KHÔNG ở trạng thái "Hoàn thành" và vẫn nằm ở tab "Đang diễn ra".</t>
  </si>
  <si>
    <t xml:space="preserve">▬▬  3. Ảnh lúc lấy hàng  ·  2 TC (TC-DLV-041…TC-DLV-042)</t>
  </si>
  <si>
    <t xml:space="preserve">Check đính ảnh lúc lấy hàng lưu được kèm mốc và đơn chuyển đang giao</t>
  </si>
  <si>
    <t xml:space="preserve">- Tài khoản A, B, C là ba CBNV khác nhau trên STG.
- Host app FoxPro đã cài trên thiết bị Android/iOS.
- Thư viện ảnh thiết bị có sẵn ≥5 ảnh JPG, mỗi ảnh ≤5MB.</t>
  </si>
  <si>
    <t xml:space="preserve">1. Đăng nhập bằng tài khoản A, đăng 1 tin NEED khai tài khoản C là người nhận, rồi đăng xuất. (setup)
2. Đăng nhập bằng tài khoản B, nhận đơn đó và xác nhận. (setup)
3. Nhấn "Tôi đã lấy hàng".
4. Đính 1 ảnh JPG từ thư viện thiết bị.
5. Nhấn "Xác nhận".
6. Mở lại đơn đó và check trạng thái đơn cùng nội dung block "LỊCH SỬ".</t>
  </si>
  <si>
    <t xml:space="preserve">6. Đơn ở trạng thái "Đang giao"; block "LỊCH SỬ" có mốc "Tôi đã lấy hàng" kèm dấu hiệu có ảnh bằng chứng và mở xem được đúng ảnh vừa đính.</t>
  </si>
  <si>
    <t xml:space="preserve">Check xác nhận đã lấy hàng vẫn thành công khi không đính ảnh nào</t>
  </si>
  <si>
    <t xml:space="preserve">1. Đăng nhập bằng tài khoản A, đăng 1 tin NEED khai tài khoản C là người nhận, rồi đăng xuất. (setup)
2. Đăng nhập bằng tài khoản B, nhận đơn đó và xác nhận. (setup)
3. Nhấn "Tôi đã lấy hàng".
4. Nhấn "Xác nhận" mà KHÔNG đính ảnh nào.
5. Check trạng thái đơn trên màn Theo dõi đơn.</t>
  </si>
  <si>
    <t xml:space="preserve">5. Đơn chuyển sang trạng thái "Đang giao" bình thường, không có thông báo lỗi đòi ảnh.</t>
  </si>
  <si>
    <t xml:space="preserve">▬▬  4. Màn Xác nhận đã giao  ·  7 TC (TC-DLV-043…TC-DLV-049)</t>
  </si>
  <si>
    <t xml:space="preserve">DOC-v1.1-01 · DOC-v1.1-03</t>
  </si>
  <si>
    <t xml:space="preserve">Check giao tận tay người nhận chuyển đơn sang đã giao và ghi đúng mốc nhật ký</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</si>
  <si>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"Người nhận" ở field "Giao cho".
5. Đính 1 ảnh JPG từ thư viện thiết bị.
6. Nhấn "Xác nhận đã giao hàng" và đồng ý ở popup xác nhận.
7. Check trạng thái đơn và dòng mới nhất ở block "LỊCH SỬ".</t>
  </si>
  <si>
    <t xml:space="preserve">7. Đơn chuyển sang trạng thái "Đã giao"; block "LỊCH SỬ" có dòng mới "Đã giao tận tay người nhận" kèm thời điểm.</t>
  </si>
  <si>
    <t xml:space="preserve">Check giao cho người được uỷ quyền tự sinh uỷ quyền bởi người nhận và ghi đúng nhật ký</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</si>
  <si>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"Người được uỷ quyền" ở field "Giao cho".
5. Nhập "Nguyễn Văn Bảy" vào ô tên người nhận thay.
6. Nhập "0912345678" vào ô số điện thoại người nhận thay.
7. Đính 1 ảnh JPG từ thư viện thiết bị.
8. Nhấn "Xác nhận đã giao hàng" và đồng ý ở popup xác nhận.
9. Check trạng thái đơn và dòng mới nhất ở block "LỊCH SỬ".</t>
  </si>
  <si>
    <t xml:space="preserve">9. Đơn chuyển sang trạng thái "Đã giao"; block "LỊCH SỬ" có dòng mới "Đã giao cho người được uỷ quyền — Nguyễn Văn Bảy · 0912345678 — uỷ quyền bởi Người nhận".</t>
  </si>
  <si>
    <t xml:space="preserve">Check gửi quầy lễ tân bắt buộc hai ô người trực quầy và ghi đúng tên vào nhật ký</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</si>
  <si>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"Quầy lễ tân" ở field "Giao cho".
5. Đính 1 ảnh JPG rồi nhấn "Xác nhận đã giao hàng" khi vẫn để trống cả hai ô của khối "NGƯỜI NHẬN TẠI QUẦY".
6. Nhập "Trần Thị Lan" vào ô "Họ tên người trực quầy".
7. Nhập "0987654321" vào ô "Số điện thoại".
8. Nhấn "Xác nhận đã giao hàng" và đồng ý ở popup xác nhận.
9. Check trạng thái đơn và dòng mới nhất ở block "LỊCH SỬ".</t>
  </si>
  <si>
    <t xml:space="preserve">9. Đơn chuyển sang trạng thái "Đã giao"; block "LỊCH SỬ" có dòng mới "Đã gửi tại quầy lễ tân — Trần Thị Lan".</t>
  </si>
  <si>
    <t xml:space="preserve">Check gửi quầy bảo vệ ghi đúng mẫu câu nhật ký riêng của quầy bảo vệ</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</si>
  <si>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"Quầy bảo vệ" ở field "Giao cho".
5. Nhập "Lê Văn Tám" vào ô "Họ tên người trực quầy".
6. Nhập "0901112223" vào ô "Số điện thoại".
7. Đính 1 ảnh JPG từ thư viện thiết bị.
8. Nhấn "Xác nhận đã giao hàng" và đồng ý ở popup xác nhận.
9. Check dòng mới nhất ở block "LỊCH SỬ".</t>
  </si>
  <si>
    <t xml:space="preserve">9. Block "LỊCH SỬ" có dòng mới "Đã gửi tại quầy bảo vệ — Lê Văn Tám", ⛔ KHÔNG dùng chữ "quầy lễ tân".</t>
  </si>
  <si>
    <t xml:space="preserve">Check nút xác nhận đã giao hàng chỉ bật sau khi đính ảnh bằng chứng đầu tiên</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</si>
  <si>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"Người nhận" ở field "Giao cho" mà chưa đính ảnh nào.
5. Check trạng thái nút "Xác nhận đã giao hàng".
6. Đính 1 ảnh JPG từ thư viện thiết bị.
7. Check lại trạng thái nút "Xác nhận đã giao hàng".</t>
  </si>
  <si>
    <t xml:space="preserve">7. Nút "Xác nhận đã giao hàng" ở trạng thái disable tại step 5 khi chưa có ảnh, và chuyển sang enable ngay sau khi đính ảnh đầu tiên.</t>
  </si>
  <si>
    <t xml:space="preserve">Check ảnh bằng chứng đã gắn mốc nhật ký không xoá được từ màn theo dõi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</si>
  <si>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mở ảnh bằng chứng vừa ghi.
5. Nhấn giữ vào ảnh và tìm thao tác xoá ảnh.
6. Check ảnh bằng chứng ở mốc "Đã giao" sau khi đã thử xoá.</t>
  </si>
  <si>
    <t xml:space="preserve">6. KHÔNG có thao tác xoá nào khả dụng và ảnh bằng chứng vẫn còn nguyên ở mốc nhật ký.</t>
  </si>
  <si>
    <t xml:space="preserve">Check huỷ ở popup xác nhận giao hàng không ghi mốc và giữ nguyên trạng thái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</si>
  <si>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và đính 1 ảnh JPG. (setup)
4. Nhấn "Xác nhận đã giao hàng".
5. Check nội dung popup xác nhận.
6. Nhấn nút huỷ ở popup.
7. Check trạng thái đơn và số dòng ở block "LỊCH SỬ".</t>
  </si>
  <si>
    <t xml:space="preserve">7. Đơn vẫn ở trạng thái "Đang giao" và block "LỊCH SỬ" KHÔNG có dòng mốc mới nào được thêm.</t>
  </si>
  <si>
    <t xml:space="preserve">▬▬  5. Luồng không liên lạc được  ·  8 TC (TC-DLV-050…TC-DLV-057)</t>
  </si>
  <si>
    <t xml:space="preserve">Check luồng không liên lạc được đi đúng bốn tầng và ba phương án đúng thứ tự</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</si>
  <si>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4. Check tên màn vừa mở và các thành phần trên màn đó.
5. Nhấn "Không thể liên lạc với người gửi và người nhận?".
6. Check tiêu đề và hai lựa chọn của modal vừa hiện.
7. Nhấn "Xử lý đơn hàng".
8. Check tên màn vừa mở và thứ tự các phương án trên màn đó.</t>
  </si>
  <si>
    <t xml:space="preserve">8. Màn "Xử lý đơn hàng" hiển thị đúng ba phương án theo thứ tự từ trên xuống: "Gửi tại chốt bảo vệ", "Gửi tại quầy lễ tân", "Cầm hàng về".</t>
  </si>
  <si>
    <t xml:space="preserve">Check màn liên hệ người gửi để trống ô người nhận thay và tự sinh uỷ quyền bởi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</si>
  <si>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(setup)
4. Chọn "Người được uỷ quyền" ở field "Giao cho" trên màn "Liên hệ người gửi".
5. Check giá trị hai ô tên và số điện thoại người nhận thay, dòng "Uỷ quyền bởi", khu vực liên hệ người gửi và dấu bắt buộc của ô ảnh.</t>
  </si>
  <si>
    <t xml:space="preserve">5. Hai ô tên và số điện thoại người nhận thay để TRỐNG, dòng "Uỷ quyền bởi" hiển thị "Người gửi" ở trạng thái chỉ đọc, màn hiện số điện thoại người gửi kèm nút gọi, và ô ảnh mang dấu bắt buộc.</t>
  </si>
  <si>
    <t xml:space="preserve">Check gửi quầy từ màn xử lý đơn hàng chuyển đơn sang đã giao khi nhập đủ tên và ảnh</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</si>
  <si>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quầy lễ tân".
5. Nhập "Phạm Thị Hoa" vào ô "Họ tên người trực quầy".
6. Nhập "0933444555" vào ô "Số điện thoại".
7. Đính 1 ảnh JPG từ thư viện thiết bị.
8. Nhấn nút xác nhận và đồng ý ở popup xác nhận.
9. Check trạng thái đơn và dòng mới nhất ở block "LỊCH SỬ".</t>
  </si>
  <si>
    <t xml:space="preserve">9. Đơn chuyển sang trạng thái "Đã giao"; block "LỊCH SỬ" có dòng mới "Đã gửi tại quầy lễ tân — Phạm Thị Hoa".</t>
  </si>
  <si>
    <t xml:space="preserve">Check không nhập được tên người trực quầy thì buộc chuyển sang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</si>
  <si>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chốt bảo vệ".
5. Đính 1 ảnh JPG và để TRỐNG ô "Họ tên người trực quầy".
6. Nhấn nút xác nhận.
7. Check trạng thái đơn và các phương án còn khả dụng trên màn.</t>
  </si>
  <si>
    <t xml:space="preserve">7. Đơn vẫn ở trạng thái "Đang giao" và màn vẫn còn phương án "Cầm hàng về" để chọn tiếp.</t>
  </si>
  <si>
    <t xml:space="preserve">Check người gửi thấy cảnh báo không liên lạc được người nhận trong nhật ký</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</si>
  <si>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A, nhấn tab "Hoạt động" và mở đơn đó. (setup)
5. Mở block "LỊCH SỬ" và check cảnh báo gắn với mốc gửi quầy.</t>
  </si>
  <si>
    <t xml:space="preserve">5. Block "LỊCH SỬ" hiển thị cảnh báo không liên lạc được người nhận gắn đúng mốc gửi quầy.</t>
  </si>
  <si>
    <t xml:space="preserve">Check người vận chuyển thấy cảnh báo không liên lạc được người nhận trong nhật ký</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</si>
  <si>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(setup)
4. Nhấn tab "Hoạt động" và mở lại đơn đó. (setup)
5. Mở block "LỊCH SỬ" và check cảnh báo gắn với mốc gửi quầy.</t>
  </si>
  <si>
    <t xml:space="preserve">Check người nhận thấy cảnh báo không liên lạc được người nhận trong nhật ký</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</si>
  <si>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C, nhấn tab "Hoạt động" và mở đơn đó. (setup)
5. Mở block "LỊCH SỬ" và check cảnh báo gắn với mốc gửi quầy.</t>
  </si>
  <si>
    <t xml:space="preserve">Check người nhận nhận đủ hai thông báo nhắc sau bốn giờ và cuối ngày giữ hàng tại quầy</t>
  </si>
  <si>
    <t xml:space="preserve">- Tài khoản A, B, C là ba CBNV khác nhau trên STG.
- Host app FoxPro đã cài trên thiết bị Android/iOS.
- Dev/QA hỗ trợ lùi timestamp đơn để vượt mốc 4 giờ — ⛔ không tái tạo được qua UI.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</si>
  <si>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người trực quầy và số điện thoại, đính 1 ảnh rồi xác nhận, sau đó đăng xuất. (setup)
4. Nhờ dev/QA lùi timestamp của mốc gửi quầy để vượt mốc 4 giờ, rồi chờ tới hết ngày làm việc mà tài khoản C không xác nhận đã nhận hàng. (setup)
5. Đăng nhập bằng tài khoản C, nhấn tab "Thông báo" và check các thông báo của đơn này.</t>
  </si>
  <si>
    <t xml:space="preserve">5. Tab "Thông báo" có đủ hai thông báo nhắc cho đơn này — một sau mốc 4 giờ và một vào cuối ngày.</t>
  </si>
  <si>
    <t xml:space="preserve">▬▬  6. Cầm hàng về  ·  10 TC (TC-DLV-058…TC-DLV-067)</t>
  </si>
  <si>
    <t xml:space="preserve">Check chọn giao lại sau đổi nhãn khối lịch hẹn sang hẹn giao lại và nơi giao lại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</si>
  <si>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giao lại sau".
5. Check tiêu đề khối lịch hẹn và nhãn ô địa điểm.</t>
  </si>
  <si>
    <t xml:space="preserve">5. Khối lịch hẹn mang tiêu đề "Hẹn giao lại" và ô địa điểm mang nhãn "Nơi giao lại".</t>
  </si>
  <si>
    <t xml:space="preserve">Check chọn trả về cho người gửi đổi nhãn khối lịch hẹn sang hẹn trả hàng và nơi nhận lại hàng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</si>
  <si>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Check tiêu đề khối lịch hẹn và nhãn ô địa điểm.</t>
  </si>
  <si>
    <t xml:space="preserve">5. Khối lịch hẹn mang tiêu đề "Hẹn trả hàng" và ô địa điểm mang nhãn "Nơi nhận lại hàng".</t>
  </si>
  <si>
    <t xml:space="preserve">Check ngày hẹn nhận đúng bảy ngày và chặn ngày thứ tám</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</si>
  <si>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rồi chọn "Tôi sẽ giao lại sau". (setup)
4. Chọn ngày hẹn là ngày hiện tại cộng 7 ngày.
5. Chọn lại ngày hẹn là ngày hiện tại cộng 8 ngày.
6. Check trạng thái ô "Ngày hẹn" và thông báo lỗi nếu có.</t>
  </si>
  <si>
    <t xml:space="preserve">6. Ngày cộng 7 được nhận không báo lỗi, còn ngày cộng 8 bị chặn kèm thông báo lỗi ở ô "Ngày hẹn".</t>
  </si>
  <si>
    <t xml:space="preserve">Check khoảng giờ hẹn nhận đúng ba mươi phút và chặn khoảng hai mươi chín phút</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</si>
  <si>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và chọn ngày hẹn hợp lệ. (setup)
4. Chọn giờ từ "09:00" và giờ đến "09:30".
5. Chọn lại giờ đến "09:29".
6. Chọn lại giờ đến "08:30".
7. Check trạng thái hai ô giờ và thông báo lỗi nếu có.</t>
  </si>
  <si>
    <t xml:space="preserve">7. Khoảng 09:00–09:30 được nhận không báo lỗi, còn khoảng 09:00–09:29 và khoảng có giờ đến nhỏ hơn giờ từ đều bị chặn kèm thông báo lỗi.</t>
  </si>
  <si>
    <t xml:space="preserve">Check người vận chuyển mở lại màn giao hàng đưa đơn hẹn giao lại về đang giao</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</si>
  <si>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(setup)
4. Nhấn tab "Hoạt động" và mở lại đơn đó.
5. Nhấn "Giao lại theo lịch".
6. Check màn vừa mở và trạng thái đơn.</t>
  </si>
  <si>
    <t xml:space="preserve">6. Màn giao hàng mở lại được và đơn trở về trạng thái "Đang giao".</t>
  </si>
  <si>
    <t xml:space="preserve">Check người gửi xác nhận đã nhận lại hàng đóng đơn ở trạng thái đã trả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</si>
  <si>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nhấn tab "Hoạt động" và mở đơn đó. (setup)
5. Nhấn "Xác nhận đã nhận lại hàng" và đồng ý ở popup xác nhận.
6. Check trạng thái đơn và tab chứa đơn.</t>
  </si>
  <si>
    <t xml:space="preserve">6. Đơn chuyển sang trạng thái đã trả lại người gửi và nằm ở tab "Đã hoàn thành".</t>
  </si>
  <si>
    <t xml:space="preserve">Check đơn đã trả người gửi không mở bước tặng quà cho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</si>
  <si>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Check màn Theo dõi đơn ngay sau khi xác nhận và các nút trên đơn ở tab "Đã hoàn thành".</t>
  </si>
  <si>
    <t xml:space="preserve">5. KHÔNG có bước tặng quà nào mở ra và đơn KHÔNG có nút tặng quà.</t>
  </si>
  <si>
    <t xml:space="preserve">Check đơn đã trả người gửi không làm tăng chỉ số đơn đã giúp của người vận chuyển</t>
  </si>
  <si>
    <t xml:space="preserve">1. Đăng nhập bằng tài khoản A, đăng 1 tin NEED khai tài khoản C là người nhận, rồi đăng xuất. (setup)
2. Đăng nhập bằng tài khoản B, mở Trang chủ và ghi lại con số "đơn đã giúp" ở khối hero. (setup)
3. Nhận đơn đó, nhấn "Tôi đã lấy hàng" và xác nhận. (setup)
4. Mở màn "Xác nhận đã giao", nhấn "Không thể liên lạc cho người nhận?", đi tiếp tới màn "Xử lý đơn hàng", nhấn "Cầm hàng về", chọn "Tôi sẽ trả về cho người gửi", nhập lịch hẹn hợp lệ và xác nhận, rồi đăng xuất. (setup)
5. Đăng nhập bằng tài khoản A, mở đơn đó, nhấn "Xác nhận đã nhận lại hàng" rồi đăng xuất. (setup)
6. Đăng nhập lại bằng tài khoản B, mở Trang chủ và check con số "đơn đã giúp" ở khối hero.</t>
  </si>
  <si>
    <t xml:space="preserve">6. Con số "đơn đã giúp" bằng đúng con số đã ghi ở step 2, không tăng.</t>
  </si>
  <si>
    <t xml:space="preserve">Check lý do người nhận từ chối nhận hàng được lưu vào nhật ký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</si>
  <si>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Nhập "Người nhận từ chối nhận hàng" vào ô ghi chú.
6. Nhập lịch hẹn hợp lệ và nhấn xác nhận.
7. Mở block "LỊCH SỬ" và check ghi chú kèm mốc cầm hàng về.</t>
  </si>
  <si>
    <t xml:space="preserve">7. Block "LỊCH SỬ" lưu đúng nguyên văn ghi chú "Người nhận từ chối nhận hàng" gắn với mốc cầm hàng về.</t>
  </si>
  <si>
    <t xml:space="preserve">Check đơn quá lịch hẹn hai mươi bốn giờ không tự chuyển sang hoàn thành</t>
  </si>
  <si>
    <t xml:space="preserve">- Tài khoản A, B, C là ba CBNV khác nhau trên STG.
- Host app FoxPro đã cài trên thiết bị Android/iOS.
- Dev/QA hỗ trợ lùi timestamp lịch hẹn để vượt mốc 24 giờ — ⛔ không tái tạo được qua UI.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</si>
  <si>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rồi đăng xuất. (setup)
4. Nhờ dev/QA lùi timestamp lịch hẹn để vượt mốc 24 giờ mà không ai đóng đơn. (setup)
5. Đăng nhập bằng tài khoản A, nhấn tab "Hoạt động" và mở đơn đó. (setup)
6. Check trạng thái đơn, nhãn trên đơn và tab chứa đơn.</t>
  </si>
  <si>
    <t xml:space="preserve">6. Đơn KHÔNG ở trạng thái "Hoàn thành", KHÔNG có nhãn hay cờ mới nào so với trước mốc, và vẫn nằm ở tab "Đang diễn ra".</t>
  </si>
  <si>
    <t xml:space="preserve">▬▬  7. Nhật ký sáu mẫu câu  ·  6 TC (TC-DLV-068…TC-DLV-073)</t>
  </si>
  <si>
    <t xml:space="preserve">Check nhật ký ghi đúng nguyên văn mẫu câu giao tận tay người nhận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</si>
  <si>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check dòng mốc giao hàng.</t>
  </si>
  <si>
    <t xml:space="preserve">4. Dòng mốc giao hàng ghi đúng nguyên văn "Đã giao tận tay người nhận", kèm thời điểm và dấu hiệu có ảnh bằng chứng.</t>
  </si>
  <si>
    <t xml:space="preserve">Check nhật ký ghi đúng nguyên văn mẫu câu giao cho người được uỷ quyền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</si>
  <si>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block "LỊCH SỬ" và check dòng mốc giao hàng.</t>
  </si>
  <si>
    <t xml:space="preserve">4. Dòng mốc giao hàng ghi đúng nguyên văn "Đã giao cho người được uỷ quyền — Nguyễn Văn Bảy · 0912345678 — uỷ quyền bởi Người nhận", kèm thời điểm và dấu hiệu có ảnh bằng chứng.</t>
  </si>
  <si>
    <t xml:space="preserve">Check nhật ký ghi đúng nguyên văn mẫu câu gửi tại quầy lễ tân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</si>
  <si>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"Trần Thị Lan" và số điện thoại "0987654321", đính 1 ảnh JPG rồi nhấn "Xác nhận đã giao hàng" và đồng ý ở popup. (setup)
4. Mở block "LỊCH SỬ" và check dòng mốc giao hàng.</t>
  </si>
  <si>
    <t xml:space="preserve">4. Dòng mốc giao hàng ghi đúng nguyên văn "Đã gửi tại quầy lễ tân — Trần Thị Lan", kèm thời điểm và dấu hiệu có ảnh bằng chứng.</t>
  </si>
  <si>
    <t xml:space="preserve">Check nhật ký ghi đúng nguyên văn mẫu câu gửi tại quầy bảo vệ</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</si>
  <si>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bảo vệ", nhập tên "Lê Văn Tám" và số điện thoại "0901112223", đính 1 ảnh JPG rồi nhấn "Xác nhận đã giao hàng" và đồng ý ở popup. (setup)
4. Mở block "LỊCH SỬ" và check dòng mốc giao hàng.</t>
  </si>
  <si>
    <t xml:space="preserve">4. Dòng mốc giao hàng ghi đúng nguyên văn "Đã gửi tại quầy bảo vệ — Lê Văn Tám", kèm thời điểm và dấu hiệu có ảnh bằng chứng.</t>
  </si>
  <si>
    <t xml:space="preserve">Check nhật ký ghi đúng nguyên văn mẫu câu cầm hàng về kèm lịch hẹn giao lại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</si>
  <si>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ngày hẹn hợp lệ, giờ "09:00" đến "10:00", nơi hẹn "Sảnh toà FPT Tower" rồi xác nhận. (setup)
4. Mở block "LỊCH SỬ" và check dòng mốc cầm hàng về.</t>
  </si>
  <si>
    <t xml:space="preserve">4. Dòng mốc ghi đúng nguyên văn "Cầm hàng về — hẹn giao lại" kèm đúng ngày hẹn, khoảng giờ 09:00–10:00 và nơi hẹn "Sảnh toà FPT Tower" đã nhập.</t>
  </si>
  <si>
    <t xml:space="preserve">Check nhật ký ghi đúng nguyên văn mẫu câu đã trả lại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</si>
  <si>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Mở block "LỊCH SỬ" và check dòng mốc cuối cùng.</t>
  </si>
  <si>
    <t xml:space="preserve">5. Dòng mốc cuối cùng ghi đúng nguyên văn "Đã trả lại người gửi", kèm thời điểm.</t>
  </si>
  <si>
    <t xml:space="preserve">▬▬  8. State machine transitions  ·  3 TC (TC-DLV-074…TC-DLV-076)</t>
  </si>
  <si>
    <t xml:space="preserve">Check chuyển thẳng đơn chờ ghép sang đã giao bị từ chối và không ghi mốc</t>
  </si>
  <si>
    <t xml:space="preserve">- Tài khoản A, B, C là ba CBNV khác nhau trên STG.
- Host app FoxPro đã cài trên thiết bị Android/iOS.
- Có sẵn công cụ proxy chặn và phát lại request trỏ vào app FoxEco trên STG.</t>
  </si>
  <si>
    <t xml:space="preserve">1. Đăng nhập bằng tài khoản A, đăng 1 tin NEED khai tài khoản C là người nhận. (setup)
2. Bật proxy chặn request và ghi lại request app gửi đi khi xác nhận một mốc trạng thái ở đơn khác. (setup)
3. Sửa request đã ghi thành yêu cầu chuyển đơn đang ở "Chờ ghép" sang "Đã giao" và phát lại request đó.
4. Mở lại đơn đó trên app và check trạng thái đơn cùng số dòng ở block "LỊCH SỬ".</t>
  </si>
  <si>
    <t xml:space="preserve">4. Đơn vẫn ở trạng thái "Chờ ghép" và block "LỊCH SỬ" KHÔNG có dòng mốc mới nào được thêm.</t>
  </si>
  <si>
    <t xml:space="preserve">Check chuyển thẳng đơn đang giao sang đã trả người gửi bị từ chối</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</si>
  <si>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trạng thái đã trả người gửi, bỏ qua bước hoàn hàng, và phát lại request đó.
5. Mở lại đơn đó trên app và check trạng thái đơn cùng số dòng ở block "LỊCH SỬ".</t>
  </si>
  <si>
    <t xml:space="preserve">5. Đơn vẫn ở trạng thái "Đang giao" và block "LỊCH SỬ" KHÔNG có dòng mốc mới nào được thêm.</t>
  </si>
  <si>
    <t xml:space="preserve">Check chuyển thẳng đơn đang giao sang hoàn thành bị từ chối</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</si>
  <si>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"Hoàn thành", bỏ qua bước "Đã giao", và phát lại request đó.
5. Mở lại đơn đó trên app và check trạng thái đơn cùng số dòng ở block "LỊCH SỬ".</t>
  </si>
  <si>
    <t xml:space="preserve">▬▬  9. NFR hiệu năng · bảo mật · riêng tư  ·  3 TC (TC-DLV-077…TC-DLV-079)</t>
  </si>
  <si>
    <t xml:space="preserve">Check tải năm ảnh bằng chứng trên mạng 4G hoàn tất dưới mười lăm giây</t>
  </si>
  <si>
    <t xml:space="preserve">- Tài khoản A, B, C là ba CBNV khác nhau trên STG.
- Host app FoxPro đã cài trên thiết bị Android/iOS.
- Thiết bị đang dùng mạng 4G, đã tắt Wi-Fi.
- Thư viện ảnh thiết bị có sẵn ≥5 ảnh JPG, mỗi ảnh đúng 5MB.
- Có sẵn đồng hồ bấm giờ.</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</si>
  <si>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chọn "Người nhận". (setup)
4. Khởi động đồng hồ bấm giờ rồi đính cùng lúc 5 ảnh JPG 5MB từ thư viện thiết bị.
5. Dừng đồng hồ bấm giờ khi cả 5 ảnh hiện đủ trong ô ảnh.
6. Lặp lại step 3 đến step 5 thêm 9 lần trên 9 đơn khác nhau và ghi lại 10 số đo.
7. Check 10 số đo đã ghi và chỉ báo tiến trình quan sát được trong lúc tải.</t>
  </si>
  <si>
    <t xml:space="preserve">7. Nhiều nhất 1 trong 10 số đo vượt 15 giây, và trong lúc tải luôn có chỉ báo tiến trình cùng khả năng thử lại từng ảnh lỗi riêng lẻ.</t>
  </si>
  <si>
    <t xml:space="preserve">Check nhật ký đơn không mất dòng mốc nào sau khi huỷ nhận đơn</t>
  </si>
  <si>
    <t xml:space="preserve">1. Đăng nhập bằng tài khoản A, đăng 1 tin NEED khai tài khoản C là người nhận, rồi đăng xuất. (setup)
2. Đăng nhập bằng tài khoản B, nhận đơn đó và xác nhận. (setup)
3. Mở block "LỊCH SỬ" và ghi lại toàn bộ các dòng mốc hiện có.
4. Nhấn "Huỷ nhận đơn" và xác nhận.
5. Bật proxy, ghi lại request app gửi đi khi thao tác trên đơn, rồi sửa thành yêu cầu sửa hoặc xoá một dòng nhật ký đã có và phát lại request đó.
6. Mở lại block "LỊCH SỬ" của đơn đó và check toàn bộ các dòng mốc.</t>
  </si>
  <si>
    <t xml:space="preserve">6. Block "LỊCH SỬ" vẫn giữ đủ mọi dòng mốc đã ghi ở step 3, gồm cả dòng ghép thành công, và KHÔNG dòng nào bị sửa hay biến mất.</t>
  </si>
  <si>
    <t xml:space="preserve">Check tên và số điện thoại người nhận thay chỉ xuất hiện trong nhật ký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</si>
  <si>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lần lượt Trang chủ, tab "Bảng tin", tab "Hoạt động" ở cả hai tab con, tab "Thông báo" và màn hồ sơ cá nhân.
5. Check từng màn ở step 4 xem có chỗ nào hiện tên "Nguyễn Văn Bảy" hoặc số "0912345678" không.</t>
  </si>
  <si>
    <t xml:space="preserve">5. KHÔNG màn nào trong số đó hiện tên "Nguyễn Văn Bảy" hay số "0912345678"; hai giá trị này chỉ xuất hiện ở block "LỊCH SỬ" của đơn.</t>
  </si>
  <si>
    <t xml:space="preserve">▬▬  10. Tiện ích copy nhanh  ·  2 TC (TC-DLV-080…TC-DLV-081)</t>
  </si>
  <si>
    <t xml:space="preserve">Check icon copy cạnh số điện thoại sao chép đúng nội dung và đổi màu xanh</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</si>
  <si>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số điện thoại liên hệ đang hiển thị trên màn Theo dõi đơn.
5. Nhấn icon copy cạnh số điện thoại đó.
6. Dán nội dung vừa copy vào ô tìm kiếm ở tab "Bảng tin" và check nội dung dán ra cùng trạng thái icon copy lúc vừa nhấn.</t>
  </si>
  <si>
    <t xml:space="preserve">6. Nội dung dán ra đúng nguyên văn số điện thoại đã ghi ở step 4, và icon copy đã đổi trạng thái sang màu xanh khoảng 2 giây rồi trở lại bình thường.</t>
  </si>
  <si>
    <t xml:space="preserve">Check icon copy cạnh địa chỉ giao sao chép đúng nội dung và đổi màu xanh</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</si>
  <si>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địa chỉ giao đang hiển thị trên màn Theo dõi đơn.
5. Nhấn icon copy cạnh địa chỉ giao đó.
6. Dán nội dung vừa copy vào ô tìm kiếm ở tab "Bảng tin" và check nội dung dán ra cùng trạng thái icon copy lúc vừa nhấn.</t>
  </si>
  <si>
    <t xml:space="preserve">6. Nội dung dán ra đúng nguyên văn địa chỉ giao đã ghi ở step 4, và icon copy đã đổi trạng thái sang màu xanh khoảng 2 giây rồi trở lại bình thường.</t>
  </si>
  <si>
    <t xml:space="preserve">▬▬  1. Card tin ở Bảng tin  ·  1 TC (TC-FEED-002)</t>
  </si>
  <si>
    <t xml:space="preserve">Check card tin ở Bảng tin đủ thành phần và không có nút CTA</t>
  </si>
  <si>
    <t xml:space="preserve">- Tài khoản B là CBNV có hồ sơ đầy đủ trên STG.
- Host app FoxPro đã cài trên thiết bị Android/iOS.</t>
  </si>
  <si>
    <t xml:space="preserve">1. Đăng nhập bằng tài khoản B, nhấn tab "Bảng tin". (setup)
2. Check lần lượt các thành phần và rà toàn bộ card tin đầu tiên tìm nút "Tôi mang giúp được".</t>
  </si>
  <si>
    <t xml:space="preserve">2. Card hiển thị đủ: icon/ảnh hàng, dòng loại hàng kèm giá trị hàng, thời gian đăng, dòng "Nhận:"/"Giao:" dạng rút gọn, khung giờ mong muốn; card KHÔNG có nút "Tôi mang giúp được" ở bất kỳ đâu.</t>
  </si>
  <si>
    <t xml:space="preserve">▬▬  2. Chi tiết tin  ·  1 TC (TC-FEED-007)</t>
  </si>
  <si>
    <t xml:space="preserve">Check phần dưới Chi tiết tin đủ lộ trình, khung giờ, tên người gửi và CTA</t>
  </si>
  <si>
    <t xml:space="preserve">1. Đăng nhập bằng tài khoản B, nhấn tab "Bảng tin" và nhấn 1 tin do tài khoản khác đăng. (setup)
2. Cuộn xuống phần dưới màn Chi tiết tin.
3. Check lần lượt các thành phần.</t>
  </si>
  <si>
    <t xml:space="preserve">3. Hiển thị đủ: khối Lộ trình gồm điểm lấy hàng và điểm giao hàng đầy đủ như data đã đăng kèm khung "Bản đồ · ~X km", khung giờ mong muốn, cụm Người gửi có đúng họ tên (KHÔNG có số điện thoại), và nút "Tôi mang giúp được".</t>
  </si>
  <si>
    <t xml:space="preserve">▬▬  3. Bản đồ tuyến  ·  2 TC (TC-FEED-009…TC-FEED-015)</t>
  </si>
  <si>
    <t xml:space="preserve">Check khung bản đồ ở Chi tiết tin là ảnh tĩnh có vẽ tuyến thật</t>
  </si>
  <si>
    <t xml:space="preserve">- Tin NEED có điểm lấy hàng và điểm giao hàng đều thuộc văn phòng CÓ đủ toạ độ (lat/lng) trong `location_address_catalog.xlsx` — chọn văn phòng NGOÀI danh sách lỗi `C-FEED-05`.
- Host app FoxPro đã cài trên thiết bị Android/iOS.</t>
  </si>
  <si>
    <t xml:space="preserve">1. Đăng nhập bằng tài khoản B, nhấn tab "Bảng tin" và nhấn tin đó để mở màn Chi tiết tin. (setup)
2. Check khung "Bản đồ · ~X km".</t>
  </si>
  <si>
    <t xml:space="preserve">2. Khung hiển thị ảnh bản đồ **tĩnh có vẽ tuyến** từ điểm lấy tới điểm giao (không phải khung trống/placeholder); có dòng "~X km" (không assert giá trị số cụ thể).</t>
  </si>
  <si>
    <t xml:space="preserve">DOC-v1.1-04</t>
  </si>
  <si>
    <t xml:space="preserve">Check khung bản đồ hiện placeholder và 0km khi văn phòng thiếu toạ độ</t>
  </si>
  <si>
    <t xml:space="preserve">- Tin NEED có điểm lấy hoặc điểm giao là văn phòng THIẾU lat/lng trong `location_address_catalog.xlsx` (theo danh sách lỗi đã xác nhận ở `C-FEED-05`).
- Host app FoxPro đã cài trên thiết bị Android/iOS.</t>
  </si>
  <si>
    <t xml:space="preserve">1. Đăng nhập bằng tài khoản B, nhấn tab "Bảng tin" và nhấn tin đó để mở màn Chi tiết tin. (setup)
2. Check khung "Bản đồ · ~X km" và tổng thể bố cục màn.</t>
  </si>
  <si>
    <t xml:space="preserve">2. Khung hiển thị placeholder kèm thông báo (không phải ảnh bản đồ vẽ tuyến); khoảng cách hiện đúng "0km"; màn không vỡ layout.</t>
  </si>
  <si>
    <t xml:space="preserve">▬▬  4. Empty state Bảng tin  ·  1 TC (TC-FEED-013)</t>
  </si>
  <si>
    <t xml:space="preserve">Check empty state Bảng tin đúng text và chỉ 1 danh sách không tab</t>
  </si>
  <si>
    <t xml:space="preserve">- Tài khoản B là CBNV có hồ sơ đầy đủ trên STG.</t>
  </si>
  <si>
    <t xml:space="preserve">1. Nhờ dev/QA chuẩn bị môi trường không còn tin NEED ở trạng thái "Chờ ghép". (setup)
2. Đăng nhập bằng tài khoản B, nhấn tab "Bảng tin". (setup)
3. Check vùng danh sách, text hiển thị, nút CTA, và cấu trúc màn (có tab con hay không).</t>
  </si>
  <si>
    <t xml:space="preserve">3. Vùng danh sách hiện đúng chuỗi "Chưa có tin nào", có câu gợi ý **mở rộng khu vực hoặc đăng tin**, kèm nút CTA "Đăng tin"; màn Bảng tin chỉ có **1 danh sách duy nhất, không có tab con nào**.</t>
  </si>
  <si>
    <t xml:space="preserve">▬▬  1. Danh mục quà  ·  1 TC (TC-GIFT-002)</t>
  </si>
  <si>
    <t xml:space="preserve">Check màn "Tặng quà" hiển thị đúng tên bốn loại quà theo danh mục chính thức</t>
  </si>
  <si>
    <t xml:space="preserve">- Đơn đã ở trạng thái Hoàn thành của `SEED-GIFT-01` (xem sheet `Seed` của chính file này), chưa gửi quà — không seed riêng.
- Host app FoxPro đã cài trên thiết bị Android/iOS.</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</si>
  <si>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Đọc danh sách quà hiển thị trên màn "Tặng quà".</t>
  </si>
  <si>
    <t xml:space="preserve">4. Màn hiển thị đúng 4 loại quà, đúng tên: "Bông hoa", "Ly cà phê", "Gấu bông", "Vương miện"; không có loại thứ năm, không có loại nào bị đổi tên hay đổi icon.</t>
  </si>
  <si>
    <t xml:space="preserve">▬▬  2. Gửi quà  ·  1 TC (TC-GIFT-003)</t>
  </si>
  <si>
    <t xml:space="preserve">Check gửi quà hiện đúng popup "Cảm ơn của bạn đã được gửi" kèm nút về trang chủ</t>
  </si>
  <si>
    <t xml:space="preserve">- Đơn đã ở trạng thái Hoàn thành của `SEED-GIFT-02` (xem sheet `Seed` của chính file này, đơn RIÊNG — TC này sẽ tiêu đơn) — không seed riêng.
- Host app FoxPro đã cài trên thiết bị Android/iOS.</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</si>
  <si>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loại quà "Bông hoa".
5. Nhấn nút xác nhận gửi quà.</t>
  </si>
  <si>
    <t xml:space="preserve">5. Quà gửi ngay, không có bước chờ xác nhận của người vận chuyển; popup hiện đúng chuỗi "Cảm ơn của bạn đã được gửi" kèm nút về trang chủ.</t>
  </si>
  <si>
    <t xml:space="preserve">▬▬  3. Thống kê quà đã nhận  ·  2 TC (TC-GIFT-006…TC-GIFT-007)</t>
  </si>
  <si>
    <t xml:space="preserve">Check card đếm quà hiển thị đúng từng loại và tổng khi nhận 5 quà thuộc 2 loại</t>
  </si>
  <si>
    <t xml:space="preserve">- Tài khoản B đã nhận 5 quà gồm 3 "Bông hoa" và 2 "Gấu bông" của `SEED-GIFT-05` (xem sheet `Seed` của chính file này, v1.1 revised) — không seed riêng.
- Host app FoxPro đã cài trên thiết bị Android/iOS.</t>
  </si>
  <si>
    <t xml:space="preserve">1. Đăng nhập FoxEco bằng tài khoản B, nhấn tab "Cá nhân" và nhấn mục menu "Quà đã nhận". (setup)
2. Check các loại quà và số lượng hiển thị trên card đếm.</t>
  </si>
  <si>
    <t xml:space="preserve">2. Card đếm hiển thị đúng 2 loại "Bông hoa" (3) và "Gấu bông" (2), tổng = 5; KHÔNG hiển thị "Ly cà phê" và "Vương miện" kể cả dưới dạng số 0.</t>
  </si>
  <si>
    <t xml:space="preserve">Check màn "Quà đã nhận" có danh sách lịch sử nhận quà</t>
  </si>
  <si>
    <t xml:space="preserve">- Tài khoản B đã nhận 5 quà ở các thời điểm khác nhau của `SEED-GIFT-05` (xem sheet `Seed` của chính file này, dùng chung với `TC-GIFT-006`) — không seed riêng.
- Host app FoxPro đã cài trên thiết bị Android/iOS.</t>
  </si>
  <si>
    <t xml:space="preserve">1. Đăng nhập FoxEco bằng tài khoản B, nhấn tab "Cá nhân" và nhấn mục menu "Quà đã nhận". (setup)
2. Cuộn hết màn, check vùng danh sách lịch sử nhận quà.</t>
  </si>
  <si>
    <t xml:space="preserve">2. Màn CÓ danh sách lịch sử nhận quà (không chỉ có card đếm); số dòng khớp số lần đã nhận quà của `SEED-GIFT-05`.</t>
  </si>
  <si>
    <t xml:space="preserve">▬▬  4. Empty state Quà đã nhận  ·  1 TC (TC-GIFT-008)</t>
  </si>
  <si>
    <t xml:space="preserve">Check empty state "Quà đã nhận" đúng text và không có CTA</t>
  </si>
  <si>
    <t xml:space="preserve">- Tài khoản CBNV "trắng" trên STG (chưa từng nhận quà, chưa có đơn Hoàn thành nào).
- Host app FoxPro đã cài trên thiết bị Android/iOS.</t>
  </si>
  <si>
    <t xml:space="preserve">1. Đăng nhập FoxEco bằng tài khoản "trắng". (setup)
2. Nhấn tab "Cá nhân" và nhấn mục menu "Quà đã nhận". (setup)
3. Check text hiển thị trên màn "Quà đã nhận", thống kê "Đơn đã giúp"/"Quà đã nhận" trên Trang cá nhân, và sự tồn tại của bất kỳ nút CTA nào.</t>
  </si>
  <si>
    <t xml:space="preserve">3. Màn "Quà đã nhận" hiện đúng chuỗi "Chưa nhận được quà nào"; thống kê trên Trang cá nhân hiện đúng "0 đơn đã giúp" / "0 quà đã nhận"; KHÔNG có nút CTA nào trên màn.</t>
  </si>
  <si>
    <t xml:space="preserve">▬▬  5. Dấu vết sao · điểm · tier  ·  1 TC (TC-GIFT-011)</t>
  </si>
  <si>
    <t xml:space="preserve">Check không có sao, điểm, tier hay chỉ số môi trường trên cả 4 bề mặt của luồng tặng quà</t>
  </si>
  <si>
    <t xml:space="preserve">- Đơn đã ở trạng thái Hoàn thành của `SEED-GIFT-06` (xem sheet `Seed` của chính file này, đơn RIÊNG — TC này sẽ tiêu đơn khi gửi quà) — không seed riêng.
- Host app FoxPro đã cài trên thiết bị Android/iOS.</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</si>
  <si>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1 loại quà bất kỳ và nhấn xác nhận gửi để mở popup cảm ơn.
5. Đóng popup, nhấn tab "Cá nhân" rồi mở mục menu "Quà đã nhận".
6. Rà toàn bộ 4 bề mặt vừa đi qua (màn "Tặng quà", popup cảm ơn, màn "Quà đã nhận", Trang cá nhân) tìm chấm sao 1–5, điểm số, tier/xếp hạng, chỉ số môi trường.</t>
  </si>
  <si>
    <t xml:space="preserve">6. KHÔNG có chấm sao 1–5, KHÔNG có điểm, KHÔNG có tier/xếp hạng, KHÔNG có chỉ số môi trường ở bất kỳ bề mặt nào trong 4 bề mặt trên.</t>
  </si>
  <si>
    <t xml:space="preserve">▬▬  6. Đơn đã trả người gửi  ·  2 TC (TC-GIFT-013…TC-GIFT-014)</t>
  </si>
  <si>
    <t xml:space="preserve">Check đơn RETURNED không có nút tặng quà và vẫn hiện trong lịch sử đơn</t>
  </si>
  <si>
    <t xml:space="preserve">- Đã có sẵn 1 đơn ở trạng thái `RETURNED`, đi hết nhánh `IN_TRANSIT → RETURNING → RETURNED` của `SEED-GIFT-08` (xem sheet `Seed` của chính file này, dùng chung với `DLV`) — không seed riêng; ⚠ có thể KHÔNG seed được nếu STG chưa build `FR09`.
- Host app FoxPro đã cài trên thiết bị Android/iOS.</t>
  </si>
  <si>
    <t xml:space="preserve">1. Đăng nhập FoxEco bằng tài khoản A (Người gửi của đơn `RETURNED` đó), nhấn tab "Hoạt động" ở bottom nav rồi nhấn tab con "Đã hoàn thành". (setup)
2. Nhấn vào card đơn `RETURNED` đó để mở màn Theo dõi đơn. (setup)
3. Rà toàn bộ màn tìm nút tặng quà/"✓ Cảm ơn người vận chuyển", đồng thời check nội dung lý do hoàn hàng.</t>
  </si>
  <si>
    <t xml:space="preserve">3. KHÔNG có nút tặng quà (hay "✓ Cảm ơn người vận chuyển") ở bất kỳ đâu trên màn; màn hiển thị lý do hoàn hàng và đơn vẫn nằm trong lịch sử đơn.</t>
  </si>
  <si>
    <t xml:space="preserve">Check đơn RETURNED không được tính vào chỉ số "Đơn đã giúp"</t>
  </si>
  <si>
    <t xml:space="preserve">- Tài khoản B (Người vận chuyển) đã có sẵn N đơn `COMPLETED` được tính vào "Đơn đã giúp" (tái dùng đơn Hoàn thành từ `SEED-GIFT-01`/`02`/`05`/`06`) — không seed riêng.
- Host app FoxPro đã cài trên thiết bị Android/iOS.</t>
  </si>
  <si>
    <t xml:space="preserve">1. Đăng nhập FoxEco bằng tài khoản B, nhấn tab "Cá nhân". (setup)
2. Check và ghi lại số "Đơn đã giúp" hiện tại trên Trang cá nhân (giá trị N).
3. Thực hiện luồng hoàn hàng cho 1 đơn khác của cùng tài khoản B tới khi đơn đó chuyển hẳn sang `RETURNED` (theo đúng quy trình liên module với `DLV`, dùng chung `SEED-GIFT-08`/`SC-DLV-053..056` — xem sheet `Seed` của chính file này). (setup)
4. Quay lại Trang cá nhân, check lại số "Đơn đã giúp".</t>
  </si>
  <si>
    <t xml:space="preserve">4. Số "Đơn đã giúp" vẫn là N (không đổi thành N+1) dù vừa phát sinh thêm 1 đơn `RETURNED`.</t>
  </si>
  <si>
    <t xml:space="preserve">▬▬  1. Hero và số liệu cộng đồng  ·  3 TC (TC-HOME-008…TC-HOME-031)</t>
  </si>
  <si>
    <t xml:space="preserve">Check card Đóng góp của bạn hiện đúng số đơn đã giúp và không có chỉ số môi trường</t>
  </si>
  <si>
    <t xml:space="preserve">1. Đăng nhập bằng tài khoản A, mở Trang chủ và ghi lại con số đơn đã giúp ở khối hero. (setup)
2. Đăng xuất, đăng nhập bằng tài khoản B, đăng 1 tin NEED khai tài khoản C là người nhận, rồi đăng xuất. (setup)
3. Đăng nhập bằng tài khoản A, nhận đơn đó, nhấn "Tôi đã lấy hàng" và xác nhận, rồi giao hàng cho tới khi đơn sang "Đã giao", sau đó đăng xuất. (setup)
4. Đăng nhập bằng tài khoản C, mở đơn đó và nhấn xác nhận đã nhận hàng, rồi đăng xuất. (setup)
5. Đăng nhập lại bằng tài khoản A và mở Trang chủ. (setup)
6. Check con số ở khối hero, dòng số liệu cộng đồng và toàn bộ nội dung card "Đóng góp của bạn".</t>
  </si>
  <si>
    <t xml:space="preserve">6. Khối hero hiện con số lớn hơn đúng 1 so với con số đã ghi ở step 1; dòng số liệu cộng đồng hiện đúng định dạng "[số] đơn · [số] người"; card KHÔNG hiện chỉ số CO₂ hay điểm ECO nào.</t>
  </si>
  <si>
    <t xml:space="preserve">Check hero hiện số không với tài khoản chỉ từng làm người gửi</t>
  </si>
  <si>
    <t xml:space="preserve">- Tài khoản CBNV "sạch" trên STG = `SEED-HOME-01` (0 đóng góp) — dùng chung với `TC-HOME-027/028`, không chuẩn bị lại.
- Tài khoản B và C là hai CBNV khác trên STG.
- Host app FoxPro đã cài trên thiết bị Android/iOS.</t>
  </si>
  <si>
    <t xml:space="preserve">1. Đăng nhập bằng tài khoản "sạch", đăng 1 tin NEED khai tài khoản C là người nhận, rồi đăng xuất. (setup)
2. Đăng nhập bằng tài khoản B, nhận đơn đó, nhấn "Tôi đã lấy hàng" và xác nhận, rồi giao hàng cho tới khi đơn sang "Đã giao", sau đó đăng xuất. (setup)
3. Đăng nhập bằng tài khoản C, mở đơn đó và nhấn xác nhận đã nhận hàng, rồi đăng xuất. (setup)
4. Đăng nhập lại bằng tài khoản "sạch" và mở Trang chủ. (setup)
5. Check con số đơn đã giúp ở khối hero.</t>
  </si>
  <si>
    <t xml:space="preserve">5. Khối hero hiện số 0, đơn Hoàn thành ở vai người gửi KHÔNG được cộng vào.</t>
  </si>
  <si>
    <t xml:space="preserve">Check số đơn cộng đồng tăng đúng một ngay sau khi có đơn hoàn thành</t>
  </si>
  <si>
    <t xml:space="preserve">1. Đăng nhập bằng tài khoản A, mở Trang chủ và ghi lại số đơn ở dòng số liệu cộng đồng. (setup)
2. Đăng xuất, đăng nhập bằng tài khoản B, đăng 1 tin NEED khai tài khoản C là người nhận, nhờ một tài khoản phụ khác nhận và giao đơn đó cho tới khi đơn sang "Đã giao", rồi đăng xuất. (setup)
3. Đăng nhập bằng tài khoản C, mở đơn đó và nhấn xác nhận đã nhận hàng, rồi đăng xuất. (setup)
4. Đăng nhập lại bằng tài khoản A và mở lại Trang chủ. (setup)
5. Check số đơn ở dòng số liệu cộng đồng.</t>
  </si>
  <si>
    <t xml:space="preserve">5. Số đơn ở dòng cộng đồng lớn hơn đúng 1 so với con số đã ghi ở step 1.</t>
  </si>
  <si>
    <t xml:space="preserve">▬▬  2. Section Tin mới  ·  5 TC (TC-HOME-019…TC-HOME-030)</t>
  </si>
  <si>
    <t xml:space="preserve">Check section Tin mới hiển thị đúng năm tin khi hệ thống có nhiều hơn năm tin hợp lệ</t>
  </si>
  <si>
    <t xml:space="preserve">1. Đăng nhập bằng tài khoản B, đăng 6 tin NEED còn hiệu lực qua wizard "+ Đăng tin", rồi đăng xuất. (setup)
2. Đăng nhập bằng tài khoản A và mở Trang chủ. (setup)
3. Đếm số tin hiển thị trong section "Tin mới".</t>
  </si>
  <si>
    <t xml:space="preserve">3. Section "Tin mới" hiển thị đúng 5 tin, không nhiều hơn và không ít hơn.</t>
  </si>
  <si>
    <t xml:space="preserve">Check nút Xem thêm trên Bảng tin hiện và dẫn sang Bảng tin khi có hơn năm tin hợp lệ</t>
  </si>
  <si>
    <t xml:space="preserve">1. Đăng nhập bằng tài khoản B, đăng 6 tin NEED còn hiệu lực qua wizard "+ Đăng tin", rồi đăng xuất. (setup)
2. Đăng nhập bằng tài khoản A và mở Trang chủ. (setup)
3. Cuộn xuống cuối section "Tin mới".
4. Nhấn nút "Xem thêm trên Bảng tin".
5. Check tên màn vừa mở.</t>
  </si>
  <si>
    <t xml:space="preserve">5. Nút "Xem thêm trên Bảng tin" hiện ở cuối section và nhấn vào mở đúng màn Bảng tin.</t>
  </si>
  <si>
    <t xml:space="preserve">Check nút Xem thêm trên Bảng tin không hiện khi chỉ có đúng năm tin hợp lệ</t>
  </si>
  <si>
    <t xml:space="preserve">- Tài khoản A là CBNV có hồ sơ đầy đủ trên STG.
- Host app FoxPro đã cài trên thiết bị Android/iOS.
- Môi trường STG riêng hoặc khung giờ đã dọn dữ liệu, cho phép khống chế tổng số tin NEED hợp lệ của TOÀN hệ thống.</t>
  </si>
  <si>
    <t xml:space="preserve">1. Dọn dữ liệu STG để toàn hệ thống không còn tin NEED hợp lệ nào, rồi đăng đúng 5 tin NEED còn hiệu lực bằng tài khoản phụ, sau đó đăng xuất. (setup)
2. Đăng nhập bằng tài khoản A và mở Trang chủ. (setup)
3. Đếm số tin trong section "Tin mới" rồi cuộn xuống cuối section.
4. Check khu vực cuối section "Tin mới".</t>
  </si>
  <si>
    <t xml:space="preserve">4. Section hiển thị đúng 5 tin và cuối section KHÔNG có nút "Xem thêm trên Bảng tin".</t>
  </si>
  <si>
    <t xml:space="preserve">REQ-HOME-011, REQ-HOME-012</t>
  </si>
  <si>
    <t xml:space="preserve">Check empty state section Tin mới hiện đúng chuỗi và nút đăng tin ngay</t>
  </si>
  <si>
    <t xml:space="preserve">- Tài khoản A là CBNV có hồ sơ đầy đủ trên STG.
- Host app FoxPro đã cài trên thiết bị Android/iOS.
- Môi trường STG riêng hoặc khung giờ đã dọn dữ liệu, cho phép đưa toàn hệ thống về 0 tin NEED hợp lệ.</t>
  </si>
  <si>
    <t xml:space="preserve">1. Dọn dữ liệu STG để toàn hệ thống không còn tin NEED hợp lệ nào ngoài tin của chính tài khoản A. (setup)
2. Đăng nhập bằng tài khoản A và mở Trang chủ. (setup)
3. Check vùng nội dung của section "Tin mới": icon, dòng tiêu đề, dòng giải thích và nút CTA.</t>
  </si>
  <si>
    <t xml:space="preserve">3. Section hiện icon nét mảnh, dòng tiêu đề đúng chuỗi "Chưa có tin nào trong khu vực của bạn", dòng giải thích "Đăng tin để đồng nghiệp nhìn thấy nhu cầu của bạn" và nút CTA "Đăng tin ngay"; không có skeleton kéo dài.</t>
  </si>
  <si>
    <t xml:space="preserve">Check section Tin mới loại trừ tin đã ghép tin hết hạn và tin của chính mình</t>
  </si>
  <si>
    <t xml:space="preserve">- Tài khoản A và B là hai CBNV khác nhau trên STG.
- Host app FoxPro đã cài trên thiết bị Android/iOS.
- Dev/QA hỗ trợ lùi "Đến ngày" của 1 tin để tạo tin hết hạn — ⛔ không tạo được qua UI.</t>
  </si>
  <si>
    <t xml:space="preserve">1. Đăng nhập bằng tài khoản B, đăng 6 tin NEED còn hiệu lực với tiêu đề phân biệt được, rồi đăng xuất. (setup)
2. Đăng nhập bằng tài khoản phụ thứ ba, nhận 1 trong 6 tin đó để đưa tin sang trạng thái đã ghép, rồi đăng xuất. (setup)
3. Nhờ dev/QA lùi "Đến ngày" của 1 tin khác trong 6 tin đó để tin chuyển sang hết hạn. (setup)
4. Đăng nhập bằng tài khoản A, đăng 1 tin NEED với tiêu đề riêng biệt. (setup)
5. Mở Trang chủ và đối chiếu tiêu đề từng tin trong section "Tin mới" với ba tin đã đánh dấu ở step 2, 3 và 4.</t>
  </si>
  <si>
    <t xml:space="preserve">5. Cả ba tin đã đánh dấu đều KHÔNG xuất hiện trong section "Tin mới".</t>
  </si>
  <si>
    <t xml:space="preserve">▬▬  3. Empty state Trang chủ  ·  2 TC (TC-HOME-027…TC-HOME-028)</t>
  </si>
  <si>
    <t xml:space="preserve">Check section Đơn của tôi vẫn hiện kèm empty state khi chưa có đơn đang chạy</t>
  </si>
  <si>
    <t xml:space="preserve">- Tài khoản CBNV "sạch" trên STG = `SEED-HOME-01` (0 tin đã đăng, 0 đơn đang chạy, 0 đóng góp) — dùng chung với `TC-HOME-028/029`, chuẩn bị 1 lần.
- Host app FoxPro đã cài trên thiết bị Android/iOS.</t>
  </si>
  <si>
    <t xml:space="preserve">1. Đăng nhập FoxEco bằng tài khoản "sạch". (setup)
2. Mở Trang chủ. (setup)
3. Check sự tồn tại của section "Đơn của tôi" và nội dung bên trong section đó.</t>
  </si>
  <si>
    <t xml:space="preserve">3. Section "Đơn của tôi" VẪN hiển thị trên Trang chủ, bên trong có icon nét mảnh, dòng "Bạn chưa có đơn nào đang chạy" và nút CTA "Tạo đơn gửi hàng".</t>
  </si>
  <si>
    <t xml:space="preserve">Check hero và cụm cộng đồng hiện số không khi tài khoản và hệ thống chưa có đóng góp</t>
  </si>
  <si>
    <t xml:space="preserve">- Tài khoản CBNV "sạch" trên STG = `SEED-HOME-01` (0 tin đã đăng, 0 đơn đang chạy, 0 đóng góp) — dùng chung với `TC-HOME-027/029`, không chuẩn bị lại.
- Host app FoxPro đã cài trên thiết bị Android/iOS.
- Môi trường STG chưa có đơn Hoàn thành nào của bất kỳ tài khoản nào.</t>
  </si>
  <si>
    <t xml:space="preserve">1. Đăng nhập FoxEco bằng tài khoản "sạch". (setup)
2. Mở Trang chủ. (setup)
3. Check khối hero, cụm số liệu cộng đồng và các nút CTA trong vùng này.</t>
  </si>
  <si>
    <t xml:space="preserve">3. Khối hero hiện "0 · Chưa có đóng góp nào", cụm cộng đồng hiện "0 đơn · 0 người", và vùng này KHÔNG có nút CTA nào.</t>
  </si>
  <si>
    <t xml:space="preserve">▬▬  4. Hiệu năng NFR01  ·  1 TC (TC-HOME-032)</t>
  </si>
  <si>
    <t xml:space="preserve">Check nội dung đầu Trang chủ hiển thị dưới hai giây khi có một nghìn người dùng đồng thời</t>
  </si>
  <si>
    <t xml:space="preserve">- Tài khoản A là CBNV có hồ sơ đầy đủ trên STG.
- Môi trường load-test mô phỏng được 1.000 người dùng đồng thời trên mạng 4G — ⛔ không dựng được bằng thiết bị tay.
- Có sẵn công cụ đo thời gian hiển thị nội dung đầu tiên.</t>
  </si>
  <si>
    <t xml:space="preserve">1. Khởi động kịch bản load-test mô phỏng 1.000 người dùng đồng thời truy cập FoxEco trên mạng 4G. (setup)
2. Mở Trang chủ bằng tài khoản A trong lúc tải đang ở mức đỉnh.
3. Check số đo thời gian từ lúc mở màn tới lúc nội dung đầu tiên hiển thị, lấy theo phân vị 95.</t>
  </si>
  <si>
    <t xml:space="preserve">3. Số đo phân vị 95 nhỏ hơn 2 giây.</t>
  </si>
  <si>
    <t xml:space="preserve">▬▬  1. Thông báo hoàn tất đơn  ·  1 TC (TC-NTF-005)</t>
  </si>
  <si>
    <t xml:space="preserve">Check xác nhận nhận hàng sinh thông báo hoàn tất đúng text cho hai vai</t>
  </si>
  <si>
    <t xml:space="preserve">- Đơn đã ở checkpoint 3 (`DELIVERED`/Đã giao) của `SEED-DLV-01` — không seed riêng, không cần 2 thiết bị.
- Host app FoxPro đã cài trên thiết bị Android/iOS.</t>
  </si>
  <si>
    <t xml:space="preserve">1. Ngay sau khi người nhận nhấn "Xác nhận đã nhận hàng" và xác nhận (đẩy đơn sang `COMPLETED`), đăng nhập tài khoản A (người gửi), nhấn icon chuông, check nội dung thông báo về đơn đó. (setup)
2. Đăng nhập tài khoản B (người vận chuyển), nhấn icon chuông, check nội dung thông báo về đơn đó.</t>
  </si>
  <si>
    <t xml:space="preserve">2. Cả tài khoản A và tài khoản B đều có thông báo đúng chuỗi verbatim "Đơn đã hoàn tất — cảm ơn bạn!".</t>
  </si>
  <si>
    <t xml:space="preserve">▬▬  2. Riêng tư trong nội dung thông báo  ·  1 TC (TC-NTF-008)</t>
  </si>
  <si>
    <t xml:space="preserve">Check không thông báo nào trong đủ 15 sự kiện chứa số điện thoại</t>
  </si>
  <si>
    <t xml:space="preserve">- Có sẵn 1 đơn đi trọn vòng đời chính (`SEED-DLV-01` checkpoint 0→4) VÀ đơn/nhóm đơn đã đi qua đủ 6 nhánh phụ FR08/FR09 (uỷ quyền · quầy lễ tân · quầy bảo vệ · không liên lạc được · hẹn giao lại · trả hàng — tái dùng từ `TC-NTF-017..022` bên dưới, không seed riêng).
- Vế push cần ≥2 thiết bị/phiên thật đăng nhập đúng lúc sự kiện xảy ra.
- Host app FoxPro đã cài trên thiết bị Android/iOS.</t>
  </si>
  <si>
    <t xml:space="preserve">1. Với từng tài khoản liên quan (người gửi/vận chuyển/nhận) của toàn bộ đơn trên, đăng nhập lần lượt, nhấn icon chuông và đọc toàn bộ nội dung từng thông báo trong danh sách — bao trùm đủ 15 sự kiện `NTF-01..15`.
2. Với thiết bị đã đăng nhập sẵn trong lúc sự kiện xảy ra, kéo thanh thông báo hệ thống và đọc toàn bộ nội dung các push đã nhận.</t>
  </si>
  <si>
    <t xml:space="preserve">2. KHÔNG thông báo nào (in-app lẫn push), kể cả 6 sự kiện mới `NTF-10..15`, chứa dãy số điện thoại; các dòng nhạy cảm nhất (`NTF-10`/`11`/`12`) chỉ được nhắc "có ảnh bằng chứng"/"cần xác nhận uỷ quyền", không kèm số.</t>
  </si>
  <si>
    <t xml:space="preserve">▬▬  3. Danh mục 15 sự kiện  ·  1 TC (TC-NTF-014)</t>
  </si>
  <si>
    <t xml:space="preserve">Check quan sát đủ 15 loại thông báo chính thức đúng người nhận từng loại</t>
  </si>
  <si>
    <t xml:space="preserve">- Có sẵn cùng bộ đơn của `TC-NTF-008` (vòng đời chính + đủ 6 nhánh phụ FR08/FR09) — không seed riêng.
- Host app FoxPro đã cài trên thiết bị Android/iOS.</t>
  </si>
  <si>
    <t xml:space="preserve">1. Với từng tài khoản liên quan, đăng nhập lần lượt, nhấn icon chuông và liệt kê toàn bộ loại thông báo (nội dung + người nhận) đã nhận được cho các đơn trên.
2. Đối chiếu danh sách vừa liệt kê với danh mục 15 loại chính thức `NTF-01..15` (test_data_catalog §NTF v1.1).</t>
  </si>
  <si>
    <t xml:space="preserve">2. Quan sát đủ **15/15 loại** thông báo chính thức, mỗi loại đúng người nhận theo danh mục; thiếu loại nào hoặc sai người nhận loại nào thì ghi rõ tên loại thiếu/sai để log finding.</t>
  </si>
  <si>
    <t xml:space="preserve">▬▬  4. Thông báo nhánh giao nhận mở rộng  ·  6 TC (TC-NTF-017…TC-NTF-022)</t>
  </si>
  <si>
    <t xml:space="preserve">Check giao cho người được uỷ quyền sinh thông báo NTF-10 cho hai vai</t>
  </si>
  <si>
    <t xml:space="preserve">- Đơn đã được Carrier xác nhận giao hàng theo phương án "Người được uỷ quyền" ở nhánh FR08 (Carrier nhập tên người nhận thay, đính ≥1 ảnh, xác nhận — theo `SC-DLV-038`) — không seed riêng, chạy chung lô vibe-test `DLV`.
- Host app FoxPro đã cài trên thiết bị Android/iOS.</t>
  </si>
  <si>
    <t xml:space="preserve">1. Đăng nhập tài khoản người nhận, nhấn icon chuông, check nội dung thông báo về đơn đó.
2. Đăng nhập tài khoản người gửi, nhấn icon chuông, check nội dung thông báo về đơn đó.</t>
  </si>
  <si>
    <t xml:space="preserve">2. Cả người nhận và người gửi đều có thông báo `NTF-10` nêu đúng tên người nhận thay, đúng người uỷ quyền (người gửi hoặc người nhận), có nhắc "có ảnh bằng chứng"; KHÔNG chứa số điện thoại.</t>
  </si>
  <si>
    <t xml:space="preserve">Check gửi tại quầy sinh thông báo NTF-11 cho hai vai</t>
  </si>
  <si>
    <t xml:space="preserve">- Đơn đã được Carrier xác nhận giao hàng theo phương án gửi quầy (lễ tân hoặc bảo vệ) ở nhánh FR08 (nhập tên người trực, đính ≥1 ảnh, xác nhận — theo `SC-DLV-039`) — không seed riêng, chạy chung lô vibe-test `DLV`.
- Host app FoxPro đã cài trên thiết bị Android/iOS.</t>
  </si>
  <si>
    <t xml:space="preserve">2. Cả người nhận và người gửi đều có thông báo `NTF-11` nêu đúng loại quầy (lễ tân/bảo vệ) + tên người trực; KHÔNG chứa số điện thoại.</t>
  </si>
  <si>
    <t xml:space="preserve">Check không liên lạc được người nhận sinh thông báo NTF-12 cho người gửi</t>
  </si>
  <si>
    <t xml:space="preserve">- Carrier đã bấm "Không liên lạc được người nhận?" và chọn hướng liên hệ người gửi xin uỷ quyền khác ở nhánh FR08 (theo `SC-DLV-044`) — không seed riêng, chạy chung lô vibe-test `DLV`.
- Host app FoxPro đã cài trên thiết bị Android/iOS.</t>
  </si>
  <si>
    <t xml:space="preserve">1. Đăng nhập tài khoản người gửi, nhấn icon chuông, check nội dung thông báo về đơn đó.</t>
  </si>
  <si>
    <t xml:space="preserve">1. Tài khoản người gửi có thông báo `NTF-12` đúng chuỗi "Người vận chuyển không liên lạc được người nhận — cần bạn xác nhận uỷ quyền cho người khác nhận hàng"; KHÔNG chứa số điện thoại người nhận.</t>
  </si>
  <si>
    <t xml:space="preserve">Check hẹn giao lại sinh thông báo NTF-13 đúng biến cho hai vai</t>
  </si>
  <si>
    <t xml:space="preserve">- Carrier đã chọn "Cầm hàng về" → chế độ hẹn giao lại (`retry`), nhập lịch hẹn hợp lệ {ngày · giờ} + {nơi hẹn} ở nhánh FR09 (theo `SC-DLV-049`), đơn chuyển `RESCHEDULED` — không seed riêng, chạy chung lô vibe-test `DLV`.
- Host app FoxPro đã cài trên thiết bị Android/iOS.</t>
  </si>
  <si>
    <t xml:space="preserve">2. Cả người nhận và người gửi đều có thông báo `NTF-13` đúng {ngày · giờ} và {nơi hẹn} vừa nhập; KHÔNG chứa số điện thoại.</t>
  </si>
  <si>
    <t xml:space="preserve">Check trả hàng về người gửi sinh thông báo NTF-14 đúng biến cho hai vai</t>
  </si>
  <si>
    <t xml:space="preserve">- Carrier đã chọn "Cầm hàng về" → chế độ trả người gửi (`return`), nhập lịch hẹn hợp lệ {ngày · giờ} + {nơi hẹn} ở nhánh FR09 (theo `SC-DLV-049`, chế độ khác `TC-NTF-020`), đơn chuyển `RETURNING` — không seed riêng, chạy chung lô vibe-test `DLV`.
- Host app FoxPro đã cài trên thiết bị Android/iOS.</t>
  </si>
  <si>
    <t xml:space="preserve">1. Đăng nhập tài khoản người gửi, nhấn icon chuông, check nội dung thông báo về đơn đó.
2. Đăng nhập tài khoản người nhận, nhấn icon chuông, check nội dung thông báo về đơn đó.</t>
  </si>
  <si>
    <t xml:space="preserve">2. Cả người gửi và người nhận đều có thông báo `NTF-14` đúng {ngày · giờ} và {nơi hẹn} vừa nhập; KHÔNG chứa số điện thoại.</t>
  </si>
  <si>
    <t xml:space="preserve">Check xác nhận đã nhận lại hàng sinh thông báo NTF-15 cho hai vai</t>
  </si>
  <si>
    <t xml:space="preserve">- Đơn đã ở `RETURNING` (tái dùng từ `TC-NTF-021`) — không seed riêng.
- Host app FoxPro đã cài trên thiết bị Android/iOS.</t>
  </si>
  <si>
    <t xml:space="preserve">1. Đăng nhập tài khoản người gửi, nhấn "Xác nhận đã nhận lại hàng" và xác nhận (đẩy đơn sang `RETURNED`). (setup)
2. Đăng nhập tài khoản người vận chuyển, nhấn icon chuông, check nội dung thông báo về đơn đó.
3. Đăng nhập tài khoản người nhận, nhấn icon chuông, check nội dung thông báo về đơn đó.</t>
  </si>
  <si>
    <t xml:space="preserve">3. Cả người vận chuyển và người nhận đều có thông báo `NTF-15` đúng chuỗi "Đơn đã đóng — hàng đã được trả lại người gửi".</t>
  </si>
  <si>
    <t xml:space="preserve">▬▬  1. Loại hàng  ·  1 TC (TC-ORD-005)</t>
  </si>
  <si>
    <t xml:space="preserve">Check field Loại hàng có đúng tám giá trị và mặc định là Tài liệu</t>
  </si>
  <si>
    <t xml:space="preserve">1. Đăng nhập FoxEco bằng tài khoản A. (setup)
2. Nhấn "+ Đăng tin" rồi nhấn card "Tôi cần gửi hàng". (setup)
3. Check giá trị đang được chọn ở field "Loại hàng" và liệt kê toàn bộ lựa chọn theo thứ tự.</t>
  </si>
  <si>
    <t xml:space="preserve">3. Field có đúng 8 lựa chọn theo thứ tự "Tài liệu · Đồ điện tử · Thực phẩm · Hàng nhỏ · Đồ dễ vỡ · Quần áo · Thuốc/Y tế · Khác" và giá trị đang chọn sẵn là "Tài liệu".</t>
  </si>
  <si>
    <t xml:space="preserve">▬▬  2. Ảnh món hàng  ·  7 TC (TC-ORD-012…TC-ORD-071)</t>
  </si>
  <si>
    <t xml:space="preserve">Check tải một ảnh JPG hợp lệ hiện đúng bộ đếm một trên năm</t>
  </si>
  <si>
    <t xml:space="preserve">- Tài khoản A là CBNV có hồ sơ đầy đủ trên STG.
- Host app FoxPro đã cài trên thiết bị Android/iOS.
- Thư viện ảnh thiết bị có sẵn bộ ảnh mẫu dùng chung 3 module = `SEED-ORD-01`.</t>
  </si>
  <si>
    <t xml:space="preserve">1. Đăng nhập FoxEco, nhấn "+ Đăng tin" rồi nhấn card "Tôi cần gửi hàng". (setup)
2. Nhấn vùng "ẢNH HÀNG" và chọn 1 ảnh JPG nhỏ từ thư viện thiết bị.
3. Check ô ảnh và bộ đếm bên cạnh nhãn "ẢNH HÀNG".</t>
  </si>
  <si>
    <t xml:space="preserve">3. Ảnh hiện trong ô và bộ đếm hiển thị "1/5".</t>
  </si>
  <si>
    <t xml:space="preserve">Check khối ảnh hàng mang dấu bắt buộc và dòng helper nêu rõ ràng buộc</t>
  </si>
  <si>
    <t xml:space="preserve">1. Đăng nhập FoxEco, nhấn "+ Đăng tin" rồi nhấn card "Tôi cần gửi hàng". (setup)
2. Check nhãn khối ảnh, bộ đếm và dòng chữ hướng dẫn ngay dưới vùng tải ảnh khi chưa tải ảnh nào.</t>
  </si>
  <si>
    <t xml:space="preserve">2. Nhãn khối là "ẢNH HÀNG" kèm dấu sao bắt buộc, bộ đếm hiển thị "0/5" và dòng helper ghi đúng chuỗi "Bắt buộc ít nhất 1 ảnh · tối đa 5 ảnh · giúp người vận chuyển nhận diện hàng".</t>
  </si>
  <si>
    <t xml:space="preserve">Check chưa tải ảnh nào thì bị chặn sang bước hai</t>
  </si>
  <si>
    <t xml:space="preserve">1. Đăng nhập FoxEco, nhấn "+ Đăng tin" rồi nhấn card "Tôi cần gửi hàng". (setup)
2. Chọn chip "Thấp (Dưới 1 triệu đ)" ở khối "GIÁ TRỊ HÀNG (ƯỚC TÍNH)". (setup)
3. Chọn chip "Dưới 5 kg (Nhẹ)" ở khối "TRỌNG LƯỢNG". (setup)
4. Chọn chip "Nhỏ · Cầm tay" ở khối Kích thước. (setup)
5. Nhấn "Tiếp theo" khi chưa tải ảnh nào.
6. Check màn đang hiển thị và thông báo lỗi ở khối "ẢNH HÀNG".</t>
  </si>
  <si>
    <t xml:space="preserve">6. Wizard vẫn ở bước 1, không sang được bước 2, và có thông báo lỗi ở khối "ẢNH HÀNG".</t>
  </si>
  <si>
    <t xml:space="preserve">Check ảnh vượt năm MB bị từ chối và bộ đếm không tăng</t>
  </si>
  <si>
    <t xml:space="preserve">- Tài khoản A là CBNV có hồ sơ đầy đủ trên STG.
- Host app FoxPro đã cài trên thiết bị Android/iOS.
- Thư viện ảnh thiết bị có sẵn bộ ảnh mẫu dùng chung 3 module = `SEED-ORD-01`, gồm 1 ảnh &gt; 5MB.</t>
  </si>
  <si>
    <t xml:space="preserve">1. Đăng nhập FoxEco, nhấn "+ Đăng tin" rồi nhấn card "Tôi cần gửi hàng". (setup)
2. Nhấn vùng "ẢNH HÀNG" và chọn ảnh có dung lượng lớn hơn 5MB.
3. Check thông báo hiện ra và giá trị bộ đếm.</t>
  </si>
  <si>
    <t xml:space="preserve">3. Ảnh bị từ chối kèm thông báo lỗi và bộ đếm vẫn hiển thị "0/5".</t>
  </si>
  <si>
    <t xml:space="preserve">Check file sai định dạng bị từ chối và bộ đếm không tăng</t>
  </si>
  <si>
    <t xml:space="preserve">- Tài khoản A là CBNV có hồ sơ đầy đủ trên STG.
- Host app FoxPro đã cài trên thiết bị Android/iOS.
- Thư viện thiết bị có sẵn bộ mẫu dùng chung 3 module = `SEED-ORD-01`, gồm 1 file `.pdf`.</t>
  </si>
  <si>
    <t xml:space="preserve">1. Đăng nhập FoxEco, nhấn "+ Đăng tin" rồi nhấn card "Tôi cần gửi hàng". (setup)
2. Nhấn vùng "ẢNH HÀNG" và chọn file định dạng `.pdf` từ thiết bị.
3. Check thông báo hiện ra và giá trị bộ đếm.</t>
  </si>
  <si>
    <t xml:space="preserve">3. File bị từ chối kèm thông báo lỗi và bộ đếm vẫn hiển thị "0/5".</t>
  </si>
  <si>
    <t xml:space="preserve">Check tải đủ năm ảnh thì bộ đếm đạt trần và không thêm được ảnh thứ sáu</t>
  </si>
  <si>
    <t xml:space="preserve">- Tài khoản A là CBNV có hồ sơ đầy đủ trên STG.
- Host app FoxPro đã cài trên thiết bị Android/iOS.
- Thư viện ảnh thiết bị có sẵn bộ ảnh mẫu dùng chung 3 module = `SEED-ORD-01`, gồm ≥6 ảnh hợp lệ.</t>
  </si>
  <si>
    <t xml:space="preserve">1. Đăng nhập FoxEco, nhấn "+ Đăng tin" rồi nhấn card "Tôi cần gửi hàng". (setup)
2. Tải lần lượt 5 ảnh hợp lệ vào khối "ẢNH HÀNG", quan sát bộ đếm sau mỗi lần tải.
3. Thử tải thêm ảnh thứ 6.
4. Check bộ đếm và trạng thái nút thêm ảnh.</t>
  </si>
  <si>
    <t xml:space="preserve">4. Bộ đếm hiển thị "5/5", nút thêm ảnh bị ẩn và không chọn được ảnh thứ 6.</t>
  </si>
  <si>
    <t xml:space="preserve">Check xoá một ảnh làm bộ đếm giảm đúng một đơn vị</t>
  </si>
  <si>
    <t xml:space="preserve">1. Đăng nhập FoxEco, nhấn "+ Đăng tin" rồi nhấn card "Tôi cần gửi hàng". (setup)
2. Tải 5 ảnh hợp lệ vào khối "ẢNH HÀNG". (setup)
3. Nhấn nút xoá trên ảnh thứ ba.
4. Check bộ đếm, số ảnh còn lại và trạng thái nút thêm ảnh.</t>
  </si>
  <si>
    <t xml:space="preserve">4. Bộ đếm hiển thị "4/5", còn đúng 4 ảnh và chỉ mất đúng ảnh thứ ba, nút thêm ảnh hiện lại.</t>
  </si>
  <si>
    <t xml:space="preserve">▬▬  3. Prefill địa chỉ lấy hàng  ·  1 TC (TC-ORD-027)</t>
  </si>
  <si>
    <t xml:space="preserve">REQ-ORD-007, REQ-ORD-010</t>
  </si>
  <si>
    <t xml:space="preserve">Check ô địa chỉ lấy hàng điền sẵn địa chỉ mặc định của hồ sơ và sửa được</t>
  </si>
  <si>
    <t xml:space="preserve">- Tài khoản A là CBNV trên STG **đã đặt địa chỉ mặc định** ở màn "Cập nhật thông tin" = `SEED-ORD-03`.
- Host app FoxPro đã cài trên thiết bị Android/iOS.</t>
  </si>
  <si>
    <t xml:space="preserve">1. Đăng nhập FoxEco bằng tài khoản A, mở màn "Cập nhật thông tin" và ghi lại địa chỉ mặc định đang lưu. (setup)
2. Nhấn "+ Đăng tin", nhấn card "Tôi cần gửi hàng", nhập đủ trường bước 1 rồi nhấn "Tiếp theo" để sang bước 2. (setup)
3. Nhập thêm chuỗi " toà B" vào cuối ô "Địa chỉ lấy hàng".
4. Check giá trị ban đầu và giá trị sau khi sửa của ô "Địa chỉ lấy hàng".</t>
  </si>
  <si>
    <t xml:space="preserve">4. Ô đã điền sẵn đúng địa chỉ đã ghi ở step 1 và nhận được ký tự vừa nhập thêm.</t>
  </si>
  <si>
    <t xml:space="preserve">▬▬  4. Ô địa chỉ  ·  2 TC (TC-ORD-028…TC-ORD-055)</t>
  </si>
  <si>
    <t xml:space="preserve">Check ô địa chỉ là ô văn bản tự do không phải preset văn phòng</t>
  </si>
  <si>
    <t xml:space="preserve">1. Đăng nhập FoxEco, nhấn "+ Đăng tin", nhấn card "Tôi cần gửi hàng", nhập đủ trường bước 1 rồi nhấn "Tiếp theo". (setup)
2. Nhấn vào ô "Địa chỉ giao hàng".
3. Nhập chuỗi tự do "Số 7 ngõ 12 Trần Duy Hưng".
4. Check kiểu control của ô và giá trị vừa nhập.</t>
  </si>
  <si>
    <t xml:space="preserve">4. Ô là ô văn bản tự do nhận đúng chuỗi vừa nhập; KHÔNG có danh sách preset văn phòng hay chip gợi ý nào hiện ra.</t>
  </si>
  <si>
    <t xml:space="preserve">Check ô địa chỉ nhận đúng hai trăm ký tự và chặn ký tự thứ hai trăm lẻ một</t>
  </si>
  <si>
    <t xml:space="preserve">1. Đăng nhập FoxEco, nhấn "+ Đăng tin", nhấn card "Tôi cần gửi hàng", nhập đủ trường bước 1 rồi nhấn "Tiếp theo". (setup)
2. Nhập chuỗi đúng 200 ký tự vào ô "Địa chỉ giao hàng".
3. Nhập thêm 1 ký tự nữa vào cuối ô.
4. Check số ký tự thực tế còn lại trong ô.</t>
  </si>
  <si>
    <t xml:space="preserve">4. Ô giữ đúng 200 ký tự, ký tự thứ 201 không được nhận.</t>
  </si>
  <si>
    <t xml:space="preserve">▬▬  5. Khoảng ngày  ·  4 TC (TC-ORD-030…TC-ORD-057)</t>
  </si>
  <si>
    <t xml:space="preserve">Check chọn ngày quá khứ cho Từ ngày bị chặn</t>
  </si>
  <si>
    <t xml:space="preserve">1. Đăng nhập FoxEco, nhấn "+ Đăng tin", nhấn card "Tôi cần gửi hàng", nhập đủ trường bước 1 rồi nhấn "Tiếp theo". (setup)
2. Nhấn ô "Từ ngày" để mở bộ chọn ngày.
3. Chọn ngày liền trước ngày hiện tại.
4. Check giá trị ô "Từ ngày" và thông báo lỗi nếu có.</t>
  </si>
  <si>
    <t xml:space="preserve">4. Ngày quá khứ không được nhận, ô giữ nguyên trạng thái chưa chọn hoặc hiện lỗi ngay dưới ô.</t>
  </si>
  <si>
    <t xml:space="preserve">Check chọn Đến ngày sớm hơn Từ ngày bị chặn</t>
  </si>
  <si>
    <t xml:space="preserve">1. Đăng nhập FoxEco, nhấn "+ Đăng tin", nhấn card "Tôi cần gửi hàng", nhập đủ trường bước 1 rồi nhấn "Tiếp theo". (setup)
2. Chọn "Từ ngày" là ngày hiện tại cộng 3 ngày. (setup)
3. Nhấn ô "Đến ngày" và chọn ngày hiện tại cộng 1 ngày.
4. Check giá trị ô "Đến ngày" và thông báo lỗi nếu có.</t>
  </si>
  <si>
    <t xml:space="preserve">4. Giá trị sớm hơn "Từ ngày" không được nhận, ô giữ nguyên trạng thái chưa chọn hoặc hiện lỗi ngay dưới ô.</t>
  </si>
  <si>
    <t xml:space="preserve">Check khoảng đúng bảy ngày được chấp nhận</t>
  </si>
  <si>
    <t xml:space="preserve">1. Đăng nhập FoxEco, nhấn "+ Đăng tin", nhấn card "Tôi cần gửi hàng", nhập đủ trường bước 1 rồi nhấn "Tiếp theo". (setup)
2. Chọn "Từ ngày" là ngày hiện tại. (setup)
3. Chọn "Đến ngày" là ngày hiện tại cộng 7 ngày.
4. Check giá trị hai ô ngày và thông báo lỗi nếu có.</t>
  </si>
  <si>
    <t xml:space="preserve">4. Cả hai ô nhận đúng giá trị vừa chọn và KHÔNG có thông báo lỗi nào về khoảng ngày.</t>
  </si>
  <si>
    <t xml:space="preserve">Check khoảng tám ngày bị chặn</t>
  </si>
  <si>
    <t xml:space="preserve">1. Đăng nhập FoxEco, nhấn "+ Đăng tin", nhấn card "Tôi cần gửi hàng", nhập đủ trường bước 1 rồi nhấn "Tiếp theo". (setup)
2. Chọn "Từ ngày" là ngày hiện tại. (setup)
3. Chọn "Đến ngày" là ngày hiện tại cộng 8 ngày.
4. Check giá trị ô "Đến ngày" và thông báo lỗi nếu có.</t>
  </si>
  <si>
    <t xml:space="preserve">4. Giá trị cộng 8 ngày không được nhận, ô giữ nguyên trạng thái chưa chọn hoặc hiện lỗi ngay dưới ô.</t>
  </si>
  <si>
    <t xml:space="preserve">▬▬  6. Buổi mong muốn  ·  3 TC (TC-ORD-032…TC-ORD-059)</t>
  </si>
  <si>
    <t xml:space="preserve">Check chọn Giờ nào cũng được tự bỏ chọn các buổi đang chọn</t>
  </si>
  <si>
    <t xml:space="preserve">1. Đăng nhập FoxEco, nhấn "+ Đăng tin", nhấn card "Tôi cần gửi hàng", nhập đủ trường bước 1 rồi nhấn "Tiếp theo". (setup)
2. Chọn buổi "Sáng (8–12)". (setup)
3. Chọn thêm buổi "Chiều (13–17)". (setup)
4. Chọn "Giờ nào cũng được".
5. Check trạng thái chọn của cả bốn buổi.</t>
  </si>
  <si>
    <t xml:space="preserve">5. Chỉ còn "Giờ nào cũng được" ở trạng thái được chọn; "Sáng (8–12)" và "Chiều (13–17)" tự bỏ chọn.</t>
  </si>
  <si>
    <t xml:space="preserve">Check buổi mong muốn mặc định là Sau giờ làm khi vừa mở bước hai</t>
  </si>
  <si>
    <t xml:space="preserve">1. Đăng nhập FoxEco, nhấn "+ Đăng tin", nhấn card "Tôi cần gửi hàng", nhập đủ trường bước 1 rồi nhấn "Tiếp theo". (setup)
2. Check buổi đang được chọn sẵn ở field buổi mong muốn khi chưa chạm vào field.</t>
  </si>
  <si>
    <t xml:space="preserve">2. Buổi "Sau giờ làm (17–19)" đang ở trạng thái được chọn sẵn.</t>
  </si>
  <si>
    <t xml:space="preserve">Check buổi đã trôi qua trong ngày hôm nay bị chặn chọn</t>
  </si>
  <si>
    <t xml:space="preserve">- Tài khoản A là CBNV có hồ sơ đầy đủ trên STG.
- Host app FoxPro đã cài trên thiết bị Android/iOS.
- Thời điểm chạy là sau 12 giờ trưa để buổi "Sáng (8–12)" đã trôi qua.</t>
  </si>
  <si>
    <t xml:space="preserve">1. Đăng nhập FoxEco, nhấn "+ Đăng tin", nhấn card "Tôi cần gửi hàng", nhập đủ trường bước 1 rồi nhấn "Tiếp theo". (setup)
2. Chọn "Từ ngày" và "Đến ngày" đều là ngày hiện tại. (setup)
3. Nhấn chọn buổi "Sáng (8–12)".
4. Check trạng thái chọn của buổi "Sáng (8–12)".</t>
  </si>
  <si>
    <t xml:space="preserve">4. Buổi "Sáng (8–12)" không chọn được, giữ nguyên trạng thái không được chọn hoặc bị vô hiệu hoá.</t>
  </si>
  <si>
    <t xml:space="preserve">▬▬  7. Màn Đăng tin thành công  ·  1 TC (TC-ORD-039)</t>
  </si>
  <si>
    <t xml:space="preserve">Check màn Đăng tin thành công không hiển thị mã đơn và có đủ hai nút điều hướng</t>
  </si>
  <si>
    <t xml:space="preserve">1. Đăng nhập FoxEco, nhấn "+ Đăng tin" rồi nhấn card "Tôi cần gửi hàng". (setup)
2. Nhập đủ dữ liệu hợp lệ cả ba bước wizard, gồm ≥1 ảnh. (setup)
3. Nhấn "Đăng tin ngay".
4. Check toàn bộ nội dung và các nút trên màn thành công.</t>
  </si>
  <si>
    <t xml:space="preserve">4. Màn KHÔNG hiển thị mã đơn nào; có nút về trang chủ và nút xem đơn vừa đăng.</t>
  </si>
  <si>
    <t xml:space="preserve">▬▬  8. Tin OFFER  ·  1 TC (TC-ORD-044)</t>
  </si>
  <si>
    <t xml:space="preserve">Check vai người gửi không tìm thấy và không mở được tin OFFER của người khác</t>
  </si>
  <si>
    <t xml:space="preserve">1. Đăng nhập bằng tài khoản A, nhấn "+ Đăng tin", nhấn card "Tôi có thể mang giúp" và đăng 1 tin OFFER với tên tuyến riêng biệt, rồi đăng xuất. (setup)
2. Đăng nhập bằng tài khoản B và nhấn tab "Bảng tin". (setup)
3. Rà lần lượt cả hai tab con của Bảng tin.
4. Nhập tên tuyến của tin OFFER vào ô tìm kiếm và check kết quả trả về.</t>
  </si>
  <si>
    <t xml:space="preserve">4. Không có kết quả nào khớp và tin OFFER của tài khoản A KHÔNG xuất hiện ở cả hai tab con.</t>
  </si>
  <si>
    <t xml:space="preserve">▬▬  9. Chỉnh sửa tin  ·  3 TC (TC-ORD-046…TC-ORD-060)</t>
  </si>
  <si>
    <t xml:space="preserve">Check sửa tin đang chờ ghép lưu được dữ liệu mới và giữ nguyên trạng thái</t>
  </si>
  <si>
    <t xml:space="preserve">1. Đăng nhập FoxEco bằng tài khoản A và đăng 1 tin NEED để tin ở trạng thái "Chờ ghép". (setup)
2. Nhấn tab "Hoạt động" và mở tin đó. (setup)
3. Nhấn "Chỉnh sửa".
4. Check dữ liệu đang nạp trong form.
5. Nhập địa chỉ giao hàng mới "Số 9 Duy Tân".
6. Nhấn "Cập nhật".
7. Check địa chỉ giao hàng và trạng thái của tin.</t>
  </si>
  <si>
    <t xml:space="preserve">7. Tin hiển thị địa chỉ giao hàng mới "Số 9 Duy Tân" và vẫn ở trạng thái "Chờ ghép".</t>
  </si>
  <si>
    <t xml:space="preserve">Check tin đã ghép không còn nút Chỉnh sửa</t>
  </si>
  <si>
    <t xml:space="preserve">1. Đăng nhập bằng tài khoản A, đăng 1 tin NEED rồi đăng xuất. (setup)
2. Đăng nhập bằng tài khoản B, nhận tin đó và xác nhận, rồi đăng xuất. (setup)
3. Đăng nhập lại bằng tài khoản A, nhấn tab "Hoạt động" và mở tin đó. (setup)
4. Check các nút hành động trên màn Theo dõi đơn.</t>
  </si>
  <si>
    <t xml:space="preserve">4. Màn KHÔNG có nút "Chỉnh sửa".</t>
  </si>
  <si>
    <t xml:space="preserve">Check huỷ chỉnh sửa trả tin về dữ liệu cũ và không lưu thay đổi</t>
  </si>
  <si>
    <t xml:space="preserve">1. Đăng nhập FoxEco bằng tài khoản A và đăng 1 tin NEED để tin ở trạng thái "Chờ ghép". (setup)
2. Nhấn tab "Hoạt động", mở tin đó và ghi lại địa chỉ giao hàng đang hiển thị. (setup)
3. Nhấn "Chỉnh sửa".
4. Nhập địa chỉ giao hàng khác "Số 99 Cầu Giấy".
5. Nhấn "Huỷ chỉnh sửa".
6. Check địa chỉ giao hàng của tin.</t>
  </si>
  <si>
    <t xml:space="preserve">6. Tin giữ nguyên địa chỉ giao hàng đã ghi ở step 2, KHÔNG nhận giá trị vừa nhập.</t>
  </si>
  <si>
    <t xml:space="preserve">▬▬  10. Tin hết hạn  ·  2 TC (TC-ORD-048…TC-ORD-061)</t>
  </si>
  <si>
    <t xml:space="preserve">Check tin chưa ai ghép quá Đến ngày chuyển sang hết hạn và biến khỏi Bảng tin</t>
  </si>
  <si>
    <t xml:space="preserve">- Tài khoản A và B là hai CBNV khác nhau trên STG.
- Host app FoxPro đã cài trên thiết bị Android/iOS.
- Dev/QA hỗ trợ lùi "Đến ngày" của tin để vượt mốc hết hạn — ⛔ không tái tạo được qua UI.</t>
  </si>
  <si>
    <t xml:space="preserve">1. Đăng nhập bằng tài khoản A, đăng 1 tin NEED với tiêu đề riêng biệt và để nguyên ở trạng thái "Chờ ghép", rồi đăng xuất. (setup)
2. Nhờ dev/QA lùi "Đến ngày" của tin đó về quá khứ và chờ qua thời điểm job cuối ngày chạy. (setup)
3. Đăng nhập bằng tài khoản B, nhấn tab "Bảng tin" và tìm tiêu đề của tin đó.
4. Đăng xuất, đăng nhập lại bằng tài khoản A, nhấn tab "Hoạt động" rồi nhấn tab con "Đã hoàn thành". (setup)
5. Check trạng thái của tin đó và kết quả tìm ở step 3.</t>
  </si>
  <si>
    <t xml:space="preserve">5. Tin mang badge "Hết hạn" ở tab "Đã hoàn thành" và KHÔNG còn xuất hiện trên Bảng tin của tài khoản B.</t>
  </si>
  <si>
    <t xml:space="preserve">Check tin đã ghép quá Đến ngày không chuyển sang hết hạn</t>
  </si>
  <si>
    <t xml:space="preserve">1. Đăng nhập bằng tài khoản A, đăng 1 tin NEED rồi đăng xuất. (setup)
2. Đăng nhập bằng tài khoản B, nhận tin đó và xác nhận để tin chuyển "Đã ghép", rồi đăng xuất. (setup)
3. Nhờ dev/QA lùi "Đến ngày" của tin đó về quá khứ và chờ qua thời điểm job cuối ngày chạy. (setup)
4. Đăng nhập lại bằng tài khoản A, nhấn tab "Hoạt động" và mở tin đó. (setup)
5. Check trạng thái và tab chứa tin đó.</t>
  </si>
  <si>
    <t xml:space="preserve">5. Tin KHÔNG mang badge "Hết hạn" và vẫn nằm ở tab "Đang diễn ra".</t>
  </si>
  <si>
    <t xml:space="preserve">▬▬  11. Thoát wizard  ·  2 TC (TC-ORD-053…TC-ORD-062)</t>
  </si>
  <si>
    <t xml:space="preserve">Check chọn ở lại ở popup thoát wizard giữ nguyên dữ liệu đã nhập</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</si>
  <si>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4. Check nội dung popup vừa hiện.
5. Nhấn lựa chọn ở lại trên popup.
6. Check giá trị ô "Địa chỉ giao hàng".</t>
  </si>
  <si>
    <t xml:space="preserve">6. Popup hiện đúng chuỗi "Thoát và bỏ nội dung đã nhập?" và sau khi chọn ở lại, ô "Địa chỉ giao hàng" vẫn giữ nguyên "Số 9 Duy Tân".</t>
  </si>
  <si>
    <t xml:space="preserve">Check chọn thoát ở popup mở lại wizard là form trắng không có bản nháp</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</si>
  <si>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rồi nhấn lựa chọn thoát trên popup. (setup)
4. Nhấn tab "Hoạt động" và rà danh sách cả hai tab con.
5. Nhấn "+ Đăng tin", nhấn card "Tôi cần gửi hàng" và sang bước 2.
6. Check giá trị các ô của bước 1 và bước 2.</t>
  </si>
  <si>
    <t xml:space="preserve">6. Mọi ô đều trắng, không giữ chuỗi "Số 9 Duy Tân"; và không có tin nháp nào xuất hiện ở hai tab con của "Hoạt động".</t>
  </si>
  <si>
    <t xml:space="preserve">▬▬  12. Trọng lượng và Kích thước  ·  4 TC (TC-ORD-064…TC-ORD-067)</t>
  </si>
  <si>
    <t xml:space="preserve">Check chưa chọn Trọng lượng thì bị chặn và ba chip hiện đúng nhãn chính thức</t>
  </si>
  <si>
    <t xml:space="preserve">1. Đăng nhập FoxEco, nhấn "+ Đăng tin" rồi nhấn card "Tôi cần gửi hàng". (setup)
2. Chọn chip "Thấp (Dưới 1 triệu đ)" ở khối "GIÁ TRỊ HÀNG (ƯỚC TÍNH)". (setup)
3. Chọn chip "Nhỏ · Cầm tay" ở khối Kích thước. (setup)
4. Tải 1 ảnh JPG từ thư viện thiết bị. (setup)
5. Nhấn "Tiếp theo" khi khối "TRỌNG LƯỢNG" chưa có chip nào được chọn.
6. Check nhãn khối, ba chip của khối đó và thông báo lỗi.</t>
  </si>
  <si>
    <t xml:space="preserve">6. Wizard vẫn ở bước 1 và có lỗi ở khối; nhãn khối là "TRỌNG LƯỢNG" với đúng ba chip "Dưới 5 kg (Nhẹ)", "5 – 10 kg (Trung bình)", "Trên 10 kg (Nặng)".</t>
  </si>
  <si>
    <t xml:space="preserve">Check chọn Trọng lượng trên mười kg vẫn đăng tin được bình thường</t>
  </si>
  <si>
    <t xml:space="preserve">1. Đăng nhập FoxEco, nhấn "+ Đăng tin" rồi nhấn card "Tôi cần gửi hàng". (setup)
2. Chọn chip "Thấp (Dưới 1 triệu đ)" và chip "Nhỏ · Cầm tay", rồi tải 1 ảnh JPG. (setup)
3. Chọn chip "Trên 10 kg (Nặng)" ở khối "TRỌNG LƯỢNG".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</si>
  <si>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trọng lượng.</t>
  </si>
  <si>
    <t xml:space="preserve">Check chưa chọn Kích thước thì bị chặn và ba chip hiện đúng nhãn</t>
  </si>
  <si>
    <t xml:space="preserve">1. Đăng nhập FoxEco, nhấn "+ Đăng tin" rồi nhấn card "Tôi cần gửi hàng". (setup)
2. Chọn chip "Thấp (Dưới 1 triệu đ)" ở khối "GIÁ TRỊ HÀNG (ƯỚC TÍNH)". (setup)
3. Chọn chip "Dưới 5 kg (Nhẹ)" ở khối "TRỌNG LƯỢNG", rồi tải 1 ảnh JPG. (setup)
4. Nhấn "Tiếp theo" khi khối Kích thước chưa có chip nào được chọn.
5. Check ba chip của khối Kích thước và thông báo lỗi.</t>
  </si>
  <si>
    <t xml:space="preserve">5. Wizard vẫn ở bước 1 và có lỗi ở khối Kích thước; khối có đúng ba chip "Nhỏ · Cầm tay", "Vừa · ~20×20 cm", "Lớn · &gt; 20×20 cm".</t>
  </si>
  <si>
    <t xml:space="preserve">Check chọn Kích thước lớn vẫn đăng tin được bình thường</t>
  </si>
  <si>
    <t xml:space="preserve">1. Đăng nhập FoxEco, nhấn "+ Đăng tin" rồi nhấn card "Tôi cần gửi hàng". (setup)
2. Chọn chip "Thấp (Dưới 1 triệu đ)" và chip "Dưới 5 kg (Nhẹ)", rồi tải 1 ảnh JPG. (setup)
3. Chọn chip "Lớn · &gt; 20×20 cm" ở khối Kích thước.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</si>
  <si>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kích thước.</t>
  </si>
  <si>
    <t xml:space="preserve">▬▬  13. Carousel và lightbox ảnh  ·  2 TC (TC-ORD-072…TC-ORD-073)</t>
  </si>
  <si>
    <t xml:space="preserve">Check dải ảnh ở chi tiết tin lướt ngang được và có badge đếm ảnh</t>
  </si>
  <si>
    <t xml:space="preserve">1. Đăng nhập FoxEco bằng tài khoản A và đăng 1 tin NEED kèm 5 ảnh. (setup)
2. Nhấn tab "Hoạt động" và mở tin đó để vào màn chi tiết tin. (setup)
3. Lướt ngang trên dải ảnh sang ảnh thứ hai.
4. Check ảnh đang hiển thị và badge đếm trên dải ảnh.</t>
  </si>
  <si>
    <t xml:space="preserve">4. Dải ảnh chuyển sang ảnh thứ hai và badge đếm hiển thị "2/5".</t>
  </si>
  <si>
    <t xml:space="preserve">Check lightbox ảnh đóng được bằng cả nút đóng lẫn chạm nền</t>
  </si>
  <si>
    <t xml:space="preserve">1. Đăng nhập FoxEco bằng tài khoản A và đăng 1 tin NEED kèm 5 ảnh. (setup)
2. Nhấn tab "Hoạt động" và mở tin đó để vào màn chi tiết tin. (setup)
3. Nhấn 1 ảnh trên dải ảnh để mở lightbox.
4. Nhấn nút đóng của lightbox.
5. Nhấn lại ảnh đó để mở lightbox lần hai.
6. Nhấn vào vùng nền tối ngoài ảnh.
7. Check màn đang hiển thị sau cả hai lần đóng.</t>
  </si>
  <si>
    <t xml:space="preserve">7. Cả hai cách đều đóng được lightbox và trả về đúng màn chi tiết tin.</t>
  </si>
  <si>
    <t xml:space="preserve">▬▬  14. Tra danh bạ nội bộ  ·  5 TC (TC-ORD-074…TC-ORD-078)</t>
  </si>
  <si>
    <t xml:space="preserve">Check nhập email có trên danh bạ tự điền ba trường và cả ba vẫn sửa được</t>
  </si>
  <si>
    <t xml:space="preserve">- Tài khoản A là CBNV có hồ sơ đầy đủ trên STG.
- Host app FoxPro đã cài trên thiết bị Android/iOS.
- Có sẵn email công ty CÓ trên HRIS, đang làm việc = `SEED-ORD-02` ①.</t>
  </si>
  <si>
    <t xml:space="preserve">1. Đăng nhập FoxEco, nhấn "+ Đăng tin", nhấn card "Tôi cần gửi hàng", nhập đủ trường bước 1 rồi nhấn "Tiếp theo". (setup)
2. Nhập "stag_anhdc4@fpt.com" vào ô email người nhận.
3. Nhấn ra ngoài ô email để rời ô.
4. Nhập thêm ký tự "X" vào cuối ô tên người nhận.
5. Check giá trị ba ô tên, số điện thoại, địa chỉ giao và khả năng sửa của chúng.</t>
  </si>
  <si>
    <t xml:space="preserve">5. Ba ô tên, số điện thoại và địa chỉ giao đều được tự điền khác rỗng, và ô tên nhận được ký tự vừa nhập thêm.</t>
  </si>
  <si>
    <t xml:space="preserve">Check email đúng tên miền công ty nhưng không có trên danh bạ thì chặn tạo đơn</t>
  </si>
  <si>
    <t xml:space="preserve">1. Đăng nhập FoxEco, nhấn "+ Đăng tin", nhấn card "Tôi cần gửi hàng", nhập đủ trường bước 1 rồi nhấn "Tiếp theo". (setup)
2. Nhập "stag_khongtontai9999@fpt.com" vào ô email người nhận.
3. Nhấn ra ngoài ô email để rời ô.
4. Check trạng thái nút "Tiếp theo" và ba ô tên, số điện thoại, địa chỉ giao.</t>
  </si>
  <si>
    <t xml:space="preserve">4. Nút "Tiếp theo" ở trạng thái vô hiệu hoá và KHÔNG có ô nào mở ra cho nhập tay.</t>
  </si>
  <si>
    <t xml:space="preserve">Check email của người đã nghỉ việc cũng chặn tạo đơn</t>
  </si>
  <si>
    <t xml:space="preserve">- Tài khoản A là CBNV có hồ sơ đầy đủ trên STG.
- Host app FoxPro đã cài trên thiết bị Android/iOS.
- Có sẵn email công ty của người ĐÃ NGHỈ VIỆC do QTHT cấp = `SEED-ORD-02` ②.</t>
  </si>
  <si>
    <t xml:space="preserve">1. Đăng nhập FoxEco, nhấn "+ Đăng tin", nhấn card "Tôi cần gửi hàng", nhập đủ trường bước 1 rồi nhấn "Tiếp theo". (setup)
2. Nhập email `@fpt.com` của người đã nghỉ việc vào ô email người nhận.
3. Nhấn ra ngoài ô email để rời ô.
4. Check trạng thái nút "Tiếp theo" và ba ô tên, số điện thoại, địa chỉ giao.</t>
  </si>
  <si>
    <t xml:space="preserve">Check email sai định dạng bị chặn và không kích hoạt tra danh bạ</t>
  </si>
  <si>
    <t xml:space="preserve">1. Đăng nhập FoxEco, nhấn "+ Đăng tin", nhấn card "Tôi cần gửi hàng", nhập đủ trường bước 1 rồi nhấn "Tiếp theo". (setup)
2. Nhập "stag_anhdc4@" vào ô email người nhận.
3. Nhấn ra ngoài ô email để rời ô.
4. Check thông báo lỗi ở ô email và ba ô tên, số điện thoại, địa chỉ giao.</t>
  </si>
  <si>
    <t xml:space="preserve">4. Ô email hiện lỗi định dạng và ba ô kia vẫn TRỐNG, không có dấu hiệu tra danh bạ chạy.</t>
  </si>
  <si>
    <t xml:space="preserve">Check email ngoài tên miền công ty bị chặn</t>
  </si>
  <si>
    <t xml:space="preserve">1. Đăng nhập FoxEco, nhấn "+ Đăng tin", nhấn card "Tôi cần gửi hàng", nhập đủ trường bước 1 rồi nhấn "Tiếp theo". (setup)
2. Nhập "nguyenvana@gmail.com" vào ô email người nhận.
3. Nhấn ra ngoài ô email để rời ô.
4. Check thông báo lỗi ở ô email và ba ô tên, số điện thoại, địa chỉ giao.</t>
  </si>
  <si>
    <t xml:space="preserve">4. Ô email hiện lỗi và ba ô kia vẫn TRỐNG, không có dấu hiệu tra danh bạ chạy.</t>
  </si>
  <si>
    <t xml:space="preserve">▬▬  15. Người nhận uỷ quyền  ·  4 TC (TC-ORD-079…TC-ORD-082)</t>
  </si>
  <si>
    <t xml:space="preserve">Check số điện thoại uỷ quyền sai định dạng bị báo lỗi và chặn</t>
  </si>
  <si>
    <t xml:space="preserve">1. Đăng nhập FoxEco, nhấn "+ Đăng tin", nhấn card "Tôi cần gửi hàng", nhập đủ trường bước 1 rồi nhấn "Tiếp theo". (setup)
2. Nhấn "+ Thêm người nhận uỷ quyền" để mở khối uỷ quyền.
3. Nhập "Nguyễn Văn Bảy" vào ô tên người nhận uỷ quyền.
4. Nhập "123" vào ô số điện thoại người nhận uỷ quyền.
5. Nhấn "Tiếp theo".
6. Check màn đang hiển thị và thông báo lỗi ở ô số điện thoại.</t>
  </si>
  <si>
    <t xml:space="preserve">6. Wizard vẫn ở bước 2 và ô số điện thoại uỷ quyền hiện lỗi định dạng.</t>
  </si>
  <si>
    <t xml:space="preserve">Check khai người nhận uỷ quyền hợp lệ gắn nhãn Người gửi chỉ định vào đơn</t>
  </si>
  <si>
    <t xml:space="preserve">1. Đăng nhập FoxEco, nhấn "+ Đăng tin", nhấn card "Tôi cần gửi hàng", nhập đủ trường bước 1 gồm 1 ảnh rồi nhấn "Tiếp theo". (setup)
2. Nhấn "+ Thêm người nhận uỷ quyền" để mở khối uỷ quyền. (setup)
3. Nhập "Nguyễn Văn Bảy" vào ô tên và "0912345678" vào ô số điện thoại người nhận uỷ quyền.
4. Nhấn "Tiếp theo", nhập đủ dữ liệu hợp lệ bước 3 rồi nhấn "Đăng tin ngay".
5. Nhấn tab "Hoạt động", mở đơn vừa đăng và check khối thông tin người nhận uỷ quyền.</t>
  </si>
  <si>
    <t xml:space="preserve">5. Đơn hiển thị tên "Nguyễn Văn Bảy" và số "0912345678" kèm nhãn "Người gửi chỉ định".</t>
  </si>
  <si>
    <t xml:space="preserve">Check tên người nhận uỷ quyền nhận đúng hai và sáu mươi ký tự</t>
  </si>
  <si>
    <t xml:space="preserve">1. Đăng nhập FoxEco, nhấn "+ Đăng tin", nhấn card "Tôi cần gửi hàng", nhập đủ trường bước 1 rồi nhấn "Tiếp theo". (setup)
2. Nhấn "+ Thêm người nhận uỷ quyền" để mở khối uỷ quyền. (setup)
3. Nhập chuỗi 1 ký tự vào ô tên rồi nhấn "Tiếp theo".
4. Nhập chuỗi đúng 2 ký tự vào ô tên rồi nhấn "Tiếp theo".
5. Quay lại bước 2, nhập chuỗi đúng 60 ký tự vào ô tên rồi nhấn "Tiếp theo".
6. Quay lại bước 2, nhập chuỗi 61 ký tự vào ô tên.
7. Check trạng thái ô tên sau cả bốn lần nhập.</t>
  </si>
  <si>
    <t xml:space="preserve">7. Chuỗi 2 và 60 ký tự đều được nhận và đi tiếp được; chuỗi 1 ký tự bị báo lỗi và chuỗi 61 ký tự không nhập được quá 60.</t>
  </si>
  <si>
    <t xml:space="preserve">Check xoá khối uỷ quyền đã điền vẫn đăng tin được và đơn không mang dữ liệu uỷ quyền</t>
  </si>
  <si>
    <t xml:space="preserve">1. Đăng nhập FoxEco, nhấn "+ Đăng tin", nhấn card "Tôi cần gửi hàng", nhập đủ trường bước 1 gồm 1 ảnh rồi nhấn "Tiếp theo". (setup)
2. Nhấn "+ Thêm người nhận uỷ quyền", nhập tên "Nguyễn Văn Bảy" và số "0912345678". (setup)
3. Nhấn nút xoá khối uỷ quyền.
4. Nhấn "Tiếp theo", nhập đủ dữ liệu hợp lệ bước 3 rồi nhấn "Đăng tin ngay".
5. Nhấn tab "Hoạt động", mở đơn vừa đăng và check khối thông tin người nhận.</t>
  </si>
  <si>
    <t xml:space="preserve">5. Đơn tạo thành công và KHÔNG mang tên "Nguyễn Văn Bảy" hay số "0912345678"; không có thông báo lỗi thiếu trường nào ở bước đăng.</t>
  </si>
  <si>
    <t xml:space="preserve">▬▬  16. Địa chỉ giao khác địa chỉ lấy  ·  2 TC (TC-ORD-083…TC-ORD-084)</t>
  </si>
  <si>
    <t xml:space="preserve">REQ-ORD-028, REQ-ORD-009</t>
  </si>
  <si>
    <t xml:space="preserve">Check địa chỉ giao trùng hệt địa chỉ lấy bị chặn</t>
  </si>
  <si>
    <t xml:space="preserve">1. Đăng nhập FoxEco, nhấn "+ Đăng tin", nhấn card "Tôi cần gửi hàng", nhập đủ trường bước 1 rồi nhấn "Tiếp theo". (setup)
2. Nhập "Số 7 ngõ 12 Trần Duy Hưng" vào ô "Địa chỉ lấy hàng". (setup)
3. Nhập đúng chuỗi "Số 7 ngõ 12 Trần Duy Hưng" vào ô "Địa chỉ giao hàng".
4. Nhấn "Tiếp theo".
5. Check màn đang hiển thị và thông báo lỗi ở ô địa chỉ giao.</t>
  </si>
  <si>
    <t xml:space="preserve">5. Wizard vẫn ở bước 2 và ô "Địa chỉ giao hàng" hiện lỗi vì trùng địa chỉ lấy hàng.</t>
  </si>
  <si>
    <t xml:space="preserve">Check địa chỉ giao chỉ khác khoảng trắng đầu cuối vẫn bị chặn</t>
  </si>
  <si>
    <t xml:space="preserve">1. Đăng nhập FoxEco, nhấn "+ Đăng tin", nhấn card "Tôi cần gửi hàng", nhập đủ trường bước 1 rồi nhấn "Tiếp theo". (setup)
2. Nhập "Số 7 ngõ 12 Trần Duy Hưng" vào ô "Địa chỉ lấy hàng". (setup)
3. Nhập chuỗi "  Số 7 ngõ 12 Trần Duy Hưng  " có thêm khoảng trắng ở đầu và cuối vào ô "Địa chỉ giao hàng".
4. Nhấn "Tiếp theo".
5. Check màn đang hiển thị và thông báo lỗi ở ô địa chỉ giao.</t>
  </si>
  <si>
    <t xml:space="preserve">▬▬  17. Tiện ích copy nhanh  ·  2 TC (TC-ORD-085…TC-ORD-086)</t>
  </si>
  <si>
    <t xml:space="preserve">Check icon copy cạnh địa chỉ giao ở chi tiết tin sao chép đúng nội dung</t>
  </si>
  <si>
    <t xml:space="preserve">1. Đăng nhập FoxEco bằng tài khoản A và đăng 1 tin NEED có địa chỉ giao và số điện thoại người nhận. (setup)
2. Nhấn tab "Hoạt động" và mở tin đó để vào màn chi tiết tin. (setup)
3. Ghi lại địa chỉ giao đang hiển thị trên màn.
4. Nhấn icon copy cạnh địa chỉ giao.
5. Dán nội dung vừa copy vào ô tìm kiếm ở tab "Bảng tin" và check nội dung dán ra cùng trạng thái icon copy lúc vừa nhấn.</t>
  </si>
  <si>
    <t xml:space="preserve">5. Nội dung dán ra đúng nguyên văn địa chỉ đã ghi ở step 3, và icon copy đã đổi trạng thái sang màu xanh khoảng 2 giây rồi trở lại bình thường.</t>
  </si>
  <si>
    <t xml:space="preserve">Check icon copy cạnh số điện thoại ở chi tiết tin sao chép đúng nội dung</t>
  </si>
  <si>
    <t xml:space="preserve">1. Đăng nhập FoxEco bằng tài khoản A và đăng 1 tin NEED có địa chỉ giao và số điện thoại người nhận. (setup)
2. Nhấn tab "Hoạt động" và mở tin đó để vào màn chi tiết tin. (setup)
3. Ghi lại số điện thoại đang hiển thị trên màn.
4. Nhấn icon copy cạnh số điện thoại.
5. Dán nội dung vừa copy vào ô tìm kiếm ở tab "Bảng tin" và check nội dung dán ra cùng trạng thái icon copy lúc vừa nhấn.</t>
  </si>
  <si>
    <t xml:space="preserve">5. Nội dung dán ra đúng nguyên văn số điện thoại đã ghi ở step 3, và icon copy đã đổi trạng thái sang màu xanh khoảng 2 giây rồi trở lại bình thường.</t>
  </si>
  <si>
    <t xml:space="preserve">▬▬  18. Ảnh đã ghi mốc  ·  2 TC (TC-ORD-087…TC-ORD-088)</t>
  </si>
  <si>
    <t xml:space="preserve">Check xoá được ảnh khi đang soạn tin chưa đăng</t>
  </si>
  <si>
    <t xml:space="preserve">1. Đăng nhập FoxEco, nhấn "+ Đăng tin" rồi nhấn card "Tôi cần gửi hàng". (setup)
2. Tải 2 ảnh hợp lệ vào khối "ẢNH HÀNG". (setup)
3. Nhấn nút xoá trên ảnh thứ nhất.
4. Check số ảnh còn lại và bộ đếm.</t>
  </si>
  <si>
    <t xml:space="preserve">4. Còn đúng 1 ảnh và bộ đếm hiển thị "1/5".</t>
  </si>
  <si>
    <t xml:space="preserve">Check không xoá được ảnh của tin đã đăng</t>
  </si>
  <si>
    <t xml:space="preserve">1. Đăng nhập FoxEco bằng tài khoản A và đăng 1 tin NEED kèm 2 ảnh. (setup)
2. Nhấn tab "Hoạt động" và mở tin đó. (setup)
3. Nhấn "Chỉnh sửa" để mở form sửa tin.
4. Nhấn giữ vào ảnh thứ nhất và tìm thao tác xoá ảnh.
5. Check số ảnh của tin sau khi đã thử xoá.</t>
  </si>
  <si>
    <t xml:space="preserve">5. KHÔNG có thao tác xoá nào khả dụng và tin vẫn giữ đủ 2 ảnh.</t>
  </si>
  <si>
    <t xml:space="preserve">▬▬  1. Mở form và gửi thành công  ·  2 TC (TC-TS-008…TC-TS-009)</t>
  </si>
  <si>
    <t xml:space="preserve">Check form báo cáo sự cố mở trong WebView và chỉ điền sẵn mã đơn hàng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</si>
  <si>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Check khung WebView vừa mở và giá trị của bốn ô "Mã đơn hàng", "Loại yêu cầu", "Mô tả chi tiết", "Số điện thoại liên hệ lại".</t>
  </si>
  <si>
    <t xml:space="preserve">5. WebView mở toàn màn hình có thanh URL chỉ đọc và nút đóng; ô "Mã đơn hàng" đã điền sẵn đúng mã của đơn kèm ghi chú "Tự động điền từ ứng dụng"; ba ô "Loại yêu cầu", "Mô tả chi tiết" và "Số điện thoại liên hệ lại" đều TRỐNG.</t>
  </si>
  <si>
    <t xml:space="preserve">Check gửi báo cáo sự cố hợp lệ hiện màn ghi nhận kèm cam kết liên hệ lại</t>
  </si>
  <si>
    <t xml:space="preserve">- Tài khoản A, B, C là ba CBNV khác nhau trên STG.
- Host app FoxPro đã cài trên thiết bị Android/iOS.
- Thư viện ảnh thiết bị có sẵn ≥5 ảnh JPG.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</si>
  <si>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"Hàng bị móp góc khi giao" vào ô "Mô tả chi tiết".
6. Nhập "0912345678" vào ô "Số điện thoại liên hệ lại".
7. Đính 2 ảnh JPG từ thư viện thiết bị.
8. Nhấn "Gửi".
9. Check màn hiện ra sau khi gửi.</t>
  </si>
  <si>
    <t xml:space="preserve">9. Màn hiển thị "Đã ghi nhận phản hồi" kèm đúng câu "Đội hỗ trợ FoxEco sẽ liên hệ lại số 0912345678 trong vòng 24 giờ làm việc" và nút "Quay lại đơn hàng".</t>
  </si>
  <si>
    <t xml:space="preserve">▬▬  2. Trường bắt buộc  ·  3 TC (TC-TS-010…TC-TS-012)</t>
  </si>
  <si>
    <t xml:space="preserve">Check nút Gửi vô hiệu hoá khi chưa chọn loại yêu cầu</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</si>
  <si>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Nhập "Hàng bị móp góc khi giao" vào ô "Mô tả chi tiết".
5. Nhập "0912345678" vào ô "Số điện thoại liên hệ lại".
6. Để ô "Loại yêu cầu" ở trạng thái chưa chọn và check trạng thái nút "Gửi" cùng phần chữ cạnh nút.</t>
  </si>
  <si>
    <t xml:space="preserve">6. Nút "Gửi" ở trạng thái vô hiệu hoá và cạnh nút hiện chữ "Điền các mục bắt buộc".</t>
  </si>
  <si>
    <t xml:space="preserve">Check nút Gửi vô hiệu hoá khi chưa nhập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</si>
  <si>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"Lỗi ứng dụng" ở ô "Loại yêu cầu".
5. Nhập "0912345678" vào ô "Số điện thoại liên hệ lại".
6. Để ô "Mô tả chi tiết" rỗng và check trạng thái nút "Gửi" cùng phần chữ cạnh nút.</t>
  </si>
  <si>
    <t xml:space="preserve">Check nút Gửi vô hiệu hoá khi số điện thoại sai định dạng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</si>
  <si>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"Góp ý / đề xuất" ở ô "Loại yêu cầu".
5. Nhập "App hay bị chậm ở màn bảng tin" vào ô "Mô tả chi tiết".
6. Nhập "0912abc" vào ô "Số điện thoại liên hệ lại".
7. Check trạng thái nút "Gửi" cùng phần chữ cạnh nút.</t>
  </si>
  <si>
    <t xml:space="preserve">7. Nút "Gửi" ở trạng thái vô hiệu hoá và cạnh nút hiện chữ "Điền các mục bắt buộc".</t>
  </si>
  <si>
    <t xml:space="preserve">▬▬  3. Ảnh đính kèm  ·  3 TC (TC-TS-013…TC-TS-015)</t>
  </si>
  <si>
    <t xml:space="preserve">Check gửi báo cáo sự cố thành công khi không đính ảnh nào</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</si>
  <si>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"Không liên lạc được người nhận" vào ô "Mô tả chi tiết".
6. Nhập "0912345678" vào ô "Số điện thoại liên hệ lại".
7. Nhấn "Gửi" mà KHÔNG đính ảnh nào.
8. Check màn hiện ra sau khi gửi.</t>
  </si>
  <si>
    <t xml:space="preserve">8. Màn hiển thị "Đã ghi nhận phản hồi", gửi thành công không có thông báo lỗi đòi ảnh.</t>
  </si>
  <si>
    <t xml:space="preserve">Check đính đủ năm ảnh thì nút thêm ảnh khác bị vô hiệu hoá</t>
  </si>
  <si>
    <t xml:space="preserve">- Tài khoản A, B, C là ba CBNV khác nhau trên STG.
- Host app FoxPro đã cài trên thiết bị Android/iOS.
- Thư viện ảnh thiết bị có sẵn ≥6 ảnh JPG.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</si>
  <si>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nhập mô tả "Hàng bị ướt" và nhập số điện thoại "0912345678". (setup)
5. Đính lần lượt 5 ảnh JPG từ thư viện thiết bị.
6. Check số ảnh hiển thị trong ô ảnh và trạng thái nút "Thêm ảnh khác".</t>
  </si>
  <si>
    <t xml:space="preserve">6. Ô ảnh hiển thị đủ 5 ảnh và nút "Thêm ảnh khác" chuyển sang trạng thái vô hiệu hoá, không chọn được ảnh thứ 6.</t>
  </si>
  <si>
    <t xml:space="preserve">Check xoá được từng ảnh đính kèm riêng lẻ và mở lại chỗ thêm ảnh</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</si>
  <si>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Đính lần lượt 5 ảnh JPG từ thư viện thiết bị. (setup)
5. Nhấn nút xoá trên ảnh thứ ba.
6. Check số ảnh còn lại, thứ tự các ảnh còn lại và trạng thái nút "Thêm ảnh khác".</t>
  </si>
  <si>
    <t xml:space="preserve">6. Ô ảnh còn đúng 4 ảnh và chỉ mất đúng ảnh thứ ba, các ảnh còn lại giữ nguyên; nút "Thêm ảnh khác" trở lại trạng thái khả dụng.</t>
  </si>
  <si>
    <t xml:space="preserve">▬▬  4. Mất mạng  ·  2 TC (TC-TS-016…TC-TS-017)</t>
  </si>
  <si>
    <t xml:space="preserve">Check mất mạng khi mở báo cáo sự cố thì app hiện lỗi kèm nút thử lại</t>
  </si>
  <si>
    <t xml:space="preserve">- Tài khoản A, B, C là ba CBNV khác nhau trên STG.
- Host app FoxPro đã cài trên thiết bị Android/iOS.
- Có sẵn công cụ bật tắt mạng thiết bị hoặc network throttle — ⛔ không dựng được bằng thao tác trong app.</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</si>
  <si>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Ngắt hoàn toàn kết nối mạng của thiết bị.
5. Nhấn "Báo cáo sự cố".
6. Check màn hiện ra và các nút trên màn đó.</t>
  </si>
  <si>
    <t xml:space="preserve">6. Màn hiển thị thông báo lỗi không tải được kèm nút "Thử lại"; form Google không hiện ra.</t>
  </si>
  <si>
    <t xml:space="preserve">Check thử lại sau khi có mạng mở đúng form của đơn cũ không mất ngữ cảnh</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</si>
  <si>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và ghi lại mã đơn hiển thị trên màn. (setup)
4. Ngắt hoàn toàn kết nối mạng của thiết bị rồi nhấn "Báo cáo sự cố". (setup)
5. Bật lại kết nối mạng của thiết bị.
6. Nhấn "Thử lại".
7. Check ô "Mã đơn hàng" trên form vừa tải được.</t>
  </si>
  <si>
    <t xml:space="preserve">7. Form tải được và ô "Mã đơn hàng" điền đúng mã đơn đã ghi ở step 3.</t>
  </si>
  <si>
    <t xml:space="preserve">▬▬  5. Vòng đời WebView  ·  2 TC (TC-TS-018…TC-TS-019)</t>
  </si>
  <si>
    <t xml:space="preserve">Check đóng WebView quay về đúng màn theo dõi đơn trước đó</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</si>
  <si>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Nhập "Thử đóng giữa chừng" vào ô "Mô tả chi tiết".
6. Nhấn nút đóng của WebView.
7. Check màn hiện ra và trạng thái đơn trên màn đó.</t>
  </si>
  <si>
    <t xml:space="preserve">7. Quay về đúng màn "Theo dõi đơn" của chính đơn vừa mở, đơn vẫn ở trạng thái "Đang giao".</t>
  </si>
  <si>
    <t xml:space="preserve">Check mở lại báo cáo sự cố là phiên mới không giữ dữ liệu nhập dở</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</si>
  <si>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chọn "Lỗi ứng dụng" và nhập "Dữ liệu nhập dở lần một" vào ô "Mô tả chi tiết", rồi nhấn nút đóng của WebView. (setup)
5. Nhấn lại "Báo cáo sự cố" từ chính đơn đó.
6. Check giá trị ô "Loại yêu cầu" và ô "Mô tả chi tiết".</t>
  </si>
  <si>
    <t xml:space="preserve">6. Ô "Loại yêu cầu" trở về trạng thái chưa chọn và ô "Mô tả chi tiết" TRỐNG, không còn chuỗi "Dữ liệu nhập dở lần một".</t>
  </si>
  <si>
    <t xml:space="preserve">▬▬  6. Hệ quả trạng thái đơn  ·  1 TC (TC-TS-020)</t>
  </si>
  <si>
    <t xml:space="preserve">Check gửi báo cáo sự cố không làm đơn đổi trạng thái</t>
  </si>
  <si>
    <t xml:space="preserve">1. Đăng nhập bằng tài khoản A, đăng 1 tin NEED khai tài khoản C là người nhận. (setup)
2. Nhấn tab "Hoạt động", mở đơn đó và ghi lại trạng thái đang hiển thị. (setup)
3. Nhấn "Báo cáo sự cố".
4. Chọn "Sự cố đơn hàng", nhập mô tả "Thử ảnh hưởng trạng thái" và nhập số điện thoại "0912345678".
5. Nhấn "Gửi".
6. Nhấn "Quay lại đơn hàng".
7. Check trạng thái đơn và nhãn trên màn "Theo dõi đơn".</t>
  </si>
  <si>
    <t xml:space="preserve">7. Đơn vẫn ở đúng trạng thái đã ghi ở step 2, không xuất hiện nhãn hay cờ sự cố nào mới.</t>
  </si>
  <si>
    <t xml:space="preserve">▬▬  7. Field prefill chỉ đọc  ·  1 TC (TC-TS-021)</t>
  </si>
  <si>
    <t xml:space="preserve">Check ô mã đơn hàng là nhãn tĩnh chỉ đọc không sửa được</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</si>
  <si>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Nhấn vào ô "Mã đơn hàng" và thử nhập thêm ký tự "X".
5. Check kiểu hiển thị của ô "Mã đơn hàng", trạng thái bàn phím và giá trị trong ô.</t>
  </si>
  <si>
    <t xml:space="preserve">5. Ô "Mã đơn hàng" hiển thị dạng nhãn tĩnh chứ không phải textbox, bàn phím không bật lên, và giá trị trong ô giữ nguyên mã đơn gốc không có ký tự "X".</t>
  </si>
  <si>
    <t xml:space="preserve">▬▬  8. Trigger ba vai trò  ·  3 TC (TC-TS-022…TC-TS-024)</t>
  </si>
  <si>
    <t xml:space="preserve">Check người gửi thấy nút báo cáo sự cố ở cả ba trạng thái đơn</t>
  </si>
  <si>
    <t xml:space="preserve">1. Đăng nhập bằng tài khoản A, đăng 1 tin NEED khai tài khoản C là người nhận. (setup)
2. Nhấn tab "Hoạt động", mở đơn đó và check góc trên bên phải màn "Theo dõi đơn".
3. Đăng xuất, đăng nhập bằng tài khoản B, nhận đơn đó và xác nhận, rồi đăng xuất. (setup)
4. Đăng nhập lại bằng tài khoản A, mở đơn đó và check góc trên bên phải màn.
5. Đăng xuất, đăng nhập bằng tài khoản B, nhấn "Tôi đã lấy hàng" và xác nhận, rồi đăng xuất. (setup)
6. Đăng nhập lại bằng tài khoản A, mở đơn đó và check góc trên bên phải màn ở cả ba lần quan sát.</t>
  </si>
  <si>
    <t xml:space="preserve">6. Cả ba lần quan sát đều thấy nút "Báo cáo sự cố" ở góc trên bên phải màn "Theo dõi đơn" với nền cam nhạt, icon cảnh báo kèm chữ, và nhấn được.</t>
  </si>
  <si>
    <t xml:space="preserve">Check người vận chuyển thấy nút báo cáo sự cố ở cả hai trạng thái sau khi nhận đơn</t>
  </si>
  <si>
    <t xml:space="preserve">1. Đăng nhập bằng tài khoản A, đăng 1 tin NEED khai tài khoản C là người nhận, rồi đăng xuất. (setup)
2. Đăng nhập bằng tài khoản B, nhận đơn đó và xác nhận. (setup)
3. Nhấn tab "Hoạt động", mở đơn đó và check góc trên bên phải màn "Theo dõi đơn".
4. Nhấn "Tôi đã lấy hàng" và xác nhận. (setup)
5. Mở lại đơn đó và check góc trên bên phải màn ở cả hai lần quan sát.</t>
  </si>
  <si>
    <t xml:space="preserve">5. Cả hai lần quan sát đều thấy nút "Báo cáo sự cố" ở góc trên bên phải màn "Theo dõi đơn" và nhấn được.</t>
  </si>
  <si>
    <t xml:space="preserve">Check người nhận thấy nút báo cáo sự cố và mở được form giống hai vai kia</t>
  </si>
  <si>
    <t xml:space="preserve">1. Đăng nhập bằng tài khoản A, đăng 1 tin NEED khai tài khoản C là người nhận, rồi đăng xuất. (setup)
2. Đăng nhập bằng tài khoản B, nhận đơn đó, nhấn "Tôi đã lấy hàng" và xác nhận, rồi đăng xuất. (setup)
3. Đăng nhập bằng tài khoản C, nhấn tab "Hoạt động" và mở đơn đó. (setup)
4. Check góc trên bên phải màn "Theo dõi đơn".
5. Nhấn "Báo cáo sự cố".
6. Check khung vừa mở và ô "Mã đơn hàng".</t>
  </si>
  <si>
    <t xml:space="preserve">6. WebView mở toàn màn hình và ô "Mã đơn hàng" điền sẵn đúng mã của đơn, giống hệt hành vi ở vai người gửi và người vận chuyển.</t>
  </si>
  <si>
    <t xml:space="preserve">▬▬  1. Trang Cá nhân — hiển thị  ·  2 TC (TC-USR-002…TC-USR-003)</t>
  </si>
  <si>
    <t xml:space="preserve">Check trang "Cá nhân" hiển thị avatar chữ viết tắt, tên, phòng ban và MNV</t>
  </si>
  <si>
    <t xml:space="preserve">1. Đăng nhập FoxEco từ host app FoxPro bằng tài khoản A. (setup)
2. Nhấn tab "Cá nhân" ở bottom nav. (setup)
3. Check khối hồ sơ đầu trang.</t>
  </si>
  <si>
    <t xml:space="preserve">3. Avatar hiển thị chữ viết tắt không dấu, viết hoa, ghép từ chữ cái đầu của 2 từ cuối trong tên tài khoản A (vd tên "Đồng Công Chí Linh" hiển thị "CL"); dưới avatar là tên và dòng phòng ban · MNV trùng hồ sơ nhân viên của tài khoản A (vd "Phòng Kỹ thuật · MNV: FTEL2291"); KHÔNG hiển thị số điện thoại, email công ty hay địa chỉ mặc định.</t>
  </si>
  <si>
    <t xml:space="preserve">Check trang "Cá nhân" không cho sửa trực tiếp avatar, tên, phòng ban và MNV</t>
  </si>
  <si>
    <t xml:space="preserve">1. Đăng nhập FoxEco từ host app FoxPro bằng tài khoản A. (setup)
2. Nhấn tab "Cá nhân" ở bottom nav. (setup)
3. Nhấn vào avatar.
4. Nhấn vào tên.
5. Nhấn vào dòng phòng ban · MNV.
6. Check trạng thái avatar, tên và dòng phòng ban · MNV sau cả 3 lần nhấn.</t>
  </si>
  <si>
    <t xml:space="preserve">6. Không mở màn hay popup đổi ảnh, không xuất hiện field nhập liệu hay bàn phím ở cả 3 lần nhấn; avatar, tên và dòng phòng ban · MNV đều giữ nguyên giá trị.</t>
  </si>
  <si>
    <t xml:space="preserve">▬▬  2. Trang Cá nhân — badge hạng  ·  2 TC (TC-USR-008…TC-USR-012)</t>
  </si>
  <si>
    <t xml:space="preserve">Check trang "Cá nhân" không hiển thị badge "Hạng Đồng hành"</t>
  </si>
  <si>
    <t xml:space="preserve">1. Đăng nhập FoxEco từ host app FoxPro bằng tài khoản A. (setup)
2. Nhấn tab "Cá nhân" ở bottom nav. (setup)
3. Check vùng bên dưới tên và dòng phòng ban · MNV.</t>
  </si>
  <si>
    <t xml:space="preserve">3. KHÔNG hiển thị badge "Hạng Đồng hành" hay bất kỳ nhãn hạng thành viên nào.</t>
  </si>
  <si>
    <t xml:space="preserve">Check trang "Cá nhân" hiển thị đủ thành phần theo đúng thứ tự</t>
  </si>
  <si>
    <t xml:space="preserve">1. Đăng nhập FoxEco từ host app FoxPro bằng tài khoản A. (setup)
2. Nhấn tab "Cá nhân" ở bottom nav. (setup)
3. Check lần lượt từ trên xuống các thành phần của trang.</t>
  </si>
  <si>
    <t xml:space="preserve">3. Hiển thị theo đúng thứ tự: avatar chữ viết tắt, tên, dòng phòng ban kèm MNV, card 2 chỉ số "đơn đã giúp" và "quà đã nhận", 3 mục menu "Đơn của tôi", "Quà đã nhận", "Cập nhật thông tin"; không có badge hạng thành viên.</t>
  </si>
  <si>
    <t xml:space="preserve">▬▬  3. Lối vào màn Cập nhật thông tin  ·  2 TC (TC-USR-013…TC-USR-014)</t>
  </si>
  <si>
    <t xml:space="preserve">Check mục menu "Cập nhật thông tin" nằm ngay dưới mục "Quà đã nhận"</t>
  </si>
  <si>
    <t xml:space="preserve">1. Đăng nhập FoxEco từ host app FoxPro bằng tài khoản A. (setup)
2. Nhấn tab "Cá nhân" ở bottom nav. (setup)
3. Check nhãn và thứ tự các mục menu.</t>
  </si>
  <si>
    <t xml:space="preserve">3. Mục menu thứ hai có nhãn "Quà đã nhận"; mục menu thứ ba có nhãn "Cập nhật thông tin", nằm ngay dưới "Quà đã nhận".</t>
  </si>
  <si>
    <t xml:space="preserve">REQ-USR-006, REQ-USR-008</t>
  </si>
  <si>
    <t xml:space="preserve">Check nhấn mục "Cập nhật thông tin" mở đúng màn và ẩn bottom nav</t>
  </si>
  <si>
    <t xml:space="preserve">1. Đăng nhập FoxEco từ host app FoxPro bằng tài khoản A. (setup)
2. Nhấn tab "Cá nhân" ở bottom nav. (setup)
3. Nhấn mục menu "Cập nhật thông tin".</t>
  </si>
  <si>
    <t xml:space="preserve">3. Mở màn "Cập nhật thông tin": header có nút quay lại "←" và tiêu đề "Cập nhật thông tin"; màn không hiển thị bottom nav.</t>
  </si>
  <si>
    <t xml:space="preserve">▬▬  4. Lưu và hiển thị lại  ·  3 TC (TC-USR-015…TC-USR-027)</t>
  </si>
  <si>
    <t xml:space="preserve">DOC-v1.1-01 · DOC-v1.1-04</t>
  </si>
  <si>
    <t xml:space="preserve">Check lưu số điện thoại và địa chỉ mặc định mới hiển thị đúng banner xanh</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</si>
  <si>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"Lê Thái Tổ" vào field "Địa chỉ mặc định".
7. Chọn "Tòa V-City, Lê Thái Tổ" trong danh sách gợi ý.
8. Nhấn nút "Lưu thay đổi".</t>
  </si>
  <si>
    <t xml:space="preserve">8. Hiển thị banner xanh "Đã lưu thông tin của bạn" ngay trên nút "Lưu thay đổi"; màn vẫn ở "Cập nhật thông tin".</t>
  </si>
  <si>
    <t xml:space="preserve">Check giá trị số điện thoại và địa chỉ mặc định vẫn đúng sau khi mở lại màn</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</si>
  <si>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"Lê Thái Tổ" vào field "Địa chỉ mặc định". (setup)
7. Chọn "Tòa V-City, Lê Thái Tổ" trong danh sách gợi ý. (setup)
8. Nhấn nút "Lưu thay đổi". (setup)
9. Nhấn nút "←". (setup)
10. Nhấn mục menu "Cập nhật thông tin".
11. Check field "Số điện thoại mặc định" và field "Địa chỉ mặc định".</t>
  </si>
  <si>
    <t xml:space="preserve">11. Field "Số điện thoại mặc định" hiển thị "0987654321"; field "Địa chỉ mặc định" hiển thị "Tòa V-City, Lê Thái Tổ".</t>
  </si>
  <si>
    <t xml:space="preserve">Check banner đã lưu tự ẩn khi sửa tiếp nội dung field</t>
  </si>
  <si>
    <t xml:space="preserve">1. Đăng nhập FoxEco từ host app FoxPro bằng tài khoản A. (setup)
2. Nhấn tab "Cá nhân" ở bottom nav. (setup)
3. Nhấn mục menu "Cập nhật thông tin". (setup)
4. Nhập "0987654321" vào field "Số điện thoại mặc định". (setup)
5. Nhấn nút "Lưu thay đổi". (setup)
6. Check banner phía trên nút "Lưu thay đổi". (setup)
7. Nhập "0987654322" vào field "Số điện thoại mặc định".
8. Check banner phía trên nút "Lưu thay đổi".</t>
  </si>
  <si>
    <t xml:space="preserve">8. Banner "Đã lưu thông tin của bạn" không còn hiển thị, không cần nhấn đóng.</t>
  </si>
  <si>
    <t xml:space="preserve">▬▬  5. Validate số điện thoại mặc định  ·  7 TC (TC-USR-017…TC-USR-023)</t>
  </si>
  <si>
    <t xml:space="preserve">Check để trống số điện thoại mặc định bị chặn lưu và báo lỗi dưới field</t>
  </si>
  <si>
    <t xml:space="preserve">1. Đăng nhập FoxEco từ host app FoxPro bằng tài khoản A. (setup)
2. Nhấn tab "Cá nhân" ở bottom nav. (setup)
3. Nhấn mục menu "Cập nhật thông tin". (setup)
4. Xoá toàn bộ nội dung field "Số điện thoại mặc định".
5. Nhấn nút "Lưu thay đổi".</t>
  </si>
  <si>
    <t xml:space="preserve">5. Hiển thị thông báo lỗi màu đỏ "Vui lòng nhập số điện thoại" ngay dưới field "Số điện thoại mặc định"; KHÔNG hiển thị banner "Đã lưu thông tin của bạn".</t>
  </si>
  <si>
    <t xml:space="preserve">Check số điện thoại mặc định 9 chữ số bị chặn lưu</t>
  </si>
  <si>
    <t xml:space="preserve">1. Đăng nhập FoxEco từ host app FoxPro bằng tài khoản A. (setup)
2. Nhấn tab "Cá nhân" ở bottom nav. (setup)
3. Nhấn mục menu "Cập nhật thông tin". (setup)
4. Nhập "091234567" vào field "Số điện thoại mặc định".
5. Nhấn nút "Lưu thay đổi".</t>
  </si>
  <si>
    <t xml:space="preserve">5. Hiển thị thông báo lỗi màu đỏ "Số điện thoại không hợp lệ (10 số, bắt đầu bằng 0)" ngay dưới field "Số điện thoại mặc định"; KHÔNG hiển thị banner "Đã lưu thông tin của bạn".</t>
  </si>
  <si>
    <t xml:space="preserve">Check số điện thoại mặc định 11 chữ số bị chặn lưu</t>
  </si>
  <si>
    <t xml:space="preserve">1. Đăng nhập FoxEco từ host app FoxPro bằng tài khoản A. (setup)
2. Nhấn tab "Cá nhân" ở bottom nav. (setup)
3. Nhấn mục menu "Cập nhật thông tin". (setup)
4. Nhập "09123456789" vào field "Số điện thoại mặc định".
5. Nhấn nút "Lưu thay đổi".
6. Nhấn nút "←".
7. Nhấn mục menu "Cập nhật thông tin".
8. Check field "Số điện thoại mặc định".</t>
  </si>
  <si>
    <t xml:space="preserve">8. Field "Số điện thoại mặc định" không hiển thị "09123456789".</t>
  </si>
  <si>
    <t xml:space="preserve">Check số điện thoại mặc định không bắt đầu bằng 0 bị chặn lưu</t>
  </si>
  <si>
    <t xml:space="preserve">1. Đăng nhập FoxEco từ host app FoxPro bằng tài khoản A. (setup)
2. Nhấn tab "Cá nhân" ở bottom nav. (setup)
3. Nhấn mục menu "Cập nhật thông tin". (setup)
4. Nhập "1912345678" vào field "Số điện thoại mặc định".
5. Nhấn nút "Lưu thay đổi".</t>
  </si>
  <si>
    <t xml:space="preserve">Check số điện thoại mặc định chứa khoảng trắng bị chặn lưu</t>
  </si>
  <si>
    <t xml:space="preserve">1. Đăng nhập FoxEco từ host app FoxPro bằng tài khoản A. (setup)
2. Nhấn tab "Cá nhân" ở bottom nav. (setup)
3. Nhấn mục menu "Cập nhật thông tin". (setup)
4. Nhập "0912 345 678" vào field "Số điện thoại mặc định".
5. Nhấn nút "Lưu thay đổi".</t>
  </si>
  <si>
    <t xml:space="preserve">Check số điện thoại mặc định có tiền tố +84 bị chặn lưu</t>
  </si>
  <si>
    <t xml:space="preserve">1. Đăng nhập FoxEco từ host app FoxPro bằng tài khoản A. (setup)
2. Nhấn tab "Cá nhân" ở bottom nav. (setup)
3. Nhấn mục menu "Cập nhật thông tin". (setup)
4. Nhập "+84912345678" vào field "Số điện thoại mặc định".
5. Nhấn nút "Lưu thay đổi".</t>
  </si>
  <si>
    <t xml:space="preserve">Check số điện thoại mặc định chứa chữ bị chặn lưu</t>
  </si>
  <si>
    <t xml:space="preserve">1. Đăng nhập FoxEco từ host app FoxPro bằng tài khoản A. (setup)
2. Nhấn tab "Cá nhân" ở bottom nav. (setup)
3. Nhấn mục menu "Cập nhật thông tin". (setup)
4. Nhập "09123a5678" vào field "Số điện thoại mặc định".
5. Nhấn nút "Lưu thay đổi".</t>
  </si>
  <si>
    <t xml:space="preserve">▬▬  6. Field chỉ đọc từ SSO  ·  1 TC (TC-USR-024)</t>
  </si>
  <si>
    <t xml:space="preserve">REQ-USR-002, REQ-USR-008</t>
  </si>
  <si>
    <t xml:space="preserve">Check avatar, tên, phòng ban, MNV và email trên màn cập nhật chỉ đọc</t>
  </si>
  <si>
    <t xml:space="preserve">1. Đăng nhập FoxEco từ host app FoxPro bằng tài khoản A. (setup)
2. Nhấn tab "Cá nhân" ở bottom nav. (setup)
3. Nhấn mục menu "Cập nhật thông tin". (setup)
4. Nhấn vào avatar.
5. Nhấn vào tên.
6. Nhấn vào dòng phòng ban · MNV.
7. Nhấn vào field "Email công ty".
8. Check trạng thái cả 4 thành phần và icon bên phải field "Email công ty".</t>
  </si>
  <si>
    <t xml:space="preserve">8. Không mở màn/popup đổi ảnh, không xuất hiện field nhập liệu hay bàn phím ở cả 4 lần nhấn; avatar, tên, dòng phòng ban · MNV và email đều giữ nguyên; icon bên phải field "Email công ty" hiển thị icon khiên.</t>
  </si>
  <si>
    <t xml:space="preserve">▬▬  7. Truy vết hai chiều với đơn  ·  2 TC (TC-USR-025…TC-USR-026)</t>
  </si>
  <si>
    <t xml:space="preserve">Check đổi số điện thoại và địa chỉ mặc định không làm đổi đơn đã đăng trước đó</t>
  </si>
  <si>
    <t xml:space="preserve">- Tài khoản A và B là 2 CBNV khác nhau trên STG.
- Host app FoxPro đã cài trên thiết bị Android/iOS.</t>
  </si>
  <si>
    <t xml:space="preserve">1. Đăng nhập FoxEco từ host app FoxPro bằng tài khoản A. (setup)
2. Đăng 1 tin NEED qua wizard "Đăng tin", khai tài khoản B là người nhận, giữ nguyên số điện thoại người gửi và địa chỉ lấy hàng được điền sẵn. (setup)
3. Mở màn Theo dõi đơn của tin vừa đăng. (setup)
4. Ghi lại số điện thoại người gửi và địa chỉ lấy hàng hiển thị trên màn Theo dõi đơn.
5. Nhấn tab "Cá nhân" ở bottom nav. (setup)
6. Nhấn mục menu "Cập nhật thông tin". (setup)
7. Nhập "0987654321" vào field "Số điện thoại mặc định".
8. Nhập "Cẩm Lệ" vào field "Địa chỉ mặc định".
9. Chọn "363 Nguyễn Hữu Thọ,Cẩm Lệ" trong danh sách gợi ý.
10. Nhấn nút "Lưu thay đổi".
11. Nhấn tab "Hoạt động" ở bottom nav.
12. Nhấn card của tin đã đăng ở bước 2 để mở màn Theo dõi đơn.
13. Check số điện thoại người gửi và địa chỉ lấy hàng.</t>
  </si>
  <si>
    <t xml:space="preserve">13. Số điện thoại người gửi và địa chỉ lấy hàng trùng đúng giá trị đã ghi ở bước 4.</t>
  </si>
  <si>
    <t xml:space="preserve">Check sửa số điện thoại người gửi và địa chỉ lấy hàng trong đơn không ghi đè hồ sơ</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</si>
  <si>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Mở wizard "Đăng tin" loại NEED, khai tài khoản B là người nhận và đi tới bước có field số điện thoại người gửi và địa chỉ lấy hàng. (setup)
6. Nhập "0987654321" vào field số điện thoại người gửi.
7. Nhập "Tòa V-City, Lê Thái Tổ" vào field địa chỉ lấy hàng.
8. Hoàn tất các bước còn lại của wizard và nhấn đăng tin. (setup)
9. Nhấn tab "Cá nhân" ở bottom nav. (setup)
10. Nhấn mục menu "Cập nhật thông tin".
11. Check field "Số điện thoại mặc định" và field "Địa chỉ mặc định".</t>
  </si>
  <si>
    <t xml:space="preserve">11. Field "Số điện thoại mặc định" và field "Địa chỉ mặc định" trùng đúng giá trị đã ghi ở bước 4; không hiển thị "0987654321" hay "Tòa V-City, Lê Thái Tổ".</t>
  </si>
  <si>
    <t xml:space="preserve">▬▬  8. Địa chỉ mặc định — rỗng và gõ tay  ·  3 TC (TC-USR-028…TC-USR-030)</t>
  </si>
  <si>
    <t xml:space="preserve">Check địa chỉ gõ tay không chọn gợi ý bị xoá rỗng khi rời field</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</si>
  <si>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6. Nhấn vào vùng trống bên ngoài field "Địa chỉ mặc định".</t>
  </si>
  <si>
    <t xml:space="preserve">6. Field "Địa chỉ mặc định" trở về rỗng; trong lúc gõ ở bước 5 không hiển thị danh sách gợi ý.</t>
  </si>
  <si>
    <t xml:space="preserve">Check để trống địa chỉ mặc định sau khi xoá vẫn lưu được</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</si>
  <si>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t>
  </si>
  <si>
    <t xml:space="preserve">7. Hiển thị banner xanh "Đã lưu thông tin của bạn"; để trống địa chỉ mặc định vẫn lưu được.</t>
  </si>
  <si>
    <t xml:space="preserve">Check địa chỉ mặc định đã lưu rỗng vẫn rỗng sau khi mở lại, không tự load lại HRIS</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</si>
  <si>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 (setup)
8. Nhấn nút "←". (setup)
9. Nhấn mục menu "Cập nhật thông tin".
10. Check field "Địa chỉ mặc định".</t>
  </si>
  <si>
    <t xml:space="preserve">10. Field "Địa chỉ mặc định" rỗng; không tự điền lại địa chỉ làm việc từ HRIS.</t>
  </si>
  <si>
    <t xml:space="preserve">▬▬  9. Gợi ý văn phòng  ·  9 TC (TC-USR-031…TC-USR-039)</t>
  </si>
  <si>
    <t xml:space="preserve">Check nhập 2 ký tự chưa hiển thị gợi ý văn phòng</t>
  </si>
  <si>
    <t xml:space="preserve">1. Đăng nhập FoxEco từ host app FoxPro bằng tài khoản A. (setup)
2. Nhấn tab "Cá nhân" ở bottom nav. (setup)
3. Nhấn mục menu "Cập nhật thông tin". (setup)
4. Xoá toàn bộ nội dung field "Địa chỉ mặc định". (setup)
5. Nhập "fp" vào field "Địa chỉ mặc định".</t>
  </si>
  <si>
    <t xml:space="preserve">5. Không hiển thị danh sách gợi ý.</t>
  </si>
  <si>
    <t xml:space="preserve">Check nhập đủ 3 ký tự hiển thị đúng danh sách gợi ý văn phòng</t>
  </si>
  <si>
    <t xml:space="preserve">1. Đăng nhập FoxEco từ host app FoxPro bằng tài khoản A. (setup)
2. Nhấn tab "Cá nhân" ở bottom nav. (setup)
3. Nhấn mục menu "Cập nhật thông tin". (setup)
4. Xoá toàn bộ nội dung field "Địa chỉ mặc định". (setup)
5. Nhập "fpt" vào field "Địa chỉ mặc định".</t>
  </si>
  <si>
    <t xml:space="preserve">5. Danh sách gợi ý hiển thị đúng 8 văn phòng: "Tầng 20, FPT Tower", "Tầng 19, FPT Tower", "Tầng 8, FPT Tower", "Tầng 9, FPT Tower", "FPT Cầu Giấy", "Tầng 17,18 FPT Tower", "Lô A4-1, KĐT Công nghệ FPT", "ĐH FPT, KĐT An Phú Thịnh".</t>
  </si>
  <si>
    <t xml:space="preserve">Check chọn 1 văn phòng trong gợi ý điền đúng tên văn phòng vào field</t>
  </si>
  <si>
    <t xml:space="preserve">1. Đăng nhập FoxEco từ host app FoxPro bằng tài khoản A. (setup)
2. Nhấn tab "Cá nhân" ở bottom nav. (setup)
3. Nhấn mục menu "Cập nhật thông tin". (setup)
4. Xoá toàn bộ nội dung field "Địa chỉ mặc định". (setup)
5. Nhập "Lê Thái Tổ" vào field "Địa chỉ mặc định".
6. Check danh sách gợi ý.
7. Chọn "Tòa V-City, Lê Thái Tổ" trong danh sách gợi ý.
8. Nhấn vào vùng trống bên ngoài field "Địa chỉ mặc định".</t>
  </si>
  <si>
    <t xml:space="preserve">8. Field "Địa chỉ mặc định" hiển thị đúng chuỗi "Tòa V-City, Lê Thái Tổ", không bị xoá rỗng.</t>
  </si>
  <si>
    <t xml:space="preserve">Check gợi ý văn phòng khớp đúng khi nhập có dấu</t>
  </si>
  <si>
    <t xml:space="preserve">1. Đăng nhập FoxEco từ host app FoxPro bằng tài khoản A. (setup)
2. Nhấn tab "Cá nhân" ở bottom nav. (setup)
3. Nhấn mục menu "Cập nhật thông tin". (setup)
4. Xoá toàn bộ nội dung field "Địa chỉ mặc định". (setup)
5. Nhập "Cẩm Lệ" vào field "Địa chỉ mặc định".</t>
  </si>
  <si>
    <t xml:space="preserve">5. Danh sách gợi ý hiển thị đúng 2 văn phòng "363 Nguyễn Hữu Thọ,Cẩm Lệ" và "36 Nhơn Hòa 4, Cẩm Lệ".</t>
  </si>
  <si>
    <t xml:space="preserve">Check gợi ý văn phòng khớp đúng khi nhập chữ thường không dấu</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</si>
  <si>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</si>
  <si>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Check gợi ý văn phòng khớp đúng khi nhập chữ hoa không dấu</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</si>
  <si>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</si>
  <si>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Check gợi ý văn phòng khớp theo kiểu chứa chuỗi kể cả giữa từ</t>
  </si>
  <si>
    <t xml:space="preserve">1. Đăng nhập FoxEco từ host app FoxPro bằng tài khoản A. (setup)
2. Nhấn tab "Cá nhân" ở bottom nav. (setup)
3. Nhấn mục menu "Cập nhật thông tin". (setup)
4. Xoá toàn bộ nội dung field "Địa chỉ mặc định". (setup)
5. Nhập "tan" vào field "Địa chỉ mặc định".</t>
  </si>
  <si>
    <t xml:space="preserve">5. Danh sách gợi ý có văn phòng "Tầng 20, FPT Tower" và văn phòng "14 NVY,Phú Thọ Hòa,Tân Phú".</t>
  </si>
  <si>
    <t xml:space="preserve">Check từ khoá không khớp văn phòng nào không hiển thị gợi ý</t>
  </si>
  <si>
    <t xml:space="preserve">1. Đăng nhập FoxEco từ host app FoxPro bằng tài khoản A. (setup)
2. Nhấn tab "Cá nhân" ở bottom nav. (setup)
3. Nhấn mục menu "Cập nhật thông tin". (setup)
4. Xoá toàn bộ nội dung field "Địa chỉ mặc định". (setup)
5. Nhập "xyz" vào field "Địa chỉ mặc định".</t>
  </si>
  <si>
    <t xml:space="preserve">5. Không hiển thị danh sách gợi ý và không hiển thị dòng thông báo nào.</t>
  </si>
  <si>
    <t xml:space="preserve">Check gợi ý chỉ tìm theo tên văn phòng, không theo mã tỉnh</t>
  </si>
  <si>
    <t xml:space="preserve">1. Đăng nhập FoxEco từ host app FoxPro bằng tài khoản A. (setup)
2. Nhấn tab "Cá nhân" ở bottom nav. (setup)
3. Nhấn mục menu "Cập nhật thông tin". (setup)
4. Xoá toàn bộ nội dung field "Địa chỉ mặc định". (setup)
5. Nhập "hcm" vào field "Địa chỉ mặc định".</t>
  </si>
  <si>
    <t xml:space="preserve">▬▬  10. Nguồn HRIS lần đầu mở màn  ·  5 TC (TC-USR-040…TC-USR-044)</t>
  </si>
  <si>
    <t xml:space="preserve">Check lần đầu mở màn cập nhật địa chỉ mặc định điền sẵn từ HRIS</t>
  </si>
  <si>
    <t xml:space="preserve">- Tài khoản C là CBNV chưa từng lưu thông tin ở màn "Cập nhật thông tin".
- HRIS có địa chỉ làm việc của tài khoản C (giá trị đã biết).
- Host app FoxPro đã cài trên thiết bị Android/iOS.</t>
  </si>
  <si>
    <t xml:space="preserve">1. Đăng nhập FoxEco từ host app FoxPro bằng tài khoản C. (setup)
2. Nhấn tab "Cá nhân" ở bottom nav. (setup)
3. Nhấn mục menu "Cập nhật thông tin".
4. Nhấn vào field "Địa chỉ mặc định".
5. Check field "Địa chỉ mặc định".</t>
  </si>
  <si>
    <t xml:space="preserve">5. Field hiển thị đúng địa chỉ làm việc của tài khoản C trên HRIS và cho phép nhập (con trỏ, bàn phím xuất hiện).</t>
  </si>
  <si>
    <t xml:space="preserve">Check địa chỉ mặc định rỗng khi HRIS không có địa chỉ làm việc</t>
  </si>
  <si>
    <t xml:space="preserve">- Tài khoản D là CBNV chưa từng lưu thông tin ở màn "Cập nhật thông tin".
- HRIS không có địa chỉ làm việc của tài khoản D.
- Host app FoxPro đã cài trên thiết bị Android/iOS.</t>
  </si>
  <si>
    <t xml:space="preserve">1. Đăng nhập FoxEco từ host app FoxPro bằng tài khoản D. (setup)
2. Nhấn tab "Cá nhân" ở bottom nav. (setup)
3. Nhấn mục menu "Cập nhật thông tin".
4. Check field "Địa chỉ mặc định".</t>
  </si>
  <si>
    <t xml:space="preserve">4. Field "Địa chỉ mặc định" rỗng.</t>
  </si>
  <si>
    <t xml:space="preserve">Check địa chỉ mặc định đã lưu được giữ sau khi mở lại FoxEco, không bị HRIS ghi đè</t>
  </si>
  <si>
    <t xml:space="preserve">- Tài khoản A là CBNV có hồ sơ đầy đủ trên STG.
- HRIS có địa chỉ làm việc của tài khoản A khác "Tòa V-City, Lê Thái Tổ".
- Host app FoxPro đã cài trên thiết bị Android/iOS.</t>
  </si>
  <si>
    <t xml:space="preserve">1. Đăng nhập FoxEco từ host app FoxPro bằng tài khoản A. (setup)
2. Nhấn tab "Cá nhân" ở bottom nav. (setup)
3. Nhấn mục menu "Cập nhật thông tin". (setup)
4. Nhập "Lê Thái Tổ" vào field "Địa chỉ mặc định". (setup)
5. Chọn "Tòa V-City, Lê Thái Tổ" trong danh sách gợi ý. (setup)
6. Nhấn nút "Lưu thay đổi". (setup)
7. Nhấn nút back của thiết bị cho tới khi quay về màn chính của host app FoxPro.
8. Mở lại FoxEco từ host app FoxPro.
9. Nhấn tab "Cá nhân" ở bottom nav.
10. Nhấn mục menu "Cập nhật thông tin".
11. Check field "Địa chỉ mặc định".</t>
  </si>
  <si>
    <t xml:space="preserve">11. Field "Địa chỉ mặc định" hiển thị "Tòa V-City, Lê Thái Tổ", không hiển thị địa chỉ làm việc trên HRIS.</t>
  </si>
  <si>
    <t xml:space="preserve">Check lần đầu mở màn cập nhật số điện thoại mặc định điền sẵn từ HRIS</t>
  </si>
  <si>
    <t xml:space="preserve">- Tài khoản C là CBNV chưa từng lưu thông tin ở màn "Cập nhật thông tin".
- HRIS có số điện thoại của tài khoản C (giá trị đã biết).
- Host app FoxPro đã cài trên thiết bị Android/iOS.</t>
  </si>
  <si>
    <t xml:space="preserve">1. Đăng nhập FoxEco từ host app FoxPro bằng tài khoản C. (setup)
2. Nhấn tab "Cá nhân" ở bottom nav. (setup)
3. Nhấn mục menu "Cập nhật thông tin".
4. Nhấn vào field "Số điện thoại mặc định".
5. Check field "Số điện thoại mặc định".</t>
  </si>
  <si>
    <t xml:space="preserve">5. Field hiển thị đúng số điện thoại của tài khoản C trên HRIS và cho phép nhập (con trỏ, bàn phím xuất hiện).</t>
  </si>
  <si>
    <t xml:space="preserve">Check HRIS không có số điện thoại thì field rỗng và nhấn lưu bị chặn</t>
  </si>
  <si>
    <t xml:space="preserve">- Tài khoản D là CBNV chưa từng lưu thông tin ở màn "Cập nhật thông tin".
- HRIS không có số điện thoại của tài khoản D.
- Host app FoxPro đã cài trên thiết bị Android/iOS.</t>
  </si>
  <si>
    <t xml:space="preserve">1. Đăng nhập FoxEco từ host app FoxPro bằng tài khoản D. (setup)
2. Nhấn tab "Cá nhân" ở bottom nav. (setup)
3. Nhấn mục menu "Cập nhật thông tin".
4. Check field "Số điện thoại mặc định".
5. Nhấn nút "Lưu thay đổi".</t>
  </si>
  <si>
    <t xml:space="preserve">▬▬  11. Thoát màn khi chưa lưu  ·  2 TC (TC-USR-045…TC-USR-046)</t>
  </si>
  <si>
    <t xml:space="preserve">Check nhấn quay lại khi chưa lưu không hiển thị hộp thoại xác nhận</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</si>
  <si>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"Cẩm Lệ" vào field "Địa chỉ mặc định".
7. Chọn "36 Nhơn Hòa 4, Cẩm Lệ" trong danh sách gợi ý.
8. Nhấn nút "←".</t>
  </si>
  <si>
    <t xml:space="preserve">8. Quay về trang "Cá nhân" ngay, không hiển thị hộp thoại xác nhận nào.</t>
  </si>
  <si>
    <t xml:space="preserve">Check thoát màn khi chưa lưu bỏ thay đổi không giữ bản nháp</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</si>
  <si>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"Cẩm Lệ" vào field "Địa chỉ mặc định". (setup)
7. Chọn "36 Nhơn Hòa 4, Cẩm Lệ" trong danh sách gợi ý. (setup)
8. Nhấn nút "←". (setup)
9. Nhấn mục menu "Cập nhật thông tin".
10. Check field "Số điện thoại mặc định" và field "Địa chỉ mặc định".</t>
  </si>
  <si>
    <t xml:space="preserve">10. Field "Số điện thoại mặc định" và field "Địa chỉ mặc định" trùng đúng giá trị đã ghi ở bước 4 — thay đổi chưa lưu bị bỏ, không giữ lại dạng bản nháp.</t>
  </si>
</sst>
</file>

<file path=xl/styles.xml><?xml version="1.0" encoding="utf-8"?>
<styleSheet xmlns="http://schemas.openxmlformats.org/spreadsheetml/2006/main">
  <numFmts count="6">
    <numFmt numFmtId="164" formatCode="General"/>
    <numFmt numFmtId="165" formatCode="d\/m\/yy"/>
    <numFmt numFmtId="166" formatCode="0.0"/>
    <numFmt numFmtId="167" formatCode="0"/>
    <numFmt numFmtId="168" formatCode="0.0%"/>
    <numFmt numFmtId="169" formatCode="0%"/>
  </numFmts>
  <fonts count="57">
    <font>
      <sz val="11"/>
      <color theme="1"/>
      <name val="Calibri"/>
      <family val="0"/>
      <charset val="1"/>
    </font>
    <font>
      <sz val="10"/>
      <name val="Arial"/>
      <family val="0"/>
    </font>
    <font>
      <sz val="10"/>
      <name val="Arial"/>
      <family val="0"/>
    </font>
    <font>
      <sz val="10"/>
      <name val="Arial"/>
      <family val="0"/>
    </font>
    <font>
      <b val="true"/>
      <sz val="12"/>
      <color rgb="FF808080"/>
      <name val="Arial"/>
      <family val="0"/>
      <charset val="1"/>
    </font>
    <font>
      <b val="true"/>
      <sz val="28"/>
      <color rgb="FFED7D31"/>
      <name val="Arial"/>
      <family val="0"/>
      <charset val="1"/>
    </font>
    <font>
      <b val="true"/>
      <sz val="32"/>
      <color rgb="FF1F1F1F"/>
      <name val="Arial"/>
      <family val="0"/>
      <charset val="1"/>
    </font>
    <font>
      <i val="true"/>
      <sz val="13"/>
      <color rgb="FF2F5496"/>
      <name val="Arial"/>
      <family val="0"/>
      <charset val="1"/>
    </font>
    <font>
      <b val="true"/>
      <sz val="12"/>
      <color rgb="FFFFFFFF"/>
      <name val="Arial"/>
      <family val="0"/>
      <charset val="1"/>
    </font>
    <font>
      <b val="true"/>
      <sz val="12"/>
      <color rgb="FF2F5496"/>
      <name val="Arial"/>
      <family val="0"/>
      <charset val="1"/>
    </font>
    <font>
      <i val="true"/>
      <sz val="11"/>
      <color rgb="FF404040"/>
      <name val="Arial"/>
      <family val="0"/>
      <charset val="1"/>
    </font>
    <font>
      <i val="true"/>
      <sz val="10"/>
      <color rgb="FF808080"/>
      <name val="Arial"/>
      <family val="0"/>
      <charset val="1"/>
    </font>
    <font>
      <sz val="14"/>
      <color theme="1"/>
      <name val="Calibri"/>
      <family val="0"/>
      <charset val="1"/>
    </font>
    <font>
      <b val="true"/>
      <sz val="14"/>
      <color rgb="FFFFFFFF"/>
      <name val="Arial"/>
      <family val="0"/>
      <charset val="1"/>
    </font>
    <font>
      <b val="true"/>
      <sz val="10"/>
      <color rgb="FF1F4E79"/>
      <name val="Arial"/>
      <family val="0"/>
      <charset val="1"/>
    </font>
    <font>
      <sz val="10"/>
      <color rgb="FF000000"/>
      <name val="Arial"/>
      <family val="0"/>
      <charset val="1"/>
    </font>
    <font>
      <b val="true"/>
      <sz val="10"/>
      <color rgb="FFFFFFFF"/>
      <name val="Arial"/>
      <family val="0"/>
      <charset val="1"/>
    </font>
    <font>
      <i val="true"/>
      <sz val="10"/>
      <color rgb="FFFFFFFF"/>
      <name val="Arial"/>
      <family val="0"/>
      <charset val="1"/>
    </font>
    <font>
      <sz val="11"/>
      <color theme="1"/>
      <name val="Arial"/>
      <family val="0"/>
      <charset val="1"/>
    </font>
    <font>
      <b val="true"/>
      <sz val="11"/>
      <color rgb="FFFFFFFF"/>
      <name val="Arial"/>
      <family val="0"/>
      <charset val="1"/>
    </font>
    <font>
      <sz val="11"/>
      <color rgb="FF000000"/>
      <name val="Arial"/>
      <family val="0"/>
      <charset val="1"/>
    </font>
    <font>
      <sz val="11"/>
      <color rgb="FF000000"/>
      <name val="Calibri"/>
      <family val="0"/>
      <charset val="1"/>
    </font>
    <font>
      <b val="true"/>
      <sz val="17"/>
      <color rgb="FF1F4E79"/>
      <name val="Arial"/>
      <family val="0"/>
      <charset val="1"/>
    </font>
    <font>
      <i val="true"/>
      <sz val="9"/>
      <color rgb="FF808080"/>
      <name val="Arial"/>
      <family val="0"/>
      <charset val="1"/>
    </font>
    <font>
      <b val="true"/>
      <sz val="11"/>
      <color rgb="FF000000"/>
      <name val="Arial"/>
      <family val="0"/>
      <charset val="1"/>
    </font>
    <font>
      <b val="true"/>
      <sz val="10"/>
      <color rgb="FF000000"/>
      <name val="Arial"/>
      <family val="0"/>
      <charset val="1"/>
    </font>
    <font>
      <i val="true"/>
      <sz val="9"/>
      <color rgb="FF595959"/>
      <name val="Arial"/>
      <family val="0"/>
      <charset val="1"/>
    </font>
    <font>
      <b val="true"/>
      <sz val="11"/>
      <color rgb="FF1F4E79"/>
      <name val="Arial"/>
      <family val="0"/>
      <charset val="1"/>
    </font>
    <font>
      <u val="single"/>
      <sz val="11"/>
      <color rgb="FF0563C1"/>
      <name val="Calibri"/>
      <family val="0"/>
      <charset val="1"/>
    </font>
    <font>
      <b val="true"/>
      <sz val="11"/>
      <color theme="1"/>
      <name val="Calibri"/>
      <family val="0"/>
      <charset val="1"/>
    </font>
    <font>
      <b val="true"/>
      <sz val="18"/>
      <color rgb="FF757575"/>
      <name val="Calibri"/>
      <family val="2"/>
    </font>
    <font>
      <sz val="10"/>
      <color rgb="FF000000"/>
      <name val="Calibri"/>
      <family val="2"/>
    </font>
    <font>
      <sz val="10"/>
      <color rgb="FF1A1A1A"/>
      <name val="Calibri"/>
      <family val="2"/>
    </font>
    <font>
      <sz val="15"/>
      <color theme="1"/>
      <name val="Calibri"/>
      <family val="0"/>
      <charset val="1"/>
    </font>
    <font>
      <b val="true"/>
      <sz val="15"/>
      <color rgb="FF1F4E79"/>
      <name val="Arial"/>
      <family val="0"/>
      <charset val="1"/>
    </font>
    <font>
      <b val="true"/>
      <sz val="9"/>
      <color rgb="FFFFFFFF"/>
      <name val="Arial"/>
      <family val="0"/>
      <charset val="1"/>
    </font>
    <font>
      <b val="true"/>
      <sz val="11"/>
      <color theme="1"/>
      <name val="Arial"/>
      <family val="0"/>
      <charset val="1"/>
    </font>
    <font>
      <b val="true"/>
      <sz val="9"/>
      <color theme="1"/>
      <name val="Arial"/>
      <family val="0"/>
      <charset val="1"/>
    </font>
    <font>
      <sz val="9"/>
      <color theme="1"/>
      <name val="Arial"/>
      <family val="0"/>
      <charset val="1"/>
    </font>
    <font>
      <sz val="10"/>
      <color theme="1"/>
      <name val="Arial"/>
      <family val="0"/>
      <charset val="1"/>
    </font>
    <font>
      <b val="true"/>
      <sz val="9"/>
      <color rgb="FF1F4E79"/>
      <name val="Arial"/>
      <family val="0"/>
      <charset val="1"/>
    </font>
    <font>
      <sz val="9"/>
      <color rgb="FF404040"/>
      <name val="Arial"/>
      <family val="0"/>
      <charset val="1"/>
    </font>
    <font>
      <b val="true"/>
      <sz val="14"/>
      <color rgb="FF1F4E79"/>
      <name val="Arial"/>
      <family val="0"/>
      <charset val="1"/>
    </font>
    <font>
      <b val="true"/>
      <sz val="13"/>
      <color rgb="FF1F4E79"/>
      <name val="Arial"/>
      <family val="0"/>
      <charset val="1"/>
    </font>
    <font>
      <i val="true"/>
      <sz val="8"/>
      <color rgb="FF808080"/>
      <name val="Arial"/>
      <family val="0"/>
      <charset val="1"/>
    </font>
    <font>
      <i val="true"/>
      <sz val="9"/>
      <color rgb="FF7F7F7F"/>
      <name val="Arial"/>
      <family val="0"/>
      <charset val="1"/>
    </font>
    <font>
      <strike val="true"/>
      <sz val="11"/>
      <color theme="1"/>
      <name val="Calibri"/>
      <family val="0"/>
      <charset val="1"/>
    </font>
    <font>
      <sz val="10"/>
      <color rgb="FF808080"/>
      <name val="Arial"/>
      <family val="0"/>
      <charset val="1"/>
    </font>
    <font>
      <sz val="11"/>
      <color rgb="FF0000FF"/>
      <name val="Arial"/>
      <family val="0"/>
      <charset val="1"/>
    </font>
    <font>
      <sz val="10"/>
      <name val="Arial"/>
      <family val="2"/>
    </font>
    <font>
      <b val="true"/>
      <sz val="10"/>
      <color rgb="FF000000"/>
      <name val="Calibri"/>
      <family val="2"/>
    </font>
    <font>
      <b val="true"/>
      <sz val="9"/>
      <color rgb="FF808080"/>
      <name val="Arial"/>
      <family val="0"/>
      <charset val="1"/>
    </font>
    <font>
      <b val="true"/>
      <sz val="10"/>
      <color rgb="FF808080"/>
      <name val="Arial"/>
      <family val="0"/>
      <charset val="1"/>
    </font>
    <font>
      <sz val="9"/>
      <color rgb="FF808080"/>
      <name val="Arial"/>
      <family val="0"/>
      <charset val="1"/>
    </font>
    <font>
      <b val="true"/>
      <sz val="15"/>
      <color rgb="FF1F1F1F"/>
      <name val="Arial"/>
      <family val="0"/>
      <charset val="1"/>
    </font>
    <font>
      <b val="true"/>
      <sz val="11"/>
      <color rgb="FFC55A11"/>
      <name val="Arial"/>
      <family val="0"/>
      <charset val="1"/>
    </font>
    <font>
      <b val="true"/>
      <sz val="10"/>
      <color theme="1"/>
      <name val="Arial"/>
      <family val="0"/>
      <charset val="1"/>
    </font>
  </fonts>
  <fills count="29">
    <fill>
      <patternFill patternType="none"/>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E7E31"/>
        <bgColor rgb="FFED7D31"/>
      </patternFill>
    </fill>
    <fill>
      <patternFill patternType="darkGray">
        <fgColor rgb="FFE2984A"/>
        <bgColor rgb="FFCE8A71"/>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9C0006"/>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mediumGray">
        <fgColor rgb="FFA9D08E"/>
        <bgColor rgb="FFABD08E"/>
      </patternFill>
    </fill>
    <fill>
      <patternFill patternType="solid">
        <fgColor rgb="FFE2EFDA"/>
        <bgColor rgb="FFE2EFD9"/>
      </patternFill>
    </fill>
    <fill>
      <patternFill patternType="solid">
        <fgColor rgb="FF2F5496"/>
        <bgColor rgb="FF305496"/>
      </patternFill>
    </fill>
    <fill>
      <patternFill patternType="solid">
        <fgColor rgb="FF97A1C9"/>
        <bgColor rgb="FFB7B7B7"/>
      </patternFill>
    </fill>
    <fill>
      <patternFill patternType="solid">
        <fgColor rgb="FFCE8A71"/>
        <bgColor rgb="FFE2984A"/>
      </patternFill>
    </fill>
    <fill>
      <patternFill patternType="solid">
        <fgColor rgb="FFD9E1F2"/>
        <bgColor rgb="FFDDEBF7"/>
      </patternFill>
    </fill>
    <fill>
      <patternFill patternType="solid">
        <fgColor rgb="FFFCE4D6"/>
        <bgColor rgb="FFFFF2CC"/>
      </patternFill>
    </fill>
  </fills>
  <borders count="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right" vertical="center" textRotation="0" wrapText="fals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false" indent="0" shrinkToFit="false"/>
      <protection locked="true" hidden="false"/>
    </xf>
    <xf numFmtId="164" fontId="9" fillId="3"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true" applyAlignment="true" applyProtection="true">
      <alignment horizontal="center" vertical="center" textRotation="0" wrapText="false" indent="0" shrinkToFit="false"/>
      <protection locked="true" hidden="false"/>
    </xf>
    <xf numFmtId="164" fontId="11" fillId="0" borderId="0"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4" borderId="1" xfId="0" applyFont="true" applyBorder="true" applyAlignment="true" applyProtection="true">
      <alignment horizontal="left" vertical="center" textRotation="0" wrapText="true" indent="0" shrinkToFit="false"/>
      <protection locked="true" hidden="false"/>
    </xf>
    <xf numFmtId="164" fontId="14" fillId="5" borderId="1" xfId="0" applyFont="true" applyBorder="true" applyAlignment="true" applyProtection="true">
      <alignment horizontal="left" vertical="center" textRotation="0" wrapText="true" indent="0" shrinkToFit="false"/>
      <protection locked="true" hidden="false"/>
    </xf>
    <xf numFmtId="164" fontId="15" fillId="0" borderId="1" xfId="0" applyFont="true" applyBorder="true" applyAlignment="true" applyProtection="true">
      <alignment horizontal="left" vertical="top" textRotation="0" wrapText="true" indent="0" shrinkToFit="false"/>
      <protection locked="true" hidden="false"/>
    </xf>
    <xf numFmtId="164" fontId="14" fillId="6" borderId="1" xfId="0" applyFont="true" applyBorder="true" applyAlignment="true" applyProtection="true">
      <alignment horizontal="left" vertical="center" textRotation="0" wrapText="true" indent="0" shrinkToFit="false"/>
      <protection locked="true" hidden="false"/>
    </xf>
    <xf numFmtId="164" fontId="14" fillId="6" borderId="1" xfId="0" applyFont="true" applyBorder="tru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center"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7" borderId="1"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9" fillId="8" borderId="1" xfId="0" applyFont="true" applyBorder="tru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5" fontId="20" fillId="3" borderId="2" xfId="0" applyFont="true" applyBorder="true" applyAlignment="true" applyProtection="true">
      <alignment horizontal="center" vertical="center" textRotation="0" wrapText="true" indent="0" shrinkToFit="false"/>
      <protection locked="true" hidden="false"/>
    </xf>
    <xf numFmtId="166" fontId="20" fillId="3" borderId="1" xfId="0" applyFont="true" applyBorder="true" applyAlignment="true" applyProtection="true">
      <alignment horizontal="center" vertical="bottom" textRotation="0" wrapText="false" indent="0" shrinkToFit="false"/>
      <protection locked="true" hidden="false"/>
    </xf>
    <xf numFmtId="164" fontId="20" fillId="3" borderId="1" xfId="0" applyFont="true" applyBorder="true" applyAlignment="true" applyProtection="true">
      <alignment horizontal="center" vertical="bottom" textRotation="0" wrapText="false" indent="0" shrinkToFit="false"/>
      <protection locked="true" hidden="false"/>
    </xf>
    <xf numFmtId="164" fontId="20" fillId="3" borderId="1" xfId="0" applyFont="true" applyBorder="true" applyAlignment="true" applyProtection="true">
      <alignment horizontal="general" vertical="bottom" textRotation="0" wrapText="false" indent="0" shrinkToFit="false"/>
      <protection locked="true" hidden="false"/>
    </xf>
    <xf numFmtId="164" fontId="20" fillId="3" borderId="1"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5" fontId="20" fillId="3" borderId="2" xfId="0" applyFont="true" applyBorder="true" applyAlignment="true" applyProtection="true">
      <alignment horizontal="left" vertical="center" textRotation="0" wrapText="true" indent="0" shrinkToFit="false"/>
      <protection locked="true" hidden="false"/>
    </xf>
    <xf numFmtId="164" fontId="21" fillId="3" borderId="1" xfId="0" applyFont="true" applyBorder="true" applyAlignment="true" applyProtection="true">
      <alignment horizontal="center" vertical="bottom" textRotation="0" wrapText="false" indent="0" shrinkToFit="false"/>
      <protection locked="true" hidden="false"/>
    </xf>
    <xf numFmtId="164" fontId="21" fillId="3" borderId="1" xfId="0" applyFont="true" applyBorder="true" applyAlignment="true" applyProtection="true">
      <alignment horizontal="general" vertical="bottom" textRotation="0" wrapText="false" indent="0" shrinkToFit="false"/>
      <protection locked="true" hidden="false"/>
    </xf>
    <xf numFmtId="164" fontId="21" fillId="3" borderId="1" xfId="0" applyFont="true" applyBorder="true" applyAlignment="true" applyProtection="true">
      <alignment horizontal="general" vertical="top"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left" vertical="center" textRotation="0" wrapText="true" indent="0" shrinkToFit="false"/>
      <protection locked="true" hidden="false"/>
    </xf>
    <xf numFmtId="164" fontId="24" fillId="6" borderId="1" xfId="0" applyFont="true" applyBorder="true" applyAlignment="true" applyProtection="true">
      <alignment horizontal="left" vertical="center" textRotation="0" wrapText="true" indent="0" shrinkToFit="false"/>
      <protection locked="true" hidden="false"/>
    </xf>
    <xf numFmtId="164" fontId="20" fillId="9" borderId="1" xfId="0" applyFont="true" applyBorder="true" applyAlignment="true" applyProtection="true">
      <alignment horizontal="left" vertical="center" textRotation="0" wrapText="true" indent="0" shrinkToFit="false"/>
      <protection locked="true" hidden="false"/>
    </xf>
    <xf numFmtId="164" fontId="20" fillId="0" borderId="1" xfId="0" applyFont="true" applyBorder="true" applyAlignment="true" applyProtection="true">
      <alignment horizontal="left" vertical="center" textRotation="0" wrapText="true" indent="0" shrinkToFit="false"/>
      <protection locked="true" hidden="false"/>
    </xf>
    <xf numFmtId="165" fontId="20" fillId="9" borderId="1" xfId="0" applyFont="true" applyBorder="true" applyAlignment="true" applyProtection="true">
      <alignment horizontal="left" vertical="center" textRotation="0" wrapText="true" indent="0" shrinkToFit="false"/>
      <protection locked="true" hidden="false"/>
    </xf>
    <xf numFmtId="164" fontId="23" fillId="0" borderId="0" xfId="0" applyFont="true" applyBorder="true" applyAlignment="true" applyProtection="true">
      <alignment horizontal="general" vertical="bottom" textRotation="0" wrapText="false" indent="0" shrinkToFit="false"/>
      <protection locked="true" hidden="false"/>
    </xf>
    <xf numFmtId="164" fontId="25" fillId="5" borderId="1" xfId="0" applyFont="true" applyBorder="true" applyAlignment="true" applyProtection="true">
      <alignment horizontal="left" vertical="center" textRotation="0" wrapText="true" indent="0" shrinkToFit="false"/>
      <protection locked="true" hidden="false"/>
    </xf>
    <xf numFmtId="167" fontId="25" fillId="6" borderId="1" xfId="0" applyFont="true" applyBorder="true" applyAlignment="true" applyProtection="true">
      <alignment horizontal="center" vertical="center" textRotation="0" wrapText="true" indent="0" shrinkToFit="false"/>
      <protection locked="true" hidden="false"/>
    </xf>
    <xf numFmtId="168" fontId="24" fillId="0" borderId="0" xfId="0" applyFont="true" applyBorder="false" applyAlignment="true" applyProtection="true">
      <alignment horizontal="center"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true" indent="0" shrinkToFit="false"/>
      <protection locked="true" hidden="false"/>
    </xf>
    <xf numFmtId="167" fontId="20" fillId="0" borderId="0" xfId="0" applyFont="true" applyBorder="false" applyAlignment="true" applyProtection="true">
      <alignment horizontal="center" vertical="center" textRotation="0" wrapText="false" indent="0" shrinkToFit="false"/>
      <protection locked="true" hidden="false"/>
    </xf>
    <xf numFmtId="164" fontId="16" fillId="4" borderId="1" xfId="0" applyFont="true" applyBorder="true" applyAlignment="true" applyProtection="true">
      <alignment horizontal="left" vertical="center" textRotation="0" wrapText="true" indent="0" shrinkToFit="false"/>
      <protection locked="true" hidden="false"/>
    </xf>
    <xf numFmtId="164" fontId="16" fillId="4" borderId="1" xfId="0" applyFont="true" applyBorder="true" applyAlignment="true" applyProtection="true">
      <alignment horizontal="center" vertical="center" textRotation="0" wrapText="true" indent="0" shrinkToFit="false"/>
      <protection locked="true" hidden="false"/>
    </xf>
    <xf numFmtId="167" fontId="16" fillId="4" borderId="1" xfId="0" applyFont="true" applyBorder="true" applyAlignment="true" applyProtection="true">
      <alignment horizontal="center" vertical="center" textRotation="0" wrapText="true" indent="0" shrinkToFit="false"/>
      <protection locked="true" hidden="false"/>
    </xf>
    <xf numFmtId="168" fontId="16" fillId="4" borderId="1" xfId="0" applyFont="true" applyBorder="true" applyAlignment="true" applyProtection="true">
      <alignment horizontal="center" vertical="center" textRotation="0" wrapText="true" indent="0" shrinkToFit="false"/>
      <protection locked="true" hidden="false"/>
    </xf>
    <xf numFmtId="164" fontId="25" fillId="0" borderId="1" xfId="0" applyFont="true" applyBorder="true" applyAlignment="true" applyProtection="true">
      <alignment horizontal="left" vertical="center" textRotation="0" wrapText="true" indent="0" shrinkToFit="false"/>
      <protection locked="true" hidden="false"/>
    </xf>
    <xf numFmtId="167" fontId="15" fillId="0" borderId="1" xfId="0" applyFont="true" applyBorder="true" applyAlignment="true" applyProtection="true">
      <alignment horizontal="center" vertical="center" textRotation="0" wrapText="true" indent="0" shrinkToFit="false"/>
      <protection locked="true" hidden="false"/>
    </xf>
    <xf numFmtId="168" fontId="15" fillId="0"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left" vertical="center" textRotation="0" wrapText="true" indent="0" shrinkToFit="false"/>
      <protection locked="true" hidden="false"/>
    </xf>
    <xf numFmtId="164" fontId="25" fillId="6" borderId="1" xfId="0" applyFont="true" applyBorder="true" applyAlignment="true" applyProtection="true">
      <alignment horizontal="left" vertical="center" textRotation="0" wrapText="true" indent="0" shrinkToFit="false"/>
      <protection locked="true" hidden="false"/>
    </xf>
    <xf numFmtId="168" fontId="25" fillId="6" borderId="1" xfId="0" applyFont="true" applyBorder="true" applyAlignment="true" applyProtection="true">
      <alignment horizontal="center" vertical="center" textRotation="0" wrapText="true" indent="0" shrinkToFit="false"/>
      <protection locked="true" hidden="false"/>
    </xf>
    <xf numFmtId="164" fontId="13" fillId="4" borderId="2" xfId="0" applyFont="true" applyBorder="true" applyAlignment="true" applyProtection="true">
      <alignment horizontal="left" vertical="center" textRotation="0" wrapText="true" indent="0" shrinkToFit="false"/>
      <protection locked="true" hidden="false"/>
    </xf>
    <xf numFmtId="164" fontId="19" fillId="10" borderId="1" xfId="0" applyFont="true" applyBorder="true" applyAlignment="true" applyProtection="true">
      <alignment horizontal="left" vertical="center" textRotation="0" wrapText="true" indent="0" shrinkToFit="false"/>
      <protection locked="true" hidden="false"/>
    </xf>
    <xf numFmtId="164" fontId="19" fillId="10" borderId="1" xfId="0" applyFont="true" applyBorder="true" applyAlignment="true" applyProtection="true">
      <alignment horizontal="center" vertical="center" textRotation="0" wrapText="false" indent="0" shrinkToFit="false"/>
      <protection locked="true" hidden="false"/>
    </xf>
    <xf numFmtId="164" fontId="20" fillId="11" borderId="1" xfId="0" applyFont="true" applyBorder="true" applyAlignment="true" applyProtection="true">
      <alignment horizontal="left" vertical="center" textRotation="0" wrapText="true" indent="0" shrinkToFit="false"/>
      <protection locked="true" hidden="false"/>
    </xf>
    <xf numFmtId="164" fontId="20" fillId="11" borderId="1" xfId="0" applyFont="true" applyBorder="true" applyAlignment="true" applyProtection="true">
      <alignment horizontal="center" vertical="center" textRotation="0" wrapText="false" indent="0" shrinkToFit="false"/>
      <protection locked="true" hidden="false"/>
    </xf>
    <xf numFmtId="168" fontId="20" fillId="11"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left" vertical="center" textRotation="0" wrapText="true" indent="0" shrinkToFit="false"/>
      <protection locked="true" hidden="false"/>
    </xf>
    <xf numFmtId="164" fontId="26" fillId="0" borderId="0" xfId="0" applyFont="true" applyBorder="true" applyAlignment="true" applyProtection="true">
      <alignment horizontal="general" vertical="bottom" textRotation="0" wrapText="true" indent="0" shrinkToFit="false"/>
      <protection locked="true" hidden="false"/>
    </xf>
    <xf numFmtId="164" fontId="27" fillId="5" borderId="1" xfId="0" applyFont="true" applyBorder="tru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tru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center" vertical="bottom" textRotation="0" wrapText="true" indent="0" shrinkToFit="false"/>
      <protection locked="true" hidden="false"/>
    </xf>
    <xf numFmtId="169" fontId="29" fillId="0" borderId="0" xfId="0" applyFont="true" applyBorder="false" applyAlignment="true" applyProtection="true">
      <alignment horizontal="center" vertical="bottom" textRotation="0" wrapText="false" indent="0" shrinkToFit="false"/>
      <protection locked="true" hidden="false"/>
    </xf>
    <xf numFmtId="169" fontId="18"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true" applyAlignment="true" applyProtection="true">
      <alignment horizontal="left" vertical="center" textRotation="0" wrapText="true" indent="0" shrinkToFit="false"/>
      <protection locked="true" hidden="false"/>
    </xf>
    <xf numFmtId="164" fontId="0" fillId="12" borderId="1" xfId="0" applyFont="false" applyBorder="true" applyAlignment="true" applyProtection="true">
      <alignment horizontal="general" vertical="bottom" textRotation="0" wrapText="false" indent="0" shrinkToFit="false"/>
      <protection locked="true" hidden="false"/>
    </xf>
    <xf numFmtId="164" fontId="16" fillId="13" borderId="2" xfId="0" applyFont="true" applyBorder="true" applyAlignment="true" applyProtection="true">
      <alignment horizontal="center" vertical="center" textRotation="0" wrapText="true" indent="0" shrinkToFit="false"/>
      <protection locked="true" hidden="false"/>
    </xf>
    <xf numFmtId="164" fontId="16" fillId="2" borderId="2" xfId="0" applyFont="true" applyBorder="true" applyAlignment="true" applyProtection="true">
      <alignment horizontal="center" vertical="center" textRotation="0" wrapText="true" indent="0" shrinkToFit="false"/>
      <protection locked="true" hidden="false"/>
    </xf>
    <xf numFmtId="164" fontId="16" fillId="14" borderId="2" xfId="0" applyFont="true" applyBorder="true" applyAlignment="true" applyProtection="true">
      <alignment horizontal="center" vertical="center" textRotation="0" wrapText="true" indent="0" shrinkToFit="false"/>
      <protection locked="true" hidden="false"/>
    </xf>
    <xf numFmtId="164" fontId="16" fillId="10" borderId="2" xfId="0" applyFont="true" applyBorder="true" applyAlignment="true" applyProtection="true">
      <alignment horizontal="center" vertical="center" textRotation="0" wrapText="true" indent="0" shrinkToFit="false"/>
      <protection locked="true" hidden="false"/>
    </xf>
    <xf numFmtId="164" fontId="16" fillId="4" borderId="2" xfId="0" applyFont="true" applyBorder="true" applyAlignment="true" applyProtection="true">
      <alignment horizontal="center" vertical="center" textRotation="0" wrapText="true" indent="0" shrinkToFit="false"/>
      <protection locked="true" hidden="false"/>
    </xf>
    <xf numFmtId="164" fontId="35" fillId="15" borderId="1" xfId="0" applyFont="true" applyBorder="true" applyAlignment="true" applyProtection="true">
      <alignment horizontal="center" vertical="center" textRotation="0" wrapText="true" indent="0" shrinkToFit="false"/>
      <protection locked="true" hidden="false"/>
    </xf>
    <xf numFmtId="164" fontId="36" fillId="0" borderId="0" xfId="0" applyFont="true" applyBorder="true" applyAlignment="true" applyProtection="true">
      <alignment horizontal="center" vertical="bottom" textRotation="0" wrapText="false" indent="0" shrinkToFit="false"/>
      <protection locked="true" hidden="false"/>
    </xf>
    <xf numFmtId="164" fontId="35" fillId="16" borderId="1" xfId="0" applyFont="true" applyBorder="true" applyAlignment="true" applyProtection="true">
      <alignment horizontal="center" vertical="center" textRotation="0" wrapText="true" indent="0" shrinkToFit="false"/>
      <protection locked="true" hidden="false"/>
    </xf>
    <xf numFmtId="164" fontId="35" fillId="2" borderId="1" xfId="0" applyFont="true" applyBorder="true" applyAlignment="true" applyProtection="true">
      <alignment horizontal="center" vertical="center" textRotation="0" wrapText="true" indent="0" shrinkToFit="false"/>
      <protection locked="true" hidden="false"/>
    </xf>
    <xf numFmtId="164" fontId="35" fillId="14" borderId="1" xfId="0" applyFont="true" applyBorder="true" applyAlignment="true" applyProtection="true">
      <alignment horizontal="center" vertical="center" textRotation="0" wrapText="true" indent="0" shrinkToFit="false"/>
      <protection locked="true" hidden="false"/>
    </xf>
    <xf numFmtId="164" fontId="35" fillId="10" borderId="1" xfId="0" applyFont="true" applyBorder="true" applyAlignment="true" applyProtection="true">
      <alignment horizontal="center" vertical="center" textRotation="0" wrapText="true" indent="0" shrinkToFit="false"/>
      <protection locked="true" hidden="false"/>
    </xf>
    <xf numFmtId="164" fontId="35" fillId="4" borderId="1" xfId="0" applyFont="true" applyBorder="true" applyAlignment="true" applyProtection="true">
      <alignment horizontal="center" vertical="center" textRotation="0" wrapText="true" indent="0" shrinkToFit="false"/>
      <protection locked="true" hidden="false"/>
    </xf>
    <xf numFmtId="164" fontId="37" fillId="17" borderId="3" xfId="0" applyFont="true" applyBorder="true" applyAlignment="true" applyProtection="true">
      <alignment horizontal="center" vertical="bottom" textRotation="0" wrapText="true" indent="0" shrinkToFit="false"/>
      <protection locked="true" hidden="false"/>
    </xf>
    <xf numFmtId="164" fontId="38" fillId="0" borderId="1" xfId="0" applyFont="true" applyBorder="true" applyAlignment="true" applyProtection="true">
      <alignment horizontal="center" vertical="center" textRotation="0" wrapText="true" indent="0" shrinkToFit="false"/>
      <protection locked="true" hidden="false"/>
    </xf>
    <xf numFmtId="164" fontId="38" fillId="9" borderId="1" xfId="0" applyFont="true" applyBorder="true" applyAlignment="true" applyProtection="true">
      <alignment horizontal="center" vertical="center" textRotation="0" wrapText="true" indent="0" shrinkToFit="false"/>
      <protection locked="true" hidden="false"/>
    </xf>
    <xf numFmtId="164" fontId="38" fillId="9" borderId="1" xfId="0" applyFont="true" applyBorder="true" applyAlignment="true" applyProtection="true">
      <alignment horizontal="left" vertical="center" textRotation="0" wrapText="true" indent="0" shrinkToFit="false"/>
      <protection locked="true" hidden="false"/>
    </xf>
    <xf numFmtId="168" fontId="38" fillId="0" borderId="1" xfId="0" applyFont="true" applyBorder="true" applyAlignment="true" applyProtection="true">
      <alignment horizontal="center" vertical="center" textRotation="0" wrapText="true" indent="0" shrinkToFit="false"/>
      <protection locked="true" hidden="false"/>
    </xf>
    <xf numFmtId="164" fontId="39" fillId="0" borderId="1" xfId="0" applyFont="true" applyBorder="true" applyAlignment="true" applyProtection="true">
      <alignment horizontal="center" vertical="center" textRotation="0" wrapText="false" indent="0" shrinkToFit="false"/>
      <protection locked="true" hidden="false"/>
    </xf>
    <xf numFmtId="164" fontId="39" fillId="0" borderId="0" xfId="0" applyFont="true" applyBorder="false" applyAlignment="true" applyProtection="true">
      <alignment horizontal="center" vertical="center" textRotation="0" wrapText="false" indent="0" shrinkToFit="false"/>
      <protection locked="true" hidden="false"/>
    </xf>
    <xf numFmtId="164" fontId="37" fillId="6" borderId="1" xfId="0" applyFont="true" applyBorder="true" applyAlignment="true" applyProtection="true">
      <alignment horizontal="center" vertical="center" textRotation="0" wrapText="true" indent="0" shrinkToFit="false"/>
      <protection locked="true" hidden="false"/>
    </xf>
    <xf numFmtId="164" fontId="37" fillId="6" borderId="1" xfId="0" applyFont="true" applyBorder="true" applyAlignment="true" applyProtection="true">
      <alignment horizontal="left" vertical="center" textRotation="0" wrapText="true" indent="0" shrinkToFit="false"/>
      <protection locked="true" hidden="false"/>
    </xf>
    <xf numFmtId="168" fontId="37" fillId="6" borderId="1" xfId="0" applyFont="true" applyBorder="true" applyAlignment="true" applyProtection="true">
      <alignment horizontal="center" vertical="center" textRotation="0" wrapText="true" indent="0" shrinkToFit="false"/>
      <protection locked="true" hidden="false"/>
    </xf>
    <xf numFmtId="164" fontId="25" fillId="6" borderId="1" xfId="0" applyFont="true" applyBorder="true" applyAlignment="true" applyProtection="true">
      <alignment horizontal="center" vertical="center" textRotation="0" wrapText="false" indent="0" shrinkToFit="false"/>
      <protection locked="true" hidden="false"/>
    </xf>
    <xf numFmtId="164" fontId="36" fillId="0" borderId="0" xfId="0" applyFont="true" applyBorder="false" applyAlignment="true" applyProtection="true">
      <alignment horizontal="center" vertical="center"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true" applyAlignment="true" applyProtection="true">
      <alignment horizontal="left" vertical="center" textRotation="0" wrapText="true" indent="0" shrinkToFit="false"/>
      <protection locked="true" hidden="false"/>
    </xf>
    <xf numFmtId="164" fontId="41" fillId="0" borderId="0" xfId="0" applyFont="true" applyBorder="true" applyAlignment="true" applyProtection="true">
      <alignment horizontal="left" vertical="center" textRotation="0" wrapText="tru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center" vertical="center" textRotation="0" wrapText="true" indent="0" shrinkToFit="false"/>
      <protection locked="true" hidden="false"/>
    </xf>
    <xf numFmtId="164" fontId="24" fillId="5" borderId="1" xfId="0" applyFont="true" applyBorder="true" applyAlignment="true" applyProtection="true">
      <alignment horizontal="left" vertical="center" textRotation="0" wrapText="true" indent="0" shrinkToFit="false"/>
      <protection locked="true" hidden="false"/>
    </xf>
    <xf numFmtId="164" fontId="16" fillId="13" borderId="1" xfId="0" applyFont="true" applyBorder="true" applyAlignment="true" applyProtection="true">
      <alignment horizontal="left" vertical="center" textRotation="0" wrapText="true" indent="0" shrinkToFit="false"/>
      <protection locked="true" hidden="false"/>
    </xf>
    <xf numFmtId="167" fontId="43" fillId="3" borderId="1" xfId="0" applyFont="true" applyBorder="true" applyAlignment="true" applyProtection="true">
      <alignment horizontal="center" vertical="center" textRotation="0" wrapText="false" indent="0" shrinkToFit="false"/>
      <protection locked="true" hidden="false"/>
    </xf>
    <xf numFmtId="164" fontId="16" fillId="18" borderId="1" xfId="0" applyFont="true" applyBorder="true" applyAlignment="true" applyProtection="true">
      <alignment horizontal="left" vertical="center" textRotation="0" wrapText="true" indent="0" shrinkToFit="false"/>
      <protection locked="true" hidden="false"/>
    </xf>
    <xf numFmtId="164" fontId="16" fillId="19" borderId="1" xfId="0" applyFont="true" applyBorder="true" applyAlignment="true" applyProtection="true">
      <alignment horizontal="left" vertical="center" textRotation="0" wrapText="true" indent="0" shrinkToFit="false"/>
      <protection locked="true" hidden="false"/>
    </xf>
    <xf numFmtId="168" fontId="43" fillId="3" borderId="1" xfId="0" applyFont="true" applyBorder="true" applyAlignment="true" applyProtection="true">
      <alignment horizontal="center" vertical="center" textRotation="0" wrapText="false" indent="0" shrinkToFit="false"/>
      <protection locked="true" hidden="false"/>
    </xf>
    <xf numFmtId="164" fontId="16" fillId="2" borderId="1" xfId="0" applyFont="true" applyBorder="true" applyAlignment="true" applyProtection="true">
      <alignment horizontal="left" vertical="center" textRotation="0" wrapText="true" indent="0" shrinkToFit="false"/>
      <protection locked="true" hidden="false"/>
    </xf>
    <xf numFmtId="164" fontId="23" fillId="0" borderId="1" xfId="0" applyFont="true" applyBorder="true" applyAlignment="true" applyProtection="true">
      <alignment horizontal="left" vertical="top" textRotation="0" wrapText="true" indent="0" shrinkToFit="false"/>
      <protection locked="true" hidden="false"/>
    </xf>
    <xf numFmtId="164" fontId="16" fillId="10" borderId="1" xfId="0" applyFont="true" applyBorder="true" applyAlignment="true" applyProtection="true">
      <alignment horizontal="left" vertical="center" textRotation="0" wrapText="true" indent="0" shrinkToFit="false"/>
      <protection locked="true" hidden="false"/>
    </xf>
    <xf numFmtId="164" fontId="16" fillId="20" borderId="1" xfId="0" applyFont="true" applyBorder="true" applyAlignment="true" applyProtection="true">
      <alignment horizontal="left" vertical="center" textRotation="0" wrapText="true" indent="0" shrinkToFit="false"/>
      <protection locked="true" hidden="false"/>
    </xf>
    <xf numFmtId="164" fontId="16" fillId="15" borderId="1" xfId="0" applyFont="true" applyBorder="true" applyAlignment="true" applyProtection="true">
      <alignment horizontal="left" vertical="center" textRotation="0" wrapText="true" indent="0" shrinkToFit="false"/>
      <protection locked="true" hidden="false"/>
    </xf>
    <xf numFmtId="164" fontId="44" fillId="0" borderId="0" xfId="0" applyFont="true" applyBorder="true" applyAlignment="true" applyProtection="true">
      <alignment horizontal="general" vertical="bottom" textRotation="0" wrapText="true" indent="0" shrinkToFit="false"/>
      <protection locked="true" hidden="false"/>
    </xf>
    <xf numFmtId="164" fontId="13" fillId="4" borderId="1" xfId="0" applyFont="true" applyBorder="true" applyAlignment="true" applyProtection="true">
      <alignment horizontal="center" vertical="center" textRotation="0" wrapText="tru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24" fillId="21" borderId="1" xfId="0" applyFont="true" applyBorder="true" applyAlignment="true" applyProtection="true">
      <alignment horizontal="center" vertical="center" textRotation="0" wrapText="true" indent="0" shrinkToFit="false"/>
      <protection locked="true" hidden="false"/>
    </xf>
    <xf numFmtId="164" fontId="24" fillId="6" borderId="1" xfId="0" applyFont="true" applyBorder="true" applyAlignment="true" applyProtection="true">
      <alignment horizontal="center" vertical="center" textRotation="0" wrapText="true" indent="0" shrinkToFit="false"/>
      <protection locked="true" hidden="false"/>
    </xf>
    <xf numFmtId="167" fontId="20" fillId="0" borderId="1" xfId="0" applyFont="true" applyBorder="true" applyAlignment="true" applyProtection="true">
      <alignment horizontal="center" vertical="center" textRotation="0" wrapText="false" indent="0" shrinkToFit="false"/>
      <protection locked="true" hidden="false"/>
    </xf>
    <xf numFmtId="167" fontId="20" fillId="5" borderId="1" xfId="0" applyFont="true" applyBorder="true" applyAlignment="true" applyProtection="true">
      <alignment horizontal="center" vertical="center" textRotation="0" wrapText="false" indent="0" shrinkToFit="false"/>
      <protection locked="true" hidden="false"/>
    </xf>
    <xf numFmtId="167" fontId="20" fillId="6"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general" vertical="top" textRotation="0" wrapText="true" indent="0" shrinkToFit="false"/>
      <protection locked="true" hidden="false"/>
    </xf>
    <xf numFmtId="164" fontId="15" fillId="0" borderId="1" xfId="0" applyFont="true" applyBorder="true" applyAlignment="true" applyProtection="true">
      <alignment horizontal="center" vertical="center" textRotation="0" wrapText="true" indent="0" shrinkToFit="false"/>
      <protection locked="true" hidden="false"/>
    </xf>
    <xf numFmtId="167" fontId="15" fillId="5" borderId="1" xfId="0" applyFont="true" applyBorder="true" applyAlignment="true" applyProtection="true">
      <alignment horizontal="center" vertical="center" textRotation="0" wrapText="true" indent="0" shrinkToFit="false"/>
      <protection locked="true" hidden="false"/>
    </xf>
    <xf numFmtId="164" fontId="25"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26" fillId="0" borderId="4" xfId="0" applyFont="true" applyBorder="true" applyAlignment="true" applyProtection="true">
      <alignment horizontal="left" vertical="top" textRotation="0" wrapText="true" indent="0" shrinkToFit="false"/>
      <protection locked="true" hidden="false"/>
    </xf>
    <xf numFmtId="164" fontId="20" fillId="0" borderId="1" xfId="0" applyFont="true" applyBorder="true" applyAlignment="true" applyProtection="true">
      <alignment horizontal="center" vertical="center" textRotation="0" wrapText="false" indent="0" shrinkToFit="false"/>
      <protection locked="true" hidden="false"/>
    </xf>
    <xf numFmtId="168" fontId="20" fillId="0" borderId="1"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left" vertical="center" textRotation="0" wrapText="true" indent="0" shrinkToFit="false"/>
      <protection locked="true" hidden="false"/>
    </xf>
    <xf numFmtId="164" fontId="20" fillId="6" borderId="1" xfId="0" applyFont="true" applyBorder="true" applyAlignment="true" applyProtection="true">
      <alignment horizontal="general" vertical="bottom" textRotation="0" wrapText="false" indent="0" shrinkToFit="false"/>
      <protection locked="true" hidden="false"/>
    </xf>
    <xf numFmtId="168" fontId="20" fillId="6" borderId="1"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left" vertical="top" textRotation="0" wrapText="tru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24" fillId="5" borderId="1" xfId="0" applyFont="true" applyBorder="true" applyAlignment="true" applyProtection="true">
      <alignment horizontal="center" vertical="center" textRotation="0" wrapText="false" indent="0" shrinkToFit="false"/>
      <protection locked="true" hidden="false"/>
    </xf>
    <xf numFmtId="164" fontId="19" fillId="10" borderId="1" xfId="0" applyFont="true" applyBorder="true" applyAlignment="true" applyProtection="true">
      <alignment horizontal="center" vertical="center" textRotation="0" wrapText="true" indent="0" shrinkToFit="false"/>
      <protection locked="true" hidden="false"/>
    </xf>
    <xf numFmtId="164" fontId="16" fillId="15" borderId="1" xfId="0" applyFont="true" applyBorder="true" applyAlignment="true" applyProtection="true">
      <alignment horizontal="center" vertical="center" textRotation="0" wrapText="true" indent="0" shrinkToFit="false"/>
      <protection locked="true" hidden="false"/>
    </xf>
    <xf numFmtId="164" fontId="15" fillId="11" borderId="1" xfId="0" applyFont="true" applyBorder="true" applyAlignment="true" applyProtection="true">
      <alignment horizontal="left" vertical="center" textRotation="0" wrapText="true" indent="0" shrinkToFit="false"/>
      <protection locked="true" hidden="false"/>
    </xf>
    <xf numFmtId="168" fontId="47" fillId="9" borderId="1" xfId="0" applyFont="true" applyBorder="true" applyAlignment="true" applyProtection="true">
      <alignment horizontal="center" vertical="center" textRotation="0" wrapText="true" indent="0" shrinkToFit="false"/>
      <protection locked="true" hidden="false"/>
    </xf>
    <xf numFmtId="168" fontId="15" fillId="9" borderId="1" xfId="0" applyFont="true" applyBorder="true" applyAlignment="true" applyProtection="true">
      <alignment horizontal="center" vertical="center" textRotation="0" wrapText="true" indent="0" shrinkToFit="false"/>
      <protection locked="true" hidden="false"/>
    </xf>
    <xf numFmtId="167" fontId="15" fillId="9" borderId="1" xfId="0" applyFont="true" applyBorder="tru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7" fontId="48" fillId="0" borderId="0" xfId="0" applyFont="true" applyBorder="fals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general" vertical="bottom" textRotation="0" wrapText="true" indent="0" shrinkToFit="false"/>
      <protection locked="true" hidden="false"/>
    </xf>
    <xf numFmtId="164" fontId="43" fillId="0" borderId="0" xfId="0" applyFont="true" applyBorder="true" applyAlignment="true" applyProtection="true">
      <alignment horizontal="left" vertical="center" textRotation="0" wrapText="true" indent="0" shrinkToFit="false"/>
      <protection locked="true" hidden="false"/>
    </xf>
    <xf numFmtId="164" fontId="36" fillId="22" borderId="3" xfId="0" applyFont="true" applyBorder="true" applyAlignment="true" applyProtection="true">
      <alignment horizontal="center" vertical="center" textRotation="0" wrapText="true" indent="0" shrinkToFit="false"/>
      <protection locked="true" hidden="false"/>
    </xf>
    <xf numFmtId="164" fontId="36" fillId="6" borderId="3" xfId="0" applyFont="true" applyBorder="true" applyAlignment="true" applyProtection="true">
      <alignment horizontal="center" vertical="center" textRotation="0" wrapText="true" indent="0" shrinkToFit="false"/>
      <protection locked="true" hidden="false"/>
    </xf>
    <xf numFmtId="167" fontId="36" fillId="6" borderId="3" xfId="0" applyFont="true" applyBorder="true" applyAlignment="true" applyProtection="true">
      <alignment horizontal="center" vertical="center" textRotation="0" wrapText="true" indent="0" shrinkToFit="false"/>
      <protection locked="true" hidden="false"/>
    </xf>
    <xf numFmtId="168" fontId="36" fillId="6" borderId="3" xfId="0" applyFont="true" applyBorder="true" applyAlignment="true" applyProtection="true">
      <alignment horizontal="center" vertical="center" textRotation="0" wrapText="true" indent="0" shrinkToFit="false"/>
      <protection locked="true" hidden="false"/>
    </xf>
    <xf numFmtId="164" fontId="36" fillId="11" borderId="3" xfId="0" applyFont="true" applyBorder="true" applyAlignment="true" applyProtection="true">
      <alignment horizontal="left" vertical="center" textRotation="0" wrapText="true" indent="0" shrinkToFit="false"/>
      <protection locked="true" hidden="false"/>
    </xf>
    <xf numFmtId="167" fontId="20" fillId="9" borderId="3" xfId="0" applyFont="true" applyBorder="true" applyAlignment="true" applyProtection="true">
      <alignment horizontal="left" vertical="center" textRotation="0" wrapText="true" indent="0" shrinkToFit="false"/>
      <protection locked="true" hidden="false"/>
    </xf>
    <xf numFmtId="167" fontId="20" fillId="0" borderId="3" xfId="0" applyFont="true" applyBorder="true" applyAlignment="true" applyProtection="true">
      <alignment horizontal="center" vertical="center" textRotation="0" wrapText="true" indent="0" shrinkToFit="false"/>
      <protection locked="true" hidden="false"/>
    </xf>
    <xf numFmtId="168" fontId="20" fillId="0" borderId="3" xfId="0" applyFont="true" applyBorder="true" applyAlignment="true" applyProtection="true">
      <alignment horizontal="center" vertical="center" textRotation="0" wrapText="true" indent="0" shrinkToFit="false"/>
      <protection locked="true" hidden="false"/>
    </xf>
    <xf numFmtId="164" fontId="36" fillId="23" borderId="3" xfId="0" applyFont="true" applyBorder="true" applyAlignment="true" applyProtection="true">
      <alignment horizontal="left" vertical="center" textRotation="0" wrapText="true" indent="0" shrinkToFit="false"/>
      <protection locked="true" hidden="false"/>
    </xf>
    <xf numFmtId="167" fontId="20" fillId="23" borderId="3" xfId="0" applyFont="true" applyBorder="true" applyAlignment="true" applyProtection="true">
      <alignment horizontal="center" vertical="center" textRotation="0" wrapText="true" indent="0" shrinkToFit="false"/>
      <protection locked="true" hidden="false"/>
    </xf>
    <xf numFmtId="168" fontId="20" fillId="23" borderId="3"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left" vertical="center" textRotation="0" wrapText="true" indent="0" shrinkToFit="false"/>
      <protection locked="true" hidden="false"/>
    </xf>
    <xf numFmtId="167" fontId="18"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4" fontId="36" fillId="11" borderId="3" xfId="0" applyFont="true" applyBorder="true" applyAlignment="true" applyProtection="true">
      <alignment horizontal="center" vertical="center" textRotation="0" wrapText="true" indent="0" shrinkToFit="false"/>
      <protection locked="true" hidden="false"/>
    </xf>
    <xf numFmtId="164" fontId="20" fillId="0" borderId="3" xfId="0" applyFont="true" applyBorder="true" applyAlignment="true" applyProtection="true">
      <alignment horizontal="center" vertical="center" textRotation="0" wrapText="true" indent="0" shrinkToFit="false"/>
      <protection locked="true" hidden="false"/>
    </xf>
    <xf numFmtId="167" fontId="36" fillId="11" borderId="3" xfId="0" applyFont="true" applyBorder="true" applyAlignment="true" applyProtection="true">
      <alignment horizontal="center" vertical="center" textRotation="0" wrapText="true" indent="0" shrinkToFit="false"/>
      <protection locked="true" hidden="false"/>
    </xf>
    <xf numFmtId="167" fontId="36" fillId="23" borderId="3" xfId="0" applyFont="true" applyBorder="true" applyAlignment="true" applyProtection="true">
      <alignment horizontal="center" vertical="center" textRotation="0" wrapText="true" indent="0" shrinkToFit="false"/>
      <protection locked="true" hidden="false"/>
    </xf>
    <xf numFmtId="164" fontId="36" fillId="23" borderId="3" xfId="0" applyFont="true" applyBorder="true" applyAlignment="true" applyProtection="true">
      <alignment horizontal="center" vertical="center" textRotation="0" wrapText="true" indent="0" shrinkToFit="false"/>
      <protection locked="true" hidden="false"/>
    </xf>
    <xf numFmtId="167" fontId="23" fillId="0"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9" fillId="4" borderId="0" xfId="0" applyFont="true" applyBorder="false" applyAlignment="true" applyProtection="true">
      <alignment horizontal="center" vertical="center" textRotation="0" wrapText="true" indent="0" shrinkToFit="false"/>
      <protection locked="true" hidden="false"/>
    </xf>
    <xf numFmtId="164" fontId="19" fillId="13"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left" vertical="center" textRotation="0" wrapText="false" indent="0" shrinkToFit="false"/>
      <protection locked="true" hidden="false"/>
    </xf>
    <xf numFmtId="164" fontId="11" fillId="0" borderId="0" xfId="0" applyFont="true" applyBorder="true" applyAlignment="true" applyProtection="true">
      <alignment horizontal="left" vertical="center" textRotation="0" wrapText="false" indent="0" shrinkToFit="false"/>
      <protection locked="true" hidden="false"/>
    </xf>
    <xf numFmtId="164" fontId="25" fillId="11"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general" vertical="top" textRotation="0" wrapText="true" indent="0" shrinkToFit="false"/>
      <protection locked="true" hidden="false"/>
    </xf>
    <xf numFmtId="164" fontId="20" fillId="6" borderId="1" xfId="0" applyFont="true" applyBorder="true" applyAlignment="true" applyProtection="true">
      <alignment horizontal="center" vertical="center"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26" fillId="0" borderId="0" xfId="0" applyFont="true" applyBorder="true" applyAlignment="true" applyProtection="true">
      <alignment horizontal="left" vertical="center" textRotation="0" wrapText="false" indent="0" shrinkToFit="false"/>
      <protection locked="true" hidden="false"/>
    </xf>
    <xf numFmtId="164" fontId="19" fillId="24" borderId="1" xfId="0" applyFont="true" applyBorder="true" applyAlignment="true" applyProtection="true">
      <alignment horizontal="left" vertical="center" textRotation="0" wrapText="true" indent="0" shrinkToFit="false"/>
      <protection locked="true" hidden="false"/>
    </xf>
    <xf numFmtId="164" fontId="20" fillId="3" borderId="1" xfId="0" applyFont="true" applyBorder="true" applyAlignment="true" applyProtection="true">
      <alignment horizontal="left" vertical="center" textRotation="0" wrapText="true" indent="0" shrinkToFit="false"/>
      <protection locked="true" hidden="false"/>
    </xf>
    <xf numFmtId="164" fontId="19" fillId="25" borderId="1" xfId="0" applyFont="true" applyBorder="true" applyAlignment="true" applyProtection="true">
      <alignment horizontal="center" vertical="center" textRotation="0" wrapText="true" indent="0" shrinkToFit="false"/>
      <protection locked="true" hidden="false"/>
    </xf>
    <xf numFmtId="164" fontId="19" fillId="14" borderId="3" xfId="0" applyFont="true" applyBorder="true" applyAlignment="true" applyProtection="true">
      <alignment horizontal="center" vertical="center" textRotation="0" wrapText="true" indent="0" shrinkToFit="false"/>
      <protection locked="true" hidden="false"/>
    </xf>
    <xf numFmtId="164" fontId="19" fillId="26" borderId="3" xfId="0" applyFont="true" applyBorder="true" applyAlignment="true" applyProtection="true">
      <alignment horizontal="center" vertical="center" textRotation="0" wrapText="true" indent="0" shrinkToFit="false"/>
      <protection locked="true" hidden="false"/>
    </xf>
    <xf numFmtId="164" fontId="19" fillId="15" borderId="3" xfId="0" applyFont="true" applyBorder="true" applyAlignment="true" applyProtection="true">
      <alignment horizontal="center" vertical="center" textRotation="0" wrapText="true" indent="0" shrinkToFit="false"/>
      <protection locked="true" hidden="false"/>
    </xf>
    <xf numFmtId="164" fontId="25" fillId="27" borderId="1" xfId="0" applyFont="true" applyBorder="true" applyAlignment="true" applyProtection="true">
      <alignment horizontal="center" vertical="center" textRotation="0" wrapText="true" indent="0" shrinkToFit="false"/>
      <protection locked="true" hidden="false"/>
    </xf>
    <xf numFmtId="164" fontId="25" fillId="28" borderId="3" xfId="0" applyFont="true" applyBorder="true" applyAlignment="true" applyProtection="true">
      <alignment horizontal="center" vertical="center" textRotation="0" wrapText="true" indent="0" shrinkToFit="false"/>
      <protection locked="true" hidden="false"/>
    </xf>
    <xf numFmtId="164" fontId="25" fillId="23" borderId="3" xfId="0" applyFont="true" applyBorder="true" applyAlignment="true" applyProtection="true">
      <alignment horizontal="center" vertical="center" textRotation="0" wrapText="true" indent="0" shrinkToFit="false"/>
      <protection locked="true" hidden="false"/>
    </xf>
    <xf numFmtId="164" fontId="15" fillId="28" borderId="1" xfId="0" applyFont="true" applyBorder="true" applyAlignment="true" applyProtection="true">
      <alignment horizontal="center" vertical="center" textRotation="0" wrapText="false" indent="0" shrinkToFit="false"/>
      <protection locked="true" hidden="false"/>
    </xf>
    <xf numFmtId="164" fontId="55" fillId="28" borderId="1" xfId="0" applyFont="true" applyBorder="true" applyAlignment="true" applyProtection="true">
      <alignment horizontal="left" vertical="center"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15" fillId="0" borderId="3" xfId="0" applyFont="true" applyBorder="true" applyAlignment="true" applyProtection="true">
      <alignment horizontal="center" vertical="center" textRotation="0" wrapText="false" indent="0" shrinkToFit="false"/>
      <protection locked="true" hidden="false"/>
    </xf>
    <xf numFmtId="164" fontId="25" fillId="12" borderId="3" xfId="0" applyFont="true" applyBorder="true" applyAlignment="true" applyProtection="true">
      <alignment horizontal="center" vertical="center" textRotation="0" wrapText="fals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28" borderId="0" xfId="0" applyFont="false" applyBorder="false" applyAlignment="true" applyProtection="true">
      <alignment horizontal="general" vertical="bottom" textRotation="0" wrapText="false" indent="0" shrinkToFit="false"/>
      <protection locked="true" hidden="false"/>
    </xf>
    <xf numFmtId="164" fontId="55" fillId="28" borderId="0" xfId="0" applyFont="true" applyBorder="true" applyAlignment="true" applyProtection="true">
      <alignment horizontal="left" vertical="center" textRotation="0" wrapText="fals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
      <fill>
        <patternFill>
          <bgColor rgb="FFF4CCCC"/>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E2EFDA"/>
          <bgColor rgb="FF000000"/>
        </patternFill>
      </fill>
    </dxf>
  </dxfs>
  <colors>
    <indexedColors>
      <rgbColor rgb="FF000000"/>
      <rgbColor rgb="FFFFFFFF"/>
      <rgbColor rgb="FFC00000"/>
      <rgbColor rgb="FF70AD47"/>
      <rgbColor rgb="FF0000FF"/>
      <rgbColor rgb="FFC5E0B3"/>
      <rgbColor rgb="FFD9E1F2"/>
      <rgbColor rgb="FFA8D08D"/>
      <rgbColor rgb="FF9C0006"/>
      <rgbColor rgb="FF006100"/>
      <rgbColor rgb="FF2F5496"/>
      <rgbColor rgb="FF9C6500"/>
      <rgbColor rgb="FF595959"/>
      <rgbColor rgb="FF1F6E7B"/>
      <rgbColor rgb="FFBFBFBF"/>
      <rgbColor rgb="FF808080"/>
      <rgbColor rgb="FF7F7F7F"/>
      <rgbColor rgb="FF7030A0"/>
      <rgbColor rgb="FFFFF2CC"/>
      <rgbColor rgb="FFDAEEF3"/>
      <rgbColor rgb="FF404040"/>
      <rgbColor rgb="FFEE7E31"/>
      <rgbColor rgb="FF0563C1"/>
      <rgbColor rgb="FFD9D9D9"/>
      <rgbColor rgb="FFF2F2F2"/>
      <rgbColor rgb="FFE2EFDA"/>
      <rgbColor rgb="FFFCE4D6"/>
      <rgbColor rgb="FFA9D08E"/>
      <rgbColor rgb="FF757575"/>
      <rgbColor rgb="FF548235"/>
      <rgbColor rgb="FF2E75B6"/>
      <rgbColor rgb="FFE2EFD9"/>
      <rgbColor rgb="FF4D81BE"/>
      <rgbColor rgb="FFDDEBF7"/>
      <rgbColor rgb="FFC6EFCE"/>
      <rgbColor rgb="FFFFEB9C"/>
      <rgbColor rgb="FFB7B7B7"/>
      <rgbColor rgb="FFFFC7CE"/>
      <rgbColor rgb="FFCE8A71"/>
      <rgbColor rgb="FFF4CCCC"/>
      <rgbColor rgb="FF4472C4"/>
      <rgbColor rgb="FF4FA8CC"/>
      <rgbColor rgb="FF9BBB59"/>
      <rgbColor rgb="FFABD08E"/>
      <rgbColor rgb="FFE2984A"/>
      <rgbColor rgb="FFED7D31"/>
      <rgbColor rgb="FF8064A2"/>
      <rgbColor rgb="FF97A1C9"/>
      <rgbColor rgb="FF1F4E79"/>
      <rgbColor rgb="FF31859C"/>
      <rgbColor rgb="FF1A1A1A"/>
      <rgbColor rgb="FF1F1F1F"/>
      <rgbColor rgb="FFC55A11"/>
      <rgbColor rgb="FFC0504D"/>
      <rgbColor rgb="FF30549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Tiến độ thực thi theo ưu tiên (Tổng vs Đã chạy)</a:t>
            </a:r>
          </a:p>
        </c:rich>
      </c:tx>
      <c:overlay val="0"/>
      <c:spPr>
        <a:noFill/>
        <a:ln w="0">
          <a:noFill/>
        </a:ln>
      </c:spPr>
    </c:title>
    <c:autoTitleDeleted val="0"/>
    <c:plotArea>
      <c:layout>
        <c:manualLayout>
          <c:xMode val="edge"/>
          <c:yMode val="edge"/>
          <c:x val="0.0679539546973635"/>
          <c:y val="0.157093870552936"/>
          <c:w val="0.775962371580641"/>
          <c:h val="0.742391770252893"/>
        </c:manualLayout>
      </c:layout>
      <c:barChart>
        <c:barDir val="col"/>
        <c:grouping val="clustered"/>
        <c:varyColors val="0"/>
        <c:ser>
          <c:idx val="0"/>
          <c:order val="0"/>
          <c:tx>
            <c:strRef>
              <c:f>Summary!$C$18</c:f>
              <c:strCache>
                <c:ptCount val="1"/>
                <c:pt idx="0">
                  <c:v>Tổng TC</c:v>
                </c:pt>
              </c:strCache>
            </c:strRef>
          </c:tx>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Summary!$C$19:$C$21</c:f>
              <c:numCache>
                <c:formatCode>0</c:formatCode>
                <c:ptCount val="3"/>
                <c:pt idx="0">
                  <c:v>22</c:v>
                </c:pt>
                <c:pt idx="1">
                  <c:v>145</c:v>
                </c:pt>
                <c:pt idx="2">
                  <c:v>56</c:v>
                </c:pt>
              </c:numCache>
            </c:numRef>
          </c:val>
        </c:ser>
        <c:ser>
          <c:idx val="1"/>
          <c:order val="1"/>
          <c:tx>
            <c:strRef>
              <c:f>Summary!$E$18</c:f>
              <c:strCache>
                <c:ptCount val="1"/>
                <c:pt idx="0">
                  <c:v>Đã chạy</c:v>
                </c:pt>
              </c:strCache>
            </c:strRef>
          </c:tx>
          <c:spPr>
            <a:solidFill>
              <a:srgbClr val="3D85C6"/>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Summary!$E$19:$E$21</c:f>
              <c:numCache>
                <c:formatCode>0</c:formatCode>
                <c:ptCount val="3"/>
                <c:pt idx="0">
                  <c:v>0</c:v>
                </c:pt>
                <c:pt idx="1">
                  <c:v>6</c:v>
                </c:pt>
                <c:pt idx="2">
                  <c:v>4</c:v>
                </c:pt>
              </c:numCache>
            </c:numRef>
          </c:val>
        </c:ser>
        <c:gapWidth val="150"/>
        <c:overlap val="0"/>
        <c:axId val="38655518"/>
        <c:axId val="33728092"/>
      </c:barChart>
      <c:catAx>
        <c:axId val="38655518"/>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3728092"/>
        <c:crosses val="autoZero"/>
        <c:auto val="1"/>
        <c:lblAlgn val="ctr"/>
        <c:lblOffset val="100"/>
        <c:noMultiLvlLbl val="0"/>
      </c:catAx>
      <c:valAx>
        <c:axId val="3372809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3865551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Số Test Case theo nhóm (Group)</a:t>
            </a:r>
          </a:p>
        </c:rich>
      </c:tx>
      <c:overlay val="0"/>
      <c:spPr>
        <a:noFill/>
        <a:ln w="0">
          <a:noFill/>
        </a:ln>
      </c:spPr>
    </c:title>
    <c:autoTitleDeleted val="0"/>
    <c:plotArea>
      <c:barChart>
        <c:barDir val="col"/>
        <c:grouping val="clustered"/>
        <c:varyColors val="0"/>
        <c:ser>
          <c:idx val="0"/>
          <c:order val="0"/>
          <c:tx>
            <c:strRef>
              <c:f>Summary!$J$18</c:f>
              <c:strCache>
                <c:ptCount val="1"/>
                <c:pt idx="0">
                  <c:v>Số TC</c:v>
                </c:pt>
              </c:strCache>
            </c:strRef>
          </c:tx>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Summary!$I$19:$I$22</c:f>
              <c:strCache>
                <c:ptCount val="4"/>
                <c:pt idx="0">
                  <c:v>Functional</c:v>
                </c:pt>
                <c:pt idx="1">
                  <c:v>UI</c:v>
                </c:pt>
                <c:pt idx="2">
                  <c:v>Integration</c:v>
                </c:pt>
                <c:pt idx="3">
                  <c:v>Database</c:v>
                </c:pt>
              </c:strCache>
            </c:strRef>
          </c:cat>
          <c:val>
            <c:numRef>
              <c:f>Summary!$J$19:$J$22</c:f>
              <c:numCache>
                <c:formatCode>0</c:formatCode>
                <c:ptCount val="4"/>
                <c:pt idx="0">
                  <c:v>175</c:v>
                </c:pt>
                <c:pt idx="1">
                  <c:v>48</c:v>
                </c:pt>
                <c:pt idx="2">
                  <c:v>0</c:v>
                </c:pt>
                <c:pt idx="3">
                  <c:v>0</c:v>
                </c:pt>
              </c:numCache>
            </c:numRef>
          </c:val>
        </c:ser>
        <c:gapWidth val="150"/>
        <c:overlap val="0"/>
        <c:axId val="53118299"/>
        <c:axId val="27767931"/>
      </c:barChart>
      <c:catAx>
        <c:axId val="5311829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7767931"/>
        <c:crosses val="autoZero"/>
        <c:auto val="1"/>
        <c:lblAlgn val="ctr"/>
        <c:lblOffset val="100"/>
        <c:noMultiLvlLbl val="0"/>
      </c:catAx>
      <c:valAx>
        <c:axId val="2776793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311829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trên tổng TC)</a:t>
            </a:r>
          </a:p>
        </c:rich>
      </c:tx>
      <c:overlay val="0"/>
      <c:spPr>
        <a:noFill/>
        <a:ln w="0">
          <a:noFill/>
        </a:ln>
      </c:spPr>
    </c:title>
    <c:autoTitleDeleted val="0"/>
    <c:plotArea>
      <c:barChart>
        <c:barDir val="bar"/>
        <c:grouping val="clustered"/>
        <c:varyColors val="0"/>
        <c:ser>
          <c:idx val="0"/>
          <c:order val="0"/>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Summary!$B$44:$B$49</c:f>
              <c:strCache>
                <c:ptCount val="6"/>
                <c:pt idx="0">
                  <c:v>TC do AI sinh (Origin=AI)</c:v>
                </c:pt>
                <c:pt idx="1">
                  <c:v>TC do QC viết (Origin=QC)</c:v>
                </c:pt>
                <c:pt idx="2">
                  <c:v>TC đã automation (Automated=Yes)</c:v>
                </c:pt>
                <c:pt idx="3">
                  <c:v>TC Vibe-test (Yes)</c:v>
                </c:pt>
                <c:pt idx="4">
                  <c:v>TC script auto chạy Pass</c:v>
                </c:pt>
                <c:pt idx="5">
                  <c:v>TC đã TL review</c:v>
                </c:pt>
              </c:strCache>
            </c:strRef>
          </c:cat>
          <c:val>
            <c:numRef>
              <c:f>Summary!$D$44:$D$49</c:f>
              <c:numCache>
                <c:formatCode>0.0%</c:formatCode>
                <c:ptCount val="6"/>
                <c:pt idx="0">
                  <c:v>1</c:v>
                </c:pt>
                <c:pt idx="1">
                  <c:v>0</c:v>
                </c:pt>
                <c:pt idx="2">
                  <c:v>0</c:v>
                </c:pt>
                <c:pt idx="3">
                  <c:v>0</c:v>
                </c:pt>
                <c:pt idx="4">
                  <c:v>0</c:v>
                </c:pt>
                <c:pt idx="5">
                  <c:v>0</c:v>
                </c:pt>
              </c:numCache>
            </c:numRef>
          </c:val>
        </c:ser>
        <c:gapWidth val="150"/>
        <c:overlap val="0"/>
        <c:axId val="26350237"/>
        <c:axId val="19998036"/>
      </c:barChart>
      <c:catAx>
        <c:axId val="26350237"/>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9998036"/>
        <c:crosses val="autoZero"/>
        <c:auto val="1"/>
        <c:lblAlgn val="ctr"/>
        <c:lblOffset val="100"/>
        <c:noMultiLvlLbl val="0"/>
      </c:catAx>
      <c:valAx>
        <c:axId val="19998036"/>
        <c:scaling>
          <c:orientation val="minMax"/>
          <c:max val="1"/>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63502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1a. Bug Status theo nền tảng</a:t>
            </a:r>
          </a:p>
        </c:rich>
      </c:tx>
      <c:overlay val="0"/>
      <c:spPr>
        <a:noFill/>
        <a:ln w="0">
          <a:noFill/>
        </a:ln>
      </c:spPr>
    </c:title>
    <c:autoTitleDeleted val="0"/>
    <c:plotArea>
      <c:barChart>
        <c:barDir val="col"/>
        <c:grouping val="stacked"/>
        <c:varyColors val="0"/>
        <c:ser>
          <c:idx val="0"/>
          <c:order val="0"/>
          <c:tx>
            <c:strRef>
              <c:f>"To Do"</c:f>
              <c:strCache>
                <c:ptCount val="1"/>
                <c:pt idx="0">
                  <c:v>To Do</c:v>
                </c:pt>
              </c:strCache>
            </c:strRef>
          </c:tx>
          <c:spPr>
            <a:solidFill>
              <a:srgbClr val="5B9BD5"/>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Test'!$C$18:$C$20</c:f>
              <c:numCache>
                <c:formatCode>0</c:formatCode>
                <c:ptCount val="3"/>
                <c:pt idx="0">
                  <c:v>0</c:v>
                </c:pt>
                <c:pt idx="1">
                  <c:v>0</c:v>
                </c:pt>
                <c:pt idx="2">
                  <c:v>0</c:v>
                </c:pt>
              </c:numCache>
            </c:numRef>
          </c:val>
        </c:ser>
        <c:ser>
          <c:idx val="1"/>
          <c:order val="1"/>
          <c:tx>
            <c:strRef>
              <c:f>"In Progress"</c:f>
              <c:strCache>
                <c:ptCount val="1"/>
                <c:pt idx="0">
                  <c:v>In Progress</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Test'!$D$18:$D$20</c:f>
              <c:numCache>
                <c:formatCode>0</c:formatCode>
                <c:ptCount val="3"/>
                <c:pt idx="0">
                  <c:v>0</c:v>
                </c:pt>
                <c:pt idx="1">
                  <c:v>0</c:v>
                </c:pt>
                <c:pt idx="2">
                  <c:v>0</c:v>
                </c:pt>
              </c:numCache>
            </c:numRef>
          </c:val>
        </c:ser>
        <c:ser>
          <c:idx val="2"/>
          <c:order val="2"/>
          <c:tx>
            <c:strRef>
              <c:f>"In Review"</c:f>
              <c:strCache>
                <c:ptCount val="1"/>
                <c:pt idx="0">
                  <c:v>In Review</c:v>
                </c:pt>
              </c:strCache>
            </c:strRef>
          </c:tx>
          <c:spPr>
            <a:solidFill>
              <a:srgbClr val="8064A2"/>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Test'!$E$18:$E$20</c:f>
              <c:numCache>
                <c:formatCode>0</c:formatCode>
                <c:ptCount val="3"/>
                <c:pt idx="0">
                  <c:v>0</c:v>
                </c:pt>
                <c:pt idx="1">
                  <c:v>0</c:v>
                </c:pt>
                <c:pt idx="2">
                  <c:v>0</c:v>
                </c:pt>
              </c:numCache>
            </c:numRef>
          </c:val>
        </c:ser>
        <c:ser>
          <c:idx val="3"/>
          <c:order val="3"/>
          <c:tx>
            <c:strRef>
              <c:f>"Pending"</c:f>
              <c:strCache>
                <c:ptCount val="1"/>
                <c:pt idx="0">
                  <c:v>Pending</c:v>
                </c:pt>
              </c:strCache>
            </c:strRef>
          </c:tx>
          <c:spPr>
            <a:solidFill>
              <a:srgbClr val="FFC000"/>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Test'!$F$18:$F$20</c:f>
              <c:numCache>
                <c:formatCode>0</c:formatCode>
                <c:ptCount val="3"/>
                <c:pt idx="0">
                  <c:v>0</c:v>
                </c:pt>
                <c:pt idx="1">
                  <c:v>0</c:v>
                </c:pt>
                <c:pt idx="2">
                  <c:v>0</c:v>
                </c:pt>
              </c:numCache>
            </c:numRef>
          </c:val>
        </c:ser>
        <c:ser>
          <c:idx val="4"/>
          <c:order val="4"/>
          <c:tx>
            <c:strRef>
              <c:f>"Cancel"</c:f>
              <c:strCache>
                <c:ptCount val="1"/>
                <c:pt idx="0">
                  <c:v>Cancel</c:v>
                </c:pt>
              </c:strCache>
            </c:strRef>
          </c:tx>
          <c:spPr>
            <a:solidFill>
              <a:srgbClr val="A6A6A6"/>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Test'!$G$18:$G$20</c:f>
              <c:numCache>
                <c:formatCode>0</c:formatCode>
                <c:ptCount val="3"/>
                <c:pt idx="0">
                  <c:v>0</c:v>
                </c:pt>
                <c:pt idx="1">
                  <c:v>0</c:v>
                </c:pt>
                <c:pt idx="2">
                  <c:v>0</c:v>
                </c:pt>
              </c:numCache>
            </c:numRef>
          </c:val>
        </c:ser>
        <c:ser>
          <c:idx val="5"/>
          <c:order val="5"/>
          <c:tx>
            <c:strRef>
              <c:f>"Done"</c:f>
              <c:strCache>
                <c:ptCount val="1"/>
                <c:pt idx="0">
                  <c:v>Done</c:v>
                </c:pt>
              </c:strCache>
            </c:strRef>
          </c:tx>
          <c:spPr>
            <a:solidFill>
              <a:srgbClr val="70AD47"/>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Test'!$H$18:$H$20</c:f>
              <c:numCache>
                <c:formatCode>0</c:formatCode>
                <c:ptCount val="3"/>
                <c:pt idx="0">
                  <c:v>0</c:v>
                </c:pt>
                <c:pt idx="1">
                  <c:v>0</c:v>
                </c:pt>
                <c:pt idx="2">
                  <c:v>0</c:v>
                </c:pt>
              </c:numCache>
            </c:numRef>
          </c:val>
        </c:ser>
        <c:gapWidth val="150"/>
        <c:overlap val="100"/>
        <c:axId val="73631766"/>
        <c:axId val="4681773"/>
      </c:barChart>
      <c:catAx>
        <c:axId val="7363176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Nền tảng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681773"/>
        <c:crosses val="autoZero"/>
        <c:auto val="1"/>
        <c:lblAlgn val="ctr"/>
        <c:lblOffset val="100"/>
        <c:noMultiLvlLbl val="0"/>
      </c:catAx>
      <c:valAx>
        <c:axId val="468177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3631766"/>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 Coverage theo chức năng</a:t>
            </a:r>
          </a:p>
        </c:rich>
      </c:tx>
      <c:overlay val="0"/>
      <c:spPr>
        <a:noFill/>
        <a:ln w="0">
          <a:noFill/>
        </a:ln>
      </c:spPr>
    </c:title>
    <c:autoTitleDeleted val="0"/>
    <c:plotArea>
      <c:barChart>
        <c:barDir val="col"/>
        <c:grouping val="clustered"/>
        <c:varyColors val="0"/>
        <c:ser>
          <c:idx val="0"/>
          <c:order val="0"/>
          <c:tx>
            <c:strRef>
              <c:f>"Total TC"</c:f>
              <c:strCache>
                <c:ptCount val="1"/>
                <c:pt idx="0">
                  <c:v>Total TC</c:v>
                </c:pt>
              </c:strCache>
            </c:strRef>
          </c:tx>
          <c:spPr>
            <a:solidFill>
              <a:srgbClr val="A8D08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Test'!$D$60:$D$70</c:f>
              <c:numCache>
                <c:formatCode>0</c:formatCode>
                <c:ptCount val="11"/>
                <c:pt idx="0">
                  <c:v>10</c:v>
                </c:pt>
                <c:pt idx="1">
                  <c:v>13</c:v>
                </c:pt>
                <c:pt idx="2">
                  <c:v>13</c:v>
                </c:pt>
                <c:pt idx="3">
                  <c:v>51</c:v>
                </c:pt>
                <c:pt idx="4">
                  <c:v>5</c:v>
                </c:pt>
                <c:pt idx="5">
                  <c:v>8</c:v>
                </c:pt>
                <c:pt idx="6">
                  <c:v>11</c:v>
                </c:pt>
                <c:pt idx="7">
                  <c:v>9</c:v>
                </c:pt>
                <c:pt idx="8">
                  <c:v>48</c:v>
                </c:pt>
                <c:pt idx="9">
                  <c:v>17</c:v>
                </c:pt>
                <c:pt idx="10">
                  <c:v>38</c:v>
                </c:pt>
              </c:numCache>
            </c:numRef>
          </c:val>
        </c:ser>
        <c:ser>
          <c:idx val="1"/>
          <c:order val="1"/>
          <c:tx>
            <c:strRef>
              <c:f>"Executed TC"</c:f>
              <c:strCache>
                <c:ptCount val="1"/>
                <c:pt idx="0">
                  <c:v>Executed TC</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Test'!$E$60:$E$70</c:f>
              <c:numCache>
                <c:formatCode>0</c:formatCode>
                <c:ptCount val="11"/>
                <c:pt idx="0">
                  <c:v>10</c:v>
                </c:pt>
                <c:pt idx="1">
                  <c:v>0</c:v>
                </c:pt>
                <c:pt idx="2">
                  <c:v>0</c:v>
                </c:pt>
                <c:pt idx="3">
                  <c:v>0</c:v>
                </c:pt>
                <c:pt idx="4">
                  <c:v>0</c:v>
                </c:pt>
                <c:pt idx="5">
                  <c:v>0</c:v>
                </c:pt>
                <c:pt idx="6">
                  <c:v>0</c:v>
                </c:pt>
                <c:pt idx="7">
                  <c:v>0</c:v>
                </c:pt>
                <c:pt idx="8">
                  <c:v>0</c:v>
                </c:pt>
                <c:pt idx="9">
                  <c:v>0</c:v>
                </c:pt>
                <c:pt idx="10">
                  <c:v>0</c:v>
                </c:pt>
              </c:numCache>
            </c:numRef>
          </c:val>
        </c:ser>
        <c:gapWidth val="150"/>
        <c:overlap val="0"/>
        <c:axId val="48391769"/>
        <c:axId val="14529776"/>
      </c:barChart>
      <c:catAx>
        <c:axId val="4839176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Chức năng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4529776"/>
        <c:crosses val="autoZero"/>
        <c:auto val="1"/>
        <c:lblAlgn val="ctr"/>
        <c:lblOffset val="100"/>
        <c:noMultiLvlLbl val="0"/>
      </c:catAx>
      <c:valAx>
        <c:axId val="1452977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8391769"/>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3. Bug Severity (% theo mức độ)</a:t>
            </a:r>
          </a:p>
        </c:rich>
      </c:tx>
      <c:overlay val="0"/>
      <c:spPr>
        <a:noFill/>
        <a:ln w="0">
          <a:noFill/>
        </a:ln>
      </c:spPr>
    </c:title>
    <c:autoTitleDeleted val="0"/>
    <c:plotArea>
      <c:pieChart>
        <c:varyColors val="1"/>
        <c:ser>
          <c:idx val="0"/>
          <c:order val="0"/>
          <c:tx>
            <c:strRef>
              <c:f>'Report Test'!$C$101</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Test'!$B$102:$B$106</c:f>
              <c:strCache>
                <c:ptCount val="5"/>
                <c:pt idx="0">
                  <c:v>Critical Bug</c:v>
                </c:pt>
                <c:pt idx="1">
                  <c:v>Major Bug</c:v>
                </c:pt>
                <c:pt idx="2">
                  <c:v>Medium Bug</c:v>
                </c:pt>
                <c:pt idx="3">
                  <c:v>Low Bug</c:v>
                </c:pt>
                <c:pt idx="4">
                  <c:v>Suggest Bug</c:v>
                </c:pt>
              </c:strCache>
            </c:strRef>
          </c:cat>
          <c:val>
            <c:numRef>
              <c:f>'Report Test'!$C$102:$C$106</c:f>
              <c:numCache>
                <c:formatCode>0</c:formatCode>
                <c:ptCount val="5"/>
                <c:pt idx="0">
                  <c:v>0</c:v>
                </c:pt>
                <c:pt idx="1">
                  <c:v>0</c:v>
                </c:pt>
                <c:pt idx="2">
                  <c:v>0</c:v>
                </c:pt>
                <c:pt idx="3">
                  <c:v>0</c:v>
                </c:pt>
                <c:pt idx="4">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2b. Kết quả thực thi TC (%)</a:t>
            </a:r>
          </a:p>
        </c:rich>
      </c:tx>
      <c:overlay val="0"/>
      <c:spPr>
        <a:noFill/>
        <a:ln w="0">
          <a:noFill/>
        </a:ln>
      </c:spPr>
    </c:title>
    <c:autoTitleDeleted val="0"/>
    <c:plotArea>
      <c:pieChart>
        <c:varyColors val="1"/>
        <c:ser>
          <c:idx val="0"/>
          <c:order val="0"/>
          <c:tx>
            <c:strRef>
              <c:f>'Report Test'!$C$84</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Test'!$B$85:$B$89</c:f>
              <c:strCache>
                <c:ptCount val="5"/>
                <c:pt idx="0">
                  <c:v>Pass</c:v>
                </c:pt>
                <c:pt idx="1">
                  <c:v>Fail</c:v>
                </c:pt>
                <c:pt idx="2">
                  <c:v>Block</c:v>
                </c:pt>
                <c:pt idx="3">
                  <c:v>N/A</c:v>
                </c:pt>
                <c:pt idx="4">
                  <c:v>Chưa thực hiện</c:v>
                </c:pt>
              </c:strCache>
            </c:strRef>
          </c:cat>
          <c:val>
            <c:numRef>
              <c:f>'Report Test'!$C$85:$C$89</c:f>
              <c:numCache>
                <c:formatCode>0</c:formatCode>
                <c:ptCount val="5"/>
                <c:pt idx="0">
                  <c:v>10</c:v>
                </c:pt>
                <c:pt idx="1">
                  <c:v>0</c:v>
                </c:pt>
                <c:pt idx="2">
                  <c:v>0</c:v>
                </c:pt>
                <c:pt idx="3">
                  <c:v>0</c:v>
                </c:pt>
                <c:pt idx="4">
                  <c:v>213</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4. Bug Resolution (%)</a:t>
            </a:r>
          </a:p>
        </c:rich>
      </c:tx>
      <c:overlay val="0"/>
      <c:spPr>
        <a:noFill/>
        <a:ln w="0">
          <a:noFill/>
        </a:ln>
      </c:spPr>
    </c:title>
    <c:autoTitleDeleted val="0"/>
    <c:plotArea>
      <c:pieChart>
        <c:varyColors val="1"/>
        <c:ser>
          <c:idx val="0"/>
          <c:order val="0"/>
          <c:tx>
            <c:strRef>
              <c:f>'Report Test'!$C$120</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Test'!$B$121:$B$123</c:f>
              <c:strCache>
                <c:ptCount val="3"/>
                <c:pt idx="0">
                  <c:v>Fixed</c:v>
                </c:pt>
                <c:pt idx="1">
                  <c:v>Won't fix</c:v>
                </c:pt>
                <c:pt idx="2">
                  <c:v>Chưa xác định</c:v>
                </c:pt>
              </c:strCache>
            </c:strRef>
          </c:cat>
          <c:val>
            <c:numRef>
              <c:f>'Report Test'!$C$121:$C$123</c:f>
              <c:numCache>
                <c:formatCode>0</c:formatCode>
                <c:ptCount val="3"/>
                <c:pt idx="0">
                  <c:v>0</c:v>
                </c:pt>
                <c:pt idx="1">
                  <c:v>0</c:v>
                </c:pt>
                <c:pt idx="2">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5. Bug Won't fix theo Lý do</a:t>
            </a:r>
          </a:p>
        </c:rich>
      </c:tx>
      <c:overlay val="0"/>
      <c:spPr>
        <a:noFill/>
        <a:ln w="0">
          <a:noFill/>
        </a:ln>
      </c:spPr>
    </c:title>
    <c:autoTitleDeleted val="0"/>
    <c:plotArea>
      <c:barChart>
        <c:barDir val="col"/>
        <c:grouping val="clustered"/>
        <c:varyColors val="0"/>
        <c:ser>
          <c:idx val="0"/>
          <c:order val="0"/>
          <c:tx>
            <c:strRef>
              <c:f>"Số lượng"</c:f>
              <c:strCache>
                <c:ptCount val="1"/>
                <c:pt idx="0">
                  <c:v>Số lượng</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Test'!$B$138:$B$147</c:f>
              <c:strCache>
                <c:ptCount val="10"/>
                <c:pt idx="0">
                  <c:v>1.1</c:v>
                </c:pt>
                <c:pt idx="1">
                  <c:v>1.2</c:v>
                </c:pt>
                <c:pt idx="2">
                  <c:v>1.3</c:v>
                </c:pt>
                <c:pt idx="3">
                  <c:v>2.1</c:v>
                </c:pt>
                <c:pt idx="4">
                  <c:v>2.2</c:v>
                </c:pt>
                <c:pt idx="5">
                  <c:v>3.1</c:v>
                </c:pt>
                <c:pt idx="6">
                  <c:v>3.2</c:v>
                </c:pt>
                <c:pt idx="7">
                  <c:v>3.3</c:v>
                </c:pt>
                <c:pt idx="8">
                  <c:v>3.4</c:v>
                </c:pt>
                <c:pt idx="9">
                  <c:v>4.1</c:v>
                </c:pt>
              </c:strCache>
            </c:strRef>
          </c:cat>
          <c:val>
            <c:numRef>
              <c:f>'Report Test'!$E$138:$E$147</c:f>
              <c:numCache>
                <c:formatCode>0</c:formatCode>
                <c:ptCount val="10"/>
                <c:pt idx="0">
                  <c:v>0</c:v>
                </c:pt>
                <c:pt idx="1">
                  <c:v>0</c:v>
                </c:pt>
                <c:pt idx="2">
                  <c:v>0</c:v>
                </c:pt>
                <c:pt idx="3">
                  <c:v>0</c:v>
                </c:pt>
                <c:pt idx="4">
                  <c:v>0</c:v>
                </c:pt>
                <c:pt idx="5">
                  <c:v>0</c:v>
                </c:pt>
                <c:pt idx="6">
                  <c:v>0</c:v>
                </c:pt>
                <c:pt idx="7">
                  <c:v>0</c:v>
                </c:pt>
                <c:pt idx="8">
                  <c:v>0</c:v>
                </c:pt>
                <c:pt idx="9">
                  <c:v>0</c:v>
                </c:pt>
              </c:numCache>
            </c:numRef>
          </c:val>
        </c:ser>
        <c:gapWidth val="150"/>
        <c:overlap val="0"/>
        <c:axId val="12386738"/>
        <c:axId val="60311602"/>
      </c:barChart>
      <c:catAx>
        <c:axId val="12386738"/>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0311602"/>
        <c:crosses val="autoZero"/>
        <c:auto val="1"/>
        <c:lblAlgn val="ctr"/>
        <c:lblOffset val="100"/>
        <c:noMultiLvlLbl val="0"/>
      </c:catAx>
      <c:valAx>
        <c:axId val="6031160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386738"/>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6. Defect Type</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Test'!$B$154:$B$159</c:f>
              <c:strCache>
                <c:ptCount val="6"/>
                <c:pt idx="0">
                  <c:v>Data</c:v>
                </c:pt>
                <c:pt idx="1">
                  <c:v>Interface</c:v>
                </c:pt>
                <c:pt idx="2">
                  <c:v>Logic</c:v>
                </c:pt>
                <c:pt idx="3">
                  <c:v>Requirement</c:v>
                </c:pt>
                <c:pt idx="4">
                  <c:v>Server</c:v>
                </c:pt>
                <c:pt idx="5">
                  <c:v>Other</c:v>
                </c:pt>
              </c:strCache>
            </c:strRef>
          </c:cat>
          <c:val>
            <c:numRef>
              <c:f>'Report Test'!$C$154:$C$159</c:f>
              <c:numCache>
                <c:formatCode>0</c:formatCode>
                <c:ptCount val="6"/>
                <c:pt idx="0">
                  <c:v>0</c:v>
                </c:pt>
                <c:pt idx="1">
                  <c:v>0</c:v>
                </c:pt>
                <c:pt idx="2">
                  <c:v>0</c:v>
                </c:pt>
                <c:pt idx="3">
                  <c:v>0</c:v>
                </c:pt>
                <c:pt idx="4">
                  <c:v>0</c:v>
                </c:pt>
                <c:pt idx="5">
                  <c:v>0</c:v>
                </c:pt>
              </c:numCache>
            </c:numRef>
          </c:val>
        </c:ser>
        <c:gapWidth val="150"/>
        <c:overlap val="0"/>
        <c:axId val="31759812"/>
        <c:axId val="21007192"/>
      </c:barChart>
      <c:catAx>
        <c:axId val="31759812"/>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1007192"/>
        <c:crosses val="autoZero"/>
        <c:auto val="1"/>
        <c:lblAlgn val="ctr"/>
        <c:lblOffset val="100"/>
        <c:noMultiLvlLbl val="0"/>
      </c:catAx>
      <c:valAx>
        <c:axId val="2100719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175981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7. Effect</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Test'!$B$170:$B$174</c:f>
              <c:strCache>
                <c:ptCount val="5"/>
                <c:pt idx="0">
                  <c:v>Functionality</c:v>
                </c:pt>
                <c:pt idx="1">
                  <c:v>Performance</c:v>
                </c:pt>
                <c:pt idx="2">
                  <c:v>Security</c:v>
                </c:pt>
                <c:pt idx="3">
                  <c:v>Serviceability</c:v>
                </c:pt>
                <c:pt idx="4">
                  <c:v>Usability</c:v>
                </c:pt>
              </c:strCache>
            </c:strRef>
          </c:cat>
          <c:val>
            <c:numRef>
              <c:f>'Report Test'!$C$170:$C$174</c:f>
              <c:numCache>
                <c:formatCode>0</c:formatCode>
                <c:ptCount val="5"/>
                <c:pt idx="0">
                  <c:v>0</c:v>
                </c:pt>
                <c:pt idx="1">
                  <c:v>0</c:v>
                </c:pt>
                <c:pt idx="2">
                  <c:v>0</c:v>
                </c:pt>
                <c:pt idx="3">
                  <c:v>0</c:v>
                </c:pt>
                <c:pt idx="4">
                  <c:v>0</c:v>
                </c:pt>
              </c:numCache>
            </c:numRef>
          </c:val>
        </c:ser>
        <c:gapWidth val="150"/>
        <c:overlap val="0"/>
        <c:axId val="388393"/>
        <c:axId val="57497450"/>
      </c:barChart>
      <c:catAx>
        <c:axId val="388393"/>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7497450"/>
        <c:crosses val="autoZero"/>
        <c:auto val="1"/>
        <c:lblAlgn val="ctr"/>
        <c:lblOffset val="100"/>
        <c:noMultiLvlLbl val="0"/>
      </c:catAx>
      <c:valAx>
        <c:axId val="5749745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8839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8. Bug Rework</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Test'!$B$186:$B$189</c:f>
              <c:strCache>
                <c:ptCount val="4"/>
                <c:pt idx="0">
                  <c:v>1-2 lần</c:v>
                </c:pt>
                <c:pt idx="1">
                  <c:v>3-5 lần</c:v>
                </c:pt>
                <c:pt idx="2">
                  <c:v>6-7 lần</c:v>
                </c:pt>
                <c:pt idx="3">
                  <c:v>8-10 lần</c:v>
                </c:pt>
              </c:strCache>
            </c:strRef>
          </c:cat>
          <c:val>
            <c:numRef>
              <c:f>'Report Test'!$C$186:$C$189</c:f>
              <c:numCache>
                <c:formatCode>0</c:formatCode>
                <c:ptCount val="4"/>
                <c:pt idx="0">
                  <c:v>0</c:v>
                </c:pt>
                <c:pt idx="1">
                  <c:v>0</c:v>
                </c:pt>
                <c:pt idx="2">
                  <c:v>0</c:v>
                </c:pt>
                <c:pt idx="3">
                  <c:v>0</c:v>
                </c:pt>
              </c:numCache>
            </c:numRef>
          </c:val>
        </c:ser>
        <c:gapWidth val="150"/>
        <c:overlap val="0"/>
        <c:axId val="38932600"/>
        <c:axId val="88227196"/>
      </c:barChart>
      <c:catAx>
        <c:axId val="38932600"/>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8227196"/>
        <c:crosses val="autoZero"/>
        <c:auto val="1"/>
        <c:lblAlgn val="ctr"/>
        <c:lblOffset val="100"/>
        <c:noMultiLvlLbl val="0"/>
      </c:catAx>
      <c:valAx>
        <c:axId val="8822719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8932600"/>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1b. Tỷ lệ Bug theo chức năng (%)</a:t>
            </a:r>
          </a:p>
        </c:rich>
      </c:tx>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Pt>
            <c:idx val="5"/>
            <c:spPr>
              <a:solidFill>
                <a:srgbClr val="F79646"/>
              </a:solidFill>
              <a:ln w="0">
                <a:noFill/>
              </a:ln>
            </c:spPr>
          </c:dPt>
          <c:dPt>
            <c:idx val="6"/>
            <c:spPr>
              <a:solidFill>
                <a:srgbClr val="84A7D1"/>
              </a:solidFill>
              <a:ln w="0">
                <a:noFill/>
              </a:ln>
            </c:spPr>
          </c:dPt>
          <c:dPt>
            <c:idx val="7"/>
            <c:spPr>
              <a:solidFill>
                <a:srgbClr val="D38582"/>
              </a:solidFill>
              <a:ln w="0">
                <a:noFill/>
              </a:ln>
            </c:spPr>
          </c:dPt>
          <c:dPt>
            <c:idx val="8"/>
            <c:spPr>
              <a:solidFill>
                <a:srgbClr val="B9CF8B"/>
              </a:solidFill>
              <a:ln w="0">
                <a:noFill/>
              </a:ln>
            </c:spPr>
          </c:dPt>
          <c:dPt>
            <c:idx val="9"/>
            <c:spPr>
              <a:solidFill>
                <a:srgbClr val="A693BE"/>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7"/>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8"/>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9"/>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Test'!$C$43:$C$52</c:f>
              <c:strCache>
                <c:ptCount val="10"/>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Khác / chưa gán chức năng</c:v>
                </c:pt>
              </c:strCache>
            </c:strRef>
          </c:cat>
          <c:val>
            <c:numRef>
              <c:f>'Report Test'!$J$43:$J$52</c:f>
              <c:numCache>
                <c:formatCode>0</c:formatCode>
                <c:ptCount val="10"/>
                <c:pt idx="0">
                  <c:v>0</c:v>
                </c:pt>
                <c:pt idx="1">
                  <c:v>0</c:v>
                </c:pt>
                <c:pt idx="2">
                  <c:v>0</c:v>
                </c:pt>
                <c:pt idx="3">
                  <c:v>0</c:v>
                </c:pt>
                <c:pt idx="4">
                  <c:v>0</c:v>
                </c:pt>
                <c:pt idx="5">
                  <c:v>0</c:v>
                </c:pt>
                <c:pt idx="6">
                  <c:v>0</c:v>
                </c:pt>
                <c:pt idx="7">
                  <c:v>0</c:v>
                </c:pt>
                <c:pt idx="8">
                  <c:v>0</c:v>
                </c:pt>
                <c:pt idx="9">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Automation (%)</a:t>
            </a:r>
          </a:p>
        </c:rich>
      </c:tx>
      <c:overlay val="0"/>
      <c:spPr>
        <a:noFill/>
        <a:ln w="0">
          <a:noFill/>
        </a:ln>
      </c:spPr>
    </c:title>
    <c:autoTitleDeleted val="0"/>
    <c:plotArea>
      <c:barChart>
        <c:barDir val="bar"/>
        <c:grouping val="clustered"/>
        <c:varyColors val="0"/>
        <c:ser>
          <c:idx val="0"/>
          <c:order val="0"/>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Test'!$B$203:$B$208</c:f>
              <c:strCache>
                <c:ptCount val="6"/>
                <c:pt idx="0">
                  <c:v>TC sinh bởi AI (AI-generated)</c:v>
                </c:pt>
                <c:pt idx="1">
                  <c:v>TC do QC viết tay</c:v>
                </c:pt>
                <c:pt idx="2">
                  <c:v>TC đã automation (có script)</c:v>
                </c:pt>
                <c:pt idx="3">
                  <c:v>TC Vibe-test</c:v>
                </c:pt>
                <c:pt idx="4">
                  <c:v>TC đã QC review</c:v>
                </c:pt>
                <c:pt idx="5">
                  <c:v>TC script auto chạy Pass</c:v>
                </c:pt>
              </c:strCache>
            </c:strRef>
          </c:cat>
          <c:val>
            <c:numRef>
              <c:f>'Report Test'!$D$203:$D$208</c:f>
              <c:numCache>
                <c:formatCode>0.0%</c:formatCode>
                <c:ptCount val="6"/>
                <c:pt idx="0">
                  <c:v>1</c:v>
                </c:pt>
                <c:pt idx="1">
                  <c:v>0</c:v>
                </c:pt>
                <c:pt idx="2">
                  <c:v>0</c:v>
                </c:pt>
                <c:pt idx="3">
                  <c:v>0</c:v>
                </c:pt>
                <c:pt idx="4">
                  <c:v>0</c:v>
                </c:pt>
                <c:pt idx="5">
                  <c:v>0</c:v>
                </c:pt>
              </c:numCache>
            </c:numRef>
          </c:val>
        </c:ser>
        <c:gapWidth val="150"/>
        <c:overlap val="0"/>
        <c:axId val="91815729"/>
        <c:axId val="86961785"/>
      </c:barChart>
      <c:catAx>
        <c:axId val="91815729"/>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6961785"/>
        <c:crosses val="autoZero"/>
        <c:auto val="1"/>
        <c:lblAlgn val="ctr"/>
        <c:lblOffset val="100"/>
        <c:noMultiLvlLbl val="0"/>
      </c:catAx>
      <c:valAx>
        <c:axId val="86961785"/>
        <c:scaling>
          <c:orientation val="minMax"/>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18157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 Fail theo Round</a:t>
            </a:r>
          </a:p>
        </c:rich>
      </c:tx>
      <c:overlay val="0"/>
      <c:spPr>
        <a:noFill/>
        <a:ln w="0">
          <a:noFill/>
        </a:ln>
      </c:spPr>
    </c:title>
    <c:autoTitleDeleted val="0"/>
    <c:plotArea>
      <c:barChart>
        <c:barDir val="col"/>
        <c:grouping val="clustered"/>
        <c:varyColors val="0"/>
        <c:ser>
          <c:idx val="0"/>
          <c:order val="0"/>
          <c:tx>
            <c:strRef>
              <c:f>'Report Test'!$F$220</c:f>
              <c:strCache>
                <c:ptCount val="1"/>
                <c:pt idx="0">
                  <c:v>Pass</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Test'!$F$221:$F$223</c:f>
              <c:numCache>
                <c:formatCode>0</c:formatCode>
                <c:ptCount val="3"/>
                <c:pt idx="0">
                  <c:v>10</c:v>
                </c:pt>
                <c:pt idx="1">
                  <c:v>0</c:v>
                </c:pt>
                <c:pt idx="2">
                  <c:v>0</c:v>
                </c:pt>
              </c:numCache>
            </c:numRef>
          </c:val>
        </c:ser>
        <c:ser>
          <c:idx val="1"/>
          <c:order val="1"/>
          <c:tx>
            <c:strRef>
              <c:f>'Report Test'!$G$220</c:f>
              <c:strCache>
                <c:ptCount val="1"/>
                <c:pt idx="0">
                  <c:v>Fail</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Test'!$G$221:$G$223</c:f>
              <c:numCache>
                <c:formatCode>0</c:formatCode>
                <c:ptCount val="3"/>
                <c:pt idx="0">
                  <c:v>0</c:v>
                </c:pt>
                <c:pt idx="1">
                  <c:v>0</c:v>
                </c:pt>
                <c:pt idx="2">
                  <c:v>0</c:v>
                </c:pt>
              </c:numCache>
            </c:numRef>
          </c:val>
        </c:ser>
        <c:ser>
          <c:idx val="2"/>
          <c:order val="2"/>
          <c:tx>
            <c:strRef>
              <c:f>'Report Test'!$H$220</c:f>
              <c:strCache>
                <c:ptCount val="1"/>
                <c:pt idx="0">
                  <c:v>Block</c:v>
                </c:pt>
              </c:strCache>
            </c:strRef>
          </c:tx>
          <c:spPr>
            <a:solidFill>
              <a:srgbClr val="9BBB59"/>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Test'!$H$221:$H$223</c:f>
              <c:numCache>
                <c:formatCode>0</c:formatCode>
                <c:ptCount val="3"/>
                <c:pt idx="0">
                  <c:v>0</c:v>
                </c:pt>
                <c:pt idx="1">
                  <c:v>0</c:v>
                </c:pt>
                <c:pt idx="2">
                  <c:v>0</c:v>
                </c:pt>
              </c:numCache>
            </c:numRef>
          </c:val>
        </c:ser>
        <c:ser>
          <c:idx val="3"/>
          <c:order val="3"/>
          <c:tx>
            <c:strRef>
              <c:f>'Report Test'!$I$220</c:f>
              <c:strCache>
                <c:ptCount val="1"/>
                <c:pt idx="0">
                  <c:v>N/A</c:v>
                </c:pt>
              </c:strCache>
            </c:strRef>
          </c:tx>
          <c:spPr>
            <a:solidFill>
              <a:srgbClr val="8064A2"/>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Test'!$I$221:$I$223</c:f>
              <c:numCache>
                <c:formatCode>0</c:formatCode>
                <c:ptCount val="3"/>
                <c:pt idx="0">
                  <c:v>0</c:v>
                </c:pt>
                <c:pt idx="1">
                  <c:v>0</c:v>
                </c:pt>
                <c:pt idx="2">
                  <c:v>0</c:v>
                </c:pt>
              </c:numCache>
            </c:numRef>
          </c:val>
        </c:ser>
        <c:gapWidth val="150"/>
        <c:overlap val="0"/>
        <c:axId val="12077049"/>
        <c:axId val="94523120"/>
      </c:barChart>
      <c:catAx>
        <c:axId val="1207704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4523120"/>
        <c:crosses val="autoZero"/>
        <c:auto val="1"/>
        <c:lblAlgn val="ctr"/>
        <c:lblOffset val="100"/>
        <c:noMultiLvlLbl val="0"/>
      </c:catAx>
      <c:valAx>
        <c:axId val="9452312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Test cases</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07704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Bug phát hiện vs đã đóng theo Round</a:t>
            </a:r>
          </a:p>
        </c:rich>
      </c:tx>
      <c:overlay val="0"/>
      <c:spPr>
        <a:noFill/>
        <a:ln w="0">
          <a:noFill/>
        </a:ln>
      </c:spPr>
    </c:title>
    <c:autoTitleDeleted val="0"/>
    <c:plotArea>
      <c:barChart>
        <c:barDir val="col"/>
        <c:grouping val="clustered"/>
        <c:varyColors val="0"/>
        <c:ser>
          <c:idx val="0"/>
          <c:order val="0"/>
          <c:tx>
            <c:strRef>
              <c:f>'Report Test'!$C$229</c:f>
              <c:strCache>
                <c:ptCount val="1"/>
                <c:pt idx="0">
                  <c:v>Phát hiện</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Test'!$C$230:$C$234</c:f>
              <c:numCache>
                <c:formatCode>General</c:formatCode>
                <c:ptCount val="5"/>
                <c:pt idx="0">
                  <c:v>0</c:v>
                </c:pt>
                <c:pt idx="1">
                  <c:v>0</c:v>
                </c:pt>
                <c:pt idx="2">
                  <c:v>0</c:v>
                </c:pt>
                <c:pt idx="3">
                  <c:v>0</c:v>
                </c:pt>
                <c:pt idx="4">
                  <c:v>0</c:v>
                </c:pt>
              </c:numCache>
            </c:numRef>
          </c:val>
        </c:ser>
        <c:ser>
          <c:idx val="1"/>
          <c:order val="1"/>
          <c:tx>
            <c:strRef>
              <c:f>'Report Test'!$D$229</c:f>
              <c:strCache>
                <c:ptCount val="1"/>
                <c:pt idx="0">
                  <c:v>Đã đóng</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Test'!$D$230:$D$234</c:f>
              <c:numCache>
                <c:formatCode>General</c:formatCode>
                <c:ptCount val="5"/>
                <c:pt idx="0">
                  <c:v>0</c:v>
                </c:pt>
                <c:pt idx="1">
                  <c:v>0</c:v>
                </c:pt>
                <c:pt idx="2">
                  <c:v>0</c:v>
                </c:pt>
                <c:pt idx="3">
                  <c:v>0</c:v>
                </c:pt>
                <c:pt idx="4">
                  <c:v>0</c:v>
                </c:pt>
              </c:numCache>
            </c:numRef>
          </c:val>
        </c:ser>
        <c:gapWidth val="150"/>
        <c:overlap val="0"/>
        <c:axId val="88102730"/>
        <c:axId val="10701549"/>
      </c:barChart>
      <c:catAx>
        <c:axId val="88102730"/>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0701549"/>
        <c:crosses val="autoZero"/>
        <c:auto val="1"/>
        <c:lblAlgn val="ctr"/>
        <c:lblOffset val="100"/>
        <c:noMultiLvlLbl val="0"/>
      </c:catAx>
      <c:valAx>
        <c:axId val="1070154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Bug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81027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rate % theo Round</a:t>
            </a:r>
          </a:p>
        </c:rich>
      </c:tx>
      <c:overlay val="0"/>
      <c:spPr>
        <a:noFill/>
        <a:ln w="0">
          <a:noFill/>
        </a:ln>
      </c:spPr>
    </c:title>
    <c:autoTitleDeleted val="0"/>
    <c:plotArea>
      <c:lineChart>
        <c:grouping val="standard"/>
        <c:varyColors val="0"/>
        <c:ser>
          <c:idx val="0"/>
          <c:order val="0"/>
          <c:tx>
            <c:strRef>
              <c:f>'Report Test'!$K$220</c:f>
              <c:strCache>
                <c:ptCount val="1"/>
                <c:pt idx="0">
                  <c:v>Pass rate</c:v>
                </c:pt>
              </c:strCache>
            </c:strRef>
          </c:tx>
          <c:spPr>
            <a:solidFill>
              <a:srgbClr val="4472C4"/>
            </a:solidFill>
            <a:ln w="19080">
              <a:solidFill>
                <a:srgbClr val="4472C4"/>
              </a:solidFill>
              <a:round/>
            </a:ln>
          </c:spPr>
          <c:marker>
            <c:symbol val="none"/>
          </c:marker>
          <c:dLbls>
            <c:txPr>
              <a:bodyPr wrap="square"/>
              <a:lstStyle/>
              <a:p>
                <a:pPr>
                  <a:defRPr sz="1000" b="0" u="none" strike="noStrike">
                    <a:solidFill>
                      <a:srgbClr val="000000"/>
                    </a:solidFill>
                    <a:uFillTx/>
                    <a:latin typeface="Arial"/>
                    <a:ea typeface="Calibri"/>
                  </a:defRPr>
                </a:pPr>
              </a:p>
            </c:txPr>
            <c:dLblPos val="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Test'!$K$221:$K$223</c:f>
              <c:numCache>
                <c:formatCode>0.0%</c:formatCode>
                <c:ptCount val="3"/>
                <c:pt idx="0">
                  <c:v>1</c:v>
                </c:pt>
              </c:numCache>
            </c:numRef>
          </c:val>
          <c:smooth val="0"/>
        </c:ser>
        <c:hiLowLines>
          <c:spPr>
            <a:ln w="0">
              <a:noFill/>
            </a:ln>
          </c:spPr>
        </c:hiLowLines>
        <c:marker val="0"/>
        <c:axId val="40011710"/>
        <c:axId val="62364292"/>
      </c:lineChart>
      <c:catAx>
        <c:axId val="40011710"/>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2364292"/>
        <c:crosses val="autoZero"/>
        <c:auto val="1"/>
        <c:lblAlgn val="ctr"/>
        <c:lblOffset val="100"/>
        <c:noMultiLvlLbl val="0"/>
      </c:catAx>
      <c:valAx>
        <c:axId val="6236429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0%"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4001171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Độ phủ theo nhóm yêu cầu (Số TC vs Đã chạy)</a:t>
            </a:r>
          </a:p>
        </c:rich>
      </c:tx>
      <c:overlay val="0"/>
      <c:spPr>
        <a:noFill/>
        <a:ln w="0">
          <a:noFill/>
        </a:ln>
      </c:spPr>
    </c:title>
    <c:autoTitleDeleted val="0"/>
    <c:plotArea>
      <c:barChart>
        <c:barDir val="col"/>
        <c:grouping val="clustered"/>
        <c:varyColors val="0"/>
        <c:ser>
          <c:idx val="0"/>
          <c:order val="0"/>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RTM!$AE$6:$AE$16</c:f>
              <c:numCache>
                <c:formatCode>General</c:formatCode>
                <c:ptCount val="11"/>
                <c:pt idx="0">
                  <c:v>10</c:v>
                </c:pt>
                <c:pt idx="1">
                  <c:v>13</c:v>
                </c:pt>
                <c:pt idx="2">
                  <c:v>16</c:v>
                </c:pt>
                <c:pt idx="3">
                  <c:v>51</c:v>
                </c:pt>
                <c:pt idx="4">
                  <c:v>5</c:v>
                </c:pt>
                <c:pt idx="5">
                  <c:v>8</c:v>
                </c:pt>
                <c:pt idx="6">
                  <c:v>12</c:v>
                </c:pt>
                <c:pt idx="7">
                  <c:v>9</c:v>
                </c:pt>
                <c:pt idx="8">
                  <c:v>50</c:v>
                </c:pt>
                <c:pt idx="9">
                  <c:v>17</c:v>
                </c:pt>
                <c:pt idx="10">
                  <c:v>40</c:v>
                </c:pt>
              </c:numCache>
            </c:numRef>
          </c:val>
        </c:ser>
        <c:ser>
          <c:idx val="1"/>
          <c:order val="1"/>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RTM!$AF$6:$AF$16</c:f>
              <c:numCache>
                <c:formatCode>General</c:formatCode>
                <c:ptCount val="11"/>
                <c:pt idx="0">
                  <c:v>10</c:v>
                </c:pt>
                <c:pt idx="1">
                  <c:v>0</c:v>
                </c:pt>
                <c:pt idx="2">
                  <c:v>0</c:v>
                </c:pt>
                <c:pt idx="3">
                  <c:v>0</c:v>
                </c:pt>
                <c:pt idx="4">
                  <c:v>0</c:v>
                </c:pt>
                <c:pt idx="5">
                  <c:v>0</c:v>
                </c:pt>
                <c:pt idx="6">
                  <c:v>0</c:v>
                </c:pt>
                <c:pt idx="7">
                  <c:v>0</c:v>
                </c:pt>
                <c:pt idx="8">
                  <c:v>0</c:v>
                </c:pt>
                <c:pt idx="9">
                  <c:v>0</c:v>
                </c:pt>
                <c:pt idx="10">
                  <c:v>0</c:v>
                </c:pt>
              </c:numCache>
            </c:numRef>
          </c:val>
        </c:ser>
        <c:gapWidth val="150"/>
        <c:overlap val="0"/>
        <c:axId val="16074839"/>
        <c:axId val="70326826"/>
      </c:barChart>
      <c:catAx>
        <c:axId val="1607483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Nhóm yêu cầu (Req ID)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0326826"/>
        <c:crosses val="autoZero"/>
        <c:auto val="1"/>
        <c:lblAlgn val="ctr"/>
        <c:lblOffset val="100"/>
        <c:noMultiLvlLbl val="0"/>
      </c:catAx>
      <c:valAx>
        <c:axId val="7032682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Test Case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607483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0"/>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 Id="rId9" Type="http://schemas.openxmlformats.org/officeDocument/2006/relationships/chart" Target="../charts/chart12.xml"/><Relationship Id="rId10" Type="http://schemas.openxmlformats.org/officeDocument/2006/relationships/chart" Target="../charts/chart13.xml"/><Relationship Id="rId11" Type="http://schemas.openxmlformats.org/officeDocument/2006/relationships/chart" Target="../charts/chart14.xml"/><Relationship Id="rId12" Type="http://schemas.openxmlformats.org/officeDocument/2006/relationships/chart" Target="../charts/chart15.xml"/><Relationship Id="rId13" Type="http://schemas.openxmlformats.org/officeDocument/2006/relationships/chart" Target="../charts/chart16.xml"/><Relationship Id="rId14" Type="http://schemas.openxmlformats.org/officeDocument/2006/relationships/chart" Target="../charts/chart17.xml"/>
</Relationships>
</file>

<file path=xl/drawings/_rels/drawing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66600</xdr:rowOff>
    </xdr:from>
    <xdr:to>
      <xdr:col>3</xdr:col>
      <xdr:colOff>156600</xdr:colOff>
      <xdr:row>3</xdr:row>
      <xdr:rowOff>158760</xdr:rowOff>
    </xdr:to>
    <xdr:pic>
      <xdr:nvPicPr>
        <xdr:cNvPr id="1" name="image1.png"/>
        <xdr:cNvPicPr/>
      </xdr:nvPicPr>
      <xdr:blipFill>
        <a:blip r:embed="rId1"/>
        <a:stretch/>
      </xdr:blipFill>
      <xdr:spPr>
        <a:xfrm>
          <a:off x="316080" y="66600"/>
          <a:ext cx="2025720" cy="10540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2</xdr:col>
      <xdr:colOff>827640</xdr:colOff>
      <xdr:row>2</xdr:row>
      <xdr:rowOff>291960</xdr:rowOff>
    </xdr:to>
    <xdr:pic>
      <xdr:nvPicPr>
        <xdr:cNvPr id="2" name="image1.png"/>
        <xdr:cNvPicPr/>
      </xdr:nvPicPr>
      <xdr:blipFill>
        <a:blip r:embed="rId1"/>
        <a:stretch/>
      </xdr:blipFill>
      <xdr:spPr>
        <a:xfrm>
          <a:off x="0" y="0"/>
          <a:ext cx="2025720" cy="105408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181080</xdr:colOff>
      <xdr:row>22</xdr:row>
      <xdr:rowOff>76320</xdr:rowOff>
    </xdr:from>
    <xdr:to>
      <xdr:col>6</xdr:col>
      <xdr:colOff>852120</xdr:colOff>
      <xdr:row>39</xdr:row>
      <xdr:rowOff>35280</xdr:rowOff>
    </xdr:to>
    <xdr:graphicFrame>
      <xdr:nvGraphicFramePr>
        <xdr:cNvPr id="3" name="Chart 1"/>
        <xdr:cNvGraphicFramePr/>
      </xdr:nvGraphicFramePr>
      <xdr:xfrm>
        <a:off x="181080" y="4953240"/>
        <a:ext cx="5816520" cy="3359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276120</xdr:colOff>
      <xdr:row>22</xdr:row>
      <xdr:rowOff>76320</xdr:rowOff>
    </xdr:from>
    <xdr:to>
      <xdr:col>13</xdr:col>
      <xdr:colOff>93960</xdr:colOff>
      <xdr:row>39</xdr:row>
      <xdr:rowOff>35280</xdr:rowOff>
    </xdr:to>
    <xdr:graphicFrame>
      <xdr:nvGraphicFramePr>
        <xdr:cNvPr id="4" name="Chart 2"/>
        <xdr:cNvGraphicFramePr/>
      </xdr:nvGraphicFramePr>
      <xdr:xfrm>
        <a:off x="6559560" y="4953240"/>
        <a:ext cx="5921280" cy="3359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714240</xdr:colOff>
      <xdr:row>40</xdr:row>
      <xdr:rowOff>190440</xdr:rowOff>
    </xdr:from>
    <xdr:to>
      <xdr:col>11</xdr:col>
      <xdr:colOff>1440</xdr:colOff>
      <xdr:row>54</xdr:row>
      <xdr:rowOff>129960</xdr:rowOff>
    </xdr:to>
    <xdr:graphicFrame>
      <xdr:nvGraphicFramePr>
        <xdr:cNvPr id="5" name="Chart 3"/>
        <xdr:cNvGraphicFramePr/>
      </xdr:nvGraphicFramePr>
      <xdr:xfrm>
        <a:off x="4308840" y="8667720"/>
        <a:ext cx="6045120" cy="3016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142920</xdr:colOff>
      <xdr:row>22</xdr:row>
      <xdr:rowOff>47520</xdr:rowOff>
    </xdr:from>
    <xdr:to>
      <xdr:col>5</xdr:col>
      <xdr:colOff>612000</xdr:colOff>
      <xdr:row>36</xdr:row>
      <xdr:rowOff>129960</xdr:rowOff>
    </xdr:to>
    <xdr:graphicFrame>
      <xdr:nvGraphicFramePr>
        <xdr:cNvPr id="6" name="Chart 1"/>
        <xdr:cNvGraphicFramePr/>
      </xdr:nvGraphicFramePr>
      <xdr:xfrm>
        <a:off x="142920" y="5124240"/>
        <a:ext cx="5292720" cy="2882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142920</xdr:colOff>
      <xdr:row>57</xdr:row>
      <xdr:rowOff>123840</xdr:rowOff>
    </xdr:from>
    <xdr:to>
      <xdr:col>13</xdr:col>
      <xdr:colOff>452160</xdr:colOff>
      <xdr:row>72</xdr:row>
      <xdr:rowOff>120240</xdr:rowOff>
    </xdr:to>
    <xdr:graphicFrame>
      <xdr:nvGraphicFramePr>
        <xdr:cNvPr id="7" name="Chart 2"/>
        <xdr:cNvGraphicFramePr/>
      </xdr:nvGraphicFramePr>
      <xdr:xfrm>
        <a:off x="7715160" y="12401640"/>
        <a:ext cx="5807160" cy="3101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847800</xdr:colOff>
      <xdr:row>98</xdr:row>
      <xdr:rowOff>190440</xdr:rowOff>
    </xdr:from>
    <xdr:to>
      <xdr:col>11</xdr:col>
      <xdr:colOff>8280</xdr:colOff>
      <xdr:row>113</xdr:row>
      <xdr:rowOff>120600</xdr:rowOff>
    </xdr:to>
    <xdr:graphicFrame>
      <xdr:nvGraphicFramePr>
        <xdr:cNvPr id="8" name="Chart 3"/>
        <xdr:cNvGraphicFramePr/>
      </xdr:nvGraphicFramePr>
      <xdr:xfrm>
        <a:off x="4754880" y="20907360"/>
        <a:ext cx="5292720" cy="29304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723960</xdr:colOff>
      <xdr:row>82</xdr:row>
      <xdr:rowOff>0</xdr:rowOff>
    </xdr:from>
    <xdr:to>
      <xdr:col>9</xdr:col>
      <xdr:colOff>518760</xdr:colOff>
      <xdr:row>95</xdr:row>
      <xdr:rowOff>141480</xdr:rowOff>
    </xdr:to>
    <xdr:graphicFrame>
      <xdr:nvGraphicFramePr>
        <xdr:cNvPr id="9" name="Chart 4"/>
        <xdr:cNvGraphicFramePr/>
      </xdr:nvGraphicFramePr>
      <xdr:xfrm>
        <a:off x="3714840" y="17382960"/>
        <a:ext cx="5292720" cy="28753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9360</xdr:colOff>
      <xdr:row>117</xdr:row>
      <xdr:rowOff>190440</xdr:rowOff>
    </xdr:from>
    <xdr:to>
      <xdr:col>9</xdr:col>
      <xdr:colOff>720360</xdr:colOff>
      <xdr:row>132</xdr:row>
      <xdr:rowOff>72720</xdr:rowOff>
    </xdr:to>
    <xdr:graphicFrame>
      <xdr:nvGraphicFramePr>
        <xdr:cNvPr id="10" name="Chart 5"/>
        <xdr:cNvGraphicFramePr/>
      </xdr:nvGraphicFramePr>
      <xdr:xfrm>
        <a:off x="3916440" y="24707880"/>
        <a:ext cx="5292720" cy="28825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847800</xdr:colOff>
      <xdr:row>134</xdr:row>
      <xdr:rowOff>190440</xdr:rowOff>
    </xdr:from>
    <xdr:to>
      <xdr:col>11</xdr:col>
      <xdr:colOff>8280</xdr:colOff>
      <xdr:row>149</xdr:row>
      <xdr:rowOff>73080</xdr:rowOff>
    </xdr:to>
    <xdr:graphicFrame>
      <xdr:nvGraphicFramePr>
        <xdr:cNvPr id="11" name="Chart 6"/>
        <xdr:cNvGraphicFramePr/>
      </xdr:nvGraphicFramePr>
      <xdr:xfrm>
        <a:off x="4754880" y="28108080"/>
        <a:ext cx="5292720" cy="28832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1724040</xdr:colOff>
      <xdr:row>150</xdr:row>
      <xdr:rowOff>190440</xdr:rowOff>
    </xdr:from>
    <xdr:to>
      <xdr:col>8</xdr:col>
      <xdr:colOff>602640</xdr:colOff>
      <xdr:row>165</xdr:row>
      <xdr:rowOff>73080</xdr:rowOff>
    </xdr:to>
    <xdr:graphicFrame>
      <xdr:nvGraphicFramePr>
        <xdr:cNvPr id="12" name="Chart 7"/>
        <xdr:cNvGraphicFramePr/>
      </xdr:nvGraphicFramePr>
      <xdr:xfrm>
        <a:off x="2882160" y="31308480"/>
        <a:ext cx="5292720" cy="28832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1724040</xdr:colOff>
      <xdr:row>166</xdr:row>
      <xdr:rowOff>181080</xdr:rowOff>
    </xdr:from>
    <xdr:to>
      <xdr:col>8</xdr:col>
      <xdr:colOff>602640</xdr:colOff>
      <xdr:row>180</xdr:row>
      <xdr:rowOff>63360</xdr:rowOff>
    </xdr:to>
    <xdr:graphicFrame>
      <xdr:nvGraphicFramePr>
        <xdr:cNvPr id="13" name="Chart 8"/>
        <xdr:cNvGraphicFramePr/>
      </xdr:nvGraphicFramePr>
      <xdr:xfrm>
        <a:off x="2882160" y="34499520"/>
        <a:ext cx="5292720" cy="26827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1724040</xdr:colOff>
      <xdr:row>182</xdr:row>
      <xdr:rowOff>190440</xdr:rowOff>
    </xdr:from>
    <xdr:to>
      <xdr:col>8</xdr:col>
      <xdr:colOff>602640</xdr:colOff>
      <xdr:row>196</xdr:row>
      <xdr:rowOff>72720</xdr:rowOff>
    </xdr:to>
    <xdr:graphicFrame>
      <xdr:nvGraphicFramePr>
        <xdr:cNvPr id="14" name="Chart 9"/>
        <xdr:cNvGraphicFramePr/>
      </xdr:nvGraphicFramePr>
      <xdr:xfrm>
        <a:off x="2882160" y="37709280"/>
        <a:ext cx="5292720" cy="26827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781200</xdr:colOff>
      <xdr:row>39</xdr:row>
      <xdr:rowOff>190440</xdr:rowOff>
    </xdr:from>
    <xdr:to>
      <xdr:col>15</xdr:col>
      <xdr:colOff>526680</xdr:colOff>
      <xdr:row>55</xdr:row>
      <xdr:rowOff>25200</xdr:rowOff>
    </xdr:to>
    <xdr:graphicFrame>
      <xdr:nvGraphicFramePr>
        <xdr:cNvPr id="15" name="Chart 10"/>
        <xdr:cNvGraphicFramePr/>
      </xdr:nvGraphicFramePr>
      <xdr:xfrm>
        <a:off x="10820520" y="8667720"/>
        <a:ext cx="4044960" cy="32353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xdr:col>
      <xdr:colOff>723960</xdr:colOff>
      <xdr:row>199</xdr:row>
      <xdr:rowOff>0</xdr:rowOff>
    </xdr:from>
    <xdr:to>
      <xdr:col>9</xdr:col>
      <xdr:colOff>414000</xdr:colOff>
      <xdr:row>215</xdr:row>
      <xdr:rowOff>34920</xdr:rowOff>
    </xdr:to>
    <xdr:graphicFrame>
      <xdr:nvGraphicFramePr>
        <xdr:cNvPr id="16" name="Chart 11"/>
        <xdr:cNvGraphicFramePr/>
      </xdr:nvGraphicFramePr>
      <xdr:xfrm>
        <a:off x="3714840" y="40919400"/>
        <a:ext cx="5187960" cy="32353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0</xdr:colOff>
      <xdr:row>217</xdr:row>
      <xdr:rowOff>198720</xdr:rowOff>
    </xdr:from>
    <xdr:to>
      <xdr:col>18</xdr:col>
      <xdr:colOff>852120</xdr:colOff>
      <xdr:row>228</xdr:row>
      <xdr:rowOff>71640</xdr:rowOff>
    </xdr:to>
    <xdr:graphicFrame>
      <xdr:nvGraphicFramePr>
        <xdr:cNvPr id="17" name="Chart 12"/>
        <xdr:cNvGraphicFramePr/>
      </xdr:nvGraphicFramePr>
      <xdr:xfrm>
        <a:off x="12435840" y="44718480"/>
        <a:ext cx="5807160" cy="33591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0</xdr:colOff>
      <xdr:row>229</xdr:row>
      <xdr:rowOff>47520</xdr:rowOff>
    </xdr:from>
    <xdr:to>
      <xdr:col>18</xdr:col>
      <xdr:colOff>852120</xdr:colOff>
      <xdr:row>247</xdr:row>
      <xdr:rowOff>82080</xdr:rowOff>
    </xdr:to>
    <xdr:graphicFrame>
      <xdr:nvGraphicFramePr>
        <xdr:cNvPr id="18" name="Chart 13"/>
        <xdr:cNvGraphicFramePr/>
      </xdr:nvGraphicFramePr>
      <xdr:xfrm>
        <a:off x="12435840" y="48253680"/>
        <a:ext cx="5807160" cy="36349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5</xdr:col>
      <xdr:colOff>514440</xdr:colOff>
      <xdr:row>229</xdr:row>
      <xdr:rowOff>47520</xdr:rowOff>
    </xdr:from>
    <xdr:to>
      <xdr:col>11</xdr:col>
      <xdr:colOff>1105920</xdr:colOff>
      <xdr:row>247</xdr:row>
      <xdr:rowOff>82080</xdr:rowOff>
    </xdr:to>
    <xdr:graphicFrame>
      <xdr:nvGraphicFramePr>
        <xdr:cNvPr id="19" name="Chart 14"/>
        <xdr:cNvGraphicFramePr/>
      </xdr:nvGraphicFramePr>
      <xdr:xfrm>
        <a:off x="5338080" y="48253680"/>
        <a:ext cx="5807160" cy="36349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162000</xdr:colOff>
      <xdr:row>5</xdr:row>
      <xdr:rowOff>0</xdr:rowOff>
    </xdr:from>
    <xdr:to>
      <xdr:col>17</xdr:col>
      <xdr:colOff>558720</xdr:colOff>
      <xdr:row>10</xdr:row>
      <xdr:rowOff>79920</xdr:rowOff>
    </xdr:to>
    <xdr:graphicFrame>
      <xdr:nvGraphicFramePr>
        <xdr:cNvPr id="20" name="Chart 1"/>
        <xdr:cNvGraphicFramePr/>
      </xdr:nvGraphicFramePr>
      <xdr:xfrm>
        <a:off x="10593720" y="990720"/>
        <a:ext cx="5483160" cy="3127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100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16"/>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15.75" hidden="false" customHeight="true" outlineLevel="0" collapsed="false">
      <c r="I3" s="1"/>
    </row>
    <row r="4" customFormat="false" ht="15" hidden="false" customHeight="true" outlineLevel="0" collapsed="false">
      <c r="I4" s="1"/>
    </row>
    <row r="5" customFormat="false" ht="15" hidden="false" customHeight="true" outlineLevel="0" collapsed="false">
      <c r="I5" s="1"/>
    </row>
    <row r="6" customFormat="false" ht="33.75" hidden="false" customHeight="true" outlineLevel="0" collapsed="false">
      <c r="B6" s="3" t="s">
        <v>0</v>
      </c>
      <c r="C6" s="3"/>
      <c r="D6" s="3"/>
      <c r="E6" s="3"/>
      <c r="F6" s="3"/>
      <c r="G6" s="3"/>
      <c r="H6" s="3"/>
      <c r="I6" s="1"/>
    </row>
    <row r="7" customFormat="false" ht="15" hidden="false" customHeight="true" outlineLevel="0" collapsed="false">
      <c r="I7" s="1"/>
    </row>
    <row r="8" customFormat="false" ht="38.25" hidden="false" customHeight="true" outlineLevel="0" collapsed="false">
      <c r="B8" s="4" t="s">
        <v>1</v>
      </c>
      <c r="C8" s="4"/>
      <c r="D8" s="4"/>
      <c r="E8" s="4"/>
      <c r="F8" s="4"/>
      <c r="G8" s="4"/>
      <c r="H8" s="4"/>
      <c r="I8" s="1"/>
    </row>
    <row r="9" customFormat="false" ht="15.75" hidden="false" customHeight="true" outlineLevel="0" collapsed="false">
      <c r="B9" s="5" t="s">
        <v>2</v>
      </c>
      <c r="C9" s="5"/>
      <c r="D9" s="5"/>
      <c r="E9" s="5"/>
      <c r="F9" s="5"/>
      <c r="G9" s="5"/>
      <c r="H9" s="5"/>
      <c r="I9" s="1"/>
    </row>
    <row r="10" customFormat="false" ht="15" hidden="false" customHeight="true" outlineLevel="0" collapsed="false">
      <c r="I10" s="1"/>
    </row>
    <row r="11" customFormat="false" ht="15" hidden="false" customHeight="true" outlineLevel="0" collapsed="false">
      <c r="I11" s="1"/>
    </row>
    <row r="12" customFormat="false" ht="21.75" hidden="false" customHeight="true" outlineLevel="0" collapsed="false">
      <c r="C12" s="6" t="s">
        <v>3</v>
      </c>
      <c r="D12" s="6"/>
      <c r="E12" s="7" t="s">
        <v>4</v>
      </c>
      <c r="F12" s="7"/>
      <c r="G12" s="7"/>
    </row>
    <row r="13" customFormat="false" ht="21.75" hidden="false" customHeight="true" outlineLevel="0" collapsed="false">
      <c r="C13" s="6" t="s">
        <v>5</v>
      </c>
      <c r="D13" s="6"/>
      <c r="E13" s="7" t="s">
        <v>6</v>
      </c>
      <c r="F13" s="7"/>
      <c r="G13" s="7"/>
    </row>
    <row r="14" customFormat="false" ht="15" hidden="false" customHeight="true" outlineLevel="0" collapsed="false">
      <c r="I14" s="1"/>
    </row>
    <row r="15" customFormat="false" ht="15" hidden="false" customHeight="true" outlineLevel="0" collapsed="false">
      <c r="B15" s="8" t="s">
        <v>7</v>
      </c>
      <c r="C15" s="8"/>
      <c r="D15" s="8"/>
      <c r="E15" s="8"/>
      <c r="F15" s="8"/>
      <c r="G15" s="8"/>
      <c r="H15" s="8"/>
      <c r="I15" s="1"/>
    </row>
    <row r="16" customFormat="false" ht="15" hidden="false" customHeight="true" outlineLevel="0" collapsed="false">
      <c r="B16" s="9" t="s">
        <v>8</v>
      </c>
      <c r="C16" s="9"/>
      <c r="D16" s="9"/>
      <c r="E16" s="9"/>
      <c r="F16" s="9"/>
      <c r="G16" s="9"/>
      <c r="H16" s="9"/>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I18" s="1"/>
    </row>
    <row r="19" customFormat="false" ht="15.7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F2:H2"/>
    <mergeCell ref="B6:H6"/>
    <mergeCell ref="B8:H8"/>
    <mergeCell ref="B9:H9"/>
    <mergeCell ref="C12:D12"/>
    <mergeCell ref="E12:G12"/>
    <mergeCell ref="C13:D13"/>
    <mergeCell ref="E13:G13"/>
    <mergeCell ref="B15:H15"/>
    <mergeCell ref="B16:H16"/>
    <mergeCell ref="B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70"/>
    <col collapsed="false" customWidth="true" hidden="false" outlineLevel="0" max="6" min="4" style="1" width="8.71"/>
  </cols>
  <sheetData>
    <row r="2" customFormat="false" ht="33" hidden="false" customHeight="true" outlineLevel="0" collapsed="false">
      <c r="A2" s="10"/>
      <c r="B2" s="11" t="s">
        <v>9</v>
      </c>
      <c r="C2" s="11"/>
      <c r="D2" s="10"/>
      <c r="E2" s="10"/>
      <c r="F2" s="10"/>
      <c r="G2" s="10"/>
      <c r="H2" s="10"/>
      <c r="I2" s="10"/>
      <c r="J2" s="10"/>
      <c r="K2" s="10"/>
      <c r="L2" s="10"/>
      <c r="M2" s="10"/>
      <c r="N2" s="10"/>
      <c r="O2" s="10"/>
      <c r="P2" s="10"/>
      <c r="Q2" s="10"/>
      <c r="R2" s="10"/>
      <c r="S2" s="10"/>
      <c r="T2" s="10"/>
      <c r="U2" s="10"/>
      <c r="V2" s="10"/>
      <c r="W2" s="10"/>
      <c r="X2" s="10"/>
      <c r="Y2" s="10"/>
      <c r="Z2" s="10"/>
    </row>
    <row r="3" customFormat="false" ht="39.75" hidden="false" customHeight="true" outlineLevel="0" collapsed="false">
      <c r="B3" s="12" t="s">
        <v>10</v>
      </c>
      <c r="C3" s="13" t="s">
        <v>11</v>
      </c>
    </row>
    <row r="4" customFormat="false" ht="15" hidden="false" customHeight="true" outlineLevel="0" collapsed="false">
      <c r="B4" s="12" t="s">
        <v>12</v>
      </c>
      <c r="C4" s="13" t="s">
        <v>13</v>
      </c>
    </row>
    <row r="5" customFormat="false" ht="15" hidden="false" customHeight="true" outlineLevel="0" collapsed="false">
      <c r="B5" s="12" t="s">
        <v>14</v>
      </c>
      <c r="C5" s="13" t="s">
        <v>15</v>
      </c>
    </row>
    <row r="6" customFormat="false" ht="15" hidden="false" customHeight="true" outlineLevel="0" collapsed="false">
      <c r="B6" s="12" t="s">
        <v>16</v>
      </c>
      <c r="C6" s="13" t="s">
        <v>17</v>
      </c>
    </row>
    <row r="7" customFormat="false" ht="23.25" hidden="false" customHeight="true" outlineLevel="0" collapsed="false">
      <c r="B7" s="12" t="s">
        <v>18</v>
      </c>
      <c r="C7" s="13" t="s">
        <v>19</v>
      </c>
    </row>
    <row r="10" customFormat="false" ht="33" hidden="false" customHeight="true" outlineLevel="0" collapsed="false">
      <c r="A10" s="10"/>
      <c r="B10" s="11" t="s">
        <v>20</v>
      </c>
      <c r="C10" s="11"/>
      <c r="D10" s="10"/>
      <c r="E10" s="10"/>
      <c r="F10" s="10"/>
      <c r="G10" s="10"/>
      <c r="H10" s="10"/>
      <c r="I10" s="10"/>
      <c r="J10" s="10"/>
      <c r="K10" s="10"/>
      <c r="L10" s="10"/>
      <c r="M10" s="10"/>
      <c r="N10" s="10"/>
      <c r="O10" s="10"/>
      <c r="P10" s="10"/>
      <c r="Q10" s="10"/>
      <c r="R10" s="10"/>
      <c r="S10" s="10"/>
      <c r="T10" s="10"/>
      <c r="U10" s="10"/>
      <c r="V10" s="10"/>
      <c r="W10" s="10"/>
      <c r="X10" s="10"/>
      <c r="Y10" s="10"/>
      <c r="Z10" s="10"/>
    </row>
    <row r="11" customFormat="false" ht="15" hidden="false" customHeight="true" outlineLevel="0" collapsed="false">
      <c r="B11" s="14" t="s">
        <v>21</v>
      </c>
      <c r="C11" s="15" t="s">
        <v>22</v>
      </c>
    </row>
    <row r="12" customFormat="false" ht="15" hidden="false" customHeight="true" outlineLevel="0" collapsed="false">
      <c r="B12" s="12" t="s">
        <v>23</v>
      </c>
      <c r="C12" s="13" t="s">
        <v>24</v>
      </c>
    </row>
    <row r="13" customFormat="false" ht="15" hidden="false" customHeight="true" outlineLevel="0" collapsed="false">
      <c r="B13" s="12" t="s">
        <v>25</v>
      </c>
      <c r="C13" s="13" t="s">
        <v>26</v>
      </c>
    </row>
    <row r="14" customFormat="false" ht="15" hidden="false" customHeight="true" outlineLevel="0" collapsed="false">
      <c r="B14" s="12" t="s">
        <v>27</v>
      </c>
      <c r="C14" s="13" t="s">
        <v>28</v>
      </c>
    </row>
    <row r="15" customFormat="false" ht="15" hidden="false" customHeight="true" outlineLevel="0" collapsed="false">
      <c r="B15" s="12" t="s">
        <v>29</v>
      </c>
      <c r="C15" s="13" t="s">
        <v>30</v>
      </c>
    </row>
    <row r="16" customFormat="false" ht="15" hidden="false" customHeight="true" outlineLevel="0" collapsed="false">
      <c r="B16" s="16"/>
      <c r="C16" s="17"/>
    </row>
    <row r="17" customFormat="false" ht="15" hidden="false" customHeight="true" outlineLevel="0" collapsed="false">
      <c r="B17" s="16"/>
      <c r="C17" s="17"/>
    </row>
    <row r="18" customFormat="false" ht="33" hidden="false" customHeight="true" outlineLevel="0" collapsed="false">
      <c r="A18" s="10"/>
      <c r="B18" s="11" t="s">
        <v>31</v>
      </c>
      <c r="C18" s="11"/>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true" outlineLevel="0" collapsed="false">
      <c r="B19" s="14" t="s">
        <v>32</v>
      </c>
      <c r="C19" s="15" t="s">
        <v>22</v>
      </c>
    </row>
    <row r="20" customFormat="false" ht="15" hidden="false" customHeight="true" outlineLevel="0" collapsed="false">
      <c r="B20" s="12" t="s">
        <v>33</v>
      </c>
      <c r="C20" s="13" t="s">
        <v>34</v>
      </c>
    </row>
    <row r="21" customFormat="false" ht="15.75" hidden="false" customHeight="true" outlineLevel="0" collapsed="false">
      <c r="B21" s="12" t="s">
        <v>35</v>
      </c>
      <c r="C21" s="13" t="s">
        <v>36</v>
      </c>
    </row>
    <row r="22" customFormat="false" ht="15.75" hidden="false" customHeight="true" outlineLevel="0" collapsed="false">
      <c r="B22" s="12" t="s">
        <v>37</v>
      </c>
      <c r="C22" s="13" t="s">
        <v>38</v>
      </c>
    </row>
    <row r="23" customFormat="false" ht="15.75" hidden="false" customHeight="true" outlineLevel="0" collapsed="false"/>
    <row r="24" customFormat="false" ht="15.75" hidden="false" customHeight="true" outlineLevel="0" collapsed="false"/>
    <row r="25" customFormat="false" ht="33" hidden="false" customHeight="true" outlineLevel="0" collapsed="false">
      <c r="A25" s="10"/>
      <c r="B25" s="11" t="s">
        <v>39</v>
      </c>
      <c r="C25" s="11"/>
      <c r="D25" s="10"/>
      <c r="E25" s="10"/>
      <c r="F25" s="10"/>
      <c r="G25" s="10"/>
      <c r="H25" s="10"/>
      <c r="I25" s="10"/>
      <c r="J25" s="10"/>
      <c r="K25" s="10"/>
      <c r="L25" s="10"/>
      <c r="M25" s="10"/>
      <c r="N25" s="10"/>
      <c r="O25" s="10"/>
      <c r="P25" s="10"/>
      <c r="Q25" s="10"/>
      <c r="R25" s="10"/>
      <c r="S25" s="10"/>
      <c r="T25" s="10"/>
      <c r="U25" s="10"/>
      <c r="V25" s="10"/>
      <c r="W25" s="10"/>
      <c r="X25" s="10"/>
      <c r="Y25" s="10"/>
      <c r="Z25" s="10"/>
    </row>
    <row r="26" customFormat="false" ht="15.75" hidden="false" customHeight="true" outlineLevel="0" collapsed="false">
      <c r="B26" s="14" t="s">
        <v>40</v>
      </c>
      <c r="C26" s="15" t="s">
        <v>22</v>
      </c>
    </row>
    <row r="27" customFormat="false" ht="15.75" hidden="false" customHeight="true" outlineLevel="0" collapsed="false">
      <c r="B27" s="12" t="s">
        <v>41</v>
      </c>
      <c r="C27" s="13" t="s">
        <v>42</v>
      </c>
    </row>
    <row r="28" customFormat="false" ht="15.75" hidden="false" customHeight="true" outlineLevel="0" collapsed="false">
      <c r="B28" s="12" t="s">
        <v>43</v>
      </c>
      <c r="C28" s="13" t="s">
        <v>44</v>
      </c>
    </row>
    <row r="29" customFormat="false" ht="15.75" hidden="false" customHeight="true" outlineLevel="0" collapsed="false">
      <c r="B29" s="12" t="s">
        <v>45</v>
      </c>
      <c r="C29" s="13" t="s">
        <v>46</v>
      </c>
    </row>
    <row r="30" customFormat="false" ht="15.75" hidden="false" customHeight="true" outlineLevel="0" collapsed="false">
      <c r="B30" s="12" t="s">
        <v>47</v>
      </c>
      <c r="C30" s="13" t="s">
        <v>48</v>
      </c>
    </row>
    <row r="31" customFormat="false" ht="15.75" hidden="false" customHeight="true" outlineLevel="0" collapsed="false">
      <c r="B31" s="16"/>
      <c r="C31" s="17"/>
    </row>
    <row r="32" customFormat="false" ht="15.75" hidden="false" customHeight="true" outlineLevel="0" collapsed="false"/>
    <row r="33" customFormat="false" ht="33" hidden="false" customHeight="true" outlineLevel="0" collapsed="false">
      <c r="A33" s="10"/>
      <c r="B33" s="11" t="s">
        <v>49</v>
      </c>
      <c r="C33" s="11"/>
      <c r="D33" s="10"/>
      <c r="E33" s="10"/>
      <c r="F33" s="10"/>
      <c r="G33" s="10"/>
      <c r="H33" s="10"/>
      <c r="I33" s="10"/>
      <c r="J33" s="10"/>
      <c r="K33" s="10"/>
      <c r="L33" s="10"/>
      <c r="M33" s="10"/>
      <c r="N33" s="10"/>
      <c r="O33" s="10"/>
      <c r="P33" s="10"/>
      <c r="Q33" s="10"/>
      <c r="R33" s="10"/>
      <c r="S33" s="10"/>
      <c r="T33" s="10"/>
      <c r="U33" s="10"/>
      <c r="V33" s="10"/>
      <c r="W33" s="10"/>
      <c r="X33" s="10"/>
      <c r="Y33" s="10"/>
      <c r="Z33" s="10"/>
    </row>
    <row r="34" customFormat="false" ht="15.75" hidden="false" customHeight="true" outlineLevel="0" collapsed="false">
      <c r="B34" s="12" t="s">
        <v>50</v>
      </c>
      <c r="C34" s="13" t="s">
        <v>51</v>
      </c>
    </row>
    <row r="35" customFormat="false" ht="15.75" hidden="false" customHeight="true" outlineLevel="0" collapsed="false">
      <c r="B35" s="12" t="s">
        <v>52</v>
      </c>
      <c r="C35" s="13" t="s">
        <v>53</v>
      </c>
    </row>
    <row r="36" customFormat="false" ht="15.75" hidden="false" customHeight="true" outlineLevel="0" collapsed="false">
      <c r="B36" s="12" t="s">
        <v>54</v>
      </c>
      <c r="C36" s="13" t="s">
        <v>55</v>
      </c>
    </row>
    <row r="37" customFormat="false" ht="15.75" hidden="false" customHeight="true" outlineLevel="0" collapsed="false">
      <c r="B37" s="12" t="s">
        <v>56</v>
      </c>
      <c r="C37" s="13" t="s">
        <v>57</v>
      </c>
    </row>
    <row r="38" customFormat="false" ht="15.75" hidden="false" customHeight="true" outlineLevel="0" collapsed="false"/>
    <row r="39" customFormat="false" ht="33" hidden="false" customHeight="true" outlineLevel="0" collapsed="false">
      <c r="A39" s="10"/>
      <c r="B39" s="11" t="s">
        <v>58</v>
      </c>
      <c r="C39" s="11"/>
      <c r="D39" s="10"/>
      <c r="E39" s="10"/>
      <c r="F39" s="10"/>
      <c r="G39" s="10"/>
      <c r="H39" s="10"/>
      <c r="I39" s="10"/>
      <c r="J39" s="10"/>
      <c r="K39" s="10"/>
      <c r="L39" s="10"/>
      <c r="M39" s="10"/>
      <c r="N39" s="10"/>
      <c r="O39" s="10"/>
      <c r="P39" s="10"/>
      <c r="Q39" s="10"/>
      <c r="R39" s="10"/>
      <c r="S39" s="10"/>
      <c r="T39" s="10"/>
      <c r="U39" s="10"/>
      <c r="V39" s="10"/>
      <c r="W39" s="10"/>
      <c r="X39" s="10"/>
      <c r="Y39" s="10"/>
      <c r="Z39" s="10"/>
    </row>
    <row r="40" customFormat="false" ht="15.75" hidden="false" customHeight="true" outlineLevel="0" collapsed="false">
      <c r="B40" s="18" t="s">
        <v>59</v>
      </c>
      <c r="C40" s="18"/>
    </row>
    <row r="41" customFormat="false" ht="15.75" hidden="false" customHeight="true" outlineLevel="0" collapsed="false">
      <c r="B41" s="12" t="s">
        <v>60</v>
      </c>
      <c r="C41" s="13" t="s">
        <v>61</v>
      </c>
    </row>
    <row r="42" customFormat="false" ht="15.75" hidden="false" customHeight="true" outlineLevel="0" collapsed="false">
      <c r="B42" s="12" t="s">
        <v>62</v>
      </c>
      <c r="C42" s="13" t="s">
        <v>63</v>
      </c>
    </row>
    <row r="43" customFormat="false" ht="15.75" hidden="false" customHeight="true" outlineLevel="0" collapsed="false">
      <c r="B43" s="12" t="s">
        <v>64</v>
      </c>
      <c r="C43" s="13" t="s">
        <v>65</v>
      </c>
    </row>
    <row r="44" customFormat="false" ht="15.75" hidden="false" customHeight="true" outlineLevel="0" collapsed="false">
      <c r="B44" s="12" t="s">
        <v>66</v>
      </c>
      <c r="C44" s="13" t="s">
        <v>67</v>
      </c>
    </row>
    <row r="45" customFormat="false" ht="15.75" hidden="false" customHeight="true" outlineLevel="0" collapsed="false">
      <c r="B45" s="12" t="s">
        <v>68</v>
      </c>
      <c r="C45" s="13" t="s">
        <v>69</v>
      </c>
    </row>
    <row r="46" customFormat="false" ht="15.75" hidden="false" customHeight="true" outlineLevel="0" collapsed="false">
      <c r="B46" s="12" t="s">
        <v>70</v>
      </c>
      <c r="C46" s="13" t="s">
        <v>71</v>
      </c>
    </row>
    <row r="47" customFormat="false" ht="15.75" hidden="false" customHeight="true" outlineLevel="0" collapsed="false">
      <c r="B47" s="12" t="s">
        <v>72</v>
      </c>
      <c r="C47" s="13" t="s">
        <v>73</v>
      </c>
    </row>
    <row r="48" customFormat="false" ht="15.75" hidden="false" customHeight="true" outlineLevel="0" collapsed="false"/>
    <row r="49" customFormat="false" ht="15.75" hidden="false" customHeight="true" outlineLevel="0" collapsed="false">
      <c r="B49" s="11" t="s">
        <v>74</v>
      </c>
      <c r="C49" s="11"/>
    </row>
    <row r="50" customFormat="false" ht="15.75" hidden="false" customHeight="true" outlineLevel="0" collapsed="false">
      <c r="B50" s="12" t="s">
        <v>75</v>
      </c>
      <c r="C50" s="13" t="s">
        <v>76</v>
      </c>
    </row>
    <row r="51" customFormat="false" ht="15.75" hidden="false" customHeight="true" outlineLevel="0" collapsed="false">
      <c r="B51" s="12" t="s">
        <v>50</v>
      </c>
      <c r="C51" s="13" t="s">
        <v>77</v>
      </c>
    </row>
    <row r="52" customFormat="false" ht="15.75" hidden="false" customHeight="true" outlineLevel="0" collapsed="false">
      <c r="B52" s="12" t="s">
        <v>78</v>
      </c>
      <c r="C52" s="13" t="s">
        <v>79</v>
      </c>
    </row>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2:C2"/>
    <mergeCell ref="B10:C10"/>
    <mergeCell ref="B18:C18"/>
    <mergeCell ref="B25:C25"/>
    <mergeCell ref="B33:C33"/>
    <mergeCell ref="B39:C39"/>
    <mergeCell ref="B40:C40"/>
    <mergeCell ref="B49:C49"/>
  </mergeCells>
  <conditionalFormatting sqref="B12:B15">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48"/>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33.75" hidden="false" customHeight="true" outlineLevel="0" collapsed="false">
      <c r="D3" s="19" t="s">
        <v>80</v>
      </c>
      <c r="I3" s="1"/>
    </row>
    <row r="4" customFormat="false" ht="15" hidden="false" customHeight="true" outlineLevel="0" collapsed="false">
      <c r="I4" s="1"/>
    </row>
    <row r="5" customFormat="false" ht="15" hidden="false" customHeight="true" outlineLevel="0" collapsed="false">
      <c r="I5" s="1"/>
    </row>
    <row r="6" customFormat="false" ht="18.75" hidden="false" customHeight="true" outlineLevel="0" collapsed="false">
      <c r="A6" s="20"/>
      <c r="B6" s="21" t="s">
        <v>81</v>
      </c>
      <c r="C6" s="21" t="s">
        <v>82</v>
      </c>
      <c r="D6" s="21" t="s">
        <v>83</v>
      </c>
      <c r="E6" s="21" t="s">
        <v>84</v>
      </c>
      <c r="F6" s="21" t="s">
        <v>85</v>
      </c>
      <c r="G6" s="21" t="s">
        <v>86</v>
      </c>
      <c r="H6" s="20"/>
      <c r="I6" s="20"/>
      <c r="J6" s="20"/>
      <c r="K6" s="20"/>
      <c r="L6" s="20"/>
      <c r="M6" s="20"/>
      <c r="N6" s="20"/>
      <c r="O6" s="20"/>
      <c r="P6" s="20"/>
      <c r="Q6" s="20"/>
      <c r="R6" s="20"/>
      <c r="S6" s="20"/>
      <c r="T6" s="20"/>
      <c r="U6" s="20"/>
      <c r="V6" s="20"/>
      <c r="W6" s="20"/>
      <c r="X6" s="20"/>
      <c r="Y6" s="20"/>
      <c r="Z6" s="20"/>
    </row>
    <row r="7" customFormat="false" ht="38.25" hidden="false" customHeight="true" outlineLevel="0" collapsed="false">
      <c r="A7" s="22"/>
      <c r="B7" s="23" t="n">
        <v>46203</v>
      </c>
      <c r="C7" s="24" t="n">
        <v>1</v>
      </c>
      <c r="D7" s="25" t="s">
        <v>87</v>
      </c>
      <c r="E7" s="25" t="s">
        <v>88</v>
      </c>
      <c r="F7" s="26" t="s">
        <v>89</v>
      </c>
      <c r="G7" s="27" t="s">
        <v>90</v>
      </c>
      <c r="H7" s="28"/>
      <c r="I7" s="22"/>
      <c r="J7" s="22"/>
      <c r="K7" s="22"/>
      <c r="L7" s="22"/>
      <c r="M7" s="22"/>
      <c r="N7" s="22"/>
      <c r="O7" s="22"/>
      <c r="P7" s="22"/>
      <c r="Q7" s="22"/>
      <c r="R7" s="22"/>
      <c r="S7" s="22"/>
      <c r="T7" s="22"/>
      <c r="U7" s="22"/>
      <c r="V7" s="22"/>
      <c r="W7" s="22"/>
      <c r="X7" s="22"/>
      <c r="Y7" s="22"/>
      <c r="Z7" s="22"/>
    </row>
    <row r="8" customFormat="false" ht="38.25" hidden="false" customHeight="true" outlineLevel="0" collapsed="false">
      <c r="A8" s="22"/>
      <c r="B8" s="23"/>
      <c r="C8" s="24"/>
      <c r="D8" s="25"/>
      <c r="E8" s="25"/>
      <c r="F8" s="26"/>
      <c r="G8" s="27"/>
      <c r="H8" s="28"/>
      <c r="I8" s="22"/>
      <c r="J8" s="22"/>
      <c r="K8" s="22"/>
      <c r="L8" s="22"/>
      <c r="M8" s="22"/>
      <c r="N8" s="22"/>
      <c r="O8" s="22"/>
      <c r="P8" s="22"/>
      <c r="Q8" s="22"/>
      <c r="R8" s="22"/>
      <c r="S8" s="22"/>
      <c r="T8" s="22"/>
      <c r="U8" s="22"/>
      <c r="V8" s="22"/>
      <c r="W8" s="22"/>
      <c r="X8" s="22"/>
      <c r="Y8" s="22"/>
      <c r="Z8" s="22"/>
    </row>
    <row r="9" customFormat="false" ht="38.25" hidden="false" customHeight="true" outlineLevel="0" collapsed="false">
      <c r="B9" s="29"/>
      <c r="C9" s="30"/>
      <c r="D9" s="30"/>
      <c r="E9" s="30"/>
      <c r="F9" s="31"/>
      <c r="G9" s="32"/>
      <c r="H9" s="28"/>
      <c r="I9" s="1"/>
    </row>
    <row r="10" customFormat="false" ht="38.25" hidden="false" customHeight="true" outlineLevel="0" collapsed="false">
      <c r="B10" s="29"/>
      <c r="C10" s="30"/>
      <c r="D10" s="30"/>
      <c r="E10" s="30"/>
      <c r="F10" s="31"/>
      <c r="G10" s="32"/>
      <c r="H10" s="28"/>
      <c r="I10" s="1"/>
    </row>
    <row r="11" customFormat="false" ht="38.25" hidden="false" customHeight="true" outlineLevel="0" collapsed="false">
      <c r="B11" s="29"/>
      <c r="C11" s="30"/>
      <c r="D11" s="30"/>
      <c r="E11" s="30"/>
      <c r="F11" s="31"/>
      <c r="G11" s="32"/>
      <c r="H11" s="28"/>
      <c r="I11" s="1"/>
    </row>
    <row r="12" customFormat="false" ht="38.25" hidden="false" customHeight="true" outlineLevel="0" collapsed="false">
      <c r="B12" s="29"/>
      <c r="C12" s="30"/>
      <c r="D12" s="30"/>
      <c r="E12" s="30"/>
      <c r="F12" s="31"/>
      <c r="G12" s="32"/>
      <c r="H12" s="28"/>
      <c r="I12" s="1"/>
    </row>
    <row r="13" customFormat="false" ht="38.25" hidden="false" customHeight="true" outlineLevel="0" collapsed="false">
      <c r="B13" s="29"/>
      <c r="C13" s="30"/>
      <c r="D13" s="30"/>
      <c r="E13" s="30"/>
      <c r="F13" s="31"/>
      <c r="G13" s="32"/>
      <c r="H13" s="28"/>
      <c r="I13" s="1"/>
    </row>
    <row r="14" customFormat="false" ht="38.25" hidden="false" customHeight="true" outlineLevel="0" collapsed="false">
      <c r="B14" s="29"/>
      <c r="C14" s="30"/>
      <c r="D14" s="30"/>
      <c r="E14" s="30"/>
      <c r="F14" s="31"/>
      <c r="G14" s="32"/>
      <c r="H14" s="28"/>
      <c r="I14" s="1"/>
    </row>
    <row r="15" customFormat="false" ht="15" hidden="false" customHeight="true" outlineLevel="0" collapsed="false">
      <c r="I15" s="1"/>
    </row>
    <row r="16" customFormat="false" ht="15" hidden="false" customHeight="true" outlineLevel="0" collapsed="false">
      <c r="B16" s="8"/>
      <c r="C16" s="8"/>
      <c r="D16" s="8"/>
      <c r="E16" s="8"/>
      <c r="F16" s="8"/>
      <c r="G16" s="8"/>
      <c r="H16" s="8"/>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B18" s="9"/>
      <c r="C18" s="9"/>
      <c r="D18" s="9"/>
      <c r="E18" s="9"/>
      <c r="F18" s="9"/>
      <c r="G18" s="9"/>
      <c r="H18" s="9"/>
      <c r="I18" s="1"/>
    </row>
    <row r="19" customFormat="false" ht="1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c r="I219" s="1"/>
    </row>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F2:H2"/>
    <mergeCell ref="B16:H16"/>
    <mergeCell ref="B17:H17"/>
    <mergeCell ref="B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00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J12" activeCellId="0" sqref="J12"/>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6" min="3" style="1" width="11"/>
    <col collapsed="false" customWidth="true" hidden="false" outlineLevel="0" max="7" min="7" style="1" width="16.14"/>
  </cols>
  <sheetData>
    <row r="2" customFormat="false" ht="20.25" hidden="false" customHeight="true" outlineLevel="0" collapsed="false">
      <c r="B2" s="33" t="s">
        <v>91</v>
      </c>
    </row>
    <row r="3" customFormat="false" ht="15" hidden="false" customHeight="true" outlineLevel="0" collapsed="false">
      <c r="B3" s="34" t="s">
        <v>92</v>
      </c>
    </row>
    <row r="5" customFormat="false" ht="40.5" hidden="false" customHeight="true" outlineLevel="0" collapsed="false">
      <c r="B5" s="35" t="s">
        <v>93</v>
      </c>
      <c r="C5" s="35"/>
      <c r="D5" s="35"/>
      <c r="E5" s="35"/>
    </row>
    <row r="6" customFormat="false" ht="15" hidden="false" customHeight="true" outlineLevel="0" collapsed="false">
      <c r="B6" s="36" t="s">
        <v>94</v>
      </c>
      <c r="C6" s="37" t="s">
        <v>95</v>
      </c>
      <c r="D6" s="37"/>
      <c r="E6" s="37"/>
    </row>
    <row r="7" customFormat="false" ht="15" hidden="false" customHeight="true" outlineLevel="0" collapsed="false">
      <c r="B7" s="36" t="s">
        <v>96</v>
      </c>
      <c r="C7" s="38" t="s">
        <v>4</v>
      </c>
      <c r="D7" s="38"/>
      <c r="E7" s="38"/>
    </row>
    <row r="8" customFormat="false" ht="15" hidden="false" customHeight="true" outlineLevel="0" collapsed="false">
      <c r="B8" s="36" t="s">
        <v>82</v>
      </c>
      <c r="C8" s="37" t="s">
        <v>6</v>
      </c>
      <c r="D8" s="37"/>
      <c r="E8" s="37"/>
    </row>
    <row r="9" customFormat="false" ht="15" hidden="false" customHeight="true" outlineLevel="0" collapsed="false">
      <c r="B9" s="36" t="s">
        <v>97</v>
      </c>
      <c r="C9" s="37"/>
      <c r="D9" s="37"/>
      <c r="E9" s="37"/>
    </row>
    <row r="10" customFormat="false" ht="15" hidden="false" customHeight="true" outlineLevel="0" collapsed="false">
      <c r="B10" s="36" t="s">
        <v>98</v>
      </c>
      <c r="C10" s="39" t="s">
        <v>99</v>
      </c>
      <c r="D10" s="39"/>
      <c r="E10" s="39"/>
    </row>
    <row r="11" customFormat="false" ht="15" hidden="false" customHeight="true" outlineLevel="0" collapsed="false">
      <c r="B11" s="36" t="s">
        <v>100</v>
      </c>
      <c r="C11" s="39" t="s">
        <v>101</v>
      </c>
      <c r="D11" s="39"/>
      <c r="E11" s="39"/>
    </row>
    <row r="12" customFormat="false" ht="15" hidden="false" customHeight="true" outlineLevel="0" collapsed="false">
      <c r="B12" s="36" t="s">
        <v>102</v>
      </c>
      <c r="C12" s="37" t="n">
        <f aca="false">COUNTIF(Dashboard!$D$4:$D$33,"?*")</f>
        <v>11</v>
      </c>
      <c r="D12" s="37"/>
      <c r="E12" s="37"/>
    </row>
    <row r="13" customFormat="false" ht="15" hidden="false" customHeight="true" outlineLevel="0" collapsed="false">
      <c r="B13" s="36" t="s">
        <v>103</v>
      </c>
      <c r="C13" s="39" t="s">
        <v>104</v>
      </c>
      <c r="D13" s="39"/>
      <c r="E13" s="39"/>
    </row>
    <row r="14" customFormat="false" ht="15" hidden="false" customHeight="true" outlineLevel="0" collapsed="false">
      <c r="B14" s="40" t="s">
        <v>105</v>
      </c>
      <c r="C14" s="40"/>
      <c r="D14" s="40"/>
      <c r="E14" s="40"/>
    </row>
    <row r="15" customFormat="false" ht="25.5" hidden="false" customHeight="true" outlineLevel="0" collapsed="false"/>
    <row r="16" customFormat="false" ht="25.5" hidden="false" customHeight="true" outlineLevel="0" collapsed="false">
      <c r="B16" s="35" t="s">
        <v>106</v>
      </c>
      <c r="C16" s="35"/>
      <c r="D16" s="35"/>
      <c r="E16" s="35"/>
      <c r="F16" s="35"/>
    </row>
    <row r="17" customFormat="false" ht="15" hidden="false" customHeight="true" outlineLevel="0" collapsed="false">
      <c r="B17" s="41" t="s">
        <v>107</v>
      </c>
      <c r="C17" s="42" t="n">
        <f aca="false">Dashboard!$F$34</f>
        <v>223</v>
      </c>
      <c r="D17" s="43"/>
      <c r="F17" s="44"/>
      <c r="G17" s="45"/>
      <c r="I17" s="46" t="s">
        <v>108</v>
      </c>
      <c r="J17" s="46"/>
    </row>
    <row r="18" customFormat="false" ht="15" hidden="false" customHeight="true" outlineLevel="0" collapsed="false">
      <c r="B18" s="47" t="s">
        <v>109</v>
      </c>
      <c r="C18" s="48" t="s">
        <v>110</v>
      </c>
      <c r="D18" s="49" t="s">
        <v>111</v>
      </c>
      <c r="E18" s="47" t="s">
        <v>112</v>
      </c>
      <c r="F18" s="47" t="s">
        <v>113</v>
      </c>
      <c r="G18" s="45"/>
      <c r="I18" s="47" t="s">
        <v>114</v>
      </c>
      <c r="J18" s="47" t="s">
        <v>115</v>
      </c>
    </row>
    <row r="19" customFormat="false" ht="15" hidden="false" customHeight="true" outlineLevel="0" collapsed="false">
      <c r="B19" s="50" t="s">
        <v>33</v>
      </c>
      <c r="C19" s="51" t="n">
        <f aca="false">Dashboard!$O$34</f>
        <v>22</v>
      </c>
      <c r="D19" s="52" t="n">
        <f aca="false">IFERROR(C19/$C$17,0)</f>
        <v>0.0986547085201794</v>
      </c>
      <c r="E19" s="51" t="n">
        <f aca="false">Dashboard!$AB$34</f>
        <v>0</v>
      </c>
      <c r="F19" s="52" t="n">
        <f aca="false">IFERROR(E19/C19,0)</f>
        <v>0</v>
      </c>
      <c r="G19" s="45"/>
      <c r="I19" s="53" t="s">
        <v>41</v>
      </c>
      <c r="J19" s="51" t="n">
        <f aca="false">Dashboard!$R$34</f>
        <v>175</v>
      </c>
    </row>
    <row r="20" customFormat="false" ht="15.75" hidden="false" customHeight="true" outlineLevel="0" collapsed="false">
      <c r="B20" s="50" t="s">
        <v>35</v>
      </c>
      <c r="C20" s="51" t="n">
        <f aca="false">Dashboard!$P$34</f>
        <v>145</v>
      </c>
      <c r="D20" s="52" t="n">
        <f aca="false">IFERROR(C20/$C$17,0)</f>
        <v>0.650224215246637</v>
      </c>
      <c r="E20" s="51" t="n">
        <f aca="false">Dashboard!$AC$34</f>
        <v>6</v>
      </c>
      <c r="F20" s="52" t="n">
        <f aca="false">IFERROR(E20/C20,0)</f>
        <v>0.0413793103448276</v>
      </c>
      <c r="G20" s="45"/>
      <c r="I20" s="53" t="s">
        <v>43</v>
      </c>
      <c r="J20" s="51" t="n">
        <f aca="false">Dashboard!$S$34</f>
        <v>48</v>
      </c>
    </row>
    <row r="21" customFormat="false" ht="15.75" hidden="false" customHeight="true" outlineLevel="0" collapsed="false">
      <c r="B21" s="50" t="s">
        <v>37</v>
      </c>
      <c r="C21" s="51" t="n">
        <f aca="false">Dashboard!$Q$34</f>
        <v>56</v>
      </c>
      <c r="D21" s="52" t="n">
        <f aca="false">IFERROR(C21/$C$17,0)</f>
        <v>0.251121076233184</v>
      </c>
      <c r="E21" s="51" t="n">
        <f aca="false">Dashboard!$AD$34</f>
        <v>4</v>
      </c>
      <c r="F21" s="52" t="n">
        <f aca="false">IFERROR(E21/C21,0)</f>
        <v>0.0714285714285714</v>
      </c>
      <c r="I21" s="53" t="s">
        <v>45</v>
      </c>
      <c r="J21" s="51" t="n">
        <f aca="false">Dashboard!$T$34</f>
        <v>0</v>
      </c>
    </row>
    <row r="22" customFormat="false" ht="15.75" hidden="false" customHeight="true" outlineLevel="0" collapsed="false">
      <c r="B22" s="54" t="s">
        <v>116</v>
      </c>
      <c r="C22" s="42" t="n">
        <f aca="false">SUM(C19:C21)</f>
        <v>223</v>
      </c>
      <c r="D22" s="55" t="n">
        <f aca="false">IFERROR(C22/$C$17,0)</f>
        <v>1</v>
      </c>
      <c r="E22" s="42" t="n">
        <f aca="false">SUM(E19:E21)</f>
        <v>10</v>
      </c>
      <c r="F22" s="55" t="n">
        <f aca="false">IFERROR(E22/C22,0)</f>
        <v>0.0448430493273543</v>
      </c>
      <c r="I22" s="53" t="s">
        <v>47</v>
      </c>
      <c r="J22" s="51" t="n">
        <f aca="false">Dashboard!$U$34</f>
        <v>0</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c r="B30" s="44"/>
      <c r="C30" s="45"/>
    </row>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37.5" hidden="false" customHeight="true" outlineLevel="0" collapsed="false">
      <c r="B42" s="56" t="s">
        <v>117</v>
      </c>
      <c r="C42" s="56"/>
      <c r="D42" s="56"/>
      <c r="E42" s="56"/>
    </row>
    <row r="43" customFormat="false" ht="15.75" hidden="false" customHeight="true" outlineLevel="0" collapsed="false">
      <c r="B43" s="57" t="s">
        <v>118</v>
      </c>
      <c r="C43" s="58" t="s">
        <v>119</v>
      </c>
      <c r="D43" s="58" t="s">
        <v>120</v>
      </c>
      <c r="E43" s="58"/>
    </row>
    <row r="44" customFormat="false" ht="15.75" hidden="false" customHeight="true" outlineLevel="0" collapsed="false">
      <c r="B44" s="59" t="s">
        <v>121</v>
      </c>
      <c r="C44" s="60" t="n">
        <f aca="false">Dashboard!$V$34</f>
        <v>223</v>
      </c>
      <c r="D44" s="61" t="n">
        <f aca="false">IFERROR(C44/$C17,0)</f>
        <v>1</v>
      </c>
      <c r="E44" s="61"/>
    </row>
    <row r="45" customFormat="false" ht="15.75" hidden="false" customHeight="true" outlineLevel="0" collapsed="false">
      <c r="B45" s="59" t="s">
        <v>122</v>
      </c>
      <c r="C45" s="60" t="n">
        <f aca="false">Dashboard!$W$34</f>
        <v>0</v>
      </c>
      <c r="D45" s="61" t="n">
        <f aca="false">IFERROR(C45/$C17,0)</f>
        <v>0</v>
      </c>
      <c r="E45" s="61"/>
    </row>
    <row r="46" customFormat="false" ht="15.75" hidden="false" customHeight="true" outlineLevel="0" collapsed="false">
      <c r="B46" s="59" t="s">
        <v>123</v>
      </c>
      <c r="C46" s="60" t="n">
        <f aca="false">Dashboard!$X$34</f>
        <v>0</v>
      </c>
      <c r="D46" s="61" t="n">
        <f aca="false">IFERROR(C46/$C17,0)</f>
        <v>0</v>
      </c>
      <c r="E46" s="61"/>
    </row>
    <row r="47" customFormat="false" ht="15.75" hidden="false" customHeight="true" outlineLevel="0" collapsed="false">
      <c r="B47" s="59" t="s">
        <v>124</v>
      </c>
      <c r="C47" s="60" t="n">
        <f aca="false">Dashboard!$Y$34</f>
        <v>0</v>
      </c>
      <c r="D47" s="61" t="n">
        <f aca="false">IFERROR(C47/$C17,0)</f>
        <v>0</v>
      </c>
      <c r="E47" s="61"/>
    </row>
    <row r="48" customFormat="false" ht="15.75" hidden="false" customHeight="true" outlineLevel="0" collapsed="false">
      <c r="B48" s="59" t="s">
        <v>125</v>
      </c>
      <c r="C48" s="60" t="n">
        <f aca="false">Dashboard!$Z$34</f>
        <v>0</v>
      </c>
      <c r="D48" s="61" t="n">
        <f aca="false">IFERROR(C48/$C17,0)</f>
        <v>0</v>
      </c>
      <c r="E48" s="61"/>
    </row>
    <row r="49" customFormat="false" ht="15.75" hidden="false" customHeight="true" outlineLevel="0" collapsed="false">
      <c r="B49" s="59" t="s">
        <v>126</v>
      </c>
      <c r="C49" s="60" t="n">
        <f aca="false">Dashboard!$AA$34</f>
        <v>0</v>
      </c>
      <c r="D49" s="61" t="n">
        <f aca="false">IFERROR(C49/$C17,0)</f>
        <v>0</v>
      </c>
      <c r="E49" s="61"/>
    </row>
    <row r="50" customFormat="false" ht="15.75" hidden="false" customHeight="true" outlineLevel="0" collapsed="false"/>
    <row r="51" customFormat="false" ht="15.75" hidden="false" customHeight="true" outlineLevel="0" collapsed="false">
      <c r="B51" s="62" t="s">
        <v>127</v>
      </c>
      <c r="C51" s="62"/>
      <c r="D51" s="62"/>
      <c r="E51" s="62"/>
    </row>
    <row r="52" customFormat="false" ht="15.75" hidden="false" customHeight="true" outlineLevel="0" collapsed="false"/>
    <row r="53" customFormat="false" ht="15.75" hidden="false" customHeight="true" outlineLevel="0" collapsed="false">
      <c r="B53" s="63" t="s">
        <v>128</v>
      </c>
      <c r="C53" s="63"/>
      <c r="D53" s="63"/>
      <c r="E53" s="63"/>
    </row>
    <row r="54" customFormat="false" ht="15.75" hidden="false" customHeight="true" outlineLevel="0" collapsed="false"/>
    <row r="55" customFormat="false" ht="15.75" hidden="false" customHeight="true" outlineLevel="0" collapsed="false"/>
    <row r="56" customFormat="false" ht="40.5" hidden="false" customHeight="true" outlineLevel="0" collapsed="false">
      <c r="B56" s="35" t="s">
        <v>129</v>
      </c>
      <c r="C56" s="35"/>
      <c r="D56" s="35"/>
      <c r="E56" s="35"/>
      <c r="F56" s="35"/>
    </row>
    <row r="57" customFormat="false" ht="15.75" hidden="false" customHeight="true" outlineLevel="0" collapsed="false">
      <c r="B57" s="36" t="s">
        <v>130</v>
      </c>
      <c r="C57" s="37" t="s">
        <v>131</v>
      </c>
      <c r="D57" s="37"/>
      <c r="E57" s="37"/>
      <c r="F57" s="37"/>
    </row>
    <row r="58" customFormat="false" ht="15.75" hidden="false" customHeight="true" outlineLevel="0" collapsed="false">
      <c r="B58" s="36" t="s">
        <v>132</v>
      </c>
      <c r="C58" s="37" t="s">
        <v>133</v>
      </c>
      <c r="D58" s="37"/>
      <c r="E58" s="37"/>
      <c r="F58" s="37"/>
    </row>
    <row r="59" customFormat="false" ht="15.75" hidden="false" customHeight="true" outlineLevel="0" collapsed="false">
      <c r="B59" s="36" t="s">
        <v>134</v>
      </c>
      <c r="C59" s="37" t="s">
        <v>135</v>
      </c>
      <c r="D59" s="37"/>
      <c r="E59" s="37"/>
      <c r="F59" s="37"/>
    </row>
    <row r="60" customFormat="false" ht="15.75" hidden="false" customHeight="true" outlineLevel="0" collapsed="false">
      <c r="B60" s="36" t="s">
        <v>136</v>
      </c>
      <c r="C60" s="37" t="s">
        <v>137</v>
      </c>
      <c r="D60" s="37"/>
      <c r="E60" s="37"/>
      <c r="F60" s="37"/>
    </row>
    <row r="61" customFormat="false" ht="15.75" hidden="false" customHeight="true" outlineLevel="0" collapsed="false">
      <c r="B61" s="36" t="s">
        <v>138</v>
      </c>
      <c r="C61" s="37" t="s">
        <v>139</v>
      </c>
      <c r="D61" s="37"/>
      <c r="E61" s="37"/>
      <c r="F61" s="37"/>
    </row>
    <row r="62" customFormat="false" ht="15.75" hidden="false" customHeight="true" outlineLevel="0" collapsed="false">
      <c r="B62" s="36" t="s">
        <v>140</v>
      </c>
      <c r="C62" s="37" t="s">
        <v>141</v>
      </c>
      <c r="D62" s="37"/>
      <c r="E62" s="37"/>
      <c r="F62" s="37"/>
    </row>
    <row r="63" customFormat="false" ht="15.75" hidden="false" customHeight="true" outlineLevel="0" collapsed="false"/>
    <row r="64" customFormat="false" ht="15.75" hidden="false" customHeight="true" outlineLevel="0" collapsed="false">
      <c r="B64" s="64" t="s">
        <v>142</v>
      </c>
      <c r="C64" s="64"/>
      <c r="D64" s="64"/>
      <c r="E64" s="64"/>
      <c r="F64" s="64"/>
    </row>
    <row r="65" customFormat="false" ht="45.75" hidden="false" customHeight="true" outlineLevel="0" collapsed="false">
      <c r="B65" s="64"/>
      <c r="C65" s="64"/>
      <c r="D65" s="64"/>
      <c r="E65" s="64"/>
      <c r="F65" s="64"/>
    </row>
    <row r="66" customFormat="false" ht="15.75" hidden="false" customHeight="true" outlineLevel="0" collapsed="false">
      <c r="B66" s="65"/>
      <c r="C66" s="66"/>
      <c r="D66" s="67"/>
      <c r="E66" s="67"/>
      <c r="F66" s="68"/>
    </row>
    <row r="67" customFormat="false" ht="15.75" hidden="false" customHeight="true" outlineLevel="0" collapsed="false">
      <c r="B67" s="65"/>
      <c r="C67" s="66"/>
      <c r="D67" s="22"/>
      <c r="E67" s="22"/>
      <c r="F67" s="68"/>
    </row>
    <row r="68" customFormat="false" ht="15.75" hidden="false" customHeight="true" outlineLevel="0" collapsed="false">
      <c r="B68" s="65"/>
      <c r="C68" s="66"/>
      <c r="D68" s="22"/>
      <c r="E68" s="22"/>
      <c r="F68" s="68"/>
    </row>
    <row r="69" customFormat="false" ht="15.75" hidden="false" customHeight="true" outlineLevel="0" collapsed="false">
      <c r="B69" s="65"/>
      <c r="C69" s="66"/>
      <c r="D69" s="22"/>
      <c r="E69" s="22"/>
      <c r="F69" s="68"/>
    </row>
    <row r="70" customFormat="false" ht="15.75" hidden="false" customHeight="true" outlineLevel="0" collapsed="false">
      <c r="B70" s="65"/>
      <c r="C70" s="66"/>
      <c r="D70" s="22"/>
      <c r="E70" s="22"/>
      <c r="F70" s="68"/>
    </row>
    <row r="71" customFormat="false" ht="15.75" hidden="false" customHeight="true" outlineLevel="0" collapsed="false">
      <c r="B71" s="65"/>
      <c r="C71" s="66"/>
      <c r="D71" s="22"/>
      <c r="E71" s="22"/>
      <c r="F71" s="68"/>
    </row>
    <row r="72" customFormat="false" ht="15.75" hidden="false" customHeight="true" outlineLevel="0" collapsed="false">
      <c r="B72" s="65"/>
      <c r="C72" s="66"/>
      <c r="D72" s="22"/>
      <c r="E72" s="22"/>
      <c r="F72" s="68"/>
    </row>
    <row r="73" customFormat="false" ht="15.75" hidden="false" customHeight="true" outlineLevel="0" collapsed="false">
      <c r="B73" s="68"/>
      <c r="F73" s="68"/>
    </row>
    <row r="74" customFormat="false" ht="15.75" hidden="false" customHeight="true" outlineLevel="0" collapsed="false">
      <c r="B74" s="69"/>
      <c r="F74" s="70"/>
    </row>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0">
    <mergeCell ref="B5:E5"/>
    <mergeCell ref="C6:E6"/>
    <mergeCell ref="C7:E7"/>
    <mergeCell ref="C8:E8"/>
    <mergeCell ref="C9:E9"/>
    <mergeCell ref="C10:E10"/>
    <mergeCell ref="C11:E11"/>
    <mergeCell ref="C12:E12"/>
    <mergeCell ref="C13:E13"/>
    <mergeCell ref="B14:E14"/>
    <mergeCell ref="B16:F16"/>
    <mergeCell ref="I17:J17"/>
    <mergeCell ref="B42:E42"/>
    <mergeCell ref="D43:E43"/>
    <mergeCell ref="D44:E44"/>
    <mergeCell ref="D45:E45"/>
    <mergeCell ref="D46:E46"/>
    <mergeCell ref="D47:E47"/>
    <mergeCell ref="D48:E48"/>
    <mergeCell ref="D49:E49"/>
    <mergeCell ref="B51:E51"/>
    <mergeCell ref="B53:E53"/>
    <mergeCell ref="B56:F56"/>
    <mergeCell ref="C57:F57"/>
    <mergeCell ref="C58:F58"/>
    <mergeCell ref="C59:F59"/>
    <mergeCell ref="C60:F60"/>
    <mergeCell ref="C61:F61"/>
    <mergeCell ref="C62:F62"/>
    <mergeCell ref="B64:F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C100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G8" activeCellId="0" sqref="G8"/>
    </sheetView>
  </sheetViews>
  <sheetFormatPr defaultColWidth="14.43359375" defaultRowHeight="15" customHeight="true"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7"/>
    <col collapsed="false" customWidth="true" hidden="false" outlineLevel="0" max="10" min="7" style="1" width="6"/>
    <col collapsed="false" customWidth="true" hidden="false" outlineLevel="0" max="11" min="11" style="1" width="8"/>
    <col collapsed="false" customWidth="true" hidden="false" outlineLevel="0" max="12" min="12" style="1" width="9.57"/>
    <col collapsed="false" customWidth="true" hidden="false" outlineLevel="0" max="13" min="13" style="1" width="9"/>
    <col collapsed="false" customWidth="true" hidden="false" outlineLevel="0" max="17" min="14" style="1" width="8"/>
    <col collapsed="false" customWidth="true" hidden="false" outlineLevel="0" max="18" min="18" style="1" width="12.57"/>
    <col collapsed="false" customWidth="true" hidden="false" outlineLevel="0" max="19" min="19" style="1" width="8"/>
    <col collapsed="false" customWidth="true" hidden="false" outlineLevel="0" max="20" min="20" style="1" width="13.29"/>
    <col collapsed="false" customWidth="true" hidden="false" outlineLevel="0" max="21" min="21" style="1" width="11.85"/>
    <col collapsed="false" customWidth="true" hidden="false" outlineLevel="0" max="26" min="22" style="1" width="8"/>
    <col collapsed="false" customWidth="true" hidden="false" outlineLevel="0" max="27" min="27" style="1" width="10"/>
    <col collapsed="false" customWidth="true" hidden="false" outlineLevel="0" max="30" min="28" style="1" width="9"/>
  </cols>
  <sheetData>
    <row r="1" customFormat="false" ht="38.25" hidden="false" customHeight="true" outlineLevel="0" collapsed="false">
      <c r="A1" s="71"/>
      <c r="B1" s="72" t="s">
        <v>143</v>
      </c>
      <c r="C1" s="72"/>
      <c r="D1" s="72"/>
      <c r="E1" s="72"/>
      <c r="F1" s="72"/>
      <c r="G1" s="72"/>
      <c r="H1" s="72"/>
      <c r="I1" s="72"/>
      <c r="J1" s="72"/>
      <c r="K1" s="72"/>
      <c r="L1" s="72"/>
      <c r="M1" s="72"/>
      <c r="N1" s="72"/>
      <c r="O1" s="72"/>
      <c r="P1" s="72"/>
      <c r="Q1" s="72"/>
      <c r="R1" s="72"/>
      <c r="S1" s="72"/>
      <c r="T1" s="72"/>
      <c r="U1" s="72"/>
      <c r="V1" s="72"/>
      <c r="W1" s="72"/>
      <c r="X1" s="72"/>
      <c r="Y1" s="72"/>
      <c r="Z1" s="72"/>
      <c r="AA1" s="72"/>
    </row>
    <row r="2" customFormat="false" ht="15" hidden="false" customHeight="true" outlineLevel="0" collapsed="false">
      <c r="B2" s="73"/>
      <c r="C2" s="74" t="s">
        <v>144</v>
      </c>
      <c r="D2" s="74"/>
      <c r="E2" s="74"/>
      <c r="F2" s="75" t="s">
        <v>145</v>
      </c>
      <c r="G2" s="75"/>
      <c r="H2" s="75"/>
      <c r="I2" s="75"/>
      <c r="J2" s="75"/>
      <c r="K2" s="75"/>
      <c r="L2" s="75"/>
      <c r="M2" s="75"/>
      <c r="N2" s="75"/>
      <c r="O2" s="76" t="s">
        <v>146</v>
      </c>
      <c r="P2" s="76"/>
      <c r="Q2" s="76"/>
      <c r="R2" s="77" t="s">
        <v>147</v>
      </c>
      <c r="S2" s="77"/>
      <c r="T2" s="77"/>
      <c r="U2" s="77"/>
      <c r="V2" s="78" t="s">
        <v>58</v>
      </c>
      <c r="W2" s="78"/>
      <c r="X2" s="78"/>
      <c r="Y2" s="78"/>
      <c r="Z2" s="78"/>
      <c r="AA2" s="78"/>
      <c r="AB2" s="79" t="s">
        <v>148</v>
      </c>
      <c r="AC2" s="79"/>
      <c r="AD2" s="79"/>
      <c r="AE2" s="80" t="s">
        <v>149</v>
      </c>
      <c r="AF2" s="80"/>
      <c r="AG2" s="80"/>
      <c r="AH2" s="80"/>
      <c r="AI2" s="80"/>
      <c r="AJ2" s="80"/>
      <c r="AK2" s="80"/>
      <c r="AL2" s="80"/>
      <c r="AM2" s="80"/>
      <c r="AN2" s="80"/>
      <c r="AO2" s="80"/>
      <c r="AP2" s="80"/>
      <c r="AQ2" s="80"/>
      <c r="AR2" s="80"/>
      <c r="AS2" s="80"/>
      <c r="AT2" s="80"/>
      <c r="AU2" s="80"/>
      <c r="AV2" s="80"/>
      <c r="AW2" s="80"/>
      <c r="AX2" s="80"/>
      <c r="AY2" s="80"/>
      <c r="AZ2" s="80"/>
      <c r="BA2" s="80"/>
      <c r="BB2" s="80"/>
      <c r="BC2" s="80"/>
    </row>
    <row r="3" customFormat="false" ht="33.75" hidden="false" customHeight="true" outlineLevel="0" collapsed="false">
      <c r="B3" s="81" t="s">
        <v>150</v>
      </c>
      <c r="C3" s="81" t="s">
        <v>151</v>
      </c>
      <c r="D3" s="81" t="s">
        <v>152</v>
      </c>
      <c r="E3" s="81" t="s">
        <v>153</v>
      </c>
      <c r="F3" s="82" t="s">
        <v>110</v>
      </c>
      <c r="G3" s="82" t="s">
        <v>23</v>
      </c>
      <c r="H3" s="82" t="s">
        <v>25</v>
      </c>
      <c r="I3" s="82" t="s">
        <v>27</v>
      </c>
      <c r="J3" s="82" t="s">
        <v>29</v>
      </c>
      <c r="K3" s="82" t="s">
        <v>154</v>
      </c>
      <c r="L3" s="82" t="s">
        <v>155</v>
      </c>
      <c r="M3" s="82" t="s">
        <v>156</v>
      </c>
      <c r="N3" s="82" t="s">
        <v>157</v>
      </c>
      <c r="O3" s="83" t="s">
        <v>158</v>
      </c>
      <c r="P3" s="83" t="s">
        <v>159</v>
      </c>
      <c r="Q3" s="83" t="s">
        <v>160</v>
      </c>
      <c r="R3" s="84" t="s">
        <v>41</v>
      </c>
      <c r="S3" s="84" t="s">
        <v>43</v>
      </c>
      <c r="T3" s="84" t="s">
        <v>45</v>
      </c>
      <c r="U3" s="84" t="s">
        <v>47</v>
      </c>
      <c r="V3" s="85" t="s">
        <v>161</v>
      </c>
      <c r="W3" s="85" t="s">
        <v>162</v>
      </c>
      <c r="X3" s="85" t="s">
        <v>163</v>
      </c>
      <c r="Y3" s="85" t="s">
        <v>164</v>
      </c>
      <c r="Z3" s="85" t="s">
        <v>165</v>
      </c>
      <c r="AA3" s="85" t="s">
        <v>166</v>
      </c>
      <c r="AB3" s="79" t="s">
        <v>167</v>
      </c>
      <c r="AC3" s="79" t="s">
        <v>168</v>
      </c>
      <c r="AD3" s="79" t="s">
        <v>169</v>
      </c>
      <c r="AE3" s="86" t="s">
        <v>170</v>
      </c>
      <c r="AF3" s="86" t="s">
        <v>171</v>
      </c>
      <c r="AG3" s="86" t="s">
        <v>172</v>
      </c>
      <c r="AH3" s="86" t="s">
        <v>173</v>
      </c>
      <c r="AI3" s="86" t="s">
        <v>174</v>
      </c>
      <c r="AJ3" s="86" t="s">
        <v>175</v>
      </c>
      <c r="AK3" s="86" t="s">
        <v>176</v>
      </c>
      <c r="AL3" s="86" t="s">
        <v>177</v>
      </c>
      <c r="AM3" s="86" t="s">
        <v>178</v>
      </c>
      <c r="AN3" s="86" t="s">
        <v>179</v>
      </c>
      <c r="AO3" s="86" t="s">
        <v>180</v>
      </c>
      <c r="AP3" s="86" t="s">
        <v>181</v>
      </c>
      <c r="AQ3" s="86" t="s">
        <v>182</v>
      </c>
      <c r="AR3" s="86" t="s">
        <v>183</v>
      </c>
      <c r="AS3" s="86" t="s">
        <v>184</v>
      </c>
      <c r="AT3" s="86" t="s">
        <v>185</v>
      </c>
      <c r="AU3" s="86" t="s">
        <v>186</v>
      </c>
      <c r="AV3" s="86" t="s">
        <v>187</v>
      </c>
      <c r="AW3" s="86" t="s">
        <v>188</v>
      </c>
      <c r="AX3" s="86" t="s">
        <v>189</v>
      </c>
      <c r="AY3" s="86" t="s">
        <v>190</v>
      </c>
      <c r="AZ3" s="86" t="s">
        <v>191</v>
      </c>
      <c r="BA3" s="86" t="s">
        <v>192</v>
      </c>
      <c r="BB3" s="86" t="s">
        <v>193</v>
      </c>
      <c r="BC3" s="86" t="s">
        <v>194</v>
      </c>
    </row>
    <row r="4" customFormat="false" ht="21.75" hidden="false" customHeight="true" outlineLevel="0" collapsed="false">
      <c r="B4" s="87" t="n">
        <f aca="false">IF($D4="","",ROW()-3)</f>
        <v>1</v>
      </c>
      <c r="C4" s="88" t="s">
        <v>195</v>
      </c>
      <c r="D4" s="88" t="s">
        <v>196</v>
      </c>
      <c r="E4" s="89" t="s">
        <v>196</v>
      </c>
      <c r="F4" s="87" t="n">
        <f aca="true">IF($D4="","",IFERROR(COUNTIF(INDIRECT("'"&amp;$D4&amp;"'!$A$7:$A$500"),"?*"),0))</f>
        <v>10</v>
      </c>
      <c r="G4" s="87" t="n">
        <f aca="true">IF($D4="","",IFERROR(COUNTIF(INDIRECT("'"&amp;$D4&amp;"'!$AT$7:$AT$500"),"Pass"),0))</f>
        <v>10</v>
      </c>
      <c r="H4" s="87" t="n">
        <f aca="true">IF($D4="","",IFERROR(COUNTIF(INDIRECT("'"&amp;$D4&amp;"'!$AT$7:$AT$500"),"Fail"),0))</f>
        <v>0</v>
      </c>
      <c r="I4" s="87" t="n">
        <f aca="true">IF($D4="","",IFERROR(COUNTIF(INDIRECT("'"&amp;$D4&amp;"'!$AT$7:$AT$500"),"Block"),0))</f>
        <v>0</v>
      </c>
      <c r="J4" s="87" t="n">
        <f aca="true">IF($D4="","",IFERROR(COUNTIF(INDIRECT("'"&amp;$D4&amp;"'!$AT$7:$AT$500"),"N/A"),0))</f>
        <v>0</v>
      </c>
      <c r="K4" s="87" t="n">
        <f aca="false">IF($D4="","",MAX(0,$F4-$G4-$H4-$I4-$J4))</f>
        <v>0</v>
      </c>
      <c r="L4" s="87" t="n">
        <f aca="false">IF($D4="","",$G4+$H4+$I4+$J4)</f>
        <v>10</v>
      </c>
      <c r="M4" s="90" t="n">
        <f aca="false">IF($D4="","",IFERROR($L4/$F4,0))</f>
        <v>1</v>
      </c>
      <c r="N4" s="90" t="n">
        <f aca="false">IF($D4="","",IFERROR($G4/$L4,0))</f>
        <v>1</v>
      </c>
      <c r="O4" s="87" t="n">
        <f aca="true">IF($D4="","",IFERROR(COUNTIF(INDIRECT("'"&amp;$D4&amp;"'!$E$7:$E$500"),"High"),0))</f>
        <v>0</v>
      </c>
      <c r="P4" s="87" t="n">
        <f aca="true">IF($D4="","",IFERROR(COUNTIF(INDIRECT("'"&amp;$D4&amp;"'!$E$7:$E$500"),"Medium"),0))</f>
        <v>6</v>
      </c>
      <c r="Q4" s="87" t="n">
        <f aca="true">IF($D4="","",IFERROR(COUNTIF(INDIRECT("'"&amp;$D4&amp;"'!$E$7:$E$500"),"Low"),0))</f>
        <v>4</v>
      </c>
      <c r="R4" s="87" t="n">
        <f aca="true">IF($D4="","",IFERROR(COUNTIF(INDIRECT("'"&amp;$D4&amp;"'!$D$7:$D$500"),"Functional"),0))</f>
        <v>3</v>
      </c>
      <c r="S4" s="87" t="n">
        <f aca="true">IF($D4="","",IFERROR(COUNTIF(INDIRECT("'"&amp;$D4&amp;"'!$D$7:$D$500"),"UI"),0))</f>
        <v>7</v>
      </c>
      <c r="T4" s="87" t="n">
        <f aca="true">IF($D4="","",IFERROR(COUNTIF(INDIRECT("'"&amp;$D4&amp;"'!$D$7:$D$500"),"Integration"),0))</f>
        <v>0</v>
      </c>
      <c r="U4" s="87" t="n">
        <f aca="true">IF($D4="","",IFERROR(COUNTIF(INDIRECT("'"&amp;$D4&amp;"'!$D$7:$D$500"),"Database Test Case"),0))</f>
        <v>0</v>
      </c>
      <c r="V4" s="87" t="n">
        <f aca="true">IF($D4="","",IFERROR(COUNTIF(INDIRECT("'"&amp;$D4&amp;"'!$J$7:$J$500"),"AI"),0))</f>
        <v>10</v>
      </c>
      <c r="W4" s="87" t="n">
        <f aca="true">IF($D4="","",IFERROR(COUNTIF(INDIRECT("'"&amp;$D4&amp;"'!$J$7:$J$500"),"QC"),0))</f>
        <v>0</v>
      </c>
      <c r="X4" s="87" t="n">
        <f aca="true">IF($D4="","",IFERROR(COUNTIF(INDIRECT("'"&amp;$D4&amp;"'!$L$7:$L$500"),"Yes"),0))</f>
        <v>0</v>
      </c>
      <c r="Y4" s="87" t="n">
        <f aca="true">IF($D4="","",IFERROR(COUNTIF(INDIRECT("'"&amp;$D4&amp;"'!$AR$7:$AR$500"),"Yes"),0))</f>
        <v>0</v>
      </c>
      <c r="Z4" s="87" t="n">
        <f aca="true">IF($D4="","",IFERROR(COUNTIF(INDIRECT("'"&amp;$D4&amp;"'!$AS$7:$AS$500"),"Pass"),0))</f>
        <v>0</v>
      </c>
      <c r="AA4" s="87" t="n">
        <f aca="true">IF($D4="","",IFERROR(COUNTIF(INDIRECT("'"&amp;$D4&amp;"'!$K$7:$K$500"),"Reviewed"),0))</f>
        <v>0</v>
      </c>
      <c r="AB4" s="91" t="n">
        <f aca="true">IF($D4="","",IFERROR(COUNTIFS(INDIRECT("'"&amp;$D4&amp;"'!$E$7:$E$500"),"High",INDIRECT("'"&amp;$D4&amp;"'!$AT$7:$AT$500"),"?*"),0))</f>
        <v>0</v>
      </c>
      <c r="AC4" s="91" t="n">
        <f aca="true">IF($D4="","",IFERROR(COUNTIFS(INDIRECT("'"&amp;$D4&amp;"'!$E$7:$E$500"),"Medium",INDIRECT("'"&amp;$D4&amp;"'!$AT$7:$AT$500"),"?*"),0))</f>
        <v>6</v>
      </c>
      <c r="AD4" s="91" t="n">
        <f aca="true">IF($D4="","",IFERROR(COUNTIFS(INDIRECT("'"&amp;$D4&amp;"'!$E$7:$E$500"),"Low",INDIRECT("'"&amp;$D4&amp;"'!$AT$7:$AT$500"),"?*"),0))</f>
        <v>4</v>
      </c>
      <c r="AE4" s="92" t="n">
        <f aca="true">IF($D4="","",IFERROR(COUNTIF(INDIRECT("'"&amp;$D4&amp;"'!$P$7:$P$500"),"?*"),0))</f>
        <v>10</v>
      </c>
      <c r="AF4" s="92" t="n">
        <f aca="true">IF($D4="","",IFERROR(COUNTIF(INDIRECT("'"&amp;$D4&amp;"'!$P$7:$P$500"),"Pass"),0))</f>
        <v>10</v>
      </c>
      <c r="AG4" s="92" t="n">
        <f aca="true">IF($D4="","",IFERROR(COUNTIF(INDIRECT("'"&amp;$D4&amp;"'!$P$7:$P$500"),"Fail"),0))</f>
        <v>0</v>
      </c>
      <c r="AH4" s="92" t="n">
        <f aca="true">IF($D4="","",IFERROR(COUNTIF(INDIRECT("'"&amp;$D4&amp;"'!$P$7:$P$500"),"Block"),0))</f>
        <v>0</v>
      </c>
      <c r="AI4" s="92" t="n">
        <f aca="true">IF($D4="","",IFERROR(COUNTIF(INDIRECT("'"&amp;$D4&amp;"'!$P$7:$P$500"),"N/A"),0))</f>
        <v>0</v>
      </c>
      <c r="AJ4" s="92" t="n">
        <f aca="true">IF($D4="","",IFERROR(COUNTIF(INDIRECT("'"&amp;$D4&amp;"'!$V$7:$V$500"),"?*"),0))</f>
        <v>0</v>
      </c>
      <c r="AK4" s="92" t="n">
        <f aca="true">IF($D4="","",IFERROR(COUNTIF(INDIRECT("'"&amp;$D4&amp;"'!$V$7:$V$500"),"Pass"),0))</f>
        <v>0</v>
      </c>
      <c r="AL4" s="92" t="n">
        <f aca="true">IF($D4="","",IFERROR(COUNTIF(INDIRECT("'"&amp;$D4&amp;"'!$V$7:$V$500"),"Fail"),0))</f>
        <v>0</v>
      </c>
      <c r="AM4" s="92" t="n">
        <f aca="true">IF($D4="","",IFERROR(COUNTIF(INDIRECT("'"&amp;$D4&amp;"'!$V$7:$V$500"),"Block"),0))</f>
        <v>0</v>
      </c>
      <c r="AN4" s="92" t="n">
        <f aca="true">IF($D4="","",IFERROR(COUNTIF(INDIRECT("'"&amp;$D4&amp;"'!$V$7:$V$500"),"N/A"),0))</f>
        <v>0</v>
      </c>
      <c r="AO4" s="92" t="n">
        <f aca="true">IF($D4="","",IFERROR(COUNTIF(INDIRECT("'"&amp;$D4&amp;"'!$AB$7:$AB$500"),"?*"),0))</f>
        <v>0</v>
      </c>
      <c r="AP4" s="92" t="n">
        <f aca="true">IF($D4="","",IFERROR(COUNTIF(INDIRECT("'"&amp;$D4&amp;"'!$AB$7:$AB$500"),"Pass"),0))</f>
        <v>0</v>
      </c>
      <c r="AQ4" s="92" t="n">
        <f aca="true">IF($D4="","",IFERROR(COUNTIF(INDIRECT("'"&amp;$D4&amp;"'!$AB$7:$AB$500"),"Fail"),0))</f>
        <v>0</v>
      </c>
      <c r="AR4" s="92" t="n">
        <f aca="true">IF($D4="","",IFERROR(COUNTIF(INDIRECT("'"&amp;$D4&amp;"'!$AB$7:$AB$500"),"Block"),0))</f>
        <v>0</v>
      </c>
      <c r="AS4" s="92" t="n">
        <f aca="true">IF($D4="","",IFERROR(COUNTIF(INDIRECT("'"&amp;$D4&amp;"'!$AB$7:$AB$500"),"N/A"),0))</f>
        <v>0</v>
      </c>
      <c r="AT4" s="92" t="n">
        <f aca="true">IF($D4="","",IFERROR(COUNTIF(INDIRECT("'"&amp;$D4&amp;"'!$AH$7:$AH$500"),"?*"),0))</f>
        <v>0</v>
      </c>
      <c r="AU4" s="92" t="n">
        <f aca="true">IF($D4="","",IFERROR(COUNTIF(INDIRECT("'"&amp;$D4&amp;"'!$AH$7:$AH$500"),"Pass"),0))</f>
        <v>0</v>
      </c>
      <c r="AV4" s="92" t="n">
        <f aca="true">IF($D4="","",IFERROR(COUNTIF(INDIRECT("'"&amp;$D4&amp;"'!$AH$7:$AH$500"),"Fail"),0))</f>
        <v>0</v>
      </c>
      <c r="AW4" s="92" t="n">
        <f aca="true">IF($D4="","",IFERROR(COUNTIF(INDIRECT("'"&amp;$D4&amp;"'!$AH$7:$AH$500"),"Block"),0))</f>
        <v>0</v>
      </c>
      <c r="AX4" s="92" t="n">
        <f aca="true">IF($D4="","",IFERROR(COUNTIF(INDIRECT("'"&amp;$D4&amp;"'!$AH$7:$AH$500"),"N/A"),0))</f>
        <v>0</v>
      </c>
      <c r="AY4" s="92" t="n">
        <f aca="true">IF($D4="","",IFERROR(COUNTIF(INDIRECT("'"&amp;$D4&amp;"'!$AN$7:$AN$500"),"?*"),0))</f>
        <v>0</v>
      </c>
      <c r="AZ4" s="92" t="n">
        <f aca="true">IF($D4="","",IFERROR(COUNTIF(INDIRECT("'"&amp;$D4&amp;"'!$AN$7:$AN$500"),"Pass"),0))</f>
        <v>0</v>
      </c>
      <c r="BA4" s="92" t="n">
        <f aca="true">IF($D4="","",IFERROR(COUNTIF(INDIRECT("'"&amp;$D4&amp;"'!$AN$7:$AN$500"),"Fail"),0))</f>
        <v>0</v>
      </c>
      <c r="BB4" s="92" t="n">
        <f aca="true">IF($D4="","",IFERROR(COUNTIF(INDIRECT("'"&amp;$D4&amp;"'!$AN$7:$AN$500"),"Block"),0))</f>
        <v>0</v>
      </c>
      <c r="BC4" s="1" t="n">
        <f aca="true">IF($D4="","",IFERROR(COUNTIF(INDIRECT("'"&amp;$D4&amp;"'!$AN$7:$AN$500"),"N/A"),0))</f>
        <v>0</v>
      </c>
    </row>
    <row r="5" customFormat="false" ht="15" hidden="false" customHeight="true" outlineLevel="0" collapsed="false">
      <c r="B5" s="87" t="n">
        <f aca="false">IF($D5="","",ROW()-3)</f>
        <v>2</v>
      </c>
      <c r="C5" s="88" t="s">
        <v>197</v>
      </c>
      <c r="D5" s="88" t="s">
        <v>198</v>
      </c>
      <c r="E5" s="89" t="s">
        <v>198</v>
      </c>
      <c r="F5" s="87" t="n">
        <f aca="true">IF($D5="","",IFERROR(COUNTIF(INDIRECT("'"&amp;$D5&amp;"'!$A$7:$A$500"),"?*"),0))</f>
        <v>13</v>
      </c>
      <c r="G5" s="87" t="n">
        <f aca="true">IF($D5="","",IFERROR(COUNTIF(INDIRECT("'"&amp;$D5&amp;"'!$AT$7:$AT$500"),"Pass"),0))</f>
        <v>0</v>
      </c>
      <c r="H5" s="87" t="n">
        <f aca="true">IF($D5="","",IFERROR(COUNTIF(INDIRECT("'"&amp;$D5&amp;"'!$AT$7:$AT$500"),"Fail"),0))</f>
        <v>0</v>
      </c>
      <c r="I5" s="87" t="n">
        <f aca="true">IF($D5="","",IFERROR(COUNTIF(INDIRECT("'"&amp;$D5&amp;"'!$AT$7:$AT$500"),"Block"),0))</f>
        <v>0</v>
      </c>
      <c r="J5" s="87" t="n">
        <f aca="true">IF($D5="","",IFERROR(COUNTIF(INDIRECT("'"&amp;$D5&amp;"'!$AT$7:$AT$500"),"N/A"),0))</f>
        <v>0</v>
      </c>
      <c r="K5" s="87" t="n">
        <f aca="false">IF($D5="","",MAX(0,$F5-$G5-$H5-$I5-$J5))</f>
        <v>13</v>
      </c>
      <c r="L5" s="87" t="n">
        <f aca="false">IF($D5="","",$G5+$H5+$I5+$J5)</f>
        <v>0</v>
      </c>
      <c r="M5" s="90" t="n">
        <f aca="false">IF($D5="","",IFERROR($L5/$F5,0))</f>
        <v>0</v>
      </c>
      <c r="N5" s="90" t="n">
        <f aca="false">IF($D5="","",IFERROR($G5/$L5,0))</f>
        <v>0</v>
      </c>
      <c r="O5" s="87" t="n">
        <f aca="true">IF($D5="","",IFERROR(COUNTIF(INDIRECT("'"&amp;$D5&amp;"'!$E$7:$E$500"),"High"),0))</f>
        <v>2</v>
      </c>
      <c r="P5" s="87" t="n">
        <f aca="true">IF($D5="","",IFERROR(COUNTIF(INDIRECT("'"&amp;$D5&amp;"'!$E$7:$E$500"),"Medium"),0))</f>
        <v>10</v>
      </c>
      <c r="Q5" s="87" t="n">
        <f aca="true">IF($D5="","",IFERROR(COUNTIF(INDIRECT("'"&amp;$D5&amp;"'!$E$7:$E$500"),"Low"),0))</f>
        <v>1</v>
      </c>
      <c r="R5" s="87" t="n">
        <f aca="true">IF($D5="","",IFERROR(COUNTIF(INDIRECT("'"&amp;$D5&amp;"'!$D$7:$D$500"),"Functional"),0))</f>
        <v>13</v>
      </c>
      <c r="S5" s="87" t="n">
        <f aca="true">IF($D5="","",IFERROR(COUNTIF(INDIRECT("'"&amp;$D5&amp;"'!$D$7:$D$500"),"UI"),0))</f>
        <v>0</v>
      </c>
      <c r="T5" s="87" t="n">
        <f aca="true">IF($D5="","",IFERROR(COUNTIF(INDIRECT("'"&amp;$D5&amp;"'!$D$7:$D$500"),"Integration"),0))</f>
        <v>0</v>
      </c>
      <c r="U5" s="87" t="n">
        <f aca="true">IF($D5="","",IFERROR(COUNTIF(INDIRECT("'"&amp;$D5&amp;"'!$D$7:$D$500"),"Database Test Case"),0))</f>
        <v>0</v>
      </c>
      <c r="V5" s="87" t="n">
        <f aca="true">IF($D5="","",IFERROR(COUNTIF(INDIRECT("'"&amp;$D5&amp;"'!$J$7:$J$500"),"AI"),0))</f>
        <v>13</v>
      </c>
      <c r="W5" s="87" t="n">
        <f aca="true">IF($D5="","",IFERROR(COUNTIF(INDIRECT("'"&amp;$D5&amp;"'!$J$7:$J$500"),"QC"),0))</f>
        <v>0</v>
      </c>
      <c r="X5" s="87" t="n">
        <f aca="true">IF($D5="","",IFERROR(COUNTIF(INDIRECT("'"&amp;$D5&amp;"'!$L$7:$L$500"),"Yes"),0))</f>
        <v>0</v>
      </c>
      <c r="Y5" s="87" t="n">
        <f aca="true">IF($D5="","",IFERROR(COUNTIF(INDIRECT("'"&amp;$D5&amp;"'!$AR$7:$AR$500"),"Yes"),0))</f>
        <v>0</v>
      </c>
      <c r="Z5" s="87" t="n">
        <f aca="true">IF($D5="","",IFERROR(COUNTIF(INDIRECT("'"&amp;$D5&amp;"'!$AS$7:$AS$500"),"Pass"),0))</f>
        <v>0</v>
      </c>
      <c r="AA5" s="87" t="n">
        <f aca="true">IF($D5="","",IFERROR(COUNTIF(INDIRECT("'"&amp;$D5&amp;"'!$K$7:$K$500"),"Reviewed"),0))</f>
        <v>0</v>
      </c>
      <c r="AB5" s="91" t="n">
        <f aca="true">IF($D5="","",IFERROR(COUNTIFS(INDIRECT("'"&amp;$D5&amp;"'!$E$7:$E$500"),"High",INDIRECT("'"&amp;$D5&amp;"'!$AT$7:$AT$500"),"?*"),0))</f>
        <v>0</v>
      </c>
      <c r="AC5" s="91" t="n">
        <f aca="true">IF($D5="","",IFERROR(COUNTIFS(INDIRECT("'"&amp;$D5&amp;"'!$E$7:$E$500"),"Medium",INDIRECT("'"&amp;$D5&amp;"'!$AT$7:$AT$500"),"?*"),0))</f>
        <v>0</v>
      </c>
      <c r="AD5" s="91" t="n">
        <f aca="true">IF($D5="","",IFERROR(COUNTIFS(INDIRECT("'"&amp;$D5&amp;"'!$E$7:$E$500"),"Low",INDIRECT("'"&amp;$D5&amp;"'!$AT$7:$AT$500"),"?*"),0))</f>
        <v>0</v>
      </c>
      <c r="AE5" s="92" t="n">
        <f aca="true">IF($D5="","",IFERROR(COUNTIF(INDIRECT("'"&amp;$D5&amp;"'!$P$7:$P$500"),"?*"),0))</f>
        <v>0</v>
      </c>
      <c r="AF5" s="92" t="n">
        <f aca="true">IF($D5="","",IFERROR(COUNTIF(INDIRECT("'"&amp;$D5&amp;"'!$P$7:$P$500"),"Pass"),0))</f>
        <v>0</v>
      </c>
      <c r="AG5" s="92" t="n">
        <f aca="true">IF($D5="","",IFERROR(COUNTIF(INDIRECT("'"&amp;$D5&amp;"'!$P$7:$P$500"),"Fail"),0))</f>
        <v>0</v>
      </c>
      <c r="AH5" s="92" t="n">
        <f aca="true">IF($D5="","",IFERROR(COUNTIF(INDIRECT("'"&amp;$D5&amp;"'!$P$7:$P$500"),"Block"),0))</f>
        <v>0</v>
      </c>
      <c r="AI5" s="92" t="n">
        <f aca="true">IF($D5="","",IFERROR(COUNTIF(INDIRECT("'"&amp;$D5&amp;"'!$P$7:$P$500"),"N/A"),0))</f>
        <v>0</v>
      </c>
      <c r="AJ5" s="92" t="n">
        <f aca="true">IF($D5="","",IFERROR(COUNTIF(INDIRECT("'"&amp;$D5&amp;"'!$V$7:$V$500"),"?*"),0))</f>
        <v>0</v>
      </c>
      <c r="AK5" s="92" t="n">
        <f aca="true">IF($D5="","",IFERROR(COUNTIF(INDIRECT("'"&amp;$D5&amp;"'!$V$7:$V$500"),"Pass"),0))</f>
        <v>0</v>
      </c>
      <c r="AL5" s="92" t="n">
        <f aca="true">IF($D5="","",IFERROR(COUNTIF(INDIRECT("'"&amp;$D5&amp;"'!$V$7:$V$500"),"Fail"),0))</f>
        <v>0</v>
      </c>
      <c r="AM5" s="92" t="n">
        <f aca="true">IF($D5="","",IFERROR(COUNTIF(INDIRECT("'"&amp;$D5&amp;"'!$V$7:$V$500"),"Block"),0))</f>
        <v>0</v>
      </c>
      <c r="AN5" s="92" t="n">
        <f aca="true">IF($D5="","",IFERROR(COUNTIF(INDIRECT("'"&amp;$D5&amp;"'!$V$7:$V$500"),"N/A"),0))</f>
        <v>0</v>
      </c>
      <c r="AO5" s="92" t="n">
        <f aca="true">IF($D5="","",IFERROR(COUNTIF(INDIRECT("'"&amp;$D5&amp;"'!$AB$7:$AB$500"),"?*"),0))</f>
        <v>0</v>
      </c>
      <c r="AP5" s="92" t="n">
        <f aca="true">IF($D5="","",IFERROR(COUNTIF(INDIRECT("'"&amp;$D5&amp;"'!$AB$7:$AB$500"),"Pass"),0))</f>
        <v>0</v>
      </c>
      <c r="AQ5" s="92" t="n">
        <f aca="true">IF($D5="","",IFERROR(COUNTIF(INDIRECT("'"&amp;$D5&amp;"'!$AB$7:$AB$500"),"Fail"),0))</f>
        <v>0</v>
      </c>
      <c r="AR5" s="92" t="n">
        <f aca="true">IF($D5="","",IFERROR(COUNTIF(INDIRECT("'"&amp;$D5&amp;"'!$AB$7:$AB$500"),"Block"),0))</f>
        <v>0</v>
      </c>
      <c r="AS5" s="92" t="n">
        <f aca="true">IF($D5="","",IFERROR(COUNTIF(INDIRECT("'"&amp;$D5&amp;"'!$AB$7:$AB$500"),"N/A"),0))</f>
        <v>0</v>
      </c>
      <c r="AT5" s="92" t="n">
        <f aca="true">IF($D5="","",IFERROR(COUNTIF(INDIRECT("'"&amp;$D5&amp;"'!$AH$7:$AH$500"),"?*"),0))</f>
        <v>0</v>
      </c>
      <c r="AU5" s="92" t="n">
        <f aca="true">IF($D5="","",IFERROR(COUNTIF(INDIRECT("'"&amp;$D5&amp;"'!$AH$7:$AH$500"),"Pass"),0))</f>
        <v>0</v>
      </c>
      <c r="AV5" s="92" t="n">
        <f aca="true">IF($D5="","",IFERROR(COUNTIF(INDIRECT("'"&amp;$D5&amp;"'!$AH$7:$AH$500"),"Fail"),0))</f>
        <v>0</v>
      </c>
      <c r="AW5" s="92" t="n">
        <f aca="true">IF($D5="","",IFERROR(COUNTIF(INDIRECT("'"&amp;$D5&amp;"'!$AH$7:$AH$500"),"Block"),0))</f>
        <v>0</v>
      </c>
      <c r="AX5" s="92" t="n">
        <f aca="true">IF($D5="","",IFERROR(COUNTIF(INDIRECT("'"&amp;$D5&amp;"'!$AH$7:$AH$500"),"N/A"),0))</f>
        <v>0</v>
      </c>
      <c r="AY5" s="92" t="n">
        <f aca="true">IF($D5="","",IFERROR(COUNTIF(INDIRECT("'"&amp;$D5&amp;"'!$AN$7:$AN$500"),"?*"),0))</f>
        <v>0</v>
      </c>
      <c r="AZ5" s="92" t="n">
        <f aca="true">IF($D5="","",IFERROR(COUNTIF(INDIRECT("'"&amp;$D5&amp;"'!$AN$7:$AN$500"),"Pass"),0))</f>
        <v>0</v>
      </c>
      <c r="BA5" s="92" t="n">
        <f aca="true">IF($D5="","",IFERROR(COUNTIF(INDIRECT("'"&amp;$D5&amp;"'!$AN$7:$AN$500"),"Fail"),0))</f>
        <v>0</v>
      </c>
      <c r="BB5" s="92" t="n">
        <f aca="true">IF($D5="","",IFERROR(COUNTIF(INDIRECT("'"&amp;$D5&amp;"'!$AN$7:$AN$500"),"Block"),0))</f>
        <v>0</v>
      </c>
      <c r="BC5" s="1" t="n">
        <f aca="true">IF($D5="","",IFERROR(COUNTIF(INDIRECT("'"&amp;$D5&amp;"'!$AN$7:$AN$500"),"N/A"),0))</f>
        <v>0</v>
      </c>
    </row>
    <row r="6" customFormat="false" ht="21.75" hidden="false" customHeight="true" outlineLevel="0" collapsed="false">
      <c r="B6" s="87" t="n">
        <f aca="false">IF($D6="","",ROW()-3)</f>
        <v>3</v>
      </c>
      <c r="C6" s="88" t="s">
        <v>199</v>
      </c>
      <c r="D6" s="88" t="s">
        <v>200</v>
      </c>
      <c r="E6" s="89" t="s">
        <v>200</v>
      </c>
      <c r="F6" s="87" t="n">
        <f aca="true">IF($D6="","",IFERROR(COUNTIF(INDIRECT("'"&amp;$D6&amp;"'!$A$7:$A$500"),"?*"),0))</f>
        <v>13</v>
      </c>
      <c r="G6" s="87" t="n">
        <f aca="true">IF($D6="","",IFERROR(COUNTIF(INDIRECT("'"&amp;$D6&amp;"'!$AT$7:$AT$500"),"Pass"),0))</f>
        <v>0</v>
      </c>
      <c r="H6" s="87" t="n">
        <f aca="true">IF($D6="","",IFERROR(COUNTIF(INDIRECT("'"&amp;$D6&amp;"'!$AT$7:$AT$500"),"Fail"),0))</f>
        <v>0</v>
      </c>
      <c r="I6" s="87" t="n">
        <f aca="true">IF($D6="","",IFERROR(COUNTIF(INDIRECT("'"&amp;$D6&amp;"'!$AT$7:$AT$500"),"Block"),0))</f>
        <v>0</v>
      </c>
      <c r="J6" s="87" t="n">
        <f aca="true">IF($D6="","",IFERROR(COUNTIF(INDIRECT("'"&amp;$D6&amp;"'!$AT$7:$AT$500"),"N/A"),0))</f>
        <v>0</v>
      </c>
      <c r="K6" s="87" t="n">
        <f aca="false">IF($D6="","",MAX(0,$F6-$G6-$H6-$I6-$J6))</f>
        <v>13</v>
      </c>
      <c r="L6" s="87" t="n">
        <f aca="false">IF($D6="","",$G6+$H6+$I6+$J6)</f>
        <v>0</v>
      </c>
      <c r="M6" s="90" t="n">
        <f aca="false">IF($D6="","",IFERROR($L6/$F6,0))</f>
        <v>0</v>
      </c>
      <c r="N6" s="90" t="n">
        <f aca="false">IF($D6="","",IFERROR($G6/$L6,0))</f>
        <v>0</v>
      </c>
      <c r="O6" s="87" t="n">
        <f aca="true">IF($D6="","",IFERROR(COUNTIF(INDIRECT("'"&amp;$D6&amp;"'!$E$7:$E$500"),"High"),0))</f>
        <v>4</v>
      </c>
      <c r="P6" s="87" t="n">
        <f aca="true">IF($D6="","",IFERROR(COUNTIF(INDIRECT("'"&amp;$D6&amp;"'!$E$7:$E$500"),"Medium"),0))</f>
        <v>7</v>
      </c>
      <c r="Q6" s="87" t="n">
        <f aca="true">IF($D6="","",IFERROR(COUNTIF(INDIRECT("'"&amp;$D6&amp;"'!$E$7:$E$500"),"Low"),0))</f>
        <v>2</v>
      </c>
      <c r="R6" s="87" t="n">
        <f aca="true">IF($D6="","",IFERROR(COUNTIF(INDIRECT("'"&amp;$D6&amp;"'!$D$7:$D$500"),"Functional"),0))</f>
        <v>13</v>
      </c>
      <c r="S6" s="87" t="n">
        <f aca="true">IF($D6="","",IFERROR(COUNTIF(INDIRECT("'"&amp;$D6&amp;"'!$D$7:$D$500"),"UI"),0))</f>
        <v>0</v>
      </c>
      <c r="T6" s="87" t="n">
        <f aca="true">IF($D6="","",IFERROR(COUNTIF(INDIRECT("'"&amp;$D6&amp;"'!$D$7:$D$500"),"Integration"),0))</f>
        <v>0</v>
      </c>
      <c r="U6" s="87" t="n">
        <f aca="true">IF($D6="","",IFERROR(COUNTIF(INDIRECT("'"&amp;$D6&amp;"'!$D$7:$D$500"),"Database Test Case"),0))</f>
        <v>0</v>
      </c>
      <c r="V6" s="87" t="n">
        <f aca="true">IF($D6="","",IFERROR(COUNTIF(INDIRECT("'"&amp;$D6&amp;"'!$J$7:$J$500"),"AI"),0))</f>
        <v>13</v>
      </c>
      <c r="W6" s="87" t="n">
        <f aca="true">IF($D6="","",IFERROR(COUNTIF(INDIRECT("'"&amp;$D6&amp;"'!$J$7:$J$500"),"QC"),0))</f>
        <v>0</v>
      </c>
      <c r="X6" s="87" t="n">
        <f aca="true">IF($D6="","",IFERROR(COUNTIF(INDIRECT("'"&amp;$D6&amp;"'!$L$7:$L$500"),"Yes"),0))</f>
        <v>0</v>
      </c>
      <c r="Y6" s="87" t="n">
        <f aca="true">IF($D6="","",IFERROR(COUNTIF(INDIRECT("'"&amp;$D6&amp;"'!$AR$7:$AR$500"),"Yes"),0))</f>
        <v>0</v>
      </c>
      <c r="Z6" s="87" t="n">
        <f aca="true">IF($D6="","",IFERROR(COUNTIF(INDIRECT("'"&amp;$D6&amp;"'!$AS$7:$AS$500"),"Pass"),0))</f>
        <v>0</v>
      </c>
      <c r="AA6" s="87" t="n">
        <f aca="true">IF($D6="","",IFERROR(COUNTIF(INDIRECT("'"&amp;$D6&amp;"'!$K$7:$K$500"),"Reviewed"),0))</f>
        <v>0</v>
      </c>
      <c r="AB6" s="91" t="n">
        <f aca="true">IF($D6="","",IFERROR(COUNTIFS(INDIRECT("'"&amp;$D6&amp;"'!$E$7:$E$500"),"High",INDIRECT("'"&amp;$D6&amp;"'!$AT$7:$AT$500"),"?*"),0))</f>
        <v>0</v>
      </c>
      <c r="AC6" s="91" t="n">
        <f aca="true">IF($D6="","",IFERROR(COUNTIFS(INDIRECT("'"&amp;$D6&amp;"'!$E$7:$E$500"),"Medium",INDIRECT("'"&amp;$D6&amp;"'!$AT$7:$AT$500"),"?*"),0))</f>
        <v>0</v>
      </c>
      <c r="AD6" s="91" t="n">
        <f aca="true">IF($D6="","",IFERROR(COUNTIFS(INDIRECT("'"&amp;$D6&amp;"'!$E$7:$E$500"),"Low",INDIRECT("'"&amp;$D6&amp;"'!$AT$7:$AT$500"),"?*"),0))</f>
        <v>0</v>
      </c>
      <c r="AE6" s="92" t="n">
        <f aca="true">IF($D6="","",IFERROR(COUNTIF(INDIRECT("'"&amp;$D6&amp;"'!$P$7:$P$500"),"?*"),0))</f>
        <v>0</v>
      </c>
      <c r="AF6" s="92" t="n">
        <f aca="true">IF($D6="","",IFERROR(COUNTIF(INDIRECT("'"&amp;$D6&amp;"'!$P$7:$P$500"),"Pass"),0))</f>
        <v>0</v>
      </c>
      <c r="AG6" s="92" t="n">
        <f aca="true">IF($D6="","",IFERROR(COUNTIF(INDIRECT("'"&amp;$D6&amp;"'!$P$7:$P$500"),"Fail"),0))</f>
        <v>0</v>
      </c>
      <c r="AH6" s="92" t="n">
        <f aca="true">IF($D6="","",IFERROR(COUNTIF(INDIRECT("'"&amp;$D6&amp;"'!$P$7:$P$500"),"Block"),0))</f>
        <v>0</v>
      </c>
      <c r="AI6" s="92" t="n">
        <f aca="true">IF($D6="","",IFERROR(COUNTIF(INDIRECT("'"&amp;$D6&amp;"'!$P$7:$P$500"),"N/A"),0))</f>
        <v>0</v>
      </c>
      <c r="AJ6" s="92" t="n">
        <f aca="true">IF($D6="","",IFERROR(COUNTIF(INDIRECT("'"&amp;$D6&amp;"'!$V$7:$V$500"),"?*"),0))</f>
        <v>0</v>
      </c>
      <c r="AK6" s="92" t="n">
        <f aca="true">IF($D6="","",IFERROR(COUNTIF(INDIRECT("'"&amp;$D6&amp;"'!$V$7:$V$500"),"Pass"),0))</f>
        <v>0</v>
      </c>
      <c r="AL6" s="92" t="n">
        <f aca="true">IF($D6="","",IFERROR(COUNTIF(INDIRECT("'"&amp;$D6&amp;"'!$V$7:$V$500"),"Fail"),0))</f>
        <v>0</v>
      </c>
      <c r="AM6" s="92" t="n">
        <f aca="true">IF($D6="","",IFERROR(COUNTIF(INDIRECT("'"&amp;$D6&amp;"'!$V$7:$V$500"),"Block"),0))</f>
        <v>0</v>
      </c>
      <c r="AN6" s="92" t="n">
        <f aca="true">IF($D6="","",IFERROR(COUNTIF(INDIRECT("'"&amp;$D6&amp;"'!$V$7:$V$500"),"N/A"),0))</f>
        <v>0</v>
      </c>
      <c r="AO6" s="92" t="n">
        <f aca="true">IF($D6="","",IFERROR(COUNTIF(INDIRECT("'"&amp;$D6&amp;"'!$AB$7:$AB$500"),"?*"),0))</f>
        <v>0</v>
      </c>
      <c r="AP6" s="92" t="n">
        <f aca="true">IF($D6="","",IFERROR(COUNTIF(INDIRECT("'"&amp;$D6&amp;"'!$AB$7:$AB$500"),"Pass"),0))</f>
        <v>0</v>
      </c>
      <c r="AQ6" s="92" t="n">
        <f aca="true">IF($D6="","",IFERROR(COUNTIF(INDIRECT("'"&amp;$D6&amp;"'!$AB$7:$AB$500"),"Fail"),0))</f>
        <v>0</v>
      </c>
      <c r="AR6" s="92" t="n">
        <f aca="true">IF($D6="","",IFERROR(COUNTIF(INDIRECT("'"&amp;$D6&amp;"'!$AB$7:$AB$500"),"Block"),0))</f>
        <v>0</v>
      </c>
      <c r="AS6" s="92" t="n">
        <f aca="true">IF($D6="","",IFERROR(COUNTIF(INDIRECT("'"&amp;$D6&amp;"'!$AB$7:$AB$500"),"N/A"),0))</f>
        <v>0</v>
      </c>
      <c r="AT6" s="92" t="n">
        <f aca="true">IF($D6="","",IFERROR(COUNTIF(INDIRECT("'"&amp;$D6&amp;"'!$AH$7:$AH$500"),"?*"),0))</f>
        <v>0</v>
      </c>
      <c r="AU6" s="92" t="n">
        <f aca="true">IF($D6="","",IFERROR(COUNTIF(INDIRECT("'"&amp;$D6&amp;"'!$AH$7:$AH$500"),"Pass"),0))</f>
        <v>0</v>
      </c>
      <c r="AV6" s="92" t="n">
        <f aca="true">IF($D6="","",IFERROR(COUNTIF(INDIRECT("'"&amp;$D6&amp;"'!$AH$7:$AH$500"),"Fail"),0))</f>
        <v>0</v>
      </c>
      <c r="AW6" s="92" t="n">
        <f aca="true">IF($D6="","",IFERROR(COUNTIF(INDIRECT("'"&amp;$D6&amp;"'!$AH$7:$AH$500"),"Block"),0))</f>
        <v>0</v>
      </c>
      <c r="AX6" s="92" t="n">
        <f aca="true">IF($D6="","",IFERROR(COUNTIF(INDIRECT("'"&amp;$D6&amp;"'!$AH$7:$AH$500"),"N/A"),0))</f>
        <v>0</v>
      </c>
      <c r="AY6" s="92" t="n">
        <f aca="true">IF($D6="","",IFERROR(COUNTIF(INDIRECT("'"&amp;$D6&amp;"'!$AN$7:$AN$500"),"?*"),0))</f>
        <v>0</v>
      </c>
      <c r="AZ6" s="92" t="n">
        <f aca="true">IF($D6="","",IFERROR(COUNTIF(INDIRECT("'"&amp;$D6&amp;"'!$AN$7:$AN$500"),"Pass"),0))</f>
        <v>0</v>
      </c>
      <c r="BA6" s="92" t="n">
        <f aca="true">IF($D6="","",IFERROR(COUNTIF(INDIRECT("'"&amp;$D6&amp;"'!$AN$7:$AN$500"),"Fail"),0))</f>
        <v>0</v>
      </c>
      <c r="BB6" s="92" t="n">
        <f aca="true">IF($D6="","",IFERROR(COUNTIF(INDIRECT("'"&amp;$D6&amp;"'!$AN$7:$AN$500"),"Block"),0))</f>
        <v>0</v>
      </c>
      <c r="BC6" s="1" t="n">
        <f aca="true">IF($D6="","",IFERROR(COUNTIF(INDIRECT("'"&amp;$D6&amp;"'!$AN$7:$AN$500"),"N/A"),0))</f>
        <v>0</v>
      </c>
    </row>
    <row r="7" customFormat="false" ht="21.75" hidden="false" customHeight="true" outlineLevel="0" collapsed="false">
      <c r="B7" s="87" t="n">
        <f aca="false">IF($D7="","",ROW()-3)</f>
        <v>4</v>
      </c>
      <c r="C7" s="88" t="s">
        <v>201</v>
      </c>
      <c r="D7" s="88" t="s">
        <v>202</v>
      </c>
      <c r="E7" s="89" t="s">
        <v>202</v>
      </c>
      <c r="F7" s="87" t="n">
        <f aca="true">IF($D7="","",IFERROR(COUNTIF(INDIRECT("'"&amp;$D7&amp;"'!$A$7:$A$500"),"?*"),0))</f>
        <v>51</v>
      </c>
      <c r="G7" s="87" t="n">
        <f aca="true">IF($D7="","",IFERROR(COUNTIF(INDIRECT("'"&amp;$D7&amp;"'!$AT$7:$AT$500"),"Pass"),0))</f>
        <v>0</v>
      </c>
      <c r="H7" s="87" t="n">
        <f aca="true">IF($D7="","",IFERROR(COUNTIF(INDIRECT("'"&amp;$D7&amp;"'!$AT$7:$AT$500"),"Fail"),0))</f>
        <v>0</v>
      </c>
      <c r="I7" s="87" t="n">
        <f aca="true">IF($D7="","",IFERROR(COUNTIF(INDIRECT("'"&amp;$D7&amp;"'!$AT$7:$AT$500"),"Block"),0))</f>
        <v>0</v>
      </c>
      <c r="J7" s="87" t="n">
        <f aca="true">IF($D7="","",IFERROR(COUNTIF(INDIRECT("'"&amp;$D7&amp;"'!$AT$7:$AT$500"),"N/A"),0))</f>
        <v>0</v>
      </c>
      <c r="K7" s="87" t="n">
        <f aca="false">IF($D7="","",MAX(0,$F7-$G7-$H7-$I7-$J7))</f>
        <v>51</v>
      </c>
      <c r="L7" s="87" t="n">
        <f aca="false">IF($D7="","",$G7+$H7+$I7+$J7)</f>
        <v>0</v>
      </c>
      <c r="M7" s="90" t="n">
        <f aca="false">IF($D7="","",IFERROR($L7/$F7,0))</f>
        <v>0</v>
      </c>
      <c r="N7" s="90" t="n">
        <f aca="false">IF($D7="","",IFERROR($G7/$L7,0))</f>
        <v>0</v>
      </c>
      <c r="O7" s="87" t="n">
        <f aca="true">IF($D7="","",IFERROR(COUNTIF(INDIRECT("'"&amp;$D7&amp;"'!$E$7:$E$500"),"High"),0))</f>
        <v>8</v>
      </c>
      <c r="P7" s="87" t="n">
        <f aca="true">IF($D7="","",IFERROR(COUNTIF(INDIRECT("'"&amp;$D7&amp;"'!$E$7:$E$500"),"Medium"),0))</f>
        <v>28</v>
      </c>
      <c r="Q7" s="87" t="n">
        <f aca="true">IF($D7="","",IFERROR(COUNTIF(INDIRECT("'"&amp;$D7&amp;"'!$E$7:$E$500"),"Low"),0))</f>
        <v>15</v>
      </c>
      <c r="R7" s="87" t="n">
        <f aca="true">IF($D7="","",IFERROR(COUNTIF(INDIRECT("'"&amp;$D7&amp;"'!$D$7:$D$500"),"Functional"),0))</f>
        <v>39</v>
      </c>
      <c r="S7" s="87" t="n">
        <f aca="true">IF($D7="","",IFERROR(COUNTIF(INDIRECT("'"&amp;$D7&amp;"'!$D$7:$D$500"),"UI"),0))</f>
        <v>12</v>
      </c>
      <c r="T7" s="87" t="n">
        <f aca="true">IF($D7="","",IFERROR(COUNTIF(INDIRECT("'"&amp;$D7&amp;"'!$D$7:$D$500"),"Integration"),0))</f>
        <v>0</v>
      </c>
      <c r="U7" s="87" t="n">
        <f aca="true">IF($D7="","",IFERROR(COUNTIF(INDIRECT("'"&amp;$D7&amp;"'!$D$7:$D$500"),"Database Test Case"),0))</f>
        <v>0</v>
      </c>
      <c r="V7" s="87" t="n">
        <f aca="true">IF($D7="","",IFERROR(COUNTIF(INDIRECT("'"&amp;$D7&amp;"'!$J$7:$J$500"),"AI"),0))</f>
        <v>51</v>
      </c>
      <c r="W7" s="87" t="n">
        <f aca="true">IF($D7="","",IFERROR(COUNTIF(INDIRECT("'"&amp;$D7&amp;"'!$J$7:$J$500"),"QC"),0))</f>
        <v>0</v>
      </c>
      <c r="X7" s="87" t="n">
        <f aca="true">IF($D7="","",IFERROR(COUNTIF(INDIRECT("'"&amp;$D7&amp;"'!$L$7:$L$500"),"Yes"),0))</f>
        <v>0</v>
      </c>
      <c r="Y7" s="87" t="n">
        <f aca="true">IF($D7="","",IFERROR(COUNTIF(INDIRECT("'"&amp;$D7&amp;"'!$AR$7:$AR$500"),"Yes"),0))</f>
        <v>0</v>
      </c>
      <c r="Z7" s="87" t="n">
        <f aca="true">IF($D7="","",IFERROR(COUNTIF(INDIRECT("'"&amp;$D7&amp;"'!$AS$7:$AS$500"),"Pass"),0))</f>
        <v>0</v>
      </c>
      <c r="AA7" s="87" t="n">
        <f aca="true">IF($D7="","",IFERROR(COUNTIF(INDIRECT("'"&amp;$D7&amp;"'!$K$7:$K$500"),"Reviewed"),0))</f>
        <v>0</v>
      </c>
      <c r="AB7" s="91" t="n">
        <f aca="true">IF($D7="","",IFERROR(COUNTIFS(INDIRECT("'"&amp;$D7&amp;"'!$E$7:$E$500"),"High",INDIRECT("'"&amp;$D7&amp;"'!$AT$7:$AT$500"),"?*"),0))</f>
        <v>0</v>
      </c>
      <c r="AC7" s="91" t="n">
        <f aca="true">IF($D7="","",IFERROR(COUNTIFS(INDIRECT("'"&amp;$D7&amp;"'!$E$7:$E$500"),"Medium",INDIRECT("'"&amp;$D7&amp;"'!$AT$7:$AT$500"),"?*"),0))</f>
        <v>0</v>
      </c>
      <c r="AD7" s="91" t="n">
        <f aca="true">IF($D7="","",IFERROR(COUNTIFS(INDIRECT("'"&amp;$D7&amp;"'!$E$7:$E$500"),"Low",INDIRECT("'"&amp;$D7&amp;"'!$AT$7:$AT$500"),"?*"),0))</f>
        <v>0</v>
      </c>
      <c r="AE7" s="92" t="n">
        <f aca="true">IF($D7="","",IFERROR(COUNTIF(INDIRECT("'"&amp;$D7&amp;"'!$P$7:$P$500"),"?*"),0))</f>
        <v>0</v>
      </c>
      <c r="AF7" s="92" t="n">
        <f aca="true">IF($D7="","",IFERROR(COUNTIF(INDIRECT("'"&amp;$D7&amp;"'!$P$7:$P$500"),"Pass"),0))</f>
        <v>0</v>
      </c>
      <c r="AG7" s="92" t="n">
        <f aca="true">IF($D7="","",IFERROR(COUNTIF(INDIRECT("'"&amp;$D7&amp;"'!$P$7:$P$500"),"Fail"),0))</f>
        <v>0</v>
      </c>
      <c r="AH7" s="92" t="n">
        <f aca="true">IF($D7="","",IFERROR(COUNTIF(INDIRECT("'"&amp;$D7&amp;"'!$P$7:$P$500"),"Block"),0))</f>
        <v>0</v>
      </c>
      <c r="AI7" s="92" t="n">
        <f aca="true">IF($D7="","",IFERROR(COUNTIF(INDIRECT("'"&amp;$D7&amp;"'!$P$7:$P$500"),"N/A"),0))</f>
        <v>0</v>
      </c>
      <c r="AJ7" s="92" t="n">
        <f aca="true">IF($D7="","",IFERROR(COUNTIF(INDIRECT("'"&amp;$D7&amp;"'!$V$7:$V$500"),"?*"),0))</f>
        <v>0</v>
      </c>
      <c r="AK7" s="92" t="n">
        <f aca="true">IF($D7="","",IFERROR(COUNTIF(INDIRECT("'"&amp;$D7&amp;"'!$V$7:$V$500"),"Pass"),0))</f>
        <v>0</v>
      </c>
      <c r="AL7" s="92" t="n">
        <f aca="true">IF($D7="","",IFERROR(COUNTIF(INDIRECT("'"&amp;$D7&amp;"'!$V$7:$V$500"),"Fail"),0))</f>
        <v>0</v>
      </c>
      <c r="AM7" s="92" t="n">
        <f aca="true">IF($D7="","",IFERROR(COUNTIF(INDIRECT("'"&amp;$D7&amp;"'!$V$7:$V$500"),"Block"),0))</f>
        <v>0</v>
      </c>
      <c r="AN7" s="92" t="n">
        <f aca="true">IF($D7="","",IFERROR(COUNTIF(INDIRECT("'"&amp;$D7&amp;"'!$V$7:$V$500"),"N/A"),0))</f>
        <v>0</v>
      </c>
      <c r="AO7" s="92" t="n">
        <f aca="true">IF($D7="","",IFERROR(COUNTIF(INDIRECT("'"&amp;$D7&amp;"'!$AB$7:$AB$500"),"?*"),0))</f>
        <v>0</v>
      </c>
      <c r="AP7" s="92" t="n">
        <f aca="true">IF($D7="","",IFERROR(COUNTIF(INDIRECT("'"&amp;$D7&amp;"'!$AB$7:$AB$500"),"Pass"),0))</f>
        <v>0</v>
      </c>
      <c r="AQ7" s="92" t="n">
        <f aca="true">IF($D7="","",IFERROR(COUNTIF(INDIRECT("'"&amp;$D7&amp;"'!$AB$7:$AB$500"),"Fail"),0))</f>
        <v>0</v>
      </c>
      <c r="AR7" s="92" t="n">
        <f aca="true">IF($D7="","",IFERROR(COUNTIF(INDIRECT("'"&amp;$D7&amp;"'!$AB$7:$AB$500"),"Block"),0))</f>
        <v>0</v>
      </c>
      <c r="AS7" s="92" t="n">
        <f aca="true">IF($D7="","",IFERROR(COUNTIF(INDIRECT("'"&amp;$D7&amp;"'!$AB$7:$AB$500"),"N/A"),0))</f>
        <v>0</v>
      </c>
      <c r="AT7" s="92" t="n">
        <f aca="true">IF($D7="","",IFERROR(COUNTIF(INDIRECT("'"&amp;$D7&amp;"'!$AH$7:$AH$500"),"?*"),0))</f>
        <v>0</v>
      </c>
      <c r="AU7" s="92" t="n">
        <f aca="true">IF($D7="","",IFERROR(COUNTIF(INDIRECT("'"&amp;$D7&amp;"'!$AH$7:$AH$500"),"Pass"),0))</f>
        <v>0</v>
      </c>
      <c r="AV7" s="92" t="n">
        <f aca="true">IF($D7="","",IFERROR(COUNTIF(INDIRECT("'"&amp;$D7&amp;"'!$AH$7:$AH$500"),"Fail"),0))</f>
        <v>0</v>
      </c>
      <c r="AW7" s="92" t="n">
        <f aca="true">IF($D7="","",IFERROR(COUNTIF(INDIRECT("'"&amp;$D7&amp;"'!$AH$7:$AH$500"),"Block"),0))</f>
        <v>0</v>
      </c>
      <c r="AX7" s="92" t="n">
        <f aca="true">IF($D7="","",IFERROR(COUNTIF(INDIRECT("'"&amp;$D7&amp;"'!$AH$7:$AH$500"),"N/A"),0))</f>
        <v>0</v>
      </c>
      <c r="AY7" s="92" t="n">
        <f aca="true">IF($D7="","",IFERROR(COUNTIF(INDIRECT("'"&amp;$D7&amp;"'!$AN$7:$AN$500"),"?*"),0))</f>
        <v>0</v>
      </c>
      <c r="AZ7" s="92" t="n">
        <f aca="true">IF($D7="","",IFERROR(COUNTIF(INDIRECT("'"&amp;$D7&amp;"'!$AN$7:$AN$500"),"Pass"),0))</f>
        <v>0</v>
      </c>
      <c r="BA7" s="92" t="n">
        <f aca="true">IF($D7="","",IFERROR(COUNTIF(INDIRECT("'"&amp;$D7&amp;"'!$AN$7:$AN$500"),"Fail"),0))</f>
        <v>0</v>
      </c>
      <c r="BB7" s="92" t="n">
        <f aca="true">IF($D7="","",IFERROR(COUNTIF(INDIRECT("'"&amp;$D7&amp;"'!$AN$7:$AN$500"),"Block"),0))</f>
        <v>0</v>
      </c>
      <c r="BC7" s="1" t="n">
        <f aca="true">IF($D7="","",IFERROR(COUNTIF(INDIRECT("'"&amp;$D7&amp;"'!$AN$7:$AN$500"),"N/A"),0))</f>
        <v>0</v>
      </c>
    </row>
    <row r="8" customFormat="false" ht="21.75" hidden="false" customHeight="true" outlineLevel="0" collapsed="false">
      <c r="B8" s="87" t="n">
        <f aca="false">IF($D8="","",ROW()-3)</f>
        <v>5</v>
      </c>
      <c r="C8" s="88" t="s">
        <v>203</v>
      </c>
      <c r="D8" s="88" t="s">
        <v>204</v>
      </c>
      <c r="E8" s="89" t="s">
        <v>204</v>
      </c>
      <c r="F8" s="87" t="n">
        <f aca="true">IF($D8="","",IFERROR(COUNTIF(INDIRECT("'"&amp;$D8&amp;"'!$A$7:$A$500"),"?*"),0))</f>
        <v>5</v>
      </c>
      <c r="G8" s="87" t="n">
        <f aca="true">IF($D8="","",IFERROR(COUNTIF(INDIRECT("'"&amp;$D8&amp;"'!$AT$7:$AT$500"),"Pass"),0))</f>
        <v>0</v>
      </c>
      <c r="H8" s="87" t="n">
        <f aca="true">IF($D8="","",IFERROR(COUNTIF(INDIRECT("'"&amp;$D8&amp;"'!$AT$7:$AT$500"),"Fail"),0))</f>
        <v>0</v>
      </c>
      <c r="I8" s="87" t="n">
        <f aca="true">IF($D8="","",IFERROR(COUNTIF(INDIRECT("'"&amp;$D8&amp;"'!$AT$7:$AT$500"),"Block"),0))</f>
        <v>0</v>
      </c>
      <c r="J8" s="87" t="n">
        <f aca="true">IF($D8="","",IFERROR(COUNTIF(INDIRECT("'"&amp;$D8&amp;"'!$AT$7:$AT$500"),"N/A"),0))</f>
        <v>0</v>
      </c>
      <c r="K8" s="87" t="n">
        <f aca="false">IF($D8="","",MAX(0,$F8-$G8-$H8-$I8-$J8))</f>
        <v>5</v>
      </c>
      <c r="L8" s="87" t="n">
        <f aca="false">IF($D8="","",$G8+$H8+$I8+$J8)</f>
        <v>0</v>
      </c>
      <c r="M8" s="90" t="n">
        <f aca="false">IF($D8="","",IFERROR($L8/$F8,0))</f>
        <v>0</v>
      </c>
      <c r="N8" s="90" t="n">
        <f aca="false">IF($D8="","",IFERROR($G8/$L8,0))</f>
        <v>0</v>
      </c>
      <c r="O8" s="87" t="n">
        <f aca="true">IF($D8="","",IFERROR(COUNTIF(INDIRECT("'"&amp;$D8&amp;"'!$E$7:$E$500"),"High"),0))</f>
        <v>0</v>
      </c>
      <c r="P8" s="87" t="n">
        <f aca="true">IF($D8="","",IFERROR(COUNTIF(INDIRECT("'"&amp;$D8&amp;"'!$E$7:$E$500"),"Medium"),0))</f>
        <v>2</v>
      </c>
      <c r="Q8" s="87" t="n">
        <f aca="true">IF($D8="","",IFERROR(COUNTIF(INDIRECT("'"&amp;$D8&amp;"'!$E$7:$E$500"),"Low"),0))</f>
        <v>3</v>
      </c>
      <c r="R8" s="87" t="n">
        <f aca="true">IF($D8="","",IFERROR(COUNTIF(INDIRECT("'"&amp;$D8&amp;"'!$D$7:$D$500"),"Functional"),0))</f>
        <v>0</v>
      </c>
      <c r="S8" s="87" t="n">
        <f aca="true">IF($D8="","",IFERROR(COUNTIF(INDIRECT("'"&amp;$D8&amp;"'!$D$7:$D$500"),"UI"),0))</f>
        <v>5</v>
      </c>
      <c r="T8" s="87" t="n">
        <f aca="true">IF($D8="","",IFERROR(COUNTIF(INDIRECT("'"&amp;$D8&amp;"'!$D$7:$D$500"),"Integration"),0))</f>
        <v>0</v>
      </c>
      <c r="U8" s="87" t="n">
        <f aca="true">IF($D8="","",IFERROR(COUNTIF(INDIRECT("'"&amp;$D8&amp;"'!$D$7:$D$500"),"Database Test Case"),0))</f>
        <v>0</v>
      </c>
      <c r="V8" s="87" t="n">
        <f aca="true">IF($D8="","",IFERROR(COUNTIF(INDIRECT("'"&amp;$D8&amp;"'!$J$7:$J$500"),"AI"),0))</f>
        <v>5</v>
      </c>
      <c r="W8" s="87" t="n">
        <f aca="true">IF($D8="","",IFERROR(COUNTIF(INDIRECT("'"&amp;$D8&amp;"'!$J$7:$J$500"),"QC"),0))</f>
        <v>0</v>
      </c>
      <c r="X8" s="87" t="n">
        <f aca="true">IF($D8="","",IFERROR(COUNTIF(INDIRECT("'"&amp;$D8&amp;"'!$L$7:$L$500"),"Yes"),0))</f>
        <v>0</v>
      </c>
      <c r="Y8" s="87" t="n">
        <f aca="true">IF($D8="","",IFERROR(COUNTIF(INDIRECT("'"&amp;$D8&amp;"'!$AR$7:$AR$500"),"Yes"),0))</f>
        <v>0</v>
      </c>
      <c r="Z8" s="87" t="n">
        <f aca="true">IF($D8="","",IFERROR(COUNTIF(INDIRECT("'"&amp;$D8&amp;"'!$AS$7:$AS$500"),"Pass"),0))</f>
        <v>0</v>
      </c>
      <c r="AA8" s="87" t="n">
        <f aca="true">IF($D8="","",IFERROR(COUNTIF(INDIRECT("'"&amp;$D8&amp;"'!$K$7:$K$500"),"Reviewed"),0))</f>
        <v>0</v>
      </c>
      <c r="AB8" s="91" t="n">
        <f aca="true">IF($D8="","",IFERROR(COUNTIFS(INDIRECT("'"&amp;$D8&amp;"'!$E$7:$E$500"),"High",INDIRECT("'"&amp;$D8&amp;"'!$AT$7:$AT$500"),"?*"),0))</f>
        <v>0</v>
      </c>
      <c r="AC8" s="91" t="n">
        <f aca="true">IF($D8="","",IFERROR(COUNTIFS(INDIRECT("'"&amp;$D8&amp;"'!$E$7:$E$500"),"Medium",INDIRECT("'"&amp;$D8&amp;"'!$AT$7:$AT$500"),"?*"),0))</f>
        <v>0</v>
      </c>
      <c r="AD8" s="91" t="n">
        <f aca="true">IF($D8="","",IFERROR(COUNTIFS(INDIRECT("'"&amp;$D8&amp;"'!$E$7:$E$500"),"Low",INDIRECT("'"&amp;$D8&amp;"'!$AT$7:$AT$500"),"?*"),0))</f>
        <v>0</v>
      </c>
      <c r="AE8" s="92" t="n">
        <f aca="true">IF($D8="","",IFERROR(COUNTIF(INDIRECT("'"&amp;$D8&amp;"'!$P$7:$P$500"),"?*"),0))</f>
        <v>0</v>
      </c>
      <c r="AF8" s="92" t="n">
        <f aca="true">IF($D8="","",IFERROR(COUNTIF(INDIRECT("'"&amp;$D8&amp;"'!$P$7:$P$500"),"Pass"),0))</f>
        <v>0</v>
      </c>
      <c r="AG8" s="92" t="n">
        <f aca="true">IF($D8="","",IFERROR(COUNTIF(INDIRECT("'"&amp;$D8&amp;"'!$P$7:$P$500"),"Fail"),0))</f>
        <v>0</v>
      </c>
      <c r="AH8" s="92" t="n">
        <f aca="true">IF($D8="","",IFERROR(COUNTIF(INDIRECT("'"&amp;$D8&amp;"'!$P$7:$P$500"),"Block"),0))</f>
        <v>0</v>
      </c>
      <c r="AI8" s="92" t="n">
        <f aca="true">IF($D8="","",IFERROR(COUNTIF(INDIRECT("'"&amp;$D8&amp;"'!$P$7:$P$500"),"N/A"),0))</f>
        <v>0</v>
      </c>
      <c r="AJ8" s="92" t="n">
        <f aca="true">IF($D8="","",IFERROR(COUNTIF(INDIRECT("'"&amp;$D8&amp;"'!$V$7:$V$500"),"?*"),0))</f>
        <v>0</v>
      </c>
      <c r="AK8" s="92" t="n">
        <f aca="true">IF($D8="","",IFERROR(COUNTIF(INDIRECT("'"&amp;$D8&amp;"'!$V$7:$V$500"),"Pass"),0))</f>
        <v>0</v>
      </c>
      <c r="AL8" s="92" t="n">
        <f aca="true">IF($D8="","",IFERROR(COUNTIF(INDIRECT("'"&amp;$D8&amp;"'!$V$7:$V$500"),"Fail"),0))</f>
        <v>0</v>
      </c>
      <c r="AM8" s="92" t="n">
        <f aca="true">IF($D8="","",IFERROR(COUNTIF(INDIRECT("'"&amp;$D8&amp;"'!$V$7:$V$500"),"Block"),0))</f>
        <v>0</v>
      </c>
      <c r="AN8" s="92" t="n">
        <f aca="true">IF($D8="","",IFERROR(COUNTIF(INDIRECT("'"&amp;$D8&amp;"'!$V$7:$V$500"),"N/A"),0))</f>
        <v>0</v>
      </c>
      <c r="AO8" s="92" t="n">
        <f aca="true">IF($D8="","",IFERROR(COUNTIF(INDIRECT("'"&amp;$D8&amp;"'!$AB$7:$AB$500"),"?*"),0))</f>
        <v>0</v>
      </c>
      <c r="AP8" s="92" t="n">
        <f aca="true">IF($D8="","",IFERROR(COUNTIF(INDIRECT("'"&amp;$D8&amp;"'!$AB$7:$AB$500"),"Pass"),0))</f>
        <v>0</v>
      </c>
      <c r="AQ8" s="92" t="n">
        <f aca="true">IF($D8="","",IFERROR(COUNTIF(INDIRECT("'"&amp;$D8&amp;"'!$AB$7:$AB$500"),"Fail"),0))</f>
        <v>0</v>
      </c>
      <c r="AR8" s="92" t="n">
        <f aca="true">IF($D8="","",IFERROR(COUNTIF(INDIRECT("'"&amp;$D8&amp;"'!$AB$7:$AB$500"),"Block"),0))</f>
        <v>0</v>
      </c>
      <c r="AS8" s="92" t="n">
        <f aca="true">IF($D8="","",IFERROR(COUNTIF(INDIRECT("'"&amp;$D8&amp;"'!$AB$7:$AB$500"),"N/A"),0))</f>
        <v>0</v>
      </c>
      <c r="AT8" s="92" t="n">
        <f aca="true">IF($D8="","",IFERROR(COUNTIF(INDIRECT("'"&amp;$D8&amp;"'!$AH$7:$AH$500"),"?*"),0))</f>
        <v>0</v>
      </c>
      <c r="AU8" s="92" t="n">
        <f aca="true">IF($D8="","",IFERROR(COUNTIF(INDIRECT("'"&amp;$D8&amp;"'!$AH$7:$AH$500"),"Pass"),0))</f>
        <v>0</v>
      </c>
      <c r="AV8" s="92" t="n">
        <f aca="true">IF($D8="","",IFERROR(COUNTIF(INDIRECT("'"&amp;$D8&amp;"'!$AH$7:$AH$500"),"Fail"),0))</f>
        <v>0</v>
      </c>
      <c r="AW8" s="92" t="n">
        <f aca="true">IF($D8="","",IFERROR(COUNTIF(INDIRECT("'"&amp;$D8&amp;"'!$AH$7:$AH$500"),"Block"),0))</f>
        <v>0</v>
      </c>
      <c r="AX8" s="92" t="n">
        <f aca="true">IF($D8="","",IFERROR(COUNTIF(INDIRECT("'"&amp;$D8&amp;"'!$AH$7:$AH$500"),"N/A"),0))</f>
        <v>0</v>
      </c>
      <c r="AY8" s="92" t="n">
        <f aca="true">IF($D8="","",IFERROR(COUNTIF(INDIRECT("'"&amp;$D8&amp;"'!$AN$7:$AN$500"),"?*"),0))</f>
        <v>0</v>
      </c>
      <c r="AZ8" s="92" t="n">
        <f aca="true">IF($D8="","",IFERROR(COUNTIF(INDIRECT("'"&amp;$D8&amp;"'!$AN$7:$AN$500"),"Pass"),0))</f>
        <v>0</v>
      </c>
      <c r="BA8" s="92" t="n">
        <f aca="true">IF($D8="","",IFERROR(COUNTIF(INDIRECT("'"&amp;$D8&amp;"'!$AN$7:$AN$500"),"Fail"),0))</f>
        <v>0</v>
      </c>
      <c r="BB8" s="92" t="n">
        <f aca="true">IF($D8="","",IFERROR(COUNTIF(INDIRECT("'"&amp;$D8&amp;"'!$AN$7:$AN$500"),"Block"),0))</f>
        <v>0</v>
      </c>
      <c r="BC8" s="1" t="n">
        <f aca="true">IF($D8="","",IFERROR(COUNTIF(INDIRECT("'"&amp;$D8&amp;"'!$AN$7:$AN$500"),"N/A"),0))</f>
        <v>0</v>
      </c>
    </row>
    <row r="9" customFormat="false" ht="15" hidden="false" customHeight="true" outlineLevel="0" collapsed="false">
      <c r="B9" s="87" t="n">
        <f aca="false">IF($D9="","",ROW()-3)</f>
        <v>6</v>
      </c>
      <c r="C9" s="88" t="s">
        <v>205</v>
      </c>
      <c r="D9" s="88" t="s">
        <v>206</v>
      </c>
      <c r="E9" s="89" t="s">
        <v>206</v>
      </c>
      <c r="F9" s="87" t="n">
        <f aca="true">IF($D9="","",IFERROR(COUNTIF(INDIRECT("'"&amp;$D9&amp;"'!$A$7:$A$500"),"?*"),0))</f>
        <v>8</v>
      </c>
      <c r="G9" s="87" t="n">
        <f aca="true">IF($D9="","",IFERROR(COUNTIF(INDIRECT("'"&amp;$D9&amp;"'!$AT$7:$AT$500"),"Pass"),0))</f>
        <v>0</v>
      </c>
      <c r="H9" s="87" t="n">
        <f aca="true">IF($D9="","",IFERROR(COUNTIF(INDIRECT("'"&amp;$D9&amp;"'!$AT$7:$AT$500"),"Fail"),0))</f>
        <v>0</v>
      </c>
      <c r="I9" s="87" t="n">
        <f aca="true">IF($D9="","",IFERROR(COUNTIF(INDIRECT("'"&amp;$D9&amp;"'!$AT$7:$AT$500"),"Block"),0))</f>
        <v>0</v>
      </c>
      <c r="J9" s="87" t="n">
        <f aca="true">IF($D9="","",IFERROR(COUNTIF(INDIRECT("'"&amp;$D9&amp;"'!$AT$7:$AT$500"),"N/A"),0))</f>
        <v>0</v>
      </c>
      <c r="K9" s="87" t="n">
        <f aca="false">IF($D9="","",MAX(0,$F9-$G9-$H9-$I9-$J9))</f>
        <v>8</v>
      </c>
      <c r="L9" s="87" t="n">
        <f aca="false">IF($D9="","",$G9+$H9+$I9+$J9)</f>
        <v>0</v>
      </c>
      <c r="M9" s="90" t="n">
        <f aca="false">IF($D9="","",IFERROR($L9/$F9,0))</f>
        <v>0</v>
      </c>
      <c r="N9" s="90" t="n">
        <f aca="false">IF($D9="","",IFERROR($G9/$L9,0))</f>
        <v>0</v>
      </c>
      <c r="O9" s="87" t="n">
        <f aca="true">IF($D9="","",IFERROR(COUNTIF(INDIRECT("'"&amp;$D9&amp;"'!$E$7:$E$500"),"High"),0))</f>
        <v>0</v>
      </c>
      <c r="P9" s="87" t="n">
        <f aca="true">IF($D9="","",IFERROR(COUNTIF(INDIRECT("'"&amp;$D9&amp;"'!$E$7:$E$500"),"Medium"),0))</f>
        <v>6</v>
      </c>
      <c r="Q9" s="87" t="n">
        <f aca="true">IF($D9="","",IFERROR(COUNTIF(INDIRECT("'"&amp;$D9&amp;"'!$E$7:$E$500"),"Low"),0))</f>
        <v>2</v>
      </c>
      <c r="R9" s="87" t="n">
        <f aca="true">IF($D9="","",IFERROR(COUNTIF(INDIRECT("'"&amp;$D9&amp;"'!$D$7:$D$500"),"Functional"),0))</f>
        <v>5</v>
      </c>
      <c r="S9" s="87" t="n">
        <f aca="true">IF($D9="","",IFERROR(COUNTIF(INDIRECT("'"&amp;$D9&amp;"'!$D$7:$D$500"),"UI"),0))</f>
        <v>3</v>
      </c>
      <c r="T9" s="87" t="n">
        <f aca="true">IF($D9="","",IFERROR(COUNTIF(INDIRECT("'"&amp;$D9&amp;"'!$D$7:$D$500"),"Integration"),0))</f>
        <v>0</v>
      </c>
      <c r="U9" s="87" t="n">
        <f aca="true">IF($D9="","",IFERROR(COUNTIF(INDIRECT("'"&amp;$D9&amp;"'!$D$7:$D$500"),"Database Test Case"),0))</f>
        <v>0</v>
      </c>
      <c r="V9" s="87" t="n">
        <f aca="true">IF($D9="","",IFERROR(COUNTIF(INDIRECT("'"&amp;$D9&amp;"'!$J$7:$J$500"),"AI"),0))</f>
        <v>8</v>
      </c>
      <c r="W9" s="87" t="n">
        <f aca="true">IF($D9="","",IFERROR(COUNTIF(INDIRECT("'"&amp;$D9&amp;"'!$J$7:$J$500"),"QC"),0))</f>
        <v>0</v>
      </c>
      <c r="X9" s="87" t="n">
        <f aca="true">IF($D9="","",IFERROR(COUNTIF(INDIRECT("'"&amp;$D9&amp;"'!$L$7:$L$500"),"Yes"),0))</f>
        <v>0</v>
      </c>
      <c r="Y9" s="87" t="n">
        <f aca="true">IF($D9="","",IFERROR(COUNTIF(INDIRECT("'"&amp;$D9&amp;"'!$AR$7:$AR$500"),"Yes"),0))</f>
        <v>0</v>
      </c>
      <c r="Z9" s="87" t="n">
        <f aca="true">IF($D9="","",IFERROR(COUNTIF(INDIRECT("'"&amp;$D9&amp;"'!$AS$7:$AS$500"),"Pass"),0))</f>
        <v>0</v>
      </c>
      <c r="AA9" s="87" t="n">
        <f aca="true">IF($D9="","",IFERROR(COUNTIF(INDIRECT("'"&amp;$D9&amp;"'!$K$7:$K$500"),"Reviewed"),0))</f>
        <v>0</v>
      </c>
      <c r="AB9" s="91" t="n">
        <f aca="true">IF($D9="","",IFERROR(COUNTIFS(INDIRECT("'"&amp;$D9&amp;"'!$E$7:$E$500"),"High",INDIRECT("'"&amp;$D9&amp;"'!$AT$7:$AT$500"),"?*"),0))</f>
        <v>0</v>
      </c>
      <c r="AC9" s="91" t="n">
        <f aca="true">IF($D9="","",IFERROR(COUNTIFS(INDIRECT("'"&amp;$D9&amp;"'!$E$7:$E$500"),"Medium",INDIRECT("'"&amp;$D9&amp;"'!$AT$7:$AT$500"),"?*"),0))</f>
        <v>0</v>
      </c>
      <c r="AD9" s="91" t="n">
        <f aca="true">IF($D9="","",IFERROR(COUNTIFS(INDIRECT("'"&amp;$D9&amp;"'!$E$7:$E$500"),"Low",INDIRECT("'"&amp;$D9&amp;"'!$AT$7:$AT$500"),"?*"),0))</f>
        <v>0</v>
      </c>
      <c r="AE9" s="92" t="n">
        <f aca="true">IF($D9="","",IFERROR(COUNTIF(INDIRECT("'"&amp;$D9&amp;"'!$P$7:$P$500"),"?*"),0))</f>
        <v>0</v>
      </c>
      <c r="AF9" s="92" t="n">
        <f aca="true">IF($D9="","",IFERROR(COUNTIF(INDIRECT("'"&amp;$D9&amp;"'!$P$7:$P$500"),"Pass"),0))</f>
        <v>0</v>
      </c>
      <c r="AG9" s="92" t="n">
        <f aca="true">IF($D9="","",IFERROR(COUNTIF(INDIRECT("'"&amp;$D9&amp;"'!$P$7:$P$500"),"Fail"),0))</f>
        <v>0</v>
      </c>
      <c r="AH9" s="92" t="n">
        <f aca="true">IF($D9="","",IFERROR(COUNTIF(INDIRECT("'"&amp;$D9&amp;"'!$P$7:$P$500"),"Block"),0))</f>
        <v>0</v>
      </c>
      <c r="AI9" s="92" t="n">
        <f aca="true">IF($D9="","",IFERROR(COUNTIF(INDIRECT("'"&amp;$D9&amp;"'!$P$7:$P$500"),"N/A"),0))</f>
        <v>0</v>
      </c>
      <c r="AJ9" s="92" t="n">
        <f aca="true">IF($D9="","",IFERROR(COUNTIF(INDIRECT("'"&amp;$D9&amp;"'!$V$7:$V$500"),"?*"),0))</f>
        <v>0</v>
      </c>
      <c r="AK9" s="92" t="n">
        <f aca="true">IF($D9="","",IFERROR(COUNTIF(INDIRECT("'"&amp;$D9&amp;"'!$V$7:$V$500"),"Pass"),0))</f>
        <v>0</v>
      </c>
      <c r="AL9" s="92" t="n">
        <f aca="true">IF($D9="","",IFERROR(COUNTIF(INDIRECT("'"&amp;$D9&amp;"'!$V$7:$V$500"),"Fail"),0))</f>
        <v>0</v>
      </c>
      <c r="AM9" s="92" t="n">
        <f aca="true">IF($D9="","",IFERROR(COUNTIF(INDIRECT("'"&amp;$D9&amp;"'!$V$7:$V$500"),"Block"),0))</f>
        <v>0</v>
      </c>
      <c r="AN9" s="92" t="n">
        <f aca="true">IF($D9="","",IFERROR(COUNTIF(INDIRECT("'"&amp;$D9&amp;"'!$V$7:$V$500"),"N/A"),0))</f>
        <v>0</v>
      </c>
      <c r="AO9" s="92" t="n">
        <f aca="true">IF($D9="","",IFERROR(COUNTIF(INDIRECT("'"&amp;$D9&amp;"'!$AB$7:$AB$500"),"?*"),0))</f>
        <v>0</v>
      </c>
      <c r="AP9" s="92" t="n">
        <f aca="true">IF($D9="","",IFERROR(COUNTIF(INDIRECT("'"&amp;$D9&amp;"'!$AB$7:$AB$500"),"Pass"),0))</f>
        <v>0</v>
      </c>
      <c r="AQ9" s="92" t="n">
        <f aca="true">IF($D9="","",IFERROR(COUNTIF(INDIRECT("'"&amp;$D9&amp;"'!$AB$7:$AB$500"),"Fail"),0))</f>
        <v>0</v>
      </c>
      <c r="AR9" s="92" t="n">
        <f aca="true">IF($D9="","",IFERROR(COUNTIF(INDIRECT("'"&amp;$D9&amp;"'!$AB$7:$AB$500"),"Block"),0))</f>
        <v>0</v>
      </c>
      <c r="AS9" s="92" t="n">
        <f aca="true">IF($D9="","",IFERROR(COUNTIF(INDIRECT("'"&amp;$D9&amp;"'!$AB$7:$AB$500"),"N/A"),0))</f>
        <v>0</v>
      </c>
      <c r="AT9" s="92" t="n">
        <f aca="true">IF($D9="","",IFERROR(COUNTIF(INDIRECT("'"&amp;$D9&amp;"'!$AH$7:$AH$500"),"?*"),0))</f>
        <v>0</v>
      </c>
      <c r="AU9" s="92" t="n">
        <f aca="true">IF($D9="","",IFERROR(COUNTIF(INDIRECT("'"&amp;$D9&amp;"'!$AH$7:$AH$500"),"Pass"),0))</f>
        <v>0</v>
      </c>
      <c r="AV9" s="92" t="n">
        <f aca="true">IF($D9="","",IFERROR(COUNTIF(INDIRECT("'"&amp;$D9&amp;"'!$AH$7:$AH$500"),"Fail"),0))</f>
        <v>0</v>
      </c>
      <c r="AW9" s="92" t="n">
        <f aca="true">IF($D9="","",IFERROR(COUNTIF(INDIRECT("'"&amp;$D9&amp;"'!$AH$7:$AH$500"),"Block"),0))</f>
        <v>0</v>
      </c>
      <c r="AX9" s="92" t="n">
        <f aca="true">IF($D9="","",IFERROR(COUNTIF(INDIRECT("'"&amp;$D9&amp;"'!$AH$7:$AH$500"),"N/A"),0))</f>
        <v>0</v>
      </c>
      <c r="AY9" s="92" t="n">
        <f aca="true">IF($D9="","",IFERROR(COUNTIF(INDIRECT("'"&amp;$D9&amp;"'!$AN$7:$AN$500"),"?*"),0))</f>
        <v>0</v>
      </c>
      <c r="AZ9" s="92" t="n">
        <f aca="true">IF($D9="","",IFERROR(COUNTIF(INDIRECT("'"&amp;$D9&amp;"'!$AN$7:$AN$500"),"Pass"),0))</f>
        <v>0</v>
      </c>
      <c r="BA9" s="92" t="n">
        <f aca="true">IF($D9="","",IFERROR(COUNTIF(INDIRECT("'"&amp;$D9&amp;"'!$AN$7:$AN$500"),"Fail"),0))</f>
        <v>0</v>
      </c>
      <c r="BB9" s="92" t="n">
        <f aca="true">IF($D9="","",IFERROR(COUNTIF(INDIRECT("'"&amp;$D9&amp;"'!$AN$7:$AN$500"),"Block"),0))</f>
        <v>0</v>
      </c>
      <c r="BC9" s="1" t="n">
        <f aca="true">IF($D9="","",IFERROR(COUNTIF(INDIRECT("'"&amp;$D9&amp;"'!$AN$7:$AN$500"),"N/A"),0))</f>
        <v>0</v>
      </c>
    </row>
    <row r="10" customFormat="false" ht="15" hidden="false" customHeight="true" outlineLevel="0" collapsed="false">
      <c r="B10" s="87" t="n">
        <f aca="false">IF($D10="","",ROW()-3)</f>
        <v>7</v>
      </c>
      <c r="C10" s="88" t="s">
        <v>207</v>
      </c>
      <c r="D10" s="88" t="s">
        <v>208</v>
      </c>
      <c r="E10" s="89" t="s">
        <v>208</v>
      </c>
      <c r="F10" s="87" t="n">
        <f aca="true">IF($D10="","",IFERROR(COUNTIF(INDIRECT("'"&amp;$D10&amp;"'!$A$7:$A$500"),"?*"),0))</f>
        <v>11</v>
      </c>
      <c r="G10" s="87" t="n">
        <f aca="true">IF($D10="","",IFERROR(COUNTIF(INDIRECT("'"&amp;$D10&amp;"'!$AT$7:$AT$500"),"Pass"),0))</f>
        <v>0</v>
      </c>
      <c r="H10" s="87" t="n">
        <f aca="true">IF($D10="","",IFERROR(COUNTIF(INDIRECT("'"&amp;$D10&amp;"'!$AT$7:$AT$500"),"Fail"),0))</f>
        <v>0</v>
      </c>
      <c r="I10" s="87" t="n">
        <f aca="true">IF($D10="","",IFERROR(COUNTIF(INDIRECT("'"&amp;$D10&amp;"'!$AT$7:$AT$500"),"Block"),0))</f>
        <v>0</v>
      </c>
      <c r="J10" s="87" t="n">
        <f aca="true">IF($D10="","",IFERROR(COUNTIF(INDIRECT("'"&amp;$D10&amp;"'!$AT$7:$AT$500"),"N/A"),0))</f>
        <v>0</v>
      </c>
      <c r="K10" s="87" t="n">
        <f aca="false">IF($D10="","",MAX(0,$F10-$G10-$H10-$I10-$J10))</f>
        <v>11</v>
      </c>
      <c r="L10" s="87" t="n">
        <f aca="false">IF($D10="","",$G10+$H10+$I10+$J10)</f>
        <v>0</v>
      </c>
      <c r="M10" s="90" t="n">
        <f aca="false">IF($D10="","",IFERROR($L10/$F10,0))</f>
        <v>0</v>
      </c>
      <c r="N10" s="90" t="n">
        <f aca="false">IF($D10="","",IFERROR($G10/$L10,0))</f>
        <v>0</v>
      </c>
      <c r="O10" s="87" t="n">
        <f aca="true">IF($D10="","",IFERROR(COUNTIF(INDIRECT("'"&amp;$D10&amp;"'!$E$7:$E$500"),"High"),0))</f>
        <v>0</v>
      </c>
      <c r="P10" s="87" t="n">
        <f aca="true">IF($D10="","",IFERROR(COUNTIF(INDIRECT("'"&amp;$D10&amp;"'!$E$7:$E$500"),"Medium"),0))</f>
        <v>3</v>
      </c>
      <c r="Q10" s="87" t="n">
        <f aca="true">IF($D10="","",IFERROR(COUNTIF(INDIRECT("'"&amp;$D10&amp;"'!$E$7:$E$500"),"Low"),0))</f>
        <v>8</v>
      </c>
      <c r="R10" s="87" t="n">
        <f aca="true">IF($D10="","",IFERROR(COUNTIF(INDIRECT("'"&amp;$D10&amp;"'!$D$7:$D$500"),"Functional"),0))</f>
        <v>8</v>
      </c>
      <c r="S10" s="87" t="n">
        <f aca="true">IF($D10="","",IFERROR(COUNTIF(INDIRECT("'"&amp;$D10&amp;"'!$D$7:$D$500"),"UI"),0))</f>
        <v>3</v>
      </c>
      <c r="T10" s="87" t="n">
        <f aca="true">IF($D10="","",IFERROR(COUNTIF(INDIRECT("'"&amp;$D10&amp;"'!$D$7:$D$500"),"Integration"),0))</f>
        <v>0</v>
      </c>
      <c r="U10" s="87" t="n">
        <f aca="true">IF($D10="","",IFERROR(COUNTIF(INDIRECT("'"&amp;$D10&amp;"'!$D$7:$D$500"),"Database Test Case"),0))</f>
        <v>0</v>
      </c>
      <c r="V10" s="87" t="n">
        <f aca="true">IF($D10="","",IFERROR(COUNTIF(INDIRECT("'"&amp;$D10&amp;"'!$J$7:$J$500"),"AI"),0))</f>
        <v>11</v>
      </c>
      <c r="W10" s="87" t="n">
        <f aca="true">IF($D10="","",IFERROR(COUNTIF(INDIRECT("'"&amp;$D10&amp;"'!$J$7:$J$500"),"QC"),0))</f>
        <v>0</v>
      </c>
      <c r="X10" s="87" t="n">
        <f aca="true">IF($D10="","",IFERROR(COUNTIF(INDIRECT("'"&amp;$D10&amp;"'!$L$7:$L$500"),"Yes"),0))</f>
        <v>0</v>
      </c>
      <c r="Y10" s="87" t="n">
        <f aca="true">IF($D10="","",IFERROR(COUNTIF(INDIRECT("'"&amp;$D10&amp;"'!$AR$7:$AR$500"),"Yes"),0))</f>
        <v>0</v>
      </c>
      <c r="Z10" s="87" t="n">
        <f aca="true">IF($D10="","",IFERROR(COUNTIF(INDIRECT("'"&amp;$D10&amp;"'!$AS$7:$AS$500"),"Pass"),0))</f>
        <v>0</v>
      </c>
      <c r="AA10" s="87" t="n">
        <f aca="true">IF($D10="","",IFERROR(COUNTIF(INDIRECT("'"&amp;$D10&amp;"'!$K$7:$K$500"),"Reviewed"),0))</f>
        <v>0</v>
      </c>
      <c r="AB10" s="91" t="n">
        <f aca="true">IF($D10="","",IFERROR(COUNTIFS(INDIRECT("'"&amp;$D10&amp;"'!$E$7:$E$500"),"High",INDIRECT("'"&amp;$D10&amp;"'!$AT$7:$AT$500"),"?*"),0))</f>
        <v>0</v>
      </c>
      <c r="AC10" s="91" t="n">
        <f aca="true">IF($D10="","",IFERROR(COUNTIFS(INDIRECT("'"&amp;$D10&amp;"'!$E$7:$E$500"),"Medium",INDIRECT("'"&amp;$D10&amp;"'!$AT$7:$AT$500"),"?*"),0))</f>
        <v>0</v>
      </c>
      <c r="AD10" s="91" t="n">
        <f aca="true">IF($D10="","",IFERROR(COUNTIFS(INDIRECT("'"&amp;$D10&amp;"'!$E$7:$E$500"),"Low",INDIRECT("'"&amp;$D10&amp;"'!$AT$7:$AT$500"),"?*"),0))</f>
        <v>0</v>
      </c>
      <c r="AE10" s="92" t="n">
        <f aca="true">IF($D10="","",IFERROR(COUNTIF(INDIRECT("'"&amp;$D10&amp;"'!$P$7:$P$500"),"?*"),0))</f>
        <v>0</v>
      </c>
      <c r="AF10" s="92" t="n">
        <f aca="true">IF($D10="","",IFERROR(COUNTIF(INDIRECT("'"&amp;$D10&amp;"'!$P$7:$P$500"),"Pass"),0))</f>
        <v>0</v>
      </c>
      <c r="AG10" s="92" t="n">
        <f aca="true">IF($D10="","",IFERROR(COUNTIF(INDIRECT("'"&amp;$D10&amp;"'!$P$7:$P$500"),"Fail"),0))</f>
        <v>0</v>
      </c>
      <c r="AH10" s="92" t="n">
        <f aca="true">IF($D10="","",IFERROR(COUNTIF(INDIRECT("'"&amp;$D10&amp;"'!$P$7:$P$500"),"Block"),0))</f>
        <v>0</v>
      </c>
      <c r="AI10" s="92" t="n">
        <f aca="true">IF($D10="","",IFERROR(COUNTIF(INDIRECT("'"&amp;$D10&amp;"'!$P$7:$P$500"),"N/A"),0))</f>
        <v>0</v>
      </c>
      <c r="AJ10" s="92" t="n">
        <f aca="true">IF($D10="","",IFERROR(COUNTIF(INDIRECT("'"&amp;$D10&amp;"'!$V$7:$V$500"),"?*"),0))</f>
        <v>0</v>
      </c>
      <c r="AK10" s="92" t="n">
        <f aca="true">IF($D10="","",IFERROR(COUNTIF(INDIRECT("'"&amp;$D10&amp;"'!$V$7:$V$500"),"Pass"),0))</f>
        <v>0</v>
      </c>
      <c r="AL10" s="92" t="n">
        <f aca="true">IF($D10="","",IFERROR(COUNTIF(INDIRECT("'"&amp;$D10&amp;"'!$V$7:$V$500"),"Fail"),0))</f>
        <v>0</v>
      </c>
      <c r="AM10" s="92" t="n">
        <f aca="true">IF($D10="","",IFERROR(COUNTIF(INDIRECT("'"&amp;$D10&amp;"'!$V$7:$V$500"),"Block"),0))</f>
        <v>0</v>
      </c>
      <c r="AN10" s="92" t="n">
        <f aca="true">IF($D10="","",IFERROR(COUNTIF(INDIRECT("'"&amp;$D10&amp;"'!$V$7:$V$500"),"N/A"),0))</f>
        <v>0</v>
      </c>
      <c r="AO10" s="92" t="n">
        <f aca="true">IF($D10="","",IFERROR(COUNTIF(INDIRECT("'"&amp;$D10&amp;"'!$AB$7:$AB$500"),"?*"),0))</f>
        <v>0</v>
      </c>
      <c r="AP10" s="92" t="n">
        <f aca="true">IF($D10="","",IFERROR(COUNTIF(INDIRECT("'"&amp;$D10&amp;"'!$AB$7:$AB$500"),"Pass"),0))</f>
        <v>0</v>
      </c>
      <c r="AQ10" s="92" t="n">
        <f aca="true">IF($D10="","",IFERROR(COUNTIF(INDIRECT("'"&amp;$D10&amp;"'!$AB$7:$AB$500"),"Fail"),0))</f>
        <v>0</v>
      </c>
      <c r="AR10" s="92" t="n">
        <f aca="true">IF($D10="","",IFERROR(COUNTIF(INDIRECT("'"&amp;$D10&amp;"'!$AB$7:$AB$500"),"Block"),0))</f>
        <v>0</v>
      </c>
      <c r="AS10" s="92" t="n">
        <f aca="true">IF($D10="","",IFERROR(COUNTIF(INDIRECT("'"&amp;$D10&amp;"'!$AB$7:$AB$500"),"N/A"),0))</f>
        <v>0</v>
      </c>
      <c r="AT10" s="92" t="n">
        <f aca="true">IF($D10="","",IFERROR(COUNTIF(INDIRECT("'"&amp;$D10&amp;"'!$AH$7:$AH$500"),"?*"),0))</f>
        <v>0</v>
      </c>
      <c r="AU10" s="92" t="n">
        <f aca="true">IF($D10="","",IFERROR(COUNTIF(INDIRECT("'"&amp;$D10&amp;"'!$AH$7:$AH$500"),"Pass"),0))</f>
        <v>0</v>
      </c>
      <c r="AV10" s="92" t="n">
        <f aca="true">IF($D10="","",IFERROR(COUNTIF(INDIRECT("'"&amp;$D10&amp;"'!$AH$7:$AH$500"),"Fail"),0))</f>
        <v>0</v>
      </c>
      <c r="AW10" s="92" t="n">
        <f aca="true">IF($D10="","",IFERROR(COUNTIF(INDIRECT("'"&amp;$D10&amp;"'!$AH$7:$AH$500"),"Block"),0))</f>
        <v>0</v>
      </c>
      <c r="AX10" s="92" t="n">
        <f aca="true">IF($D10="","",IFERROR(COUNTIF(INDIRECT("'"&amp;$D10&amp;"'!$AH$7:$AH$500"),"N/A"),0))</f>
        <v>0</v>
      </c>
      <c r="AY10" s="92" t="n">
        <f aca="true">IF($D10="","",IFERROR(COUNTIF(INDIRECT("'"&amp;$D10&amp;"'!$AN$7:$AN$500"),"?*"),0))</f>
        <v>0</v>
      </c>
      <c r="AZ10" s="92" t="n">
        <f aca="true">IF($D10="","",IFERROR(COUNTIF(INDIRECT("'"&amp;$D10&amp;"'!$AN$7:$AN$500"),"Pass"),0))</f>
        <v>0</v>
      </c>
      <c r="BA10" s="92" t="n">
        <f aca="true">IF($D10="","",IFERROR(COUNTIF(INDIRECT("'"&amp;$D10&amp;"'!$AN$7:$AN$500"),"Fail"),0))</f>
        <v>0</v>
      </c>
      <c r="BB10" s="92" t="n">
        <f aca="true">IF($D10="","",IFERROR(COUNTIF(INDIRECT("'"&amp;$D10&amp;"'!$AN$7:$AN$500"),"Block"),0))</f>
        <v>0</v>
      </c>
      <c r="BC10" s="1" t="n">
        <f aca="true">IF($D10="","",IFERROR(COUNTIF(INDIRECT("'"&amp;$D10&amp;"'!$AN$7:$AN$500"),"N/A"),0))</f>
        <v>0</v>
      </c>
    </row>
    <row r="11" customFormat="false" ht="15" hidden="false" customHeight="true" outlineLevel="0" collapsed="false">
      <c r="B11" s="87" t="n">
        <f aca="false">IF($D11="","",ROW()-3)</f>
        <v>8</v>
      </c>
      <c r="C11" s="88" t="s">
        <v>209</v>
      </c>
      <c r="D11" s="88" t="s">
        <v>210</v>
      </c>
      <c r="E11" s="89" t="s">
        <v>210</v>
      </c>
      <c r="F11" s="87" t="n">
        <f aca="true">IF($D11="","",IFERROR(COUNTIF(INDIRECT("'"&amp;$D11&amp;"'!$A$7:$A$500"),"?*"),0))</f>
        <v>9</v>
      </c>
      <c r="G11" s="87" t="n">
        <f aca="true">IF($D11="","",IFERROR(COUNTIF(INDIRECT("'"&amp;$D11&amp;"'!$AT$7:$AT$500"),"Pass"),0))</f>
        <v>0</v>
      </c>
      <c r="H11" s="87" t="n">
        <f aca="true">IF($D11="","",IFERROR(COUNTIF(INDIRECT("'"&amp;$D11&amp;"'!$AT$7:$AT$500"),"Fail"),0))</f>
        <v>0</v>
      </c>
      <c r="I11" s="87" t="n">
        <f aca="true">IF($D11="","",IFERROR(COUNTIF(INDIRECT("'"&amp;$D11&amp;"'!$AT$7:$AT$500"),"Block"),0))</f>
        <v>0</v>
      </c>
      <c r="J11" s="87" t="n">
        <f aca="true">IF($D11="","",IFERROR(COUNTIF(INDIRECT("'"&amp;$D11&amp;"'!$AT$7:$AT$500"),"N/A"),0))</f>
        <v>0</v>
      </c>
      <c r="K11" s="87" t="n">
        <f aca="false">IF($D11="","",MAX(0,$F11-$G11-$H11-$I11-$J11))</f>
        <v>9</v>
      </c>
      <c r="L11" s="87" t="n">
        <f aca="false">IF($D11="","",$G11+$H11+$I11+$J11)</f>
        <v>0</v>
      </c>
      <c r="M11" s="90" t="n">
        <f aca="false">IF($D11="","",IFERROR($L11/$F11,0))</f>
        <v>0</v>
      </c>
      <c r="N11" s="90" t="n">
        <f aca="false">IF($D11="","",IFERROR($G11/$L11,0))</f>
        <v>0</v>
      </c>
      <c r="O11" s="87" t="n">
        <f aca="true">IF($D11="","",IFERROR(COUNTIF(INDIRECT("'"&amp;$D11&amp;"'!$E$7:$E$500"),"High"),0))</f>
        <v>1</v>
      </c>
      <c r="P11" s="87" t="n">
        <f aca="true">IF($D11="","",IFERROR(COUNTIF(INDIRECT("'"&amp;$D11&amp;"'!$E$7:$E$500"),"Medium"),0))</f>
        <v>7</v>
      </c>
      <c r="Q11" s="87" t="n">
        <f aca="true">IF($D11="","",IFERROR(COUNTIF(INDIRECT("'"&amp;$D11&amp;"'!$E$7:$E$500"),"Low"),0))</f>
        <v>1</v>
      </c>
      <c r="R11" s="87" t="n">
        <f aca="true">IF($D11="","",IFERROR(COUNTIF(INDIRECT("'"&amp;$D11&amp;"'!$D$7:$D$500"),"Functional"),0))</f>
        <v>9</v>
      </c>
      <c r="S11" s="87" t="n">
        <f aca="true">IF($D11="","",IFERROR(COUNTIF(INDIRECT("'"&amp;$D11&amp;"'!$D$7:$D$500"),"UI"),0))</f>
        <v>0</v>
      </c>
      <c r="T11" s="87" t="n">
        <f aca="true">IF($D11="","",IFERROR(COUNTIF(INDIRECT("'"&amp;$D11&amp;"'!$D$7:$D$500"),"Integration"),0))</f>
        <v>0</v>
      </c>
      <c r="U11" s="87" t="n">
        <f aca="true">IF($D11="","",IFERROR(COUNTIF(INDIRECT("'"&amp;$D11&amp;"'!$D$7:$D$500"),"Database Test Case"),0))</f>
        <v>0</v>
      </c>
      <c r="V11" s="87" t="n">
        <f aca="true">IF($D11="","",IFERROR(COUNTIF(INDIRECT("'"&amp;$D11&amp;"'!$J$7:$J$500"),"AI"),0))</f>
        <v>9</v>
      </c>
      <c r="W11" s="87" t="n">
        <f aca="true">IF($D11="","",IFERROR(COUNTIF(INDIRECT("'"&amp;$D11&amp;"'!$J$7:$J$500"),"QC"),0))</f>
        <v>0</v>
      </c>
      <c r="X11" s="87" t="n">
        <f aca="true">IF($D11="","",IFERROR(COUNTIF(INDIRECT("'"&amp;$D11&amp;"'!$L$7:$L$500"),"Yes"),0))</f>
        <v>0</v>
      </c>
      <c r="Y11" s="87" t="n">
        <f aca="true">IF($D11="","",IFERROR(COUNTIF(INDIRECT("'"&amp;$D11&amp;"'!$AR$7:$AR$500"),"Yes"),0))</f>
        <v>0</v>
      </c>
      <c r="Z11" s="87" t="n">
        <f aca="true">IF($D11="","",IFERROR(COUNTIF(INDIRECT("'"&amp;$D11&amp;"'!$AS$7:$AS$500"),"Pass"),0))</f>
        <v>0</v>
      </c>
      <c r="AA11" s="87" t="n">
        <f aca="true">IF($D11="","",IFERROR(COUNTIF(INDIRECT("'"&amp;$D11&amp;"'!$K$7:$K$500"),"Reviewed"),0))</f>
        <v>0</v>
      </c>
      <c r="AB11" s="91" t="n">
        <f aca="true">IF($D11="","",IFERROR(COUNTIFS(INDIRECT("'"&amp;$D11&amp;"'!$E$7:$E$500"),"High",INDIRECT("'"&amp;$D11&amp;"'!$AT$7:$AT$500"),"?*"),0))</f>
        <v>0</v>
      </c>
      <c r="AC11" s="91" t="n">
        <f aca="true">IF($D11="","",IFERROR(COUNTIFS(INDIRECT("'"&amp;$D11&amp;"'!$E$7:$E$500"),"Medium",INDIRECT("'"&amp;$D11&amp;"'!$AT$7:$AT$500"),"?*"),0))</f>
        <v>0</v>
      </c>
      <c r="AD11" s="91" t="n">
        <f aca="true">IF($D11="","",IFERROR(COUNTIFS(INDIRECT("'"&amp;$D11&amp;"'!$E$7:$E$500"),"Low",INDIRECT("'"&amp;$D11&amp;"'!$AT$7:$AT$500"),"?*"),0))</f>
        <v>0</v>
      </c>
      <c r="AE11" s="92" t="n">
        <f aca="true">IF($D11="","",IFERROR(COUNTIF(INDIRECT("'"&amp;$D11&amp;"'!$P$7:$P$500"),"?*"),0))</f>
        <v>0</v>
      </c>
      <c r="AF11" s="92" t="n">
        <f aca="true">IF($D11="","",IFERROR(COUNTIF(INDIRECT("'"&amp;$D11&amp;"'!$P$7:$P$500"),"Pass"),0))</f>
        <v>0</v>
      </c>
      <c r="AG11" s="92" t="n">
        <f aca="true">IF($D11="","",IFERROR(COUNTIF(INDIRECT("'"&amp;$D11&amp;"'!$P$7:$P$500"),"Fail"),0))</f>
        <v>0</v>
      </c>
      <c r="AH11" s="92" t="n">
        <f aca="true">IF($D11="","",IFERROR(COUNTIF(INDIRECT("'"&amp;$D11&amp;"'!$P$7:$P$500"),"Block"),0))</f>
        <v>0</v>
      </c>
      <c r="AI11" s="92" t="n">
        <f aca="true">IF($D11="","",IFERROR(COUNTIF(INDIRECT("'"&amp;$D11&amp;"'!$P$7:$P$500"),"N/A"),0))</f>
        <v>0</v>
      </c>
      <c r="AJ11" s="92" t="n">
        <f aca="true">IF($D11="","",IFERROR(COUNTIF(INDIRECT("'"&amp;$D11&amp;"'!$V$7:$V$500"),"?*"),0))</f>
        <v>0</v>
      </c>
      <c r="AK11" s="92" t="n">
        <f aca="true">IF($D11="","",IFERROR(COUNTIF(INDIRECT("'"&amp;$D11&amp;"'!$V$7:$V$500"),"Pass"),0))</f>
        <v>0</v>
      </c>
      <c r="AL11" s="92" t="n">
        <f aca="true">IF($D11="","",IFERROR(COUNTIF(INDIRECT("'"&amp;$D11&amp;"'!$V$7:$V$500"),"Fail"),0))</f>
        <v>0</v>
      </c>
      <c r="AM11" s="92" t="n">
        <f aca="true">IF($D11="","",IFERROR(COUNTIF(INDIRECT("'"&amp;$D11&amp;"'!$V$7:$V$500"),"Block"),0))</f>
        <v>0</v>
      </c>
      <c r="AN11" s="92" t="n">
        <f aca="true">IF($D11="","",IFERROR(COUNTIF(INDIRECT("'"&amp;$D11&amp;"'!$V$7:$V$500"),"N/A"),0))</f>
        <v>0</v>
      </c>
      <c r="AO11" s="92" t="n">
        <f aca="true">IF($D11="","",IFERROR(COUNTIF(INDIRECT("'"&amp;$D11&amp;"'!$AB$7:$AB$500"),"?*"),0))</f>
        <v>0</v>
      </c>
      <c r="AP11" s="92" t="n">
        <f aca="true">IF($D11="","",IFERROR(COUNTIF(INDIRECT("'"&amp;$D11&amp;"'!$AB$7:$AB$500"),"Pass"),0))</f>
        <v>0</v>
      </c>
      <c r="AQ11" s="92" t="n">
        <f aca="true">IF($D11="","",IFERROR(COUNTIF(INDIRECT("'"&amp;$D11&amp;"'!$AB$7:$AB$500"),"Fail"),0))</f>
        <v>0</v>
      </c>
      <c r="AR11" s="92" t="n">
        <f aca="true">IF($D11="","",IFERROR(COUNTIF(INDIRECT("'"&amp;$D11&amp;"'!$AB$7:$AB$500"),"Block"),0))</f>
        <v>0</v>
      </c>
      <c r="AS11" s="92" t="n">
        <f aca="true">IF($D11="","",IFERROR(COUNTIF(INDIRECT("'"&amp;$D11&amp;"'!$AB$7:$AB$500"),"N/A"),0))</f>
        <v>0</v>
      </c>
      <c r="AT11" s="92" t="n">
        <f aca="true">IF($D11="","",IFERROR(COUNTIF(INDIRECT("'"&amp;$D11&amp;"'!$AH$7:$AH$500"),"?*"),0))</f>
        <v>0</v>
      </c>
      <c r="AU11" s="92" t="n">
        <f aca="true">IF($D11="","",IFERROR(COUNTIF(INDIRECT("'"&amp;$D11&amp;"'!$AH$7:$AH$500"),"Pass"),0))</f>
        <v>0</v>
      </c>
      <c r="AV11" s="92" t="n">
        <f aca="true">IF($D11="","",IFERROR(COUNTIF(INDIRECT("'"&amp;$D11&amp;"'!$AH$7:$AH$500"),"Fail"),0))</f>
        <v>0</v>
      </c>
      <c r="AW11" s="92" t="n">
        <f aca="true">IF($D11="","",IFERROR(COUNTIF(INDIRECT("'"&amp;$D11&amp;"'!$AH$7:$AH$500"),"Block"),0))</f>
        <v>0</v>
      </c>
      <c r="AX11" s="92" t="n">
        <f aca="true">IF($D11="","",IFERROR(COUNTIF(INDIRECT("'"&amp;$D11&amp;"'!$AH$7:$AH$500"),"N/A"),0))</f>
        <v>0</v>
      </c>
      <c r="AY11" s="92" t="n">
        <f aca="true">IF($D11="","",IFERROR(COUNTIF(INDIRECT("'"&amp;$D11&amp;"'!$AN$7:$AN$500"),"?*"),0))</f>
        <v>0</v>
      </c>
      <c r="AZ11" s="92" t="n">
        <f aca="true">IF($D11="","",IFERROR(COUNTIF(INDIRECT("'"&amp;$D11&amp;"'!$AN$7:$AN$500"),"Pass"),0))</f>
        <v>0</v>
      </c>
      <c r="BA11" s="92" t="n">
        <f aca="true">IF($D11="","",IFERROR(COUNTIF(INDIRECT("'"&amp;$D11&amp;"'!$AN$7:$AN$500"),"Fail"),0))</f>
        <v>0</v>
      </c>
      <c r="BB11" s="92" t="n">
        <f aca="true">IF($D11="","",IFERROR(COUNTIF(INDIRECT("'"&amp;$D11&amp;"'!$AN$7:$AN$500"),"Block"),0))</f>
        <v>0</v>
      </c>
      <c r="BC11" s="1" t="n">
        <f aca="true">IF($D11="","",IFERROR(COUNTIF(INDIRECT("'"&amp;$D11&amp;"'!$AN$7:$AN$500"),"N/A"),0))</f>
        <v>0</v>
      </c>
    </row>
    <row r="12" customFormat="false" ht="21.75" hidden="false" customHeight="true" outlineLevel="0" collapsed="false">
      <c r="B12" s="87" t="n">
        <f aca="false">IF($D12="","",ROW()-3)</f>
        <v>9</v>
      </c>
      <c r="C12" s="88" t="s">
        <v>211</v>
      </c>
      <c r="D12" s="88" t="s">
        <v>212</v>
      </c>
      <c r="E12" s="89" t="s">
        <v>212</v>
      </c>
      <c r="F12" s="87" t="n">
        <f aca="true">IF($D12="","",IFERROR(COUNTIF(INDIRECT("'"&amp;$D12&amp;"'!$A$7:$A$500"),"?*"),0))</f>
        <v>48</v>
      </c>
      <c r="G12" s="87" t="n">
        <f aca="true">IF($D12="","",IFERROR(COUNTIF(INDIRECT("'"&amp;$D12&amp;"'!$AT$7:$AT$500"),"Pass"),0))</f>
        <v>0</v>
      </c>
      <c r="H12" s="87" t="n">
        <f aca="true">IF($D12="","",IFERROR(COUNTIF(INDIRECT("'"&amp;$D12&amp;"'!$AT$7:$AT$500"),"Fail"),0))</f>
        <v>0</v>
      </c>
      <c r="I12" s="87" t="n">
        <f aca="true">IF($D12="","",IFERROR(COUNTIF(INDIRECT("'"&amp;$D12&amp;"'!$AT$7:$AT$500"),"Block"),0))</f>
        <v>0</v>
      </c>
      <c r="J12" s="87" t="n">
        <f aca="true">IF($D12="","",IFERROR(COUNTIF(INDIRECT("'"&amp;$D12&amp;"'!$AT$7:$AT$500"),"N/A"),0))</f>
        <v>0</v>
      </c>
      <c r="K12" s="87" t="n">
        <f aca="false">IF($D12="","",MAX(0,$F12-$G12-$H12-$I12-$J12))</f>
        <v>48</v>
      </c>
      <c r="L12" s="87" t="n">
        <f aca="false">IF($D12="","",$G12+$H12+$I12+$J12)</f>
        <v>0</v>
      </c>
      <c r="M12" s="90" t="n">
        <f aca="false">IF($D12="","",IFERROR($L12/$F12,0))</f>
        <v>0</v>
      </c>
      <c r="N12" s="90" t="n">
        <f aca="false">IF($D12="","",IFERROR($G12/$L12,0))</f>
        <v>0</v>
      </c>
      <c r="O12" s="87" t="n">
        <f aca="true">IF($D12="","",IFERROR(COUNTIF(INDIRECT("'"&amp;$D12&amp;"'!$E$7:$E$500"),"High"),0))</f>
        <v>2</v>
      </c>
      <c r="P12" s="87" t="n">
        <f aca="true">IF($D12="","",IFERROR(COUNTIF(INDIRECT("'"&amp;$D12&amp;"'!$E$7:$E$500"),"Medium"),0))</f>
        <v>37</v>
      </c>
      <c r="Q12" s="87" t="n">
        <f aca="true">IF($D12="","",IFERROR(COUNTIF(INDIRECT("'"&amp;$D12&amp;"'!$E$7:$E$500"),"Low"),0))</f>
        <v>9</v>
      </c>
      <c r="R12" s="87" t="n">
        <f aca="true">IF($D12="","",IFERROR(COUNTIF(INDIRECT("'"&amp;$D12&amp;"'!$D$7:$D$500"),"Functional"),0))</f>
        <v>38</v>
      </c>
      <c r="S12" s="87" t="n">
        <f aca="true">IF($D12="","",IFERROR(COUNTIF(INDIRECT("'"&amp;$D12&amp;"'!$D$7:$D$500"),"UI"),0))</f>
        <v>10</v>
      </c>
      <c r="T12" s="87" t="n">
        <f aca="true">IF($D12="","",IFERROR(COUNTIF(INDIRECT("'"&amp;$D12&amp;"'!$D$7:$D$500"),"Integration"),0))</f>
        <v>0</v>
      </c>
      <c r="U12" s="87" t="n">
        <f aca="true">IF($D12="","",IFERROR(COUNTIF(INDIRECT("'"&amp;$D12&amp;"'!$D$7:$D$500"),"Database Test Case"),0))</f>
        <v>0</v>
      </c>
      <c r="V12" s="87" t="n">
        <f aca="true">IF($D12="","",IFERROR(COUNTIF(INDIRECT("'"&amp;$D12&amp;"'!$J$7:$J$500"),"AI"),0))</f>
        <v>48</v>
      </c>
      <c r="W12" s="87" t="n">
        <f aca="true">IF($D12="","",IFERROR(COUNTIF(INDIRECT("'"&amp;$D12&amp;"'!$J$7:$J$500"),"QC"),0))</f>
        <v>0</v>
      </c>
      <c r="X12" s="87" t="n">
        <f aca="true">IF($D12="","",IFERROR(COUNTIF(INDIRECT("'"&amp;$D12&amp;"'!$L$7:$L$500"),"Yes"),0))</f>
        <v>0</v>
      </c>
      <c r="Y12" s="87" t="n">
        <f aca="true">IF($D12="","",IFERROR(COUNTIF(INDIRECT("'"&amp;$D12&amp;"'!$AR$7:$AR$500"),"Yes"),0))</f>
        <v>0</v>
      </c>
      <c r="Z12" s="87" t="n">
        <f aca="true">IF($D12="","",IFERROR(COUNTIF(INDIRECT("'"&amp;$D12&amp;"'!$AS$7:$AS$500"),"Pass"),0))</f>
        <v>0</v>
      </c>
      <c r="AA12" s="87" t="n">
        <f aca="true">IF($D12="","",IFERROR(COUNTIF(INDIRECT("'"&amp;$D12&amp;"'!$K$7:$K$500"),"Reviewed"),0))</f>
        <v>0</v>
      </c>
      <c r="AB12" s="91" t="n">
        <f aca="true">IF($D12="","",IFERROR(COUNTIFS(INDIRECT("'"&amp;$D12&amp;"'!$E$7:$E$500"),"High",INDIRECT("'"&amp;$D12&amp;"'!$AT$7:$AT$500"),"?*"),0))</f>
        <v>0</v>
      </c>
      <c r="AC12" s="91" t="n">
        <f aca="true">IF($D12="","",IFERROR(COUNTIFS(INDIRECT("'"&amp;$D12&amp;"'!$E$7:$E$500"),"Medium",INDIRECT("'"&amp;$D12&amp;"'!$AT$7:$AT$500"),"?*"),0))</f>
        <v>0</v>
      </c>
      <c r="AD12" s="91" t="n">
        <f aca="true">IF($D12="","",IFERROR(COUNTIFS(INDIRECT("'"&amp;$D12&amp;"'!$E$7:$E$500"),"Low",INDIRECT("'"&amp;$D12&amp;"'!$AT$7:$AT$500"),"?*"),0))</f>
        <v>0</v>
      </c>
      <c r="AE12" s="92" t="n">
        <f aca="true">IF($D12="","",IFERROR(COUNTIF(INDIRECT("'"&amp;$D12&amp;"'!$P$7:$P$500"),"?*"),0))</f>
        <v>0</v>
      </c>
      <c r="AF12" s="92" t="n">
        <f aca="true">IF($D12="","",IFERROR(COUNTIF(INDIRECT("'"&amp;$D12&amp;"'!$P$7:$P$500"),"Pass"),0))</f>
        <v>0</v>
      </c>
      <c r="AG12" s="92" t="n">
        <f aca="true">IF($D12="","",IFERROR(COUNTIF(INDIRECT("'"&amp;$D12&amp;"'!$P$7:$P$500"),"Fail"),0))</f>
        <v>0</v>
      </c>
      <c r="AH12" s="92" t="n">
        <f aca="true">IF($D12="","",IFERROR(COUNTIF(INDIRECT("'"&amp;$D12&amp;"'!$P$7:$P$500"),"Block"),0))</f>
        <v>0</v>
      </c>
      <c r="AI12" s="92" t="n">
        <f aca="true">IF($D12="","",IFERROR(COUNTIF(INDIRECT("'"&amp;$D12&amp;"'!$P$7:$P$500"),"N/A"),0))</f>
        <v>0</v>
      </c>
      <c r="AJ12" s="92" t="n">
        <f aca="true">IF($D12="","",IFERROR(COUNTIF(INDIRECT("'"&amp;$D12&amp;"'!$V$7:$V$500"),"?*"),0))</f>
        <v>0</v>
      </c>
      <c r="AK12" s="92" t="n">
        <f aca="true">IF($D12="","",IFERROR(COUNTIF(INDIRECT("'"&amp;$D12&amp;"'!$V$7:$V$500"),"Pass"),0))</f>
        <v>0</v>
      </c>
      <c r="AL12" s="92" t="n">
        <f aca="true">IF($D12="","",IFERROR(COUNTIF(INDIRECT("'"&amp;$D12&amp;"'!$V$7:$V$500"),"Fail"),0))</f>
        <v>0</v>
      </c>
      <c r="AM12" s="92" t="n">
        <f aca="true">IF($D12="","",IFERROR(COUNTIF(INDIRECT("'"&amp;$D12&amp;"'!$V$7:$V$500"),"Block"),0))</f>
        <v>0</v>
      </c>
      <c r="AN12" s="92" t="n">
        <f aca="true">IF($D12="","",IFERROR(COUNTIF(INDIRECT("'"&amp;$D12&amp;"'!$V$7:$V$500"),"N/A"),0))</f>
        <v>0</v>
      </c>
      <c r="AO12" s="92" t="n">
        <f aca="true">IF($D12="","",IFERROR(COUNTIF(INDIRECT("'"&amp;$D12&amp;"'!$AB$7:$AB$500"),"?*"),0))</f>
        <v>0</v>
      </c>
      <c r="AP12" s="92" t="n">
        <f aca="true">IF($D12="","",IFERROR(COUNTIF(INDIRECT("'"&amp;$D12&amp;"'!$AB$7:$AB$500"),"Pass"),0))</f>
        <v>0</v>
      </c>
      <c r="AQ12" s="92" t="n">
        <f aca="true">IF($D12="","",IFERROR(COUNTIF(INDIRECT("'"&amp;$D12&amp;"'!$AB$7:$AB$500"),"Fail"),0))</f>
        <v>0</v>
      </c>
      <c r="AR12" s="92" t="n">
        <f aca="true">IF($D12="","",IFERROR(COUNTIF(INDIRECT("'"&amp;$D12&amp;"'!$AB$7:$AB$500"),"Block"),0))</f>
        <v>0</v>
      </c>
      <c r="AS12" s="92" t="n">
        <f aca="true">IF($D12="","",IFERROR(COUNTIF(INDIRECT("'"&amp;$D12&amp;"'!$AB$7:$AB$500"),"N/A"),0))</f>
        <v>0</v>
      </c>
      <c r="AT12" s="92" t="n">
        <f aca="true">IF($D12="","",IFERROR(COUNTIF(INDIRECT("'"&amp;$D12&amp;"'!$AH$7:$AH$500"),"?*"),0))</f>
        <v>0</v>
      </c>
      <c r="AU12" s="92" t="n">
        <f aca="true">IF($D12="","",IFERROR(COUNTIF(INDIRECT("'"&amp;$D12&amp;"'!$AH$7:$AH$500"),"Pass"),0))</f>
        <v>0</v>
      </c>
      <c r="AV12" s="92" t="n">
        <f aca="true">IF($D12="","",IFERROR(COUNTIF(INDIRECT("'"&amp;$D12&amp;"'!$AH$7:$AH$500"),"Fail"),0))</f>
        <v>0</v>
      </c>
      <c r="AW12" s="92" t="n">
        <f aca="true">IF($D12="","",IFERROR(COUNTIF(INDIRECT("'"&amp;$D12&amp;"'!$AH$7:$AH$500"),"Block"),0))</f>
        <v>0</v>
      </c>
      <c r="AX12" s="92" t="n">
        <f aca="true">IF($D12="","",IFERROR(COUNTIF(INDIRECT("'"&amp;$D12&amp;"'!$AH$7:$AH$500"),"N/A"),0))</f>
        <v>0</v>
      </c>
      <c r="AY12" s="92" t="n">
        <f aca="true">IF($D12="","",IFERROR(COUNTIF(INDIRECT("'"&amp;$D12&amp;"'!$AN$7:$AN$500"),"?*"),0))</f>
        <v>0</v>
      </c>
      <c r="AZ12" s="92" t="n">
        <f aca="true">IF($D12="","",IFERROR(COUNTIF(INDIRECT("'"&amp;$D12&amp;"'!$AN$7:$AN$500"),"Pass"),0))</f>
        <v>0</v>
      </c>
      <c r="BA12" s="92" t="n">
        <f aca="true">IF($D12="","",IFERROR(COUNTIF(INDIRECT("'"&amp;$D12&amp;"'!$AN$7:$AN$500"),"Fail"),0))</f>
        <v>0</v>
      </c>
      <c r="BB12" s="92" t="n">
        <f aca="true">IF($D12="","",IFERROR(COUNTIF(INDIRECT("'"&amp;$D12&amp;"'!$AN$7:$AN$500"),"Block"),0))</f>
        <v>0</v>
      </c>
      <c r="BC12" s="1" t="n">
        <f aca="true">IF($D12="","",IFERROR(COUNTIF(INDIRECT("'"&amp;$D12&amp;"'!$AN$7:$AN$500"),"N/A"),0))</f>
        <v>0</v>
      </c>
    </row>
    <row r="13" customFormat="false" ht="15" hidden="false" customHeight="true" outlineLevel="0" collapsed="false">
      <c r="B13" s="87" t="n">
        <f aca="false">IF($D13="","",ROW()-3)</f>
        <v>10</v>
      </c>
      <c r="C13" s="88" t="s">
        <v>213</v>
      </c>
      <c r="D13" s="88" t="s">
        <v>214</v>
      </c>
      <c r="E13" s="89" t="s">
        <v>214</v>
      </c>
      <c r="F13" s="87" t="n">
        <f aca="true">IF($D13="","",IFERROR(COUNTIF(INDIRECT("'"&amp;$D13&amp;"'!$A$7:$A$500"),"?*"),0))</f>
        <v>17</v>
      </c>
      <c r="G13" s="87" t="n">
        <f aca="true">IF($D13="","",IFERROR(COUNTIF(INDIRECT("'"&amp;$D13&amp;"'!$AT$7:$AT$500"),"Pass"),0))</f>
        <v>0</v>
      </c>
      <c r="H13" s="87" t="n">
        <f aca="true">IF($D13="","",IFERROR(COUNTIF(INDIRECT("'"&amp;$D13&amp;"'!$AT$7:$AT$500"),"Fail"),0))</f>
        <v>0</v>
      </c>
      <c r="I13" s="87" t="n">
        <f aca="true">IF($D13="","",IFERROR(COUNTIF(INDIRECT("'"&amp;$D13&amp;"'!$AT$7:$AT$500"),"Block"),0))</f>
        <v>0</v>
      </c>
      <c r="J13" s="87" t="n">
        <f aca="true">IF($D13="","",IFERROR(COUNTIF(INDIRECT("'"&amp;$D13&amp;"'!$AT$7:$AT$500"),"N/A"),0))</f>
        <v>0</v>
      </c>
      <c r="K13" s="87" t="n">
        <f aca="false">IF($D13="","",MAX(0,$F13-$G13-$H13-$I13-$J13))</f>
        <v>17</v>
      </c>
      <c r="L13" s="87" t="n">
        <f aca="false">IF($D13="","",$G13+$H13+$I13+$J13)</f>
        <v>0</v>
      </c>
      <c r="M13" s="90" t="n">
        <f aca="false">IF($D13="","",IFERROR($L13/$F13,0))</f>
        <v>0</v>
      </c>
      <c r="N13" s="90" t="n">
        <f aca="false">IF($D13="","",IFERROR($G13/$L13,0))</f>
        <v>0</v>
      </c>
      <c r="O13" s="87" t="n">
        <f aca="true">IF($D13="","",IFERROR(COUNTIF(INDIRECT("'"&amp;$D13&amp;"'!$E$7:$E$500"),"High"),0))</f>
        <v>2</v>
      </c>
      <c r="P13" s="87" t="n">
        <f aca="true">IF($D13="","",IFERROR(COUNTIF(INDIRECT("'"&amp;$D13&amp;"'!$E$7:$E$500"),"Medium"),0))</f>
        <v>9</v>
      </c>
      <c r="Q13" s="87" t="n">
        <f aca="true">IF($D13="","",IFERROR(COUNTIF(INDIRECT("'"&amp;$D13&amp;"'!$E$7:$E$500"),"Low"),0))</f>
        <v>6</v>
      </c>
      <c r="R13" s="87" t="n">
        <f aca="true">IF($D13="","",IFERROR(COUNTIF(INDIRECT("'"&amp;$D13&amp;"'!$D$7:$D$500"),"Functional"),0))</f>
        <v>14</v>
      </c>
      <c r="S13" s="87" t="n">
        <f aca="true">IF($D13="","",IFERROR(COUNTIF(INDIRECT("'"&amp;$D13&amp;"'!$D$7:$D$500"),"UI"),0))</f>
        <v>3</v>
      </c>
      <c r="T13" s="87" t="n">
        <f aca="true">IF($D13="","",IFERROR(COUNTIF(INDIRECT("'"&amp;$D13&amp;"'!$D$7:$D$500"),"Integration"),0))</f>
        <v>0</v>
      </c>
      <c r="U13" s="87" t="n">
        <f aca="true">IF($D13="","",IFERROR(COUNTIF(INDIRECT("'"&amp;$D13&amp;"'!$D$7:$D$500"),"Database Test Case"),0))</f>
        <v>0</v>
      </c>
      <c r="V13" s="87" t="n">
        <f aca="true">IF($D13="","",IFERROR(COUNTIF(INDIRECT("'"&amp;$D13&amp;"'!$J$7:$J$500"),"AI"),0))</f>
        <v>17</v>
      </c>
      <c r="W13" s="87" t="n">
        <f aca="true">IF($D13="","",IFERROR(COUNTIF(INDIRECT("'"&amp;$D13&amp;"'!$J$7:$J$500"),"QC"),0))</f>
        <v>0</v>
      </c>
      <c r="X13" s="87" t="n">
        <f aca="true">IF($D13="","",IFERROR(COUNTIF(INDIRECT("'"&amp;$D13&amp;"'!$L$7:$L$500"),"Yes"),0))</f>
        <v>0</v>
      </c>
      <c r="Y13" s="87" t="n">
        <f aca="true">IF($D13="","",IFERROR(COUNTIF(INDIRECT("'"&amp;$D13&amp;"'!$AR$7:$AR$500"),"Yes"),0))</f>
        <v>0</v>
      </c>
      <c r="Z13" s="87" t="n">
        <f aca="true">IF($D13="","",IFERROR(COUNTIF(INDIRECT("'"&amp;$D13&amp;"'!$AS$7:$AS$500"),"Pass"),0))</f>
        <v>0</v>
      </c>
      <c r="AA13" s="87" t="n">
        <f aca="true">IF($D13="","",IFERROR(COUNTIF(INDIRECT("'"&amp;$D13&amp;"'!$K$7:$K$500"),"Reviewed"),0))</f>
        <v>0</v>
      </c>
      <c r="AB13" s="91" t="n">
        <f aca="true">IF($D13="","",IFERROR(COUNTIFS(INDIRECT("'"&amp;$D13&amp;"'!$E$7:$E$500"),"High",INDIRECT("'"&amp;$D13&amp;"'!$AT$7:$AT$500"),"?*"),0))</f>
        <v>0</v>
      </c>
      <c r="AC13" s="91" t="n">
        <f aca="true">IF($D13="","",IFERROR(COUNTIFS(INDIRECT("'"&amp;$D13&amp;"'!$E$7:$E$500"),"Medium",INDIRECT("'"&amp;$D13&amp;"'!$AT$7:$AT$500"),"?*"),0))</f>
        <v>0</v>
      </c>
      <c r="AD13" s="91" t="n">
        <f aca="true">IF($D13="","",IFERROR(COUNTIFS(INDIRECT("'"&amp;$D13&amp;"'!$E$7:$E$500"),"Low",INDIRECT("'"&amp;$D13&amp;"'!$AT$7:$AT$500"),"?*"),0))</f>
        <v>0</v>
      </c>
      <c r="AE13" s="92" t="n">
        <f aca="true">IF($D13="","",IFERROR(COUNTIF(INDIRECT("'"&amp;$D13&amp;"'!$P$7:$P$500"),"?*"),0))</f>
        <v>0</v>
      </c>
      <c r="AF13" s="92" t="n">
        <f aca="true">IF($D13="","",IFERROR(COUNTIF(INDIRECT("'"&amp;$D13&amp;"'!$P$7:$P$500"),"Pass"),0))</f>
        <v>0</v>
      </c>
      <c r="AG13" s="92" t="n">
        <f aca="true">IF($D13="","",IFERROR(COUNTIF(INDIRECT("'"&amp;$D13&amp;"'!$P$7:$P$500"),"Fail"),0))</f>
        <v>0</v>
      </c>
      <c r="AH13" s="92" t="n">
        <f aca="true">IF($D13="","",IFERROR(COUNTIF(INDIRECT("'"&amp;$D13&amp;"'!$P$7:$P$500"),"Block"),0))</f>
        <v>0</v>
      </c>
      <c r="AI13" s="92" t="n">
        <f aca="true">IF($D13="","",IFERROR(COUNTIF(INDIRECT("'"&amp;$D13&amp;"'!$P$7:$P$500"),"N/A"),0))</f>
        <v>0</v>
      </c>
      <c r="AJ13" s="92" t="n">
        <f aca="true">IF($D13="","",IFERROR(COUNTIF(INDIRECT("'"&amp;$D13&amp;"'!$V$7:$V$500"),"?*"),0))</f>
        <v>0</v>
      </c>
      <c r="AK13" s="92" t="n">
        <f aca="true">IF($D13="","",IFERROR(COUNTIF(INDIRECT("'"&amp;$D13&amp;"'!$V$7:$V$500"),"Pass"),0))</f>
        <v>0</v>
      </c>
      <c r="AL13" s="92" t="n">
        <f aca="true">IF($D13="","",IFERROR(COUNTIF(INDIRECT("'"&amp;$D13&amp;"'!$V$7:$V$500"),"Fail"),0))</f>
        <v>0</v>
      </c>
      <c r="AM13" s="92" t="n">
        <f aca="true">IF($D13="","",IFERROR(COUNTIF(INDIRECT("'"&amp;$D13&amp;"'!$V$7:$V$500"),"Block"),0))</f>
        <v>0</v>
      </c>
      <c r="AN13" s="92" t="n">
        <f aca="true">IF($D13="","",IFERROR(COUNTIF(INDIRECT("'"&amp;$D13&amp;"'!$V$7:$V$500"),"N/A"),0))</f>
        <v>0</v>
      </c>
      <c r="AO13" s="92" t="n">
        <f aca="true">IF($D13="","",IFERROR(COUNTIF(INDIRECT("'"&amp;$D13&amp;"'!$AB$7:$AB$500"),"?*"),0))</f>
        <v>0</v>
      </c>
      <c r="AP13" s="92" t="n">
        <f aca="true">IF($D13="","",IFERROR(COUNTIF(INDIRECT("'"&amp;$D13&amp;"'!$AB$7:$AB$500"),"Pass"),0))</f>
        <v>0</v>
      </c>
      <c r="AQ13" s="92" t="n">
        <f aca="true">IF($D13="","",IFERROR(COUNTIF(INDIRECT("'"&amp;$D13&amp;"'!$AB$7:$AB$500"),"Fail"),0))</f>
        <v>0</v>
      </c>
      <c r="AR13" s="92" t="n">
        <f aca="true">IF($D13="","",IFERROR(COUNTIF(INDIRECT("'"&amp;$D13&amp;"'!$AB$7:$AB$500"),"Block"),0))</f>
        <v>0</v>
      </c>
      <c r="AS13" s="92" t="n">
        <f aca="true">IF($D13="","",IFERROR(COUNTIF(INDIRECT("'"&amp;$D13&amp;"'!$AB$7:$AB$500"),"N/A"),0))</f>
        <v>0</v>
      </c>
      <c r="AT13" s="92" t="n">
        <f aca="true">IF($D13="","",IFERROR(COUNTIF(INDIRECT("'"&amp;$D13&amp;"'!$AH$7:$AH$500"),"?*"),0))</f>
        <v>0</v>
      </c>
      <c r="AU13" s="92" t="n">
        <f aca="true">IF($D13="","",IFERROR(COUNTIF(INDIRECT("'"&amp;$D13&amp;"'!$AH$7:$AH$500"),"Pass"),0))</f>
        <v>0</v>
      </c>
      <c r="AV13" s="92" t="n">
        <f aca="true">IF($D13="","",IFERROR(COUNTIF(INDIRECT("'"&amp;$D13&amp;"'!$AH$7:$AH$500"),"Fail"),0))</f>
        <v>0</v>
      </c>
      <c r="AW13" s="92" t="n">
        <f aca="true">IF($D13="","",IFERROR(COUNTIF(INDIRECT("'"&amp;$D13&amp;"'!$AH$7:$AH$500"),"Block"),0))</f>
        <v>0</v>
      </c>
      <c r="AX13" s="92" t="n">
        <f aca="true">IF($D13="","",IFERROR(COUNTIF(INDIRECT("'"&amp;$D13&amp;"'!$AH$7:$AH$500"),"N/A"),0))</f>
        <v>0</v>
      </c>
      <c r="AY13" s="92" t="n">
        <f aca="true">IF($D13="","",IFERROR(COUNTIF(INDIRECT("'"&amp;$D13&amp;"'!$AN$7:$AN$500"),"?*"),0))</f>
        <v>0</v>
      </c>
      <c r="AZ13" s="92" t="n">
        <f aca="true">IF($D13="","",IFERROR(COUNTIF(INDIRECT("'"&amp;$D13&amp;"'!$AN$7:$AN$500"),"Pass"),0))</f>
        <v>0</v>
      </c>
      <c r="BA13" s="92" t="n">
        <f aca="true">IF($D13="","",IFERROR(COUNTIF(INDIRECT("'"&amp;$D13&amp;"'!$AN$7:$AN$500"),"Fail"),0))</f>
        <v>0</v>
      </c>
      <c r="BB13" s="92" t="n">
        <f aca="true">IF($D13="","",IFERROR(COUNTIF(INDIRECT("'"&amp;$D13&amp;"'!$AN$7:$AN$500"),"Block"),0))</f>
        <v>0</v>
      </c>
      <c r="BC13" s="1" t="n">
        <f aca="true">IF($D13="","",IFERROR(COUNTIF(INDIRECT("'"&amp;$D13&amp;"'!$AN$7:$AN$500"),"N/A"),0))</f>
        <v>0</v>
      </c>
    </row>
    <row r="14" customFormat="false" ht="15" hidden="false" customHeight="true" outlineLevel="0" collapsed="false">
      <c r="B14" s="87" t="n">
        <f aca="false">IF($D14="","",ROW()-3)</f>
        <v>11</v>
      </c>
      <c r="C14" s="88" t="s">
        <v>215</v>
      </c>
      <c r="D14" s="88" t="s">
        <v>216</v>
      </c>
      <c r="E14" s="89" t="s">
        <v>216</v>
      </c>
      <c r="F14" s="87" t="n">
        <f aca="true">IF($D14="","",IFERROR(COUNTIF(INDIRECT("'"&amp;$D14&amp;"'!$A$7:$A$500"),"?*"),0))</f>
        <v>38</v>
      </c>
      <c r="G14" s="87" t="n">
        <f aca="true">IF($D14="","",IFERROR(COUNTIF(INDIRECT("'"&amp;$D14&amp;"'!$AT$7:$AT$500"),"Pass"),0))</f>
        <v>0</v>
      </c>
      <c r="H14" s="87" t="n">
        <f aca="true">IF($D14="","",IFERROR(COUNTIF(INDIRECT("'"&amp;$D14&amp;"'!$AT$7:$AT$500"),"Fail"),0))</f>
        <v>0</v>
      </c>
      <c r="I14" s="87" t="n">
        <f aca="true">IF($D14="","",IFERROR(COUNTIF(INDIRECT("'"&amp;$D14&amp;"'!$AT$7:$AT$500"),"Block"),0))</f>
        <v>0</v>
      </c>
      <c r="J14" s="87" t="n">
        <f aca="true">IF($D14="","",IFERROR(COUNTIF(INDIRECT("'"&amp;$D14&amp;"'!$AT$7:$AT$500"),"N/A"),0))</f>
        <v>0</v>
      </c>
      <c r="K14" s="87" t="n">
        <f aca="false">IF($D14="","",MAX(0,$F14-$G14-$H14-$I14-$J14))</f>
        <v>38</v>
      </c>
      <c r="L14" s="87" t="n">
        <f aca="false">IF($D14="","",$G14+$H14+$I14+$J14)</f>
        <v>0</v>
      </c>
      <c r="M14" s="90" t="n">
        <f aca="false">IF($D14="","",IFERROR($L14/$F14,0))</f>
        <v>0</v>
      </c>
      <c r="N14" s="90" t="n">
        <f aca="false">IF($D14="","",IFERROR($G14/$L14,0))</f>
        <v>0</v>
      </c>
      <c r="O14" s="87" t="n">
        <f aca="true">IF($D14="","",IFERROR(COUNTIF(INDIRECT("'"&amp;$D14&amp;"'!$E$7:$E$500"),"High"),0))</f>
        <v>3</v>
      </c>
      <c r="P14" s="87" t="n">
        <f aca="true">IF($D14="","",IFERROR(COUNTIF(INDIRECT("'"&amp;$D14&amp;"'!$E$7:$E$500"),"Medium"),0))</f>
        <v>30</v>
      </c>
      <c r="Q14" s="87" t="n">
        <f aca="true">IF($D14="","",IFERROR(COUNTIF(INDIRECT("'"&amp;$D14&amp;"'!$E$7:$E$500"),"Low"),0))</f>
        <v>5</v>
      </c>
      <c r="R14" s="87" t="n">
        <f aca="true">IF($D14="","",IFERROR(COUNTIF(INDIRECT("'"&amp;$D14&amp;"'!$D$7:$D$500"),"Functional"),0))</f>
        <v>33</v>
      </c>
      <c r="S14" s="87" t="n">
        <f aca="true">IF($D14="","",IFERROR(COUNTIF(INDIRECT("'"&amp;$D14&amp;"'!$D$7:$D$500"),"UI"),0))</f>
        <v>5</v>
      </c>
      <c r="T14" s="87" t="n">
        <f aca="true">IF($D14="","",IFERROR(COUNTIF(INDIRECT("'"&amp;$D14&amp;"'!$D$7:$D$500"),"Integration"),0))</f>
        <v>0</v>
      </c>
      <c r="U14" s="87" t="n">
        <f aca="true">IF($D14="","",IFERROR(COUNTIF(INDIRECT("'"&amp;$D14&amp;"'!$D$7:$D$500"),"Database Test Case"),0))</f>
        <v>0</v>
      </c>
      <c r="V14" s="87" t="n">
        <f aca="true">IF($D14="","",IFERROR(COUNTIF(INDIRECT("'"&amp;$D14&amp;"'!$J$7:$J$500"),"AI"),0))</f>
        <v>38</v>
      </c>
      <c r="W14" s="87" t="n">
        <f aca="true">IF($D14="","",IFERROR(COUNTIF(INDIRECT("'"&amp;$D14&amp;"'!$J$7:$J$500"),"QC"),0))</f>
        <v>0</v>
      </c>
      <c r="X14" s="87" t="n">
        <f aca="true">IF($D14="","",IFERROR(COUNTIF(INDIRECT("'"&amp;$D14&amp;"'!$L$7:$L$500"),"Yes"),0))</f>
        <v>0</v>
      </c>
      <c r="Y14" s="87" t="n">
        <f aca="true">IF($D14="","",IFERROR(COUNTIF(INDIRECT("'"&amp;$D14&amp;"'!$AR$7:$AR$500"),"Yes"),0))</f>
        <v>0</v>
      </c>
      <c r="Z14" s="87" t="n">
        <f aca="true">IF($D14="","",IFERROR(COUNTIF(INDIRECT("'"&amp;$D14&amp;"'!$AS$7:$AS$500"),"Pass"),0))</f>
        <v>0</v>
      </c>
      <c r="AA14" s="87" t="n">
        <f aca="true">IF($D14="","",IFERROR(COUNTIF(INDIRECT("'"&amp;$D14&amp;"'!$K$7:$K$500"),"Reviewed"),0))</f>
        <v>0</v>
      </c>
      <c r="AB14" s="91" t="n">
        <f aca="true">IF($D14="","",IFERROR(COUNTIFS(INDIRECT("'"&amp;$D14&amp;"'!$E$7:$E$500"),"High",INDIRECT("'"&amp;$D14&amp;"'!$AT$7:$AT$500"),"?*"),0))</f>
        <v>0</v>
      </c>
      <c r="AC14" s="91" t="n">
        <f aca="true">IF($D14="","",IFERROR(COUNTIFS(INDIRECT("'"&amp;$D14&amp;"'!$E$7:$E$500"),"Medium",INDIRECT("'"&amp;$D14&amp;"'!$AT$7:$AT$500"),"?*"),0))</f>
        <v>0</v>
      </c>
      <c r="AD14" s="91" t="n">
        <f aca="true">IF($D14="","",IFERROR(COUNTIFS(INDIRECT("'"&amp;$D14&amp;"'!$E$7:$E$500"),"Low",INDIRECT("'"&amp;$D14&amp;"'!$AT$7:$AT$500"),"?*"),0))</f>
        <v>0</v>
      </c>
      <c r="AE14" s="92" t="n">
        <f aca="true">IF($D14="","",IFERROR(COUNTIF(INDIRECT("'"&amp;$D14&amp;"'!$P$7:$P$500"),"?*"),0))</f>
        <v>0</v>
      </c>
      <c r="AF14" s="92" t="n">
        <f aca="true">IF($D14="","",IFERROR(COUNTIF(INDIRECT("'"&amp;$D14&amp;"'!$P$7:$P$500"),"Pass"),0))</f>
        <v>0</v>
      </c>
      <c r="AG14" s="92" t="n">
        <f aca="true">IF($D14="","",IFERROR(COUNTIF(INDIRECT("'"&amp;$D14&amp;"'!$P$7:$P$500"),"Fail"),0))</f>
        <v>0</v>
      </c>
      <c r="AH14" s="92" t="n">
        <f aca="true">IF($D14="","",IFERROR(COUNTIF(INDIRECT("'"&amp;$D14&amp;"'!$P$7:$P$500"),"Block"),0))</f>
        <v>0</v>
      </c>
      <c r="AI14" s="92" t="n">
        <f aca="true">IF($D14="","",IFERROR(COUNTIF(INDIRECT("'"&amp;$D14&amp;"'!$P$7:$P$500"),"N/A"),0))</f>
        <v>0</v>
      </c>
      <c r="AJ14" s="92" t="n">
        <f aca="true">IF($D14="","",IFERROR(COUNTIF(INDIRECT("'"&amp;$D14&amp;"'!$V$7:$V$500"),"?*"),0))</f>
        <v>0</v>
      </c>
      <c r="AK14" s="92" t="n">
        <f aca="true">IF($D14="","",IFERROR(COUNTIF(INDIRECT("'"&amp;$D14&amp;"'!$V$7:$V$500"),"Pass"),0))</f>
        <v>0</v>
      </c>
      <c r="AL14" s="92" t="n">
        <f aca="true">IF($D14="","",IFERROR(COUNTIF(INDIRECT("'"&amp;$D14&amp;"'!$V$7:$V$500"),"Fail"),0))</f>
        <v>0</v>
      </c>
      <c r="AM14" s="92" t="n">
        <f aca="true">IF($D14="","",IFERROR(COUNTIF(INDIRECT("'"&amp;$D14&amp;"'!$V$7:$V$500"),"Block"),0))</f>
        <v>0</v>
      </c>
      <c r="AN14" s="92" t="n">
        <f aca="true">IF($D14="","",IFERROR(COUNTIF(INDIRECT("'"&amp;$D14&amp;"'!$V$7:$V$500"),"N/A"),0))</f>
        <v>0</v>
      </c>
      <c r="AO14" s="92" t="n">
        <f aca="true">IF($D14="","",IFERROR(COUNTIF(INDIRECT("'"&amp;$D14&amp;"'!$AB$7:$AB$500"),"?*"),0))</f>
        <v>0</v>
      </c>
      <c r="AP14" s="92" t="n">
        <f aca="true">IF($D14="","",IFERROR(COUNTIF(INDIRECT("'"&amp;$D14&amp;"'!$AB$7:$AB$500"),"Pass"),0))</f>
        <v>0</v>
      </c>
      <c r="AQ14" s="92" t="n">
        <f aca="true">IF($D14="","",IFERROR(COUNTIF(INDIRECT("'"&amp;$D14&amp;"'!$AB$7:$AB$500"),"Fail"),0))</f>
        <v>0</v>
      </c>
      <c r="AR14" s="92" t="n">
        <f aca="true">IF($D14="","",IFERROR(COUNTIF(INDIRECT("'"&amp;$D14&amp;"'!$AB$7:$AB$500"),"Block"),0))</f>
        <v>0</v>
      </c>
      <c r="AS14" s="92" t="n">
        <f aca="true">IF($D14="","",IFERROR(COUNTIF(INDIRECT("'"&amp;$D14&amp;"'!$AB$7:$AB$500"),"N/A"),0))</f>
        <v>0</v>
      </c>
      <c r="AT14" s="92" t="n">
        <f aca="true">IF($D14="","",IFERROR(COUNTIF(INDIRECT("'"&amp;$D14&amp;"'!$AH$7:$AH$500"),"?*"),0))</f>
        <v>0</v>
      </c>
      <c r="AU14" s="92" t="n">
        <f aca="true">IF($D14="","",IFERROR(COUNTIF(INDIRECT("'"&amp;$D14&amp;"'!$AH$7:$AH$500"),"Pass"),0))</f>
        <v>0</v>
      </c>
      <c r="AV14" s="92" t="n">
        <f aca="true">IF($D14="","",IFERROR(COUNTIF(INDIRECT("'"&amp;$D14&amp;"'!$AH$7:$AH$500"),"Fail"),0))</f>
        <v>0</v>
      </c>
      <c r="AW14" s="92" t="n">
        <f aca="true">IF($D14="","",IFERROR(COUNTIF(INDIRECT("'"&amp;$D14&amp;"'!$AH$7:$AH$500"),"Block"),0))</f>
        <v>0</v>
      </c>
      <c r="AX14" s="92" t="n">
        <f aca="true">IF($D14="","",IFERROR(COUNTIF(INDIRECT("'"&amp;$D14&amp;"'!$AH$7:$AH$500"),"N/A"),0))</f>
        <v>0</v>
      </c>
      <c r="AY14" s="92" t="n">
        <f aca="true">IF($D14="","",IFERROR(COUNTIF(INDIRECT("'"&amp;$D14&amp;"'!$AN$7:$AN$500"),"?*"),0))</f>
        <v>0</v>
      </c>
      <c r="AZ14" s="92" t="n">
        <f aca="true">IF($D14="","",IFERROR(COUNTIF(INDIRECT("'"&amp;$D14&amp;"'!$AN$7:$AN$500"),"Pass"),0))</f>
        <v>0</v>
      </c>
      <c r="BA14" s="92" t="n">
        <f aca="true">IF($D14="","",IFERROR(COUNTIF(INDIRECT("'"&amp;$D14&amp;"'!$AN$7:$AN$500"),"Fail"),0))</f>
        <v>0</v>
      </c>
      <c r="BB14" s="92" t="n">
        <f aca="true">IF($D14="","",IFERROR(COUNTIF(INDIRECT("'"&amp;$D14&amp;"'!$AN$7:$AN$500"),"Block"),0))</f>
        <v>0</v>
      </c>
      <c r="BC14" s="1" t="n">
        <f aca="true">IF($D14="","",IFERROR(COUNTIF(INDIRECT("'"&amp;$D14&amp;"'!$AN$7:$AN$500"),"N/A"),0))</f>
        <v>0</v>
      </c>
    </row>
    <row r="15" customFormat="false" ht="15" hidden="false" customHeight="true" outlineLevel="0" collapsed="false">
      <c r="B15" s="87" t="str">
        <f aca="false">IF($D15="","",ROW()-3)</f>
        <v/>
      </c>
      <c r="C15" s="88"/>
      <c r="D15" s="88"/>
      <c r="E15" s="89"/>
      <c r="F15" s="87" t="str">
        <f aca="true">IF($D15="","",IFERROR(COUNTIF(INDIRECT("'"&amp;$D15&amp;"'!$A$7:$A$500"),"?*"),0))</f>
        <v/>
      </c>
      <c r="G15" s="87" t="str">
        <f aca="true">IF($D15="","",IFERROR(COUNTIF(INDIRECT("'"&amp;$D15&amp;"'!$AT$7:$AT$500"),"Pass"),0))</f>
        <v/>
      </c>
      <c r="H15" s="87" t="str">
        <f aca="true">IF($D15="","",IFERROR(COUNTIF(INDIRECT("'"&amp;$D15&amp;"'!$AT$7:$AT$500"),"Fail"),0))</f>
        <v/>
      </c>
      <c r="I15" s="87" t="str">
        <f aca="true">IF($D15="","",IFERROR(COUNTIF(INDIRECT("'"&amp;$D15&amp;"'!$AT$7:$AT$500"),"Block"),0))</f>
        <v/>
      </c>
      <c r="J15" s="87" t="str">
        <f aca="true">IF($D15="","",IFERROR(COUNTIF(INDIRECT("'"&amp;$D15&amp;"'!$AT$7:$AT$500"),"N/A"),0))</f>
        <v/>
      </c>
      <c r="K15" s="87" t="str">
        <f aca="false">IF($D15="","",MAX(0,$F15-$G15-$H15-$I15-$J15))</f>
        <v/>
      </c>
      <c r="L15" s="87" t="str">
        <f aca="false">IF($D15="","",$G15+$H15+$I15+$J15)</f>
        <v/>
      </c>
      <c r="M15" s="90" t="str">
        <f aca="false">IF($D15="","",IFERROR($L15/$F15,0))</f>
        <v/>
      </c>
      <c r="N15" s="90" t="str">
        <f aca="false">IF($D15="","",IFERROR($G15/$L15,0))</f>
        <v/>
      </c>
      <c r="O15" s="87" t="str">
        <f aca="true">IF($D15="","",IFERROR(COUNTIF(INDIRECT("'"&amp;$D15&amp;"'!$E$7:$E$500"),"High"),0))</f>
        <v/>
      </c>
      <c r="P15" s="87" t="str">
        <f aca="true">IF($D15="","",IFERROR(COUNTIF(INDIRECT("'"&amp;$D15&amp;"'!$E$7:$E$500"),"Medium"),0))</f>
        <v/>
      </c>
      <c r="Q15" s="87" t="str">
        <f aca="true">IF($D15="","",IFERROR(COUNTIF(INDIRECT("'"&amp;$D15&amp;"'!$E$7:$E$500"),"Low"),0))</f>
        <v/>
      </c>
      <c r="R15" s="87" t="str">
        <f aca="true">IF($D15="","",IFERROR(COUNTIF(INDIRECT("'"&amp;$D15&amp;"'!$D$7:$D$500"),"Functional"),0))</f>
        <v/>
      </c>
      <c r="S15" s="87" t="str">
        <f aca="true">IF($D15="","",IFERROR(COUNTIF(INDIRECT("'"&amp;$D15&amp;"'!$D$7:$D$500"),"UI"),0))</f>
        <v/>
      </c>
      <c r="T15" s="87" t="str">
        <f aca="true">IF($D15="","",IFERROR(COUNTIF(INDIRECT("'"&amp;$D15&amp;"'!$D$7:$D$500"),"Integration"),0))</f>
        <v/>
      </c>
      <c r="U15" s="87" t="str">
        <f aca="true">IF($D15="","",IFERROR(COUNTIF(INDIRECT("'"&amp;$D15&amp;"'!$D$7:$D$500"),"Database Test Case"),0))</f>
        <v/>
      </c>
      <c r="V15" s="87" t="str">
        <f aca="true">IF($D15="","",IFERROR(COUNTIF(INDIRECT("'"&amp;$D15&amp;"'!$J$7:$J$500"),"AI"),0))</f>
        <v/>
      </c>
      <c r="W15" s="87" t="str">
        <f aca="true">IF($D15="","",IFERROR(COUNTIF(INDIRECT("'"&amp;$D15&amp;"'!$J$7:$J$500"),"QC"),0))</f>
        <v/>
      </c>
      <c r="X15" s="87" t="str">
        <f aca="true">IF($D15="","",IFERROR(COUNTIF(INDIRECT("'"&amp;$D15&amp;"'!$L$7:$L$500"),"Yes"),0))</f>
        <v/>
      </c>
      <c r="Y15" s="87" t="str">
        <f aca="true">IF($D15="","",IFERROR(COUNTIF(INDIRECT("'"&amp;$D15&amp;"'!$AR$7:$AR$500"),"Yes"),0))</f>
        <v/>
      </c>
      <c r="Z15" s="87" t="str">
        <f aca="true">IF($D15="","",IFERROR(COUNTIF(INDIRECT("'"&amp;$D15&amp;"'!$AS$7:$AS$500"),"Pass"),0))</f>
        <v/>
      </c>
      <c r="AA15" s="87" t="str">
        <f aca="true">IF($D15="","",IFERROR(COUNTIF(INDIRECT("'"&amp;$D15&amp;"'!$K$7:$K$500"),"Reviewed"),0))</f>
        <v/>
      </c>
      <c r="AB15" s="91" t="str">
        <f aca="true">IF($D15="","",IFERROR(COUNTIFS(INDIRECT("'"&amp;$D15&amp;"'!$E$7:$E$500"),"High",INDIRECT("'"&amp;$D15&amp;"'!$AT$7:$AT$500"),"?*"),0))</f>
        <v/>
      </c>
      <c r="AC15" s="91" t="str">
        <f aca="true">IF($D15="","",IFERROR(COUNTIFS(INDIRECT("'"&amp;$D15&amp;"'!$E$7:$E$500"),"Medium",INDIRECT("'"&amp;$D15&amp;"'!$AT$7:$AT$500"),"?*"),0))</f>
        <v/>
      </c>
      <c r="AD15" s="91" t="str">
        <f aca="true">IF($D15="","",IFERROR(COUNTIFS(INDIRECT("'"&amp;$D15&amp;"'!$E$7:$E$500"),"Low",INDIRECT("'"&amp;$D15&amp;"'!$AT$7:$AT$500"),"?*"),0))</f>
        <v/>
      </c>
      <c r="AE15" s="92" t="str">
        <f aca="true">IF($D15="","",IFERROR(COUNTIF(INDIRECT("'"&amp;$D15&amp;"'!$P$7:$P$500"),"?*"),0))</f>
        <v/>
      </c>
      <c r="AF15" s="92" t="str">
        <f aca="true">IF($D15="","",IFERROR(COUNTIF(INDIRECT("'"&amp;$D15&amp;"'!$P$7:$P$500"),"Pass"),0))</f>
        <v/>
      </c>
      <c r="AG15" s="92" t="str">
        <f aca="true">IF($D15="","",IFERROR(COUNTIF(INDIRECT("'"&amp;$D15&amp;"'!$P$7:$P$500"),"Fail"),0))</f>
        <v/>
      </c>
      <c r="AH15" s="92" t="str">
        <f aca="true">IF($D15="","",IFERROR(COUNTIF(INDIRECT("'"&amp;$D15&amp;"'!$P$7:$P$500"),"Block"),0))</f>
        <v/>
      </c>
      <c r="AI15" s="92" t="str">
        <f aca="true">IF($D15="","",IFERROR(COUNTIF(INDIRECT("'"&amp;$D15&amp;"'!$P$7:$P$500"),"N/A"),0))</f>
        <v/>
      </c>
      <c r="AJ15" s="92" t="str">
        <f aca="true">IF($D15="","",IFERROR(COUNTIF(INDIRECT("'"&amp;$D15&amp;"'!$V$7:$V$500"),"?*"),0))</f>
        <v/>
      </c>
      <c r="AK15" s="92" t="str">
        <f aca="true">IF($D15="","",IFERROR(COUNTIF(INDIRECT("'"&amp;$D15&amp;"'!$V$7:$V$500"),"Pass"),0))</f>
        <v/>
      </c>
      <c r="AL15" s="92" t="str">
        <f aca="true">IF($D15="","",IFERROR(COUNTIF(INDIRECT("'"&amp;$D15&amp;"'!$V$7:$V$500"),"Fail"),0))</f>
        <v/>
      </c>
      <c r="AM15" s="92" t="str">
        <f aca="true">IF($D15="","",IFERROR(COUNTIF(INDIRECT("'"&amp;$D15&amp;"'!$V$7:$V$500"),"Block"),0))</f>
        <v/>
      </c>
      <c r="AN15" s="92" t="str">
        <f aca="true">IF($D15="","",IFERROR(COUNTIF(INDIRECT("'"&amp;$D15&amp;"'!$V$7:$V$500"),"N/A"),0))</f>
        <v/>
      </c>
      <c r="AO15" s="92" t="str">
        <f aca="true">IF($D15="","",IFERROR(COUNTIF(INDIRECT("'"&amp;$D15&amp;"'!$AB$7:$AB$500"),"?*"),0))</f>
        <v/>
      </c>
      <c r="AP15" s="92" t="str">
        <f aca="true">IF($D15="","",IFERROR(COUNTIF(INDIRECT("'"&amp;$D15&amp;"'!$AB$7:$AB$500"),"Pass"),0))</f>
        <v/>
      </c>
      <c r="AQ15" s="92" t="str">
        <f aca="true">IF($D15="","",IFERROR(COUNTIF(INDIRECT("'"&amp;$D15&amp;"'!$AB$7:$AB$500"),"Fail"),0))</f>
        <v/>
      </c>
      <c r="AR15" s="92" t="str">
        <f aca="true">IF($D15="","",IFERROR(COUNTIF(INDIRECT("'"&amp;$D15&amp;"'!$AB$7:$AB$500"),"Block"),0))</f>
        <v/>
      </c>
      <c r="AS15" s="92" t="str">
        <f aca="true">IF($D15="","",IFERROR(COUNTIF(INDIRECT("'"&amp;$D15&amp;"'!$AB$7:$AB$500"),"N/A"),0))</f>
        <v/>
      </c>
      <c r="AT15" s="92" t="str">
        <f aca="true">IF($D15="","",IFERROR(COUNTIF(INDIRECT("'"&amp;$D15&amp;"'!$AH$7:$AH$500"),"?*"),0))</f>
        <v/>
      </c>
      <c r="AU15" s="92" t="str">
        <f aca="true">IF($D15="","",IFERROR(COUNTIF(INDIRECT("'"&amp;$D15&amp;"'!$AH$7:$AH$500"),"Pass"),0))</f>
        <v/>
      </c>
      <c r="AV15" s="92" t="str">
        <f aca="true">IF($D15="","",IFERROR(COUNTIF(INDIRECT("'"&amp;$D15&amp;"'!$AH$7:$AH$500"),"Fail"),0))</f>
        <v/>
      </c>
      <c r="AW15" s="92" t="str">
        <f aca="true">IF($D15="","",IFERROR(COUNTIF(INDIRECT("'"&amp;$D15&amp;"'!$AH$7:$AH$500"),"Block"),0))</f>
        <v/>
      </c>
      <c r="AX15" s="92" t="str">
        <f aca="true">IF($D15="","",IFERROR(COUNTIF(INDIRECT("'"&amp;$D15&amp;"'!$AH$7:$AH$500"),"N/A"),0))</f>
        <v/>
      </c>
      <c r="AY15" s="92" t="str">
        <f aca="true">IF($D15="","",IFERROR(COUNTIF(INDIRECT("'"&amp;$D15&amp;"'!$AN$7:$AN$500"),"?*"),0))</f>
        <v/>
      </c>
      <c r="AZ15" s="92" t="str">
        <f aca="true">IF($D15="","",IFERROR(COUNTIF(INDIRECT("'"&amp;$D15&amp;"'!$AN$7:$AN$500"),"Pass"),0))</f>
        <v/>
      </c>
      <c r="BA15" s="92" t="str">
        <f aca="true">IF($D15="","",IFERROR(COUNTIF(INDIRECT("'"&amp;$D15&amp;"'!$AN$7:$AN$500"),"Fail"),0))</f>
        <v/>
      </c>
      <c r="BB15" s="92" t="str">
        <f aca="true">IF($D15="","",IFERROR(COUNTIF(INDIRECT("'"&amp;$D15&amp;"'!$AN$7:$AN$500"),"Block"),0))</f>
        <v/>
      </c>
      <c r="BC15" s="1" t="str">
        <f aca="true">IF($D15="","",IFERROR(COUNTIF(INDIRECT("'"&amp;$D15&amp;"'!$AN$7:$AN$500"),"N/A"),0))</f>
        <v/>
      </c>
    </row>
    <row r="16" customFormat="false" ht="15" hidden="false" customHeight="true" outlineLevel="0" collapsed="false">
      <c r="B16" s="87" t="str">
        <f aca="false">IF($D16="","",ROW()-3)</f>
        <v/>
      </c>
      <c r="C16" s="88"/>
      <c r="D16" s="88"/>
      <c r="E16" s="89"/>
      <c r="F16" s="87" t="str">
        <f aca="true">IF($D16="","",IFERROR(COUNTIF(INDIRECT("'"&amp;$D16&amp;"'!$A$7:$A$500"),"?*"),0))</f>
        <v/>
      </c>
      <c r="G16" s="87" t="str">
        <f aca="true">IF($D16="","",IFERROR(COUNTIF(INDIRECT("'"&amp;$D16&amp;"'!$AT$7:$AT$500"),"Pass"),0))</f>
        <v/>
      </c>
      <c r="H16" s="87" t="str">
        <f aca="true">IF($D16="","",IFERROR(COUNTIF(INDIRECT("'"&amp;$D16&amp;"'!$AT$7:$AT$500"),"Fail"),0))</f>
        <v/>
      </c>
      <c r="I16" s="87" t="str">
        <f aca="true">IF($D16="","",IFERROR(COUNTIF(INDIRECT("'"&amp;$D16&amp;"'!$AT$7:$AT$500"),"Block"),0))</f>
        <v/>
      </c>
      <c r="J16" s="87" t="str">
        <f aca="true">IF($D16="","",IFERROR(COUNTIF(INDIRECT("'"&amp;$D16&amp;"'!$AT$7:$AT$500"),"N/A"),0))</f>
        <v/>
      </c>
      <c r="K16" s="87" t="str">
        <f aca="false">IF($D16="","",MAX(0,$F16-$G16-$H16-$I16-$J16))</f>
        <v/>
      </c>
      <c r="L16" s="87" t="str">
        <f aca="false">IF($D16="","",$G16+$H16+$I16+$J16)</f>
        <v/>
      </c>
      <c r="M16" s="90" t="str">
        <f aca="false">IF($D16="","",IFERROR($L16/$F16,0))</f>
        <v/>
      </c>
      <c r="N16" s="90" t="str">
        <f aca="false">IF($D16="","",IFERROR($G16/$L16,0))</f>
        <v/>
      </c>
      <c r="O16" s="87" t="str">
        <f aca="true">IF($D16="","",IFERROR(COUNTIF(INDIRECT("'"&amp;$D16&amp;"'!$E$7:$E$500"),"High"),0))</f>
        <v/>
      </c>
      <c r="P16" s="87" t="str">
        <f aca="true">IF($D16="","",IFERROR(COUNTIF(INDIRECT("'"&amp;$D16&amp;"'!$E$7:$E$500"),"Medium"),0))</f>
        <v/>
      </c>
      <c r="Q16" s="87" t="str">
        <f aca="true">IF($D16="","",IFERROR(COUNTIF(INDIRECT("'"&amp;$D16&amp;"'!$E$7:$E$500"),"Low"),0))</f>
        <v/>
      </c>
      <c r="R16" s="87" t="str">
        <f aca="true">IF($D16="","",IFERROR(COUNTIF(INDIRECT("'"&amp;$D16&amp;"'!$D$7:$D$500"),"Functional"),0))</f>
        <v/>
      </c>
      <c r="S16" s="87" t="str">
        <f aca="true">IF($D16="","",IFERROR(COUNTIF(INDIRECT("'"&amp;$D16&amp;"'!$D$7:$D$500"),"UI"),0))</f>
        <v/>
      </c>
      <c r="T16" s="87" t="str">
        <f aca="true">IF($D16="","",IFERROR(COUNTIF(INDIRECT("'"&amp;$D16&amp;"'!$D$7:$D$500"),"Integration"),0))</f>
        <v/>
      </c>
      <c r="U16" s="87" t="str">
        <f aca="true">IF($D16="","",IFERROR(COUNTIF(INDIRECT("'"&amp;$D16&amp;"'!$D$7:$D$500"),"Database Test Case"),0))</f>
        <v/>
      </c>
      <c r="V16" s="87" t="str">
        <f aca="true">IF($D16="","",IFERROR(COUNTIF(INDIRECT("'"&amp;$D16&amp;"'!$J$7:$J$500"),"AI"),0))</f>
        <v/>
      </c>
      <c r="W16" s="87" t="str">
        <f aca="true">IF($D16="","",IFERROR(COUNTIF(INDIRECT("'"&amp;$D16&amp;"'!$J$7:$J$500"),"QC"),0))</f>
        <v/>
      </c>
      <c r="X16" s="87" t="str">
        <f aca="true">IF($D16="","",IFERROR(COUNTIF(INDIRECT("'"&amp;$D16&amp;"'!$L$7:$L$500"),"Yes"),0))</f>
        <v/>
      </c>
      <c r="Y16" s="87" t="str">
        <f aca="true">IF($D16="","",IFERROR(COUNTIF(INDIRECT("'"&amp;$D16&amp;"'!$AR$7:$AR$500"),"Yes"),0))</f>
        <v/>
      </c>
      <c r="Z16" s="87" t="str">
        <f aca="true">IF($D16="","",IFERROR(COUNTIF(INDIRECT("'"&amp;$D16&amp;"'!$AS$7:$AS$500"),"Pass"),0))</f>
        <v/>
      </c>
      <c r="AA16" s="87" t="str">
        <f aca="true">IF($D16="","",IFERROR(COUNTIF(INDIRECT("'"&amp;$D16&amp;"'!$K$7:$K$500"),"Reviewed"),0))</f>
        <v/>
      </c>
      <c r="AB16" s="91" t="str">
        <f aca="true">IF($D16="","",IFERROR(COUNTIFS(INDIRECT("'"&amp;$D16&amp;"'!$E$7:$E$500"),"High",INDIRECT("'"&amp;$D16&amp;"'!$AT$7:$AT$500"),"?*"),0))</f>
        <v/>
      </c>
      <c r="AC16" s="91" t="str">
        <f aca="true">IF($D16="","",IFERROR(COUNTIFS(INDIRECT("'"&amp;$D16&amp;"'!$E$7:$E$500"),"Medium",INDIRECT("'"&amp;$D16&amp;"'!$AT$7:$AT$500"),"?*"),0))</f>
        <v/>
      </c>
      <c r="AD16" s="91" t="str">
        <f aca="true">IF($D16="","",IFERROR(COUNTIFS(INDIRECT("'"&amp;$D16&amp;"'!$E$7:$E$500"),"Low",INDIRECT("'"&amp;$D16&amp;"'!$AT$7:$AT$500"),"?*"),0))</f>
        <v/>
      </c>
      <c r="AE16" s="92" t="str">
        <f aca="true">IF($D16="","",IFERROR(COUNTIF(INDIRECT("'"&amp;$D16&amp;"'!$P$7:$P$500"),"?*"),0))</f>
        <v/>
      </c>
      <c r="AF16" s="92" t="str">
        <f aca="true">IF($D16="","",IFERROR(COUNTIF(INDIRECT("'"&amp;$D16&amp;"'!$P$7:$P$500"),"Pass"),0))</f>
        <v/>
      </c>
      <c r="AG16" s="92" t="str">
        <f aca="true">IF($D16="","",IFERROR(COUNTIF(INDIRECT("'"&amp;$D16&amp;"'!$P$7:$P$500"),"Fail"),0))</f>
        <v/>
      </c>
      <c r="AH16" s="92" t="str">
        <f aca="true">IF($D16="","",IFERROR(COUNTIF(INDIRECT("'"&amp;$D16&amp;"'!$P$7:$P$500"),"Block"),0))</f>
        <v/>
      </c>
      <c r="AI16" s="92" t="str">
        <f aca="true">IF($D16="","",IFERROR(COUNTIF(INDIRECT("'"&amp;$D16&amp;"'!$P$7:$P$500"),"N/A"),0))</f>
        <v/>
      </c>
      <c r="AJ16" s="92" t="str">
        <f aca="true">IF($D16="","",IFERROR(COUNTIF(INDIRECT("'"&amp;$D16&amp;"'!$V$7:$V$500"),"?*"),0))</f>
        <v/>
      </c>
      <c r="AK16" s="92" t="str">
        <f aca="true">IF($D16="","",IFERROR(COUNTIF(INDIRECT("'"&amp;$D16&amp;"'!$V$7:$V$500"),"Pass"),0))</f>
        <v/>
      </c>
      <c r="AL16" s="92" t="str">
        <f aca="true">IF($D16="","",IFERROR(COUNTIF(INDIRECT("'"&amp;$D16&amp;"'!$V$7:$V$500"),"Fail"),0))</f>
        <v/>
      </c>
      <c r="AM16" s="92" t="str">
        <f aca="true">IF($D16="","",IFERROR(COUNTIF(INDIRECT("'"&amp;$D16&amp;"'!$V$7:$V$500"),"Block"),0))</f>
        <v/>
      </c>
      <c r="AN16" s="92" t="str">
        <f aca="true">IF($D16="","",IFERROR(COUNTIF(INDIRECT("'"&amp;$D16&amp;"'!$V$7:$V$500"),"N/A"),0))</f>
        <v/>
      </c>
      <c r="AO16" s="92" t="str">
        <f aca="true">IF($D16="","",IFERROR(COUNTIF(INDIRECT("'"&amp;$D16&amp;"'!$AB$7:$AB$500"),"?*"),0))</f>
        <v/>
      </c>
      <c r="AP16" s="92" t="str">
        <f aca="true">IF($D16="","",IFERROR(COUNTIF(INDIRECT("'"&amp;$D16&amp;"'!$AB$7:$AB$500"),"Pass"),0))</f>
        <v/>
      </c>
      <c r="AQ16" s="92" t="str">
        <f aca="true">IF($D16="","",IFERROR(COUNTIF(INDIRECT("'"&amp;$D16&amp;"'!$AB$7:$AB$500"),"Fail"),0))</f>
        <v/>
      </c>
      <c r="AR16" s="92" t="str">
        <f aca="true">IF($D16="","",IFERROR(COUNTIF(INDIRECT("'"&amp;$D16&amp;"'!$AB$7:$AB$500"),"Block"),0))</f>
        <v/>
      </c>
      <c r="AS16" s="92" t="str">
        <f aca="true">IF($D16="","",IFERROR(COUNTIF(INDIRECT("'"&amp;$D16&amp;"'!$AB$7:$AB$500"),"N/A"),0))</f>
        <v/>
      </c>
      <c r="AT16" s="92" t="str">
        <f aca="true">IF($D16="","",IFERROR(COUNTIF(INDIRECT("'"&amp;$D16&amp;"'!$AH$7:$AH$500"),"?*"),0))</f>
        <v/>
      </c>
      <c r="AU16" s="92" t="str">
        <f aca="true">IF($D16="","",IFERROR(COUNTIF(INDIRECT("'"&amp;$D16&amp;"'!$AH$7:$AH$500"),"Pass"),0))</f>
        <v/>
      </c>
      <c r="AV16" s="92" t="str">
        <f aca="true">IF($D16="","",IFERROR(COUNTIF(INDIRECT("'"&amp;$D16&amp;"'!$AH$7:$AH$500"),"Fail"),0))</f>
        <v/>
      </c>
      <c r="AW16" s="92" t="str">
        <f aca="true">IF($D16="","",IFERROR(COUNTIF(INDIRECT("'"&amp;$D16&amp;"'!$AH$7:$AH$500"),"Block"),0))</f>
        <v/>
      </c>
      <c r="AX16" s="92" t="str">
        <f aca="true">IF($D16="","",IFERROR(COUNTIF(INDIRECT("'"&amp;$D16&amp;"'!$AH$7:$AH$500"),"N/A"),0))</f>
        <v/>
      </c>
      <c r="AY16" s="92" t="str">
        <f aca="true">IF($D16="","",IFERROR(COUNTIF(INDIRECT("'"&amp;$D16&amp;"'!$AN$7:$AN$500"),"?*"),0))</f>
        <v/>
      </c>
      <c r="AZ16" s="92" t="str">
        <f aca="true">IF($D16="","",IFERROR(COUNTIF(INDIRECT("'"&amp;$D16&amp;"'!$AN$7:$AN$500"),"Pass"),0))</f>
        <v/>
      </c>
      <c r="BA16" s="92" t="str">
        <f aca="true">IF($D16="","",IFERROR(COUNTIF(INDIRECT("'"&amp;$D16&amp;"'!$AN$7:$AN$500"),"Fail"),0))</f>
        <v/>
      </c>
      <c r="BB16" s="92" t="str">
        <f aca="true">IF($D16="","",IFERROR(COUNTIF(INDIRECT("'"&amp;$D16&amp;"'!$AN$7:$AN$500"),"Block"),0))</f>
        <v/>
      </c>
      <c r="BC16" s="1" t="str">
        <f aca="true">IF($D16="","",IFERROR(COUNTIF(INDIRECT("'"&amp;$D16&amp;"'!$AN$7:$AN$500"),"N/A"),0))</f>
        <v/>
      </c>
    </row>
    <row r="17" customFormat="false" ht="15" hidden="false" customHeight="true" outlineLevel="0" collapsed="false">
      <c r="B17" s="87" t="str">
        <f aca="false">IF($D17="","",ROW()-3)</f>
        <v/>
      </c>
      <c r="C17" s="88"/>
      <c r="D17" s="88"/>
      <c r="E17" s="89"/>
      <c r="F17" s="87" t="str">
        <f aca="true">IF($D17="","",IFERROR(COUNTIF(INDIRECT("'"&amp;$D17&amp;"'!$A$7:$A$500"),"?*"),0))</f>
        <v/>
      </c>
      <c r="G17" s="87" t="str">
        <f aca="true">IF($D17="","",IFERROR(COUNTIF(INDIRECT("'"&amp;$D17&amp;"'!$AT$7:$AT$500"),"Pass"),0))</f>
        <v/>
      </c>
      <c r="H17" s="87" t="str">
        <f aca="true">IF($D17="","",IFERROR(COUNTIF(INDIRECT("'"&amp;$D17&amp;"'!$AT$7:$AT$500"),"Fail"),0))</f>
        <v/>
      </c>
      <c r="I17" s="87" t="str">
        <f aca="true">IF($D17="","",IFERROR(COUNTIF(INDIRECT("'"&amp;$D17&amp;"'!$AT$7:$AT$500"),"Block"),0))</f>
        <v/>
      </c>
      <c r="J17" s="87" t="str">
        <f aca="true">IF($D17="","",IFERROR(COUNTIF(INDIRECT("'"&amp;$D17&amp;"'!$AT$7:$AT$500"),"N/A"),0))</f>
        <v/>
      </c>
      <c r="K17" s="87" t="str">
        <f aca="false">IF($D17="","",MAX(0,$F17-$G17-$H17-$I17-$J17))</f>
        <v/>
      </c>
      <c r="L17" s="87" t="str">
        <f aca="false">IF($D17="","",$G17+$H17+$I17+$J17)</f>
        <v/>
      </c>
      <c r="M17" s="90" t="str">
        <f aca="false">IF($D17="","",IFERROR($L17/$F17,0))</f>
        <v/>
      </c>
      <c r="N17" s="90" t="str">
        <f aca="false">IF($D17="","",IFERROR($G17/$L17,0))</f>
        <v/>
      </c>
      <c r="O17" s="87" t="str">
        <f aca="true">IF($D17="","",IFERROR(COUNTIF(INDIRECT("'"&amp;$D17&amp;"'!$E$7:$E$500"),"High"),0))</f>
        <v/>
      </c>
      <c r="P17" s="87" t="str">
        <f aca="true">IF($D17="","",IFERROR(COUNTIF(INDIRECT("'"&amp;$D17&amp;"'!$E$7:$E$500"),"Medium"),0))</f>
        <v/>
      </c>
      <c r="Q17" s="87" t="str">
        <f aca="true">IF($D17="","",IFERROR(COUNTIF(INDIRECT("'"&amp;$D17&amp;"'!$E$7:$E$500"),"Low"),0))</f>
        <v/>
      </c>
      <c r="R17" s="87" t="str">
        <f aca="true">IF($D17="","",IFERROR(COUNTIF(INDIRECT("'"&amp;$D17&amp;"'!$D$7:$D$500"),"Functional"),0))</f>
        <v/>
      </c>
      <c r="S17" s="87" t="str">
        <f aca="true">IF($D17="","",IFERROR(COUNTIF(INDIRECT("'"&amp;$D17&amp;"'!$D$7:$D$500"),"UI"),0))</f>
        <v/>
      </c>
      <c r="T17" s="87" t="str">
        <f aca="true">IF($D17="","",IFERROR(COUNTIF(INDIRECT("'"&amp;$D17&amp;"'!$D$7:$D$500"),"Integration"),0))</f>
        <v/>
      </c>
      <c r="U17" s="87" t="str">
        <f aca="true">IF($D17="","",IFERROR(COUNTIF(INDIRECT("'"&amp;$D17&amp;"'!$D$7:$D$500"),"Database Test Case"),0))</f>
        <v/>
      </c>
      <c r="V17" s="87" t="str">
        <f aca="true">IF($D17="","",IFERROR(COUNTIF(INDIRECT("'"&amp;$D17&amp;"'!$J$7:$J$500"),"AI"),0))</f>
        <v/>
      </c>
      <c r="W17" s="87" t="str">
        <f aca="true">IF($D17="","",IFERROR(COUNTIF(INDIRECT("'"&amp;$D17&amp;"'!$J$7:$J$500"),"QC"),0))</f>
        <v/>
      </c>
      <c r="X17" s="87" t="str">
        <f aca="true">IF($D17="","",IFERROR(COUNTIF(INDIRECT("'"&amp;$D17&amp;"'!$L$7:$L$500"),"Yes"),0))</f>
        <v/>
      </c>
      <c r="Y17" s="87" t="str">
        <f aca="true">IF($D17="","",IFERROR(COUNTIF(INDIRECT("'"&amp;$D17&amp;"'!$AR$7:$AR$500"),"Yes"),0))</f>
        <v/>
      </c>
      <c r="Z17" s="87" t="str">
        <f aca="true">IF($D17="","",IFERROR(COUNTIF(INDIRECT("'"&amp;$D17&amp;"'!$AS$7:$AS$500"),"Pass"),0))</f>
        <v/>
      </c>
      <c r="AA17" s="87" t="str">
        <f aca="true">IF($D17="","",IFERROR(COUNTIF(INDIRECT("'"&amp;$D17&amp;"'!$K$7:$K$500"),"Reviewed"),0))</f>
        <v/>
      </c>
      <c r="AB17" s="91" t="str">
        <f aca="true">IF($D17="","",IFERROR(COUNTIFS(INDIRECT("'"&amp;$D17&amp;"'!$E$7:$E$500"),"High",INDIRECT("'"&amp;$D17&amp;"'!$AT$7:$AT$500"),"?*"),0))</f>
        <v/>
      </c>
      <c r="AC17" s="91" t="str">
        <f aca="true">IF($D17="","",IFERROR(COUNTIFS(INDIRECT("'"&amp;$D17&amp;"'!$E$7:$E$500"),"Medium",INDIRECT("'"&amp;$D17&amp;"'!$AT$7:$AT$500"),"?*"),0))</f>
        <v/>
      </c>
      <c r="AD17" s="91" t="str">
        <f aca="true">IF($D17="","",IFERROR(COUNTIFS(INDIRECT("'"&amp;$D17&amp;"'!$E$7:$E$500"),"Low",INDIRECT("'"&amp;$D17&amp;"'!$AT$7:$AT$500"),"?*"),0))</f>
        <v/>
      </c>
      <c r="AE17" s="92" t="str">
        <f aca="true">IF($D17="","",IFERROR(COUNTIF(INDIRECT("'"&amp;$D17&amp;"'!$P$7:$P$500"),"?*"),0))</f>
        <v/>
      </c>
      <c r="AF17" s="92" t="str">
        <f aca="true">IF($D17="","",IFERROR(COUNTIF(INDIRECT("'"&amp;$D17&amp;"'!$P$7:$P$500"),"Pass"),0))</f>
        <v/>
      </c>
      <c r="AG17" s="92" t="str">
        <f aca="true">IF($D17="","",IFERROR(COUNTIF(INDIRECT("'"&amp;$D17&amp;"'!$P$7:$P$500"),"Fail"),0))</f>
        <v/>
      </c>
      <c r="AH17" s="92" t="str">
        <f aca="true">IF($D17="","",IFERROR(COUNTIF(INDIRECT("'"&amp;$D17&amp;"'!$P$7:$P$500"),"Block"),0))</f>
        <v/>
      </c>
      <c r="AI17" s="92" t="str">
        <f aca="true">IF($D17="","",IFERROR(COUNTIF(INDIRECT("'"&amp;$D17&amp;"'!$P$7:$P$500"),"N/A"),0))</f>
        <v/>
      </c>
      <c r="AJ17" s="92" t="str">
        <f aca="true">IF($D17="","",IFERROR(COUNTIF(INDIRECT("'"&amp;$D17&amp;"'!$V$7:$V$500"),"?*"),0))</f>
        <v/>
      </c>
      <c r="AK17" s="92" t="str">
        <f aca="true">IF($D17="","",IFERROR(COUNTIF(INDIRECT("'"&amp;$D17&amp;"'!$V$7:$V$500"),"Pass"),0))</f>
        <v/>
      </c>
      <c r="AL17" s="92" t="str">
        <f aca="true">IF($D17="","",IFERROR(COUNTIF(INDIRECT("'"&amp;$D17&amp;"'!$V$7:$V$500"),"Fail"),0))</f>
        <v/>
      </c>
      <c r="AM17" s="92" t="str">
        <f aca="true">IF($D17="","",IFERROR(COUNTIF(INDIRECT("'"&amp;$D17&amp;"'!$V$7:$V$500"),"Block"),0))</f>
        <v/>
      </c>
      <c r="AN17" s="92" t="str">
        <f aca="true">IF($D17="","",IFERROR(COUNTIF(INDIRECT("'"&amp;$D17&amp;"'!$V$7:$V$500"),"N/A"),0))</f>
        <v/>
      </c>
      <c r="AO17" s="92" t="str">
        <f aca="true">IF($D17="","",IFERROR(COUNTIF(INDIRECT("'"&amp;$D17&amp;"'!$AB$7:$AB$500"),"?*"),0))</f>
        <v/>
      </c>
      <c r="AP17" s="92" t="str">
        <f aca="true">IF($D17="","",IFERROR(COUNTIF(INDIRECT("'"&amp;$D17&amp;"'!$AB$7:$AB$500"),"Pass"),0))</f>
        <v/>
      </c>
      <c r="AQ17" s="92" t="str">
        <f aca="true">IF($D17="","",IFERROR(COUNTIF(INDIRECT("'"&amp;$D17&amp;"'!$AB$7:$AB$500"),"Fail"),0))</f>
        <v/>
      </c>
      <c r="AR17" s="92" t="str">
        <f aca="true">IF($D17="","",IFERROR(COUNTIF(INDIRECT("'"&amp;$D17&amp;"'!$AB$7:$AB$500"),"Block"),0))</f>
        <v/>
      </c>
      <c r="AS17" s="92" t="str">
        <f aca="true">IF($D17="","",IFERROR(COUNTIF(INDIRECT("'"&amp;$D17&amp;"'!$AB$7:$AB$500"),"N/A"),0))</f>
        <v/>
      </c>
      <c r="AT17" s="92" t="str">
        <f aca="true">IF($D17="","",IFERROR(COUNTIF(INDIRECT("'"&amp;$D17&amp;"'!$AH$7:$AH$500"),"?*"),0))</f>
        <v/>
      </c>
      <c r="AU17" s="92" t="str">
        <f aca="true">IF($D17="","",IFERROR(COUNTIF(INDIRECT("'"&amp;$D17&amp;"'!$AH$7:$AH$500"),"Pass"),0))</f>
        <v/>
      </c>
      <c r="AV17" s="92" t="str">
        <f aca="true">IF($D17="","",IFERROR(COUNTIF(INDIRECT("'"&amp;$D17&amp;"'!$AH$7:$AH$500"),"Fail"),0))</f>
        <v/>
      </c>
      <c r="AW17" s="92" t="str">
        <f aca="true">IF($D17="","",IFERROR(COUNTIF(INDIRECT("'"&amp;$D17&amp;"'!$AH$7:$AH$500"),"Block"),0))</f>
        <v/>
      </c>
      <c r="AX17" s="92" t="str">
        <f aca="true">IF($D17="","",IFERROR(COUNTIF(INDIRECT("'"&amp;$D17&amp;"'!$AH$7:$AH$500"),"N/A"),0))</f>
        <v/>
      </c>
      <c r="AY17" s="92" t="str">
        <f aca="true">IF($D17="","",IFERROR(COUNTIF(INDIRECT("'"&amp;$D17&amp;"'!$AN$7:$AN$500"),"?*"),0))</f>
        <v/>
      </c>
      <c r="AZ17" s="92" t="str">
        <f aca="true">IF($D17="","",IFERROR(COUNTIF(INDIRECT("'"&amp;$D17&amp;"'!$AN$7:$AN$500"),"Pass"),0))</f>
        <v/>
      </c>
      <c r="BA17" s="92" t="str">
        <f aca="true">IF($D17="","",IFERROR(COUNTIF(INDIRECT("'"&amp;$D17&amp;"'!$AN$7:$AN$500"),"Fail"),0))</f>
        <v/>
      </c>
      <c r="BB17" s="92" t="str">
        <f aca="true">IF($D17="","",IFERROR(COUNTIF(INDIRECT("'"&amp;$D17&amp;"'!$AN$7:$AN$500"),"Block"),0))</f>
        <v/>
      </c>
      <c r="BC17" s="1" t="str">
        <f aca="true">IF($D17="","",IFERROR(COUNTIF(INDIRECT("'"&amp;$D17&amp;"'!$AN$7:$AN$500"),"N/A"),0))</f>
        <v/>
      </c>
    </row>
    <row r="18" customFormat="false" ht="15" hidden="false" customHeight="true" outlineLevel="0" collapsed="false">
      <c r="B18" s="87" t="str">
        <f aca="false">IF($D18="","",ROW()-3)</f>
        <v/>
      </c>
      <c r="C18" s="88"/>
      <c r="D18" s="88"/>
      <c r="E18" s="89"/>
      <c r="F18" s="87" t="str">
        <f aca="true">IF($D18="","",IFERROR(COUNTIF(INDIRECT("'"&amp;$D18&amp;"'!$A$7:$A$500"),"?*"),0))</f>
        <v/>
      </c>
      <c r="G18" s="87" t="str">
        <f aca="true">IF($D18="","",IFERROR(COUNTIF(INDIRECT("'"&amp;$D18&amp;"'!$AT$7:$AT$500"),"Pass"),0))</f>
        <v/>
      </c>
      <c r="H18" s="87" t="str">
        <f aca="true">IF($D18="","",IFERROR(COUNTIF(INDIRECT("'"&amp;$D18&amp;"'!$AT$7:$AT$500"),"Fail"),0))</f>
        <v/>
      </c>
      <c r="I18" s="87" t="str">
        <f aca="true">IF($D18="","",IFERROR(COUNTIF(INDIRECT("'"&amp;$D18&amp;"'!$AT$7:$AT$500"),"Block"),0))</f>
        <v/>
      </c>
      <c r="J18" s="87" t="str">
        <f aca="true">IF($D18="","",IFERROR(COUNTIF(INDIRECT("'"&amp;$D18&amp;"'!$AT$7:$AT$500"),"N/A"),0))</f>
        <v/>
      </c>
      <c r="K18" s="87" t="str">
        <f aca="false">IF($D18="","",MAX(0,$F18-$G18-$H18-$I18-$J18))</f>
        <v/>
      </c>
      <c r="L18" s="87" t="str">
        <f aca="false">IF($D18="","",$G18+$H18+$I18+$J18)</f>
        <v/>
      </c>
      <c r="M18" s="90" t="str">
        <f aca="false">IF($D18="","",IFERROR($L18/$F18,0))</f>
        <v/>
      </c>
      <c r="N18" s="90" t="str">
        <f aca="false">IF($D18="","",IFERROR($G18/$L18,0))</f>
        <v/>
      </c>
      <c r="O18" s="87" t="str">
        <f aca="true">IF($D18="","",IFERROR(COUNTIF(INDIRECT("'"&amp;$D18&amp;"'!$E$7:$E$500"),"High"),0))</f>
        <v/>
      </c>
      <c r="P18" s="87" t="str">
        <f aca="true">IF($D18="","",IFERROR(COUNTIF(INDIRECT("'"&amp;$D18&amp;"'!$E$7:$E$500"),"Medium"),0))</f>
        <v/>
      </c>
      <c r="Q18" s="87" t="str">
        <f aca="true">IF($D18="","",IFERROR(COUNTIF(INDIRECT("'"&amp;$D18&amp;"'!$E$7:$E$500"),"Low"),0))</f>
        <v/>
      </c>
      <c r="R18" s="87" t="str">
        <f aca="true">IF($D18="","",IFERROR(COUNTIF(INDIRECT("'"&amp;$D18&amp;"'!$D$7:$D$500"),"Functional"),0))</f>
        <v/>
      </c>
      <c r="S18" s="87" t="str">
        <f aca="true">IF($D18="","",IFERROR(COUNTIF(INDIRECT("'"&amp;$D18&amp;"'!$D$7:$D$500"),"UI"),0))</f>
        <v/>
      </c>
      <c r="T18" s="87" t="str">
        <f aca="true">IF($D18="","",IFERROR(COUNTIF(INDIRECT("'"&amp;$D18&amp;"'!$D$7:$D$500"),"Integration"),0))</f>
        <v/>
      </c>
      <c r="U18" s="87" t="str">
        <f aca="true">IF($D18="","",IFERROR(COUNTIF(INDIRECT("'"&amp;$D18&amp;"'!$D$7:$D$500"),"Database Test Case"),0))</f>
        <v/>
      </c>
      <c r="V18" s="87" t="str">
        <f aca="true">IF($D18="","",IFERROR(COUNTIF(INDIRECT("'"&amp;$D18&amp;"'!$J$7:$J$500"),"AI"),0))</f>
        <v/>
      </c>
      <c r="W18" s="87" t="str">
        <f aca="true">IF($D18="","",IFERROR(COUNTIF(INDIRECT("'"&amp;$D18&amp;"'!$J$7:$J$500"),"QC"),0))</f>
        <v/>
      </c>
      <c r="X18" s="87" t="str">
        <f aca="true">IF($D18="","",IFERROR(COUNTIF(INDIRECT("'"&amp;$D18&amp;"'!$L$7:$L$500"),"Yes"),0))</f>
        <v/>
      </c>
      <c r="Y18" s="87" t="str">
        <f aca="true">IF($D18="","",IFERROR(COUNTIF(INDIRECT("'"&amp;$D18&amp;"'!$AR$7:$AR$500"),"Yes"),0))</f>
        <v/>
      </c>
      <c r="Z18" s="87" t="str">
        <f aca="true">IF($D18="","",IFERROR(COUNTIF(INDIRECT("'"&amp;$D18&amp;"'!$AS$7:$AS$500"),"Pass"),0))</f>
        <v/>
      </c>
      <c r="AA18" s="87" t="str">
        <f aca="true">IF($D18="","",IFERROR(COUNTIF(INDIRECT("'"&amp;$D18&amp;"'!$K$7:$K$500"),"Reviewed"),0))</f>
        <v/>
      </c>
      <c r="AB18" s="91" t="str">
        <f aca="true">IF($D18="","",IFERROR(COUNTIFS(INDIRECT("'"&amp;$D18&amp;"'!$E$7:$E$500"),"High",INDIRECT("'"&amp;$D18&amp;"'!$AT$7:$AT$500"),"?*"),0))</f>
        <v/>
      </c>
      <c r="AC18" s="91" t="str">
        <f aca="true">IF($D18="","",IFERROR(COUNTIFS(INDIRECT("'"&amp;$D18&amp;"'!$E$7:$E$500"),"Medium",INDIRECT("'"&amp;$D18&amp;"'!$AT$7:$AT$500"),"?*"),0))</f>
        <v/>
      </c>
      <c r="AD18" s="91" t="str">
        <f aca="true">IF($D18="","",IFERROR(COUNTIFS(INDIRECT("'"&amp;$D18&amp;"'!$E$7:$E$500"),"Low",INDIRECT("'"&amp;$D18&amp;"'!$AT$7:$AT$500"),"?*"),0))</f>
        <v/>
      </c>
      <c r="AE18" s="92" t="str">
        <f aca="true">IF($D18="","",IFERROR(COUNTIF(INDIRECT("'"&amp;$D18&amp;"'!$P$7:$P$500"),"?*"),0))</f>
        <v/>
      </c>
      <c r="AF18" s="92" t="str">
        <f aca="true">IF($D18="","",IFERROR(COUNTIF(INDIRECT("'"&amp;$D18&amp;"'!$P$7:$P$500"),"Pass"),0))</f>
        <v/>
      </c>
      <c r="AG18" s="92" t="str">
        <f aca="true">IF($D18="","",IFERROR(COUNTIF(INDIRECT("'"&amp;$D18&amp;"'!$P$7:$P$500"),"Fail"),0))</f>
        <v/>
      </c>
      <c r="AH18" s="92" t="str">
        <f aca="true">IF($D18="","",IFERROR(COUNTIF(INDIRECT("'"&amp;$D18&amp;"'!$P$7:$P$500"),"Block"),0))</f>
        <v/>
      </c>
      <c r="AI18" s="92" t="str">
        <f aca="true">IF($D18="","",IFERROR(COUNTIF(INDIRECT("'"&amp;$D18&amp;"'!$P$7:$P$500"),"N/A"),0))</f>
        <v/>
      </c>
      <c r="AJ18" s="92" t="str">
        <f aca="true">IF($D18="","",IFERROR(COUNTIF(INDIRECT("'"&amp;$D18&amp;"'!$V$7:$V$500"),"?*"),0))</f>
        <v/>
      </c>
      <c r="AK18" s="92" t="str">
        <f aca="true">IF($D18="","",IFERROR(COUNTIF(INDIRECT("'"&amp;$D18&amp;"'!$V$7:$V$500"),"Pass"),0))</f>
        <v/>
      </c>
      <c r="AL18" s="92" t="str">
        <f aca="true">IF($D18="","",IFERROR(COUNTIF(INDIRECT("'"&amp;$D18&amp;"'!$V$7:$V$500"),"Fail"),0))</f>
        <v/>
      </c>
      <c r="AM18" s="92" t="str">
        <f aca="true">IF($D18="","",IFERROR(COUNTIF(INDIRECT("'"&amp;$D18&amp;"'!$V$7:$V$500"),"Block"),0))</f>
        <v/>
      </c>
      <c r="AN18" s="92" t="str">
        <f aca="true">IF($D18="","",IFERROR(COUNTIF(INDIRECT("'"&amp;$D18&amp;"'!$V$7:$V$500"),"N/A"),0))</f>
        <v/>
      </c>
      <c r="AO18" s="92" t="str">
        <f aca="true">IF($D18="","",IFERROR(COUNTIF(INDIRECT("'"&amp;$D18&amp;"'!$AB$7:$AB$500"),"?*"),0))</f>
        <v/>
      </c>
      <c r="AP18" s="92" t="str">
        <f aca="true">IF($D18="","",IFERROR(COUNTIF(INDIRECT("'"&amp;$D18&amp;"'!$AB$7:$AB$500"),"Pass"),0))</f>
        <v/>
      </c>
      <c r="AQ18" s="92" t="str">
        <f aca="true">IF($D18="","",IFERROR(COUNTIF(INDIRECT("'"&amp;$D18&amp;"'!$AB$7:$AB$500"),"Fail"),0))</f>
        <v/>
      </c>
      <c r="AR18" s="92" t="str">
        <f aca="true">IF($D18="","",IFERROR(COUNTIF(INDIRECT("'"&amp;$D18&amp;"'!$AB$7:$AB$500"),"Block"),0))</f>
        <v/>
      </c>
      <c r="AS18" s="92" t="str">
        <f aca="true">IF($D18="","",IFERROR(COUNTIF(INDIRECT("'"&amp;$D18&amp;"'!$AB$7:$AB$500"),"N/A"),0))</f>
        <v/>
      </c>
      <c r="AT18" s="92" t="str">
        <f aca="true">IF($D18="","",IFERROR(COUNTIF(INDIRECT("'"&amp;$D18&amp;"'!$AH$7:$AH$500"),"?*"),0))</f>
        <v/>
      </c>
      <c r="AU18" s="92" t="str">
        <f aca="true">IF($D18="","",IFERROR(COUNTIF(INDIRECT("'"&amp;$D18&amp;"'!$AH$7:$AH$500"),"Pass"),0))</f>
        <v/>
      </c>
      <c r="AV18" s="92" t="str">
        <f aca="true">IF($D18="","",IFERROR(COUNTIF(INDIRECT("'"&amp;$D18&amp;"'!$AH$7:$AH$500"),"Fail"),0))</f>
        <v/>
      </c>
      <c r="AW18" s="92" t="str">
        <f aca="true">IF($D18="","",IFERROR(COUNTIF(INDIRECT("'"&amp;$D18&amp;"'!$AH$7:$AH$500"),"Block"),0))</f>
        <v/>
      </c>
      <c r="AX18" s="92" t="str">
        <f aca="true">IF($D18="","",IFERROR(COUNTIF(INDIRECT("'"&amp;$D18&amp;"'!$AH$7:$AH$500"),"N/A"),0))</f>
        <v/>
      </c>
      <c r="AY18" s="92" t="str">
        <f aca="true">IF($D18="","",IFERROR(COUNTIF(INDIRECT("'"&amp;$D18&amp;"'!$AN$7:$AN$500"),"?*"),0))</f>
        <v/>
      </c>
      <c r="AZ18" s="92" t="str">
        <f aca="true">IF($D18="","",IFERROR(COUNTIF(INDIRECT("'"&amp;$D18&amp;"'!$AN$7:$AN$500"),"Pass"),0))</f>
        <v/>
      </c>
      <c r="BA18" s="92" t="str">
        <f aca="true">IF($D18="","",IFERROR(COUNTIF(INDIRECT("'"&amp;$D18&amp;"'!$AN$7:$AN$500"),"Fail"),0))</f>
        <v/>
      </c>
      <c r="BB18" s="92" t="str">
        <f aca="true">IF($D18="","",IFERROR(COUNTIF(INDIRECT("'"&amp;$D18&amp;"'!$AN$7:$AN$500"),"Block"),0))</f>
        <v/>
      </c>
      <c r="BC18" s="1" t="str">
        <f aca="true">IF($D18="","",IFERROR(COUNTIF(INDIRECT("'"&amp;$D18&amp;"'!$AN$7:$AN$500"),"N/A"),0))</f>
        <v/>
      </c>
    </row>
    <row r="19" customFormat="false" ht="15" hidden="false" customHeight="true" outlineLevel="0" collapsed="false">
      <c r="B19" s="87" t="str">
        <f aca="false">IF($D19="","",ROW()-3)</f>
        <v/>
      </c>
      <c r="C19" s="88"/>
      <c r="D19" s="88"/>
      <c r="E19" s="89"/>
      <c r="F19" s="87" t="str">
        <f aca="true">IF($D19="","",IFERROR(COUNTIF(INDIRECT("'"&amp;$D19&amp;"'!$A$7:$A$500"),"?*"),0))</f>
        <v/>
      </c>
      <c r="G19" s="87" t="str">
        <f aca="true">IF($D19="","",IFERROR(COUNTIF(INDIRECT("'"&amp;$D19&amp;"'!$AT$7:$AT$500"),"Pass"),0))</f>
        <v/>
      </c>
      <c r="H19" s="87" t="str">
        <f aca="true">IF($D19="","",IFERROR(COUNTIF(INDIRECT("'"&amp;$D19&amp;"'!$AT$7:$AT$500"),"Fail"),0))</f>
        <v/>
      </c>
      <c r="I19" s="87" t="str">
        <f aca="true">IF($D19="","",IFERROR(COUNTIF(INDIRECT("'"&amp;$D19&amp;"'!$AT$7:$AT$500"),"Block"),0))</f>
        <v/>
      </c>
      <c r="J19" s="87" t="str">
        <f aca="true">IF($D19="","",IFERROR(COUNTIF(INDIRECT("'"&amp;$D19&amp;"'!$AT$7:$AT$500"),"N/A"),0))</f>
        <v/>
      </c>
      <c r="K19" s="87" t="str">
        <f aca="false">IF($D19="","",MAX(0,$F19-$G19-$H19-$I19-$J19))</f>
        <v/>
      </c>
      <c r="L19" s="87" t="str">
        <f aca="false">IF($D19="","",$G19+$H19+$I19+$J19)</f>
        <v/>
      </c>
      <c r="M19" s="90" t="str">
        <f aca="false">IF($D19="","",IFERROR($L19/$F19,0))</f>
        <v/>
      </c>
      <c r="N19" s="90" t="str">
        <f aca="false">IF($D19="","",IFERROR($G19/$L19,0))</f>
        <v/>
      </c>
      <c r="O19" s="87" t="str">
        <f aca="true">IF($D19="","",IFERROR(COUNTIF(INDIRECT("'"&amp;$D19&amp;"'!$E$7:$E$500"),"High"),0))</f>
        <v/>
      </c>
      <c r="P19" s="87" t="str">
        <f aca="true">IF($D19="","",IFERROR(COUNTIF(INDIRECT("'"&amp;$D19&amp;"'!$E$7:$E$500"),"Medium"),0))</f>
        <v/>
      </c>
      <c r="Q19" s="87" t="str">
        <f aca="true">IF($D19="","",IFERROR(COUNTIF(INDIRECT("'"&amp;$D19&amp;"'!$E$7:$E$500"),"Low"),0))</f>
        <v/>
      </c>
      <c r="R19" s="87" t="str">
        <f aca="true">IF($D19="","",IFERROR(COUNTIF(INDIRECT("'"&amp;$D19&amp;"'!$D$7:$D$500"),"Functional"),0))</f>
        <v/>
      </c>
      <c r="S19" s="87" t="str">
        <f aca="true">IF($D19="","",IFERROR(COUNTIF(INDIRECT("'"&amp;$D19&amp;"'!$D$7:$D$500"),"UI"),0))</f>
        <v/>
      </c>
      <c r="T19" s="87" t="str">
        <f aca="true">IF($D19="","",IFERROR(COUNTIF(INDIRECT("'"&amp;$D19&amp;"'!$D$7:$D$500"),"Integration"),0))</f>
        <v/>
      </c>
      <c r="U19" s="87" t="str">
        <f aca="true">IF($D19="","",IFERROR(COUNTIF(INDIRECT("'"&amp;$D19&amp;"'!$D$7:$D$500"),"Database Test Case"),0))</f>
        <v/>
      </c>
      <c r="V19" s="87" t="str">
        <f aca="true">IF($D19="","",IFERROR(COUNTIF(INDIRECT("'"&amp;$D19&amp;"'!$J$7:$J$500"),"AI"),0))</f>
        <v/>
      </c>
      <c r="W19" s="87" t="str">
        <f aca="true">IF($D19="","",IFERROR(COUNTIF(INDIRECT("'"&amp;$D19&amp;"'!$J$7:$J$500"),"QC"),0))</f>
        <v/>
      </c>
      <c r="X19" s="87" t="str">
        <f aca="true">IF($D19="","",IFERROR(COUNTIF(INDIRECT("'"&amp;$D19&amp;"'!$L$7:$L$500"),"Yes"),0))</f>
        <v/>
      </c>
      <c r="Y19" s="87" t="str">
        <f aca="true">IF($D19="","",IFERROR(COUNTIF(INDIRECT("'"&amp;$D19&amp;"'!$AR$7:$AR$500"),"Yes"),0))</f>
        <v/>
      </c>
      <c r="Z19" s="87" t="str">
        <f aca="true">IF($D19="","",IFERROR(COUNTIF(INDIRECT("'"&amp;$D19&amp;"'!$AS$7:$AS$500"),"Pass"),0))</f>
        <v/>
      </c>
      <c r="AA19" s="87" t="str">
        <f aca="true">IF($D19="","",IFERROR(COUNTIF(INDIRECT("'"&amp;$D19&amp;"'!$K$7:$K$500"),"Reviewed"),0))</f>
        <v/>
      </c>
      <c r="AB19" s="91" t="str">
        <f aca="true">IF($D19="","",IFERROR(COUNTIFS(INDIRECT("'"&amp;$D19&amp;"'!$E$7:$E$500"),"High",INDIRECT("'"&amp;$D19&amp;"'!$AT$7:$AT$500"),"?*"),0))</f>
        <v/>
      </c>
      <c r="AC19" s="91" t="str">
        <f aca="true">IF($D19="","",IFERROR(COUNTIFS(INDIRECT("'"&amp;$D19&amp;"'!$E$7:$E$500"),"Medium",INDIRECT("'"&amp;$D19&amp;"'!$AT$7:$AT$500"),"?*"),0))</f>
        <v/>
      </c>
      <c r="AD19" s="91" t="str">
        <f aca="true">IF($D19="","",IFERROR(COUNTIFS(INDIRECT("'"&amp;$D19&amp;"'!$E$7:$E$500"),"Low",INDIRECT("'"&amp;$D19&amp;"'!$AT$7:$AT$500"),"?*"),0))</f>
        <v/>
      </c>
      <c r="AE19" s="92" t="str">
        <f aca="true">IF($D19="","",IFERROR(COUNTIF(INDIRECT("'"&amp;$D19&amp;"'!$P$7:$P$500"),"?*"),0))</f>
        <v/>
      </c>
      <c r="AF19" s="92" t="str">
        <f aca="true">IF($D19="","",IFERROR(COUNTIF(INDIRECT("'"&amp;$D19&amp;"'!$P$7:$P$500"),"Pass"),0))</f>
        <v/>
      </c>
      <c r="AG19" s="92" t="str">
        <f aca="true">IF($D19="","",IFERROR(COUNTIF(INDIRECT("'"&amp;$D19&amp;"'!$P$7:$P$500"),"Fail"),0))</f>
        <v/>
      </c>
      <c r="AH19" s="92" t="str">
        <f aca="true">IF($D19="","",IFERROR(COUNTIF(INDIRECT("'"&amp;$D19&amp;"'!$P$7:$P$500"),"Block"),0))</f>
        <v/>
      </c>
      <c r="AI19" s="92" t="str">
        <f aca="true">IF($D19="","",IFERROR(COUNTIF(INDIRECT("'"&amp;$D19&amp;"'!$P$7:$P$500"),"N/A"),0))</f>
        <v/>
      </c>
      <c r="AJ19" s="92" t="str">
        <f aca="true">IF($D19="","",IFERROR(COUNTIF(INDIRECT("'"&amp;$D19&amp;"'!$V$7:$V$500"),"?*"),0))</f>
        <v/>
      </c>
      <c r="AK19" s="92" t="str">
        <f aca="true">IF($D19="","",IFERROR(COUNTIF(INDIRECT("'"&amp;$D19&amp;"'!$V$7:$V$500"),"Pass"),0))</f>
        <v/>
      </c>
      <c r="AL19" s="92" t="str">
        <f aca="true">IF($D19="","",IFERROR(COUNTIF(INDIRECT("'"&amp;$D19&amp;"'!$V$7:$V$500"),"Fail"),0))</f>
        <v/>
      </c>
      <c r="AM19" s="92" t="str">
        <f aca="true">IF($D19="","",IFERROR(COUNTIF(INDIRECT("'"&amp;$D19&amp;"'!$V$7:$V$500"),"Block"),0))</f>
        <v/>
      </c>
      <c r="AN19" s="92" t="str">
        <f aca="true">IF($D19="","",IFERROR(COUNTIF(INDIRECT("'"&amp;$D19&amp;"'!$V$7:$V$500"),"N/A"),0))</f>
        <v/>
      </c>
      <c r="AO19" s="92" t="str">
        <f aca="true">IF($D19="","",IFERROR(COUNTIF(INDIRECT("'"&amp;$D19&amp;"'!$AB$7:$AB$500"),"?*"),0))</f>
        <v/>
      </c>
      <c r="AP19" s="92" t="str">
        <f aca="true">IF($D19="","",IFERROR(COUNTIF(INDIRECT("'"&amp;$D19&amp;"'!$AB$7:$AB$500"),"Pass"),0))</f>
        <v/>
      </c>
      <c r="AQ19" s="92" t="str">
        <f aca="true">IF($D19="","",IFERROR(COUNTIF(INDIRECT("'"&amp;$D19&amp;"'!$AB$7:$AB$500"),"Fail"),0))</f>
        <v/>
      </c>
      <c r="AR19" s="92" t="str">
        <f aca="true">IF($D19="","",IFERROR(COUNTIF(INDIRECT("'"&amp;$D19&amp;"'!$AB$7:$AB$500"),"Block"),0))</f>
        <v/>
      </c>
      <c r="AS19" s="92" t="str">
        <f aca="true">IF($D19="","",IFERROR(COUNTIF(INDIRECT("'"&amp;$D19&amp;"'!$AB$7:$AB$500"),"N/A"),0))</f>
        <v/>
      </c>
      <c r="AT19" s="92" t="str">
        <f aca="true">IF($D19="","",IFERROR(COUNTIF(INDIRECT("'"&amp;$D19&amp;"'!$AH$7:$AH$500"),"?*"),0))</f>
        <v/>
      </c>
      <c r="AU19" s="92" t="str">
        <f aca="true">IF($D19="","",IFERROR(COUNTIF(INDIRECT("'"&amp;$D19&amp;"'!$AH$7:$AH$500"),"Pass"),0))</f>
        <v/>
      </c>
      <c r="AV19" s="92" t="str">
        <f aca="true">IF($D19="","",IFERROR(COUNTIF(INDIRECT("'"&amp;$D19&amp;"'!$AH$7:$AH$500"),"Fail"),0))</f>
        <v/>
      </c>
      <c r="AW19" s="92" t="str">
        <f aca="true">IF($D19="","",IFERROR(COUNTIF(INDIRECT("'"&amp;$D19&amp;"'!$AH$7:$AH$500"),"Block"),0))</f>
        <v/>
      </c>
      <c r="AX19" s="92" t="str">
        <f aca="true">IF($D19="","",IFERROR(COUNTIF(INDIRECT("'"&amp;$D19&amp;"'!$AH$7:$AH$500"),"N/A"),0))</f>
        <v/>
      </c>
      <c r="AY19" s="92" t="str">
        <f aca="true">IF($D19="","",IFERROR(COUNTIF(INDIRECT("'"&amp;$D19&amp;"'!$AN$7:$AN$500"),"?*"),0))</f>
        <v/>
      </c>
      <c r="AZ19" s="92" t="str">
        <f aca="true">IF($D19="","",IFERROR(COUNTIF(INDIRECT("'"&amp;$D19&amp;"'!$AN$7:$AN$500"),"Pass"),0))</f>
        <v/>
      </c>
      <c r="BA19" s="92" t="str">
        <f aca="true">IF($D19="","",IFERROR(COUNTIF(INDIRECT("'"&amp;$D19&amp;"'!$AN$7:$AN$500"),"Fail"),0))</f>
        <v/>
      </c>
      <c r="BB19" s="92" t="str">
        <f aca="true">IF($D19="","",IFERROR(COUNTIF(INDIRECT("'"&amp;$D19&amp;"'!$AN$7:$AN$500"),"Block"),0))</f>
        <v/>
      </c>
      <c r="BC19" s="1" t="str">
        <f aca="true">IF($D19="","",IFERROR(COUNTIF(INDIRECT("'"&amp;$D19&amp;"'!$AN$7:$AN$500"),"N/A"),0))</f>
        <v/>
      </c>
    </row>
    <row r="20" customFormat="false" ht="15" hidden="false" customHeight="true" outlineLevel="0" collapsed="false">
      <c r="B20" s="87" t="str">
        <f aca="false">IF($D20="","",ROW()-3)</f>
        <v/>
      </c>
      <c r="C20" s="88"/>
      <c r="D20" s="88"/>
      <c r="E20" s="89"/>
      <c r="F20" s="87" t="str">
        <f aca="true">IF($D20="","",IFERROR(COUNTIF(INDIRECT("'"&amp;$D20&amp;"'!$A$7:$A$500"),"?*"),0))</f>
        <v/>
      </c>
      <c r="G20" s="87" t="str">
        <f aca="true">IF($D20="","",IFERROR(COUNTIF(INDIRECT("'"&amp;$D20&amp;"'!$AT$7:$AT$500"),"Pass"),0))</f>
        <v/>
      </c>
      <c r="H20" s="87" t="str">
        <f aca="true">IF($D20="","",IFERROR(COUNTIF(INDIRECT("'"&amp;$D20&amp;"'!$AT$7:$AT$500"),"Fail"),0))</f>
        <v/>
      </c>
      <c r="I20" s="87" t="str">
        <f aca="true">IF($D20="","",IFERROR(COUNTIF(INDIRECT("'"&amp;$D20&amp;"'!$AT$7:$AT$500"),"Block"),0))</f>
        <v/>
      </c>
      <c r="J20" s="87" t="str">
        <f aca="true">IF($D20="","",IFERROR(COUNTIF(INDIRECT("'"&amp;$D20&amp;"'!$AT$7:$AT$500"),"N/A"),0))</f>
        <v/>
      </c>
      <c r="K20" s="87" t="str">
        <f aca="false">IF($D20="","",MAX(0,$F20-$G20-$H20-$I20-$J20))</f>
        <v/>
      </c>
      <c r="L20" s="87" t="str">
        <f aca="false">IF($D20="","",$G20+$H20+$I20+$J20)</f>
        <v/>
      </c>
      <c r="M20" s="90" t="str">
        <f aca="false">IF($D20="","",IFERROR($L20/$F20,0))</f>
        <v/>
      </c>
      <c r="N20" s="90" t="str">
        <f aca="false">IF($D20="","",IFERROR($G20/$L20,0))</f>
        <v/>
      </c>
      <c r="O20" s="87" t="str">
        <f aca="true">IF($D20="","",IFERROR(COUNTIF(INDIRECT("'"&amp;$D20&amp;"'!$E$7:$E$500"),"High"),0))</f>
        <v/>
      </c>
      <c r="P20" s="87" t="str">
        <f aca="true">IF($D20="","",IFERROR(COUNTIF(INDIRECT("'"&amp;$D20&amp;"'!$E$7:$E$500"),"Medium"),0))</f>
        <v/>
      </c>
      <c r="Q20" s="87" t="str">
        <f aca="true">IF($D20="","",IFERROR(COUNTIF(INDIRECT("'"&amp;$D20&amp;"'!$E$7:$E$500"),"Low"),0))</f>
        <v/>
      </c>
      <c r="R20" s="87" t="str">
        <f aca="true">IF($D20="","",IFERROR(COUNTIF(INDIRECT("'"&amp;$D20&amp;"'!$D$7:$D$500"),"Functional"),0))</f>
        <v/>
      </c>
      <c r="S20" s="87" t="str">
        <f aca="true">IF($D20="","",IFERROR(COUNTIF(INDIRECT("'"&amp;$D20&amp;"'!$D$7:$D$500"),"UI"),0))</f>
        <v/>
      </c>
      <c r="T20" s="87" t="str">
        <f aca="true">IF($D20="","",IFERROR(COUNTIF(INDIRECT("'"&amp;$D20&amp;"'!$D$7:$D$500"),"Integration"),0))</f>
        <v/>
      </c>
      <c r="U20" s="87" t="str">
        <f aca="true">IF($D20="","",IFERROR(COUNTIF(INDIRECT("'"&amp;$D20&amp;"'!$D$7:$D$500"),"Database Test Case"),0))</f>
        <v/>
      </c>
      <c r="V20" s="87" t="str">
        <f aca="true">IF($D20="","",IFERROR(COUNTIF(INDIRECT("'"&amp;$D20&amp;"'!$J$7:$J$500"),"AI"),0))</f>
        <v/>
      </c>
      <c r="W20" s="87" t="str">
        <f aca="true">IF($D20="","",IFERROR(COUNTIF(INDIRECT("'"&amp;$D20&amp;"'!$J$7:$J$500"),"QC"),0))</f>
        <v/>
      </c>
      <c r="X20" s="87" t="str">
        <f aca="true">IF($D20="","",IFERROR(COUNTIF(INDIRECT("'"&amp;$D20&amp;"'!$L$7:$L$500"),"Yes"),0))</f>
        <v/>
      </c>
      <c r="Y20" s="87" t="str">
        <f aca="true">IF($D20="","",IFERROR(COUNTIF(INDIRECT("'"&amp;$D20&amp;"'!$AR$7:$AR$500"),"Yes"),0))</f>
        <v/>
      </c>
      <c r="Z20" s="87" t="str">
        <f aca="true">IF($D20="","",IFERROR(COUNTIF(INDIRECT("'"&amp;$D20&amp;"'!$AS$7:$AS$500"),"Pass"),0))</f>
        <v/>
      </c>
      <c r="AA20" s="87" t="str">
        <f aca="true">IF($D20="","",IFERROR(COUNTIF(INDIRECT("'"&amp;$D20&amp;"'!$K$7:$K$500"),"Reviewed"),0))</f>
        <v/>
      </c>
      <c r="AB20" s="91" t="str">
        <f aca="true">IF($D20="","",IFERROR(COUNTIFS(INDIRECT("'"&amp;$D20&amp;"'!$E$7:$E$500"),"High",INDIRECT("'"&amp;$D20&amp;"'!$AT$7:$AT$500"),"?*"),0))</f>
        <v/>
      </c>
      <c r="AC20" s="91" t="str">
        <f aca="true">IF($D20="","",IFERROR(COUNTIFS(INDIRECT("'"&amp;$D20&amp;"'!$E$7:$E$500"),"Medium",INDIRECT("'"&amp;$D20&amp;"'!$AT$7:$AT$500"),"?*"),0))</f>
        <v/>
      </c>
      <c r="AD20" s="91" t="str">
        <f aca="true">IF($D20="","",IFERROR(COUNTIFS(INDIRECT("'"&amp;$D20&amp;"'!$E$7:$E$500"),"Low",INDIRECT("'"&amp;$D20&amp;"'!$AT$7:$AT$500"),"?*"),0))</f>
        <v/>
      </c>
      <c r="AE20" s="92" t="str">
        <f aca="true">IF($D20="","",IFERROR(COUNTIF(INDIRECT("'"&amp;$D20&amp;"'!$P$7:$P$500"),"?*"),0))</f>
        <v/>
      </c>
      <c r="AF20" s="92" t="str">
        <f aca="true">IF($D20="","",IFERROR(COUNTIF(INDIRECT("'"&amp;$D20&amp;"'!$P$7:$P$500"),"Pass"),0))</f>
        <v/>
      </c>
      <c r="AG20" s="92" t="str">
        <f aca="true">IF($D20="","",IFERROR(COUNTIF(INDIRECT("'"&amp;$D20&amp;"'!$P$7:$P$500"),"Fail"),0))</f>
        <v/>
      </c>
      <c r="AH20" s="92" t="str">
        <f aca="true">IF($D20="","",IFERROR(COUNTIF(INDIRECT("'"&amp;$D20&amp;"'!$P$7:$P$500"),"Block"),0))</f>
        <v/>
      </c>
      <c r="AI20" s="92" t="str">
        <f aca="true">IF($D20="","",IFERROR(COUNTIF(INDIRECT("'"&amp;$D20&amp;"'!$P$7:$P$500"),"N/A"),0))</f>
        <v/>
      </c>
      <c r="AJ20" s="92" t="str">
        <f aca="true">IF($D20="","",IFERROR(COUNTIF(INDIRECT("'"&amp;$D20&amp;"'!$V$7:$V$500"),"?*"),0))</f>
        <v/>
      </c>
      <c r="AK20" s="92" t="str">
        <f aca="true">IF($D20="","",IFERROR(COUNTIF(INDIRECT("'"&amp;$D20&amp;"'!$V$7:$V$500"),"Pass"),0))</f>
        <v/>
      </c>
      <c r="AL20" s="92" t="str">
        <f aca="true">IF($D20="","",IFERROR(COUNTIF(INDIRECT("'"&amp;$D20&amp;"'!$V$7:$V$500"),"Fail"),0))</f>
        <v/>
      </c>
      <c r="AM20" s="92" t="str">
        <f aca="true">IF($D20="","",IFERROR(COUNTIF(INDIRECT("'"&amp;$D20&amp;"'!$V$7:$V$500"),"Block"),0))</f>
        <v/>
      </c>
      <c r="AN20" s="92" t="str">
        <f aca="true">IF($D20="","",IFERROR(COUNTIF(INDIRECT("'"&amp;$D20&amp;"'!$V$7:$V$500"),"N/A"),0))</f>
        <v/>
      </c>
      <c r="AO20" s="92" t="str">
        <f aca="true">IF($D20="","",IFERROR(COUNTIF(INDIRECT("'"&amp;$D20&amp;"'!$AB$7:$AB$500"),"?*"),0))</f>
        <v/>
      </c>
      <c r="AP20" s="92" t="str">
        <f aca="true">IF($D20="","",IFERROR(COUNTIF(INDIRECT("'"&amp;$D20&amp;"'!$AB$7:$AB$500"),"Pass"),0))</f>
        <v/>
      </c>
      <c r="AQ20" s="92" t="str">
        <f aca="true">IF($D20="","",IFERROR(COUNTIF(INDIRECT("'"&amp;$D20&amp;"'!$AB$7:$AB$500"),"Fail"),0))</f>
        <v/>
      </c>
      <c r="AR20" s="92" t="str">
        <f aca="true">IF($D20="","",IFERROR(COUNTIF(INDIRECT("'"&amp;$D20&amp;"'!$AB$7:$AB$500"),"Block"),0))</f>
        <v/>
      </c>
      <c r="AS20" s="92" t="str">
        <f aca="true">IF($D20="","",IFERROR(COUNTIF(INDIRECT("'"&amp;$D20&amp;"'!$AB$7:$AB$500"),"N/A"),0))</f>
        <v/>
      </c>
      <c r="AT20" s="92" t="str">
        <f aca="true">IF($D20="","",IFERROR(COUNTIF(INDIRECT("'"&amp;$D20&amp;"'!$AH$7:$AH$500"),"?*"),0))</f>
        <v/>
      </c>
      <c r="AU20" s="92" t="str">
        <f aca="true">IF($D20="","",IFERROR(COUNTIF(INDIRECT("'"&amp;$D20&amp;"'!$AH$7:$AH$500"),"Pass"),0))</f>
        <v/>
      </c>
      <c r="AV20" s="92" t="str">
        <f aca="true">IF($D20="","",IFERROR(COUNTIF(INDIRECT("'"&amp;$D20&amp;"'!$AH$7:$AH$500"),"Fail"),0))</f>
        <v/>
      </c>
      <c r="AW20" s="92" t="str">
        <f aca="true">IF($D20="","",IFERROR(COUNTIF(INDIRECT("'"&amp;$D20&amp;"'!$AH$7:$AH$500"),"Block"),0))</f>
        <v/>
      </c>
      <c r="AX20" s="92" t="str">
        <f aca="true">IF($D20="","",IFERROR(COUNTIF(INDIRECT("'"&amp;$D20&amp;"'!$AH$7:$AH$500"),"N/A"),0))</f>
        <v/>
      </c>
      <c r="AY20" s="92" t="str">
        <f aca="true">IF($D20="","",IFERROR(COUNTIF(INDIRECT("'"&amp;$D20&amp;"'!$AN$7:$AN$500"),"?*"),0))</f>
        <v/>
      </c>
      <c r="AZ20" s="92" t="str">
        <f aca="true">IF($D20="","",IFERROR(COUNTIF(INDIRECT("'"&amp;$D20&amp;"'!$AN$7:$AN$500"),"Pass"),0))</f>
        <v/>
      </c>
      <c r="BA20" s="92" t="str">
        <f aca="true">IF($D20="","",IFERROR(COUNTIF(INDIRECT("'"&amp;$D20&amp;"'!$AN$7:$AN$500"),"Fail"),0))</f>
        <v/>
      </c>
      <c r="BB20" s="92" t="str">
        <f aca="true">IF($D20="","",IFERROR(COUNTIF(INDIRECT("'"&amp;$D20&amp;"'!$AN$7:$AN$500"),"Block"),0))</f>
        <v/>
      </c>
      <c r="BC20" s="1" t="str">
        <f aca="true">IF($D20="","",IFERROR(COUNTIF(INDIRECT("'"&amp;$D20&amp;"'!$AN$7:$AN$500"),"N/A"),0))</f>
        <v/>
      </c>
    </row>
    <row r="21" customFormat="false" ht="15.75" hidden="false" customHeight="true" outlineLevel="0" collapsed="false">
      <c r="B21" s="87" t="str">
        <f aca="false">IF($D21="","",ROW()-3)</f>
        <v/>
      </c>
      <c r="C21" s="88"/>
      <c r="D21" s="88"/>
      <c r="E21" s="89"/>
      <c r="F21" s="87" t="str">
        <f aca="true">IF($D21="","",IFERROR(COUNTIF(INDIRECT("'"&amp;$D21&amp;"'!$A$7:$A$500"),"?*"),0))</f>
        <v/>
      </c>
      <c r="G21" s="87" t="str">
        <f aca="true">IF($D21="","",IFERROR(COUNTIF(INDIRECT("'"&amp;$D21&amp;"'!$AT$7:$AT$500"),"Pass"),0))</f>
        <v/>
      </c>
      <c r="H21" s="87" t="str">
        <f aca="true">IF($D21="","",IFERROR(COUNTIF(INDIRECT("'"&amp;$D21&amp;"'!$AT$7:$AT$500"),"Fail"),0))</f>
        <v/>
      </c>
      <c r="I21" s="87" t="str">
        <f aca="true">IF($D21="","",IFERROR(COUNTIF(INDIRECT("'"&amp;$D21&amp;"'!$AT$7:$AT$500"),"Block"),0))</f>
        <v/>
      </c>
      <c r="J21" s="87" t="str">
        <f aca="true">IF($D21="","",IFERROR(COUNTIF(INDIRECT("'"&amp;$D21&amp;"'!$AT$7:$AT$500"),"N/A"),0))</f>
        <v/>
      </c>
      <c r="K21" s="87" t="str">
        <f aca="false">IF($D21="","",MAX(0,$F21-$G21-$H21-$I21-$J21))</f>
        <v/>
      </c>
      <c r="L21" s="87" t="str">
        <f aca="false">IF($D21="","",$G21+$H21+$I21+$J21)</f>
        <v/>
      </c>
      <c r="M21" s="90" t="str">
        <f aca="false">IF($D21="","",IFERROR($L21/$F21,0))</f>
        <v/>
      </c>
      <c r="N21" s="90" t="str">
        <f aca="false">IF($D21="","",IFERROR($G21/$L21,0))</f>
        <v/>
      </c>
      <c r="O21" s="87" t="str">
        <f aca="true">IF($D21="","",IFERROR(COUNTIF(INDIRECT("'"&amp;$D21&amp;"'!$E$7:$E$500"),"High"),0))</f>
        <v/>
      </c>
      <c r="P21" s="87" t="str">
        <f aca="true">IF($D21="","",IFERROR(COUNTIF(INDIRECT("'"&amp;$D21&amp;"'!$E$7:$E$500"),"Medium"),0))</f>
        <v/>
      </c>
      <c r="Q21" s="87" t="str">
        <f aca="true">IF($D21="","",IFERROR(COUNTIF(INDIRECT("'"&amp;$D21&amp;"'!$E$7:$E$500"),"Low"),0))</f>
        <v/>
      </c>
      <c r="R21" s="87" t="str">
        <f aca="true">IF($D21="","",IFERROR(COUNTIF(INDIRECT("'"&amp;$D21&amp;"'!$D$7:$D$500"),"Functional"),0))</f>
        <v/>
      </c>
      <c r="S21" s="87" t="str">
        <f aca="true">IF($D21="","",IFERROR(COUNTIF(INDIRECT("'"&amp;$D21&amp;"'!$D$7:$D$500"),"UI"),0))</f>
        <v/>
      </c>
      <c r="T21" s="87" t="str">
        <f aca="true">IF($D21="","",IFERROR(COUNTIF(INDIRECT("'"&amp;$D21&amp;"'!$D$7:$D$500"),"Integration"),0))</f>
        <v/>
      </c>
      <c r="U21" s="87" t="str">
        <f aca="true">IF($D21="","",IFERROR(COUNTIF(INDIRECT("'"&amp;$D21&amp;"'!$D$7:$D$500"),"Database Test Case"),0))</f>
        <v/>
      </c>
      <c r="V21" s="87" t="str">
        <f aca="true">IF($D21="","",IFERROR(COUNTIF(INDIRECT("'"&amp;$D21&amp;"'!$J$7:$J$500"),"AI"),0))</f>
        <v/>
      </c>
      <c r="W21" s="87" t="str">
        <f aca="true">IF($D21="","",IFERROR(COUNTIF(INDIRECT("'"&amp;$D21&amp;"'!$J$7:$J$500"),"QC"),0))</f>
        <v/>
      </c>
      <c r="X21" s="87" t="str">
        <f aca="true">IF($D21="","",IFERROR(COUNTIF(INDIRECT("'"&amp;$D21&amp;"'!$L$7:$L$500"),"Yes"),0))</f>
        <v/>
      </c>
      <c r="Y21" s="87" t="str">
        <f aca="true">IF($D21="","",IFERROR(COUNTIF(INDIRECT("'"&amp;$D21&amp;"'!$AR$7:$AR$500"),"Yes"),0))</f>
        <v/>
      </c>
      <c r="Z21" s="87" t="str">
        <f aca="true">IF($D21="","",IFERROR(COUNTIF(INDIRECT("'"&amp;$D21&amp;"'!$AS$7:$AS$500"),"Pass"),0))</f>
        <v/>
      </c>
      <c r="AA21" s="87" t="str">
        <f aca="true">IF($D21="","",IFERROR(COUNTIF(INDIRECT("'"&amp;$D21&amp;"'!$K$7:$K$500"),"Reviewed"),0))</f>
        <v/>
      </c>
      <c r="AB21" s="91" t="str">
        <f aca="true">IF($D21="","",IFERROR(COUNTIFS(INDIRECT("'"&amp;$D21&amp;"'!$E$7:$E$500"),"High",INDIRECT("'"&amp;$D21&amp;"'!$AT$7:$AT$500"),"?*"),0))</f>
        <v/>
      </c>
      <c r="AC21" s="91" t="str">
        <f aca="true">IF($D21="","",IFERROR(COUNTIFS(INDIRECT("'"&amp;$D21&amp;"'!$E$7:$E$500"),"Medium",INDIRECT("'"&amp;$D21&amp;"'!$AT$7:$AT$500"),"?*"),0))</f>
        <v/>
      </c>
      <c r="AD21" s="91" t="str">
        <f aca="true">IF($D21="","",IFERROR(COUNTIFS(INDIRECT("'"&amp;$D21&amp;"'!$E$7:$E$500"),"Low",INDIRECT("'"&amp;$D21&amp;"'!$AT$7:$AT$500"),"?*"),0))</f>
        <v/>
      </c>
      <c r="AE21" s="92" t="str">
        <f aca="true">IF($D21="","",IFERROR(COUNTIF(INDIRECT("'"&amp;$D21&amp;"'!$P$7:$P$500"),"?*"),0))</f>
        <v/>
      </c>
      <c r="AF21" s="92" t="str">
        <f aca="true">IF($D21="","",IFERROR(COUNTIF(INDIRECT("'"&amp;$D21&amp;"'!$P$7:$P$500"),"Pass"),0))</f>
        <v/>
      </c>
      <c r="AG21" s="92" t="str">
        <f aca="true">IF($D21="","",IFERROR(COUNTIF(INDIRECT("'"&amp;$D21&amp;"'!$P$7:$P$500"),"Fail"),0))</f>
        <v/>
      </c>
      <c r="AH21" s="92" t="str">
        <f aca="true">IF($D21="","",IFERROR(COUNTIF(INDIRECT("'"&amp;$D21&amp;"'!$P$7:$P$500"),"Block"),0))</f>
        <v/>
      </c>
      <c r="AI21" s="92" t="str">
        <f aca="true">IF($D21="","",IFERROR(COUNTIF(INDIRECT("'"&amp;$D21&amp;"'!$P$7:$P$500"),"N/A"),0))</f>
        <v/>
      </c>
      <c r="AJ21" s="92" t="str">
        <f aca="true">IF($D21="","",IFERROR(COUNTIF(INDIRECT("'"&amp;$D21&amp;"'!$V$7:$V$500"),"?*"),0))</f>
        <v/>
      </c>
      <c r="AK21" s="92" t="str">
        <f aca="true">IF($D21="","",IFERROR(COUNTIF(INDIRECT("'"&amp;$D21&amp;"'!$V$7:$V$500"),"Pass"),0))</f>
        <v/>
      </c>
      <c r="AL21" s="92" t="str">
        <f aca="true">IF($D21="","",IFERROR(COUNTIF(INDIRECT("'"&amp;$D21&amp;"'!$V$7:$V$500"),"Fail"),0))</f>
        <v/>
      </c>
      <c r="AM21" s="92" t="str">
        <f aca="true">IF($D21="","",IFERROR(COUNTIF(INDIRECT("'"&amp;$D21&amp;"'!$V$7:$V$500"),"Block"),0))</f>
        <v/>
      </c>
      <c r="AN21" s="92" t="str">
        <f aca="true">IF($D21="","",IFERROR(COUNTIF(INDIRECT("'"&amp;$D21&amp;"'!$V$7:$V$500"),"N/A"),0))</f>
        <v/>
      </c>
      <c r="AO21" s="92" t="str">
        <f aca="true">IF($D21="","",IFERROR(COUNTIF(INDIRECT("'"&amp;$D21&amp;"'!$AB$7:$AB$500"),"?*"),0))</f>
        <v/>
      </c>
      <c r="AP21" s="92" t="str">
        <f aca="true">IF($D21="","",IFERROR(COUNTIF(INDIRECT("'"&amp;$D21&amp;"'!$AB$7:$AB$500"),"Pass"),0))</f>
        <v/>
      </c>
      <c r="AQ21" s="92" t="str">
        <f aca="true">IF($D21="","",IFERROR(COUNTIF(INDIRECT("'"&amp;$D21&amp;"'!$AB$7:$AB$500"),"Fail"),0))</f>
        <v/>
      </c>
      <c r="AR21" s="92" t="str">
        <f aca="true">IF($D21="","",IFERROR(COUNTIF(INDIRECT("'"&amp;$D21&amp;"'!$AB$7:$AB$500"),"Block"),0))</f>
        <v/>
      </c>
      <c r="AS21" s="92" t="str">
        <f aca="true">IF($D21="","",IFERROR(COUNTIF(INDIRECT("'"&amp;$D21&amp;"'!$AB$7:$AB$500"),"N/A"),0))</f>
        <v/>
      </c>
      <c r="AT21" s="92" t="str">
        <f aca="true">IF($D21="","",IFERROR(COUNTIF(INDIRECT("'"&amp;$D21&amp;"'!$AH$7:$AH$500"),"?*"),0))</f>
        <v/>
      </c>
      <c r="AU21" s="92" t="str">
        <f aca="true">IF($D21="","",IFERROR(COUNTIF(INDIRECT("'"&amp;$D21&amp;"'!$AH$7:$AH$500"),"Pass"),0))</f>
        <v/>
      </c>
      <c r="AV21" s="92" t="str">
        <f aca="true">IF($D21="","",IFERROR(COUNTIF(INDIRECT("'"&amp;$D21&amp;"'!$AH$7:$AH$500"),"Fail"),0))</f>
        <v/>
      </c>
      <c r="AW21" s="92" t="str">
        <f aca="true">IF($D21="","",IFERROR(COUNTIF(INDIRECT("'"&amp;$D21&amp;"'!$AH$7:$AH$500"),"Block"),0))</f>
        <v/>
      </c>
      <c r="AX21" s="92" t="str">
        <f aca="true">IF($D21="","",IFERROR(COUNTIF(INDIRECT("'"&amp;$D21&amp;"'!$AH$7:$AH$500"),"N/A"),0))</f>
        <v/>
      </c>
      <c r="AY21" s="92" t="str">
        <f aca="true">IF($D21="","",IFERROR(COUNTIF(INDIRECT("'"&amp;$D21&amp;"'!$AN$7:$AN$500"),"?*"),0))</f>
        <v/>
      </c>
      <c r="AZ21" s="92" t="str">
        <f aca="true">IF($D21="","",IFERROR(COUNTIF(INDIRECT("'"&amp;$D21&amp;"'!$AN$7:$AN$500"),"Pass"),0))</f>
        <v/>
      </c>
      <c r="BA21" s="92" t="str">
        <f aca="true">IF($D21="","",IFERROR(COUNTIF(INDIRECT("'"&amp;$D21&amp;"'!$AN$7:$AN$500"),"Fail"),0))</f>
        <v/>
      </c>
      <c r="BB21" s="92" t="str">
        <f aca="true">IF($D21="","",IFERROR(COUNTIF(INDIRECT("'"&amp;$D21&amp;"'!$AN$7:$AN$500"),"Block"),0))</f>
        <v/>
      </c>
      <c r="BC21" s="1" t="str">
        <f aca="true">IF($D21="","",IFERROR(COUNTIF(INDIRECT("'"&amp;$D21&amp;"'!$AN$7:$AN$500"),"N/A"),0))</f>
        <v/>
      </c>
    </row>
    <row r="22" customFormat="false" ht="15.75" hidden="false" customHeight="true" outlineLevel="0" collapsed="false">
      <c r="B22" s="87" t="str">
        <f aca="false">IF($D22="","",ROW()-3)</f>
        <v/>
      </c>
      <c r="C22" s="88"/>
      <c r="D22" s="88"/>
      <c r="E22" s="89"/>
      <c r="F22" s="87" t="str">
        <f aca="true">IF($D22="","",IFERROR(COUNTIF(INDIRECT("'"&amp;$D22&amp;"'!$A$7:$A$500"),"?*"),0))</f>
        <v/>
      </c>
      <c r="G22" s="87" t="str">
        <f aca="true">IF($D22="","",IFERROR(COUNTIF(INDIRECT("'"&amp;$D22&amp;"'!$AT$7:$AT$500"),"Pass"),0))</f>
        <v/>
      </c>
      <c r="H22" s="87" t="str">
        <f aca="true">IF($D22="","",IFERROR(COUNTIF(INDIRECT("'"&amp;$D22&amp;"'!$AT$7:$AT$500"),"Fail"),0))</f>
        <v/>
      </c>
      <c r="I22" s="87" t="str">
        <f aca="true">IF($D22="","",IFERROR(COUNTIF(INDIRECT("'"&amp;$D22&amp;"'!$AT$7:$AT$500"),"Block"),0))</f>
        <v/>
      </c>
      <c r="J22" s="87" t="str">
        <f aca="true">IF($D22="","",IFERROR(COUNTIF(INDIRECT("'"&amp;$D22&amp;"'!$AT$7:$AT$500"),"N/A"),0))</f>
        <v/>
      </c>
      <c r="K22" s="87" t="str">
        <f aca="false">IF($D22="","",MAX(0,$F22-$G22-$H22-$I22-$J22))</f>
        <v/>
      </c>
      <c r="L22" s="87" t="str">
        <f aca="false">IF($D22="","",$G22+$H22+$I22+$J22)</f>
        <v/>
      </c>
      <c r="M22" s="90" t="str">
        <f aca="false">IF($D22="","",IFERROR($L22/$F22,0))</f>
        <v/>
      </c>
      <c r="N22" s="90" t="str">
        <f aca="false">IF($D22="","",IFERROR($G22/$L22,0))</f>
        <v/>
      </c>
      <c r="O22" s="87" t="str">
        <f aca="true">IF($D22="","",IFERROR(COUNTIF(INDIRECT("'"&amp;$D22&amp;"'!$E$7:$E$500"),"High"),0))</f>
        <v/>
      </c>
      <c r="P22" s="87" t="str">
        <f aca="true">IF($D22="","",IFERROR(COUNTIF(INDIRECT("'"&amp;$D22&amp;"'!$E$7:$E$500"),"Medium"),0))</f>
        <v/>
      </c>
      <c r="Q22" s="87" t="str">
        <f aca="true">IF($D22="","",IFERROR(COUNTIF(INDIRECT("'"&amp;$D22&amp;"'!$E$7:$E$500"),"Low"),0))</f>
        <v/>
      </c>
      <c r="R22" s="87" t="str">
        <f aca="true">IF($D22="","",IFERROR(COUNTIF(INDIRECT("'"&amp;$D22&amp;"'!$D$7:$D$500"),"Functional"),0))</f>
        <v/>
      </c>
      <c r="S22" s="87" t="str">
        <f aca="true">IF($D22="","",IFERROR(COUNTIF(INDIRECT("'"&amp;$D22&amp;"'!$D$7:$D$500"),"UI"),0))</f>
        <v/>
      </c>
      <c r="T22" s="87" t="str">
        <f aca="true">IF($D22="","",IFERROR(COUNTIF(INDIRECT("'"&amp;$D22&amp;"'!$D$7:$D$500"),"Integration"),0))</f>
        <v/>
      </c>
      <c r="U22" s="87" t="str">
        <f aca="true">IF($D22="","",IFERROR(COUNTIF(INDIRECT("'"&amp;$D22&amp;"'!$D$7:$D$500"),"Database Test Case"),0))</f>
        <v/>
      </c>
      <c r="V22" s="87" t="str">
        <f aca="true">IF($D22="","",IFERROR(COUNTIF(INDIRECT("'"&amp;$D22&amp;"'!$J$7:$J$500"),"AI"),0))</f>
        <v/>
      </c>
      <c r="W22" s="87" t="str">
        <f aca="true">IF($D22="","",IFERROR(COUNTIF(INDIRECT("'"&amp;$D22&amp;"'!$J$7:$J$500"),"QC"),0))</f>
        <v/>
      </c>
      <c r="X22" s="87" t="str">
        <f aca="true">IF($D22="","",IFERROR(COUNTIF(INDIRECT("'"&amp;$D22&amp;"'!$L$7:$L$500"),"Yes"),0))</f>
        <v/>
      </c>
      <c r="Y22" s="87" t="str">
        <f aca="true">IF($D22="","",IFERROR(COUNTIF(INDIRECT("'"&amp;$D22&amp;"'!$AR$7:$AR$500"),"Yes"),0))</f>
        <v/>
      </c>
      <c r="Z22" s="87" t="str">
        <f aca="true">IF($D22="","",IFERROR(COUNTIF(INDIRECT("'"&amp;$D22&amp;"'!$AS$7:$AS$500"),"Pass"),0))</f>
        <v/>
      </c>
      <c r="AA22" s="87" t="str">
        <f aca="true">IF($D22="","",IFERROR(COUNTIF(INDIRECT("'"&amp;$D22&amp;"'!$K$7:$K$500"),"Reviewed"),0))</f>
        <v/>
      </c>
      <c r="AB22" s="91" t="str">
        <f aca="true">IF($D22="","",IFERROR(COUNTIFS(INDIRECT("'"&amp;$D22&amp;"'!$E$7:$E$500"),"High",INDIRECT("'"&amp;$D22&amp;"'!$AT$7:$AT$500"),"?*"),0))</f>
        <v/>
      </c>
      <c r="AC22" s="91" t="str">
        <f aca="true">IF($D22="","",IFERROR(COUNTIFS(INDIRECT("'"&amp;$D22&amp;"'!$E$7:$E$500"),"Medium",INDIRECT("'"&amp;$D22&amp;"'!$AT$7:$AT$500"),"?*"),0))</f>
        <v/>
      </c>
      <c r="AD22" s="91" t="str">
        <f aca="true">IF($D22="","",IFERROR(COUNTIFS(INDIRECT("'"&amp;$D22&amp;"'!$E$7:$E$500"),"Low",INDIRECT("'"&amp;$D22&amp;"'!$AT$7:$AT$500"),"?*"),0))</f>
        <v/>
      </c>
      <c r="AE22" s="92" t="str">
        <f aca="true">IF($D22="","",IFERROR(COUNTIF(INDIRECT("'"&amp;$D22&amp;"'!$P$7:$P$500"),"?*"),0))</f>
        <v/>
      </c>
      <c r="AF22" s="92" t="str">
        <f aca="true">IF($D22="","",IFERROR(COUNTIF(INDIRECT("'"&amp;$D22&amp;"'!$P$7:$P$500"),"Pass"),0))</f>
        <v/>
      </c>
      <c r="AG22" s="92" t="str">
        <f aca="true">IF($D22="","",IFERROR(COUNTIF(INDIRECT("'"&amp;$D22&amp;"'!$P$7:$P$500"),"Fail"),0))</f>
        <v/>
      </c>
      <c r="AH22" s="92" t="str">
        <f aca="true">IF($D22="","",IFERROR(COUNTIF(INDIRECT("'"&amp;$D22&amp;"'!$P$7:$P$500"),"Block"),0))</f>
        <v/>
      </c>
      <c r="AI22" s="92" t="str">
        <f aca="true">IF($D22="","",IFERROR(COUNTIF(INDIRECT("'"&amp;$D22&amp;"'!$P$7:$P$500"),"N/A"),0))</f>
        <v/>
      </c>
      <c r="AJ22" s="92" t="str">
        <f aca="true">IF($D22="","",IFERROR(COUNTIF(INDIRECT("'"&amp;$D22&amp;"'!$V$7:$V$500"),"?*"),0))</f>
        <v/>
      </c>
      <c r="AK22" s="92" t="str">
        <f aca="true">IF($D22="","",IFERROR(COUNTIF(INDIRECT("'"&amp;$D22&amp;"'!$V$7:$V$500"),"Pass"),0))</f>
        <v/>
      </c>
      <c r="AL22" s="92" t="str">
        <f aca="true">IF($D22="","",IFERROR(COUNTIF(INDIRECT("'"&amp;$D22&amp;"'!$V$7:$V$500"),"Fail"),0))</f>
        <v/>
      </c>
      <c r="AM22" s="92" t="str">
        <f aca="true">IF($D22="","",IFERROR(COUNTIF(INDIRECT("'"&amp;$D22&amp;"'!$V$7:$V$500"),"Block"),0))</f>
        <v/>
      </c>
      <c r="AN22" s="92" t="str">
        <f aca="true">IF($D22="","",IFERROR(COUNTIF(INDIRECT("'"&amp;$D22&amp;"'!$V$7:$V$500"),"N/A"),0))</f>
        <v/>
      </c>
      <c r="AO22" s="92" t="str">
        <f aca="true">IF($D22="","",IFERROR(COUNTIF(INDIRECT("'"&amp;$D22&amp;"'!$AB$7:$AB$500"),"?*"),0))</f>
        <v/>
      </c>
      <c r="AP22" s="92" t="str">
        <f aca="true">IF($D22="","",IFERROR(COUNTIF(INDIRECT("'"&amp;$D22&amp;"'!$AB$7:$AB$500"),"Pass"),0))</f>
        <v/>
      </c>
      <c r="AQ22" s="92" t="str">
        <f aca="true">IF($D22="","",IFERROR(COUNTIF(INDIRECT("'"&amp;$D22&amp;"'!$AB$7:$AB$500"),"Fail"),0))</f>
        <v/>
      </c>
      <c r="AR22" s="92" t="str">
        <f aca="true">IF($D22="","",IFERROR(COUNTIF(INDIRECT("'"&amp;$D22&amp;"'!$AB$7:$AB$500"),"Block"),0))</f>
        <v/>
      </c>
      <c r="AS22" s="92" t="str">
        <f aca="true">IF($D22="","",IFERROR(COUNTIF(INDIRECT("'"&amp;$D22&amp;"'!$AB$7:$AB$500"),"N/A"),0))</f>
        <v/>
      </c>
      <c r="AT22" s="92" t="str">
        <f aca="true">IF($D22="","",IFERROR(COUNTIF(INDIRECT("'"&amp;$D22&amp;"'!$AH$7:$AH$500"),"?*"),0))</f>
        <v/>
      </c>
      <c r="AU22" s="92" t="str">
        <f aca="true">IF($D22="","",IFERROR(COUNTIF(INDIRECT("'"&amp;$D22&amp;"'!$AH$7:$AH$500"),"Pass"),0))</f>
        <v/>
      </c>
      <c r="AV22" s="92" t="str">
        <f aca="true">IF($D22="","",IFERROR(COUNTIF(INDIRECT("'"&amp;$D22&amp;"'!$AH$7:$AH$500"),"Fail"),0))</f>
        <v/>
      </c>
      <c r="AW22" s="92" t="str">
        <f aca="true">IF($D22="","",IFERROR(COUNTIF(INDIRECT("'"&amp;$D22&amp;"'!$AH$7:$AH$500"),"Block"),0))</f>
        <v/>
      </c>
      <c r="AX22" s="92" t="str">
        <f aca="true">IF($D22="","",IFERROR(COUNTIF(INDIRECT("'"&amp;$D22&amp;"'!$AH$7:$AH$500"),"N/A"),0))</f>
        <v/>
      </c>
      <c r="AY22" s="92" t="str">
        <f aca="true">IF($D22="","",IFERROR(COUNTIF(INDIRECT("'"&amp;$D22&amp;"'!$AN$7:$AN$500"),"?*"),0))</f>
        <v/>
      </c>
      <c r="AZ22" s="92" t="str">
        <f aca="true">IF($D22="","",IFERROR(COUNTIF(INDIRECT("'"&amp;$D22&amp;"'!$AN$7:$AN$500"),"Pass"),0))</f>
        <v/>
      </c>
      <c r="BA22" s="92" t="str">
        <f aca="true">IF($D22="","",IFERROR(COUNTIF(INDIRECT("'"&amp;$D22&amp;"'!$AN$7:$AN$500"),"Fail"),0))</f>
        <v/>
      </c>
      <c r="BB22" s="92" t="str">
        <f aca="true">IF($D22="","",IFERROR(COUNTIF(INDIRECT("'"&amp;$D22&amp;"'!$AN$7:$AN$500"),"Block"),0))</f>
        <v/>
      </c>
      <c r="BC22" s="1" t="str">
        <f aca="true">IF($D22="","",IFERROR(COUNTIF(INDIRECT("'"&amp;$D22&amp;"'!$AN$7:$AN$500"),"N/A"),0))</f>
        <v/>
      </c>
    </row>
    <row r="23" customFormat="false" ht="15.75" hidden="false" customHeight="true" outlineLevel="0" collapsed="false">
      <c r="B23" s="87" t="str">
        <f aca="false">IF($D23="","",ROW()-3)</f>
        <v/>
      </c>
      <c r="C23" s="88"/>
      <c r="D23" s="88"/>
      <c r="E23" s="89"/>
      <c r="F23" s="87" t="str">
        <f aca="true">IF($D23="","",IFERROR(COUNTIF(INDIRECT("'"&amp;$D23&amp;"'!$A$7:$A$500"),"?*"),0))</f>
        <v/>
      </c>
      <c r="G23" s="87" t="str">
        <f aca="true">IF($D23="","",IFERROR(COUNTIF(INDIRECT("'"&amp;$D23&amp;"'!$AT$7:$AT$500"),"Pass"),0))</f>
        <v/>
      </c>
      <c r="H23" s="87" t="str">
        <f aca="true">IF($D23="","",IFERROR(COUNTIF(INDIRECT("'"&amp;$D23&amp;"'!$AT$7:$AT$500"),"Fail"),0))</f>
        <v/>
      </c>
      <c r="I23" s="87" t="str">
        <f aca="true">IF($D23="","",IFERROR(COUNTIF(INDIRECT("'"&amp;$D23&amp;"'!$AT$7:$AT$500"),"Block"),0))</f>
        <v/>
      </c>
      <c r="J23" s="87" t="str">
        <f aca="true">IF($D23="","",IFERROR(COUNTIF(INDIRECT("'"&amp;$D23&amp;"'!$AT$7:$AT$500"),"N/A"),0))</f>
        <v/>
      </c>
      <c r="K23" s="87" t="str">
        <f aca="false">IF($D23="","",MAX(0,$F23-$G23-$H23-$I23-$J23))</f>
        <v/>
      </c>
      <c r="L23" s="87" t="str">
        <f aca="false">IF($D23="","",$G23+$H23+$I23+$J23)</f>
        <v/>
      </c>
      <c r="M23" s="90" t="str">
        <f aca="false">IF($D23="","",IFERROR($L23/$F23,0))</f>
        <v/>
      </c>
      <c r="N23" s="90" t="str">
        <f aca="false">IF($D23="","",IFERROR($G23/$L23,0))</f>
        <v/>
      </c>
      <c r="O23" s="87" t="str">
        <f aca="true">IF($D23="","",IFERROR(COUNTIF(INDIRECT("'"&amp;$D23&amp;"'!$E$7:$E$500"),"High"),0))</f>
        <v/>
      </c>
      <c r="P23" s="87" t="str">
        <f aca="true">IF($D23="","",IFERROR(COUNTIF(INDIRECT("'"&amp;$D23&amp;"'!$E$7:$E$500"),"Medium"),0))</f>
        <v/>
      </c>
      <c r="Q23" s="87" t="str">
        <f aca="true">IF($D23="","",IFERROR(COUNTIF(INDIRECT("'"&amp;$D23&amp;"'!$E$7:$E$500"),"Low"),0))</f>
        <v/>
      </c>
      <c r="R23" s="87" t="str">
        <f aca="true">IF($D23="","",IFERROR(COUNTIF(INDIRECT("'"&amp;$D23&amp;"'!$D$7:$D$500"),"Functional"),0))</f>
        <v/>
      </c>
      <c r="S23" s="87" t="str">
        <f aca="true">IF($D23="","",IFERROR(COUNTIF(INDIRECT("'"&amp;$D23&amp;"'!$D$7:$D$500"),"UI"),0))</f>
        <v/>
      </c>
      <c r="T23" s="87" t="str">
        <f aca="true">IF($D23="","",IFERROR(COUNTIF(INDIRECT("'"&amp;$D23&amp;"'!$D$7:$D$500"),"Integration"),0))</f>
        <v/>
      </c>
      <c r="U23" s="87" t="str">
        <f aca="true">IF($D23="","",IFERROR(COUNTIF(INDIRECT("'"&amp;$D23&amp;"'!$D$7:$D$500"),"Database Test Case"),0))</f>
        <v/>
      </c>
      <c r="V23" s="87" t="str">
        <f aca="true">IF($D23="","",IFERROR(COUNTIF(INDIRECT("'"&amp;$D23&amp;"'!$J$7:$J$500"),"AI"),0))</f>
        <v/>
      </c>
      <c r="W23" s="87" t="str">
        <f aca="true">IF($D23="","",IFERROR(COUNTIF(INDIRECT("'"&amp;$D23&amp;"'!$J$7:$J$500"),"QC"),0))</f>
        <v/>
      </c>
      <c r="X23" s="87" t="str">
        <f aca="true">IF($D23="","",IFERROR(COUNTIF(INDIRECT("'"&amp;$D23&amp;"'!$L$7:$L$500"),"Yes"),0))</f>
        <v/>
      </c>
      <c r="Y23" s="87" t="str">
        <f aca="true">IF($D23="","",IFERROR(COUNTIF(INDIRECT("'"&amp;$D23&amp;"'!$AR$7:$AR$500"),"Yes"),0))</f>
        <v/>
      </c>
      <c r="Z23" s="87" t="str">
        <f aca="true">IF($D23="","",IFERROR(COUNTIF(INDIRECT("'"&amp;$D23&amp;"'!$AS$7:$AS$500"),"Pass"),0))</f>
        <v/>
      </c>
      <c r="AA23" s="87" t="str">
        <f aca="true">IF($D23="","",IFERROR(COUNTIF(INDIRECT("'"&amp;$D23&amp;"'!$K$7:$K$500"),"Reviewed"),0))</f>
        <v/>
      </c>
      <c r="AB23" s="91" t="str">
        <f aca="true">IF($D23="","",IFERROR(COUNTIFS(INDIRECT("'"&amp;$D23&amp;"'!$E$7:$E$500"),"High",INDIRECT("'"&amp;$D23&amp;"'!$AT$7:$AT$500"),"?*"),0))</f>
        <v/>
      </c>
      <c r="AC23" s="91" t="str">
        <f aca="true">IF($D23="","",IFERROR(COUNTIFS(INDIRECT("'"&amp;$D23&amp;"'!$E$7:$E$500"),"Medium",INDIRECT("'"&amp;$D23&amp;"'!$AT$7:$AT$500"),"?*"),0))</f>
        <v/>
      </c>
      <c r="AD23" s="91" t="str">
        <f aca="true">IF($D23="","",IFERROR(COUNTIFS(INDIRECT("'"&amp;$D23&amp;"'!$E$7:$E$500"),"Low",INDIRECT("'"&amp;$D23&amp;"'!$AT$7:$AT$500"),"?*"),0))</f>
        <v/>
      </c>
      <c r="AE23" s="92" t="str">
        <f aca="true">IF($D23="","",IFERROR(COUNTIF(INDIRECT("'"&amp;$D23&amp;"'!$P$7:$P$500"),"?*"),0))</f>
        <v/>
      </c>
      <c r="AF23" s="92" t="str">
        <f aca="true">IF($D23="","",IFERROR(COUNTIF(INDIRECT("'"&amp;$D23&amp;"'!$P$7:$P$500"),"Pass"),0))</f>
        <v/>
      </c>
      <c r="AG23" s="92" t="str">
        <f aca="true">IF($D23="","",IFERROR(COUNTIF(INDIRECT("'"&amp;$D23&amp;"'!$P$7:$P$500"),"Fail"),0))</f>
        <v/>
      </c>
      <c r="AH23" s="92" t="str">
        <f aca="true">IF($D23="","",IFERROR(COUNTIF(INDIRECT("'"&amp;$D23&amp;"'!$P$7:$P$500"),"Block"),0))</f>
        <v/>
      </c>
      <c r="AI23" s="92" t="str">
        <f aca="true">IF($D23="","",IFERROR(COUNTIF(INDIRECT("'"&amp;$D23&amp;"'!$P$7:$P$500"),"N/A"),0))</f>
        <v/>
      </c>
      <c r="AJ23" s="92" t="str">
        <f aca="true">IF($D23="","",IFERROR(COUNTIF(INDIRECT("'"&amp;$D23&amp;"'!$V$7:$V$500"),"?*"),0))</f>
        <v/>
      </c>
      <c r="AK23" s="92" t="str">
        <f aca="true">IF($D23="","",IFERROR(COUNTIF(INDIRECT("'"&amp;$D23&amp;"'!$V$7:$V$500"),"Pass"),0))</f>
        <v/>
      </c>
      <c r="AL23" s="92" t="str">
        <f aca="true">IF($D23="","",IFERROR(COUNTIF(INDIRECT("'"&amp;$D23&amp;"'!$V$7:$V$500"),"Fail"),0))</f>
        <v/>
      </c>
      <c r="AM23" s="92" t="str">
        <f aca="true">IF($D23="","",IFERROR(COUNTIF(INDIRECT("'"&amp;$D23&amp;"'!$V$7:$V$500"),"Block"),0))</f>
        <v/>
      </c>
      <c r="AN23" s="92" t="str">
        <f aca="true">IF($D23="","",IFERROR(COUNTIF(INDIRECT("'"&amp;$D23&amp;"'!$V$7:$V$500"),"N/A"),0))</f>
        <v/>
      </c>
      <c r="AO23" s="92" t="str">
        <f aca="true">IF($D23="","",IFERROR(COUNTIF(INDIRECT("'"&amp;$D23&amp;"'!$AB$7:$AB$500"),"?*"),0))</f>
        <v/>
      </c>
      <c r="AP23" s="92" t="str">
        <f aca="true">IF($D23="","",IFERROR(COUNTIF(INDIRECT("'"&amp;$D23&amp;"'!$AB$7:$AB$500"),"Pass"),0))</f>
        <v/>
      </c>
      <c r="AQ23" s="92" t="str">
        <f aca="true">IF($D23="","",IFERROR(COUNTIF(INDIRECT("'"&amp;$D23&amp;"'!$AB$7:$AB$500"),"Fail"),0))</f>
        <v/>
      </c>
      <c r="AR23" s="92" t="str">
        <f aca="true">IF($D23="","",IFERROR(COUNTIF(INDIRECT("'"&amp;$D23&amp;"'!$AB$7:$AB$500"),"Block"),0))</f>
        <v/>
      </c>
      <c r="AS23" s="92" t="str">
        <f aca="true">IF($D23="","",IFERROR(COUNTIF(INDIRECT("'"&amp;$D23&amp;"'!$AB$7:$AB$500"),"N/A"),0))</f>
        <v/>
      </c>
      <c r="AT23" s="92" t="str">
        <f aca="true">IF($D23="","",IFERROR(COUNTIF(INDIRECT("'"&amp;$D23&amp;"'!$AH$7:$AH$500"),"?*"),0))</f>
        <v/>
      </c>
      <c r="AU23" s="92" t="str">
        <f aca="true">IF($D23="","",IFERROR(COUNTIF(INDIRECT("'"&amp;$D23&amp;"'!$AH$7:$AH$500"),"Pass"),0))</f>
        <v/>
      </c>
      <c r="AV23" s="92" t="str">
        <f aca="true">IF($D23="","",IFERROR(COUNTIF(INDIRECT("'"&amp;$D23&amp;"'!$AH$7:$AH$500"),"Fail"),0))</f>
        <v/>
      </c>
      <c r="AW23" s="92" t="str">
        <f aca="true">IF($D23="","",IFERROR(COUNTIF(INDIRECT("'"&amp;$D23&amp;"'!$AH$7:$AH$500"),"Block"),0))</f>
        <v/>
      </c>
      <c r="AX23" s="92" t="str">
        <f aca="true">IF($D23="","",IFERROR(COUNTIF(INDIRECT("'"&amp;$D23&amp;"'!$AH$7:$AH$500"),"N/A"),0))</f>
        <v/>
      </c>
      <c r="AY23" s="92" t="str">
        <f aca="true">IF($D23="","",IFERROR(COUNTIF(INDIRECT("'"&amp;$D23&amp;"'!$AN$7:$AN$500"),"?*"),0))</f>
        <v/>
      </c>
      <c r="AZ23" s="92" t="str">
        <f aca="true">IF($D23="","",IFERROR(COUNTIF(INDIRECT("'"&amp;$D23&amp;"'!$AN$7:$AN$500"),"Pass"),0))</f>
        <v/>
      </c>
      <c r="BA23" s="92" t="str">
        <f aca="true">IF($D23="","",IFERROR(COUNTIF(INDIRECT("'"&amp;$D23&amp;"'!$AN$7:$AN$500"),"Fail"),0))</f>
        <v/>
      </c>
      <c r="BB23" s="92" t="str">
        <f aca="true">IF($D23="","",IFERROR(COUNTIF(INDIRECT("'"&amp;$D23&amp;"'!$AN$7:$AN$500"),"Block"),0))</f>
        <v/>
      </c>
      <c r="BC23" s="1" t="str">
        <f aca="true">IF($D23="","",IFERROR(COUNTIF(INDIRECT("'"&amp;$D23&amp;"'!$AN$7:$AN$500"),"N/A"),0))</f>
        <v/>
      </c>
    </row>
    <row r="24" customFormat="false" ht="15.75" hidden="false" customHeight="true" outlineLevel="0" collapsed="false">
      <c r="B24" s="87" t="str">
        <f aca="false">IF($D24="","",ROW()-3)</f>
        <v/>
      </c>
      <c r="C24" s="88"/>
      <c r="D24" s="88"/>
      <c r="E24" s="89"/>
      <c r="F24" s="87" t="str">
        <f aca="true">IF($D24="","",IFERROR(COUNTIF(INDIRECT("'"&amp;$D24&amp;"'!$A$7:$A$500"),"?*"),0))</f>
        <v/>
      </c>
      <c r="G24" s="87" t="str">
        <f aca="true">IF($D24="","",IFERROR(COUNTIF(INDIRECT("'"&amp;$D24&amp;"'!$AT$7:$AT$500"),"Pass"),0))</f>
        <v/>
      </c>
      <c r="H24" s="87" t="str">
        <f aca="true">IF($D24="","",IFERROR(COUNTIF(INDIRECT("'"&amp;$D24&amp;"'!$AT$7:$AT$500"),"Fail"),0))</f>
        <v/>
      </c>
      <c r="I24" s="87" t="str">
        <f aca="true">IF($D24="","",IFERROR(COUNTIF(INDIRECT("'"&amp;$D24&amp;"'!$AT$7:$AT$500"),"Block"),0))</f>
        <v/>
      </c>
      <c r="J24" s="87" t="str">
        <f aca="true">IF($D24="","",IFERROR(COUNTIF(INDIRECT("'"&amp;$D24&amp;"'!$AT$7:$AT$500"),"N/A"),0))</f>
        <v/>
      </c>
      <c r="K24" s="87" t="str">
        <f aca="false">IF($D24="","",MAX(0,$F24-$G24-$H24-$I24-$J24))</f>
        <v/>
      </c>
      <c r="L24" s="87" t="str">
        <f aca="false">IF($D24="","",$G24+$H24+$I24+$J24)</f>
        <v/>
      </c>
      <c r="M24" s="90" t="str">
        <f aca="false">IF($D24="","",IFERROR($L24/$F24,0))</f>
        <v/>
      </c>
      <c r="N24" s="90" t="str">
        <f aca="false">IF($D24="","",IFERROR($G24/$L24,0))</f>
        <v/>
      </c>
      <c r="O24" s="87" t="str">
        <f aca="true">IF($D24="","",IFERROR(COUNTIF(INDIRECT("'"&amp;$D24&amp;"'!$E$7:$E$500"),"High"),0))</f>
        <v/>
      </c>
      <c r="P24" s="87" t="str">
        <f aca="true">IF($D24="","",IFERROR(COUNTIF(INDIRECT("'"&amp;$D24&amp;"'!$E$7:$E$500"),"Medium"),0))</f>
        <v/>
      </c>
      <c r="Q24" s="87" t="str">
        <f aca="true">IF($D24="","",IFERROR(COUNTIF(INDIRECT("'"&amp;$D24&amp;"'!$E$7:$E$500"),"Low"),0))</f>
        <v/>
      </c>
      <c r="R24" s="87" t="str">
        <f aca="true">IF($D24="","",IFERROR(COUNTIF(INDIRECT("'"&amp;$D24&amp;"'!$D$7:$D$500"),"Functional"),0))</f>
        <v/>
      </c>
      <c r="S24" s="87" t="str">
        <f aca="true">IF($D24="","",IFERROR(COUNTIF(INDIRECT("'"&amp;$D24&amp;"'!$D$7:$D$500"),"UI"),0))</f>
        <v/>
      </c>
      <c r="T24" s="87" t="str">
        <f aca="true">IF($D24="","",IFERROR(COUNTIF(INDIRECT("'"&amp;$D24&amp;"'!$D$7:$D$500"),"Integration"),0))</f>
        <v/>
      </c>
      <c r="U24" s="87" t="str">
        <f aca="true">IF($D24="","",IFERROR(COUNTIF(INDIRECT("'"&amp;$D24&amp;"'!$D$7:$D$500"),"Database Test Case"),0))</f>
        <v/>
      </c>
      <c r="V24" s="87" t="str">
        <f aca="true">IF($D24="","",IFERROR(COUNTIF(INDIRECT("'"&amp;$D24&amp;"'!$J$7:$J$500"),"AI"),0))</f>
        <v/>
      </c>
      <c r="W24" s="87" t="str">
        <f aca="true">IF($D24="","",IFERROR(COUNTIF(INDIRECT("'"&amp;$D24&amp;"'!$J$7:$J$500"),"QC"),0))</f>
        <v/>
      </c>
      <c r="X24" s="87" t="str">
        <f aca="true">IF($D24="","",IFERROR(COUNTIF(INDIRECT("'"&amp;$D24&amp;"'!$L$7:$L$500"),"Yes"),0))</f>
        <v/>
      </c>
      <c r="Y24" s="87" t="str">
        <f aca="true">IF($D24="","",IFERROR(COUNTIF(INDIRECT("'"&amp;$D24&amp;"'!$AR$7:$AR$500"),"Yes"),0))</f>
        <v/>
      </c>
      <c r="Z24" s="87" t="str">
        <f aca="true">IF($D24="","",IFERROR(COUNTIF(INDIRECT("'"&amp;$D24&amp;"'!$AS$7:$AS$500"),"Pass"),0))</f>
        <v/>
      </c>
      <c r="AA24" s="87" t="str">
        <f aca="true">IF($D24="","",IFERROR(COUNTIF(INDIRECT("'"&amp;$D24&amp;"'!$K$7:$K$500"),"Reviewed"),0))</f>
        <v/>
      </c>
      <c r="AB24" s="91" t="str">
        <f aca="true">IF($D24="","",IFERROR(COUNTIFS(INDIRECT("'"&amp;$D24&amp;"'!$E$7:$E$500"),"High",INDIRECT("'"&amp;$D24&amp;"'!$AT$7:$AT$500"),"?*"),0))</f>
        <v/>
      </c>
      <c r="AC24" s="91" t="str">
        <f aca="true">IF($D24="","",IFERROR(COUNTIFS(INDIRECT("'"&amp;$D24&amp;"'!$E$7:$E$500"),"Medium",INDIRECT("'"&amp;$D24&amp;"'!$AT$7:$AT$500"),"?*"),0))</f>
        <v/>
      </c>
      <c r="AD24" s="91" t="str">
        <f aca="true">IF($D24="","",IFERROR(COUNTIFS(INDIRECT("'"&amp;$D24&amp;"'!$E$7:$E$500"),"Low",INDIRECT("'"&amp;$D24&amp;"'!$AT$7:$AT$500"),"?*"),0))</f>
        <v/>
      </c>
      <c r="AE24" s="92" t="str">
        <f aca="true">IF($D24="","",IFERROR(COUNTIF(INDIRECT("'"&amp;$D24&amp;"'!$P$7:$P$500"),"?*"),0))</f>
        <v/>
      </c>
      <c r="AF24" s="92" t="str">
        <f aca="true">IF($D24="","",IFERROR(COUNTIF(INDIRECT("'"&amp;$D24&amp;"'!$P$7:$P$500"),"Pass"),0))</f>
        <v/>
      </c>
      <c r="AG24" s="92" t="str">
        <f aca="true">IF($D24="","",IFERROR(COUNTIF(INDIRECT("'"&amp;$D24&amp;"'!$P$7:$P$500"),"Fail"),0))</f>
        <v/>
      </c>
      <c r="AH24" s="92" t="str">
        <f aca="true">IF($D24="","",IFERROR(COUNTIF(INDIRECT("'"&amp;$D24&amp;"'!$P$7:$P$500"),"Block"),0))</f>
        <v/>
      </c>
      <c r="AI24" s="92" t="str">
        <f aca="true">IF($D24="","",IFERROR(COUNTIF(INDIRECT("'"&amp;$D24&amp;"'!$P$7:$P$500"),"N/A"),0))</f>
        <v/>
      </c>
      <c r="AJ24" s="92" t="str">
        <f aca="true">IF($D24="","",IFERROR(COUNTIF(INDIRECT("'"&amp;$D24&amp;"'!$V$7:$V$500"),"?*"),0))</f>
        <v/>
      </c>
      <c r="AK24" s="92" t="str">
        <f aca="true">IF($D24="","",IFERROR(COUNTIF(INDIRECT("'"&amp;$D24&amp;"'!$V$7:$V$500"),"Pass"),0))</f>
        <v/>
      </c>
      <c r="AL24" s="92" t="str">
        <f aca="true">IF($D24="","",IFERROR(COUNTIF(INDIRECT("'"&amp;$D24&amp;"'!$V$7:$V$500"),"Fail"),0))</f>
        <v/>
      </c>
      <c r="AM24" s="92" t="str">
        <f aca="true">IF($D24="","",IFERROR(COUNTIF(INDIRECT("'"&amp;$D24&amp;"'!$V$7:$V$500"),"Block"),0))</f>
        <v/>
      </c>
      <c r="AN24" s="92" t="str">
        <f aca="true">IF($D24="","",IFERROR(COUNTIF(INDIRECT("'"&amp;$D24&amp;"'!$V$7:$V$500"),"N/A"),0))</f>
        <v/>
      </c>
      <c r="AO24" s="92" t="str">
        <f aca="true">IF($D24="","",IFERROR(COUNTIF(INDIRECT("'"&amp;$D24&amp;"'!$AB$7:$AB$500"),"?*"),0))</f>
        <v/>
      </c>
      <c r="AP24" s="92" t="str">
        <f aca="true">IF($D24="","",IFERROR(COUNTIF(INDIRECT("'"&amp;$D24&amp;"'!$AB$7:$AB$500"),"Pass"),0))</f>
        <v/>
      </c>
      <c r="AQ24" s="92" t="str">
        <f aca="true">IF($D24="","",IFERROR(COUNTIF(INDIRECT("'"&amp;$D24&amp;"'!$AB$7:$AB$500"),"Fail"),0))</f>
        <v/>
      </c>
      <c r="AR24" s="92" t="str">
        <f aca="true">IF($D24="","",IFERROR(COUNTIF(INDIRECT("'"&amp;$D24&amp;"'!$AB$7:$AB$500"),"Block"),0))</f>
        <v/>
      </c>
      <c r="AS24" s="92" t="str">
        <f aca="true">IF($D24="","",IFERROR(COUNTIF(INDIRECT("'"&amp;$D24&amp;"'!$AB$7:$AB$500"),"N/A"),0))</f>
        <v/>
      </c>
      <c r="AT24" s="92" t="str">
        <f aca="true">IF($D24="","",IFERROR(COUNTIF(INDIRECT("'"&amp;$D24&amp;"'!$AH$7:$AH$500"),"?*"),0))</f>
        <v/>
      </c>
      <c r="AU24" s="92" t="str">
        <f aca="true">IF($D24="","",IFERROR(COUNTIF(INDIRECT("'"&amp;$D24&amp;"'!$AH$7:$AH$500"),"Pass"),0))</f>
        <v/>
      </c>
      <c r="AV24" s="92" t="str">
        <f aca="true">IF($D24="","",IFERROR(COUNTIF(INDIRECT("'"&amp;$D24&amp;"'!$AH$7:$AH$500"),"Fail"),0))</f>
        <v/>
      </c>
      <c r="AW24" s="92" t="str">
        <f aca="true">IF($D24="","",IFERROR(COUNTIF(INDIRECT("'"&amp;$D24&amp;"'!$AH$7:$AH$500"),"Block"),0))</f>
        <v/>
      </c>
      <c r="AX24" s="92" t="str">
        <f aca="true">IF($D24="","",IFERROR(COUNTIF(INDIRECT("'"&amp;$D24&amp;"'!$AH$7:$AH$500"),"N/A"),0))</f>
        <v/>
      </c>
      <c r="AY24" s="92" t="str">
        <f aca="true">IF($D24="","",IFERROR(COUNTIF(INDIRECT("'"&amp;$D24&amp;"'!$AN$7:$AN$500"),"?*"),0))</f>
        <v/>
      </c>
      <c r="AZ24" s="92" t="str">
        <f aca="true">IF($D24="","",IFERROR(COUNTIF(INDIRECT("'"&amp;$D24&amp;"'!$AN$7:$AN$500"),"Pass"),0))</f>
        <v/>
      </c>
      <c r="BA24" s="92" t="str">
        <f aca="true">IF($D24="","",IFERROR(COUNTIF(INDIRECT("'"&amp;$D24&amp;"'!$AN$7:$AN$500"),"Fail"),0))</f>
        <v/>
      </c>
      <c r="BB24" s="92" t="str">
        <f aca="true">IF($D24="","",IFERROR(COUNTIF(INDIRECT("'"&amp;$D24&amp;"'!$AN$7:$AN$500"),"Block"),0))</f>
        <v/>
      </c>
      <c r="BC24" s="1" t="str">
        <f aca="true">IF($D24="","",IFERROR(COUNTIF(INDIRECT("'"&amp;$D24&amp;"'!$AN$7:$AN$500"),"N/A"),0))</f>
        <v/>
      </c>
    </row>
    <row r="25" customFormat="false" ht="15.75" hidden="false" customHeight="true" outlineLevel="0" collapsed="false">
      <c r="B25" s="87" t="str">
        <f aca="false">IF($D25="","",ROW()-3)</f>
        <v/>
      </c>
      <c r="C25" s="88"/>
      <c r="D25" s="88"/>
      <c r="E25" s="89"/>
      <c r="F25" s="87" t="str">
        <f aca="true">IF($D25="","",IFERROR(COUNTIF(INDIRECT("'"&amp;$D25&amp;"'!$A$7:$A$500"),"?*"),0))</f>
        <v/>
      </c>
      <c r="G25" s="87" t="str">
        <f aca="true">IF($D25="","",IFERROR(COUNTIF(INDIRECT("'"&amp;$D25&amp;"'!$AT$7:$AT$500"),"Pass"),0))</f>
        <v/>
      </c>
      <c r="H25" s="87" t="str">
        <f aca="true">IF($D25="","",IFERROR(COUNTIF(INDIRECT("'"&amp;$D25&amp;"'!$AT$7:$AT$500"),"Fail"),0))</f>
        <v/>
      </c>
      <c r="I25" s="87" t="str">
        <f aca="true">IF($D25="","",IFERROR(COUNTIF(INDIRECT("'"&amp;$D25&amp;"'!$AT$7:$AT$500"),"Block"),0))</f>
        <v/>
      </c>
      <c r="J25" s="87" t="str">
        <f aca="true">IF($D25="","",IFERROR(COUNTIF(INDIRECT("'"&amp;$D25&amp;"'!$AT$7:$AT$500"),"N/A"),0))</f>
        <v/>
      </c>
      <c r="K25" s="87" t="str">
        <f aca="false">IF($D25="","",MAX(0,$F25-$G25-$H25-$I25-$J25))</f>
        <v/>
      </c>
      <c r="L25" s="87" t="str">
        <f aca="false">IF($D25="","",$G25+$H25+$I25+$J25)</f>
        <v/>
      </c>
      <c r="M25" s="90" t="str">
        <f aca="false">IF($D25="","",IFERROR($L25/$F25,0))</f>
        <v/>
      </c>
      <c r="N25" s="90" t="str">
        <f aca="false">IF($D25="","",IFERROR($G25/$L25,0))</f>
        <v/>
      </c>
      <c r="O25" s="87" t="str">
        <f aca="true">IF($D25="","",IFERROR(COUNTIF(INDIRECT("'"&amp;$D25&amp;"'!$E$7:$E$500"),"High"),0))</f>
        <v/>
      </c>
      <c r="P25" s="87" t="str">
        <f aca="true">IF($D25="","",IFERROR(COUNTIF(INDIRECT("'"&amp;$D25&amp;"'!$E$7:$E$500"),"Medium"),0))</f>
        <v/>
      </c>
      <c r="Q25" s="87" t="str">
        <f aca="true">IF($D25="","",IFERROR(COUNTIF(INDIRECT("'"&amp;$D25&amp;"'!$E$7:$E$500"),"Low"),0))</f>
        <v/>
      </c>
      <c r="R25" s="87" t="str">
        <f aca="true">IF($D25="","",IFERROR(COUNTIF(INDIRECT("'"&amp;$D25&amp;"'!$D$7:$D$500"),"Functional"),0))</f>
        <v/>
      </c>
      <c r="S25" s="87" t="str">
        <f aca="true">IF($D25="","",IFERROR(COUNTIF(INDIRECT("'"&amp;$D25&amp;"'!$D$7:$D$500"),"UI"),0))</f>
        <v/>
      </c>
      <c r="T25" s="87" t="str">
        <f aca="true">IF($D25="","",IFERROR(COUNTIF(INDIRECT("'"&amp;$D25&amp;"'!$D$7:$D$500"),"Integration"),0))</f>
        <v/>
      </c>
      <c r="U25" s="87" t="str">
        <f aca="true">IF($D25="","",IFERROR(COUNTIF(INDIRECT("'"&amp;$D25&amp;"'!$D$7:$D$500"),"Database Test Case"),0))</f>
        <v/>
      </c>
      <c r="V25" s="87" t="str">
        <f aca="true">IF($D25="","",IFERROR(COUNTIF(INDIRECT("'"&amp;$D25&amp;"'!$J$7:$J$500"),"AI"),0))</f>
        <v/>
      </c>
      <c r="W25" s="87" t="str">
        <f aca="true">IF($D25="","",IFERROR(COUNTIF(INDIRECT("'"&amp;$D25&amp;"'!$J$7:$J$500"),"QC"),0))</f>
        <v/>
      </c>
      <c r="X25" s="87" t="str">
        <f aca="true">IF($D25="","",IFERROR(COUNTIF(INDIRECT("'"&amp;$D25&amp;"'!$L$7:$L$500"),"Yes"),0))</f>
        <v/>
      </c>
      <c r="Y25" s="87" t="str">
        <f aca="true">IF($D25="","",IFERROR(COUNTIF(INDIRECT("'"&amp;$D25&amp;"'!$AR$7:$AR$500"),"Yes"),0))</f>
        <v/>
      </c>
      <c r="Z25" s="87" t="str">
        <f aca="true">IF($D25="","",IFERROR(COUNTIF(INDIRECT("'"&amp;$D25&amp;"'!$AS$7:$AS$500"),"Pass"),0))</f>
        <v/>
      </c>
      <c r="AA25" s="87" t="str">
        <f aca="true">IF($D25="","",IFERROR(COUNTIF(INDIRECT("'"&amp;$D25&amp;"'!$K$7:$K$500"),"Reviewed"),0))</f>
        <v/>
      </c>
      <c r="AB25" s="91" t="str">
        <f aca="true">IF($D25="","",IFERROR(COUNTIFS(INDIRECT("'"&amp;$D25&amp;"'!$E$7:$E$500"),"High",INDIRECT("'"&amp;$D25&amp;"'!$AT$7:$AT$500"),"?*"),0))</f>
        <v/>
      </c>
      <c r="AC25" s="91" t="str">
        <f aca="true">IF($D25="","",IFERROR(COUNTIFS(INDIRECT("'"&amp;$D25&amp;"'!$E$7:$E$500"),"Medium",INDIRECT("'"&amp;$D25&amp;"'!$AT$7:$AT$500"),"?*"),0))</f>
        <v/>
      </c>
      <c r="AD25" s="91" t="str">
        <f aca="true">IF($D25="","",IFERROR(COUNTIFS(INDIRECT("'"&amp;$D25&amp;"'!$E$7:$E$500"),"Low",INDIRECT("'"&amp;$D25&amp;"'!$AT$7:$AT$500"),"?*"),0))</f>
        <v/>
      </c>
      <c r="AE25" s="92" t="str">
        <f aca="true">IF($D25="","",IFERROR(COUNTIF(INDIRECT("'"&amp;$D25&amp;"'!$P$7:$P$500"),"?*"),0))</f>
        <v/>
      </c>
      <c r="AF25" s="92" t="str">
        <f aca="true">IF($D25="","",IFERROR(COUNTIF(INDIRECT("'"&amp;$D25&amp;"'!$P$7:$P$500"),"Pass"),0))</f>
        <v/>
      </c>
      <c r="AG25" s="92" t="str">
        <f aca="true">IF($D25="","",IFERROR(COUNTIF(INDIRECT("'"&amp;$D25&amp;"'!$P$7:$P$500"),"Fail"),0))</f>
        <v/>
      </c>
      <c r="AH25" s="92" t="str">
        <f aca="true">IF($D25="","",IFERROR(COUNTIF(INDIRECT("'"&amp;$D25&amp;"'!$P$7:$P$500"),"Block"),0))</f>
        <v/>
      </c>
      <c r="AI25" s="92" t="str">
        <f aca="true">IF($D25="","",IFERROR(COUNTIF(INDIRECT("'"&amp;$D25&amp;"'!$P$7:$P$500"),"N/A"),0))</f>
        <v/>
      </c>
      <c r="AJ25" s="92" t="str">
        <f aca="true">IF($D25="","",IFERROR(COUNTIF(INDIRECT("'"&amp;$D25&amp;"'!$V$7:$V$500"),"?*"),0))</f>
        <v/>
      </c>
      <c r="AK25" s="92" t="str">
        <f aca="true">IF($D25="","",IFERROR(COUNTIF(INDIRECT("'"&amp;$D25&amp;"'!$V$7:$V$500"),"Pass"),0))</f>
        <v/>
      </c>
      <c r="AL25" s="92" t="str">
        <f aca="true">IF($D25="","",IFERROR(COUNTIF(INDIRECT("'"&amp;$D25&amp;"'!$V$7:$V$500"),"Fail"),0))</f>
        <v/>
      </c>
      <c r="AM25" s="92" t="str">
        <f aca="true">IF($D25="","",IFERROR(COUNTIF(INDIRECT("'"&amp;$D25&amp;"'!$V$7:$V$500"),"Block"),0))</f>
        <v/>
      </c>
      <c r="AN25" s="92" t="str">
        <f aca="true">IF($D25="","",IFERROR(COUNTIF(INDIRECT("'"&amp;$D25&amp;"'!$V$7:$V$500"),"N/A"),0))</f>
        <v/>
      </c>
      <c r="AO25" s="92" t="str">
        <f aca="true">IF($D25="","",IFERROR(COUNTIF(INDIRECT("'"&amp;$D25&amp;"'!$AB$7:$AB$500"),"?*"),0))</f>
        <v/>
      </c>
      <c r="AP25" s="92" t="str">
        <f aca="true">IF($D25="","",IFERROR(COUNTIF(INDIRECT("'"&amp;$D25&amp;"'!$AB$7:$AB$500"),"Pass"),0))</f>
        <v/>
      </c>
      <c r="AQ25" s="92" t="str">
        <f aca="true">IF($D25="","",IFERROR(COUNTIF(INDIRECT("'"&amp;$D25&amp;"'!$AB$7:$AB$500"),"Fail"),0))</f>
        <v/>
      </c>
      <c r="AR25" s="92" t="str">
        <f aca="true">IF($D25="","",IFERROR(COUNTIF(INDIRECT("'"&amp;$D25&amp;"'!$AB$7:$AB$500"),"Block"),0))</f>
        <v/>
      </c>
      <c r="AS25" s="92" t="str">
        <f aca="true">IF($D25="","",IFERROR(COUNTIF(INDIRECT("'"&amp;$D25&amp;"'!$AB$7:$AB$500"),"N/A"),0))</f>
        <v/>
      </c>
      <c r="AT25" s="92" t="str">
        <f aca="true">IF($D25="","",IFERROR(COUNTIF(INDIRECT("'"&amp;$D25&amp;"'!$AH$7:$AH$500"),"?*"),0))</f>
        <v/>
      </c>
      <c r="AU25" s="92" t="str">
        <f aca="true">IF($D25="","",IFERROR(COUNTIF(INDIRECT("'"&amp;$D25&amp;"'!$AH$7:$AH$500"),"Pass"),0))</f>
        <v/>
      </c>
      <c r="AV25" s="92" t="str">
        <f aca="true">IF($D25="","",IFERROR(COUNTIF(INDIRECT("'"&amp;$D25&amp;"'!$AH$7:$AH$500"),"Fail"),0))</f>
        <v/>
      </c>
      <c r="AW25" s="92" t="str">
        <f aca="true">IF($D25="","",IFERROR(COUNTIF(INDIRECT("'"&amp;$D25&amp;"'!$AH$7:$AH$500"),"Block"),0))</f>
        <v/>
      </c>
      <c r="AX25" s="92" t="str">
        <f aca="true">IF($D25="","",IFERROR(COUNTIF(INDIRECT("'"&amp;$D25&amp;"'!$AH$7:$AH$500"),"N/A"),0))</f>
        <v/>
      </c>
      <c r="AY25" s="92" t="str">
        <f aca="true">IF($D25="","",IFERROR(COUNTIF(INDIRECT("'"&amp;$D25&amp;"'!$AN$7:$AN$500"),"?*"),0))</f>
        <v/>
      </c>
      <c r="AZ25" s="92" t="str">
        <f aca="true">IF($D25="","",IFERROR(COUNTIF(INDIRECT("'"&amp;$D25&amp;"'!$AN$7:$AN$500"),"Pass"),0))</f>
        <v/>
      </c>
      <c r="BA25" s="92" t="str">
        <f aca="true">IF($D25="","",IFERROR(COUNTIF(INDIRECT("'"&amp;$D25&amp;"'!$AN$7:$AN$500"),"Fail"),0))</f>
        <v/>
      </c>
      <c r="BB25" s="92" t="str">
        <f aca="true">IF($D25="","",IFERROR(COUNTIF(INDIRECT("'"&amp;$D25&amp;"'!$AN$7:$AN$500"),"Block"),0))</f>
        <v/>
      </c>
      <c r="BC25" s="1" t="str">
        <f aca="true">IF($D25="","",IFERROR(COUNTIF(INDIRECT("'"&amp;$D25&amp;"'!$AN$7:$AN$500"),"N/A"),0))</f>
        <v/>
      </c>
    </row>
    <row r="26" customFormat="false" ht="15.75" hidden="false" customHeight="true" outlineLevel="0" collapsed="false">
      <c r="B26" s="87" t="str">
        <f aca="false">IF($D26="","",ROW()-3)</f>
        <v/>
      </c>
      <c r="C26" s="88"/>
      <c r="D26" s="88"/>
      <c r="E26" s="89"/>
      <c r="F26" s="87" t="str">
        <f aca="true">IF($D26="","",IFERROR(COUNTIF(INDIRECT("'"&amp;$D26&amp;"'!$A$7:$A$500"),"?*"),0))</f>
        <v/>
      </c>
      <c r="G26" s="87" t="str">
        <f aca="true">IF($D26="","",IFERROR(COUNTIF(INDIRECT("'"&amp;$D26&amp;"'!$AT$7:$AT$500"),"Pass"),0))</f>
        <v/>
      </c>
      <c r="H26" s="87" t="str">
        <f aca="true">IF($D26="","",IFERROR(COUNTIF(INDIRECT("'"&amp;$D26&amp;"'!$AT$7:$AT$500"),"Fail"),0))</f>
        <v/>
      </c>
      <c r="I26" s="87" t="str">
        <f aca="true">IF($D26="","",IFERROR(COUNTIF(INDIRECT("'"&amp;$D26&amp;"'!$AT$7:$AT$500"),"Block"),0))</f>
        <v/>
      </c>
      <c r="J26" s="87" t="str">
        <f aca="true">IF($D26="","",IFERROR(COUNTIF(INDIRECT("'"&amp;$D26&amp;"'!$AT$7:$AT$500"),"N/A"),0))</f>
        <v/>
      </c>
      <c r="K26" s="87" t="str">
        <f aca="false">IF($D26="","",MAX(0,$F26-$G26-$H26-$I26-$J26))</f>
        <v/>
      </c>
      <c r="L26" s="87" t="str">
        <f aca="false">IF($D26="","",$G26+$H26+$I26+$J26)</f>
        <v/>
      </c>
      <c r="M26" s="90" t="str">
        <f aca="false">IF($D26="","",IFERROR($L26/$F26,0))</f>
        <v/>
      </c>
      <c r="N26" s="90" t="str">
        <f aca="false">IF($D26="","",IFERROR($G26/$L26,0))</f>
        <v/>
      </c>
      <c r="O26" s="87" t="str">
        <f aca="true">IF($D26="","",IFERROR(COUNTIF(INDIRECT("'"&amp;$D26&amp;"'!$E$7:$E$500"),"High"),0))</f>
        <v/>
      </c>
      <c r="P26" s="87" t="str">
        <f aca="true">IF($D26="","",IFERROR(COUNTIF(INDIRECT("'"&amp;$D26&amp;"'!$E$7:$E$500"),"Medium"),0))</f>
        <v/>
      </c>
      <c r="Q26" s="87" t="str">
        <f aca="true">IF($D26="","",IFERROR(COUNTIF(INDIRECT("'"&amp;$D26&amp;"'!$E$7:$E$500"),"Low"),0))</f>
        <v/>
      </c>
      <c r="R26" s="87" t="str">
        <f aca="true">IF($D26="","",IFERROR(COUNTIF(INDIRECT("'"&amp;$D26&amp;"'!$D$7:$D$500"),"Functional"),0))</f>
        <v/>
      </c>
      <c r="S26" s="87" t="str">
        <f aca="true">IF($D26="","",IFERROR(COUNTIF(INDIRECT("'"&amp;$D26&amp;"'!$D$7:$D$500"),"UI"),0))</f>
        <v/>
      </c>
      <c r="T26" s="87" t="str">
        <f aca="true">IF($D26="","",IFERROR(COUNTIF(INDIRECT("'"&amp;$D26&amp;"'!$D$7:$D$500"),"Integration"),0))</f>
        <v/>
      </c>
      <c r="U26" s="87" t="str">
        <f aca="true">IF($D26="","",IFERROR(COUNTIF(INDIRECT("'"&amp;$D26&amp;"'!$D$7:$D$500"),"Database Test Case"),0))</f>
        <v/>
      </c>
      <c r="V26" s="87" t="str">
        <f aca="true">IF($D26="","",IFERROR(COUNTIF(INDIRECT("'"&amp;$D26&amp;"'!$J$7:$J$500"),"AI"),0))</f>
        <v/>
      </c>
      <c r="W26" s="87" t="str">
        <f aca="true">IF($D26="","",IFERROR(COUNTIF(INDIRECT("'"&amp;$D26&amp;"'!$J$7:$J$500"),"QC"),0))</f>
        <v/>
      </c>
      <c r="X26" s="87" t="str">
        <f aca="true">IF($D26="","",IFERROR(COUNTIF(INDIRECT("'"&amp;$D26&amp;"'!$L$7:$L$500"),"Yes"),0))</f>
        <v/>
      </c>
      <c r="Y26" s="87" t="str">
        <f aca="true">IF($D26="","",IFERROR(COUNTIF(INDIRECT("'"&amp;$D26&amp;"'!$AR$7:$AR$500"),"Yes"),0))</f>
        <v/>
      </c>
      <c r="Z26" s="87" t="str">
        <f aca="true">IF($D26="","",IFERROR(COUNTIF(INDIRECT("'"&amp;$D26&amp;"'!$AS$7:$AS$500"),"Pass"),0))</f>
        <v/>
      </c>
      <c r="AA26" s="87" t="str">
        <f aca="true">IF($D26="","",IFERROR(COUNTIF(INDIRECT("'"&amp;$D26&amp;"'!$K$7:$K$500"),"Reviewed"),0))</f>
        <v/>
      </c>
      <c r="AB26" s="91" t="str">
        <f aca="true">IF($D26="","",IFERROR(COUNTIFS(INDIRECT("'"&amp;$D26&amp;"'!$E$7:$E$500"),"High",INDIRECT("'"&amp;$D26&amp;"'!$AT$7:$AT$500"),"?*"),0))</f>
        <v/>
      </c>
      <c r="AC26" s="91" t="str">
        <f aca="true">IF($D26="","",IFERROR(COUNTIFS(INDIRECT("'"&amp;$D26&amp;"'!$E$7:$E$500"),"Medium",INDIRECT("'"&amp;$D26&amp;"'!$AT$7:$AT$500"),"?*"),0))</f>
        <v/>
      </c>
      <c r="AD26" s="91" t="str">
        <f aca="true">IF($D26="","",IFERROR(COUNTIFS(INDIRECT("'"&amp;$D26&amp;"'!$E$7:$E$500"),"Low",INDIRECT("'"&amp;$D26&amp;"'!$AT$7:$AT$500"),"?*"),0))</f>
        <v/>
      </c>
      <c r="AE26" s="92" t="str">
        <f aca="true">IF($D26="","",IFERROR(COUNTIF(INDIRECT("'"&amp;$D26&amp;"'!$P$7:$P$500"),"?*"),0))</f>
        <v/>
      </c>
      <c r="AF26" s="92" t="str">
        <f aca="true">IF($D26="","",IFERROR(COUNTIF(INDIRECT("'"&amp;$D26&amp;"'!$P$7:$P$500"),"Pass"),0))</f>
        <v/>
      </c>
      <c r="AG26" s="92" t="str">
        <f aca="true">IF($D26="","",IFERROR(COUNTIF(INDIRECT("'"&amp;$D26&amp;"'!$P$7:$P$500"),"Fail"),0))</f>
        <v/>
      </c>
      <c r="AH26" s="92" t="str">
        <f aca="true">IF($D26="","",IFERROR(COUNTIF(INDIRECT("'"&amp;$D26&amp;"'!$P$7:$P$500"),"Block"),0))</f>
        <v/>
      </c>
      <c r="AI26" s="92" t="str">
        <f aca="true">IF($D26="","",IFERROR(COUNTIF(INDIRECT("'"&amp;$D26&amp;"'!$P$7:$P$500"),"N/A"),0))</f>
        <v/>
      </c>
      <c r="AJ26" s="92" t="str">
        <f aca="true">IF($D26="","",IFERROR(COUNTIF(INDIRECT("'"&amp;$D26&amp;"'!$V$7:$V$500"),"?*"),0))</f>
        <v/>
      </c>
      <c r="AK26" s="92" t="str">
        <f aca="true">IF($D26="","",IFERROR(COUNTIF(INDIRECT("'"&amp;$D26&amp;"'!$V$7:$V$500"),"Pass"),0))</f>
        <v/>
      </c>
      <c r="AL26" s="92" t="str">
        <f aca="true">IF($D26="","",IFERROR(COUNTIF(INDIRECT("'"&amp;$D26&amp;"'!$V$7:$V$500"),"Fail"),0))</f>
        <v/>
      </c>
      <c r="AM26" s="92" t="str">
        <f aca="true">IF($D26="","",IFERROR(COUNTIF(INDIRECT("'"&amp;$D26&amp;"'!$V$7:$V$500"),"Block"),0))</f>
        <v/>
      </c>
      <c r="AN26" s="92" t="str">
        <f aca="true">IF($D26="","",IFERROR(COUNTIF(INDIRECT("'"&amp;$D26&amp;"'!$V$7:$V$500"),"N/A"),0))</f>
        <v/>
      </c>
      <c r="AO26" s="92" t="str">
        <f aca="true">IF($D26="","",IFERROR(COUNTIF(INDIRECT("'"&amp;$D26&amp;"'!$AB$7:$AB$500"),"?*"),0))</f>
        <v/>
      </c>
      <c r="AP26" s="92" t="str">
        <f aca="true">IF($D26="","",IFERROR(COUNTIF(INDIRECT("'"&amp;$D26&amp;"'!$AB$7:$AB$500"),"Pass"),0))</f>
        <v/>
      </c>
      <c r="AQ26" s="92" t="str">
        <f aca="true">IF($D26="","",IFERROR(COUNTIF(INDIRECT("'"&amp;$D26&amp;"'!$AB$7:$AB$500"),"Fail"),0))</f>
        <v/>
      </c>
      <c r="AR26" s="92" t="str">
        <f aca="true">IF($D26="","",IFERROR(COUNTIF(INDIRECT("'"&amp;$D26&amp;"'!$AB$7:$AB$500"),"Block"),0))</f>
        <v/>
      </c>
      <c r="AS26" s="92" t="str">
        <f aca="true">IF($D26="","",IFERROR(COUNTIF(INDIRECT("'"&amp;$D26&amp;"'!$AB$7:$AB$500"),"N/A"),0))</f>
        <v/>
      </c>
      <c r="AT26" s="92" t="str">
        <f aca="true">IF($D26="","",IFERROR(COUNTIF(INDIRECT("'"&amp;$D26&amp;"'!$AH$7:$AH$500"),"?*"),0))</f>
        <v/>
      </c>
      <c r="AU26" s="92" t="str">
        <f aca="true">IF($D26="","",IFERROR(COUNTIF(INDIRECT("'"&amp;$D26&amp;"'!$AH$7:$AH$500"),"Pass"),0))</f>
        <v/>
      </c>
      <c r="AV26" s="92" t="str">
        <f aca="true">IF($D26="","",IFERROR(COUNTIF(INDIRECT("'"&amp;$D26&amp;"'!$AH$7:$AH$500"),"Fail"),0))</f>
        <v/>
      </c>
      <c r="AW26" s="92" t="str">
        <f aca="true">IF($D26="","",IFERROR(COUNTIF(INDIRECT("'"&amp;$D26&amp;"'!$AH$7:$AH$500"),"Block"),0))</f>
        <v/>
      </c>
      <c r="AX26" s="92" t="str">
        <f aca="true">IF($D26="","",IFERROR(COUNTIF(INDIRECT("'"&amp;$D26&amp;"'!$AH$7:$AH$500"),"N/A"),0))</f>
        <v/>
      </c>
      <c r="AY26" s="92" t="str">
        <f aca="true">IF($D26="","",IFERROR(COUNTIF(INDIRECT("'"&amp;$D26&amp;"'!$AN$7:$AN$500"),"?*"),0))</f>
        <v/>
      </c>
      <c r="AZ26" s="92" t="str">
        <f aca="true">IF($D26="","",IFERROR(COUNTIF(INDIRECT("'"&amp;$D26&amp;"'!$AN$7:$AN$500"),"Pass"),0))</f>
        <v/>
      </c>
      <c r="BA26" s="92" t="str">
        <f aca="true">IF($D26="","",IFERROR(COUNTIF(INDIRECT("'"&amp;$D26&amp;"'!$AN$7:$AN$500"),"Fail"),0))</f>
        <v/>
      </c>
      <c r="BB26" s="92" t="str">
        <f aca="true">IF($D26="","",IFERROR(COUNTIF(INDIRECT("'"&amp;$D26&amp;"'!$AN$7:$AN$500"),"Block"),0))</f>
        <v/>
      </c>
      <c r="BC26" s="1" t="str">
        <f aca="true">IF($D26="","",IFERROR(COUNTIF(INDIRECT("'"&amp;$D26&amp;"'!$AN$7:$AN$500"),"N/A"),0))</f>
        <v/>
      </c>
    </row>
    <row r="27" customFormat="false" ht="15.75" hidden="false" customHeight="true" outlineLevel="0" collapsed="false">
      <c r="B27" s="87" t="str">
        <f aca="false">IF($D27="","",ROW()-3)</f>
        <v/>
      </c>
      <c r="C27" s="88"/>
      <c r="D27" s="88"/>
      <c r="E27" s="89"/>
      <c r="F27" s="87" t="str">
        <f aca="true">IF($D27="","",IFERROR(COUNTIF(INDIRECT("'"&amp;$D27&amp;"'!$A$7:$A$500"),"?*"),0))</f>
        <v/>
      </c>
      <c r="G27" s="87" t="str">
        <f aca="true">IF($D27="","",IFERROR(COUNTIF(INDIRECT("'"&amp;$D27&amp;"'!$AT$7:$AT$500"),"Pass"),0))</f>
        <v/>
      </c>
      <c r="H27" s="87" t="str">
        <f aca="true">IF($D27="","",IFERROR(COUNTIF(INDIRECT("'"&amp;$D27&amp;"'!$AT$7:$AT$500"),"Fail"),0))</f>
        <v/>
      </c>
      <c r="I27" s="87" t="str">
        <f aca="true">IF($D27="","",IFERROR(COUNTIF(INDIRECT("'"&amp;$D27&amp;"'!$AT$7:$AT$500"),"Block"),0))</f>
        <v/>
      </c>
      <c r="J27" s="87" t="str">
        <f aca="true">IF($D27="","",IFERROR(COUNTIF(INDIRECT("'"&amp;$D27&amp;"'!$AT$7:$AT$500"),"N/A"),0))</f>
        <v/>
      </c>
      <c r="K27" s="87" t="str">
        <f aca="false">IF($D27="","",MAX(0,$F27-$G27-$H27-$I27-$J27))</f>
        <v/>
      </c>
      <c r="L27" s="87" t="str">
        <f aca="false">IF($D27="","",$G27+$H27+$I27+$J27)</f>
        <v/>
      </c>
      <c r="M27" s="90" t="str">
        <f aca="false">IF($D27="","",IFERROR($L27/$F27,0))</f>
        <v/>
      </c>
      <c r="N27" s="90" t="str">
        <f aca="false">IF($D27="","",IFERROR($G27/$L27,0))</f>
        <v/>
      </c>
      <c r="O27" s="87" t="str">
        <f aca="true">IF($D27="","",IFERROR(COUNTIF(INDIRECT("'"&amp;$D27&amp;"'!$E$7:$E$500"),"High"),0))</f>
        <v/>
      </c>
      <c r="P27" s="87" t="str">
        <f aca="true">IF($D27="","",IFERROR(COUNTIF(INDIRECT("'"&amp;$D27&amp;"'!$E$7:$E$500"),"Medium"),0))</f>
        <v/>
      </c>
      <c r="Q27" s="87" t="str">
        <f aca="true">IF($D27="","",IFERROR(COUNTIF(INDIRECT("'"&amp;$D27&amp;"'!$E$7:$E$500"),"Low"),0))</f>
        <v/>
      </c>
      <c r="R27" s="87" t="str">
        <f aca="true">IF($D27="","",IFERROR(COUNTIF(INDIRECT("'"&amp;$D27&amp;"'!$D$7:$D$500"),"Functional"),0))</f>
        <v/>
      </c>
      <c r="S27" s="87" t="str">
        <f aca="true">IF($D27="","",IFERROR(COUNTIF(INDIRECT("'"&amp;$D27&amp;"'!$D$7:$D$500"),"UI"),0))</f>
        <v/>
      </c>
      <c r="T27" s="87" t="str">
        <f aca="true">IF($D27="","",IFERROR(COUNTIF(INDIRECT("'"&amp;$D27&amp;"'!$D$7:$D$500"),"Integration"),0))</f>
        <v/>
      </c>
      <c r="U27" s="87" t="str">
        <f aca="true">IF($D27="","",IFERROR(COUNTIF(INDIRECT("'"&amp;$D27&amp;"'!$D$7:$D$500"),"Database Test Case"),0))</f>
        <v/>
      </c>
      <c r="V27" s="87" t="str">
        <f aca="true">IF($D27="","",IFERROR(COUNTIF(INDIRECT("'"&amp;$D27&amp;"'!$J$7:$J$500"),"AI"),0))</f>
        <v/>
      </c>
      <c r="W27" s="87" t="str">
        <f aca="true">IF($D27="","",IFERROR(COUNTIF(INDIRECT("'"&amp;$D27&amp;"'!$J$7:$J$500"),"QC"),0))</f>
        <v/>
      </c>
      <c r="X27" s="87" t="str">
        <f aca="true">IF($D27="","",IFERROR(COUNTIF(INDIRECT("'"&amp;$D27&amp;"'!$L$7:$L$500"),"Yes"),0))</f>
        <v/>
      </c>
      <c r="Y27" s="87" t="str">
        <f aca="true">IF($D27="","",IFERROR(COUNTIF(INDIRECT("'"&amp;$D27&amp;"'!$AR$7:$AR$500"),"Yes"),0))</f>
        <v/>
      </c>
      <c r="Z27" s="87" t="str">
        <f aca="true">IF($D27="","",IFERROR(COUNTIF(INDIRECT("'"&amp;$D27&amp;"'!$AS$7:$AS$500"),"Pass"),0))</f>
        <v/>
      </c>
      <c r="AA27" s="87" t="str">
        <f aca="true">IF($D27="","",IFERROR(COUNTIF(INDIRECT("'"&amp;$D27&amp;"'!$K$7:$K$500"),"Reviewed"),0))</f>
        <v/>
      </c>
      <c r="AB27" s="91" t="str">
        <f aca="true">IF($D27="","",IFERROR(COUNTIFS(INDIRECT("'"&amp;$D27&amp;"'!$E$7:$E$500"),"High",INDIRECT("'"&amp;$D27&amp;"'!$AT$7:$AT$500"),"?*"),0))</f>
        <v/>
      </c>
      <c r="AC27" s="91" t="str">
        <f aca="true">IF($D27="","",IFERROR(COUNTIFS(INDIRECT("'"&amp;$D27&amp;"'!$E$7:$E$500"),"Medium",INDIRECT("'"&amp;$D27&amp;"'!$AT$7:$AT$500"),"?*"),0))</f>
        <v/>
      </c>
      <c r="AD27" s="91" t="str">
        <f aca="true">IF($D27="","",IFERROR(COUNTIFS(INDIRECT("'"&amp;$D27&amp;"'!$E$7:$E$500"),"Low",INDIRECT("'"&amp;$D27&amp;"'!$AT$7:$AT$500"),"?*"),0))</f>
        <v/>
      </c>
      <c r="AE27" s="92" t="str">
        <f aca="true">IF($D27="","",IFERROR(COUNTIF(INDIRECT("'"&amp;$D27&amp;"'!$P$7:$P$500"),"?*"),0))</f>
        <v/>
      </c>
      <c r="AF27" s="92" t="str">
        <f aca="true">IF($D27="","",IFERROR(COUNTIF(INDIRECT("'"&amp;$D27&amp;"'!$P$7:$P$500"),"Pass"),0))</f>
        <v/>
      </c>
      <c r="AG27" s="92" t="str">
        <f aca="true">IF($D27="","",IFERROR(COUNTIF(INDIRECT("'"&amp;$D27&amp;"'!$P$7:$P$500"),"Fail"),0))</f>
        <v/>
      </c>
      <c r="AH27" s="92" t="str">
        <f aca="true">IF($D27="","",IFERROR(COUNTIF(INDIRECT("'"&amp;$D27&amp;"'!$P$7:$P$500"),"Block"),0))</f>
        <v/>
      </c>
      <c r="AI27" s="92" t="str">
        <f aca="true">IF($D27="","",IFERROR(COUNTIF(INDIRECT("'"&amp;$D27&amp;"'!$P$7:$P$500"),"N/A"),0))</f>
        <v/>
      </c>
      <c r="AJ27" s="92" t="str">
        <f aca="true">IF($D27="","",IFERROR(COUNTIF(INDIRECT("'"&amp;$D27&amp;"'!$V$7:$V$500"),"?*"),0))</f>
        <v/>
      </c>
      <c r="AK27" s="92" t="str">
        <f aca="true">IF($D27="","",IFERROR(COUNTIF(INDIRECT("'"&amp;$D27&amp;"'!$V$7:$V$500"),"Pass"),0))</f>
        <v/>
      </c>
      <c r="AL27" s="92" t="str">
        <f aca="true">IF($D27="","",IFERROR(COUNTIF(INDIRECT("'"&amp;$D27&amp;"'!$V$7:$V$500"),"Fail"),0))</f>
        <v/>
      </c>
      <c r="AM27" s="92" t="str">
        <f aca="true">IF($D27="","",IFERROR(COUNTIF(INDIRECT("'"&amp;$D27&amp;"'!$V$7:$V$500"),"Block"),0))</f>
        <v/>
      </c>
      <c r="AN27" s="92" t="str">
        <f aca="true">IF($D27="","",IFERROR(COUNTIF(INDIRECT("'"&amp;$D27&amp;"'!$V$7:$V$500"),"N/A"),0))</f>
        <v/>
      </c>
      <c r="AO27" s="92" t="str">
        <f aca="true">IF($D27="","",IFERROR(COUNTIF(INDIRECT("'"&amp;$D27&amp;"'!$AB$7:$AB$500"),"?*"),0))</f>
        <v/>
      </c>
      <c r="AP27" s="92" t="str">
        <f aca="true">IF($D27="","",IFERROR(COUNTIF(INDIRECT("'"&amp;$D27&amp;"'!$AB$7:$AB$500"),"Pass"),0))</f>
        <v/>
      </c>
      <c r="AQ27" s="92" t="str">
        <f aca="true">IF($D27="","",IFERROR(COUNTIF(INDIRECT("'"&amp;$D27&amp;"'!$AB$7:$AB$500"),"Fail"),0))</f>
        <v/>
      </c>
      <c r="AR27" s="92" t="str">
        <f aca="true">IF($D27="","",IFERROR(COUNTIF(INDIRECT("'"&amp;$D27&amp;"'!$AB$7:$AB$500"),"Block"),0))</f>
        <v/>
      </c>
      <c r="AS27" s="92" t="str">
        <f aca="true">IF($D27="","",IFERROR(COUNTIF(INDIRECT("'"&amp;$D27&amp;"'!$AB$7:$AB$500"),"N/A"),0))</f>
        <v/>
      </c>
      <c r="AT27" s="92" t="str">
        <f aca="true">IF($D27="","",IFERROR(COUNTIF(INDIRECT("'"&amp;$D27&amp;"'!$AH$7:$AH$500"),"?*"),0))</f>
        <v/>
      </c>
      <c r="AU27" s="92" t="str">
        <f aca="true">IF($D27="","",IFERROR(COUNTIF(INDIRECT("'"&amp;$D27&amp;"'!$AH$7:$AH$500"),"Pass"),0))</f>
        <v/>
      </c>
      <c r="AV27" s="92" t="str">
        <f aca="true">IF($D27="","",IFERROR(COUNTIF(INDIRECT("'"&amp;$D27&amp;"'!$AH$7:$AH$500"),"Fail"),0))</f>
        <v/>
      </c>
      <c r="AW27" s="92" t="str">
        <f aca="true">IF($D27="","",IFERROR(COUNTIF(INDIRECT("'"&amp;$D27&amp;"'!$AH$7:$AH$500"),"Block"),0))</f>
        <v/>
      </c>
      <c r="AX27" s="92" t="str">
        <f aca="true">IF($D27="","",IFERROR(COUNTIF(INDIRECT("'"&amp;$D27&amp;"'!$AH$7:$AH$500"),"N/A"),0))</f>
        <v/>
      </c>
      <c r="AY27" s="92" t="str">
        <f aca="true">IF($D27="","",IFERROR(COUNTIF(INDIRECT("'"&amp;$D27&amp;"'!$AN$7:$AN$500"),"?*"),0))</f>
        <v/>
      </c>
      <c r="AZ27" s="92" t="str">
        <f aca="true">IF($D27="","",IFERROR(COUNTIF(INDIRECT("'"&amp;$D27&amp;"'!$AN$7:$AN$500"),"Pass"),0))</f>
        <v/>
      </c>
      <c r="BA27" s="92" t="str">
        <f aca="true">IF($D27="","",IFERROR(COUNTIF(INDIRECT("'"&amp;$D27&amp;"'!$AN$7:$AN$500"),"Fail"),0))</f>
        <v/>
      </c>
      <c r="BB27" s="92" t="str">
        <f aca="true">IF($D27="","",IFERROR(COUNTIF(INDIRECT("'"&amp;$D27&amp;"'!$AN$7:$AN$500"),"Block"),0))</f>
        <v/>
      </c>
      <c r="BC27" s="1" t="str">
        <f aca="true">IF($D27="","",IFERROR(COUNTIF(INDIRECT("'"&amp;$D27&amp;"'!$AN$7:$AN$500"),"N/A"),0))</f>
        <v/>
      </c>
    </row>
    <row r="28" customFormat="false" ht="15.75" hidden="false" customHeight="true" outlineLevel="0" collapsed="false">
      <c r="B28" s="87" t="str">
        <f aca="false">IF($D28="","",ROW()-3)</f>
        <v/>
      </c>
      <c r="C28" s="88"/>
      <c r="D28" s="88"/>
      <c r="E28" s="89"/>
      <c r="F28" s="87" t="str">
        <f aca="true">IF($D28="","",IFERROR(COUNTIF(INDIRECT("'"&amp;$D28&amp;"'!$A$7:$A$500"),"?*"),0))</f>
        <v/>
      </c>
      <c r="G28" s="87" t="str">
        <f aca="true">IF($D28="","",IFERROR(COUNTIF(INDIRECT("'"&amp;$D28&amp;"'!$AT$7:$AT$500"),"Pass"),0))</f>
        <v/>
      </c>
      <c r="H28" s="87" t="str">
        <f aca="true">IF($D28="","",IFERROR(COUNTIF(INDIRECT("'"&amp;$D28&amp;"'!$AT$7:$AT$500"),"Fail"),0))</f>
        <v/>
      </c>
      <c r="I28" s="87" t="str">
        <f aca="true">IF($D28="","",IFERROR(COUNTIF(INDIRECT("'"&amp;$D28&amp;"'!$AT$7:$AT$500"),"Block"),0))</f>
        <v/>
      </c>
      <c r="J28" s="87" t="str">
        <f aca="true">IF($D28="","",IFERROR(COUNTIF(INDIRECT("'"&amp;$D28&amp;"'!$AT$7:$AT$500"),"N/A"),0))</f>
        <v/>
      </c>
      <c r="K28" s="87" t="str">
        <f aca="false">IF($D28="","",MAX(0,$F28-$G28-$H28-$I28-$J28))</f>
        <v/>
      </c>
      <c r="L28" s="87" t="str">
        <f aca="false">IF($D28="","",$G28+$H28+$I28+$J28)</f>
        <v/>
      </c>
      <c r="M28" s="90" t="str">
        <f aca="false">IF($D28="","",IFERROR($L28/$F28,0))</f>
        <v/>
      </c>
      <c r="N28" s="90" t="str">
        <f aca="false">IF($D28="","",IFERROR($G28/$L28,0))</f>
        <v/>
      </c>
      <c r="O28" s="87" t="str">
        <f aca="true">IF($D28="","",IFERROR(COUNTIF(INDIRECT("'"&amp;$D28&amp;"'!$E$7:$E$500"),"High"),0))</f>
        <v/>
      </c>
      <c r="P28" s="87" t="str">
        <f aca="true">IF($D28="","",IFERROR(COUNTIF(INDIRECT("'"&amp;$D28&amp;"'!$E$7:$E$500"),"Medium"),0))</f>
        <v/>
      </c>
      <c r="Q28" s="87" t="str">
        <f aca="true">IF($D28="","",IFERROR(COUNTIF(INDIRECT("'"&amp;$D28&amp;"'!$E$7:$E$500"),"Low"),0))</f>
        <v/>
      </c>
      <c r="R28" s="87" t="str">
        <f aca="true">IF($D28="","",IFERROR(COUNTIF(INDIRECT("'"&amp;$D28&amp;"'!$D$7:$D$500"),"Functional"),0))</f>
        <v/>
      </c>
      <c r="S28" s="87" t="str">
        <f aca="true">IF($D28="","",IFERROR(COUNTIF(INDIRECT("'"&amp;$D28&amp;"'!$D$7:$D$500"),"UI"),0))</f>
        <v/>
      </c>
      <c r="T28" s="87" t="str">
        <f aca="true">IF($D28="","",IFERROR(COUNTIF(INDIRECT("'"&amp;$D28&amp;"'!$D$7:$D$500"),"Integration"),0))</f>
        <v/>
      </c>
      <c r="U28" s="87" t="str">
        <f aca="true">IF($D28="","",IFERROR(COUNTIF(INDIRECT("'"&amp;$D28&amp;"'!$D$7:$D$500"),"Database Test Case"),0))</f>
        <v/>
      </c>
      <c r="V28" s="87" t="str">
        <f aca="true">IF($D28="","",IFERROR(COUNTIF(INDIRECT("'"&amp;$D28&amp;"'!$J$7:$J$500"),"AI"),0))</f>
        <v/>
      </c>
      <c r="W28" s="87" t="str">
        <f aca="true">IF($D28="","",IFERROR(COUNTIF(INDIRECT("'"&amp;$D28&amp;"'!$J$7:$J$500"),"QC"),0))</f>
        <v/>
      </c>
      <c r="X28" s="87" t="str">
        <f aca="true">IF($D28="","",IFERROR(COUNTIF(INDIRECT("'"&amp;$D28&amp;"'!$L$7:$L$500"),"Yes"),0))</f>
        <v/>
      </c>
      <c r="Y28" s="87" t="str">
        <f aca="true">IF($D28="","",IFERROR(COUNTIF(INDIRECT("'"&amp;$D28&amp;"'!$AR$7:$AR$500"),"Yes"),0))</f>
        <v/>
      </c>
      <c r="Z28" s="87" t="str">
        <f aca="true">IF($D28="","",IFERROR(COUNTIF(INDIRECT("'"&amp;$D28&amp;"'!$AS$7:$AS$500"),"Pass"),0))</f>
        <v/>
      </c>
      <c r="AA28" s="87" t="str">
        <f aca="true">IF($D28="","",IFERROR(COUNTIF(INDIRECT("'"&amp;$D28&amp;"'!$K$7:$K$500"),"Reviewed"),0))</f>
        <v/>
      </c>
      <c r="AB28" s="91" t="str">
        <f aca="true">IF($D28="","",IFERROR(COUNTIFS(INDIRECT("'"&amp;$D28&amp;"'!$E$7:$E$500"),"High",INDIRECT("'"&amp;$D28&amp;"'!$AT$7:$AT$500"),"?*"),0))</f>
        <v/>
      </c>
      <c r="AC28" s="91" t="str">
        <f aca="true">IF($D28="","",IFERROR(COUNTIFS(INDIRECT("'"&amp;$D28&amp;"'!$E$7:$E$500"),"Medium",INDIRECT("'"&amp;$D28&amp;"'!$AT$7:$AT$500"),"?*"),0))</f>
        <v/>
      </c>
      <c r="AD28" s="91" t="str">
        <f aca="true">IF($D28="","",IFERROR(COUNTIFS(INDIRECT("'"&amp;$D28&amp;"'!$E$7:$E$500"),"Low",INDIRECT("'"&amp;$D28&amp;"'!$AT$7:$AT$500"),"?*"),0))</f>
        <v/>
      </c>
      <c r="AE28" s="92" t="str">
        <f aca="true">IF($D28="","",IFERROR(COUNTIF(INDIRECT("'"&amp;$D28&amp;"'!$P$7:$P$500"),"?*"),0))</f>
        <v/>
      </c>
      <c r="AF28" s="92" t="str">
        <f aca="true">IF($D28="","",IFERROR(COUNTIF(INDIRECT("'"&amp;$D28&amp;"'!$P$7:$P$500"),"Pass"),0))</f>
        <v/>
      </c>
      <c r="AG28" s="92" t="str">
        <f aca="true">IF($D28="","",IFERROR(COUNTIF(INDIRECT("'"&amp;$D28&amp;"'!$P$7:$P$500"),"Fail"),0))</f>
        <v/>
      </c>
      <c r="AH28" s="92" t="str">
        <f aca="true">IF($D28="","",IFERROR(COUNTIF(INDIRECT("'"&amp;$D28&amp;"'!$P$7:$P$500"),"Block"),0))</f>
        <v/>
      </c>
      <c r="AI28" s="92" t="str">
        <f aca="true">IF($D28="","",IFERROR(COUNTIF(INDIRECT("'"&amp;$D28&amp;"'!$P$7:$P$500"),"N/A"),0))</f>
        <v/>
      </c>
      <c r="AJ28" s="92" t="str">
        <f aca="true">IF($D28="","",IFERROR(COUNTIF(INDIRECT("'"&amp;$D28&amp;"'!$V$7:$V$500"),"?*"),0))</f>
        <v/>
      </c>
      <c r="AK28" s="92" t="str">
        <f aca="true">IF($D28="","",IFERROR(COUNTIF(INDIRECT("'"&amp;$D28&amp;"'!$V$7:$V$500"),"Pass"),0))</f>
        <v/>
      </c>
      <c r="AL28" s="92" t="str">
        <f aca="true">IF($D28="","",IFERROR(COUNTIF(INDIRECT("'"&amp;$D28&amp;"'!$V$7:$V$500"),"Fail"),0))</f>
        <v/>
      </c>
      <c r="AM28" s="92" t="str">
        <f aca="true">IF($D28="","",IFERROR(COUNTIF(INDIRECT("'"&amp;$D28&amp;"'!$V$7:$V$500"),"Block"),0))</f>
        <v/>
      </c>
      <c r="AN28" s="92" t="str">
        <f aca="true">IF($D28="","",IFERROR(COUNTIF(INDIRECT("'"&amp;$D28&amp;"'!$V$7:$V$500"),"N/A"),0))</f>
        <v/>
      </c>
      <c r="AO28" s="92" t="str">
        <f aca="true">IF($D28="","",IFERROR(COUNTIF(INDIRECT("'"&amp;$D28&amp;"'!$AB$7:$AB$500"),"?*"),0))</f>
        <v/>
      </c>
      <c r="AP28" s="92" t="str">
        <f aca="true">IF($D28="","",IFERROR(COUNTIF(INDIRECT("'"&amp;$D28&amp;"'!$AB$7:$AB$500"),"Pass"),0))</f>
        <v/>
      </c>
      <c r="AQ28" s="92" t="str">
        <f aca="true">IF($D28="","",IFERROR(COUNTIF(INDIRECT("'"&amp;$D28&amp;"'!$AB$7:$AB$500"),"Fail"),0))</f>
        <v/>
      </c>
      <c r="AR28" s="92" t="str">
        <f aca="true">IF($D28="","",IFERROR(COUNTIF(INDIRECT("'"&amp;$D28&amp;"'!$AB$7:$AB$500"),"Block"),0))</f>
        <v/>
      </c>
      <c r="AS28" s="92" t="str">
        <f aca="true">IF($D28="","",IFERROR(COUNTIF(INDIRECT("'"&amp;$D28&amp;"'!$AB$7:$AB$500"),"N/A"),0))</f>
        <v/>
      </c>
      <c r="AT28" s="92" t="str">
        <f aca="true">IF($D28="","",IFERROR(COUNTIF(INDIRECT("'"&amp;$D28&amp;"'!$AH$7:$AH$500"),"?*"),0))</f>
        <v/>
      </c>
      <c r="AU28" s="92" t="str">
        <f aca="true">IF($D28="","",IFERROR(COUNTIF(INDIRECT("'"&amp;$D28&amp;"'!$AH$7:$AH$500"),"Pass"),0))</f>
        <v/>
      </c>
      <c r="AV28" s="92" t="str">
        <f aca="true">IF($D28="","",IFERROR(COUNTIF(INDIRECT("'"&amp;$D28&amp;"'!$AH$7:$AH$500"),"Fail"),0))</f>
        <v/>
      </c>
      <c r="AW28" s="92" t="str">
        <f aca="true">IF($D28="","",IFERROR(COUNTIF(INDIRECT("'"&amp;$D28&amp;"'!$AH$7:$AH$500"),"Block"),0))</f>
        <v/>
      </c>
      <c r="AX28" s="92" t="str">
        <f aca="true">IF($D28="","",IFERROR(COUNTIF(INDIRECT("'"&amp;$D28&amp;"'!$AH$7:$AH$500"),"N/A"),0))</f>
        <v/>
      </c>
      <c r="AY28" s="92" t="str">
        <f aca="true">IF($D28="","",IFERROR(COUNTIF(INDIRECT("'"&amp;$D28&amp;"'!$AN$7:$AN$500"),"?*"),0))</f>
        <v/>
      </c>
      <c r="AZ28" s="92" t="str">
        <f aca="true">IF($D28="","",IFERROR(COUNTIF(INDIRECT("'"&amp;$D28&amp;"'!$AN$7:$AN$500"),"Pass"),0))</f>
        <v/>
      </c>
      <c r="BA28" s="92" t="str">
        <f aca="true">IF($D28="","",IFERROR(COUNTIF(INDIRECT("'"&amp;$D28&amp;"'!$AN$7:$AN$500"),"Fail"),0))</f>
        <v/>
      </c>
      <c r="BB28" s="92" t="str">
        <f aca="true">IF($D28="","",IFERROR(COUNTIF(INDIRECT("'"&amp;$D28&amp;"'!$AN$7:$AN$500"),"Block"),0))</f>
        <v/>
      </c>
      <c r="BC28" s="1" t="str">
        <f aca="true">IF($D28="","",IFERROR(COUNTIF(INDIRECT("'"&amp;$D28&amp;"'!$AN$7:$AN$500"),"N/A"),0))</f>
        <v/>
      </c>
    </row>
    <row r="29" customFormat="false" ht="15.75" hidden="false" customHeight="true" outlineLevel="0" collapsed="false">
      <c r="B29" s="87" t="str">
        <f aca="false">IF($D29="","",ROW()-3)</f>
        <v/>
      </c>
      <c r="C29" s="88"/>
      <c r="D29" s="88"/>
      <c r="E29" s="89"/>
      <c r="F29" s="87" t="str">
        <f aca="true">IF($D29="","",IFERROR(COUNTIF(INDIRECT("'"&amp;$D29&amp;"'!$A$7:$A$500"),"?*"),0))</f>
        <v/>
      </c>
      <c r="G29" s="87" t="str">
        <f aca="true">IF($D29="","",IFERROR(COUNTIF(INDIRECT("'"&amp;$D29&amp;"'!$AT$7:$AT$500"),"Pass"),0))</f>
        <v/>
      </c>
      <c r="H29" s="87" t="str">
        <f aca="true">IF($D29="","",IFERROR(COUNTIF(INDIRECT("'"&amp;$D29&amp;"'!$AT$7:$AT$500"),"Fail"),0))</f>
        <v/>
      </c>
      <c r="I29" s="87" t="str">
        <f aca="true">IF($D29="","",IFERROR(COUNTIF(INDIRECT("'"&amp;$D29&amp;"'!$AT$7:$AT$500"),"Block"),0))</f>
        <v/>
      </c>
      <c r="J29" s="87" t="str">
        <f aca="true">IF($D29="","",IFERROR(COUNTIF(INDIRECT("'"&amp;$D29&amp;"'!$AT$7:$AT$500"),"N/A"),0))</f>
        <v/>
      </c>
      <c r="K29" s="87" t="str">
        <f aca="false">IF($D29="","",MAX(0,$F29-$G29-$H29-$I29-$J29))</f>
        <v/>
      </c>
      <c r="L29" s="87" t="str">
        <f aca="false">IF($D29="","",$G29+$H29+$I29+$J29)</f>
        <v/>
      </c>
      <c r="M29" s="90" t="str">
        <f aca="false">IF($D29="","",IFERROR($L29/$F29,0))</f>
        <v/>
      </c>
      <c r="N29" s="90" t="str">
        <f aca="false">IF($D29="","",IFERROR($G29/$L29,0))</f>
        <v/>
      </c>
      <c r="O29" s="87" t="str">
        <f aca="true">IF($D29="","",IFERROR(COUNTIF(INDIRECT("'"&amp;$D29&amp;"'!$E$7:$E$500"),"High"),0))</f>
        <v/>
      </c>
      <c r="P29" s="87" t="str">
        <f aca="true">IF($D29="","",IFERROR(COUNTIF(INDIRECT("'"&amp;$D29&amp;"'!$E$7:$E$500"),"Medium"),0))</f>
        <v/>
      </c>
      <c r="Q29" s="87" t="str">
        <f aca="true">IF($D29="","",IFERROR(COUNTIF(INDIRECT("'"&amp;$D29&amp;"'!$E$7:$E$500"),"Low"),0))</f>
        <v/>
      </c>
      <c r="R29" s="87" t="str">
        <f aca="true">IF($D29="","",IFERROR(COUNTIF(INDIRECT("'"&amp;$D29&amp;"'!$D$7:$D$500"),"Functional"),0))</f>
        <v/>
      </c>
      <c r="S29" s="87" t="str">
        <f aca="true">IF($D29="","",IFERROR(COUNTIF(INDIRECT("'"&amp;$D29&amp;"'!$D$7:$D$500"),"UI"),0))</f>
        <v/>
      </c>
      <c r="T29" s="87" t="str">
        <f aca="true">IF($D29="","",IFERROR(COUNTIF(INDIRECT("'"&amp;$D29&amp;"'!$D$7:$D$500"),"Integration"),0))</f>
        <v/>
      </c>
      <c r="U29" s="87" t="str">
        <f aca="true">IF($D29="","",IFERROR(COUNTIF(INDIRECT("'"&amp;$D29&amp;"'!$D$7:$D$500"),"Database Test Case"),0))</f>
        <v/>
      </c>
      <c r="V29" s="87" t="str">
        <f aca="true">IF($D29="","",IFERROR(COUNTIF(INDIRECT("'"&amp;$D29&amp;"'!$J$7:$J$500"),"AI"),0))</f>
        <v/>
      </c>
      <c r="W29" s="87" t="str">
        <f aca="true">IF($D29="","",IFERROR(COUNTIF(INDIRECT("'"&amp;$D29&amp;"'!$J$7:$J$500"),"QC"),0))</f>
        <v/>
      </c>
      <c r="X29" s="87" t="str">
        <f aca="true">IF($D29="","",IFERROR(COUNTIF(INDIRECT("'"&amp;$D29&amp;"'!$L$7:$L$500"),"Yes"),0))</f>
        <v/>
      </c>
      <c r="Y29" s="87" t="str">
        <f aca="true">IF($D29="","",IFERROR(COUNTIF(INDIRECT("'"&amp;$D29&amp;"'!$AR$7:$AR$500"),"Yes"),0))</f>
        <v/>
      </c>
      <c r="Z29" s="87" t="str">
        <f aca="true">IF($D29="","",IFERROR(COUNTIF(INDIRECT("'"&amp;$D29&amp;"'!$AS$7:$AS$500"),"Pass"),0))</f>
        <v/>
      </c>
      <c r="AA29" s="87" t="str">
        <f aca="true">IF($D29="","",IFERROR(COUNTIF(INDIRECT("'"&amp;$D29&amp;"'!$K$7:$K$500"),"Reviewed"),0))</f>
        <v/>
      </c>
      <c r="AB29" s="91" t="str">
        <f aca="true">IF($D29="","",IFERROR(COUNTIFS(INDIRECT("'"&amp;$D29&amp;"'!$E$7:$E$500"),"High",INDIRECT("'"&amp;$D29&amp;"'!$AT$7:$AT$500"),"?*"),0))</f>
        <v/>
      </c>
      <c r="AC29" s="91" t="str">
        <f aca="true">IF($D29="","",IFERROR(COUNTIFS(INDIRECT("'"&amp;$D29&amp;"'!$E$7:$E$500"),"Medium",INDIRECT("'"&amp;$D29&amp;"'!$AT$7:$AT$500"),"?*"),0))</f>
        <v/>
      </c>
      <c r="AD29" s="91" t="str">
        <f aca="true">IF($D29="","",IFERROR(COUNTIFS(INDIRECT("'"&amp;$D29&amp;"'!$E$7:$E$500"),"Low",INDIRECT("'"&amp;$D29&amp;"'!$AT$7:$AT$500"),"?*"),0))</f>
        <v/>
      </c>
      <c r="AE29" s="92" t="str">
        <f aca="true">IF($D29="","",IFERROR(COUNTIF(INDIRECT("'"&amp;$D29&amp;"'!$P$7:$P$500"),"?*"),0))</f>
        <v/>
      </c>
      <c r="AF29" s="92" t="str">
        <f aca="true">IF($D29="","",IFERROR(COUNTIF(INDIRECT("'"&amp;$D29&amp;"'!$P$7:$P$500"),"Pass"),0))</f>
        <v/>
      </c>
      <c r="AG29" s="92" t="str">
        <f aca="true">IF($D29="","",IFERROR(COUNTIF(INDIRECT("'"&amp;$D29&amp;"'!$P$7:$P$500"),"Fail"),0))</f>
        <v/>
      </c>
      <c r="AH29" s="92" t="str">
        <f aca="true">IF($D29="","",IFERROR(COUNTIF(INDIRECT("'"&amp;$D29&amp;"'!$P$7:$P$500"),"Block"),0))</f>
        <v/>
      </c>
      <c r="AI29" s="92" t="str">
        <f aca="true">IF($D29="","",IFERROR(COUNTIF(INDIRECT("'"&amp;$D29&amp;"'!$P$7:$P$500"),"N/A"),0))</f>
        <v/>
      </c>
      <c r="AJ29" s="92" t="str">
        <f aca="true">IF($D29="","",IFERROR(COUNTIF(INDIRECT("'"&amp;$D29&amp;"'!$V$7:$V$500"),"?*"),0))</f>
        <v/>
      </c>
      <c r="AK29" s="92" t="str">
        <f aca="true">IF($D29="","",IFERROR(COUNTIF(INDIRECT("'"&amp;$D29&amp;"'!$V$7:$V$500"),"Pass"),0))</f>
        <v/>
      </c>
      <c r="AL29" s="92" t="str">
        <f aca="true">IF($D29="","",IFERROR(COUNTIF(INDIRECT("'"&amp;$D29&amp;"'!$V$7:$V$500"),"Fail"),0))</f>
        <v/>
      </c>
      <c r="AM29" s="92" t="str">
        <f aca="true">IF($D29="","",IFERROR(COUNTIF(INDIRECT("'"&amp;$D29&amp;"'!$V$7:$V$500"),"Block"),0))</f>
        <v/>
      </c>
      <c r="AN29" s="92" t="str">
        <f aca="true">IF($D29="","",IFERROR(COUNTIF(INDIRECT("'"&amp;$D29&amp;"'!$V$7:$V$500"),"N/A"),0))</f>
        <v/>
      </c>
      <c r="AO29" s="92" t="str">
        <f aca="true">IF($D29="","",IFERROR(COUNTIF(INDIRECT("'"&amp;$D29&amp;"'!$AB$7:$AB$500"),"?*"),0))</f>
        <v/>
      </c>
      <c r="AP29" s="92" t="str">
        <f aca="true">IF($D29="","",IFERROR(COUNTIF(INDIRECT("'"&amp;$D29&amp;"'!$AB$7:$AB$500"),"Pass"),0))</f>
        <v/>
      </c>
      <c r="AQ29" s="92" t="str">
        <f aca="true">IF($D29="","",IFERROR(COUNTIF(INDIRECT("'"&amp;$D29&amp;"'!$AB$7:$AB$500"),"Fail"),0))</f>
        <v/>
      </c>
      <c r="AR29" s="92" t="str">
        <f aca="true">IF($D29="","",IFERROR(COUNTIF(INDIRECT("'"&amp;$D29&amp;"'!$AB$7:$AB$500"),"Block"),0))</f>
        <v/>
      </c>
      <c r="AS29" s="92" t="str">
        <f aca="true">IF($D29="","",IFERROR(COUNTIF(INDIRECT("'"&amp;$D29&amp;"'!$AB$7:$AB$500"),"N/A"),0))</f>
        <v/>
      </c>
      <c r="AT29" s="92" t="str">
        <f aca="true">IF($D29="","",IFERROR(COUNTIF(INDIRECT("'"&amp;$D29&amp;"'!$AH$7:$AH$500"),"?*"),0))</f>
        <v/>
      </c>
      <c r="AU29" s="92" t="str">
        <f aca="true">IF($D29="","",IFERROR(COUNTIF(INDIRECT("'"&amp;$D29&amp;"'!$AH$7:$AH$500"),"Pass"),0))</f>
        <v/>
      </c>
      <c r="AV29" s="92" t="str">
        <f aca="true">IF($D29="","",IFERROR(COUNTIF(INDIRECT("'"&amp;$D29&amp;"'!$AH$7:$AH$500"),"Fail"),0))</f>
        <v/>
      </c>
      <c r="AW29" s="92" t="str">
        <f aca="true">IF($D29="","",IFERROR(COUNTIF(INDIRECT("'"&amp;$D29&amp;"'!$AH$7:$AH$500"),"Block"),0))</f>
        <v/>
      </c>
      <c r="AX29" s="92" t="str">
        <f aca="true">IF($D29="","",IFERROR(COUNTIF(INDIRECT("'"&amp;$D29&amp;"'!$AH$7:$AH$500"),"N/A"),0))</f>
        <v/>
      </c>
      <c r="AY29" s="92" t="str">
        <f aca="true">IF($D29="","",IFERROR(COUNTIF(INDIRECT("'"&amp;$D29&amp;"'!$AN$7:$AN$500"),"?*"),0))</f>
        <v/>
      </c>
      <c r="AZ29" s="92" t="str">
        <f aca="true">IF($D29="","",IFERROR(COUNTIF(INDIRECT("'"&amp;$D29&amp;"'!$AN$7:$AN$500"),"Pass"),0))</f>
        <v/>
      </c>
      <c r="BA29" s="92" t="str">
        <f aca="true">IF($D29="","",IFERROR(COUNTIF(INDIRECT("'"&amp;$D29&amp;"'!$AN$7:$AN$500"),"Fail"),0))</f>
        <v/>
      </c>
      <c r="BB29" s="92" t="str">
        <f aca="true">IF($D29="","",IFERROR(COUNTIF(INDIRECT("'"&amp;$D29&amp;"'!$AN$7:$AN$500"),"Block"),0))</f>
        <v/>
      </c>
      <c r="BC29" s="1" t="str">
        <f aca="true">IF($D29="","",IFERROR(COUNTIF(INDIRECT("'"&amp;$D29&amp;"'!$AN$7:$AN$500"),"N/A"),0))</f>
        <v/>
      </c>
    </row>
    <row r="30" customFormat="false" ht="15.75" hidden="false" customHeight="true" outlineLevel="0" collapsed="false">
      <c r="B30" s="87" t="str">
        <f aca="false">IF($D30="","",ROW()-3)</f>
        <v/>
      </c>
      <c r="C30" s="88"/>
      <c r="D30" s="88"/>
      <c r="E30" s="89"/>
      <c r="F30" s="87" t="str">
        <f aca="true">IF($D30="","",IFERROR(COUNTIF(INDIRECT("'"&amp;$D30&amp;"'!$A$7:$A$500"),"?*"),0))</f>
        <v/>
      </c>
      <c r="G30" s="87" t="str">
        <f aca="true">IF($D30="","",IFERROR(COUNTIF(INDIRECT("'"&amp;$D30&amp;"'!$AT$7:$AT$500"),"Pass"),0))</f>
        <v/>
      </c>
      <c r="H30" s="87" t="str">
        <f aca="true">IF($D30="","",IFERROR(COUNTIF(INDIRECT("'"&amp;$D30&amp;"'!$AT$7:$AT$500"),"Fail"),0))</f>
        <v/>
      </c>
      <c r="I30" s="87" t="str">
        <f aca="true">IF($D30="","",IFERROR(COUNTIF(INDIRECT("'"&amp;$D30&amp;"'!$AT$7:$AT$500"),"Block"),0))</f>
        <v/>
      </c>
      <c r="J30" s="87" t="str">
        <f aca="true">IF($D30="","",IFERROR(COUNTIF(INDIRECT("'"&amp;$D30&amp;"'!$AT$7:$AT$500"),"N/A"),0))</f>
        <v/>
      </c>
      <c r="K30" s="87" t="str">
        <f aca="false">IF($D30="","",MAX(0,$F30-$G30-$H30-$I30-$J30))</f>
        <v/>
      </c>
      <c r="L30" s="87" t="str">
        <f aca="false">IF($D30="","",$G30+$H30+$I30+$J30)</f>
        <v/>
      </c>
      <c r="M30" s="90" t="str">
        <f aca="false">IF($D30="","",IFERROR($L30/$F30,0))</f>
        <v/>
      </c>
      <c r="N30" s="90" t="str">
        <f aca="false">IF($D30="","",IFERROR($G30/$L30,0))</f>
        <v/>
      </c>
      <c r="O30" s="87" t="str">
        <f aca="true">IF($D30="","",IFERROR(COUNTIF(INDIRECT("'"&amp;$D30&amp;"'!$E$7:$E$500"),"High"),0))</f>
        <v/>
      </c>
      <c r="P30" s="87" t="str">
        <f aca="true">IF($D30="","",IFERROR(COUNTIF(INDIRECT("'"&amp;$D30&amp;"'!$E$7:$E$500"),"Medium"),0))</f>
        <v/>
      </c>
      <c r="Q30" s="87" t="str">
        <f aca="true">IF($D30="","",IFERROR(COUNTIF(INDIRECT("'"&amp;$D30&amp;"'!$E$7:$E$500"),"Low"),0))</f>
        <v/>
      </c>
      <c r="R30" s="87" t="str">
        <f aca="true">IF($D30="","",IFERROR(COUNTIF(INDIRECT("'"&amp;$D30&amp;"'!$D$7:$D$500"),"Functional"),0))</f>
        <v/>
      </c>
      <c r="S30" s="87" t="str">
        <f aca="true">IF($D30="","",IFERROR(COUNTIF(INDIRECT("'"&amp;$D30&amp;"'!$D$7:$D$500"),"UI"),0))</f>
        <v/>
      </c>
      <c r="T30" s="87" t="str">
        <f aca="true">IF($D30="","",IFERROR(COUNTIF(INDIRECT("'"&amp;$D30&amp;"'!$D$7:$D$500"),"Integration"),0))</f>
        <v/>
      </c>
      <c r="U30" s="87" t="str">
        <f aca="true">IF($D30="","",IFERROR(COUNTIF(INDIRECT("'"&amp;$D30&amp;"'!$D$7:$D$500"),"Database Test Case"),0))</f>
        <v/>
      </c>
      <c r="V30" s="87" t="str">
        <f aca="true">IF($D30="","",IFERROR(COUNTIF(INDIRECT("'"&amp;$D30&amp;"'!$J$7:$J$500"),"AI"),0))</f>
        <v/>
      </c>
      <c r="W30" s="87" t="str">
        <f aca="true">IF($D30="","",IFERROR(COUNTIF(INDIRECT("'"&amp;$D30&amp;"'!$J$7:$J$500"),"QC"),0))</f>
        <v/>
      </c>
      <c r="X30" s="87" t="str">
        <f aca="true">IF($D30="","",IFERROR(COUNTIF(INDIRECT("'"&amp;$D30&amp;"'!$L$7:$L$500"),"Yes"),0))</f>
        <v/>
      </c>
      <c r="Y30" s="87" t="str">
        <f aca="true">IF($D30="","",IFERROR(COUNTIF(INDIRECT("'"&amp;$D30&amp;"'!$AR$7:$AR$500"),"Yes"),0))</f>
        <v/>
      </c>
      <c r="Z30" s="87" t="str">
        <f aca="true">IF($D30="","",IFERROR(COUNTIF(INDIRECT("'"&amp;$D30&amp;"'!$AS$7:$AS$500"),"Pass"),0))</f>
        <v/>
      </c>
      <c r="AA30" s="87" t="str">
        <f aca="true">IF($D30="","",IFERROR(COUNTIF(INDIRECT("'"&amp;$D30&amp;"'!$K$7:$K$500"),"Reviewed"),0))</f>
        <v/>
      </c>
      <c r="AB30" s="91" t="str">
        <f aca="true">IF($D30="","",IFERROR(COUNTIFS(INDIRECT("'"&amp;$D30&amp;"'!$E$7:$E$500"),"High",INDIRECT("'"&amp;$D30&amp;"'!$AT$7:$AT$500"),"?*"),0))</f>
        <v/>
      </c>
      <c r="AC30" s="91" t="str">
        <f aca="true">IF($D30="","",IFERROR(COUNTIFS(INDIRECT("'"&amp;$D30&amp;"'!$E$7:$E$500"),"Medium",INDIRECT("'"&amp;$D30&amp;"'!$AT$7:$AT$500"),"?*"),0))</f>
        <v/>
      </c>
      <c r="AD30" s="91" t="str">
        <f aca="true">IF($D30="","",IFERROR(COUNTIFS(INDIRECT("'"&amp;$D30&amp;"'!$E$7:$E$500"),"Low",INDIRECT("'"&amp;$D30&amp;"'!$AT$7:$AT$500"),"?*"),0))</f>
        <v/>
      </c>
      <c r="AE30" s="92" t="str">
        <f aca="true">IF($D30="","",IFERROR(COUNTIF(INDIRECT("'"&amp;$D30&amp;"'!$P$7:$P$500"),"?*"),0))</f>
        <v/>
      </c>
      <c r="AF30" s="92" t="str">
        <f aca="true">IF($D30="","",IFERROR(COUNTIF(INDIRECT("'"&amp;$D30&amp;"'!$P$7:$P$500"),"Pass"),0))</f>
        <v/>
      </c>
      <c r="AG30" s="92" t="str">
        <f aca="true">IF($D30="","",IFERROR(COUNTIF(INDIRECT("'"&amp;$D30&amp;"'!$P$7:$P$500"),"Fail"),0))</f>
        <v/>
      </c>
      <c r="AH30" s="92" t="str">
        <f aca="true">IF($D30="","",IFERROR(COUNTIF(INDIRECT("'"&amp;$D30&amp;"'!$P$7:$P$500"),"Block"),0))</f>
        <v/>
      </c>
      <c r="AI30" s="92" t="str">
        <f aca="true">IF($D30="","",IFERROR(COUNTIF(INDIRECT("'"&amp;$D30&amp;"'!$P$7:$P$500"),"N/A"),0))</f>
        <v/>
      </c>
      <c r="AJ30" s="92" t="str">
        <f aca="true">IF($D30="","",IFERROR(COUNTIF(INDIRECT("'"&amp;$D30&amp;"'!$V$7:$V$500"),"?*"),0))</f>
        <v/>
      </c>
      <c r="AK30" s="92" t="str">
        <f aca="true">IF($D30="","",IFERROR(COUNTIF(INDIRECT("'"&amp;$D30&amp;"'!$V$7:$V$500"),"Pass"),0))</f>
        <v/>
      </c>
      <c r="AL30" s="92" t="str">
        <f aca="true">IF($D30="","",IFERROR(COUNTIF(INDIRECT("'"&amp;$D30&amp;"'!$V$7:$V$500"),"Fail"),0))</f>
        <v/>
      </c>
      <c r="AM30" s="92" t="str">
        <f aca="true">IF($D30="","",IFERROR(COUNTIF(INDIRECT("'"&amp;$D30&amp;"'!$V$7:$V$500"),"Block"),0))</f>
        <v/>
      </c>
      <c r="AN30" s="92" t="str">
        <f aca="true">IF($D30="","",IFERROR(COUNTIF(INDIRECT("'"&amp;$D30&amp;"'!$V$7:$V$500"),"N/A"),0))</f>
        <v/>
      </c>
      <c r="AO30" s="92" t="str">
        <f aca="true">IF($D30="","",IFERROR(COUNTIF(INDIRECT("'"&amp;$D30&amp;"'!$AB$7:$AB$500"),"?*"),0))</f>
        <v/>
      </c>
      <c r="AP30" s="92" t="str">
        <f aca="true">IF($D30="","",IFERROR(COUNTIF(INDIRECT("'"&amp;$D30&amp;"'!$AB$7:$AB$500"),"Pass"),0))</f>
        <v/>
      </c>
      <c r="AQ30" s="92" t="str">
        <f aca="true">IF($D30="","",IFERROR(COUNTIF(INDIRECT("'"&amp;$D30&amp;"'!$AB$7:$AB$500"),"Fail"),0))</f>
        <v/>
      </c>
      <c r="AR30" s="92" t="str">
        <f aca="true">IF($D30="","",IFERROR(COUNTIF(INDIRECT("'"&amp;$D30&amp;"'!$AB$7:$AB$500"),"Block"),0))</f>
        <v/>
      </c>
      <c r="AS30" s="92" t="str">
        <f aca="true">IF($D30="","",IFERROR(COUNTIF(INDIRECT("'"&amp;$D30&amp;"'!$AB$7:$AB$500"),"N/A"),0))</f>
        <v/>
      </c>
      <c r="AT30" s="92" t="str">
        <f aca="true">IF($D30="","",IFERROR(COUNTIF(INDIRECT("'"&amp;$D30&amp;"'!$AH$7:$AH$500"),"?*"),0))</f>
        <v/>
      </c>
      <c r="AU30" s="92" t="str">
        <f aca="true">IF($D30="","",IFERROR(COUNTIF(INDIRECT("'"&amp;$D30&amp;"'!$AH$7:$AH$500"),"Pass"),0))</f>
        <v/>
      </c>
      <c r="AV30" s="92" t="str">
        <f aca="true">IF($D30="","",IFERROR(COUNTIF(INDIRECT("'"&amp;$D30&amp;"'!$AH$7:$AH$500"),"Fail"),0))</f>
        <v/>
      </c>
      <c r="AW30" s="92" t="str">
        <f aca="true">IF($D30="","",IFERROR(COUNTIF(INDIRECT("'"&amp;$D30&amp;"'!$AH$7:$AH$500"),"Block"),0))</f>
        <v/>
      </c>
      <c r="AX30" s="92" t="str">
        <f aca="true">IF($D30="","",IFERROR(COUNTIF(INDIRECT("'"&amp;$D30&amp;"'!$AH$7:$AH$500"),"N/A"),0))</f>
        <v/>
      </c>
      <c r="AY30" s="92" t="str">
        <f aca="true">IF($D30="","",IFERROR(COUNTIF(INDIRECT("'"&amp;$D30&amp;"'!$AN$7:$AN$500"),"?*"),0))</f>
        <v/>
      </c>
      <c r="AZ30" s="92" t="str">
        <f aca="true">IF($D30="","",IFERROR(COUNTIF(INDIRECT("'"&amp;$D30&amp;"'!$AN$7:$AN$500"),"Pass"),0))</f>
        <v/>
      </c>
      <c r="BA30" s="92" t="str">
        <f aca="true">IF($D30="","",IFERROR(COUNTIF(INDIRECT("'"&amp;$D30&amp;"'!$AN$7:$AN$500"),"Fail"),0))</f>
        <v/>
      </c>
      <c r="BB30" s="92" t="str">
        <f aca="true">IF($D30="","",IFERROR(COUNTIF(INDIRECT("'"&amp;$D30&amp;"'!$AN$7:$AN$500"),"Block"),0))</f>
        <v/>
      </c>
      <c r="BC30" s="1" t="str">
        <f aca="true">IF($D30="","",IFERROR(COUNTIF(INDIRECT("'"&amp;$D30&amp;"'!$AN$7:$AN$500"),"N/A"),0))</f>
        <v/>
      </c>
    </row>
    <row r="31" customFormat="false" ht="15.75" hidden="false" customHeight="true" outlineLevel="0" collapsed="false">
      <c r="B31" s="87" t="str">
        <f aca="false">IF($D31="","",ROW()-3)</f>
        <v/>
      </c>
      <c r="C31" s="88"/>
      <c r="D31" s="88"/>
      <c r="E31" s="89"/>
      <c r="F31" s="87" t="str">
        <f aca="true">IF($D31="","",IFERROR(COUNTIF(INDIRECT("'"&amp;$D31&amp;"'!$A$7:$A$500"),"?*"),0))</f>
        <v/>
      </c>
      <c r="G31" s="87" t="str">
        <f aca="true">IF($D31="","",IFERROR(COUNTIF(INDIRECT("'"&amp;$D31&amp;"'!$AT$7:$AT$500"),"Pass"),0))</f>
        <v/>
      </c>
      <c r="H31" s="87" t="str">
        <f aca="true">IF($D31="","",IFERROR(COUNTIF(INDIRECT("'"&amp;$D31&amp;"'!$AT$7:$AT$500"),"Fail"),0))</f>
        <v/>
      </c>
      <c r="I31" s="87" t="str">
        <f aca="true">IF($D31="","",IFERROR(COUNTIF(INDIRECT("'"&amp;$D31&amp;"'!$AT$7:$AT$500"),"Block"),0))</f>
        <v/>
      </c>
      <c r="J31" s="87" t="str">
        <f aca="true">IF($D31="","",IFERROR(COUNTIF(INDIRECT("'"&amp;$D31&amp;"'!$AT$7:$AT$500"),"N/A"),0))</f>
        <v/>
      </c>
      <c r="K31" s="87" t="str">
        <f aca="false">IF($D31="","",MAX(0,$F31-$G31-$H31-$I31-$J31))</f>
        <v/>
      </c>
      <c r="L31" s="87" t="str">
        <f aca="false">IF($D31="","",$G31+$H31+$I31+$J31)</f>
        <v/>
      </c>
      <c r="M31" s="90" t="str">
        <f aca="false">IF($D31="","",IFERROR($L31/$F31,0))</f>
        <v/>
      </c>
      <c r="N31" s="90" t="str">
        <f aca="false">IF($D31="","",IFERROR($G31/$L31,0))</f>
        <v/>
      </c>
      <c r="O31" s="87" t="str">
        <f aca="true">IF($D31="","",IFERROR(COUNTIF(INDIRECT("'"&amp;$D31&amp;"'!$E$7:$E$500"),"High"),0))</f>
        <v/>
      </c>
      <c r="P31" s="87" t="str">
        <f aca="true">IF($D31="","",IFERROR(COUNTIF(INDIRECT("'"&amp;$D31&amp;"'!$E$7:$E$500"),"Medium"),0))</f>
        <v/>
      </c>
      <c r="Q31" s="87" t="str">
        <f aca="true">IF($D31="","",IFERROR(COUNTIF(INDIRECT("'"&amp;$D31&amp;"'!$E$7:$E$500"),"Low"),0))</f>
        <v/>
      </c>
      <c r="R31" s="87" t="str">
        <f aca="true">IF($D31="","",IFERROR(COUNTIF(INDIRECT("'"&amp;$D31&amp;"'!$D$7:$D$500"),"Functional"),0))</f>
        <v/>
      </c>
      <c r="S31" s="87" t="str">
        <f aca="true">IF($D31="","",IFERROR(COUNTIF(INDIRECT("'"&amp;$D31&amp;"'!$D$7:$D$500"),"UI"),0))</f>
        <v/>
      </c>
      <c r="T31" s="87" t="str">
        <f aca="true">IF($D31="","",IFERROR(COUNTIF(INDIRECT("'"&amp;$D31&amp;"'!$D$7:$D$500"),"Integration"),0))</f>
        <v/>
      </c>
      <c r="U31" s="87" t="str">
        <f aca="true">IF($D31="","",IFERROR(COUNTIF(INDIRECT("'"&amp;$D31&amp;"'!$D$7:$D$500"),"Database Test Case"),0))</f>
        <v/>
      </c>
      <c r="V31" s="87" t="str">
        <f aca="true">IF($D31="","",IFERROR(COUNTIF(INDIRECT("'"&amp;$D31&amp;"'!$J$7:$J$500"),"AI"),0))</f>
        <v/>
      </c>
      <c r="W31" s="87" t="str">
        <f aca="true">IF($D31="","",IFERROR(COUNTIF(INDIRECT("'"&amp;$D31&amp;"'!$J$7:$J$500"),"QC"),0))</f>
        <v/>
      </c>
      <c r="X31" s="87" t="str">
        <f aca="true">IF($D31="","",IFERROR(COUNTIF(INDIRECT("'"&amp;$D31&amp;"'!$L$7:$L$500"),"Yes"),0))</f>
        <v/>
      </c>
      <c r="Y31" s="87" t="str">
        <f aca="true">IF($D31="","",IFERROR(COUNTIF(INDIRECT("'"&amp;$D31&amp;"'!$AR$7:$AR$500"),"Yes"),0))</f>
        <v/>
      </c>
      <c r="Z31" s="87" t="str">
        <f aca="true">IF($D31="","",IFERROR(COUNTIF(INDIRECT("'"&amp;$D31&amp;"'!$AS$7:$AS$500"),"Pass"),0))</f>
        <v/>
      </c>
      <c r="AA31" s="87" t="str">
        <f aca="true">IF($D31="","",IFERROR(COUNTIF(INDIRECT("'"&amp;$D31&amp;"'!$K$7:$K$500"),"Reviewed"),0))</f>
        <v/>
      </c>
      <c r="AB31" s="91" t="str">
        <f aca="true">IF($D31="","",IFERROR(COUNTIFS(INDIRECT("'"&amp;$D31&amp;"'!$E$7:$E$500"),"High",INDIRECT("'"&amp;$D31&amp;"'!$AT$7:$AT$500"),"?*"),0))</f>
        <v/>
      </c>
      <c r="AC31" s="91" t="str">
        <f aca="true">IF($D31="","",IFERROR(COUNTIFS(INDIRECT("'"&amp;$D31&amp;"'!$E$7:$E$500"),"Medium",INDIRECT("'"&amp;$D31&amp;"'!$AT$7:$AT$500"),"?*"),0))</f>
        <v/>
      </c>
      <c r="AD31" s="91" t="str">
        <f aca="true">IF($D31="","",IFERROR(COUNTIFS(INDIRECT("'"&amp;$D31&amp;"'!$E$7:$E$500"),"Low",INDIRECT("'"&amp;$D31&amp;"'!$AT$7:$AT$500"),"?*"),0))</f>
        <v/>
      </c>
      <c r="AE31" s="92" t="str">
        <f aca="true">IF($D31="","",IFERROR(COUNTIF(INDIRECT("'"&amp;$D31&amp;"'!$P$7:$P$500"),"?*"),0))</f>
        <v/>
      </c>
      <c r="AF31" s="92" t="str">
        <f aca="true">IF($D31="","",IFERROR(COUNTIF(INDIRECT("'"&amp;$D31&amp;"'!$P$7:$P$500"),"Pass"),0))</f>
        <v/>
      </c>
      <c r="AG31" s="92" t="str">
        <f aca="true">IF($D31="","",IFERROR(COUNTIF(INDIRECT("'"&amp;$D31&amp;"'!$P$7:$P$500"),"Fail"),0))</f>
        <v/>
      </c>
      <c r="AH31" s="92" t="str">
        <f aca="true">IF($D31="","",IFERROR(COUNTIF(INDIRECT("'"&amp;$D31&amp;"'!$P$7:$P$500"),"Block"),0))</f>
        <v/>
      </c>
      <c r="AI31" s="92" t="str">
        <f aca="true">IF($D31="","",IFERROR(COUNTIF(INDIRECT("'"&amp;$D31&amp;"'!$P$7:$P$500"),"N/A"),0))</f>
        <v/>
      </c>
      <c r="AJ31" s="92" t="str">
        <f aca="true">IF($D31="","",IFERROR(COUNTIF(INDIRECT("'"&amp;$D31&amp;"'!$V$7:$V$500"),"?*"),0))</f>
        <v/>
      </c>
      <c r="AK31" s="92" t="str">
        <f aca="true">IF($D31="","",IFERROR(COUNTIF(INDIRECT("'"&amp;$D31&amp;"'!$V$7:$V$500"),"Pass"),0))</f>
        <v/>
      </c>
      <c r="AL31" s="92" t="str">
        <f aca="true">IF($D31="","",IFERROR(COUNTIF(INDIRECT("'"&amp;$D31&amp;"'!$V$7:$V$500"),"Fail"),0))</f>
        <v/>
      </c>
      <c r="AM31" s="92" t="str">
        <f aca="true">IF($D31="","",IFERROR(COUNTIF(INDIRECT("'"&amp;$D31&amp;"'!$V$7:$V$500"),"Block"),0))</f>
        <v/>
      </c>
      <c r="AN31" s="92" t="str">
        <f aca="true">IF($D31="","",IFERROR(COUNTIF(INDIRECT("'"&amp;$D31&amp;"'!$V$7:$V$500"),"N/A"),0))</f>
        <v/>
      </c>
      <c r="AO31" s="92" t="str">
        <f aca="true">IF($D31="","",IFERROR(COUNTIF(INDIRECT("'"&amp;$D31&amp;"'!$AB$7:$AB$500"),"?*"),0))</f>
        <v/>
      </c>
      <c r="AP31" s="92" t="str">
        <f aca="true">IF($D31="","",IFERROR(COUNTIF(INDIRECT("'"&amp;$D31&amp;"'!$AB$7:$AB$500"),"Pass"),0))</f>
        <v/>
      </c>
      <c r="AQ31" s="92" t="str">
        <f aca="true">IF($D31="","",IFERROR(COUNTIF(INDIRECT("'"&amp;$D31&amp;"'!$AB$7:$AB$500"),"Fail"),0))</f>
        <v/>
      </c>
      <c r="AR31" s="92" t="str">
        <f aca="true">IF($D31="","",IFERROR(COUNTIF(INDIRECT("'"&amp;$D31&amp;"'!$AB$7:$AB$500"),"Block"),0))</f>
        <v/>
      </c>
      <c r="AS31" s="92" t="str">
        <f aca="true">IF($D31="","",IFERROR(COUNTIF(INDIRECT("'"&amp;$D31&amp;"'!$AB$7:$AB$500"),"N/A"),0))</f>
        <v/>
      </c>
      <c r="AT31" s="92" t="str">
        <f aca="true">IF($D31="","",IFERROR(COUNTIF(INDIRECT("'"&amp;$D31&amp;"'!$AH$7:$AH$500"),"?*"),0))</f>
        <v/>
      </c>
      <c r="AU31" s="92" t="str">
        <f aca="true">IF($D31="","",IFERROR(COUNTIF(INDIRECT("'"&amp;$D31&amp;"'!$AH$7:$AH$500"),"Pass"),0))</f>
        <v/>
      </c>
      <c r="AV31" s="92" t="str">
        <f aca="true">IF($D31="","",IFERROR(COUNTIF(INDIRECT("'"&amp;$D31&amp;"'!$AH$7:$AH$500"),"Fail"),0))</f>
        <v/>
      </c>
      <c r="AW31" s="92" t="str">
        <f aca="true">IF($D31="","",IFERROR(COUNTIF(INDIRECT("'"&amp;$D31&amp;"'!$AH$7:$AH$500"),"Block"),0))</f>
        <v/>
      </c>
      <c r="AX31" s="92" t="str">
        <f aca="true">IF($D31="","",IFERROR(COUNTIF(INDIRECT("'"&amp;$D31&amp;"'!$AH$7:$AH$500"),"N/A"),0))</f>
        <v/>
      </c>
      <c r="AY31" s="92" t="str">
        <f aca="true">IF($D31="","",IFERROR(COUNTIF(INDIRECT("'"&amp;$D31&amp;"'!$AN$7:$AN$500"),"?*"),0))</f>
        <v/>
      </c>
      <c r="AZ31" s="92" t="str">
        <f aca="true">IF($D31="","",IFERROR(COUNTIF(INDIRECT("'"&amp;$D31&amp;"'!$AN$7:$AN$500"),"Pass"),0))</f>
        <v/>
      </c>
      <c r="BA31" s="92" t="str">
        <f aca="true">IF($D31="","",IFERROR(COUNTIF(INDIRECT("'"&amp;$D31&amp;"'!$AN$7:$AN$500"),"Fail"),0))</f>
        <v/>
      </c>
      <c r="BB31" s="92" t="str">
        <f aca="true">IF($D31="","",IFERROR(COUNTIF(INDIRECT("'"&amp;$D31&amp;"'!$AN$7:$AN$500"),"Block"),0))</f>
        <v/>
      </c>
      <c r="BC31" s="1" t="str">
        <f aca="true">IF($D31="","",IFERROR(COUNTIF(INDIRECT("'"&amp;$D31&amp;"'!$AN$7:$AN$500"),"N/A"),0))</f>
        <v/>
      </c>
    </row>
    <row r="32" customFormat="false" ht="15.75" hidden="false" customHeight="true" outlineLevel="0" collapsed="false">
      <c r="B32" s="87" t="str">
        <f aca="false">IF($D32="","",ROW()-3)</f>
        <v/>
      </c>
      <c r="C32" s="88"/>
      <c r="D32" s="88"/>
      <c r="E32" s="89"/>
      <c r="F32" s="87" t="str">
        <f aca="true">IF($D32="","",IFERROR(COUNTIF(INDIRECT("'"&amp;$D32&amp;"'!$A$7:$A$500"),"?*"),0))</f>
        <v/>
      </c>
      <c r="G32" s="87" t="str">
        <f aca="true">IF($D32="","",IFERROR(COUNTIF(INDIRECT("'"&amp;$D32&amp;"'!$AT$7:$AT$500"),"Pass"),0))</f>
        <v/>
      </c>
      <c r="H32" s="87" t="str">
        <f aca="true">IF($D32="","",IFERROR(COUNTIF(INDIRECT("'"&amp;$D32&amp;"'!$AT$7:$AT$500"),"Fail"),0))</f>
        <v/>
      </c>
      <c r="I32" s="87" t="str">
        <f aca="true">IF($D32="","",IFERROR(COUNTIF(INDIRECT("'"&amp;$D32&amp;"'!$AT$7:$AT$500"),"Block"),0))</f>
        <v/>
      </c>
      <c r="J32" s="87" t="str">
        <f aca="true">IF($D32="","",IFERROR(COUNTIF(INDIRECT("'"&amp;$D32&amp;"'!$AT$7:$AT$500"),"N/A"),0))</f>
        <v/>
      </c>
      <c r="K32" s="87" t="str">
        <f aca="false">IF($D32="","",MAX(0,$F32-$G32-$H32-$I32-$J32))</f>
        <v/>
      </c>
      <c r="L32" s="87" t="str">
        <f aca="false">IF($D32="","",$G32+$H32+$I32+$J32)</f>
        <v/>
      </c>
      <c r="M32" s="90" t="str">
        <f aca="false">IF($D32="","",IFERROR($L32/$F32,0))</f>
        <v/>
      </c>
      <c r="N32" s="90" t="str">
        <f aca="false">IF($D32="","",IFERROR($G32/$L32,0))</f>
        <v/>
      </c>
      <c r="O32" s="87" t="str">
        <f aca="true">IF($D32="","",IFERROR(COUNTIF(INDIRECT("'"&amp;$D32&amp;"'!$E$7:$E$500"),"High"),0))</f>
        <v/>
      </c>
      <c r="P32" s="87" t="str">
        <f aca="true">IF($D32="","",IFERROR(COUNTIF(INDIRECT("'"&amp;$D32&amp;"'!$E$7:$E$500"),"Medium"),0))</f>
        <v/>
      </c>
      <c r="Q32" s="87" t="str">
        <f aca="true">IF($D32="","",IFERROR(COUNTIF(INDIRECT("'"&amp;$D32&amp;"'!$E$7:$E$500"),"Low"),0))</f>
        <v/>
      </c>
      <c r="R32" s="87" t="str">
        <f aca="true">IF($D32="","",IFERROR(COUNTIF(INDIRECT("'"&amp;$D32&amp;"'!$D$7:$D$500"),"Functional"),0))</f>
        <v/>
      </c>
      <c r="S32" s="87" t="str">
        <f aca="true">IF($D32="","",IFERROR(COUNTIF(INDIRECT("'"&amp;$D32&amp;"'!$D$7:$D$500"),"UI"),0))</f>
        <v/>
      </c>
      <c r="T32" s="87" t="str">
        <f aca="true">IF($D32="","",IFERROR(COUNTIF(INDIRECT("'"&amp;$D32&amp;"'!$D$7:$D$500"),"Integration"),0))</f>
        <v/>
      </c>
      <c r="U32" s="87" t="str">
        <f aca="true">IF($D32="","",IFERROR(COUNTIF(INDIRECT("'"&amp;$D32&amp;"'!$D$7:$D$500"),"Database Test Case"),0))</f>
        <v/>
      </c>
      <c r="V32" s="87" t="str">
        <f aca="true">IF($D32="","",IFERROR(COUNTIF(INDIRECT("'"&amp;$D32&amp;"'!$J$7:$J$500"),"AI"),0))</f>
        <v/>
      </c>
      <c r="W32" s="87" t="str">
        <f aca="true">IF($D32="","",IFERROR(COUNTIF(INDIRECT("'"&amp;$D32&amp;"'!$J$7:$J$500"),"QC"),0))</f>
        <v/>
      </c>
      <c r="X32" s="87" t="str">
        <f aca="true">IF($D32="","",IFERROR(COUNTIF(INDIRECT("'"&amp;$D32&amp;"'!$L$7:$L$500"),"Yes"),0))</f>
        <v/>
      </c>
      <c r="Y32" s="87" t="str">
        <f aca="true">IF($D32="","",IFERROR(COUNTIF(INDIRECT("'"&amp;$D32&amp;"'!$AR$7:$AR$500"),"Yes"),0))</f>
        <v/>
      </c>
      <c r="Z32" s="87" t="str">
        <f aca="true">IF($D32="","",IFERROR(COUNTIF(INDIRECT("'"&amp;$D32&amp;"'!$AS$7:$AS$500"),"Pass"),0))</f>
        <v/>
      </c>
      <c r="AA32" s="87" t="str">
        <f aca="true">IF($D32="","",IFERROR(COUNTIF(INDIRECT("'"&amp;$D32&amp;"'!$K$7:$K$500"),"Reviewed"),0))</f>
        <v/>
      </c>
      <c r="AB32" s="91" t="str">
        <f aca="true">IF($D32="","",IFERROR(COUNTIFS(INDIRECT("'"&amp;$D32&amp;"'!$E$7:$E$500"),"High",INDIRECT("'"&amp;$D32&amp;"'!$AT$7:$AT$500"),"?*"),0))</f>
        <v/>
      </c>
      <c r="AC32" s="91" t="str">
        <f aca="true">IF($D32="","",IFERROR(COUNTIFS(INDIRECT("'"&amp;$D32&amp;"'!$E$7:$E$500"),"Medium",INDIRECT("'"&amp;$D32&amp;"'!$AT$7:$AT$500"),"?*"),0))</f>
        <v/>
      </c>
      <c r="AD32" s="91" t="str">
        <f aca="true">IF($D32="","",IFERROR(COUNTIFS(INDIRECT("'"&amp;$D32&amp;"'!$E$7:$E$500"),"Low",INDIRECT("'"&amp;$D32&amp;"'!$AT$7:$AT$500"),"?*"),0))</f>
        <v/>
      </c>
      <c r="AE32" s="92" t="str">
        <f aca="true">IF($D32="","",IFERROR(COUNTIF(INDIRECT("'"&amp;$D32&amp;"'!$P$7:$P$500"),"?*"),0))</f>
        <v/>
      </c>
      <c r="AF32" s="92" t="str">
        <f aca="true">IF($D32="","",IFERROR(COUNTIF(INDIRECT("'"&amp;$D32&amp;"'!$P$7:$P$500"),"Pass"),0))</f>
        <v/>
      </c>
      <c r="AG32" s="92" t="str">
        <f aca="true">IF($D32="","",IFERROR(COUNTIF(INDIRECT("'"&amp;$D32&amp;"'!$P$7:$P$500"),"Fail"),0))</f>
        <v/>
      </c>
      <c r="AH32" s="92" t="str">
        <f aca="true">IF($D32="","",IFERROR(COUNTIF(INDIRECT("'"&amp;$D32&amp;"'!$P$7:$P$500"),"Block"),0))</f>
        <v/>
      </c>
      <c r="AI32" s="92" t="str">
        <f aca="true">IF($D32="","",IFERROR(COUNTIF(INDIRECT("'"&amp;$D32&amp;"'!$P$7:$P$500"),"N/A"),0))</f>
        <v/>
      </c>
      <c r="AJ32" s="92" t="str">
        <f aca="true">IF($D32="","",IFERROR(COUNTIF(INDIRECT("'"&amp;$D32&amp;"'!$V$7:$V$500"),"?*"),0))</f>
        <v/>
      </c>
      <c r="AK32" s="92" t="str">
        <f aca="true">IF($D32="","",IFERROR(COUNTIF(INDIRECT("'"&amp;$D32&amp;"'!$V$7:$V$500"),"Pass"),0))</f>
        <v/>
      </c>
      <c r="AL32" s="92" t="str">
        <f aca="true">IF($D32="","",IFERROR(COUNTIF(INDIRECT("'"&amp;$D32&amp;"'!$V$7:$V$500"),"Fail"),0))</f>
        <v/>
      </c>
      <c r="AM32" s="92" t="str">
        <f aca="true">IF($D32="","",IFERROR(COUNTIF(INDIRECT("'"&amp;$D32&amp;"'!$V$7:$V$500"),"Block"),0))</f>
        <v/>
      </c>
      <c r="AN32" s="92" t="str">
        <f aca="true">IF($D32="","",IFERROR(COUNTIF(INDIRECT("'"&amp;$D32&amp;"'!$V$7:$V$500"),"N/A"),0))</f>
        <v/>
      </c>
      <c r="AO32" s="92" t="str">
        <f aca="true">IF($D32="","",IFERROR(COUNTIF(INDIRECT("'"&amp;$D32&amp;"'!$AB$7:$AB$500"),"?*"),0))</f>
        <v/>
      </c>
      <c r="AP32" s="92" t="str">
        <f aca="true">IF($D32="","",IFERROR(COUNTIF(INDIRECT("'"&amp;$D32&amp;"'!$AB$7:$AB$500"),"Pass"),0))</f>
        <v/>
      </c>
      <c r="AQ32" s="92" t="str">
        <f aca="true">IF($D32="","",IFERROR(COUNTIF(INDIRECT("'"&amp;$D32&amp;"'!$AB$7:$AB$500"),"Fail"),0))</f>
        <v/>
      </c>
      <c r="AR32" s="92" t="str">
        <f aca="true">IF($D32="","",IFERROR(COUNTIF(INDIRECT("'"&amp;$D32&amp;"'!$AB$7:$AB$500"),"Block"),0))</f>
        <v/>
      </c>
      <c r="AS32" s="92" t="str">
        <f aca="true">IF($D32="","",IFERROR(COUNTIF(INDIRECT("'"&amp;$D32&amp;"'!$AB$7:$AB$500"),"N/A"),0))</f>
        <v/>
      </c>
      <c r="AT32" s="92" t="str">
        <f aca="true">IF($D32="","",IFERROR(COUNTIF(INDIRECT("'"&amp;$D32&amp;"'!$AH$7:$AH$500"),"?*"),0))</f>
        <v/>
      </c>
      <c r="AU32" s="92" t="str">
        <f aca="true">IF($D32="","",IFERROR(COUNTIF(INDIRECT("'"&amp;$D32&amp;"'!$AH$7:$AH$500"),"Pass"),0))</f>
        <v/>
      </c>
      <c r="AV32" s="92" t="str">
        <f aca="true">IF($D32="","",IFERROR(COUNTIF(INDIRECT("'"&amp;$D32&amp;"'!$AH$7:$AH$500"),"Fail"),0))</f>
        <v/>
      </c>
      <c r="AW32" s="92" t="str">
        <f aca="true">IF($D32="","",IFERROR(COUNTIF(INDIRECT("'"&amp;$D32&amp;"'!$AH$7:$AH$500"),"Block"),0))</f>
        <v/>
      </c>
      <c r="AX32" s="92" t="str">
        <f aca="true">IF($D32="","",IFERROR(COUNTIF(INDIRECT("'"&amp;$D32&amp;"'!$AH$7:$AH$500"),"N/A"),0))</f>
        <v/>
      </c>
      <c r="AY32" s="92" t="str">
        <f aca="true">IF($D32="","",IFERROR(COUNTIF(INDIRECT("'"&amp;$D32&amp;"'!$AN$7:$AN$500"),"?*"),0))</f>
        <v/>
      </c>
      <c r="AZ32" s="92" t="str">
        <f aca="true">IF($D32="","",IFERROR(COUNTIF(INDIRECT("'"&amp;$D32&amp;"'!$AN$7:$AN$500"),"Pass"),0))</f>
        <v/>
      </c>
      <c r="BA32" s="92" t="str">
        <f aca="true">IF($D32="","",IFERROR(COUNTIF(INDIRECT("'"&amp;$D32&amp;"'!$AN$7:$AN$500"),"Fail"),0))</f>
        <v/>
      </c>
      <c r="BB32" s="92" t="str">
        <f aca="true">IF($D32="","",IFERROR(COUNTIF(INDIRECT("'"&amp;$D32&amp;"'!$AN$7:$AN$500"),"Block"),0))</f>
        <v/>
      </c>
      <c r="BC32" s="1" t="str">
        <f aca="true">IF($D32="","",IFERROR(COUNTIF(INDIRECT("'"&amp;$D32&amp;"'!$AN$7:$AN$500"),"N/A"),0))</f>
        <v/>
      </c>
    </row>
    <row r="33" customFormat="false" ht="15.75" hidden="false" customHeight="true" outlineLevel="0" collapsed="false">
      <c r="B33" s="87" t="str">
        <f aca="false">IF($D33="","",ROW()-3)</f>
        <v/>
      </c>
      <c r="C33" s="88"/>
      <c r="D33" s="88"/>
      <c r="E33" s="89"/>
      <c r="F33" s="87" t="str">
        <f aca="true">IF($D33="","",IFERROR(COUNTIF(INDIRECT("'"&amp;$D33&amp;"'!$A$7:$A$500"),"?*"),0))</f>
        <v/>
      </c>
      <c r="G33" s="87" t="str">
        <f aca="true">IF($D33="","",IFERROR(COUNTIF(INDIRECT("'"&amp;$D33&amp;"'!$AT$7:$AT$500"),"Pass"),0))</f>
        <v/>
      </c>
      <c r="H33" s="87" t="str">
        <f aca="true">IF($D33="","",IFERROR(COUNTIF(INDIRECT("'"&amp;$D33&amp;"'!$AT$7:$AT$500"),"Fail"),0))</f>
        <v/>
      </c>
      <c r="I33" s="87" t="str">
        <f aca="true">IF($D33="","",IFERROR(COUNTIF(INDIRECT("'"&amp;$D33&amp;"'!$AT$7:$AT$500"),"Block"),0))</f>
        <v/>
      </c>
      <c r="J33" s="87" t="str">
        <f aca="true">IF($D33="","",IFERROR(COUNTIF(INDIRECT("'"&amp;$D33&amp;"'!$AT$7:$AT$500"),"N/A"),0))</f>
        <v/>
      </c>
      <c r="K33" s="87" t="str">
        <f aca="false">IF($D33="","",MAX(0,$F33-$G33-$H33-$I33-$J33))</f>
        <v/>
      </c>
      <c r="L33" s="87" t="str">
        <f aca="false">IF($D33="","",$G33+$H33+$I33+$J33)</f>
        <v/>
      </c>
      <c r="M33" s="90" t="str">
        <f aca="false">IF($D33="","",IFERROR($L33/$F33,0))</f>
        <v/>
      </c>
      <c r="N33" s="90" t="str">
        <f aca="false">IF($D33="","",IFERROR($G33/$L33,0))</f>
        <v/>
      </c>
      <c r="O33" s="87" t="str">
        <f aca="true">IF($D33="","",IFERROR(COUNTIF(INDIRECT("'"&amp;$D33&amp;"'!$E$7:$E$500"),"High"),0))</f>
        <v/>
      </c>
      <c r="P33" s="87" t="str">
        <f aca="true">IF($D33="","",IFERROR(COUNTIF(INDIRECT("'"&amp;$D33&amp;"'!$E$7:$E$500"),"Medium"),0))</f>
        <v/>
      </c>
      <c r="Q33" s="87" t="str">
        <f aca="true">IF($D33="","",IFERROR(COUNTIF(INDIRECT("'"&amp;$D33&amp;"'!$E$7:$E$500"),"Low"),0))</f>
        <v/>
      </c>
      <c r="R33" s="87" t="str">
        <f aca="true">IF($D33="","",IFERROR(COUNTIF(INDIRECT("'"&amp;$D33&amp;"'!$D$7:$D$500"),"Functional"),0))</f>
        <v/>
      </c>
      <c r="S33" s="87" t="str">
        <f aca="true">IF($D33="","",IFERROR(COUNTIF(INDIRECT("'"&amp;$D33&amp;"'!$D$7:$D$500"),"UI"),0))</f>
        <v/>
      </c>
      <c r="T33" s="87" t="str">
        <f aca="true">IF($D33="","",IFERROR(COUNTIF(INDIRECT("'"&amp;$D33&amp;"'!$D$7:$D$500"),"Integration"),0))</f>
        <v/>
      </c>
      <c r="U33" s="87" t="str">
        <f aca="true">IF($D33="","",IFERROR(COUNTIF(INDIRECT("'"&amp;$D33&amp;"'!$D$7:$D$500"),"Database Test Case"),0))</f>
        <v/>
      </c>
      <c r="V33" s="87" t="str">
        <f aca="true">IF($D33="","",IFERROR(COUNTIF(INDIRECT("'"&amp;$D33&amp;"'!$J$7:$J$500"),"AI"),0))</f>
        <v/>
      </c>
      <c r="W33" s="87" t="str">
        <f aca="true">IF($D33="","",IFERROR(COUNTIF(INDIRECT("'"&amp;$D33&amp;"'!$J$7:$J$500"),"QC"),0))</f>
        <v/>
      </c>
      <c r="X33" s="87" t="str">
        <f aca="true">IF($D33="","",IFERROR(COUNTIF(INDIRECT("'"&amp;$D33&amp;"'!$L$7:$L$500"),"Yes"),0))</f>
        <v/>
      </c>
      <c r="Y33" s="87" t="str">
        <f aca="true">IF($D33="","",IFERROR(COUNTIF(INDIRECT("'"&amp;$D33&amp;"'!$AR$7:$AR$500"),"Yes"),0))</f>
        <v/>
      </c>
      <c r="Z33" s="87" t="str">
        <f aca="true">IF($D33="","",IFERROR(COUNTIF(INDIRECT("'"&amp;$D33&amp;"'!$AS$7:$AS$500"),"Pass"),0))</f>
        <v/>
      </c>
      <c r="AA33" s="87" t="str">
        <f aca="true">IF($D33="","",IFERROR(COUNTIF(INDIRECT("'"&amp;$D33&amp;"'!$K$7:$K$500"),"Reviewed"),0))</f>
        <v/>
      </c>
      <c r="AB33" s="91" t="str">
        <f aca="true">IF($D33="","",IFERROR(COUNTIFS(INDIRECT("'"&amp;$D33&amp;"'!$E$7:$E$500"),"High",INDIRECT("'"&amp;$D33&amp;"'!$AT$7:$AT$500"),"?*"),0))</f>
        <v/>
      </c>
      <c r="AC33" s="91" t="str">
        <f aca="true">IF($D33="","",IFERROR(COUNTIFS(INDIRECT("'"&amp;$D33&amp;"'!$E$7:$E$500"),"Medium",INDIRECT("'"&amp;$D33&amp;"'!$AT$7:$AT$500"),"?*"),0))</f>
        <v/>
      </c>
      <c r="AD33" s="91" t="str">
        <f aca="true">IF($D33="","",IFERROR(COUNTIFS(INDIRECT("'"&amp;$D33&amp;"'!$E$7:$E$500"),"Low",INDIRECT("'"&amp;$D33&amp;"'!$AT$7:$AT$500"),"?*"),0))</f>
        <v/>
      </c>
      <c r="AE33" s="92" t="str">
        <f aca="true">IF($D33="","",IFERROR(COUNTIF(INDIRECT("'"&amp;$D33&amp;"'!$P$7:$P$500"),"?*"),0))</f>
        <v/>
      </c>
      <c r="AF33" s="92" t="str">
        <f aca="true">IF($D33="","",IFERROR(COUNTIF(INDIRECT("'"&amp;$D33&amp;"'!$P$7:$P$500"),"Pass"),0))</f>
        <v/>
      </c>
      <c r="AG33" s="92" t="str">
        <f aca="true">IF($D33="","",IFERROR(COUNTIF(INDIRECT("'"&amp;$D33&amp;"'!$P$7:$P$500"),"Fail"),0))</f>
        <v/>
      </c>
      <c r="AH33" s="92" t="str">
        <f aca="true">IF($D33="","",IFERROR(COUNTIF(INDIRECT("'"&amp;$D33&amp;"'!$P$7:$P$500"),"Block"),0))</f>
        <v/>
      </c>
      <c r="AI33" s="92" t="str">
        <f aca="true">IF($D33="","",IFERROR(COUNTIF(INDIRECT("'"&amp;$D33&amp;"'!$P$7:$P$500"),"N/A"),0))</f>
        <v/>
      </c>
      <c r="AJ33" s="92" t="str">
        <f aca="true">IF($D33="","",IFERROR(COUNTIF(INDIRECT("'"&amp;$D33&amp;"'!$V$7:$V$500"),"?*"),0))</f>
        <v/>
      </c>
      <c r="AK33" s="92" t="str">
        <f aca="true">IF($D33="","",IFERROR(COUNTIF(INDIRECT("'"&amp;$D33&amp;"'!$V$7:$V$500"),"Pass"),0))</f>
        <v/>
      </c>
      <c r="AL33" s="92" t="str">
        <f aca="true">IF($D33="","",IFERROR(COUNTIF(INDIRECT("'"&amp;$D33&amp;"'!$V$7:$V$500"),"Fail"),0))</f>
        <v/>
      </c>
      <c r="AM33" s="92" t="str">
        <f aca="true">IF($D33="","",IFERROR(COUNTIF(INDIRECT("'"&amp;$D33&amp;"'!$V$7:$V$500"),"Block"),0))</f>
        <v/>
      </c>
      <c r="AN33" s="92" t="str">
        <f aca="true">IF($D33="","",IFERROR(COUNTIF(INDIRECT("'"&amp;$D33&amp;"'!$V$7:$V$500"),"N/A"),0))</f>
        <v/>
      </c>
      <c r="AO33" s="92" t="str">
        <f aca="true">IF($D33="","",IFERROR(COUNTIF(INDIRECT("'"&amp;$D33&amp;"'!$AB$7:$AB$500"),"?*"),0))</f>
        <v/>
      </c>
      <c r="AP33" s="92" t="str">
        <f aca="true">IF($D33="","",IFERROR(COUNTIF(INDIRECT("'"&amp;$D33&amp;"'!$AB$7:$AB$500"),"Pass"),0))</f>
        <v/>
      </c>
      <c r="AQ33" s="92" t="str">
        <f aca="true">IF($D33="","",IFERROR(COUNTIF(INDIRECT("'"&amp;$D33&amp;"'!$AB$7:$AB$500"),"Fail"),0))</f>
        <v/>
      </c>
      <c r="AR33" s="92" t="str">
        <f aca="true">IF($D33="","",IFERROR(COUNTIF(INDIRECT("'"&amp;$D33&amp;"'!$AB$7:$AB$500"),"Block"),0))</f>
        <v/>
      </c>
      <c r="AS33" s="92" t="str">
        <f aca="true">IF($D33="","",IFERROR(COUNTIF(INDIRECT("'"&amp;$D33&amp;"'!$AB$7:$AB$500"),"N/A"),0))</f>
        <v/>
      </c>
      <c r="AT33" s="92" t="str">
        <f aca="true">IF($D33="","",IFERROR(COUNTIF(INDIRECT("'"&amp;$D33&amp;"'!$AH$7:$AH$500"),"?*"),0))</f>
        <v/>
      </c>
      <c r="AU33" s="92" t="str">
        <f aca="true">IF($D33="","",IFERROR(COUNTIF(INDIRECT("'"&amp;$D33&amp;"'!$AH$7:$AH$500"),"Pass"),0))</f>
        <v/>
      </c>
      <c r="AV33" s="92" t="str">
        <f aca="true">IF($D33="","",IFERROR(COUNTIF(INDIRECT("'"&amp;$D33&amp;"'!$AH$7:$AH$500"),"Fail"),0))</f>
        <v/>
      </c>
      <c r="AW33" s="92" t="str">
        <f aca="true">IF($D33="","",IFERROR(COUNTIF(INDIRECT("'"&amp;$D33&amp;"'!$AH$7:$AH$500"),"Block"),0))</f>
        <v/>
      </c>
      <c r="AX33" s="92" t="str">
        <f aca="true">IF($D33="","",IFERROR(COUNTIF(INDIRECT("'"&amp;$D33&amp;"'!$AH$7:$AH$500"),"N/A"),0))</f>
        <v/>
      </c>
      <c r="AY33" s="92" t="str">
        <f aca="true">IF($D33="","",IFERROR(COUNTIF(INDIRECT("'"&amp;$D33&amp;"'!$AN$7:$AN$500"),"?*"),0))</f>
        <v/>
      </c>
      <c r="AZ33" s="92" t="str">
        <f aca="true">IF($D33="","",IFERROR(COUNTIF(INDIRECT("'"&amp;$D33&amp;"'!$AN$7:$AN$500"),"Pass"),0))</f>
        <v/>
      </c>
      <c r="BA33" s="92" t="str">
        <f aca="true">IF($D33="","",IFERROR(COUNTIF(INDIRECT("'"&amp;$D33&amp;"'!$AN$7:$AN$500"),"Fail"),0))</f>
        <v/>
      </c>
      <c r="BB33" s="92" t="str">
        <f aca="true">IF($D33="","",IFERROR(COUNTIF(INDIRECT("'"&amp;$D33&amp;"'!$AN$7:$AN$500"),"Block"),0))</f>
        <v/>
      </c>
      <c r="BC33" s="1" t="str">
        <f aca="true">IF($D33="","",IFERROR(COUNTIF(INDIRECT("'"&amp;$D33&amp;"'!$AN$7:$AN$500"),"N/A"),0))</f>
        <v/>
      </c>
    </row>
    <row r="34" customFormat="false" ht="15.75" hidden="false" customHeight="true" outlineLevel="0" collapsed="false">
      <c r="B34" s="93" t="s">
        <v>217</v>
      </c>
      <c r="C34" s="93"/>
      <c r="D34" s="93" t="str">
        <f aca="false">COUNTIF($D$4:$D$33,"?*")&amp;" sheet"</f>
        <v>11 sheet</v>
      </c>
      <c r="E34" s="94"/>
      <c r="F34" s="93" t="n">
        <f aca="false">SUM(F4:F33)</f>
        <v>223</v>
      </c>
      <c r="G34" s="93" t="n">
        <f aca="false">SUM(G4:G33)</f>
        <v>10</v>
      </c>
      <c r="H34" s="93" t="n">
        <f aca="false">SUM(H4:H33)</f>
        <v>0</v>
      </c>
      <c r="I34" s="93" t="n">
        <f aca="false">SUM(I4:I33)</f>
        <v>0</v>
      </c>
      <c r="J34" s="93" t="n">
        <f aca="false">SUM(J4:J33)</f>
        <v>0</v>
      </c>
      <c r="K34" s="93" t="n">
        <f aca="false">SUM(K4:K33)</f>
        <v>213</v>
      </c>
      <c r="L34" s="93" t="n">
        <f aca="false">SUM(L4:L33)</f>
        <v>10</v>
      </c>
      <c r="M34" s="95" t="n">
        <f aca="false">IFERROR($L34/$F34,0)</f>
        <v>0.0448430493273543</v>
      </c>
      <c r="N34" s="95" t="n">
        <f aca="false">IFERROR($G34/$L34,0)</f>
        <v>1</v>
      </c>
      <c r="O34" s="93" t="n">
        <f aca="false">SUM(O4:O33)</f>
        <v>22</v>
      </c>
      <c r="P34" s="93" t="n">
        <f aca="false">SUM(P4:P33)</f>
        <v>145</v>
      </c>
      <c r="Q34" s="93" t="n">
        <f aca="false">SUM(Q4:Q33)</f>
        <v>56</v>
      </c>
      <c r="R34" s="93" t="n">
        <f aca="false">SUM(R4:R33)</f>
        <v>175</v>
      </c>
      <c r="S34" s="93" t="n">
        <f aca="false">SUM(S4:S33)</f>
        <v>48</v>
      </c>
      <c r="T34" s="93" t="n">
        <f aca="false">SUM(T4:T33)</f>
        <v>0</v>
      </c>
      <c r="U34" s="93" t="n">
        <f aca="false">SUM(U4:U33)</f>
        <v>0</v>
      </c>
      <c r="V34" s="93" t="n">
        <f aca="false">SUM(V4:V33)</f>
        <v>223</v>
      </c>
      <c r="W34" s="93" t="n">
        <f aca="false">SUM(W4:W33)</f>
        <v>0</v>
      </c>
      <c r="X34" s="93" t="n">
        <f aca="false">SUM(X4:X33)</f>
        <v>0</v>
      </c>
      <c r="Y34" s="93" t="n">
        <f aca="false">SUM(Y4:Y33)</f>
        <v>0</v>
      </c>
      <c r="Z34" s="93" t="n">
        <f aca="false">SUM(Z4:Z33)</f>
        <v>0</v>
      </c>
      <c r="AA34" s="93" t="n">
        <f aca="false">SUM(AA4:AA33)</f>
        <v>0</v>
      </c>
      <c r="AB34" s="96" t="n">
        <f aca="false">SUM(AB4:AB33)</f>
        <v>0</v>
      </c>
      <c r="AC34" s="96" t="n">
        <f aca="false">SUM(AC4:AC33)</f>
        <v>6</v>
      </c>
      <c r="AD34" s="96" t="n">
        <f aca="false">SUM(AD4:AD33)</f>
        <v>4</v>
      </c>
      <c r="AE34" s="97" t="n">
        <f aca="false">SUM(AE4:AE33)</f>
        <v>10</v>
      </c>
      <c r="AF34" s="97" t="n">
        <f aca="false">SUM(AF4:AF33)</f>
        <v>10</v>
      </c>
      <c r="AG34" s="97" t="n">
        <f aca="false">SUM(AG4:AG33)</f>
        <v>0</v>
      </c>
      <c r="AH34" s="97" t="n">
        <f aca="false">SUM(AH4:AH33)</f>
        <v>0</v>
      </c>
      <c r="AI34" s="97" t="n">
        <f aca="false">SUM(AI4:AI33)</f>
        <v>0</v>
      </c>
      <c r="AJ34" s="97" t="n">
        <f aca="false">SUM(AJ4:AJ33)</f>
        <v>0</v>
      </c>
      <c r="AK34" s="97" t="n">
        <f aca="false">SUM(AK4:AK33)</f>
        <v>0</v>
      </c>
      <c r="AL34" s="97" t="n">
        <f aca="false">SUM(AL4:AL33)</f>
        <v>0</v>
      </c>
      <c r="AM34" s="97" t="n">
        <f aca="false">SUM(AM4:AM33)</f>
        <v>0</v>
      </c>
      <c r="AN34" s="97" t="n">
        <f aca="false">SUM(AN4:AN33)</f>
        <v>0</v>
      </c>
      <c r="AO34" s="97" t="n">
        <f aca="false">SUM(AO4:AO33)</f>
        <v>0</v>
      </c>
      <c r="AP34" s="97" t="n">
        <f aca="false">SUM(AP4:AP33)</f>
        <v>0</v>
      </c>
      <c r="AQ34" s="97" t="n">
        <f aca="false">SUM(AQ4:AQ33)</f>
        <v>0</v>
      </c>
      <c r="AR34" s="97" t="n">
        <f aca="false">SUM(AR4:AR33)</f>
        <v>0</v>
      </c>
      <c r="AS34" s="97" t="n">
        <f aca="false">SUM(AS4:AS33)</f>
        <v>0</v>
      </c>
      <c r="AT34" s="97" t="n">
        <f aca="false">SUM(AT4:AT33)</f>
        <v>0</v>
      </c>
      <c r="AU34" s="97" t="n">
        <f aca="false">SUM(AU4:AU33)</f>
        <v>0</v>
      </c>
      <c r="AV34" s="97" t="n">
        <f aca="false">SUM(AV4:AV33)</f>
        <v>0</v>
      </c>
      <c r="AW34" s="97" t="n">
        <f aca="false">SUM(AW4:AW33)</f>
        <v>0</v>
      </c>
      <c r="AX34" s="97" t="n">
        <f aca="false">SUM(AX4:AX33)</f>
        <v>0</v>
      </c>
      <c r="AY34" s="97" t="n">
        <f aca="false">SUM(AY4:AY33)</f>
        <v>0</v>
      </c>
      <c r="AZ34" s="97" t="n">
        <f aca="false">SUM(AZ4:AZ33)</f>
        <v>0</v>
      </c>
      <c r="BA34" s="97" t="n">
        <f aca="false">SUM(BA4:BA33)</f>
        <v>0</v>
      </c>
      <c r="BB34" s="97" t="n">
        <f aca="false">SUM(BB4:BB33)</f>
        <v>0</v>
      </c>
      <c r="BC34" s="98" t="n">
        <f aca="false">SUM(BC4:BC33)</f>
        <v>0</v>
      </c>
    </row>
    <row r="35" customFormat="false" ht="15.75" hidden="false" customHeight="true" outlineLevel="0" collapsed="false"/>
    <row r="36" customFormat="false" ht="15" hidden="false" customHeight="true" outlineLevel="0" collapsed="false">
      <c r="B36" s="99" t="s">
        <v>218</v>
      </c>
      <c r="C36" s="99"/>
      <c r="D36" s="99"/>
      <c r="E36" s="99"/>
      <c r="F36" s="99"/>
      <c r="G36" s="99"/>
      <c r="H36" s="99"/>
      <c r="I36" s="99"/>
      <c r="J36" s="99"/>
      <c r="K36" s="99"/>
      <c r="L36" s="99"/>
      <c r="M36" s="99"/>
      <c r="N36" s="99"/>
    </row>
    <row r="37" customFormat="false" ht="15" hidden="false" customHeight="true" outlineLevel="0" collapsed="false">
      <c r="B37" s="100" t="s">
        <v>219</v>
      </c>
      <c r="C37" s="100"/>
      <c r="D37" s="100"/>
      <c r="E37" s="100"/>
      <c r="F37" s="100"/>
      <c r="G37" s="100"/>
      <c r="H37" s="100"/>
      <c r="I37" s="100"/>
      <c r="J37" s="100"/>
      <c r="K37" s="100"/>
      <c r="L37" s="100"/>
      <c r="M37" s="100"/>
      <c r="N37" s="100"/>
    </row>
    <row r="38" customFormat="false" ht="15" hidden="false" customHeight="true" outlineLevel="0" collapsed="false">
      <c r="B38" s="100" t="s">
        <v>220</v>
      </c>
      <c r="C38" s="100"/>
      <c r="D38" s="100"/>
      <c r="E38" s="100"/>
      <c r="F38" s="100"/>
      <c r="G38" s="100"/>
      <c r="H38" s="100"/>
      <c r="I38" s="100"/>
      <c r="J38" s="100"/>
      <c r="K38" s="100"/>
      <c r="L38" s="100"/>
      <c r="M38" s="100"/>
      <c r="N38" s="100"/>
    </row>
    <row r="39" customFormat="false" ht="15" hidden="false" customHeight="true" outlineLevel="0" collapsed="false">
      <c r="B39" s="100" t="s">
        <v>221</v>
      </c>
      <c r="C39" s="100"/>
      <c r="D39" s="100"/>
      <c r="E39" s="100"/>
      <c r="F39" s="100"/>
      <c r="G39" s="100"/>
      <c r="H39" s="100"/>
      <c r="I39" s="100"/>
      <c r="J39" s="100"/>
      <c r="K39" s="100"/>
      <c r="L39" s="100"/>
      <c r="M39" s="100"/>
      <c r="N39" s="100"/>
    </row>
    <row r="40" customFormat="false" ht="15" hidden="false" customHeight="true" outlineLevel="0" collapsed="false">
      <c r="B40" s="100" t="s">
        <v>222</v>
      </c>
      <c r="C40" s="100"/>
      <c r="D40" s="100"/>
      <c r="E40" s="100"/>
      <c r="F40" s="100"/>
      <c r="G40" s="100"/>
      <c r="H40" s="100"/>
      <c r="I40" s="100"/>
      <c r="J40" s="100"/>
      <c r="K40" s="100"/>
      <c r="L40" s="100"/>
      <c r="M40" s="100"/>
      <c r="N40" s="100"/>
    </row>
    <row r="41" customFormat="false" ht="15.75" hidden="false" customHeight="true" outlineLevel="0" collapsed="false">
      <c r="B41" s="100" t="s">
        <v>223</v>
      </c>
      <c r="C41" s="100"/>
      <c r="D41" s="100"/>
      <c r="E41" s="100"/>
      <c r="F41" s="100"/>
      <c r="G41" s="100"/>
      <c r="H41" s="100"/>
      <c r="I41" s="100"/>
      <c r="J41" s="100"/>
      <c r="K41" s="100"/>
      <c r="L41" s="100"/>
      <c r="M41" s="100"/>
      <c r="N41" s="100"/>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B1:AA1"/>
    <mergeCell ref="C2:E2"/>
    <mergeCell ref="F2:N2"/>
    <mergeCell ref="O2:Q2"/>
    <mergeCell ref="R2:U2"/>
    <mergeCell ref="V2:AA2"/>
    <mergeCell ref="AB2:AD2"/>
    <mergeCell ref="AE2:BC2"/>
    <mergeCell ref="B36:N36"/>
    <mergeCell ref="B37:N37"/>
    <mergeCell ref="B38:N38"/>
    <mergeCell ref="B39:N39"/>
    <mergeCell ref="B40:N40"/>
    <mergeCell ref="B41:N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1"/>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Q22" activeCellId="0" sqref="Q22"/>
    </sheetView>
  </sheetViews>
  <sheetFormatPr defaultColWidth="14.43359375" defaultRowHeight="15" customHeight="true" zeroHeight="false" outlineLevelRow="0" outlineLevelCol="0"/>
  <cols>
    <col collapsed="false" customWidth="true" hidden="false" outlineLevel="0" max="1" min="1" style="1" width="2.43"/>
    <col collapsed="false" customWidth="true" hidden="false" outlineLevel="0" max="2" min="2" style="1" width="14"/>
    <col collapsed="false" customWidth="true" hidden="false" outlineLevel="0" max="3" min="3" style="1" width="26"/>
    <col collapsed="false" customWidth="true" hidden="false" outlineLevel="0" max="9" min="4" style="1" width="13"/>
    <col collapsed="false" customWidth="true" hidden="false" outlineLevel="0" max="11" min="10" style="1" width="11"/>
    <col collapsed="false" customWidth="true" hidden="false" outlineLevel="0" max="12" min="12" style="1" width="34"/>
    <col collapsed="false" customWidth="true" hidden="false" outlineLevel="0" max="15" min="13" style="1" width="9"/>
  </cols>
  <sheetData>
    <row r="2" customFormat="false" ht="24.75" hidden="false" customHeight="true" outlineLevel="0" collapsed="false">
      <c r="B2" s="101" t="s">
        <v>224</v>
      </c>
      <c r="F2" s="102" t="s">
        <v>225</v>
      </c>
      <c r="G2" s="102"/>
      <c r="H2" s="102"/>
      <c r="I2" s="102"/>
      <c r="J2" s="102"/>
    </row>
    <row r="3" customFormat="false" ht="19.5" hidden="false" customHeight="true" outlineLevel="0" collapsed="false">
      <c r="B3" s="103" t="s">
        <v>94</v>
      </c>
      <c r="C3" s="38" t="str">
        <f aca="false">Summary!$C$6</f>
        <v>FoxEco</v>
      </c>
      <c r="D3" s="38"/>
      <c r="F3" s="104" t="s">
        <v>226</v>
      </c>
      <c r="G3" s="104"/>
      <c r="H3" s="104"/>
      <c r="I3" s="105" t="n">
        <f aca="false">I21</f>
        <v>0</v>
      </c>
      <c r="J3" s="105"/>
    </row>
    <row r="4" customFormat="false" ht="19.5" hidden="false" customHeight="true" outlineLevel="0" collapsed="false">
      <c r="B4" s="103" t="s">
        <v>82</v>
      </c>
      <c r="C4" s="38" t="str">
        <f aca="false">Summary!$C$8</f>
        <v>v1.1</v>
      </c>
      <c r="D4" s="38"/>
      <c r="F4" s="106" t="s">
        <v>227</v>
      </c>
      <c r="G4" s="106"/>
      <c r="H4" s="106"/>
      <c r="I4" s="105" t="n">
        <f aca="false">C102+C103</f>
        <v>0</v>
      </c>
      <c r="J4" s="105"/>
    </row>
    <row r="5" customFormat="false" ht="19.5" hidden="false" customHeight="true" outlineLevel="0" collapsed="false">
      <c r="B5" s="103" t="s">
        <v>97</v>
      </c>
      <c r="C5" s="38" t="n">
        <f aca="false">Summary!$C$9</f>
        <v>0</v>
      </c>
      <c r="D5" s="38"/>
      <c r="F5" s="107" t="s">
        <v>228</v>
      </c>
      <c r="G5" s="107"/>
      <c r="H5" s="107"/>
      <c r="I5" s="108" t="n">
        <f aca="false">IFERROR(((COUNTIFS('Bug Data'!$D:$D,"Done")+COUNTIFS('Bug Data'!$D:$D,"Closed")+COUNTIFS('Bug Data'!$D:$D,"Resolved"))+(COUNTIFS('Bug Data'!$D:$D,"Cancel")+COUNTIFS('Bug Data'!$D:$D,"Cancelled")+COUNTIFS('Bug Data'!$D:$D,"Canceled")))/COUNTIF('Bug Data'!$D$2:$D$250,"?*"),0)</f>
        <v>0</v>
      </c>
      <c r="J5" s="108"/>
    </row>
    <row r="6" customFormat="false" ht="19.5" hidden="false" customHeight="true" outlineLevel="0" collapsed="false">
      <c r="B6" s="103" t="s">
        <v>229</v>
      </c>
      <c r="C6" s="38" t="str">
        <f aca="false">TEXT(Summary!$C$10,"DD/MM/YYYY")&amp;"  →  "&amp;TEXT(Summary!$C$11,"DD/MM/YYYY")</f>
        <v>18/09/2026  →  25/09/2026</v>
      </c>
      <c r="D6" s="38"/>
      <c r="F6" s="109" t="s">
        <v>230</v>
      </c>
      <c r="G6" s="109"/>
      <c r="H6" s="109"/>
      <c r="I6" s="108" t="n">
        <f aca="false">IFERROR(Dashboard!$L$34/Dashboard!$F$34,0)</f>
        <v>0.0448430493273543</v>
      </c>
      <c r="J6" s="108"/>
    </row>
    <row r="7" customFormat="false" ht="19.5" hidden="false" customHeight="true" outlineLevel="0" collapsed="false">
      <c r="B7" s="110" t="s">
        <v>231</v>
      </c>
      <c r="C7" s="110"/>
      <c r="D7" s="110"/>
      <c r="F7" s="111" t="s">
        <v>232</v>
      </c>
      <c r="G7" s="111"/>
      <c r="H7" s="111"/>
      <c r="I7" s="108" t="n">
        <f aca="false">D205</f>
        <v>0</v>
      </c>
      <c r="J7" s="108"/>
    </row>
    <row r="8" customFormat="false" ht="19.5" hidden="false" customHeight="true" outlineLevel="0" collapsed="false">
      <c r="B8" s="110"/>
      <c r="C8" s="110"/>
      <c r="D8" s="110"/>
      <c r="F8" s="112" t="s">
        <v>233</v>
      </c>
      <c r="G8" s="112"/>
      <c r="H8" s="112"/>
      <c r="I8" s="108" t="n">
        <f aca="false">D209</f>
        <v>0</v>
      </c>
      <c r="J8" s="108"/>
    </row>
    <row r="9" customFormat="false" ht="19.5" hidden="false" customHeight="true" outlineLevel="0" collapsed="false">
      <c r="B9" s="110"/>
      <c r="C9" s="110"/>
      <c r="D9" s="110"/>
      <c r="F9" s="113" t="s">
        <v>234</v>
      </c>
      <c r="G9" s="113"/>
      <c r="H9" s="113"/>
      <c r="I9" s="108" t="n">
        <f aca="false">IFERROR(C85/C90,0)</f>
        <v>0.0448430493273543</v>
      </c>
      <c r="J9" s="108"/>
    </row>
    <row r="10" customFormat="false" ht="19.5" hidden="false" customHeight="true" outlineLevel="0" collapsed="false">
      <c r="F10" s="106" t="s">
        <v>235</v>
      </c>
      <c r="G10" s="106"/>
      <c r="H10" s="106"/>
      <c r="I10" s="105" t="n">
        <f aca="false">(COUNTIFS('Bug Data'!$D:$D,"?*",'Bug Data'!$L:$L,20)-(COUNTIFS('Bug Data'!$D:$D,"Done",'Bug Data'!$L:$L,20)+COUNTIFS('Bug Data'!$D:$D,"Closed",'Bug Data'!$L:$L,20)+COUNTIFS('Bug Data'!$D:$D,"Resolved",'Bug Data'!$L:$L,20))-(COUNTIFS('Bug Data'!$D:$D,"Cancel",'Bug Data'!$L:$L,20)+COUNTIFS('Bug Data'!$D:$D,"Cancelled",'Bug Data'!$L:$L,20)+COUNTIFS('Bug Data'!$D:$D,"Canceled",'Bug Data'!$L:$L,20)))+(COUNTIFS('Bug Data'!$D:$D,"?*",'Bug Data'!$L:$L,10)-(COUNTIFS('Bug Data'!$D:$D,"Done",'Bug Data'!$L:$L,10)+COUNTIFS('Bug Data'!$D:$D,"Closed",'Bug Data'!$L:$L,10)+COUNTIFS('Bug Data'!$D:$D,"Resolved",'Bug Data'!$L:$L,10))-(COUNTIFS('Bug Data'!$D:$D,"Cancel",'Bug Data'!$L:$L,10)+COUNTIFS('Bug Data'!$D:$D,"Cancelled",'Bug Data'!$L:$L,10)+COUNTIFS('Bug Data'!$D:$D,"Canceled",'Bug Data'!$L:$L,10)))</f>
        <v>0</v>
      </c>
      <c r="J10" s="105"/>
    </row>
    <row r="11" customFormat="false" ht="18.75" hidden="false" customHeight="true" outlineLevel="0" collapsed="false">
      <c r="B11" s="101" t="s">
        <v>236</v>
      </c>
      <c r="F11" s="114" t="s">
        <v>237</v>
      </c>
      <c r="G11" s="114"/>
      <c r="H11" s="114"/>
      <c r="I11" s="114"/>
      <c r="J11" s="114"/>
    </row>
    <row r="13" customFormat="false" ht="17.25" hidden="false" customHeight="true" outlineLevel="0" collapsed="false">
      <c r="B13" s="115" t="s">
        <v>238</v>
      </c>
      <c r="C13" s="115"/>
      <c r="D13" s="115"/>
      <c r="E13" s="115"/>
      <c r="F13" s="115"/>
      <c r="G13" s="115"/>
      <c r="H13" s="115"/>
      <c r="I13" s="115"/>
    </row>
    <row r="15" customFormat="false" ht="15.75" hidden="false" customHeight="true" outlineLevel="0" collapsed="false">
      <c r="B15" s="116" t="s">
        <v>239</v>
      </c>
    </row>
    <row r="16" customFormat="false" ht="15" hidden="false" customHeight="true" outlineLevel="0" collapsed="false">
      <c r="B16" s="117" t="s">
        <v>240</v>
      </c>
      <c r="C16" s="117"/>
      <c r="D16" s="117"/>
      <c r="E16" s="117"/>
      <c r="F16" s="117"/>
      <c r="G16" s="117"/>
      <c r="H16" s="117"/>
      <c r="I16" s="117"/>
    </row>
    <row r="17" customFormat="false" ht="15" hidden="false" customHeight="true" outlineLevel="0" collapsed="false">
      <c r="B17" s="118" t="s">
        <v>241</v>
      </c>
      <c r="C17" s="118" t="s">
        <v>242</v>
      </c>
      <c r="D17" s="118" t="s">
        <v>243</v>
      </c>
      <c r="E17" s="118" t="s">
        <v>244</v>
      </c>
      <c r="F17" s="118" t="s">
        <v>245</v>
      </c>
      <c r="G17" s="118" t="s">
        <v>246</v>
      </c>
      <c r="H17" s="118" t="s">
        <v>247</v>
      </c>
      <c r="I17" s="118" t="s">
        <v>248</v>
      </c>
    </row>
    <row r="18" customFormat="false" ht="15" hidden="false" customHeight="true" outlineLevel="0" collapsed="false">
      <c r="B18" s="103" t="s">
        <v>249</v>
      </c>
      <c r="C18" s="119" t="n">
        <f aca="false">COUNTIFS('Bug Data'!$D:$D,"To Do",'Bug Data'!$N:$N,$B18)+COUNTIFS('Bug Data'!$D:$D,"Todo",'Bug Data'!$N:$N,$B18)</f>
        <v>0</v>
      </c>
      <c r="D18" s="119" t="n">
        <f aca="false">COUNTIFS('Bug Data'!$D:$D,"In Progress",'Bug Data'!$N:$N,$B18)</f>
        <v>0</v>
      </c>
      <c r="E18" s="119" t="n">
        <f aca="false">COUNTIFS('Bug Data'!$D:$D,"In Review",'Bug Data'!$N:$N,$B18)</f>
        <v>0</v>
      </c>
      <c r="F18" s="119" t="n">
        <f aca="false">COUNTIFS('Bug Data'!$D:$D,"Pending",'Bug Data'!$N:$N,$B18)</f>
        <v>0</v>
      </c>
      <c r="G18" s="119" t="n">
        <f aca="false">COUNTIFS('Bug Data'!$D:$D,"Cancel",'Bug Data'!$N:$N,$B18)+COUNTIFS('Bug Data'!$D:$D,"Cancelled",'Bug Data'!$N:$N,$B18)+COUNTIFS('Bug Data'!$D:$D,"Canceled",'Bug Data'!$N:$N,$B18)</f>
        <v>0</v>
      </c>
      <c r="H18" s="119" t="n">
        <f aca="false">COUNTIFS('Bug Data'!$D:$D,"Done",'Bug Data'!$N:$N,$B18)+COUNTIFS('Bug Data'!$D:$D,"Closed",'Bug Data'!$N:$N,$B18)+COUNTIFS('Bug Data'!$D:$D,"Resolved",'Bug Data'!$N:$N,$B18)</f>
        <v>0</v>
      </c>
      <c r="I18" s="120" t="n">
        <f aca="false">SUM(C18:H18)</f>
        <v>0</v>
      </c>
    </row>
    <row r="19" customFormat="false" ht="15" hidden="false" customHeight="true" outlineLevel="0" collapsed="false">
      <c r="B19" s="103" t="s">
        <v>133</v>
      </c>
      <c r="C19" s="119" t="n">
        <f aca="false">COUNTIFS('Bug Data'!$D:$D,"To Do",'Bug Data'!$N:$N,$B19)+COUNTIFS('Bug Data'!$D:$D,"Todo",'Bug Data'!$N:$N,$B19)</f>
        <v>0</v>
      </c>
      <c r="D19" s="119" t="n">
        <f aca="false">COUNTIFS('Bug Data'!$D:$D,"In Progress",'Bug Data'!$N:$N,$B19)</f>
        <v>0</v>
      </c>
      <c r="E19" s="119" t="n">
        <f aca="false">COUNTIFS('Bug Data'!$D:$D,"In Review",'Bug Data'!$N:$N,$B19)</f>
        <v>0</v>
      </c>
      <c r="F19" s="119" t="n">
        <f aca="false">COUNTIFS('Bug Data'!$D:$D,"Pending",'Bug Data'!$N:$N,$B19)</f>
        <v>0</v>
      </c>
      <c r="G19" s="119" t="n">
        <f aca="false">COUNTIFS('Bug Data'!$D:$D,"Cancel",'Bug Data'!$N:$N,$B19)+COUNTIFS('Bug Data'!$D:$D,"Cancelled",'Bug Data'!$N:$N,$B19)+COUNTIFS('Bug Data'!$D:$D,"Canceled",'Bug Data'!$N:$N,$B19)</f>
        <v>0</v>
      </c>
      <c r="H19" s="119" t="n">
        <f aca="false">COUNTIFS('Bug Data'!$D:$D,"Done",'Bug Data'!$N:$N,$B19)+COUNTIFS('Bug Data'!$D:$D,"Closed",'Bug Data'!$N:$N,$B19)+COUNTIFS('Bug Data'!$D:$D,"Resolved",'Bug Data'!$N:$N,$B19)</f>
        <v>0</v>
      </c>
      <c r="I19" s="120" t="n">
        <f aca="false">SUM(C19:H19)</f>
        <v>0</v>
      </c>
    </row>
    <row r="20" customFormat="false" ht="15" hidden="false" customHeight="true" outlineLevel="0" collapsed="false">
      <c r="B20" s="103" t="s">
        <v>250</v>
      </c>
      <c r="C20" s="119" t="n">
        <f aca="false">COUNTIFS('Bug Data'!$D:$D,"To Do",'Bug Data'!$N:$N,$B20)+COUNTIFS('Bug Data'!$D:$D,"Todo",'Bug Data'!$N:$N,$B20)</f>
        <v>0</v>
      </c>
      <c r="D20" s="119" t="n">
        <f aca="false">COUNTIFS('Bug Data'!$D:$D,"In Progress",'Bug Data'!$N:$N,$B20)</f>
        <v>0</v>
      </c>
      <c r="E20" s="119" t="n">
        <f aca="false">COUNTIFS('Bug Data'!$D:$D,"In Review",'Bug Data'!$N:$N,$B20)</f>
        <v>0</v>
      </c>
      <c r="F20" s="119" t="n">
        <f aca="false">COUNTIFS('Bug Data'!$D:$D,"Pending",'Bug Data'!$N:$N,$B20)</f>
        <v>0</v>
      </c>
      <c r="G20" s="119" t="n">
        <f aca="false">COUNTIFS('Bug Data'!$D:$D,"Cancel",'Bug Data'!$N:$N,$B20)+COUNTIFS('Bug Data'!$D:$D,"Cancelled",'Bug Data'!$N:$N,$B20)+COUNTIFS('Bug Data'!$D:$D,"Canceled",'Bug Data'!$N:$N,$B20)</f>
        <v>0</v>
      </c>
      <c r="H20" s="119" t="n">
        <f aca="false">COUNTIFS('Bug Data'!$D:$D,"Done",'Bug Data'!$N:$N,$B20)+COUNTIFS('Bug Data'!$D:$D,"Closed",'Bug Data'!$N:$N,$B20)+COUNTIFS('Bug Data'!$D:$D,"Resolved",'Bug Data'!$N:$N,$B20)</f>
        <v>0</v>
      </c>
      <c r="I20" s="120" t="n">
        <f aca="false">SUM(C20:H20)</f>
        <v>0</v>
      </c>
    </row>
    <row r="21" customFormat="false" ht="15.75" hidden="false" customHeight="true" outlineLevel="0" collapsed="false">
      <c r="B21" s="36" t="s">
        <v>248</v>
      </c>
      <c r="C21" s="121" t="n">
        <f aca="false">SUM(C18:C20)</f>
        <v>0</v>
      </c>
      <c r="D21" s="121" t="n">
        <f aca="false">SUM(D18:D20)</f>
        <v>0</v>
      </c>
      <c r="E21" s="121" t="n">
        <f aca="false">SUM(E18:E20)</f>
        <v>0</v>
      </c>
      <c r="F21" s="121" t="n">
        <f aca="false">SUM(F18:F20)</f>
        <v>0</v>
      </c>
      <c r="G21" s="121" t="n">
        <f aca="false">SUM(G18:G20)</f>
        <v>0</v>
      </c>
      <c r="H21" s="121" t="n">
        <f aca="false">SUM(H18:H20)</f>
        <v>0</v>
      </c>
      <c r="I21" s="121" t="n">
        <f aca="false">SUM(I18:I20)</f>
        <v>0</v>
      </c>
    </row>
    <row r="22" customFormat="false" ht="31.5" hidden="false" customHeight="true" outlineLevel="0" collapsed="false">
      <c r="B22" s="122" t="s">
        <v>251</v>
      </c>
      <c r="C22" s="122"/>
      <c r="D22" s="122"/>
      <c r="E22" s="122"/>
      <c r="F22" s="122"/>
      <c r="G22" s="122"/>
      <c r="H22" s="122"/>
      <c r="I22" s="122"/>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c r="B40" s="116" t="s">
        <v>252</v>
      </c>
    </row>
    <row r="41" customFormat="false" ht="15.75" hidden="false" customHeight="true" outlineLevel="0" collapsed="false">
      <c r="B41" s="117" t="s">
        <v>253</v>
      </c>
      <c r="C41" s="117"/>
      <c r="D41" s="117"/>
      <c r="E41" s="117"/>
      <c r="F41" s="117"/>
      <c r="G41" s="117"/>
      <c r="H41" s="117"/>
      <c r="I41" s="117"/>
      <c r="J41" s="117"/>
      <c r="K41" s="117"/>
    </row>
    <row r="42" customFormat="false" ht="15.75" hidden="false" customHeight="true" outlineLevel="0" collapsed="false">
      <c r="B42" s="118" t="s">
        <v>254</v>
      </c>
      <c r="C42" s="118" t="s">
        <v>255</v>
      </c>
      <c r="D42" s="118" t="s">
        <v>242</v>
      </c>
      <c r="E42" s="118" t="s">
        <v>243</v>
      </c>
      <c r="F42" s="118" t="s">
        <v>244</v>
      </c>
      <c r="G42" s="118" t="s">
        <v>245</v>
      </c>
      <c r="H42" s="118" t="s">
        <v>246</v>
      </c>
      <c r="I42" s="118" t="s">
        <v>247</v>
      </c>
      <c r="J42" s="118" t="s">
        <v>248</v>
      </c>
      <c r="K42" s="118" t="s">
        <v>256</v>
      </c>
    </row>
    <row r="43" customFormat="false" ht="15.75" hidden="false" customHeight="true" outlineLevel="0" collapsed="false">
      <c r="B43" s="123" t="s">
        <v>195</v>
      </c>
      <c r="C43" s="53" t="s">
        <v>196</v>
      </c>
      <c r="D43" s="51" t="n">
        <f aca="false">COUNTIFS('Bug Data'!$D:$D,"To Do",'Bug Data'!$M:$M,$C43)+COUNTIFS('Bug Data'!$D:$D,"Todo",'Bug Data'!$M:$M,$C43)</f>
        <v>0</v>
      </c>
      <c r="E43" s="51" t="n">
        <f aca="false">COUNTIFS('Bug Data'!$D:$D,"In Progress",'Bug Data'!$M:$M,$C43)</f>
        <v>0</v>
      </c>
      <c r="F43" s="51" t="n">
        <f aca="false">COUNTIFS('Bug Data'!$D:$D,"In Review",'Bug Data'!$M:$M,$C43)</f>
        <v>0</v>
      </c>
      <c r="G43" s="51" t="n">
        <f aca="false">COUNTIFS('Bug Data'!$D:$D,"Pending",'Bug Data'!$M:$M,$C43)</f>
        <v>0</v>
      </c>
      <c r="H43" s="51" t="n">
        <f aca="false">COUNTIFS('Bug Data'!$D:$D,"Cancel",'Bug Data'!$M:$M,$C43)+COUNTIFS('Bug Data'!$D:$D,"Cancelled",'Bug Data'!$M:$M,$C43)+COUNTIFS('Bug Data'!$D:$D,"Canceled",'Bug Data'!$M:$M,$C43)</f>
        <v>0</v>
      </c>
      <c r="I43" s="51" t="n">
        <f aca="false">COUNTIFS('Bug Data'!$D:$D,"Done",'Bug Data'!$M:$M,$C43)+COUNTIFS('Bug Data'!$D:$D,"Closed",'Bug Data'!$M:$M,$C43)+COUNTIFS('Bug Data'!$D:$D,"Resolved",'Bug Data'!$M:$M,$C43)</f>
        <v>0</v>
      </c>
      <c r="J43" s="124" t="n">
        <f aca="false">SUM(D43:I43)</f>
        <v>0</v>
      </c>
      <c r="K43" s="52" t="n">
        <f aca="false">IFERROR(J43/$J$53,0)</f>
        <v>0</v>
      </c>
    </row>
    <row r="44" customFormat="false" ht="15.75" hidden="false" customHeight="true" outlineLevel="0" collapsed="false">
      <c r="B44" s="123" t="s">
        <v>197</v>
      </c>
      <c r="C44" s="53" t="s">
        <v>198</v>
      </c>
      <c r="D44" s="51" t="n">
        <f aca="false">COUNTIFS('Bug Data'!$D:$D,"To Do",'Bug Data'!$M:$M,$C44)+COUNTIFS('Bug Data'!$D:$D,"Todo",'Bug Data'!$M:$M,$C44)</f>
        <v>0</v>
      </c>
      <c r="E44" s="51" t="n">
        <f aca="false">COUNTIFS('Bug Data'!$D:$D,"In Progress",'Bug Data'!$M:$M,$C44)</f>
        <v>0</v>
      </c>
      <c r="F44" s="51" t="n">
        <f aca="false">COUNTIFS('Bug Data'!$D:$D,"In Review",'Bug Data'!$M:$M,$C44)</f>
        <v>0</v>
      </c>
      <c r="G44" s="51" t="n">
        <f aca="false">COUNTIFS('Bug Data'!$D:$D,"Pending",'Bug Data'!$M:$M,$C44)</f>
        <v>0</v>
      </c>
      <c r="H44" s="51" t="n">
        <f aca="false">COUNTIFS('Bug Data'!$D:$D,"Cancel",'Bug Data'!$M:$M,$C44)+COUNTIFS('Bug Data'!$D:$D,"Cancelled",'Bug Data'!$M:$M,$C44)+COUNTIFS('Bug Data'!$D:$D,"Canceled",'Bug Data'!$M:$M,$C44)</f>
        <v>0</v>
      </c>
      <c r="I44" s="51" t="n">
        <f aca="false">COUNTIFS('Bug Data'!$D:$D,"Done",'Bug Data'!$M:$M,$C44)+COUNTIFS('Bug Data'!$D:$D,"Closed",'Bug Data'!$M:$M,$C44)+COUNTIFS('Bug Data'!$D:$D,"Resolved",'Bug Data'!$M:$M,$C44)</f>
        <v>0</v>
      </c>
      <c r="J44" s="124" t="n">
        <f aca="false">SUM(D44:I44)</f>
        <v>0</v>
      </c>
      <c r="K44" s="52" t="n">
        <f aca="false">IFERROR(J44/$J$53,0)</f>
        <v>0</v>
      </c>
    </row>
    <row r="45" customFormat="false" ht="15.75" hidden="false" customHeight="true" outlineLevel="0" collapsed="false">
      <c r="B45" s="123" t="s">
        <v>199</v>
      </c>
      <c r="C45" s="53" t="s">
        <v>200</v>
      </c>
      <c r="D45" s="51" t="n">
        <f aca="false">COUNTIFS('Bug Data'!$D:$D,"To Do",'Bug Data'!$M:$M,$C45)+COUNTIFS('Bug Data'!$D:$D,"Todo",'Bug Data'!$M:$M,$C45)</f>
        <v>0</v>
      </c>
      <c r="E45" s="51" t="n">
        <f aca="false">COUNTIFS('Bug Data'!$D:$D,"In Progress",'Bug Data'!$M:$M,$C45)</f>
        <v>0</v>
      </c>
      <c r="F45" s="51" t="n">
        <f aca="false">COUNTIFS('Bug Data'!$D:$D,"In Review",'Bug Data'!$M:$M,$C45)</f>
        <v>0</v>
      </c>
      <c r="G45" s="51" t="n">
        <f aca="false">COUNTIFS('Bug Data'!$D:$D,"Pending",'Bug Data'!$M:$M,$C45)</f>
        <v>0</v>
      </c>
      <c r="H45" s="51" t="n">
        <f aca="false">COUNTIFS('Bug Data'!$D:$D,"Cancel",'Bug Data'!$M:$M,$C45)+COUNTIFS('Bug Data'!$D:$D,"Cancelled",'Bug Data'!$M:$M,$C45)+COUNTIFS('Bug Data'!$D:$D,"Canceled",'Bug Data'!$M:$M,$C45)</f>
        <v>0</v>
      </c>
      <c r="I45" s="51" t="n">
        <f aca="false">COUNTIFS('Bug Data'!$D:$D,"Done",'Bug Data'!$M:$M,$C45)+COUNTIFS('Bug Data'!$D:$D,"Closed",'Bug Data'!$M:$M,$C45)+COUNTIFS('Bug Data'!$D:$D,"Resolved",'Bug Data'!$M:$M,$C45)</f>
        <v>0</v>
      </c>
      <c r="J45" s="124" t="n">
        <f aca="false">SUM(D45:I45)</f>
        <v>0</v>
      </c>
      <c r="K45" s="52" t="n">
        <f aca="false">IFERROR(J45/$J$53,0)</f>
        <v>0</v>
      </c>
    </row>
    <row r="46" customFormat="false" ht="15.75" hidden="false" customHeight="true" outlineLevel="0" collapsed="false">
      <c r="B46" s="123" t="s">
        <v>201</v>
      </c>
      <c r="C46" s="53" t="s">
        <v>202</v>
      </c>
      <c r="D46" s="51" t="n">
        <f aca="false">COUNTIFS('Bug Data'!$D:$D,"To Do",'Bug Data'!$M:$M,$C46)+COUNTIFS('Bug Data'!$D:$D,"Todo",'Bug Data'!$M:$M,$C46)</f>
        <v>0</v>
      </c>
      <c r="E46" s="51" t="n">
        <f aca="false">COUNTIFS('Bug Data'!$D:$D,"In Progress",'Bug Data'!$M:$M,$C46)</f>
        <v>0</v>
      </c>
      <c r="F46" s="51" t="n">
        <f aca="false">COUNTIFS('Bug Data'!$D:$D,"In Review",'Bug Data'!$M:$M,$C46)</f>
        <v>0</v>
      </c>
      <c r="G46" s="51" t="n">
        <f aca="false">COUNTIFS('Bug Data'!$D:$D,"Pending",'Bug Data'!$M:$M,$C46)</f>
        <v>0</v>
      </c>
      <c r="H46" s="51" t="n">
        <f aca="false">COUNTIFS('Bug Data'!$D:$D,"Cancel",'Bug Data'!$M:$M,$C46)+COUNTIFS('Bug Data'!$D:$D,"Cancelled",'Bug Data'!$M:$M,$C46)+COUNTIFS('Bug Data'!$D:$D,"Canceled",'Bug Data'!$M:$M,$C46)</f>
        <v>0</v>
      </c>
      <c r="I46" s="51" t="n">
        <f aca="false">COUNTIFS('Bug Data'!$D:$D,"Done",'Bug Data'!$M:$M,$C46)+COUNTIFS('Bug Data'!$D:$D,"Closed",'Bug Data'!$M:$M,$C46)+COUNTIFS('Bug Data'!$D:$D,"Resolved",'Bug Data'!$M:$M,$C46)</f>
        <v>0</v>
      </c>
      <c r="J46" s="124" t="n">
        <f aca="false">SUM(D46:I46)</f>
        <v>0</v>
      </c>
      <c r="K46" s="52" t="n">
        <f aca="false">IFERROR(J46/$J$53,0)</f>
        <v>0</v>
      </c>
    </row>
    <row r="47" customFormat="false" ht="15.75" hidden="false" customHeight="true" outlineLevel="0" collapsed="false">
      <c r="B47" s="123" t="s">
        <v>203</v>
      </c>
      <c r="C47" s="53" t="s">
        <v>204</v>
      </c>
      <c r="D47" s="51" t="n">
        <f aca="false">COUNTIFS('Bug Data'!$D:$D,"To Do",'Bug Data'!$M:$M,$C47)+COUNTIFS('Bug Data'!$D:$D,"Todo",'Bug Data'!$M:$M,$C47)</f>
        <v>0</v>
      </c>
      <c r="E47" s="51" t="n">
        <f aca="false">COUNTIFS('Bug Data'!$D:$D,"In Progress",'Bug Data'!$M:$M,$C47)</f>
        <v>0</v>
      </c>
      <c r="F47" s="51" t="n">
        <f aca="false">COUNTIFS('Bug Data'!$D:$D,"In Review",'Bug Data'!$M:$M,$C47)</f>
        <v>0</v>
      </c>
      <c r="G47" s="51" t="n">
        <f aca="false">COUNTIFS('Bug Data'!$D:$D,"Pending",'Bug Data'!$M:$M,$C47)</f>
        <v>0</v>
      </c>
      <c r="H47" s="51" t="n">
        <f aca="false">COUNTIFS('Bug Data'!$D:$D,"Cancel",'Bug Data'!$M:$M,$C47)+COUNTIFS('Bug Data'!$D:$D,"Cancelled",'Bug Data'!$M:$M,$C47)+COUNTIFS('Bug Data'!$D:$D,"Canceled",'Bug Data'!$M:$M,$C47)</f>
        <v>0</v>
      </c>
      <c r="I47" s="51" t="n">
        <f aca="false">COUNTIFS('Bug Data'!$D:$D,"Done",'Bug Data'!$M:$M,$C47)+COUNTIFS('Bug Data'!$D:$D,"Closed",'Bug Data'!$M:$M,$C47)+COUNTIFS('Bug Data'!$D:$D,"Resolved",'Bug Data'!$M:$M,$C47)</f>
        <v>0</v>
      </c>
      <c r="J47" s="124" t="n">
        <f aca="false">SUM(D47:I47)</f>
        <v>0</v>
      </c>
      <c r="K47" s="52" t="n">
        <f aca="false">IFERROR(J47/$J$53,0)</f>
        <v>0</v>
      </c>
    </row>
    <row r="48" customFormat="false" ht="15.75" hidden="false" customHeight="true" outlineLevel="0" collapsed="false">
      <c r="B48" s="123" t="s">
        <v>205</v>
      </c>
      <c r="C48" s="53" t="s">
        <v>206</v>
      </c>
      <c r="D48" s="51" t="n">
        <f aca="false">COUNTIFS('Bug Data'!$D:$D,"To Do",'Bug Data'!$M:$M,$C48)+COUNTIFS('Bug Data'!$D:$D,"Todo",'Bug Data'!$M:$M,$C48)</f>
        <v>0</v>
      </c>
      <c r="E48" s="51" t="n">
        <f aca="false">COUNTIFS('Bug Data'!$D:$D,"In Progress",'Bug Data'!$M:$M,$C48)</f>
        <v>0</v>
      </c>
      <c r="F48" s="51" t="n">
        <f aca="false">COUNTIFS('Bug Data'!$D:$D,"In Review",'Bug Data'!$M:$M,$C48)</f>
        <v>0</v>
      </c>
      <c r="G48" s="51" t="n">
        <f aca="false">COUNTIFS('Bug Data'!$D:$D,"Pending",'Bug Data'!$M:$M,$C48)</f>
        <v>0</v>
      </c>
      <c r="H48" s="51" t="n">
        <f aca="false">COUNTIFS('Bug Data'!$D:$D,"Cancel",'Bug Data'!$M:$M,$C48)+COUNTIFS('Bug Data'!$D:$D,"Cancelled",'Bug Data'!$M:$M,$C48)+COUNTIFS('Bug Data'!$D:$D,"Canceled",'Bug Data'!$M:$M,$C48)</f>
        <v>0</v>
      </c>
      <c r="I48" s="51" t="n">
        <f aca="false">COUNTIFS('Bug Data'!$D:$D,"Done",'Bug Data'!$M:$M,$C48)+COUNTIFS('Bug Data'!$D:$D,"Closed",'Bug Data'!$M:$M,$C48)+COUNTIFS('Bug Data'!$D:$D,"Resolved",'Bug Data'!$M:$M,$C48)</f>
        <v>0</v>
      </c>
      <c r="J48" s="124" t="n">
        <f aca="false">SUM(D48:I48)</f>
        <v>0</v>
      </c>
      <c r="K48" s="52" t="n">
        <f aca="false">IFERROR(J48/$J$53,0)</f>
        <v>0</v>
      </c>
    </row>
    <row r="49" customFormat="false" ht="15.75" hidden="false" customHeight="true" outlineLevel="0" collapsed="false">
      <c r="B49" s="123" t="s">
        <v>207</v>
      </c>
      <c r="C49" s="53" t="s">
        <v>208</v>
      </c>
      <c r="D49" s="51" t="n">
        <f aca="false">COUNTIFS('Bug Data'!$D:$D,"To Do",'Bug Data'!$M:$M,$C49)+COUNTIFS('Bug Data'!$D:$D,"Todo",'Bug Data'!$M:$M,$C49)</f>
        <v>0</v>
      </c>
      <c r="E49" s="51" t="n">
        <f aca="false">COUNTIFS('Bug Data'!$D:$D,"In Progress",'Bug Data'!$M:$M,$C49)</f>
        <v>0</v>
      </c>
      <c r="F49" s="51" t="n">
        <f aca="false">COUNTIFS('Bug Data'!$D:$D,"In Review",'Bug Data'!$M:$M,$C49)</f>
        <v>0</v>
      </c>
      <c r="G49" s="51" t="n">
        <f aca="false">COUNTIFS('Bug Data'!$D:$D,"Pending",'Bug Data'!$M:$M,$C49)</f>
        <v>0</v>
      </c>
      <c r="H49" s="51" t="n">
        <f aca="false">COUNTIFS('Bug Data'!$D:$D,"Cancel",'Bug Data'!$M:$M,$C49)+COUNTIFS('Bug Data'!$D:$D,"Cancelled",'Bug Data'!$M:$M,$C49)+COUNTIFS('Bug Data'!$D:$D,"Canceled",'Bug Data'!$M:$M,$C49)</f>
        <v>0</v>
      </c>
      <c r="I49" s="51" t="n">
        <f aca="false">COUNTIFS('Bug Data'!$D:$D,"Done",'Bug Data'!$M:$M,$C49)+COUNTIFS('Bug Data'!$D:$D,"Closed",'Bug Data'!$M:$M,$C49)+COUNTIFS('Bug Data'!$D:$D,"Resolved",'Bug Data'!$M:$M,$C49)</f>
        <v>0</v>
      </c>
      <c r="J49" s="124" t="n">
        <f aca="false">SUM(D49:I49)</f>
        <v>0</v>
      </c>
      <c r="K49" s="52" t="n">
        <f aca="false">IFERROR(J49/$J$53,0)</f>
        <v>0</v>
      </c>
    </row>
    <row r="50" customFormat="false" ht="15.75" hidden="false" customHeight="true" outlineLevel="0" collapsed="false">
      <c r="B50" s="123" t="s">
        <v>209</v>
      </c>
      <c r="C50" s="53" t="s">
        <v>210</v>
      </c>
      <c r="D50" s="51" t="n">
        <f aca="false">COUNTIFS('Bug Data'!$D:$D,"To Do",'Bug Data'!$M:$M,$C50)+COUNTIFS('Bug Data'!$D:$D,"Todo",'Bug Data'!$M:$M,$C50)</f>
        <v>0</v>
      </c>
      <c r="E50" s="51" t="n">
        <f aca="false">COUNTIFS('Bug Data'!$D:$D,"In Progress",'Bug Data'!$M:$M,$C50)</f>
        <v>0</v>
      </c>
      <c r="F50" s="51" t="n">
        <f aca="false">COUNTIFS('Bug Data'!$D:$D,"In Review",'Bug Data'!$M:$M,$C50)</f>
        <v>0</v>
      </c>
      <c r="G50" s="51" t="n">
        <f aca="false">COUNTIFS('Bug Data'!$D:$D,"Pending",'Bug Data'!$M:$M,$C50)</f>
        <v>0</v>
      </c>
      <c r="H50" s="51" t="n">
        <f aca="false">COUNTIFS('Bug Data'!$D:$D,"Cancel",'Bug Data'!$M:$M,$C50)+COUNTIFS('Bug Data'!$D:$D,"Cancelled",'Bug Data'!$M:$M,$C50)+COUNTIFS('Bug Data'!$D:$D,"Canceled",'Bug Data'!$M:$M,$C50)</f>
        <v>0</v>
      </c>
      <c r="I50" s="51" t="n">
        <f aca="false">COUNTIFS('Bug Data'!$D:$D,"Done",'Bug Data'!$M:$M,$C50)+COUNTIFS('Bug Data'!$D:$D,"Closed",'Bug Data'!$M:$M,$C50)+COUNTIFS('Bug Data'!$D:$D,"Resolved",'Bug Data'!$M:$M,$C50)</f>
        <v>0</v>
      </c>
      <c r="J50" s="124" t="n">
        <f aca="false">SUM(D50:I50)</f>
        <v>0</v>
      </c>
      <c r="K50" s="52" t="n">
        <f aca="false">IFERROR(J50/$J$53,0)</f>
        <v>0</v>
      </c>
    </row>
    <row r="51" customFormat="false" ht="15.75" hidden="false" customHeight="true" outlineLevel="0" collapsed="false">
      <c r="B51" s="123" t="s">
        <v>211</v>
      </c>
      <c r="C51" s="53" t="s">
        <v>212</v>
      </c>
      <c r="D51" s="51" t="n">
        <f aca="false">COUNTIFS('Bug Data'!$D:$D,"To Do",'Bug Data'!$M:$M,$C51)+COUNTIFS('Bug Data'!$D:$D,"Todo",'Bug Data'!$M:$M,$C51)</f>
        <v>0</v>
      </c>
      <c r="E51" s="51" t="n">
        <f aca="false">COUNTIFS('Bug Data'!$D:$D,"In Progress",'Bug Data'!$M:$M,$C51)</f>
        <v>0</v>
      </c>
      <c r="F51" s="51" t="n">
        <f aca="false">COUNTIFS('Bug Data'!$D:$D,"In Review",'Bug Data'!$M:$M,$C51)</f>
        <v>0</v>
      </c>
      <c r="G51" s="51" t="n">
        <f aca="false">COUNTIFS('Bug Data'!$D:$D,"Pending",'Bug Data'!$M:$M,$C51)</f>
        <v>0</v>
      </c>
      <c r="H51" s="51" t="n">
        <f aca="false">COUNTIFS('Bug Data'!$D:$D,"Cancel",'Bug Data'!$M:$M,$C51)+COUNTIFS('Bug Data'!$D:$D,"Cancelled",'Bug Data'!$M:$M,$C51)+COUNTIFS('Bug Data'!$D:$D,"Canceled",'Bug Data'!$M:$M,$C51)</f>
        <v>0</v>
      </c>
      <c r="I51" s="51" t="n">
        <f aca="false">COUNTIFS('Bug Data'!$D:$D,"Done",'Bug Data'!$M:$M,$C51)+COUNTIFS('Bug Data'!$D:$D,"Closed",'Bug Data'!$M:$M,$C51)+COUNTIFS('Bug Data'!$D:$D,"Resolved",'Bug Data'!$M:$M,$C51)</f>
        <v>0</v>
      </c>
      <c r="J51" s="124" t="n">
        <f aca="false">SUM(D51:I51)</f>
        <v>0</v>
      </c>
      <c r="K51" s="52" t="n">
        <f aca="false">IFERROR(J51/$J$53,0)</f>
        <v>0</v>
      </c>
    </row>
    <row r="52" customFormat="false" ht="15.75" hidden="false" customHeight="true" outlineLevel="0" collapsed="false">
      <c r="B52" s="123" t="s">
        <v>257</v>
      </c>
      <c r="C52" s="53" t="s">
        <v>258</v>
      </c>
      <c r="D52" s="51" t="n">
        <f aca="false">COUNTIFS('Bug Data'!$D:$D,"To Do")+COUNTIFS('Bug Data'!$D:$D,"Todo")-SUM(D43:D51)</f>
        <v>0</v>
      </c>
      <c r="E52" s="51" t="n">
        <f aca="false">COUNTIFS('Bug Data'!$D:$D,"In Progress")-SUM(E43:E51)</f>
        <v>0</v>
      </c>
      <c r="F52" s="51" t="n">
        <f aca="false">COUNTIFS('Bug Data'!$D:$D,"In Review")-SUM(F43:F51)</f>
        <v>0</v>
      </c>
      <c r="G52" s="51" t="n">
        <f aca="false">COUNTIFS('Bug Data'!$D:$D,"Pending")-SUM(G43:G51)</f>
        <v>0</v>
      </c>
      <c r="H52" s="51" t="n">
        <f aca="false">COUNTIFS('Bug Data'!$D:$D,"Cancel")+COUNTIFS('Bug Data'!$D:$D,"Cancelled")+COUNTIFS('Bug Data'!$D:$D,"Canceled")-SUM(H43:H51)</f>
        <v>0</v>
      </c>
      <c r="I52" s="51" t="n">
        <f aca="false">COUNTIFS('Bug Data'!$D:$D,"Done")+COUNTIFS('Bug Data'!$D:$D,"Closed")+COUNTIFS('Bug Data'!$D:$D,"Resolved")-SUM(I43:I51)</f>
        <v>0</v>
      </c>
      <c r="J52" s="124" t="n">
        <f aca="false">SUM(D52:I52)</f>
        <v>0</v>
      </c>
      <c r="K52" s="52" t="n">
        <f aca="false">IFERROR(J52/$J$53,0)</f>
        <v>0</v>
      </c>
    </row>
    <row r="53" customFormat="false" ht="15.75" hidden="false" customHeight="true" outlineLevel="0" collapsed="false">
      <c r="B53" s="125" t="s">
        <v>248</v>
      </c>
      <c r="C53" s="126"/>
      <c r="D53" s="42" t="n">
        <f aca="false">SUM(D43:D52)</f>
        <v>0</v>
      </c>
      <c r="E53" s="42" t="n">
        <f aca="false">SUM(E43:E52)</f>
        <v>0</v>
      </c>
      <c r="F53" s="42" t="n">
        <f aca="false">SUM(F43:F52)</f>
        <v>0</v>
      </c>
      <c r="G53" s="42" t="n">
        <f aca="false">SUM(G43:G52)</f>
        <v>0</v>
      </c>
      <c r="H53" s="42" t="n">
        <f aca="false">SUM(H43:H52)</f>
        <v>0</v>
      </c>
      <c r="I53" s="42" t="n">
        <f aca="false">SUM(I43:I52)</f>
        <v>0</v>
      </c>
      <c r="J53" s="42" t="n">
        <f aca="false">SUM(J43:J52)</f>
        <v>0</v>
      </c>
      <c r="K53" s="55" t="n">
        <f aca="false">IFERROR(J53/J53,0)</f>
        <v>0</v>
      </c>
    </row>
    <row r="54" customFormat="false" ht="15.75" hidden="false" customHeight="true" outlineLevel="0" collapsed="false"/>
    <row r="55" customFormat="false" ht="31.5" hidden="false" customHeight="true" outlineLevel="0" collapsed="false">
      <c r="B55" s="127" t="s">
        <v>259</v>
      </c>
      <c r="C55" s="127"/>
      <c r="D55" s="127"/>
      <c r="E55" s="127"/>
      <c r="F55" s="127"/>
      <c r="G55" s="127"/>
      <c r="H55" s="127"/>
      <c r="I55" s="127"/>
      <c r="J55" s="127"/>
      <c r="K55" s="127"/>
    </row>
    <row r="56" customFormat="false" ht="15.75" hidden="false" customHeight="true" outlineLevel="0" collapsed="false"/>
    <row r="57" customFormat="false" ht="15.75" hidden="false" customHeight="true" outlineLevel="0" collapsed="false">
      <c r="B57" s="116" t="s">
        <v>260</v>
      </c>
    </row>
    <row r="58" customFormat="false" ht="15.75" hidden="false" customHeight="true" outlineLevel="0" collapsed="false">
      <c r="B58" s="117" t="s">
        <v>261</v>
      </c>
      <c r="C58" s="117"/>
      <c r="D58" s="117"/>
      <c r="E58" s="117"/>
      <c r="F58" s="117"/>
      <c r="G58" s="117"/>
    </row>
    <row r="59" customFormat="false" ht="15.75" hidden="false" customHeight="true" outlineLevel="0" collapsed="false">
      <c r="B59" s="118" t="s">
        <v>254</v>
      </c>
      <c r="C59" s="118" t="s">
        <v>255</v>
      </c>
      <c r="D59" s="118" t="s">
        <v>262</v>
      </c>
      <c r="E59" s="118" t="s">
        <v>263</v>
      </c>
      <c r="F59" s="118" t="s">
        <v>264</v>
      </c>
      <c r="G59" s="118" t="s">
        <v>265</v>
      </c>
    </row>
    <row r="60" customFormat="false" ht="15.75" hidden="false" customHeight="true" outlineLevel="0" collapsed="false">
      <c r="B60" s="128" t="str">
        <f aca="false">IF(Dashboard!$D4="","",Dashboard!$C4)</f>
        <v>TC_01</v>
      </c>
      <c r="C60" s="38" t="str">
        <f aca="false">IF(Dashboard!$D4="","",Dashboard!$E4)</f>
        <v>Hoạt động (Đơn của tôi)</v>
      </c>
      <c r="D60" s="119" t="n">
        <f aca="false">IF(Dashboard!$D4="","",Dashboard!$F4)</f>
        <v>10</v>
      </c>
      <c r="E60" s="119" t="n">
        <f aca="false">IF(Dashboard!$D4="","",Dashboard!$L4)</f>
        <v>10</v>
      </c>
      <c r="F60" s="129" t="n">
        <f aca="false">IFERROR(E60/D60,0)</f>
        <v>1</v>
      </c>
      <c r="G60" s="38"/>
    </row>
    <row r="61" customFormat="false" ht="15.75" hidden="false" customHeight="true" outlineLevel="0" collapsed="false">
      <c r="B61" s="128" t="str">
        <f aca="false">IF(Dashboard!$D5="","",Dashboard!$C5)</f>
        <v>TC_02</v>
      </c>
      <c r="C61" s="38" t="str">
        <f aca="false">IF(Dashboard!$D5="","",Dashboard!$E5)</f>
        <v>Ghép nối</v>
      </c>
      <c r="D61" s="119" t="n">
        <f aca="false">IF(Dashboard!$D5="","",Dashboard!$F5)</f>
        <v>13</v>
      </c>
      <c r="E61" s="119" t="n">
        <f aca="false">IF(Dashboard!$D5="","",Dashboard!$L5)</f>
        <v>0</v>
      </c>
      <c r="F61" s="129" t="n">
        <f aca="false">IFERROR(E61/D61,0)</f>
        <v>0</v>
      </c>
      <c r="G61" s="38"/>
    </row>
    <row r="62" customFormat="false" ht="15.75" hidden="false" customHeight="true" outlineLevel="0" collapsed="false">
      <c r="B62" s="128" t="str">
        <f aca="false">IF(Dashboard!$D6="","",Dashboard!$C6)</f>
        <v>TC_03</v>
      </c>
      <c r="C62" s="38" t="str">
        <f aca="false">IF(Dashboard!$D6="","",Dashboard!$E6)</f>
        <v>Huỷ đơn - Huỷ nhận đơn</v>
      </c>
      <c r="D62" s="119" t="n">
        <f aca="false">IF(Dashboard!$D6="","",Dashboard!$F6)</f>
        <v>13</v>
      </c>
      <c r="E62" s="119" t="n">
        <f aca="false">IF(Dashboard!$D6="","",Dashboard!$L6)</f>
        <v>0</v>
      </c>
      <c r="F62" s="129" t="n">
        <f aca="false">IFERROR(E62/D62,0)</f>
        <v>0</v>
      </c>
      <c r="G62" s="38"/>
    </row>
    <row r="63" customFormat="false" ht="15.75" hidden="false" customHeight="true" outlineLevel="0" collapsed="false">
      <c r="B63" s="128" t="str">
        <f aca="false">IF(Dashboard!$D7="","",Dashboard!$C7)</f>
        <v>TC_04</v>
      </c>
      <c r="C63" s="38" t="str">
        <f aca="false">IF(Dashboard!$D7="","",Dashboard!$E7)</f>
        <v>Giao nhận &amp; Theo dõi đơn</v>
      </c>
      <c r="D63" s="119" t="n">
        <f aca="false">IF(Dashboard!$D7="","",Dashboard!$F7)</f>
        <v>51</v>
      </c>
      <c r="E63" s="119" t="n">
        <f aca="false">IF(Dashboard!$D7="","",Dashboard!$L7)</f>
        <v>0</v>
      </c>
      <c r="F63" s="129" t="n">
        <f aca="false">IFERROR(E63/D63,0)</f>
        <v>0</v>
      </c>
      <c r="G63" s="38"/>
    </row>
    <row r="64" customFormat="false" ht="24" hidden="false" customHeight="true" outlineLevel="0" collapsed="false">
      <c r="B64" s="128" t="str">
        <f aca="false">IF(Dashboard!$D8="","",Dashboard!$C8)</f>
        <v>TC_05</v>
      </c>
      <c r="C64" s="38" t="str">
        <f aca="false">IF(Dashboard!$D8="","",Dashboard!$E8)</f>
        <v>Bảng tin &amp; Chi tiết tin</v>
      </c>
      <c r="D64" s="119" t="n">
        <f aca="false">IF(Dashboard!$D8="","",Dashboard!$F8)</f>
        <v>5</v>
      </c>
      <c r="E64" s="119" t="n">
        <f aca="false">IF(Dashboard!$D8="","",Dashboard!$L8)</f>
        <v>0</v>
      </c>
      <c r="F64" s="129" t="n">
        <f aca="false">IFERROR(E64/D64,0)</f>
        <v>0</v>
      </c>
      <c r="G64" s="38"/>
    </row>
    <row r="65" customFormat="false" ht="15.75" hidden="false" customHeight="true" outlineLevel="0" collapsed="false">
      <c r="B65" s="128" t="str">
        <f aca="false">IF(Dashboard!$D9="","",Dashboard!$C9)</f>
        <v>TC_06</v>
      </c>
      <c r="C65" s="38" t="str">
        <f aca="false">IF(Dashboard!$D9="","",Dashboard!$E9)</f>
        <v>Quà cảm ơn</v>
      </c>
      <c r="D65" s="119" t="n">
        <f aca="false">IF(Dashboard!$D9="","",Dashboard!$F9)</f>
        <v>8</v>
      </c>
      <c r="E65" s="119" t="n">
        <f aca="false">IF(Dashboard!$D9="","",Dashboard!$L9)</f>
        <v>0</v>
      </c>
      <c r="F65" s="129" t="n">
        <f aca="false">IFERROR(E65/D65,0)</f>
        <v>0</v>
      </c>
      <c r="G65" s="38"/>
      <c r="H65" s="130"/>
      <c r="I65" s="130"/>
    </row>
    <row r="66" customFormat="false" ht="15.75" hidden="false" customHeight="true" outlineLevel="0" collapsed="false">
      <c r="B66" s="128" t="str">
        <f aca="false">IF(Dashboard!$D10="","",Dashboard!$C10)</f>
        <v>TC_07</v>
      </c>
      <c r="C66" s="38" t="str">
        <f aca="false">IF(Dashboard!$D10="","",Dashboard!$E10)</f>
        <v>Trang chủ</v>
      </c>
      <c r="D66" s="119" t="n">
        <f aca="false">IF(Dashboard!$D10="","",Dashboard!$F10)</f>
        <v>11</v>
      </c>
      <c r="E66" s="119" t="n">
        <f aca="false">IF(Dashboard!$D10="","",Dashboard!$L10)</f>
        <v>0</v>
      </c>
      <c r="F66" s="129" t="n">
        <f aca="false">IFERROR(E66/D66,0)</f>
        <v>0</v>
      </c>
      <c r="G66" s="38"/>
    </row>
    <row r="67" customFormat="false" ht="15.75" hidden="false" customHeight="true" outlineLevel="0" collapsed="false">
      <c r="B67" s="128" t="str">
        <f aca="false">IF(Dashboard!$D11="","",Dashboard!$C11)</f>
        <v>TC_08</v>
      </c>
      <c r="C67" s="38" t="str">
        <f aca="false">IF(Dashboard!$D11="","",Dashboard!$E11)</f>
        <v>Thông báo</v>
      </c>
      <c r="D67" s="119" t="n">
        <f aca="false">IF(Dashboard!$D11="","",Dashboard!$F11)</f>
        <v>9</v>
      </c>
      <c r="E67" s="119" t="n">
        <f aca="false">IF(Dashboard!$D11="","",Dashboard!$L11)</f>
        <v>0</v>
      </c>
      <c r="F67" s="129" t="n">
        <f aca="false">IFERROR(E67/D67,0)</f>
        <v>0</v>
      </c>
      <c r="G67" s="38"/>
    </row>
    <row r="68" customFormat="false" ht="15.75" hidden="false" customHeight="true" outlineLevel="0" collapsed="false">
      <c r="B68" s="128" t="str">
        <f aca="false">IF(Dashboard!$D12="","",Dashboard!$C12)</f>
        <v>TC_09</v>
      </c>
      <c r="C68" s="38" t="str">
        <f aca="false">IF(Dashboard!$D12="","",Dashboard!$E12)</f>
        <v>Đăng tin &amp; Quản lý tin</v>
      </c>
      <c r="D68" s="119" t="n">
        <f aca="false">IF(Dashboard!$D12="","",Dashboard!$F12)</f>
        <v>48</v>
      </c>
      <c r="E68" s="119" t="n">
        <f aca="false">IF(Dashboard!$D12="","",Dashboard!$L12)</f>
        <v>0</v>
      </c>
      <c r="F68" s="129" t="n">
        <f aca="false">IFERROR(E68/D68,0)</f>
        <v>0</v>
      </c>
      <c r="G68" s="38"/>
    </row>
    <row r="69" customFormat="false" ht="15.75" hidden="false" customHeight="true" outlineLevel="0" collapsed="false">
      <c r="B69" s="128" t="str">
        <f aca="false">IF(Dashboard!$D13="","",Dashboard!$C13)</f>
        <v>TC_10</v>
      </c>
      <c r="C69" s="38" t="str">
        <f aca="false">IF(Dashboard!$D13="","",Dashboard!$E13)</f>
        <v>Trust &amp; Safety</v>
      </c>
      <c r="D69" s="119" t="n">
        <f aca="false">IF(Dashboard!$D13="","",Dashboard!$F13)</f>
        <v>17</v>
      </c>
      <c r="E69" s="119" t="n">
        <f aca="false">IF(Dashboard!$D13="","",Dashboard!$L13)</f>
        <v>0</v>
      </c>
      <c r="F69" s="129" t="n">
        <f aca="false">IFERROR(E69/D69,0)</f>
        <v>0</v>
      </c>
      <c r="G69" s="38"/>
    </row>
    <row r="70" customFormat="false" ht="15.75" hidden="false" customHeight="true" outlineLevel="0" collapsed="false">
      <c r="B70" s="128" t="str">
        <f aca="false">IF(Dashboard!$D14="","",Dashboard!$C14)</f>
        <v>TC_11</v>
      </c>
      <c r="C70" s="38" t="str">
        <f aca="false">IF(Dashboard!$D14="","",Dashboard!$E14)</f>
        <v>Tài khoản &amp; Hồ sơ</v>
      </c>
      <c r="D70" s="119" t="n">
        <f aca="false">IF(Dashboard!$D14="","",Dashboard!$F14)</f>
        <v>38</v>
      </c>
      <c r="E70" s="119" t="n">
        <f aca="false">IF(Dashboard!$D14="","",Dashboard!$L14)</f>
        <v>0</v>
      </c>
      <c r="F70" s="129" t="n">
        <f aca="false">IFERROR(E70/D70,0)</f>
        <v>0</v>
      </c>
      <c r="G70" s="38"/>
    </row>
    <row r="71" customFormat="false" ht="15.75" hidden="false" customHeight="true" outlineLevel="0" collapsed="false">
      <c r="B71" s="118" t="s">
        <v>248</v>
      </c>
      <c r="C71" s="131"/>
      <c r="D71" s="121" t="n">
        <f aca="false">Dashboard!$F$34</f>
        <v>223</v>
      </c>
      <c r="E71" s="121" t="n">
        <f aca="false">Dashboard!$L$34</f>
        <v>10</v>
      </c>
      <c r="F71" s="132" t="n">
        <f aca="false">IFERROR(E71/D71,0)</f>
        <v>0.0448430493273543</v>
      </c>
      <c r="G71" s="131"/>
    </row>
    <row r="72" customFormat="false" ht="15.75" hidden="false" customHeight="true" outlineLevel="0" collapsed="false">
      <c r="B72" s="133" t="s">
        <v>266</v>
      </c>
      <c r="C72" s="133"/>
      <c r="D72" s="133"/>
      <c r="E72" s="133"/>
      <c r="F72" s="133"/>
      <c r="G72" s="133"/>
    </row>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c r="B82" s="116" t="s">
        <v>267</v>
      </c>
    </row>
    <row r="83" customFormat="false" ht="15.75" hidden="false" customHeight="true" outlineLevel="0" collapsed="false">
      <c r="B83" s="117" t="s">
        <v>268</v>
      </c>
      <c r="C83" s="117"/>
      <c r="D83" s="117"/>
    </row>
    <row r="84" customFormat="false" ht="15.75" hidden="false" customHeight="true" outlineLevel="0" collapsed="false">
      <c r="B84" s="118" t="s">
        <v>21</v>
      </c>
      <c r="C84" s="118" t="s">
        <v>119</v>
      </c>
      <c r="D84" s="118" t="s">
        <v>256</v>
      </c>
    </row>
    <row r="85" customFormat="false" ht="15.75" hidden="false" customHeight="true" outlineLevel="0" collapsed="false">
      <c r="B85" s="103" t="s">
        <v>23</v>
      </c>
      <c r="C85" s="119" t="n">
        <f aca="false">Dashboard!$G$34</f>
        <v>10</v>
      </c>
      <c r="D85" s="129" t="n">
        <f aca="false">IFERROR(C85/$C$90,0)</f>
        <v>0.0448430493273543</v>
      </c>
    </row>
    <row r="86" customFormat="false" ht="15.75" hidden="false" customHeight="true" outlineLevel="0" collapsed="false">
      <c r="B86" s="103" t="s">
        <v>25</v>
      </c>
      <c r="C86" s="119" t="n">
        <f aca="false">Dashboard!$H$34</f>
        <v>0</v>
      </c>
      <c r="D86" s="129" t="n">
        <f aca="false">IFERROR(C86/$C$90,0)</f>
        <v>0</v>
      </c>
    </row>
    <row r="87" customFormat="false" ht="15.75" hidden="false" customHeight="true" outlineLevel="0" collapsed="false">
      <c r="B87" s="103" t="s">
        <v>27</v>
      </c>
      <c r="C87" s="119" t="n">
        <f aca="false">Dashboard!$I$34</f>
        <v>0</v>
      </c>
      <c r="D87" s="129" t="n">
        <f aca="false">IFERROR(C87/$C$90,0)</f>
        <v>0</v>
      </c>
    </row>
    <row r="88" customFormat="false" ht="15.75" hidden="false" customHeight="true" outlineLevel="0" collapsed="false">
      <c r="B88" s="103" t="s">
        <v>29</v>
      </c>
      <c r="C88" s="119" t="n">
        <f aca="false">Dashboard!$J$34</f>
        <v>0</v>
      </c>
      <c r="D88" s="129" t="n">
        <f aca="false">IFERROR(C88/$C$90,0)</f>
        <v>0</v>
      </c>
    </row>
    <row r="89" customFormat="false" ht="26.25" hidden="false" customHeight="true" outlineLevel="0" collapsed="false">
      <c r="B89" s="103" t="s">
        <v>269</v>
      </c>
      <c r="C89" s="119" t="n">
        <f aca="false">Dashboard!$K$34</f>
        <v>213</v>
      </c>
      <c r="D89" s="129" t="n">
        <f aca="false">IFERROR(C89/$C$90,0)</f>
        <v>0.955156950672646</v>
      </c>
    </row>
    <row r="90" customFormat="false" ht="15.75" hidden="false" customHeight="true" outlineLevel="0" collapsed="false">
      <c r="B90" s="36" t="s">
        <v>248</v>
      </c>
      <c r="C90" s="121" t="n">
        <f aca="false">SUM(C85:C89)</f>
        <v>223</v>
      </c>
      <c r="D90" s="132" t="n">
        <f aca="false">IFERROR(SUM(D85:D89),0)</f>
        <v>1</v>
      </c>
    </row>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c r="A98" s="134"/>
      <c r="B98" s="134"/>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row>
    <row r="99" customFormat="false" ht="15.75" hidden="false" customHeight="true" outlineLevel="0" collapsed="false">
      <c r="B99" s="116" t="s">
        <v>270</v>
      </c>
    </row>
    <row r="100" customFormat="false" ht="15.75" hidden="false" customHeight="true" outlineLevel="0" collapsed="false">
      <c r="B100" s="117" t="s">
        <v>271</v>
      </c>
      <c r="C100" s="117"/>
      <c r="D100" s="117"/>
      <c r="E100" s="117"/>
    </row>
    <row r="101" customFormat="false" ht="15.75" hidden="false" customHeight="true" outlineLevel="0" collapsed="false">
      <c r="B101" s="118" t="s">
        <v>272</v>
      </c>
      <c r="C101" s="118" t="s">
        <v>119</v>
      </c>
      <c r="D101" s="118" t="s">
        <v>273</v>
      </c>
      <c r="E101" s="118" t="s">
        <v>256</v>
      </c>
    </row>
    <row r="102" customFormat="false" ht="15.75" hidden="false" customHeight="true" outlineLevel="0" collapsed="false">
      <c r="B102" s="103" t="s">
        <v>274</v>
      </c>
      <c r="C102" s="119" t="n">
        <f aca="false">COUNTIF('Bug Data'!$L:$L,20)</f>
        <v>0</v>
      </c>
      <c r="D102" s="128" t="n">
        <v>20</v>
      </c>
      <c r="E102" s="129" t="n">
        <f aca="false">IFERROR(C102/$C$107,0)</f>
        <v>0</v>
      </c>
    </row>
    <row r="103" customFormat="false" ht="15.75" hidden="false" customHeight="true" outlineLevel="0" collapsed="false">
      <c r="B103" s="103" t="s">
        <v>275</v>
      </c>
      <c r="C103" s="119" t="n">
        <f aca="false">COUNTIF('Bug Data'!$L:$L,10)</f>
        <v>0</v>
      </c>
      <c r="D103" s="128" t="n">
        <v>10</v>
      </c>
      <c r="E103" s="129" t="n">
        <f aca="false">IFERROR(C103/$C$107,0)</f>
        <v>0</v>
      </c>
    </row>
    <row r="104" customFormat="false" ht="15.75" hidden="false" customHeight="true" outlineLevel="0" collapsed="false">
      <c r="B104" s="103" t="s">
        <v>276</v>
      </c>
      <c r="C104" s="119" t="n">
        <f aca="false">COUNTIF('Bug Data'!$L:$L,5)</f>
        <v>0</v>
      </c>
      <c r="D104" s="128" t="n">
        <v>5</v>
      </c>
      <c r="E104" s="129" t="n">
        <f aca="false">IFERROR(C104/$C$107,0)</f>
        <v>0</v>
      </c>
    </row>
    <row r="105" customFormat="false" ht="15.75" hidden="false" customHeight="true" outlineLevel="0" collapsed="false">
      <c r="B105" s="103" t="s">
        <v>277</v>
      </c>
      <c r="C105" s="119" t="n">
        <f aca="false">COUNTIF('Bug Data'!$L:$L,2)</f>
        <v>0</v>
      </c>
      <c r="D105" s="128" t="n">
        <v>2</v>
      </c>
      <c r="E105" s="129" t="n">
        <f aca="false">IFERROR(C105/$C$107,0)</f>
        <v>0</v>
      </c>
    </row>
    <row r="106" customFormat="false" ht="15.75" hidden="false" customHeight="true" outlineLevel="0" collapsed="false">
      <c r="B106" s="103" t="s">
        <v>278</v>
      </c>
      <c r="C106" s="119" t="n">
        <f aca="false">COUNTIF('Bug Data'!$L:$L,0)</f>
        <v>0</v>
      </c>
      <c r="D106" s="128" t="n">
        <v>0</v>
      </c>
      <c r="E106" s="129" t="n">
        <f aca="false">IFERROR(C106/$C$107,0)</f>
        <v>0</v>
      </c>
    </row>
    <row r="107" customFormat="false" ht="15.75" hidden="false" customHeight="true" outlineLevel="0" collapsed="false">
      <c r="B107" s="36" t="s">
        <v>248</v>
      </c>
      <c r="C107" s="121" t="n">
        <f aca="false">SUM(C102:C106)</f>
        <v>0</v>
      </c>
      <c r="D107" s="131"/>
      <c r="E107" s="132" t="n">
        <f aca="false">IFERROR(SUM(E102:E106),0)</f>
        <v>0</v>
      </c>
    </row>
    <row r="108" customFormat="false" ht="15.75" hidden="false" customHeight="true" outlineLevel="0" collapsed="false">
      <c r="B108" s="40" t="s">
        <v>279</v>
      </c>
      <c r="C108" s="40"/>
      <c r="D108" s="40"/>
      <c r="E108" s="40"/>
    </row>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c r="B116" s="115" t="s">
        <v>280</v>
      </c>
      <c r="C116" s="115"/>
      <c r="D116" s="115"/>
      <c r="E116" s="115"/>
      <c r="F116" s="115"/>
      <c r="G116" s="115"/>
      <c r="H116" s="115"/>
      <c r="I116" s="115"/>
    </row>
    <row r="117" customFormat="false" ht="15.75" hidden="false" customHeight="true" outlineLevel="0" collapsed="false"/>
    <row r="118" customFormat="false" ht="15.75" hidden="false" customHeight="true" outlineLevel="0" collapsed="false">
      <c r="B118" s="116" t="s">
        <v>281</v>
      </c>
    </row>
    <row r="119" customFormat="false" ht="15.75" hidden="false" customHeight="true" outlineLevel="0" collapsed="false">
      <c r="B119" s="117" t="s">
        <v>282</v>
      </c>
      <c r="C119" s="117"/>
      <c r="D119" s="117"/>
    </row>
    <row r="120" customFormat="false" ht="15.75" hidden="false" customHeight="true" outlineLevel="0" collapsed="false">
      <c r="B120" s="118" t="s">
        <v>283</v>
      </c>
      <c r="C120" s="118" t="s">
        <v>119</v>
      </c>
      <c r="D120" s="118" t="s">
        <v>256</v>
      </c>
    </row>
    <row r="121" customFormat="false" ht="15.75" hidden="false" customHeight="true" outlineLevel="0" collapsed="false">
      <c r="B121" s="103" t="s">
        <v>284</v>
      </c>
      <c r="C121" s="119" t="n">
        <f aca="false">COUNTIF('Bug Data'!$O:$O,$B121)</f>
        <v>0</v>
      </c>
      <c r="D121" s="129" t="n">
        <f aca="false">IFERROR(C121/$C$124,0)</f>
        <v>0</v>
      </c>
    </row>
    <row r="122" customFormat="false" ht="15.75" hidden="false" customHeight="true" outlineLevel="0" collapsed="false">
      <c r="B122" s="103" t="s">
        <v>285</v>
      </c>
      <c r="C122" s="119" t="n">
        <f aca="false">COUNTIF('Bug Data'!$O:$O,$B122)</f>
        <v>0</v>
      </c>
      <c r="D122" s="129" t="n">
        <f aca="false">IFERROR(C122/$C$124,0)</f>
        <v>0</v>
      </c>
    </row>
    <row r="123" customFormat="false" ht="15.75" hidden="false" customHeight="true" outlineLevel="0" collapsed="false">
      <c r="B123" s="103" t="s">
        <v>286</v>
      </c>
      <c r="C123" s="119" t="n">
        <f aca="false">COUNTIFS('Bug Data'!$A:$A, "&lt;&gt;", 'Bug Data'!$O:$O, "")</f>
        <v>0</v>
      </c>
      <c r="D123" s="129" t="n">
        <f aca="false">IFERROR(C123/$C$124,0)</f>
        <v>0</v>
      </c>
    </row>
    <row r="124" customFormat="false" ht="15.75" hidden="false" customHeight="true" outlineLevel="0" collapsed="false">
      <c r="B124" s="36" t="s">
        <v>248</v>
      </c>
      <c r="C124" s="121" t="n">
        <f aca="false">SUM(C121:C123)</f>
        <v>0</v>
      </c>
      <c r="D124" s="132" t="n">
        <f aca="false">IFERROR(SUM(D121:D123),0)</f>
        <v>0</v>
      </c>
    </row>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c r="B135" s="116" t="s">
        <v>287</v>
      </c>
    </row>
    <row r="136" customFormat="false" ht="15.75" hidden="false" customHeight="true" outlineLevel="0" collapsed="false">
      <c r="B136" s="117" t="s">
        <v>288</v>
      </c>
      <c r="C136" s="117"/>
      <c r="D136" s="117"/>
      <c r="E136" s="117"/>
    </row>
    <row r="137" customFormat="false" ht="15.75" hidden="false" customHeight="true" outlineLevel="0" collapsed="false">
      <c r="B137" s="118" t="s">
        <v>289</v>
      </c>
      <c r="C137" s="118" t="s">
        <v>290</v>
      </c>
      <c r="D137" s="118"/>
      <c r="E137" s="118" t="s">
        <v>119</v>
      </c>
    </row>
    <row r="138" customFormat="false" ht="15.75" hidden="false" customHeight="true" outlineLevel="0" collapsed="false">
      <c r="B138" s="135" t="s">
        <v>291</v>
      </c>
      <c r="C138" s="38" t="s">
        <v>292</v>
      </c>
      <c r="D138" s="38"/>
      <c r="E138" s="119" t="n">
        <f aca="false">COUNTIF('Bug Data'!$P:$P,$B138&amp;" "&amp;$C138)</f>
        <v>0</v>
      </c>
    </row>
    <row r="139" customFormat="false" ht="15.75" hidden="false" customHeight="true" outlineLevel="0" collapsed="false">
      <c r="B139" s="135" t="s">
        <v>293</v>
      </c>
      <c r="C139" s="38" t="s">
        <v>294</v>
      </c>
      <c r="D139" s="38"/>
      <c r="E139" s="119" t="n">
        <f aca="false">COUNTIF('Bug Data'!$P:$P,$B139&amp;" "&amp;$C139)</f>
        <v>0</v>
      </c>
    </row>
    <row r="140" customFormat="false" ht="15.75" hidden="false" customHeight="true" outlineLevel="0" collapsed="false">
      <c r="B140" s="135" t="s">
        <v>295</v>
      </c>
      <c r="C140" s="38" t="s">
        <v>296</v>
      </c>
      <c r="D140" s="38"/>
      <c r="E140" s="119" t="n">
        <f aca="false">COUNTIF('Bug Data'!$P:$P,$B140&amp;" "&amp;$C140)</f>
        <v>0</v>
      </c>
    </row>
    <row r="141" customFormat="false" ht="15.75" hidden="false" customHeight="true" outlineLevel="0" collapsed="false">
      <c r="B141" s="135" t="s">
        <v>297</v>
      </c>
      <c r="C141" s="38" t="s">
        <v>298</v>
      </c>
      <c r="D141" s="38"/>
      <c r="E141" s="119" t="n">
        <f aca="false">COUNTIF('Bug Data'!$P:$P,$B141&amp;" "&amp;$C141)</f>
        <v>0</v>
      </c>
    </row>
    <row r="142" customFormat="false" ht="15.75" hidden="false" customHeight="true" outlineLevel="0" collapsed="false">
      <c r="B142" s="135" t="s">
        <v>299</v>
      </c>
      <c r="C142" s="38" t="s">
        <v>300</v>
      </c>
      <c r="D142" s="38"/>
      <c r="E142" s="119" t="n">
        <f aca="false">COUNTIF('Bug Data'!$P:$P,$B142&amp;" "&amp;$C142)</f>
        <v>0</v>
      </c>
    </row>
    <row r="143" customFormat="false" ht="15.75" hidden="false" customHeight="true" outlineLevel="0" collapsed="false">
      <c r="B143" s="135" t="s">
        <v>301</v>
      </c>
      <c r="C143" s="38" t="s">
        <v>302</v>
      </c>
      <c r="D143" s="38"/>
      <c r="E143" s="119" t="n">
        <f aca="false">COUNTIF('Bug Data'!$P:$P,$B143&amp;" "&amp;$C143)</f>
        <v>0</v>
      </c>
    </row>
    <row r="144" customFormat="false" ht="15.75" hidden="false" customHeight="true" outlineLevel="0" collapsed="false">
      <c r="B144" s="135" t="s">
        <v>303</v>
      </c>
      <c r="C144" s="38" t="s">
        <v>304</v>
      </c>
      <c r="D144" s="38"/>
      <c r="E144" s="119" t="n">
        <f aca="false">COUNTIF('Bug Data'!$P:$P,$B144&amp;" "&amp;$C144)</f>
        <v>0</v>
      </c>
    </row>
    <row r="145" customFormat="false" ht="15.75" hidden="false" customHeight="true" outlineLevel="0" collapsed="false">
      <c r="B145" s="135" t="s">
        <v>305</v>
      </c>
      <c r="C145" s="38" t="s">
        <v>306</v>
      </c>
      <c r="D145" s="38"/>
      <c r="E145" s="119" t="n">
        <f aca="false">COUNTIF('Bug Data'!$P:$P,$B145&amp;" "&amp;$C145)</f>
        <v>0</v>
      </c>
    </row>
    <row r="146" customFormat="false" ht="15.75" hidden="false" customHeight="true" outlineLevel="0" collapsed="false">
      <c r="B146" s="135" t="s">
        <v>307</v>
      </c>
      <c r="C146" s="38" t="s">
        <v>308</v>
      </c>
      <c r="D146" s="38"/>
      <c r="E146" s="119" t="n">
        <f aca="false">COUNTIF('Bug Data'!$P:$P,$B146&amp;" "&amp;$C146)</f>
        <v>0</v>
      </c>
    </row>
    <row r="147" customFormat="false" ht="15.75" hidden="false" customHeight="true" outlineLevel="0" collapsed="false">
      <c r="B147" s="135" t="s">
        <v>309</v>
      </c>
      <c r="C147" s="38" t="s">
        <v>310</v>
      </c>
      <c r="D147" s="38"/>
      <c r="E147" s="119" t="n">
        <f aca="false">COUNTIF('Bug Data'!$P:$P,$B147&amp;" "&amp;$C147)</f>
        <v>0</v>
      </c>
    </row>
    <row r="148" customFormat="false" ht="15.75" hidden="false" customHeight="true" outlineLevel="0" collapsed="false">
      <c r="B148" s="135" t="s">
        <v>248</v>
      </c>
      <c r="C148" s="38"/>
      <c r="D148" s="38"/>
      <c r="E148" s="119" t="n">
        <f aca="false">SUM(E138:E147)</f>
        <v>0</v>
      </c>
    </row>
    <row r="149" customFormat="false" ht="15.75" hidden="false" customHeight="true" outlineLevel="0" collapsed="false"/>
    <row r="150" customFormat="false" ht="15.75" hidden="false" customHeight="true" outlineLevel="0" collapsed="false"/>
    <row r="151" customFormat="false" ht="15.75" hidden="false" customHeight="true" outlineLevel="0" collapsed="false">
      <c r="B151" s="116" t="s">
        <v>311</v>
      </c>
    </row>
    <row r="152" customFormat="false" ht="15.75" hidden="false" customHeight="true" outlineLevel="0" collapsed="false">
      <c r="B152" s="117" t="s">
        <v>312</v>
      </c>
      <c r="C152" s="117"/>
    </row>
    <row r="153" customFormat="false" ht="15.75" hidden="false" customHeight="true" outlineLevel="0" collapsed="false">
      <c r="B153" s="118" t="s">
        <v>313</v>
      </c>
      <c r="C153" s="118" t="s">
        <v>314</v>
      </c>
    </row>
    <row r="154" customFormat="false" ht="15.75" hidden="false" customHeight="true" outlineLevel="0" collapsed="false">
      <c r="B154" s="103" t="s">
        <v>315</v>
      </c>
      <c r="C154" s="119" t="n">
        <f aca="false">COUNTIF('Bug Data'!$Q:$Q,$B154)</f>
        <v>0</v>
      </c>
    </row>
    <row r="155" customFormat="false" ht="15.75" hidden="false" customHeight="true" outlineLevel="0" collapsed="false">
      <c r="B155" s="103" t="s">
        <v>316</v>
      </c>
      <c r="C155" s="119" t="n">
        <f aca="false">COUNTIF('Bug Data'!$Q:$Q,$B155)</f>
        <v>0</v>
      </c>
    </row>
    <row r="156" customFormat="false" ht="15.75" hidden="false" customHeight="true" outlineLevel="0" collapsed="false">
      <c r="B156" s="103" t="s">
        <v>317</v>
      </c>
      <c r="C156" s="119" t="n">
        <f aca="false">COUNTIF('Bug Data'!$Q:$Q,$B156)</f>
        <v>0</v>
      </c>
    </row>
    <row r="157" customFormat="false" ht="15.75" hidden="false" customHeight="true" outlineLevel="0" collapsed="false">
      <c r="B157" s="103" t="s">
        <v>318</v>
      </c>
      <c r="C157" s="119" t="n">
        <f aca="false">COUNTIF('Bug Data'!$Q:$Q,$B157)</f>
        <v>0</v>
      </c>
    </row>
    <row r="158" customFormat="false" ht="15.75" hidden="false" customHeight="true" outlineLevel="0" collapsed="false">
      <c r="B158" s="103" t="s">
        <v>319</v>
      </c>
      <c r="C158" s="119" t="n">
        <f aca="false">COUNTIF('Bug Data'!$Q:$Q,$B158)</f>
        <v>0</v>
      </c>
    </row>
    <row r="159" customFormat="false" ht="15.75" hidden="false" customHeight="true" outlineLevel="0" collapsed="false">
      <c r="B159" s="103" t="s">
        <v>320</v>
      </c>
      <c r="C159" s="119" t="n">
        <f aca="false">COUNTIF('Bug Data'!$Q:$Q,$B159)</f>
        <v>0</v>
      </c>
    </row>
    <row r="160" customFormat="false" ht="15.75" hidden="false" customHeight="true" outlineLevel="0" collapsed="false">
      <c r="B160" s="36" t="s">
        <v>248</v>
      </c>
      <c r="C160" s="121" t="n">
        <f aca="false">SUM(C154:C159)</f>
        <v>0</v>
      </c>
    </row>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c r="B167" s="116" t="s">
        <v>321</v>
      </c>
    </row>
    <row r="168" customFormat="false" ht="15.75" hidden="false" customHeight="true" outlineLevel="0" collapsed="false">
      <c r="B168" s="117" t="s">
        <v>322</v>
      </c>
      <c r="C168" s="117"/>
    </row>
    <row r="169" customFormat="false" ht="15.75" hidden="false" customHeight="true" outlineLevel="0" collapsed="false">
      <c r="B169" s="118" t="s">
        <v>313</v>
      </c>
      <c r="C169" s="118" t="s">
        <v>314</v>
      </c>
    </row>
    <row r="170" customFormat="false" ht="15.75" hidden="false" customHeight="true" outlineLevel="0" collapsed="false">
      <c r="B170" s="103" t="s">
        <v>323</v>
      </c>
      <c r="C170" s="119" t="n">
        <f aca="false">COUNTIF('Bug Data'!$R:$R,$B170)</f>
        <v>0</v>
      </c>
    </row>
    <row r="171" customFormat="false" ht="15.75" hidden="false" customHeight="true" outlineLevel="0" collapsed="false">
      <c r="B171" s="103" t="s">
        <v>324</v>
      </c>
      <c r="C171" s="119" t="n">
        <f aca="false">COUNTIF('Bug Data'!$R:$R,$B171)</f>
        <v>0</v>
      </c>
    </row>
    <row r="172" customFormat="false" ht="15.75" hidden="false" customHeight="true" outlineLevel="0" collapsed="false">
      <c r="B172" s="103" t="s">
        <v>325</v>
      </c>
      <c r="C172" s="119" t="n">
        <f aca="false">COUNTIF('Bug Data'!$R:$R,$B172)</f>
        <v>0</v>
      </c>
    </row>
    <row r="173" customFormat="false" ht="15.75" hidden="false" customHeight="true" outlineLevel="0" collapsed="false">
      <c r="B173" s="103" t="s">
        <v>326</v>
      </c>
      <c r="C173" s="119" t="n">
        <f aca="false">COUNTIF('Bug Data'!$R:$R,$B173)</f>
        <v>0</v>
      </c>
    </row>
    <row r="174" customFormat="false" ht="15.75" hidden="false" customHeight="true" outlineLevel="0" collapsed="false">
      <c r="B174" s="103" t="s">
        <v>327</v>
      </c>
      <c r="C174" s="119" t="n">
        <f aca="false">COUNTIF('Bug Data'!$R:$R,$B174)</f>
        <v>0</v>
      </c>
    </row>
    <row r="175" customFormat="false" ht="15.75" hidden="false" customHeight="true" outlineLevel="0" collapsed="false">
      <c r="B175" s="36" t="s">
        <v>248</v>
      </c>
      <c r="C175" s="121" t="n">
        <f aca="false">SUM(C170:C174)</f>
        <v>0</v>
      </c>
    </row>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c r="B183" s="116" t="s">
        <v>328</v>
      </c>
    </row>
    <row r="184" customFormat="false" ht="15.75" hidden="false" customHeight="true" outlineLevel="0" collapsed="false">
      <c r="B184" s="117" t="s">
        <v>329</v>
      </c>
      <c r="C184" s="117"/>
    </row>
    <row r="185" customFormat="false" ht="15.75" hidden="false" customHeight="true" outlineLevel="0" collapsed="false">
      <c r="B185" s="118" t="s">
        <v>330</v>
      </c>
      <c r="C185" s="118" t="s">
        <v>314</v>
      </c>
    </row>
    <row r="186" customFormat="false" ht="15.75" hidden="false" customHeight="true" outlineLevel="0" collapsed="false">
      <c r="B186" s="103" t="s">
        <v>331</v>
      </c>
      <c r="C186" s="119" t="n">
        <f aca="false">COUNTIFS('Bug Data'!$S:$S,"&gt;="&amp;1,'Bug Data'!$S:$S,"&lt;="&amp;2)</f>
        <v>0</v>
      </c>
    </row>
    <row r="187" customFormat="false" ht="15.75" hidden="false" customHeight="true" outlineLevel="0" collapsed="false">
      <c r="B187" s="103" t="s">
        <v>332</v>
      </c>
      <c r="C187" s="119" t="n">
        <f aca="false">COUNTIFS('Bug Data'!$S:$S,"&gt;="&amp;3,'Bug Data'!$S:$S,"&lt;="&amp;5)</f>
        <v>0</v>
      </c>
    </row>
    <row r="188" customFormat="false" ht="15.75" hidden="false" customHeight="true" outlineLevel="0" collapsed="false">
      <c r="B188" s="103" t="s">
        <v>333</v>
      </c>
      <c r="C188" s="119" t="n">
        <f aca="false">COUNTIFS('Bug Data'!$S:$S,"&gt;="&amp;6,'Bug Data'!$S:$S,"&lt;="&amp;7)</f>
        <v>0</v>
      </c>
    </row>
    <row r="189" customFormat="false" ht="15.75" hidden="false" customHeight="true" outlineLevel="0" collapsed="false">
      <c r="B189" s="103" t="s">
        <v>334</v>
      </c>
      <c r="C189" s="119" t="n">
        <f aca="false">COUNTIFS('Bug Data'!$S:$S,"&gt;="&amp;8,'Bug Data'!$S:$S,"&lt;="&amp;10)</f>
        <v>0</v>
      </c>
    </row>
    <row r="190" customFormat="false" ht="15.75" hidden="false" customHeight="true" outlineLevel="0" collapsed="false">
      <c r="B190" s="36" t="s">
        <v>248</v>
      </c>
      <c r="C190" s="121" t="n">
        <f aca="false">SUM(C186:C189)</f>
        <v>0</v>
      </c>
    </row>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c r="B199" s="116" t="s">
        <v>335</v>
      </c>
    </row>
    <row r="200" customFormat="false" ht="15.75" hidden="false" customHeight="true" outlineLevel="0" collapsed="false">
      <c r="B200" s="136" t="s">
        <v>336</v>
      </c>
      <c r="C200" s="136"/>
      <c r="D200" s="136"/>
    </row>
    <row r="201" customFormat="false" ht="15.75" hidden="false" customHeight="true" outlineLevel="0" collapsed="false">
      <c r="B201" s="113" t="s">
        <v>118</v>
      </c>
      <c r="C201" s="137" t="s">
        <v>119</v>
      </c>
      <c r="D201" s="137" t="s">
        <v>120</v>
      </c>
    </row>
    <row r="202" customFormat="false" ht="15.75" hidden="false" customHeight="true" outlineLevel="0" collapsed="false">
      <c r="B202" s="138" t="s">
        <v>107</v>
      </c>
      <c r="C202" s="51" t="n">
        <f aca="false">Summary!$C$17</f>
        <v>223</v>
      </c>
      <c r="D202" s="139" t="n">
        <v>1</v>
      </c>
    </row>
    <row r="203" customFormat="false" ht="15.75" hidden="false" customHeight="true" outlineLevel="0" collapsed="false">
      <c r="B203" s="138" t="s">
        <v>337</v>
      </c>
      <c r="C203" s="51" t="n">
        <f aca="false">Summary!$C$44</f>
        <v>223</v>
      </c>
      <c r="D203" s="140" t="n">
        <f aca="false">IFERROR(C203/$C$202,0)</f>
        <v>1</v>
      </c>
    </row>
    <row r="204" customFormat="false" ht="15.75" hidden="false" customHeight="true" outlineLevel="0" collapsed="false">
      <c r="B204" s="138" t="s">
        <v>338</v>
      </c>
      <c r="C204" s="51" t="n">
        <f aca="false">Summary!$C$45</f>
        <v>0</v>
      </c>
      <c r="D204" s="52" t="n">
        <f aca="false">IFERROR(C204/$C$202,0)</f>
        <v>0</v>
      </c>
    </row>
    <row r="205" customFormat="false" ht="15.75" hidden="false" customHeight="true" outlineLevel="0" collapsed="false">
      <c r="B205" s="138" t="s">
        <v>339</v>
      </c>
      <c r="C205" s="51" t="n">
        <f aca="false">Summary!$C$46</f>
        <v>0</v>
      </c>
      <c r="D205" s="140" t="n">
        <f aca="false">IFERROR(C205/$C$202,0)</f>
        <v>0</v>
      </c>
    </row>
    <row r="206" customFormat="false" ht="15.75" hidden="false" customHeight="true" outlineLevel="0" collapsed="false">
      <c r="B206" s="138" t="s">
        <v>340</v>
      </c>
      <c r="C206" s="51" t="n">
        <f aca="false">Summary!$C$47</f>
        <v>0</v>
      </c>
      <c r="D206" s="140" t="n">
        <f aca="false">IFERROR(C206/$C$202,0)</f>
        <v>0</v>
      </c>
    </row>
    <row r="207" customFormat="false" ht="15.75" hidden="false" customHeight="true" outlineLevel="0" collapsed="false">
      <c r="B207" s="138" t="s">
        <v>341</v>
      </c>
      <c r="C207" s="51" t="n">
        <f aca="false">Summary!$C$49</f>
        <v>0</v>
      </c>
      <c r="D207" s="52" t="n">
        <f aca="false">IFERROR(C207/$C$202,0)</f>
        <v>0</v>
      </c>
    </row>
    <row r="208" customFormat="false" ht="15.75" hidden="false" customHeight="true" outlineLevel="0" collapsed="false">
      <c r="B208" s="138" t="s">
        <v>125</v>
      </c>
      <c r="C208" s="51" t="n">
        <f aca="false">Summary!$C$48</f>
        <v>0</v>
      </c>
      <c r="D208" s="140" t="n">
        <f aca="false">IFERROR(C208/$C$202,0)</f>
        <v>0</v>
      </c>
    </row>
    <row r="209" customFormat="false" ht="15.75" hidden="false" customHeight="true" outlineLevel="0" collapsed="false">
      <c r="B209" s="138" t="s">
        <v>342</v>
      </c>
      <c r="C209" s="141" t="n">
        <v>0</v>
      </c>
      <c r="D209" s="140" t="n">
        <f aca="false">IFERROR(C209/COUNTIF('Bug Data'!$D$2:$D$250,"?*"),0)</f>
        <v>0</v>
      </c>
    </row>
    <row r="210" customFormat="false" ht="15.75" hidden="false" customHeight="true" outlineLevel="0" collapsed="false">
      <c r="B210" s="142"/>
      <c r="D210" s="143"/>
    </row>
    <row r="211" customFormat="false" ht="15.75" hidden="false" customHeight="true" outlineLevel="0" collapsed="false">
      <c r="B211" s="144" t="s">
        <v>343</v>
      </c>
      <c r="C211" s="144"/>
      <c r="D211" s="144"/>
    </row>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c r="B217" s="145" t="s">
        <v>344</v>
      </c>
      <c r="C217" s="145"/>
      <c r="D217" s="145"/>
      <c r="E217" s="145"/>
      <c r="F217" s="145"/>
      <c r="G217" s="145"/>
      <c r="H217" s="145"/>
      <c r="I217" s="145"/>
      <c r="J217" s="145"/>
      <c r="K217" s="145"/>
      <c r="L217" s="145"/>
    </row>
    <row r="218" customFormat="false" ht="15.75" hidden="false" customHeight="true" outlineLevel="0" collapsed="false">
      <c r="B218" s="62" t="s">
        <v>345</v>
      </c>
      <c r="C218" s="62"/>
      <c r="D218" s="62"/>
      <c r="E218" s="62"/>
      <c r="F218" s="62"/>
      <c r="G218" s="62"/>
      <c r="H218" s="62"/>
      <c r="I218" s="62"/>
      <c r="J218" s="62"/>
      <c r="K218" s="62"/>
      <c r="L218" s="62"/>
    </row>
    <row r="219" customFormat="false" ht="15.75" hidden="false" customHeight="true" outlineLevel="0" collapsed="false">
      <c r="B219" s="146" t="s">
        <v>346</v>
      </c>
      <c r="C219" s="146"/>
      <c r="D219" s="146"/>
      <c r="E219" s="146"/>
      <c r="F219" s="146"/>
      <c r="G219" s="146"/>
      <c r="H219" s="146"/>
      <c r="I219" s="146"/>
      <c r="J219" s="146"/>
      <c r="K219" s="146"/>
      <c r="L219" s="146"/>
    </row>
    <row r="220" customFormat="false" ht="31.5" hidden="false" customHeight="true" outlineLevel="0" collapsed="false">
      <c r="B220" s="147" t="s">
        <v>347</v>
      </c>
      <c r="C220" s="148" t="s">
        <v>348</v>
      </c>
      <c r="D220" s="148" t="s">
        <v>262</v>
      </c>
      <c r="E220" s="148" t="s">
        <v>155</v>
      </c>
      <c r="F220" s="149" t="s">
        <v>23</v>
      </c>
      <c r="G220" s="149" t="s">
        <v>25</v>
      </c>
      <c r="H220" s="147" t="s">
        <v>27</v>
      </c>
      <c r="I220" s="147" t="s">
        <v>29</v>
      </c>
      <c r="J220" s="147" t="s">
        <v>349</v>
      </c>
      <c r="K220" s="147" t="s">
        <v>350</v>
      </c>
      <c r="L220" s="147" t="s">
        <v>351</v>
      </c>
    </row>
    <row r="221" customFormat="false" ht="30" hidden="false" customHeight="true" outlineLevel="0" collapsed="false">
      <c r="B221" s="150" t="s">
        <v>352</v>
      </c>
      <c r="C221" s="151"/>
      <c r="D221" s="152" t="n">
        <f aca="false">Dashboard!$F$34</f>
        <v>223</v>
      </c>
      <c r="E221" s="152" t="n">
        <f aca="false">Dashboard!$AE$34</f>
        <v>10</v>
      </c>
      <c r="F221" s="152" t="n">
        <f aca="false">Dashboard!$AF$34</f>
        <v>10</v>
      </c>
      <c r="G221" s="152" t="n">
        <f aca="false">Dashboard!$AG$34</f>
        <v>0</v>
      </c>
      <c r="H221" s="152" t="n">
        <f aca="false">Dashboard!$AH$34</f>
        <v>0</v>
      </c>
      <c r="I221" s="152" t="n">
        <f aca="false">Dashboard!$AI$34</f>
        <v>0</v>
      </c>
      <c r="J221" s="153" t="n">
        <f aca="false">IFERROR(IF(E221=0,"",E221/D221),"")</f>
        <v>0.0448430493273543</v>
      </c>
      <c r="K221" s="153" t="n">
        <f aca="false">IFERROR(IF(E221=0,"",F221/E221),"")</f>
        <v>1</v>
      </c>
      <c r="L221" s="151" t="s">
        <v>353</v>
      </c>
    </row>
    <row r="222" customFormat="false" ht="30" hidden="false" customHeight="true" outlineLevel="0" collapsed="false">
      <c r="B222" s="150" t="s">
        <v>354</v>
      </c>
      <c r="C222" s="151"/>
      <c r="D222" s="152" t="n">
        <f aca="false">Dashboard!$F$34</f>
        <v>223</v>
      </c>
      <c r="E222" s="152" t="n">
        <f aca="false">Dashboard!$AJ$34</f>
        <v>0</v>
      </c>
      <c r="F222" s="152" t="n">
        <f aca="false">Dashboard!$AK$34</f>
        <v>0</v>
      </c>
      <c r="G222" s="152" t="n">
        <f aca="false">Dashboard!$AL$34</f>
        <v>0</v>
      </c>
      <c r="H222" s="152" t="n">
        <f aca="false">Dashboard!$AM$34</f>
        <v>0</v>
      </c>
      <c r="I222" s="152" t="n">
        <f aca="false">Dashboard!$AN$34</f>
        <v>0</v>
      </c>
      <c r="J222" s="153" t="str">
        <f aca="false">IFERROR(IF(E222=0,"",E222/D222),"")</f>
        <v/>
      </c>
      <c r="K222" s="153" t="str">
        <f aca="false">IFERROR(IF(E222=0,"",F222/E222),"")</f>
        <v/>
      </c>
      <c r="L222" s="151"/>
    </row>
    <row r="223" customFormat="false" ht="30" hidden="false" customHeight="true" outlineLevel="0" collapsed="false">
      <c r="B223" s="150" t="s">
        <v>355</v>
      </c>
      <c r="C223" s="151"/>
      <c r="D223" s="152" t="n">
        <f aca="false">Dashboard!$F$34</f>
        <v>223</v>
      </c>
      <c r="E223" s="152" t="n">
        <f aca="false">Dashboard!$AO$34</f>
        <v>0</v>
      </c>
      <c r="F223" s="152" t="n">
        <f aca="false">Dashboard!$AP$34</f>
        <v>0</v>
      </c>
      <c r="G223" s="152" t="n">
        <f aca="false">Dashboard!$AQ$34</f>
        <v>0</v>
      </c>
      <c r="H223" s="152" t="n">
        <f aca="false">Dashboard!$AR$34</f>
        <v>0</v>
      </c>
      <c r="I223" s="152" t="n">
        <f aca="false">Dashboard!$AS$34</f>
        <v>0</v>
      </c>
      <c r="J223" s="153" t="str">
        <f aca="false">IFERROR(IF(E223=0,"",E223/D223),"")</f>
        <v/>
      </c>
      <c r="K223" s="153" t="str">
        <f aca="false">IFERROR(IF(E223=0,"",F223/E223),"")</f>
        <v/>
      </c>
      <c r="L223" s="151"/>
    </row>
    <row r="224" customFormat="false" ht="30" hidden="false" customHeight="true" outlineLevel="0" collapsed="false">
      <c r="B224" s="150" t="s">
        <v>356</v>
      </c>
      <c r="C224" s="151"/>
      <c r="D224" s="152" t="n">
        <f aca="false">Dashboard!$F$34</f>
        <v>223</v>
      </c>
      <c r="E224" s="152" t="n">
        <f aca="false">Dashboard!$AT$34</f>
        <v>0</v>
      </c>
      <c r="F224" s="152" t="n">
        <f aca="false">Dashboard!$AU$34</f>
        <v>0</v>
      </c>
      <c r="G224" s="152" t="n">
        <f aca="false">Dashboard!$AV$34</f>
        <v>0</v>
      </c>
      <c r="H224" s="152" t="n">
        <f aca="false">Dashboard!$AW$34</f>
        <v>0</v>
      </c>
      <c r="I224" s="152" t="n">
        <f aca="false">Dashboard!$AX$34</f>
        <v>0</v>
      </c>
      <c r="J224" s="153" t="str">
        <f aca="false">IFERROR(IF(E224=0,"",E224/D224),"")</f>
        <v/>
      </c>
      <c r="K224" s="153" t="str">
        <f aca="false">IFERROR(IF(E224=0,"",F224/E224),"")</f>
        <v/>
      </c>
      <c r="L224" s="151"/>
    </row>
    <row r="225" customFormat="false" ht="30" hidden="false" customHeight="true" outlineLevel="0" collapsed="false">
      <c r="B225" s="150" t="s">
        <v>357</v>
      </c>
      <c r="C225" s="151"/>
      <c r="D225" s="152" t="n">
        <f aca="false">Dashboard!$F$34</f>
        <v>223</v>
      </c>
      <c r="E225" s="152" t="n">
        <f aca="false">Dashboard!$AY$34</f>
        <v>0</v>
      </c>
      <c r="F225" s="152" t="n">
        <f aca="false">Dashboard!$AZ$34</f>
        <v>0</v>
      </c>
      <c r="G225" s="152" t="n">
        <f aca="false">Dashboard!$BA$34</f>
        <v>0</v>
      </c>
      <c r="H225" s="152" t="n">
        <f aca="false">Dashboard!$BB$34</f>
        <v>0</v>
      </c>
      <c r="I225" s="152" t="n">
        <f aca="false">Dashboard!$BC$34</f>
        <v>0</v>
      </c>
      <c r="J225" s="153" t="str">
        <f aca="false">IFERROR(IF(E225=0,"",E225/D225),"")</f>
        <v/>
      </c>
      <c r="K225" s="153" t="str">
        <f aca="false">IFERROR(IF(E225=0,"",F225/E225),"")</f>
        <v/>
      </c>
      <c r="L225" s="151"/>
    </row>
    <row r="226" customFormat="false" ht="30" hidden="false" customHeight="true" outlineLevel="0" collapsed="false">
      <c r="B226" s="154" t="s">
        <v>358</v>
      </c>
      <c r="C226" s="155" t="str">
        <f aca="false">IF(OR(Summary!$C$10="",Summary!$C$11=""),"",TEXT(Summary!$C$10,"DD/MM/YYYY")&amp;"  →  "&amp;TEXT(Summary!$C$11,"DD/MM/YYYY"))</f>
        <v>18/09/2026  →  25/09/2026</v>
      </c>
      <c r="D226" s="155" t="n">
        <f aca="false">Dashboard!$F$34</f>
        <v>223</v>
      </c>
      <c r="E226" s="155" t="n">
        <f aca="false">Dashboard!$L$34</f>
        <v>10</v>
      </c>
      <c r="F226" s="155" t="n">
        <f aca="false">Dashboard!$G$34</f>
        <v>10</v>
      </c>
      <c r="G226" s="155" t="n">
        <f aca="false">Dashboard!$H$34</f>
        <v>0</v>
      </c>
      <c r="H226" s="155" t="n">
        <f aca="false">Dashboard!$I$34</f>
        <v>0</v>
      </c>
      <c r="I226" s="155" t="n">
        <f aca="false">Dashboard!$J$34</f>
        <v>0</v>
      </c>
      <c r="J226" s="156" t="n">
        <f aca="false">IFERROR(E226/D226,0)</f>
        <v>0.0448430493273543</v>
      </c>
      <c r="K226" s="156" t="n">
        <f aca="false">IFERROR(F226/E226,0)</f>
        <v>1</v>
      </c>
      <c r="L226" s="155" t="s">
        <v>353</v>
      </c>
    </row>
    <row r="227" customFormat="false" ht="15.75" hidden="false" customHeight="true" outlineLevel="0" collapsed="false">
      <c r="B227" s="157"/>
      <c r="C227" s="158"/>
      <c r="D227" s="158"/>
      <c r="E227" s="158"/>
      <c r="F227" s="159"/>
      <c r="G227" s="159"/>
      <c r="H227" s="22"/>
      <c r="I227" s="22"/>
      <c r="J227" s="22"/>
      <c r="K227" s="22"/>
    </row>
    <row r="228" customFormat="false" ht="15.75" hidden="false" customHeight="true" outlineLevel="0" collapsed="false">
      <c r="B228" s="146" t="s">
        <v>359</v>
      </c>
      <c r="C228" s="146"/>
      <c r="D228" s="146"/>
      <c r="E228" s="22"/>
      <c r="F228" s="22"/>
      <c r="G228" s="22"/>
      <c r="H228" s="22"/>
      <c r="I228" s="22"/>
      <c r="J228" s="22"/>
      <c r="K228" s="22"/>
    </row>
    <row r="229" customFormat="false" ht="15.75" hidden="false" customHeight="true" outlineLevel="0" collapsed="false">
      <c r="B229" s="147" t="s">
        <v>347</v>
      </c>
      <c r="C229" s="147" t="s">
        <v>360</v>
      </c>
      <c r="D229" s="147" t="s">
        <v>361</v>
      </c>
      <c r="E229" s="22"/>
      <c r="F229" s="22"/>
      <c r="G229" s="22"/>
      <c r="H229" s="22"/>
      <c r="I229" s="22"/>
      <c r="J229" s="22"/>
      <c r="K229" s="22"/>
    </row>
    <row r="230" customFormat="false" ht="15.75" hidden="false" customHeight="true" outlineLevel="0" collapsed="false">
      <c r="B230" s="160" t="n">
        <v>1</v>
      </c>
      <c r="C230" s="161" t="n">
        <f aca="false">COUNTIF('Bug Data'!$T:$T,$B230)</f>
        <v>0</v>
      </c>
      <c r="D230" s="161" t="n">
        <f aca="false">COUNTIF('Bug Data'!$U:$U,$B230)</f>
        <v>0</v>
      </c>
      <c r="E230" s="22"/>
      <c r="F230" s="22"/>
      <c r="G230" s="22"/>
      <c r="H230" s="22"/>
      <c r="I230" s="22"/>
      <c r="J230" s="22"/>
      <c r="K230" s="22"/>
    </row>
    <row r="231" customFormat="false" ht="15.75" hidden="false" customHeight="true" outlineLevel="0" collapsed="false">
      <c r="B231" s="160" t="n">
        <v>2</v>
      </c>
      <c r="C231" s="161" t="n">
        <f aca="false">COUNTIF('Bug Data'!$T:$T,$B231)</f>
        <v>0</v>
      </c>
      <c r="D231" s="161" t="n">
        <f aca="false">COUNTIF('Bug Data'!$U:$U,$B231)</f>
        <v>0</v>
      </c>
      <c r="E231" s="22"/>
      <c r="F231" s="22"/>
      <c r="G231" s="22"/>
      <c r="H231" s="22"/>
      <c r="I231" s="22"/>
      <c r="J231" s="22"/>
      <c r="K231" s="22"/>
    </row>
    <row r="232" customFormat="false" ht="15.75" hidden="false" customHeight="true" outlineLevel="0" collapsed="false">
      <c r="B232" s="160" t="n">
        <v>3</v>
      </c>
      <c r="C232" s="161" t="n">
        <f aca="false">COUNTIF('Bug Data'!$T:$T,$B232)</f>
        <v>0</v>
      </c>
      <c r="D232" s="161" t="n">
        <f aca="false">COUNTIF('Bug Data'!$U:$U,$B232)</f>
        <v>0</v>
      </c>
      <c r="E232" s="22"/>
      <c r="F232" s="22"/>
      <c r="G232" s="22"/>
      <c r="H232" s="22"/>
      <c r="I232" s="22"/>
      <c r="J232" s="22"/>
      <c r="K232" s="22"/>
    </row>
    <row r="233" customFormat="false" ht="15.75" hidden="false" customHeight="true" outlineLevel="0" collapsed="false">
      <c r="B233" s="162" t="n">
        <v>4</v>
      </c>
      <c r="C233" s="152" t="n">
        <f aca="false">COUNTIF('Bug Data'!$T:$T,$B233)</f>
        <v>0</v>
      </c>
      <c r="D233" s="161" t="n">
        <f aca="false">COUNTIF('Bug Data'!$U:$U,$B233)</f>
        <v>0</v>
      </c>
      <c r="E233" s="22"/>
      <c r="F233" s="22"/>
      <c r="G233" s="22"/>
      <c r="H233" s="22"/>
      <c r="I233" s="22"/>
      <c r="J233" s="22"/>
      <c r="K233" s="22"/>
    </row>
    <row r="234" customFormat="false" ht="15.75" hidden="false" customHeight="true" outlineLevel="0" collapsed="false">
      <c r="B234" s="162" t="n">
        <v>5</v>
      </c>
      <c r="C234" s="152" t="n">
        <f aca="false">COUNTIF('Bug Data'!$T:$T,$B234)</f>
        <v>0</v>
      </c>
      <c r="D234" s="161" t="n">
        <f aca="false">COUNTIF('Bug Data'!$U:$U,$B234)</f>
        <v>0</v>
      </c>
      <c r="E234" s="22"/>
      <c r="F234" s="22"/>
      <c r="G234" s="22"/>
      <c r="H234" s="22"/>
      <c r="I234" s="22"/>
      <c r="J234" s="22"/>
      <c r="K234" s="22"/>
    </row>
    <row r="235" customFormat="false" ht="15.75" hidden="false" customHeight="true" outlineLevel="0" collapsed="false">
      <c r="B235" s="163" t="s">
        <v>248</v>
      </c>
      <c r="C235" s="163" t="n">
        <f aca="false">SUM(C230:C234)</f>
        <v>0</v>
      </c>
      <c r="D235" s="164" t="n">
        <f aca="false">SUM(D230:D234)</f>
        <v>0</v>
      </c>
      <c r="E235" s="22"/>
      <c r="F235" s="22"/>
      <c r="G235" s="22"/>
      <c r="H235" s="22"/>
      <c r="I235" s="22"/>
      <c r="J235" s="22"/>
      <c r="K235" s="22"/>
    </row>
    <row r="236" customFormat="false" ht="15.75" hidden="false" customHeight="true" outlineLevel="0" collapsed="false">
      <c r="B236" s="165" t="s">
        <v>362</v>
      </c>
      <c r="C236" s="165"/>
      <c r="D236" s="165"/>
      <c r="E236" s="165"/>
      <c r="F236" s="165"/>
      <c r="G236" s="165"/>
      <c r="H236" s="165"/>
      <c r="I236" s="165"/>
      <c r="J236" s="165"/>
      <c r="K236" s="165"/>
    </row>
    <row r="237" customFormat="false" ht="15.75" hidden="false" customHeight="true" outlineLevel="0" collapsed="false">
      <c r="B237" s="158"/>
      <c r="C237" s="158"/>
      <c r="D237" s="22"/>
      <c r="E237" s="22"/>
      <c r="F237" s="22"/>
      <c r="G237" s="22"/>
      <c r="H237" s="22"/>
      <c r="I237" s="22"/>
      <c r="J237" s="22"/>
      <c r="K237" s="22"/>
    </row>
    <row r="238" customFormat="false" ht="15.75" hidden="false" customHeight="true" outlineLevel="0" collapsed="false">
      <c r="B238" s="158"/>
      <c r="C238" s="158"/>
      <c r="D238" s="22"/>
      <c r="E238" s="22"/>
      <c r="F238" s="22"/>
      <c r="G238" s="22"/>
      <c r="H238" s="22"/>
      <c r="I238" s="22"/>
      <c r="J238" s="22"/>
      <c r="K238" s="22"/>
    </row>
    <row r="239" customFormat="false" ht="15.75" hidden="false" customHeight="true" outlineLevel="0" collapsed="false">
      <c r="B239" s="158"/>
      <c r="C239" s="158"/>
      <c r="D239" s="22"/>
      <c r="E239" s="22"/>
      <c r="F239" s="22"/>
      <c r="G239" s="22"/>
      <c r="H239" s="22"/>
      <c r="I239" s="22"/>
      <c r="J239" s="22"/>
      <c r="K239" s="22"/>
    </row>
    <row r="240" customFormat="false" ht="15.75" hidden="false" customHeight="true" outlineLevel="0" collapsed="false">
      <c r="B240" s="158"/>
      <c r="C240" s="158"/>
      <c r="D240" s="22"/>
      <c r="E240" s="22"/>
      <c r="F240" s="22"/>
      <c r="G240" s="22"/>
      <c r="H240" s="22"/>
      <c r="I240" s="22"/>
      <c r="J240" s="22"/>
      <c r="K240" s="22"/>
    </row>
    <row r="241" customFormat="false" ht="15.75" hidden="false" customHeight="true" outlineLevel="0" collapsed="false">
      <c r="B241" s="166"/>
      <c r="C241" s="158"/>
      <c r="D241" s="22"/>
      <c r="E241" s="22"/>
      <c r="F241" s="22"/>
      <c r="G241" s="22"/>
      <c r="H241" s="22"/>
      <c r="I241" s="22"/>
      <c r="J241" s="22"/>
      <c r="K241" s="22"/>
    </row>
    <row r="242" customFormat="false" ht="15.75" hidden="false" customHeight="true" outlineLevel="0" collapsed="false">
      <c r="B242" s="167"/>
      <c r="C242" s="22"/>
      <c r="D242" s="22"/>
      <c r="E242" s="22"/>
      <c r="F242" s="22"/>
      <c r="G242" s="22"/>
      <c r="H242" s="22"/>
      <c r="I242" s="22"/>
      <c r="J242" s="22"/>
      <c r="K242" s="22"/>
    </row>
    <row r="243" customFormat="false" ht="15.75" hidden="false" customHeight="true" outlineLevel="0" collapsed="false">
      <c r="B243" s="22"/>
      <c r="C243" s="22"/>
      <c r="D243" s="22"/>
      <c r="E243" s="22"/>
      <c r="F243" s="22"/>
      <c r="G243" s="22"/>
      <c r="H243" s="22"/>
      <c r="I243" s="22"/>
      <c r="J243" s="22"/>
      <c r="K243" s="22"/>
    </row>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sheetData>
  <mergeCells count="57">
    <mergeCell ref="F2:J2"/>
    <mergeCell ref="C3:D3"/>
    <mergeCell ref="F3:H3"/>
    <mergeCell ref="I3:J3"/>
    <mergeCell ref="C4:D4"/>
    <mergeCell ref="F4:H4"/>
    <mergeCell ref="I4:J4"/>
    <mergeCell ref="C5:D5"/>
    <mergeCell ref="F5:H5"/>
    <mergeCell ref="I5:J5"/>
    <mergeCell ref="C6:D6"/>
    <mergeCell ref="F6:H6"/>
    <mergeCell ref="I6:J6"/>
    <mergeCell ref="B7:D9"/>
    <mergeCell ref="F7:H7"/>
    <mergeCell ref="I7:J7"/>
    <mergeCell ref="F8:H8"/>
    <mergeCell ref="I8:J8"/>
    <mergeCell ref="F9:H9"/>
    <mergeCell ref="I9:J9"/>
    <mergeCell ref="F10:H10"/>
    <mergeCell ref="I10:J10"/>
    <mergeCell ref="F11:J11"/>
    <mergeCell ref="B13:I13"/>
    <mergeCell ref="B16:I16"/>
    <mergeCell ref="B22:I22"/>
    <mergeCell ref="B41:K41"/>
    <mergeCell ref="B55:K55"/>
    <mergeCell ref="B58:G58"/>
    <mergeCell ref="B72:G72"/>
    <mergeCell ref="B83:D83"/>
    <mergeCell ref="B100:E100"/>
    <mergeCell ref="B108:E108"/>
    <mergeCell ref="B116:I116"/>
    <mergeCell ref="B119:D119"/>
    <mergeCell ref="B136:E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B152:C152"/>
    <mergeCell ref="B168:C168"/>
    <mergeCell ref="B184:C184"/>
    <mergeCell ref="B200:D200"/>
    <mergeCell ref="B211:D211"/>
    <mergeCell ref="B217:L217"/>
    <mergeCell ref="B218:L218"/>
    <mergeCell ref="B219:L219"/>
    <mergeCell ref="B228:D22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00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K35" activeCellId="0" sqref="K35"/>
    </sheetView>
  </sheetViews>
  <sheetFormatPr defaultColWidth="14.43359375" defaultRowHeight="15" customHeight="true"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40"/>
    <col collapsed="false" customWidth="true" hidden="false" outlineLevel="0" max="4" min="4" style="1" width="14"/>
    <col collapsed="false" customWidth="true" hidden="false" outlineLevel="0" max="10" min="5" style="1" width="12"/>
    <col collapsed="false" customWidth="true" hidden="false" outlineLevel="0" max="11" min="11" style="1" width="10"/>
    <col collapsed="false" customWidth="true" hidden="false" outlineLevel="0" max="12" min="12" style="1" width="9"/>
    <col collapsed="false" customWidth="true" hidden="false" outlineLevel="0" max="13" min="13" style="1" width="13"/>
    <col collapsed="false" customWidth="true" hidden="false" outlineLevel="0" max="14" min="14" style="1" width="10"/>
    <col collapsed="false" customWidth="true" hidden="false" outlineLevel="0" max="16" min="16" style="1" width="46"/>
    <col collapsed="false" customWidth="true" hidden="false" outlineLevel="0" max="17" min="17" style="1" width="13"/>
    <col collapsed="false" customWidth="true" hidden="false" outlineLevel="0" max="18" min="18" style="1" width="15"/>
    <col collapsed="false" customWidth="true" hidden="false" outlineLevel="0" max="19" min="19" style="1" width="13"/>
    <col collapsed="false" customWidth="true" hidden="false" outlineLevel="0" max="20" min="20" style="1" width="8"/>
    <col collapsed="false" customWidth="true" hidden="false" outlineLevel="0" max="21" min="21" style="1" width="14"/>
    <col collapsed="false" customWidth="true" hidden="false" outlineLevel="0" max="24" min="24" style="1" width="3"/>
    <col collapsed="false" customWidth="true" hidden="false" outlineLevel="0" max="25" min="25" style="1" width="60"/>
    <col collapsed="false" customWidth="true" hidden="false" outlineLevel="0" max="26" min="26" style="1" width="3"/>
    <col collapsed="false" customWidth="true" hidden="false" outlineLevel="0" max="27" min="27" style="1" width="66"/>
  </cols>
  <sheetData>
    <row r="1" customFormat="false" ht="27.75" hidden="false" customHeight="true" outlineLevel="0" collapsed="false">
      <c r="A1" s="168" t="s">
        <v>363</v>
      </c>
      <c r="B1" s="168" t="s">
        <v>364</v>
      </c>
      <c r="C1" s="168" t="s">
        <v>365</v>
      </c>
      <c r="D1" s="168" t="s">
        <v>366</v>
      </c>
      <c r="E1" s="168" t="s">
        <v>367</v>
      </c>
      <c r="F1" s="168" t="s">
        <v>368</v>
      </c>
      <c r="G1" s="168" t="s">
        <v>369</v>
      </c>
      <c r="H1" s="168" t="s">
        <v>370</v>
      </c>
      <c r="I1" s="168" t="s">
        <v>371</v>
      </c>
      <c r="J1" s="168" t="s">
        <v>372</v>
      </c>
      <c r="K1" s="168" t="s">
        <v>97</v>
      </c>
      <c r="L1" s="169" t="s">
        <v>373</v>
      </c>
      <c r="M1" s="169" t="s">
        <v>374</v>
      </c>
      <c r="N1" s="169" t="s">
        <v>132</v>
      </c>
      <c r="O1" s="169" t="s">
        <v>283</v>
      </c>
      <c r="P1" s="169" t="s">
        <v>375</v>
      </c>
      <c r="Q1" s="169" t="s">
        <v>376</v>
      </c>
      <c r="R1" s="169" t="s">
        <v>322</v>
      </c>
      <c r="S1" s="169" t="s">
        <v>377</v>
      </c>
      <c r="T1" s="169" t="s">
        <v>347</v>
      </c>
      <c r="U1" s="169" t="s">
        <v>378</v>
      </c>
      <c r="Y1" s="170" t="s">
        <v>379</v>
      </c>
      <c r="AA1" s="171" t="s">
        <v>380</v>
      </c>
    </row>
    <row r="2" customFormat="false" ht="15.75" hidden="false" customHeight="true" outlineLevel="0" collapsed="false">
      <c r="A2" s="128"/>
      <c r="B2" s="128"/>
      <c r="C2" s="38"/>
      <c r="D2" s="128"/>
      <c r="E2" s="128"/>
      <c r="F2" s="128"/>
      <c r="G2" s="128"/>
      <c r="H2" s="128"/>
      <c r="I2" s="128"/>
      <c r="J2" s="128"/>
      <c r="K2" s="128"/>
      <c r="L2" s="128"/>
      <c r="M2" s="128"/>
      <c r="N2" s="128"/>
      <c r="O2" s="128"/>
      <c r="P2" s="38"/>
      <c r="Q2" s="128"/>
      <c r="R2" s="128"/>
      <c r="S2" s="128"/>
      <c r="T2" s="128"/>
      <c r="U2" s="128"/>
      <c r="Y2" s="172" t="s">
        <v>381</v>
      </c>
      <c r="AA2" s="172" t="s">
        <v>382</v>
      </c>
    </row>
    <row r="3" customFormat="false" ht="15.75" hidden="false" customHeight="true" outlineLevel="0" collapsed="false">
      <c r="A3" s="128"/>
      <c r="B3" s="128"/>
      <c r="C3" s="38"/>
      <c r="D3" s="128"/>
      <c r="E3" s="128"/>
      <c r="F3" s="128"/>
      <c r="G3" s="128"/>
      <c r="H3" s="128"/>
      <c r="I3" s="128"/>
      <c r="J3" s="128"/>
      <c r="K3" s="128"/>
      <c r="L3" s="128"/>
      <c r="M3" s="128"/>
      <c r="N3" s="128"/>
      <c r="O3" s="128"/>
      <c r="P3" s="38"/>
      <c r="Q3" s="128"/>
      <c r="R3" s="128"/>
      <c r="S3" s="128"/>
      <c r="T3" s="128"/>
      <c r="U3" s="128"/>
      <c r="Y3" s="172" t="s">
        <v>383</v>
      </c>
      <c r="AA3" s="172" t="s">
        <v>384</v>
      </c>
    </row>
    <row r="4" customFormat="false" ht="15.75" hidden="false" customHeight="true" outlineLevel="0" collapsed="false">
      <c r="A4" s="128"/>
      <c r="B4" s="128"/>
      <c r="C4" s="38"/>
      <c r="D4" s="128"/>
      <c r="E4" s="128"/>
      <c r="F4" s="128"/>
      <c r="G4" s="128"/>
      <c r="H4" s="128"/>
      <c r="I4" s="128"/>
      <c r="J4" s="128"/>
      <c r="K4" s="128"/>
      <c r="L4" s="128"/>
      <c r="M4" s="128"/>
      <c r="N4" s="128"/>
      <c r="O4" s="128"/>
      <c r="P4" s="38"/>
      <c r="Q4" s="128"/>
      <c r="R4" s="128"/>
      <c r="S4" s="128"/>
      <c r="T4" s="128"/>
      <c r="U4" s="128"/>
      <c r="Y4" s="172" t="s">
        <v>385</v>
      </c>
      <c r="AA4" s="172" t="s">
        <v>386</v>
      </c>
    </row>
    <row r="5" customFormat="false" ht="15.75" hidden="false" customHeight="true" outlineLevel="0" collapsed="false">
      <c r="A5" s="128"/>
      <c r="B5" s="128"/>
      <c r="C5" s="38"/>
      <c r="D5" s="128"/>
      <c r="E5" s="128"/>
      <c r="F5" s="128"/>
      <c r="G5" s="128"/>
      <c r="H5" s="128"/>
      <c r="I5" s="128"/>
      <c r="J5" s="128"/>
      <c r="K5" s="128"/>
      <c r="L5" s="128"/>
      <c r="M5" s="128"/>
      <c r="N5" s="128"/>
      <c r="O5" s="128"/>
      <c r="P5" s="38"/>
      <c r="Q5" s="128"/>
      <c r="R5" s="128"/>
      <c r="S5" s="128"/>
      <c r="T5" s="128"/>
      <c r="U5" s="128"/>
      <c r="Y5" s="172" t="s">
        <v>387</v>
      </c>
      <c r="AA5" s="172" t="s">
        <v>388</v>
      </c>
    </row>
    <row r="6" customFormat="false" ht="15.75" hidden="false" customHeight="true" outlineLevel="0" collapsed="false">
      <c r="A6" s="128"/>
      <c r="B6" s="128"/>
      <c r="C6" s="38"/>
      <c r="D6" s="128"/>
      <c r="E6" s="128"/>
      <c r="F6" s="128"/>
      <c r="G6" s="128"/>
      <c r="H6" s="128"/>
      <c r="I6" s="128"/>
      <c r="J6" s="128"/>
      <c r="K6" s="128"/>
      <c r="L6" s="128"/>
      <c r="M6" s="128"/>
      <c r="N6" s="128"/>
      <c r="O6" s="128"/>
      <c r="P6" s="38"/>
      <c r="Q6" s="128"/>
      <c r="R6" s="128"/>
      <c r="S6" s="128"/>
      <c r="T6" s="128"/>
      <c r="U6" s="128"/>
      <c r="Y6" s="172" t="s">
        <v>389</v>
      </c>
      <c r="AA6" s="172" t="s">
        <v>390</v>
      </c>
    </row>
    <row r="7" customFormat="false" ht="15.75" hidden="false" customHeight="true" outlineLevel="0" collapsed="false">
      <c r="A7" s="128"/>
      <c r="B7" s="128"/>
      <c r="C7" s="38"/>
      <c r="D7" s="128"/>
      <c r="E7" s="128"/>
      <c r="F7" s="128"/>
      <c r="G7" s="128"/>
      <c r="H7" s="128"/>
      <c r="I7" s="128"/>
      <c r="J7" s="128"/>
      <c r="K7" s="128"/>
      <c r="L7" s="128"/>
      <c r="M7" s="128"/>
      <c r="N7" s="128"/>
      <c r="O7" s="128"/>
      <c r="P7" s="38"/>
      <c r="Q7" s="128"/>
      <c r="R7" s="128"/>
      <c r="S7" s="128"/>
      <c r="T7" s="128"/>
      <c r="U7" s="128"/>
      <c r="Y7" s="172" t="s">
        <v>391</v>
      </c>
      <c r="AA7" s="172" t="s">
        <v>392</v>
      </c>
    </row>
    <row r="8" customFormat="false" ht="15.75" hidden="false" customHeight="true" outlineLevel="0" collapsed="false">
      <c r="A8" s="128"/>
      <c r="B8" s="128"/>
      <c r="C8" s="38"/>
      <c r="D8" s="128"/>
      <c r="E8" s="128"/>
      <c r="F8" s="128"/>
      <c r="G8" s="128"/>
      <c r="H8" s="128"/>
      <c r="I8" s="128"/>
      <c r="J8" s="128"/>
      <c r="K8" s="128"/>
      <c r="L8" s="128"/>
      <c r="M8" s="128"/>
      <c r="N8" s="128"/>
      <c r="O8" s="128"/>
      <c r="P8" s="38"/>
      <c r="Q8" s="128"/>
      <c r="R8" s="128"/>
      <c r="S8" s="128"/>
      <c r="T8" s="128"/>
      <c r="U8" s="128"/>
      <c r="Y8" s="172" t="s">
        <v>393</v>
      </c>
      <c r="AA8" s="172" t="s">
        <v>394</v>
      </c>
    </row>
    <row r="9" customFormat="false" ht="15.75" hidden="false" customHeight="true" outlineLevel="0" collapsed="false">
      <c r="A9" s="128"/>
      <c r="B9" s="128"/>
      <c r="C9" s="38"/>
      <c r="D9" s="128"/>
      <c r="E9" s="128"/>
      <c r="F9" s="128"/>
      <c r="G9" s="128"/>
      <c r="H9" s="128"/>
      <c r="I9" s="128"/>
      <c r="J9" s="128"/>
      <c r="K9" s="128"/>
      <c r="L9" s="128"/>
      <c r="M9" s="128"/>
      <c r="N9" s="128"/>
      <c r="O9" s="128"/>
      <c r="P9" s="38"/>
      <c r="Q9" s="128"/>
      <c r="R9" s="128"/>
      <c r="S9" s="128"/>
      <c r="T9" s="128"/>
      <c r="U9" s="128"/>
      <c r="Y9" s="172" t="s">
        <v>395</v>
      </c>
      <c r="AA9" s="172" t="s">
        <v>396</v>
      </c>
    </row>
    <row r="10" customFormat="false" ht="15.75" hidden="false" customHeight="true" outlineLevel="0" collapsed="false">
      <c r="A10" s="128"/>
      <c r="B10" s="128"/>
      <c r="C10" s="38"/>
      <c r="D10" s="128"/>
      <c r="E10" s="128"/>
      <c r="F10" s="128"/>
      <c r="G10" s="128"/>
      <c r="H10" s="128"/>
      <c r="I10" s="128"/>
      <c r="J10" s="128"/>
      <c r="K10" s="128"/>
      <c r="L10" s="128"/>
      <c r="M10" s="128"/>
      <c r="N10" s="128"/>
      <c r="O10" s="128"/>
      <c r="P10" s="38"/>
      <c r="Q10" s="128"/>
      <c r="R10" s="128"/>
      <c r="S10" s="128"/>
      <c r="T10" s="128"/>
      <c r="U10" s="128"/>
      <c r="Y10" s="172" t="s">
        <v>397</v>
      </c>
      <c r="AA10" s="172" t="s">
        <v>398</v>
      </c>
    </row>
    <row r="11" customFormat="false" ht="15.75" hidden="false" customHeight="true" outlineLevel="0" collapsed="false">
      <c r="A11" s="128"/>
      <c r="B11" s="128"/>
      <c r="C11" s="38"/>
      <c r="D11" s="128"/>
      <c r="E11" s="128"/>
      <c r="F11" s="128"/>
      <c r="G11" s="128"/>
      <c r="H11" s="128"/>
      <c r="I11" s="128"/>
      <c r="J11" s="128"/>
      <c r="K11" s="128"/>
      <c r="L11" s="128"/>
      <c r="M11" s="128"/>
      <c r="N11" s="128"/>
      <c r="O11" s="128"/>
      <c r="P11" s="38"/>
      <c r="Q11" s="128"/>
      <c r="R11" s="128"/>
      <c r="S11" s="128"/>
      <c r="T11" s="128"/>
      <c r="U11" s="128"/>
      <c r="Y11" s="172" t="s">
        <v>399</v>
      </c>
      <c r="AA11" s="172" t="s">
        <v>400</v>
      </c>
    </row>
    <row r="12" customFormat="false" ht="15.75" hidden="false" customHeight="true" outlineLevel="0" collapsed="false">
      <c r="A12" s="128"/>
      <c r="B12" s="128"/>
      <c r="C12" s="38"/>
      <c r="D12" s="128"/>
      <c r="E12" s="128"/>
      <c r="F12" s="128"/>
      <c r="G12" s="128"/>
      <c r="H12" s="128"/>
      <c r="I12" s="128"/>
      <c r="J12" s="128"/>
      <c r="K12" s="128"/>
      <c r="L12" s="128"/>
      <c r="M12" s="128"/>
      <c r="N12" s="128"/>
      <c r="O12" s="128"/>
      <c r="P12" s="38"/>
      <c r="Q12" s="128"/>
      <c r="R12" s="128"/>
      <c r="S12" s="128"/>
      <c r="T12" s="128"/>
      <c r="U12" s="128"/>
      <c r="AA12" s="172" t="s">
        <v>401</v>
      </c>
    </row>
    <row r="13" customFormat="false" ht="15.75" hidden="false" customHeight="true" outlineLevel="0" collapsed="false">
      <c r="A13" s="128"/>
      <c r="B13" s="128"/>
      <c r="C13" s="38"/>
      <c r="D13" s="128"/>
      <c r="E13" s="128"/>
      <c r="F13" s="128"/>
      <c r="G13" s="128"/>
      <c r="H13" s="128"/>
      <c r="I13" s="128"/>
      <c r="J13" s="128"/>
      <c r="K13" s="128"/>
      <c r="L13" s="128"/>
      <c r="M13" s="128"/>
      <c r="N13" s="128"/>
      <c r="O13" s="128"/>
      <c r="P13" s="38"/>
      <c r="Q13" s="128"/>
      <c r="R13" s="128"/>
      <c r="S13" s="128"/>
      <c r="T13" s="128"/>
      <c r="U13" s="128"/>
      <c r="AA13" s="172" t="s">
        <v>402</v>
      </c>
    </row>
    <row r="14" customFormat="false" ht="15.75" hidden="false" customHeight="true" outlineLevel="0" collapsed="false">
      <c r="A14" s="128"/>
      <c r="B14" s="128"/>
      <c r="C14" s="38"/>
      <c r="D14" s="128"/>
      <c r="E14" s="128"/>
      <c r="F14" s="128"/>
      <c r="G14" s="128"/>
      <c r="H14" s="128"/>
      <c r="I14" s="128"/>
      <c r="J14" s="128"/>
      <c r="K14" s="128"/>
      <c r="L14" s="128"/>
      <c r="M14" s="128"/>
      <c r="N14" s="128"/>
      <c r="O14" s="128"/>
      <c r="P14" s="38"/>
      <c r="Q14" s="128"/>
      <c r="R14" s="128"/>
      <c r="S14" s="128"/>
      <c r="T14" s="128"/>
      <c r="U14" s="128"/>
    </row>
    <row r="15" customFormat="false" ht="15" hidden="false" customHeight="true" outlineLevel="0" collapsed="false">
      <c r="O15" s="1"/>
    </row>
    <row r="16" customFormat="false" ht="15" hidden="false" customHeight="true" outlineLevel="0" collapsed="false">
      <c r="O16" s="1"/>
    </row>
    <row r="17" customFormat="false" ht="15" hidden="false" customHeight="true" outlineLevel="0" collapsed="false">
      <c r="O17" s="1"/>
    </row>
    <row r="18" customFormat="false" ht="15" hidden="false" customHeight="true" outlineLevel="0" collapsed="false">
      <c r="O18" s="1"/>
    </row>
    <row r="19" customFormat="false" ht="15" hidden="false" customHeight="true" outlineLevel="0" collapsed="false">
      <c r="O19" s="1"/>
    </row>
    <row r="20" customFormat="false" ht="15" hidden="false" customHeight="true" outlineLevel="0" collapsed="false">
      <c r="O20" s="1"/>
    </row>
    <row r="21" customFormat="false" ht="15.75" hidden="false" customHeight="true" outlineLevel="0" collapsed="false">
      <c r="O21" s="1"/>
    </row>
    <row r="22" customFormat="false" ht="15.75" hidden="false" customHeight="true" outlineLevel="0" collapsed="false">
      <c r="O22" s="1"/>
    </row>
    <row r="23" customFormat="false" ht="15.75" hidden="false" customHeight="true" outlineLevel="0" collapsed="false">
      <c r="O23" s="1"/>
    </row>
    <row r="24" customFormat="false" ht="15.75" hidden="false" customHeight="true" outlineLevel="0" collapsed="false">
      <c r="O24" s="1"/>
    </row>
    <row r="25" customFormat="false" ht="15.75" hidden="false" customHeight="true" outlineLevel="0" collapsed="false">
      <c r="O25" s="1"/>
    </row>
    <row r="26" customFormat="false" ht="15.75" hidden="false" customHeight="true" outlineLevel="0" collapsed="false">
      <c r="O26" s="1"/>
    </row>
    <row r="27" customFormat="false" ht="15.75" hidden="false" customHeight="true" outlineLevel="0" collapsed="false">
      <c r="O27" s="1"/>
    </row>
    <row r="28" customFormat="false" ht="15.75" hidden="false" customHeight="true" outlineLevel="0" collapsed="false">
      <c r="O28" s="1"/>
    </row>
    <row r="29" customFormat="false" ht="15.75" hidden="false" customHeight="true" outlineLevel="0" collapsed="false">
      <c r="O29" s="1"/>
    </row>
    <row r="30" customFormat="false" ht="15.75" hidden="false" customHeight="true" outlineLevel="0" collapsed="false">
      <c r="O30" s="1"/>
    </row>
    <row r="31" customFormat="false" ht="15.75" hidden="false" customHeight="true" outlineLevel="0" collapsed="false">
      <c r="O31" s="1"/>
    </row>
    <row r="32" customFormat="false" ht="15.75" hidden="false" customHeight="true" outlineLevel="0" collapsed="false">
      <c r="O32" s="1"/>
    </row>
    <row r="33" customFormat="false" ht="15.75" hidden="false" customHeight="true" outlineLevel="0" collapsed="false">
      <c r="O33" s="1"/>
    </row>
    <row r="34" customFormat="false" ht="15.75" hidden="false" customHeight="true" outlineLevel="0" collapsed="false">
      <c r="O34" s="1"/>
    </row>
    <row r="35" customFormat="false" ht="15.75" hidden="false" customHeight="true" outlineLevel="0" collapsed="false">
      <c r="O35" s="1"/>
    </row>
    <row r="36" customFormat="false" ht="15.75" hidden="false" customHeight="true" outlineLevel="0" collapsed="false">
      <c r="O36" s="1"/>
    </row>
    <row r="37" customFormat="false" ht="15.75" hidden="false" customHeight="true" outlineLevel="0" collapsed="false">
      <c r="O37" s="1"/>
    </row>
    <row r="38" customFormat="false" ht="15.75" hidden="false" customHeight="true" outlineLevel="0" collapsed="false">
      <c r="O38" s="1"/>
    </row>
    <row r="39" customFormat="false" ht="15.75" hidden="false" customHeight="true" outlineLevel="0" collapsed="false">
      <c r="O39" s="1"/>
    </row>
    <row r="40" customFormat="false" ht="15.75" hidden="false" customHeight="true" outlineLevel="0" collapsed="false">
      <c r="O40" s="1"/>
    </row>
    <row r="41" customFormat="false" ht="15.75" hidden="false" customHeight="true" outlineLevel="0" collapsed="false">
      <c r="O41" s="1"/>
    </row>
    <row r="42" customFormat="false" ht="15.75" hidden="false" customHeight="true" outlineLevel="0" collapsed="false">
      <c r="O42" s="1"/>
    </row>
    <row r="43" customFormat="false" ht="15.75" hidden="false" customHeight="true" outlineLevel="0" collapsed="false">
      <c r="O43" s="1"/>
    </row>
    <row r="44" customFormat="false" ht="15.75" hidden="false" customHeight="true" outlineLevel="0" collapsed="false">
      <c r="O44" s="1"/>
    </row>
    <row r="45" customFormat="false" ht="15.75" hidden="false" customHeight="true" outlineLevel="0" collapsed="false">
      <c r="O45" s="1"/>
    </row>
    <row r="46" customFormat="false" ht="15.75" hidden="false" customHeight="true" outlineLevel="0" collapsed="false">
      <c r="O46" s="1"/>
    </row>
    <row r="47" customFormat="false" ht="15.75" hidden="false" customHeight="true" outlineLevel="0" collapsed="false">
      <c r="O47" s="1"/>
    </row>
    <row r="48" customFormat="false" ht="15.75" hidden="false" customHeight="true" outlineLevel="0" collapsed="false">
      <c r="O48" s="1"/>
    </row>
    <row r="49" customFormat="false" ht="15.75" hidden="false" customHeight="true" outlineLevel="0" collapsed="false">
      <c r="O49" s="1"/>
    </row>
    <row r="50" customFormat="false" ht="15.75" hidden="false" customHeight="true" outlineLevel="0" collapsed="false">
      <c r="O50" s="1"/>
    </row>
    <row r="51" customFormat="false" ht="15.75" hidden="false" customHeight="true" outlineLevel="0" collapsed="false">
      <c r="O51" s="1"/>
    </row>
    <row r="52" customFormat="false" ht="15.75" hidden="false" customHeight="true" outlineLevel="0" collapsed="false">
      <c r="O52" s="1"/>
    </row>
    <row r="53" customFormat="false" ht="15.75" hidden="false" customHeight="true" outlineLevel="0" collapsed="false">
      <c r="O53" s="1"/>
    </row>
    <row r="54" customFormat="false" ht="15.75" hidden="false" customHeight="true" outlineLevel="0" collapsed="false">
      <c r="O54" s="1"/>
    </row>
    <row r="55" customFormat="false" ht="15.75" hidden="false" customHeight="true" outlineLevel="0" collapsed="false">
      <c r="O55" s="1"/>
    </row>
    <row r="56" customFormat="false" ht="15.75" hidden="false" customHeight="true" outlineLevel="0" collapsed="false">
      <c r="O56" s="1"/>
    </row>
    <row r="57" customFormat="false" ht="15.75" hidden="false" customHeight="true" outlineLevel="0" collapsed="false">
      <c r="O57" s="1"/>
    </row>
    <row r="58" customFormat="false" ht="15.75" hidden="false" customHeight="true" outlineLevel="0" collapsed="false">
      <c r="O58" s="1"/>
    </row>
    <row r="59" customFormat="false" ht="15.75" hidden="false" customHeight="true" outlineLevel="0" collapsed="false">
      <c r="O59" s="1"/>
    </row>
    <row r="60" customFormat="false" ht="15.75" hidden="false" customHeight="true" outlineLevel="0" collapsed="false">
      <c r="O60" s="1"/>
    </row>
    <row r="61" customFormat="false" ht="15.75" hidden="false" customHeight="true" outlineLevel="0" collapsed="false">
      <c r="O61" s="1"/>
    </row>
    <row r="62" customFormat="false" ht="15.75" hidden="false" customHeight="true" outlineLevel="0" collapsed="false">
      <c r="O62" s="1"/>
    </row>
    <row r="63" customFormat="false" ht="15.75" hidden="false" customHeight="true" outlineLevel="0" collapsed="false">
      <c r="O63" s="1"/>
    </row>
    <row r="64" customFormat="false" ht="15.75" hidden="false" customHeight="true" outlineLevel="0" collapsed="false">
      <c r="O64" s="1"/>
    </row>
    <row r="65" customFormat="false" ht="15.75" hidden="false" customHeight="true" outlineLevel="0" collapsed="false">
      <c r="O65" s="1"/>
    </row>
    <row r="66" customFormat="false" ht="15.75" hidden="false" customHeight="true" outlineLevel="0" collapsed="false">
      <c r="O66" s="1"/>
    </row>
    <row r="67" customFormat="false" ht="15.75" hidden="false" customHeight="true" outlineLevel="0" collapsed="false">
      <c r="O67" s="1"/>
    </row>
    <row r="68" customFormat="false" ht="15.75" hidden="false" customHeight="true" outlineLevel="0" collapsed="false">
      <c r="O68" s="1"/>
    </row>
    <row r="69" customFormat="false" ht="15.75" hidden="false" customHeight="true" outlineLevel="0" collapsed="false">
      <c r="O69" s="1"/>
    </row>
    <row r="70" customFormat="false" ht="15.75" hidden="false" customHeight="true" outlineLevel="0" collapsed="false">
      <c r="O70" s="1"/>
    </row>
    <row r="71" customFormat="false" ht="15.75" hidden="false" customHeight="true" outlineLevel="0" collapsed="false">
      <c r="O71" s="1"/>
    </row>
    <row r="72" customFormat="false" ht="15.75" hidden="false" customHeight="true" outlineLevel="0" collapsed="false">
      <c r="O72" s="1"/>
    </row>
    <row r="73" customFormat="false" ht="15.75" hidden="false" customHeight="true" outlineLevel="0" collapsed="false">
      <c r="O73" s="1"/>
    </row>
    <row r="74" customFormat="false" ht="15.75" hidden="false" customHeight="true" outlineLevel="0" collapsed="false">
      <c r="O74" s="1"/>
    </row>
    <row r="75" customFormat="false" ht="15.75" hidden="false" customHeight="true" outlineLevel="0" collapsed="false">
      <c r="O75" s="1"/>
    </row>
    <row r="76" customFormat="false" ht="15.75" hidden="false" customHeight="true" outlineLevel="0" collapsed="false">
      <c r="O76" s="1"/>
    </row>
    <row r="77" customFormat="false" ht="15.75" hidden="false" customHeight="true" outlineLevel="0" collapsed="false">
      <c r="O77" s="1"/>
    </row>
    <row r="78" customFormat="false" ht="15.75" hidden="false" customHeight="true" outlineLevel="0" collapsed="false">
      <c r="O78" s="1"/>
    </row>
    <row r="79" customFormat="false" ht="15.75" hidden="false" customHeight="true" outlineLevel="0" collapsed="false">
      <c r="O79" s="1"/>
    </row>
    <row r="80" customFormat="false" ht="15.75" hidden="false" customHeight="true" outlineLevel="0" collapsed="false">
      <c r="O80" s="1"/>
    </row>
    <row r="81" customFormat="false" ht="15.75" hidden="false" customHeight="true" outlineLevel="0" collapsed="false">
      <c r="O81" s="1"/>
    </row>
    <row r="82" customFormat="false" ht="15.75" hidden="false" customHeight="true" outlineLevel="0" collapsed="false">
      <c r="O82" s="1"/>
    </row>
    <row r="83" customFormat="false" ht="15.75" hidden="false" customHeight="true" outlineLevel="0" collapsed="false">
      <c r="O83" s="1"/>
    </row>
    <row r="84" customFormat="false" ht="15.75" hidden="false" customHeight="true" outlineLevel="0" collapsed="false">
      <c r="O84" s="1"/>
    </row>
    <row r="85" customFormat="false" ht="15.75" hidden="false" customHeight="true" outlineLevel="0" collapsed="false">
      <c r="O85" s="1"/>
    </row>
    <row r="86" customFormat="false" ht="15.75" hidden="false" customHeight="true" outlineLevel="0" collapsed="false">
      <c r="O86" s="1"/>
    </row>
    <row r="87" customFormat="false" ht="15.75" hidden="false" customHeight="true" outlineLevel="0" collapsed="false">
      <c r="O87" s="1"/>
    </row>
    <row r="88" customFormat="false" ht="15.75" hidden="false" customHeight="true" outlineLevel="0" collapsed="false">
      <c r="O88" s="1"/>
    </row>
    <row r="89" customFormat="false" ht="15.75" hidden="false" customHeight="true" outlineLevel="0" collapsed="false">
      <c r="O89" s="1"/>
    </row>
    <row r="90" customFormat="false" ht="15.75" hidden="false" customHeight="true" outlineLevel="0" collapsed="false">
      <c r="O90" s="1"/>
    </row>
    <row r="91" customFormat="false" ht="15.75" hidden="false" customHeight="true" outlineLevel="0" collapsed="false">
      <c r="O91" s="1"/>
    </row>
    <row r="92" customFormat="false" ht="15.75" hidden="false" customHeight="true" outlineLevel="0" collapsed="false">
      <c r="O92" s="1"/>
    </row>
    <row r="93" customFormat="false" ht="15.75" hidden="false" customHeight="true" outlineLevel="0" collapsed="false">
      <c r="O93" s="1"/>
    </row>
    <row r="94" customFormat="false" ht="15.75" hidden="false" customHeight="true" outlineLevel="0" collapsed="false">
      <c r="O94" s="1"/>
    </row>
    <row r="95" customFormat="false" ht="15.75" hidden="false" customHeight="true" outlineLevel="0" collapsed="false">
      <c r="O95" s="1"/>
    </row>
    <row r="96" customFormat="false" ht="15.75" hidden="false" customHeight="true" outlineLevel="0" collapsed="false">
      <c r="O96" s="1"/>
    </row>
    <row r="97" customFormat="false" ht="15.75" hidden="false" customHeight="true" outlineLevel="0" collapsed="false">
      <c r="O97" s="1"/>
    </row>
    <row r="98" customFormat="false" ht="15.75" hidden="false" customHeight="true" outlineLevel="0" collapsed="false">
      <c r="O98" s="1"/>
    </row>
    <row r="99" customFormat="false" ht="15.75" hidden="false" customHeight="true" outlineLevel="0" collapsed="false">
      <c r="O99" s="1"/>
    </row>
    <row r="100" customFormat="false" ht="15.75" hidden="false" customHeight="true" outlineLevel="0" collapsed="false">
      <c r="O100" s="1"/>
    </row>
    <row r="101" customFormat="false" ht="15.75" hidden="false" customHeight="true" outlineLevel="0" collapsed="false">
      <c r="O101" s="1"/>
    </row>
    <row r="102" customFormat="false" ht="15.75" hidden="false" customHeight="true" outlineLevel="0" collapsed="false">
      <c r="O102" s="1"/>
    </row>
    <row r="103" customFormat="false" ht="15.75" hidden="false" customHeight="true" outlineLevel="0" collapsed="false">
      <c r="O103" s="1"/>
    </row>
    <row r="104" customFormat="false" ht="15.75" hidden="false" customHeight="true" outlineLevel="0" collapsed="false">
      <c r="O104" s="1"/>
    </row>
    <row r="105" customFormat="false" ht="15.75" hidden="false" customHeight="true" outlineLevel="0" collapsed="false">
      <c r="O105" s="1"/>
    </row>
    <row r="106" customFormat="false" ht="15.75" hidden="false" customHeight="true" outlineLevel="0" collapsed="false">
      <c r="O106" s="1"/>
    </row>
    <row r="107" customFormat="false" ht="15.75" hidden="false" customHeight="true" outlineLevel="0" collapsed="false">
      <c r="O107" s="1"/>
    </row>
    <row r="108" customFormat="false" ht="15.75" hidden="false" customHeight="true" outlineLevel="0" collapsed="false">
      <c r="O108" s="1"/>
    </row>
    <row r="109" customFormat="false" ht="15.75" hidden="false" customHeight="true" outlineLevel="0" collapsed="false">
      <c r="O109" s="1"/>
    </row>
    <row r="110" customFormat="false" ht="15.75" hidden="false" customHeight="true" outlineLevel="0" collapsed="false">
      <c r="O110" s="1"/>
    </row>
    <row r="111" customFormat="false" ht="15.75" hidden="false" customHeight="true" outlineLevel="0" collapsed="false">
      <c r="O111" s="1"/>
    </row>
    <row r="112" customFormat="false" ht="15.75" hidden="false" customHeight="true" outlineLevel="0" collapsed="false">
      <c r="O112" s="1"/>
    </row>
    <row r="113" customFormat="false" ht="15.75" hidden="false" customHeight="true" outlineLevel="0" collapsed="false">
      <c r="O113" s="1"/>
    </row>
    <row r="114" customFormat="false" ht="15.75" hidden="false" customHeight="true" outlineLevel="0" collapsed="false">
      <c r="O114" s="1"/>
    </row>
    <row r="115" customFormat="false" ht="15.75" hidden="false" customHeight="true" outlineLevel="0" collapsed="false">
      <c r="O115" s="1"/>
    </row>
    <row r="116" customFormat="false" ht="15.75" hidden="false" customHeight="true" outlineLevel="0" collapsed="false">
      <c r="O116" s="1"/>
    </row>
    <row r="117" customFormat="false" ht="15.75" hidden="false" customHeight="true" outlineLevel="0" collapsed="false">
      <c r="O117" s="1"/>
    </row>
    <row r="118" customFormat="false" ht="15.75" hidden="false" customHeight="true" outlineLevel="0" collapsed="false">
      <c r="O118" s="1"/>
    </row>
    <row r="119" customFormat="false" ht="15.75" hidden="false" customHeight="true" outlineLevel="0" collapsed="false">
      <c r="O119" s="1"/>
    </row>
    <row r="120" customFormat="false" ht="15.75" hidden="false" customHeight="true" outlineLevel="0" collapsed="false">
      <c r="O120" s="1"/>
    </row>
    <row r="121" customFormat="false" ht="15.75" hidden="false" customHeight="true" outlineLevel="0" collapsed="false">
      <c r="O121" s="1"/>
    </row>
    <row r="122" customFormat="false" ht="15.75" hidden="false" customHeight="true" outlineLevel="0" collapsed="false">
      <c r="O122" s="1"/>
    </row>
    <row r="123" customFormat="false" ht="15.75" hidden="false" customHeight="true" outlineLevel="0" collapsed="false">
      <c r="O123" s="1"/>
    </row>
    <row r="124" customFormat="false" ht="15.75" hidden="false" customHeight="true" outlineLevel="0" collapsed="false">
      <c r="O124" s="1"/>
    </row>
    <row r="125" customFormat="false" ht="15.75" hidden="false" customHeight="true" outlineLevel="0" collapsed="false">
      <c r="O125" s="1"/>
    </row>
    <row r="126" customFormat="false" ht="15.75" hidden="false" customHeight="true" outlineLevel="0" collapsed="false">
      <c r="O126" s="1"/>
    </row>
    <row r="127" customFormat="false" ht="15.75" hidden="false" customHeight="true" outlineLevel="0" collapsed="false">
      <c r="O127" s="1"/>
    </row>
    <row r="128" customFormat="false" ht="15.75" hidden="false" customHeight="true" outlineLevel="0" collapsed="false">
      <c r="O128" s="1"/>
    </row>
    <row r="129" customFormat="false" ht="15.75" hidden="false" customHeight="true" outlineLevel="0" collapsed="false">
      <c r="O129" s="1"/>
    </row>
    <row r="130" customFormat="false" ht="15.75" hidden="false" customHeight="true" outlineLevel="0" collapsed="false">
      <c r="O130" s="1"/>
    </row>
    <row r="131" customFormat="false" ht="15.75" hidden="false" customHeight="true" outlineLevel="0" collapsed="false">
      <c r="O131" s="1"/>
    </row>
    <row r="132" customFormat="false" ht="15.75" hidden="false" customHeight="true" outlineLevel="0" collapsed="false">
      <c r="O132" s="1"/>
    </row>
    <row r="133" customFormat="false" ht="15.75" hidden="false" customHeight="true" outlineLevel="0" collapsed="false">
      <c r="O133" s="1"/>
    </row>
    <row r="134" customFormat="false" ht="15.75" hidden="false" customHeight="true" outlineLevel="0" collapsed="false">
      <c r="O134" s="1"/>
    </row>
    <row r="135" customFormat="false" ht="15.75" hidden="false" customHeight="true" outlineLevel="0" collapsed="false">
      <c r="O135" s="1"/>
    </row>
    <row r="136" customFormat="false" ht="15.75" hidden="false" customHeight="true" outlineLevel="0" collapsed="false">
      <c r="O136" s="1"/>
    </row>
    <row r="137" customFormat="false" ht="15.75" hidden="false" customHeight="true" outlineLevel="0" collapsed="false">
      <c r="O137" s="1"/>
    </row>
    <row r="138" customFormat="false" ht="15.75" hidden="false" customHeight="true" outlineLevel="0" collapsed="false">
      <c r="O138" s="1"/>
    </row>
    <row r="139" customFormat="false" ht="15.75" hidden="false" customHeight="true" outlineLevel="0" collapsed="false">
      <c r="O139" s="1"/>
    </row>
    <row r="140" customFormat="false" ht="15.75" hidden="false" customHeight="true" outlineLevel="0" collapsed="false">
      <c r="O140" s="1"/>
    </row>
    <row r="141" customFormat="false" ht="15.75" hidden="false" customHeight="true" outlineLevel="0" collapsed="false">
      <c r="O141" s="1"/>
    </row>
    <row r="142" customFormat="false" ht="15.75" hidden="false" customHeight="true" outlineLevel="0" collapsed="false">
      <c r="O142" s="1"/>
    </row>
    <row r="143" customFormat="false" ht="15.75" hidden="false" customHeight="true" outlineLevel="0" collapsed="false">
      <c r="O143" s="1"/>
    </row>
    <row r="144" customFormat="false" ht="15.75" hidden="false" customHeight="true" outlineLevel="0" collapsed="false">
      <c r="O144" s="1"/>
    </row>
    <row r="145" customFormat="false" ht="15.75" hidden="false" customHeight="true" outlineLevel="0" collapsed="false">
      <c r="O145" s="1"/>
    </row>
    <row r="146" customFormat="false" ht="15.75" hidden="false" customHeight="true" outlineLevel="0" collapsed="false">
      <c r="O146" s="1"/>
    </row>
    <row r="147" customFormat="false" ht="15.75" hidden="false" customHeight="true" outlineLevel="0" collapsed="false">
      <c r="O147" s="1"/>
    </row>
    <row r="148" customFormat="false" ht="15.75" hidden="false" customHeight="true" outlineLevel="0" collapsed="false">
      <c r="O148" s="1"/>
    </row>
    <row r="149" customFormat="false" ht="15.75" hidden="false" customHeight="true" outlineLevel="0" collapsed="false">
      <c r="O149" s="1"/>
    </row>
    <row r="150" customFormat="false" ht="15.75" hidden="false" customHeight="true" outlineLevel="0" collapsed="false">
      <c r="O150" s="1"/>
    </row>
    <row r="151" customFormat="false" ht="15.75" hidden="false" customHeight="true" outlineLevel="0" collapsed="false">
      <c r="O151" s="1"/>
    </row>
    <row r="152" customFormat="false" ht="15.75" hidden="false" customHeight="true" outlineLevel="0" collapsed="false">
      <c r="O152" s="1"/>
    </row>
    <row r="153" customFormat="false" ht="15.75" hidden="false" customHeight="true" outlineLevel="0" collapsed="false">
      <c r="O153" s="1"/>
    </row>
    <row r="154" customFormat="false" ht="15.75" hidden="false" customHeight="true" outlineLevel="0" collapsed="false">
      <c r="O154" s="1"/>
    </row>
    <row r="155" customFormat="false" ht="15.75" hidden="false" customHeight="true" outlineLevel="0" collapsed="false">
      <c r="O155" s="1"/>
    </row>
    <row r="156" customFormat="false" ht="15.75" hidden="false" customHeight="true" outlineLevel="0" collapsed="false">
      <c r="O156" s="1"/>
    </row>
    <row r="157" customFormat="false" ht="15.75" hidden="false" customHeight="true" outlineLevel="0" collapsed="false">
      <c r="O157" s="1"/>
    </row>
    <row r="158" customFormat="false" ht="15.75" hidden="false" customHeight="true" outlineLevel="0" collapsed="false">
      <c r="O158" s="1"/>
    </row>
    <row r="159" customFormat="false" ht="15.75" hidden="false" customHeight="true" outlineLevel="0" collapsed="false">
      <c r="O159" s="1"/>
    </row>
    <row r="160" customFormat="false" ht="15.75" hidden="false" customHeight="true" outlineLevel="0" collapsed="false">
      <c r="O160" s="1"/>
    </row>
    <row r="161" customFormat="false" ht="15.75" hidden="false" customHeight="true" outlineLevel="0" collapsed="false">
      <c r="O161" s="1"/>
    </row>
    <row r="162" customFormat="false" ht="15.75" hidden="false" customHeight="true" outlineLevel="0" collapsed="false">
      <c r="O162" s="1"/>
    </row>
    <row r="163" customFormat="false" ht="15.75" hidden="false" customHeight="true" outlineLevel="0" collapsed="false">
      <c r="O163" s="1"/>
    </row>
    <row r="164" customFormat="false" ht="15.75" hidden="false" customHeight="true" outlineLevel="0" collapsed="false">
      <c r="O164" s="1"/>
    </row>
    <row r="165" customFormat="false" ht="15.75" hidden="false" customHeight="true" outlineLevel="0" collapsed="false">
      <c r="O165" s="1"/>
    </row>
    <row r="166" customFormat="false" ht="15.75" hidden="false" customHeight="true" outlineLevel="0" collapsed="false">
      <c r="O166" s="1"/>
    </row>
    <row r="167" customFormat="false" ht="15.75" hidden="false" customHeight="true" outlineLevel="0" collapsed="false">
      <c r="O167" s="1"/>
    </row>
    <row r="168" customFormat="false" ht="15.75" hidden="false" customHeight="true" outlineLevel="0" collapsed="false">
      <c r="O168" s="1"/>
    </row>
    <row r="169" customFormat="false" ht="15.75" hidden="false" customHeight="true" outlineLevel="0" collapsed="false">
      <c r="O169" s="1"/>
    </row>
    <row r="170" customFormat="false" ht="15.75" hidden="false" customHeight="true" outlineLevel="0" collapsed="false">
      <c r="O170" s="1"/>
    </row>
    <row r="171" customFormat="false" ht="15.75" hidden="false" customHeight="true" outlineLevel="0" collapsed="false">
      <c r="O171" s="1"/>
    </row>
    <row r="172" customFormat="false" ht="15.75" hidden="false" customHeight="true" outlineLevel="0" collapsed="false">
      <c r="O172" s="1"/>
    </row>
    <row r="173" customFormat="false" ht="15.75" hidden="false" customHeight="true" outlineLevel="0" collapsed="false">
      <c r="O173" s="1"/>
    </row>
    <row r="174" customFormat="false" ht="15.75" hidden="false" customHeight="true" outlineLevel="0" collapsed="false">
      <c r="O174" s="1"/>
    </row>
    <row r="175" customFormat="false" ht="15.75" hidden="false" customHeight="true" outlineLevel="0" collapsed="false">
      <c r="O175" s="1"/>
    </row>
    <row r="176" customFormat="false" ht="15.75" hidden="false" customHeight="true" outlineLevel="0" collapsed="false">
      <c r="O176" s="1"/>
    </row>
    <row r="177" customFormat="false" ht="15.75" hidden="false" customHeight="true" outlineLevel="0" collapsed="false">
      <c r="O177" s="1"/>
    </row>
    <row r="178" customFormat="false" ht="15.75" hidden="false" customHeight="true" outlineLevel="0" collapsed="false">
      <c r="O178" s="1"/>
    </row>
    <row r="179" customFormat="false" ht="15.75" hidden="false" customHeight="true" outlineLevel="0" collapsed="false">
      <c r="O179" s="1"/>
    </row>
    <row r="180" customFormat="false" ht="15.75" hidden="false" customHeight="true" outlineLevel="0" collapsed="false">
      <c r="O180" s="1"/>
    </row>
    <row r="181" customFormat="false" ht="15.75" hidden="false" customHeight="true" outlineLevel="0" collapsed="false">
      <c r="O181" s="1"/>
    </row>
    <row r="182" customFormat="false" ht="15.75" hidden="false" customHeight="true" outlineLevel="0" collapsed="false">
      <c r="O182" s="1"/>
    </row>
    <row r="183" customFormat="false" ht="15.75" hidden="false" customHeight="true" outlineLevel="0" collapsed="false">
      <c r="O183" s="1"/>
    </row>
    <row r="184" customFormat="false" ht="15.75" hidden="false" customHeight="true" outlineLevel="0" collapsed="false">
      <c r="O184" s="1"/>
    </row>
    <row r="185" customFormat="false" ht="15.75" hidden="false" customHeight="true" outlineLevel="0" collapsed="false">
      <c r="O185" s="1"/>
    </row>
    <row r="186" customFormat="false" ht="15.75" hidden="false" customHeight="true" outlineLevel="0" collapsed="false">
      <c r="O186" s="1"/>
    </row>
    <row r="187" customFormat="false" ht="15.75" hidden="false" customHeight="true" outlineLevel="0" collapsed="false">
      <c r="O187" s="1"/>
    </row>
    <row r="188" customFormat="false" ht="15.75" hidden="false" customHeight="true" outlineLevel="0" collapsed="false">
      <c r="O188" s="1"/>
    </row>
    <row r="189" customFormat="false" ht="15.75" hidden="false" customHeight="true" outlineLevel="0" collapsed="false">
      <c r="O189" s="1"/>
    </row>
    <row r="190" customFormat="false" ht="15.75" hidden="false" customHeight="true" outlineLevel="0" collapsed="false">
      <c r="O190" s="1"/>
    </row>
    <row r="191" customFormat="false" ht="15.75" hidden="false" customHeight="true" outlineLevel="0" collapsed="false">
      <c r="O191" s="1"/>
    </row>
    <row r="192" customFormat="false" ht="15.75" hidden="false" customHeight="true" outlineLevel="0" collapsed="false">
      <c r="O192" s="1"/>
    </row>
    <row r="193" customFormat="false" ht="15.75" hidden="false" customHeight="true" outlineLevel="0" collapsed="false">
      <c r="O193" s="1"/>
    </row>
    <row r="194" customFormat="false" ht="15.75" hidden="false" customHeight="true" outlineLevel="0" collapsed="false">
      <c r="O194" s="1"/>
    </row>
    <row r="195" customFormat="false" ht="15.75" hidden="false" customHeight="true" outlineLevel="0" collapsed="false">
      <c r="O195" s="1"/>
    </row>
    <row r="196" customFormat="false" ht="15.75" hidden="false" customHeight="true" outlineLevel="0" collapsed="false">
      <c r="O196" s="1"/>
    </row>
    <row r="197" customFormat="false" ht="15.75" hidden="false" customHeight="true" outlineLevel="0" collapsed="false">
      <c r="O197" s="1"/>
    </row>
    <row r="198" customFormat="false" ht="15.75" hidden="false" customHeight="true" outlineLevel="0" collapsed="false">
      <c r="O198" s="1"/>
    </row>
    <row r="199" customFormat="false" ht="15.75" hidden="false" customHeight="true" outlineLevel="0" collapsed="false">
      <c r="O199" s="1"/>
    </row>
    <row r="200" customFormat="false" ht="15.75" hidden="false" customHeight="true" outlineLevel="0" collapsed="false">
      <c r="O200" s="1"/>
    </row>
    <row r="201" customFormat="false" ht="15.75" hidden="false" customHeight="true" outlineLevel="0" collapsed="false">
      <c r="O201" s="1"/>
    </row>
    <row r="202" customFormat="false" ht="15.75" hidden="false" customHeight="true" outlineLevel="0" collapsed="false">
      <c r="O202" s="1"/>
    </row>
    <row r="203" customFormat="false" ht="15.75" hidden="false" customHeight="true" outlineLevel="0" collapsed="false">
      <c r="O203" s="1"/>
    </row>
    <row r="204" customFormat="false" ht="15.75" hidden="false" customHeight="true" outlineLevel="0" collapsed="false">
      <c r="O204" s="1"/>
    </row>
    <row r="205" customFormat="false" ht="15.75" hidden="false" customHeight="true" outlineLevel="0" collapsed="false">
      <c r="O205" s="1"/>
    </row>
    <row r="206" customFormat="false" ht="15.75" hidden="false" customHeight="true" outlineLevel="0" collapsed="false">
      <c r="O206" s="1"/>
    </row>
    <row r="207" customFormat="false" ht="15.75" hidden="false" customHeight="true" outlineLevel="0" collapsed="false">
      <c r="O207" s="1"/>
    </row>
    <row r="208" customFormat="false" ht="15.75" hidden="false" customHeight="true" outlineLevel="0" collapsed="false">
      <c r="O208" s="1"/>
    </row>
    <row r="209" customFormat="false" ht="15.75" hidden="false" customHeight="true" outlineLevel="0" collapsed="false">
      <c r="O209" s="1"/>
    </row>
    <row r="210" customFormat="false" ht="15.75" hidden="false" customHeight="true" outlineLevel="0" collapsed="false">
      <c r="O210" s="1"/>
    </row>
    <row r="211" customFormat="false" ht="15.75" hidden="false" customHeight="true" outlineLevel="0" collapsed="false">
      <c r="O211" s="1"/>
    </row>
    <row r="212" customFormat="false" ht="15.75" hidden="false" customHeight="true" outlineLevel="0" collapsed="false">
      <c r="O212" s="1"/>
    </row>
    <row r="213" customFormat="false" ht="15.75" hidden="false" customHeight="true" outlineLevel="0" collapsed="false">
      <c r="O213" s="1"/>
    </row>
    <row r="214" customFormat="false" ht="15.75" hidden="false" customHeight="true" outlineLevel="0" collapsed="false">
      <c r="O214" s="1"/>
    </row>
    <row r="215" customFormat="false" ht="15.75" hidden="false" customHeight="true" outlineLevel="0" collapsed="false">
      <c r="O215" s="1"/>
    </row>
    <row r="216" customFormat="false" ht="15.75" hidden="false" customHeight="true" outlineLevel="0" collapsed="false">
      <c r="O216" s="1"/>
    </row>
    <row r="217" customFormat="false" ht="15.75" hidden="false" customHeight="true" outlineLevel="0" collapsed="false">
      <c r="O217" s="1"/>
    </row>
    <row r="218" customFormat="false" ht="15.75" hidden="false" customHeight="true" outlineLevel="0" collapsed="false">
      <c r="O218" s="1"/>
    </row>
    <row r="219" customFormat="false" ht="15.75" hidden="false" customHeight="true" outlineLevel="0" collapsed="false">
      <c r="O219" s="1"/>
    </row>
    <row r="220" customFormat="false" ht="15.75" hidden="false" customHeight="true" outlineLevel="0" collapsed="false">
      <c r="O220" s="1"/>
    </row>
    <row r="221" customFormat="false" ht="15.75" hidden="false" customHeight="true" outlineLevel="0" collapsed="false">
      <c r="O221" s="1"/>
    </row>
    <row r="222" customFormat="false" ht="15.75" hidden="false" customHeight="true" outlineLevel="0" collapsed="false">
      <c r="O222" s="1"/>
    </row>
    <row r="223" customFormat="false" ht="15.75" hidden="false" customHeight="true" outlineLevel="0" collapsed="false">
      <c r="O223" s="1"/>
    </row>
    <row r="224" customFormat="false" ht="15.75" hidden="false" customHeight="true" outlineLevel="0" collapsed="false">
      <c r="O224" s="1"/>
    </row>
    <row r="225" customFormat="false" ht="15.75" hidden="false" customHeight="true" outlineLevel="0" collapsed="false">
      <c r="O225" s="1"/>
    </row>
    <row r="226" customFormat="false" ht="15.75" hidden="false" customHeight="true" outlineLevel="0" collapsed="false">
      <c r="O226" s="1"/>
    </row>
    <row r="227" customFormat="false" ht="15.75" hidden="false" customHeight="true" outlineLevel="0" collapsed="false">
      <c r="O227" s="1"/>
    </row>
    <row r="228" customFormat="false" ht="15.75" hidden="false" customHeight="true" outlineLevel="0" collapsed="false">
      <c r="O228" s="1"/>
    </row>
    <row r="229" customFormat="false" ht="15.75" hidden="false" customHeight="true" outlineLevel="0" collapsed="false">
      <c r="O229" s="1"/>
    </row>
    <row r="230" customFormat="false" ht="15.75" hidden="false" customHeight="true" outlineLevel="0" collapsed="false">
      <c r="O230" s="1"/>
    </row>
    <row r="231" customFormat="false" ht="15.75" hidden="false" customHeight="true" outlineLevel="0" collapsed="false">
      <c r="O231" s="1"/>
    </row>
    <row r="232" customFormat="false" ht="15.75" hidden="false" customHeight="true" outlineLevel="0" collapsed="false">
      <c r="O232" s="1"/>
    </row>
    <row r="233" customFormat="false" ht="15.75" hidden="false" customHeight="true" outlineLevel="0" collapsed="false">
      <c r="O233" s="1"/>
    </row>
    <row r="234" customFormat="false" ht="15.75" hidden="false" customHeight="true" outlineLevel="0" collapsed="false">
      <c r="O234" s="1"/>
    </row>
    <row r="235" customFormat="false" ht="15.75" hidden="false" customHeight="true" outlineLevel="0" collapsed="false">
      <c r="O235" s="1"/>
    </row>
    <row r="236" customFormat="false" ht="15.75" hidden="false" customHeight="true" outlineLevel="0" collapsed="false">
      <c r="O236" s="1"/>
    </row>
    <row r="237" customFormat="false" ht="15.75" hidden="false" customHeight="true" outlineLevel="0" collapsed="false">
      <c r="O237" s="1"/>
    </row>
    <row r="238" customFormat="false" ht="15.75" hidden="false" customHeight="true" outlineLevel="0" collapsed="false">
      <c r="O238" s="1"/>
    </row>
    <row r="239" customFormat="false" ht="15.75" hidden="false" customHeight="true" outlineLevel="0" collapsed="false">
      <c r="O239" s="1"/>
    </row>
    <row r="240" customFormat="false" ht="15.75" hidden="false" customHeight="true" outlineLevel="0" collapsed="false">
      <c r="O240" s="1"/>
    </row>
    <row r="241" customFormat="false" ht="15.75" hidden="false" customHeight="true" outlineLevel="0" collapsed="false">
      <c r="O241" s="1"/>
    </row>
    <row r="242" customFormat="false" ht="15.75" hidden="false" customHeight="true" outlineLevel="0" collapsed="false">
      <c r="O242" s="1"/>
    </row>
    <row r="243" customFormat="false" ht="15.75" hidden="false" customHeight="true" outlineLevel="0" collapsed="false">
      <c r="O243" s="1"/>
    </row>
    <row r="244" customFormat="false" ht="15.75" hidden="false" customHeight="true" outlineLevel="0" collapsed="false">
      <c r="O244" s="1"/>
    </row>
    <row r="245" customFormat="false" ht="15.75" hidden="false" customHeight="true" outlineLevel="0" collapsed="false">
      <c r="O245" s="1"/>
    </row>
    <row r="246" customFormat="false" ht="15.75" hidden="false" customHeight="true" outlineLevel="0" collapsed="false">
      <c r="O246" s="1"/>
    </row>
    <row r="247" customFormat="false" ht="15.75" hidden="false" customHeight="true" outlineLevel="0" collapsed="false">
      <c r="O247" s="1"/>
    </row>
    <row r="248" customFormat="false" ht="15.75" hidden="false" customHeight="true" outlineLevel="0" collapsed="false">
      <c r="O248" s="1"/>
    </row>
    <row r="249" customFormat="false" ht="15.75" hidden="false" customHeight="true" outlineLevel="0" collapsed="false">
      <c r="O249" s="1"/>
    </row>
    <row r="250" customFormat="false" ht="15.75" hidden="false" customHeight="true" outlineLevel="0" collapsed="false">
      <c r="O250" s="1"/>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0">
    <dataValidation allowBlank="true" errorStyle="stop" operator="between" showDropDown="false" showErrorMessage="false" showInputMessage="false" sqref="T2:U250" type="list">
      <formula1>"1,2,3,4,5"</formula1>
      <formula2>0</formula2>
    </dataValidation>
    <dataValidation allowBlank="true" errorStyle="stop" operator="between" showDropDown="false" showErrorMessage="false" showInputMessage="false" sqref="Q2:Q250" type="list">
      <formula1>"Data,Interface,Logic,Requirement,Server,Other"</formula1>
      <formula2>0</formula2>
    </dataValidation>
    <dataValidation allowBlank="true" errorStyle="stop" operator="between" showDropDown="false" showErrorMessage="false" showInputMessage="false" sqref="P2:P250" type="list">
      <formula1>$Y$2:$Y$11</formula1>
      <formula2>0</formula2>
    </dataValidation>
    <dataValidation allowBlank="true" errorStyle="stop" operator="between" showDropDown="false" showErrorMessage="false" showInputMessage="false" sqref="B2:B250" type="list">
      <formula1>"Bug,Story,Task,Sub-task"</formula1>
      <formula2>0</formula2>
    </dataValidation>
    <dataValidation allowBlank="true" errorStyle="stop" operator="between" showDropDown="false" showErrorMessage="false" showInputMessage="false" sqref="O2:O250" type="list">
      <formula1>"Fixed,Won't fix"</formula1>
      <formula2>0</formula2>
    </dataValidation>
    <dataValidation allowBlank="true" errorStyle="stop" operator="between" showDropDown="false" showErrorMessage="false" showInputMessage="false" sqref="R2:R250" type="list">
      <formula1>"Functionality,Performance,Security,Serviceability,Usability"</formula1>
      <formula2>0</formula2>
    </dataValidation>
    <dataValidation allowBlank="true" errorStyle="stop" operator="between" showDropDown="false" showErrorMessage="false" showInputMessage="false" sqref="N2:N250" type="list">
      <formula1>"Web,App,Web,App"</formula1>
      <formula2>0</formula2>
    </dataValidation>
    <dataValidation allowBlank="true" errorStyle="stop" operator="between" showDropDown="false" showErrorMessage="false" showInputMessage="false" sqref="E2:E250" type="list">
      <formula1>"Highest,High,Medium,Low,Lowest"</formula1>
      <formula2>0</formula2>
    </dataValidation>
    <dataValidation allowBlank="true" errorStyle="stop" operator="between" showDropDown="false" showErrorMessage="false" showInputMessage="false" sqref="L2:L250" type="list">
      <formula1>"20,10,5,2"</formula1>
      <formula2>0</formula2>
    </dataValidation>
    <dataValidation allowBlank="true" errorStyle="stop" operator="between" showDropDown="false" showErrorMessage="false" showInputMessage="false" sqref="D2:D250" type="list">
      <formula1>"To Do,In Progress,In review,Pending,Done,Cancel"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100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pane xSplit="0" ySplit="5" topLeftCell="A30" activePane="bottomLeft" state="frozen"/>
      <selection pane="topLeft" activeCell="A1" activeCellId="0" sqref="A1"/>
      <selection pane="bottomLeft" activeCell="W16" activeCellId="0" sqref="W16"/>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14"/>
    <col collapsed="false" customWidth="true" hidden="false" outlineLevel="0" max="3" min="3" style="1" width="42"/>
    <col collapsed="false" customWidth="true" hidden="false" outlineLevel="0" max="4" min="4" style="1" width="15"/>
    <col collapsed="false" customWidth="true" hidden="false" outlineLevel="0" max="5" min="5" style="1" width="8"/>
    <col collapsed="false" customWidth="true" hidden="false" outlineLevel="0" max="6" min="6" style="1" width="9"/>
    <col collapsed="false" customWidth="true" hidden="false" outlineLevel="0" max="10" min="7" style="1" width="7"/>
    <col collapsed="false" customWidth="true" hidden="false" outlineLevel="0" max="11" min="11" style="1" width="9"/>
    <col collapsed="false" customWidth="true" hidden="false" outlineLevel="0" max="12" min="12" style="1" width="20"/>
    <col collapsed="false" customWidth="true" hidden="true" outlineLevel="0" max="28" min="28" style="1" width="13"/>
    <col collapsed="false" customWidth="true" hidden="true" outlineLevel="0" max="32" min="30" style="1" width="13"/>
  </cols>
  <sheetData>
    <row r="2" customFormat="false" ht="18" hidden="false" customHeight="true" outlineLevel="0" collapsed="false">
      <c r="B2" s="173" t="s">
        <v>403</v>
      </c>
    </row>
    <row r="3" customFormat="false" ht="15" hidden="false" customHeight="true" outlineLevel="0" collapsed="false">
      <c r="B3" s="174" t="s">
        <v>404</v>
      </c>
      <c r="C3" s="174"/>
      <c r="D3" s="174"/>
      <c r="E3" s="174"/>
      <c r="F3" s="174"/>
      <c r="G3" s="174"/>
      <c r="H3" s="174"/>
      <c r="I3" s="174"/>
      <c r="J3" s="174"/>
      <c r="K3" s="174"/>
      <c r="L3" s="174"/>
    </row>
    <row r="5" customFormat="false" ht="15" hidden="false" customHeight="true" outlineLevel="0" collapsed="false">
      <c r="B5" s="58" t="s">
        <v>405</v>
      </c>
      <c r="C5" s="58" t="s">
        <v>406</v>
      </c>
      <c r="D5" s="58" t="s">
        <v>407</v>
      </c>
      <c r="E5" s="58" t="s">
        <v>115</v>
      </c>
      <c r="F5" s="58" t="s">
        <v>112</v>
      </c>
      <c r="G5" s="58" t="s">
        <v>23</v>
      </c>
      <c r="H5" s="58" t="s">
        <v>25</v>
      </c>
      <c r="I5" s="58" t="s">
        <v>27</v>
      </c>
      <c r="J5" s="58" t="s">
        <v>29</v>
      </c>
      <c r="K5" s="58" t="s">
        <v>408</v>
      </c>
      <c r="L5" s="58" t="s">
        <v>21</v>
      </c>
    </row>
    <row r="6" customFormat="false" ht="45.75" hidden="false" customHeight="true" outlineLevel="0" collapsed="false">
      <c r="B6" s="175" t="s">
        <v>409</v>
      </c>
      <c r="C6" s="176" t="s">
        <v>410</v>
      </c>
      <c r="D6" s="123" t="s">
        <v>411</v>
      </c>
      <c r="E6" s="51" t="n">
        <f aca="false">SUMPRODUCT(--ISNUMBER(SEARCH(", "&amp;$B6&amp;", ",", "&amp;'Hoạt động (Đơn của tôi)'!$B$7:$B$500&amp;", ")))+SUMPRODUCT(--ISNUMBER(SEARCH(", "&amp;$B6&amp;", ",", "&amp;'Ghép nối'!$B$7:$B$500&amp;", ")))+SUMPRODUCT(--ISNUMBER(SEARCH(", "&amp;$B6&amp;", ",", "&amp;'Huỷ đơn - Huỷ nhận đơn'!$B$7:$B$500&amp;", ")))+SUMPRODUCT(--ISNUMBER(SEARCH(", "&amp;$B6&amp;", ",", "&amp;'Giao nhận &amp; Theo dõi đơn'!$B$7:$B$500&amp;", ")))+SUMPRODUCT(--ISNUMBER(SEARCH(", "&amp;$B6&amp;", ",", "&amp;'Bảng tin &amp; Chi tiết tin'!$B$7:$B$500&amp;", ")))+SUMPRODUCT(--ISNUMBER(SEARCH(", "&amp;$B6&amp;", ",", "&amp;'Quà cảm ơn'!$B$7:$B$500&amp;", ")))+SUMPRODUCT(--ISNUMBER(SEARCH(", "&amp;$B6&amp;", ",", "&amp;'Trang chủ'!$B$7:$B$500&amp;", ")))+SUMPRODUCT(--ISNUMBER(SEARCH(", "&amp;$B6&amp;", ",", "&amp;'Thông báo'!$B$7:$B$500&amp;", ")))+SUMPRODUCT(--ISNUMBER(SEARCH(", "&amp;$B6&amp;", ",", "&amp;'Đăng tin &amp; Quản lý tin'!$B$7:$B$500&amp;", ")))+SUMPRODUCT(--ISNUMBER(SEARCH(", "&amp;$B6&amp;", ",", "&amp;'Trust &amp; Safety'!$B$7:$B$500&amp;", ")))+SUMPRODUCT(--ISNUMBER(SEARCH(", "&amp;$B6&amp;", ",", "&amp;'Tài khoản &amp; Hồ sơ'!$B$7:$B$500&amp;", ")))</f>
        <v>1</v>
      </c>
      <c r="F6" s="51" t="n">
        <f aca="false">SUMPRODUCT(--ISNUMBER(SEARCH(", "&amp;$B6&amp;", ",", "&amp;'Hoạt động (Đơn của tôi)'!$B$7:$B$500&amp;", ")),--('Hoạt động (Đơn của tôi)'!$AT$7:$AT$500&lt;&gt;""))+SUMPRODUCT(--ISNUMBER(SEARCH(", "&amp;$B6&amp;", ",", "&amp;'Ghép nối'!$B$7:$B$500&amp;", ")),--('Ghép nối'!$AT$7:$AT$500&lt;&gt;""))+SUMPRODUCT(--ISNUMBER(SEARCH(", "&amp;$B6&amp;", ",", "&amp;'Huỷ đơn - Huỷ nhận đơn'!$B$7:$B$500&amp;", ")),--('Huỷ đơn - Huỷ nhận đơn'!$AT$7:$AT$500&lt;&gt;""))+SUMPRODUCT(--ISNUMBER(SEARCH(", "&amp;$B6&amp;", ",", "&amp;'Giao nhận &amp; Theo dõi đơn'!$B$7:$B$500&amp;", ")),--('Giao nhận &amp; Theo dõi đơn'!$AT$7:$AT$500&lt;&gt;""))+SUMPRODUCT(--ISNUMBER(SEARCH(", "&amp;$B6&amp;", ",", "&amp;'Bảng tin &amp; Chi tiết tin'!$B$7:$B$500&amp;", ")),--('Bảng tin &amp; Chi tiết tin'!$AT$7:$AT$500&lt;&gt;""))+SUMPRODUCT(--ISNUMBER(SEARCH(", "&amp;$B6&amp;", ",", "&amp;'Quà cảm ơn'!$B$7:$B$500&amp;", ")),--('Quà cảm ơn'!$AT$7:$AT$500&lt;&gt;""))+SUMPRODUCT(--ISNUMBER(SEARCH(", "&amp;$B6&amp;", ",", "&amp;'Trang chủ'!$B$7:$B$500&amp;", ")),--('Trang chủ'!$AT$7:$AT$500&lt;&gt;""))+SUMPRODUCT(--ISNUMBER(SEARCH(", "&amp;$B6&amp;", ",", "&amp;'Thông báo'!$B$7:$B$500&amp;", ")),--('Thông báo'!$AT$7:$AT$500&lt;&gt;""))+SUMPRODUCT(--ISNUMBER(SEARCH(", "&amp;$B6&amp;", ",", "&amp;'Đăng tin &amp; Quản lý tin'!$B$7:$B$500&amp;", ")),--('Đăng tin &amp; Quản lý tin'!$AT$7:$AT$500&lt;&gt;""))+SUMPRODUCT(--ISNUMBER(SEARCH(", "&amp;$B6&amp;", ",", "&amp;'Trust &amp; Safety'!$B$7:$B$500&amp;", ")),--('Trust &amp; Safety'!$AT$7:$AT$500&lt;&gt;""))+SUMPRODUCT(--ISNUMBER(SEARCH(", "&amp;$B6&amp;", ",", "&amp;'Tài khoản &amp; Hồ sơ'!$B$7:$B$500&amp;", ")),--('Tài khoản &amp; Hồ sơ'!$AT$7:$AT$500&lt;&gt;""))</f>
        <v>1</v>
      </c>
      <c r="G6" s="51" t="n">
        <f aca="false">SUMPRODUCT(--ISNUMBER(SEARCH(", "&amp;$B6&amp;", ",", "&amp;'Hoạt động (Đơn của tôi)'!$B$7:$B$500&amp;", ")),--('Hoạt động (Đơn của tôi)'!$AT$7:$AT$500="Pass"))+SUMPRODUCT(--ISNUMBER(SEARCH(", "&amp;$B6&amp;", ",", "&amp;'Ghép nối'!$B$7:$B$500&amp;", ")),--('Ghép nối'!$AT$7:$AT$500="Pass"))+SUMPRODUCT(--ISNUMBER(SEARCH(", "&amp;$B6&amp;", ",", "&amp;'Huỷ đơn - Huỷ nhận đơn'!$B$7:$B$500&amp;", ")),--('Huỷ đơn - Huỷ nhận đơn'!$AT$7:$AT$500="Pass"))+SUMPRODUCT(--ISNUMBER(SEARCH(", "&amp;$B6&amp;", ",", "&amp;'Giao nhận &amp; Theo dõi đơn'!$B$7:$B$500&amp;", ")),--('Giao nhận &amp; Theo dõi đơn'!$AT$7:$AT$500="Pass"))+SUMPRODUCT(--ISNUMBER(SEARCH(", "&amp;$B6&amp;", ",", "&amp;'Bảng tin &amp; Chi tiết tin'!$B$7:$B$500&amp;", ")),--('Bảng tin &amp; Chi tiết tin'!$AT$7:$AT$500="Pass"))+SUMPRODUCT(--ISNUMBER(SEARCH(", "&amp;$B6&amp;", ",", "&amp;'Quà cảm ơn'!$B$7:$B$500&amp;", ")),--('Quà cảm ơn'!$AT$7:$AT$500="Pass"))+SUMPRODUCT(--ISNUMBER(SEARCH(", "&amp;$B6&amp;", ",", "&amp;'Trang chủ'!$B$7:$B$500&amp;", ")),--('Trang chủ'!$AT$7:$AT$500="Pass"))+SUMPRODUCT(--ISNUMBER(SEARCH(", "&amp;$B6&amp;", ",", "&amp;'Thông báo'!$B$7:$B$500&amp;", ")),--('Thông báo'!$AT$7:$AT$500="Pass"))+SUMPRODUCT(--ISNUMBER(SEARCH(", "&amp;$B6&amp;", ",", "&amp;'Đăng tin &amp; Quản lý tin'!$B$7:$B$500&amp;", ")),--('Đăng tin &amp; Quản lý tin'!$AT$7:$AT$500="Pass"))+SUMPRODUCT(--ISNUMBER(SEARCH(", "&amp;$B6&amp;", ",", "&amp;'Trust &amp; Safety'!$B$7:$B$500&amp;", ")),--('Trust &amp; Safety'!$AT$7:$AT$500="Pass"))+SUMPRODUCT(--ISNUMBER(SEARCH(", "&amp;$B6&amp;", ",", "&amp;'Tài khoản &amp; Hồ sơ'!$B$7:$B$500&amp;", ")),--('Tài khoản &amp; Hồ sơ'!$AT$7:$AT$500="Pass"))</f>
        <v>1</v>
      </c>
      <c r="H6" s="51" t="n">
        <f aca="false">SUMPRODUCT(--ISNUMBER(SEARCH(", "&amp;$B6&amp;", ",", "&amp;'Hoạt động (Đơn của tôi)'!$B$7:$B$500&amp;", ")),--('Hoạt động (Đơn của tôi)'!$AT$7:$AT$500="Fail"))+SUMPRODUCT(--ISNUMBER(SEARCH(", "&amp;$B6&amp;", ",", "&amp;'Ghép nối'!$B$7:$B$500&amp;", ")),--('Ghép nối'!$AT$7:$AT$500="Fail"))+SUMPRODUCT(--ISNUMBER(SEARCH(", "&amp;$B6&amp;", ",", "&amp;'Huỷ đơn - Huỷ nhận đơn'!$B$7:$B$500&amp;", ")),--('Huỷ đơn - Huỷ nhận đơn'!$AT$7:$AT$500="Fail"))+SUMPRODUCT(--ISNUMBER(SEARCH(", "&amp;$B6&amp;", ",", "&amp;'Giao nhận &amp; Theo dõi đơn'!$B$7:$B$500&amp;", ")),--('Giao nhận &amp; Theo dõi đơn'!$AT$7:$AT$500="Fail"))+SUMPRODUCT(--ISNUMBER(SEARCH(", "&amp;$B6&amp;", ",", "&amp;'Bảng tin &amp; Chi tiết tin'!$B$7:$B$500&amp;", ")),--('Bảng tin &amp; Chi tiết tin'!$AT$7:$AT$500="Fail"))+SUMPRODUCT(--ISNUMBER(SEARCH(", "&amp;$B6&amp;", ",", "&amp;'Quà cảm ơn'!$B$7:$B$500&amp;", ")),--('Quà cảm ơn'!$AT$7:$AT$500="Fail"))+SUMPRODUCT(--ISNUMBER(SEARCH(", "&amp;$B6&amp;", ",", "&amp;'Trang chủ'!$B$7:$B$500&amp;", ")),--('Trang chủ'!$AT$7:$AT$500="Fail"))+SUMPRODUCT(--ISNUMBER(SEARCH(", "&amp;$B6&amp;", ",", "&amp;'Thông báo'!$B$7:$B$500&amp;", ")),--('Thông báo'!$AT$7:$AT$500="Fail"))+SUMPRODUCT(--ISNUMBER(SEARCH(", "&amp;$B6&amp;", ",", "&amp;'Đăng tin &amp; Quản lý tin'!$B$7:$B$500&amp;", ")),--('Đăng tin &amp; Quản lý tin'!$AT$7:$AT$500="Fail"))+SUMPRODUCT(--ISNUMBER(SEARCH(", "&amp;$B6&amp;", ",", "&amp;'Trust &amp; Safety'!$B$7:$B$500&amp;", ")),--('Trust &amp; Safety'!$AT$7:$AT$500="Fail"))+SUMPRODUCT(--ISNUMBER(SEARCH(", "&amp;$B6&amp;", ",", "&amp;'Tài khoản &amp; Hồ sơ'!$B$7:$B$500&amp;", ")),--('Tài khoản &amp; Hồ sơ'!$AT$7:$AT$500="Fail"))</f>
        <v>0</v>
      </c>
      <c r="I6" s="51" t="n">
        <f aca="false">SUMPRODUCT(--ISNUMBER(SEARCH(", "&amp;$B6&amp;", ",", "&amp;'Hoạt động (Đơn của tôi)'!$B$7:$B$500&amp;", ")),--('Hoạt động (Đơn của tôi)'!$AT$7:$AT$500="Block"))+SUMPRODUCT(--ISNUMBER(SEARCH(", "&amp;$B6&amp;", ",", "&amp;'Ghép nối'!$B$7:$B$500&amp;", ")),--('Ghép nối'!$AT$7:$AT$500="Block"))+SUMPRODUCT(--ISNUMBER(SEARCH(", "&amp;$B6&amp;", ",", "&amp;'Huỷ đơn - Huỷ nhận đơn'!$B$7:$B$500&amp;", ")),--('Huỷ đơn - Huỷ nhận đơn'!$AT$7:$AT$500="Block"))+SUMPRODUCT(--ISNUMBER(SEARCH(", "&amp;$B6&amp;", ",", "&amp;'Giao nhận &amp; Theo dõi đơn'!$B$7:$B$500&amp;", ")),--('Giao nhận &amp; Theo dõi đơn'!$AT$7:$AT$500="Block"))+SUMPRODUCT(--ISNUMBER(SEARCH(", "&amp;$B6&amp;", ",", "&amp;'Bảng tin &amp; Chi tiết tin'!$B$7:$B$500&amp;", ")),--('Bảng tin &amp; Chi tiết tin'!$AT$7:$AT$500="Block"))+SUMPRODUCT(--ISNUMBER(SEARCH(", "&amp;$B6&amp;", ",", "&amp;'Quà cảm ơn'!$B$7:$B$500&amp;", ")),--('Quà cảm ơn'!$AT$7:$AT$500="Block"))+SUMPRODUCT(--ISNUMBER(SEARCH(", "&amp;$B6&amp;", ",", "&amp;'Trang chủ'!$B$7:$B$500&amp;", ")),--('Trang chủ'!$AT$7:$AT$500="Block"))+SUMPRODUCT(--ISNUMBER(SEARCH(", "&amp;$B6&amp;", ",", "&amp;'Thông báo'!$B$7:$B$500&amp;", ")),--('Thông báo'!$AT$7:$AT$500="Block"))+SUMPRODUCT(--ISNUMBER(SEARCH(", "&amp;$B6&amp;", ",", "&amp;'Đăng tin &amp; Quản lý tin'!$B$7:$B$500&amp;", ")),--('Đăng tin &amp; Quản lý tin'!$AT$7:$AT$500="Block"))+SUMPRODUCT(--ISNUMBER(SEARCH(", "&amp;$B6&amp;", ",", "&amp;'Trust &amp; Safety'!$B$7:$B$500&amp;", ")),--('Trust &amp; Safety'!$AT$7:$AT$500="Block"))+SUMPRODUCT(--ISNUMBER(SEARCH(", "&amp;$B6&amp;", ",", "&amp;'Tài khoản &amp; Hồ sơ'!$B$7:$B$500&amp;", ")),--('Tài khoản &amp; Hồ sơ'!$AT$7:$AT$500="Block"))</f>
        <v>0</v>
      </c>
      <c r="J6" s="51" t="n">
        <f aca="false">SUMPRODUCT(--ISNUMBER(SEARCH(", "&amp;$B6&amp;", ",", "&amp;'Hoạt động (Đơn của tôi)'!$B$7:$B$500&amp;", ")),--('Hoạt động (Đơn của tôi)'!$AT$7:$AT$500="N/A"))+SUMPRODUCT(--ISNUMBER(SEARCH(", "&amp;$B6&amp;", ",", "&amp;'Ghép nối'!$B$7:$B$500&amp;", ")),--('Ghép nối'!$AT$7:$AT$500="N/A"))+SUMPRODUCT(--ISNUMBER(SEARCH(", "&amp;$B6&amp;", ",", "&amp;'Huỷ đơn - Huỷ nhận đơn'!$B$7:$B$500&amp;", ")),--('Huỷ đơn - Huỷ nhận đơn'!$AT$7:$AT$500="N/A"))+SUMPRODUCT(--ISNUMBER(SEARCH(", "&amp;$B6&amp;", ",", "&amp;'Giao nhận &amp; Theo dõi đơn'!$B$7:$B$500&amp;", ")),--('Giao nhận &amp; Theo dõi đơn'!$AT$7:$AT$500="N/A"))+SUMPRODUCT(--ISNUMBER(SEARCH(", "&amp;$B6&amp;", ",", "&amp;'Bảng tin &amp; Chi tiết tin'!$B$7:$B$500&amp;", ")),--('Bảng tin &amp; Chi tiết tin'!$AT$7:$AT$500="N/A"))+SUMPRODUCT(--ISNUMBER(SEARCH(", "&amp;$B6&amp;", ",", "&amp;'Quà cảm ơn'!$B$7:$B$500&amp;", ")),--('Quà cảm ơn'!$AT$7:$AT$500="N/A"))+SUMPRODUCT(--ISNUMBER(SEARCH(", "&amp;$B6&amp;", ",", "&amp;'Trang chủ'!$B$7:$B$500&amp;", ")),--('Trang chủ'!$AT$7:$AT$500="N/A"))+SUMPRODUCT(--ISNUMBER(SEARCH(", "&amp;$B6&amp;", ",", "&amp;'Thông báo'!$B$7:$B$500&amp;", ")),--('Thông báo'!$AT$7:$AT$500="N/A"))+SUMPRODUCT(--ISNUMBER(SEARCH(", "&amp;$B6&amp;", ",", "&amp;'Đăng tin &amp; Quản lý tin'!$B$7:$B$500&amp;", ")),--('Đăng tin &amp; Quản lý tin'!$AT$7:$AT$500="N/A"))+SUMPRODUCT(--ISNUMBER(SEARCH(", "&amp;$B6&amp;", ",", "&amp;'Trust &amp; Safety'!$B$7:$B$500&amp;", ")),--('Trust &amp; Safety'!$AT$7:$AT$500="N/A"))+SUMPRODUCT(--ISNUMBER(SEARCH(", "&amp;$B6&amp;", ",", "&amp;'Tài khoản &amp; Hồ sơ'!$B$7:$B$500&amp;", ")),--('Tài khoản &amp; Hồ sơ'!$AT$7:$AT$500="N/A"))</f>
        <v>0</v>
      </c>
      <c r="K6" s="52" t="n">
        <f aca="false">IFERROR(F6/E6,0)</f>
        <v>1</v>
      </c>
      <c r="L6" s="123" t="str">
        <f aca="false">IF(E6=0,"Chưa có TC (gap)",IF(H6&gt;0,"Có lỗi (Fail)",IF(I6&gt;0,"Bị block",IF(F6&lt;E6,"Đang test",IF(G6=0,"Không áp dụng (N/A)","Đã test xong")))))</f>
        <v>Đã test xong</v>
      </c>
      <c r="AB6" s="1" t="s">
        <v>412</v>
      </c>
      <c r="AD6" s="1" t="s">
        <v>412</v>
      </c>
      <c r="AE6" s="1" t="n">
        <f aca="false">SUMIF($AB$6:$AB$77,$AD6,$E$6:$E$77)</f>
        <v>10</v>
      </c>
      <c r="AF6" s="1" t="n">
        <f aca="false">SUMIF($AB$6:$AB$77,$AD6,$F$6:$F$77)</f>
        <v>10</v>
      </c>
    </row>
    <row r="7" customFormat="false" ht="34.5" hidden="false" customHeight="true" outlineLevel="0" collapsed="false">
      <c r="B7" s="175" t="s">
        <v>413</v>
      </c>
      <c r="C7" s="176" t="s">
        <v>414</v>
      </c>
      <c r="D7" s="123" t="s">
        <v>415</v>
      </c>
      <c r="E7" s="51" t="n">
        <f aca="false">SUMPRODUCT(--ISNUMBER(SEARCH(", "&amp;$B7&amp;", ",", "&amp;'Hoạt động (Đơn của tôi)'!$B$7:$B$500&amp;", ")))+SUMPRODUCT(--ISNUMBER(SEARCH(", "&amp;$B7&amp;", ",", "&amp;'Ghép nối'!$B$7:$B$500&amp;", ")))+SUMPRODUCT(--ISNUMBER(SEARCH(", "&amp;$B7&amp;", ",", "&amp;'Huỷ đơn - Huỷ nhận đơn'!$B$7:$B$500&amp;", ")))+SUMPRODUCT(--ISNUMBER(SEARCH(", "&amp;$B7&amp;", ",", "&amp;'Giao nhận &amp; Theo dõi đơn'!$B$7:$B$500&amp;", ")))+SUMPRODUCT(--ISNUMBER(SEARCH(", "&amp;$B7&amp;", ",", "&amp;'Bảng tin &amp; Chi tiết tin'!$B$7:$B$500&amp;", ")))+SUMPRODUCT(--ISNUMBER(SEARCH(", "&amp;$B7&amp;", ",", "&amp;'Quà cảm ơn'!$B$7:$B$500&amp;", ")))+SUMPRODUCT(--ISNUMBER(SEARCH(", "&amp;$B7&amp;", ",", "&amp;'Trang chủ'!$B$7:$B$500&amp;", ")))+SUMPRODUCT(--ISNUMBER(SEARCH(", "&amp;$B7&amp;", ",", "&amp;'Thông báo'!$B$7:$B$500&amp;", ")))+SUMPRODUCT(--ISNUMBER(SEARCH(", "&amp;$B7&amp;", ",", "&amp;'Đăng tin &amp; Quản lý tin'!$B$7:$B$500&amp;", ")))+SUMPRODUCT(--ISNUMBER(SEARCH(", "&amp;$B7&amp;", ",", "&amp;'Trust &amp; Safety'!$B$7:$B$500&amp;", ")))+SUMPRODUCT(--ISNUMBER(SEARCH(", "&amp;$B7&amp;", ",", "&amp;'Tài khoản &amp; Hồ sơ'!$B$7:$B$500&amp;", ")))</f>
        <v>2</v>
      </c>
      <c r="F7" s="51" t="n">
        <f aca="false">SUMPRODUCT(--ISNUMBER(SEARCH(", "&amp;$B7&amp;", ",", "&amp;'Hoạt động (Đơn của tôi)'!$B$7:$B$500&amp;", ")),--('Hoạt động (Đơn của tôi)'!$AT$7:$AT$500&lt;&gt;""))+SUMPRODUCT(--ISNUMBER(SEARCH(", "&amp;$B7&amp;", ",", "&amp;'Ghép nối'!$B$7:$B$500&amp;", ")),--('Ghép nối'!$AT$7:$AT$500&lt;&gt;""))+SUMPRODUCT(--ISNUMBER(SEARCH(", "&amp;$B7&amp;", ",", "&amp;'Huỷ đơn - Huỷ nhận đơn'!$B$7:$B$500&amp;", ")),--('Huỷ đơn - Huỷ nhận đơn'!$AT$7:$AT$500&lt;&gt;""))+SUMPRODUCT(--ISNUMBER(SEARCH(", "&amp;$B7&amp;", ",", "&amp;'Giao nhận &amp; Theo dõi đơn'!$B$7:$B$500&amp;", ")),--('Giao nhận &amp; Theo dõi đơn'!$AT$7:$AT$500&lt;&gt;""))+SUMPRODUCT(--ISNUMBER(SEARCH(", "&amp;$B7&amp;", ",", "&amp;'Bảng tin &amp; Chi tiết tin'!$B$7:$B$500&amp;", ")),--('Bảng tin &amp; Chi tiết tin'!$AT$7:$AT$500&lt;&gt;""))+SUMPRODUCT(--ISNUMBER(SEARCH(", "&amp;$B7&amp;", ",", "&amp;'Quà cảm ơn'!$B$7:$B$500&amp;", ")),--('Quà cảm ơn'!$AT$7:$AT$500&lt;&gt;""))+SUMPRODUCT(--ISNUMBER(SEARCH(", "&amp;$B7&amp;", ",", "&amp;'Trang chủ'!$B$7:$B$500&amp;", ")),--('Trang chủ'!$AT$7:$AT$500&lt;&gt;""))+SUMPRODUCT(--ISNUMBER(SEARCH(", "&amp;$B7&amp;", ",", "&amp;'Thông báo'!$B$7:$B$500&amp;", ")),--('Thông báo'!$AT$7:$AT$500&lt;&gt;""))+SUMPRODUCT(--ISNUMBER(SEARCH(", "&amp;$B7&amp;", ",", "&amp;'Đăng tin &amp; Quản lý tin'!$B$7:$B$500&amp;", ")),--('Đăng tin &amp; Quản lý tin'!$AT$7:$AT$500&lt;&gt;""))+SUMPRODUCT(--ISNUMBER(SEARCH(", "&amp;$B7&amp;", ",", "&amp;'Trust &amp; Safety'!$B$7:$B$500&amp;", ")),--('Trust &amp; Safety'!$AT$7:$AT$500&lt;&gt;""))+SUMPRODUCT(--ISNUMBER(SEARCH(", "&amp;$B7&amp;", ",", "&amp;'Tài khoản &amp; Hồ sơ'!$B$7:$B$500&amp;", ")),--('Tài khoản &amp; Hồ sơ'!$AT$7:$AT$500&lt;&gt;""))</f>
        <v>2</v>
      </c>
      <c r="G7" s="51" t="n">
        <f aca="false">SUMPRODUCT(--ISNUMBER(SEARCH(", "&amp;$B7&amp;", ",", "&amp;'Hoạt động (Đơn của tôi)'!$B$7:$B$500&amp;", ")),--('Hoạt động (Đơn của tôi)'!$AT$7:$AT$500="Pass"))+SUMPRODUCT(--ISNUMBER(SEARCH(", "&amp;$B7&amp;", ",", "&amp;'Ghép nối'!$B$7:$B$500&amp;", ")),--('Ghép nối'!$AT$7:$AT$500="Pass"))+SUMPRODUCT(--ISNUMBER(SEARCH(", "&amp;$B7&amp;", ",", "&amp;'Huỷ đơn - Huỷ nhận đơn'!$B$7:$B$500&amp;", ")),--('Huỷ đơn - Huỷ nhận đơn'!$AT$7:$AT$500="Pass"))+SUMPRODUCT(--ISNUMBER(SEARCH(", "&amp;$B7&amp;", ",", "&amp;'Giao nhận &amp; Theo dõi đơn'!$B$7:$B$500&amp;", ")),--('Giao nhận &amp; Theo dõi đơn'!$AT$7:$AT$500="Pass"))+SUMPRODUCT(--ISNUMBER(SEARCH(", "&amp;$B7&amp;", ",", "&amp;'Bảng tin &amp; Chi tiết tin'!$B$7:$B$500&amp;", ")),--('Bảng tin &amp; Chi tiết tin'!$AT$7:$AT$500="Pass"))+SUMPRODUCT(--ISNUMBER(SEARCH(", "&amp;$B7&amp;", ",", "&amp;'Quà cảm ơn'!$B$7:$B$500&amp;", ")),--('Quà cảm ơn'!$AT$7:$AT$500="Pass"))+SUMPRODUCT(--ISNUMBER(SEARCH(", "&amp;$B7&amp;", ",", "&amp;'Trang chủ'!$B$7:$B$500&amp;", ")),--('Trang chủ'!$AT$7:$AT$500="Pass"))+SUMPRODUCT(--ISNUMBER(SEARCH(", "&amp;$B7&amp;", ",", "&amp;'Thông báo'!$B$7:$B$500&amp;", ")),--('Thông báo'!$AT$7:$AT$500="Pass"))+SUMPRODUCT(--ISNUMBER(SEARCH(", "&amp;$B7&amp;", ",", "&amp;'Đăng tin &amp; Quản lý tin'!$B$7:$B$500&amp;", ")),--('Đăng tin &amp; Quản lý tin'!$AT$7:$AT$500="Pass"))+SUMPRODUCT(--ISNUMBER(SEARCH(", "&amp;$B7&amp;", ",", "&amp;'Trust &amp; Safety'!$B$7:$B$500&amp;", ")),--('Trust &amp; Safety'!$AT$7:$AT$500="Pass"))+SUMPRODUCT(--ISNUMBER(SEARCH(", "&amp;$B7&amp;", ",", "&amp;'Tài khoản &amp; Hồ sơ'!$B$7:$B$500&amp;", ")),--('Tài khoản &amp; Hồ sơ'!$AT$7:$AT$500="Pass"))</f>
        <v>2</v>
      </c>
      <c r="H7" s="51" t="n">
        <f aca="false">SUMPRODUCT(--ISNUMBER(SEARCH(", "&amp;$B7&amp;", ",", "&amp;'Hoạt động (Đơn của tôi)'!$B$7:$B$500&amp;", ")),--('Hoạt động (Đơn của tôi)'!$AT$7:$AT$500="Fail"))+SUMPRODUCT(--ISNUMBER(SEARCH(", "&amp;$B7&amp;", ",", "&amp;'Ghép nối'!$B$7:$B$500&amp;", ")),--('Ghép nối'!$AT$7:$AT$500="Fail"))+SUMPRODUCT(--ISNUMBER(SEARCH(", "&amp;$B7&amp;", ",", "&amp;'Huỷ đơn - Huỷ nhận đơn'!$B$7:$B$500&amp;", ")),--('Huỷ đơn - Huỷ nhận đơn'!$AT$7:$AT$500="Fail"))+SUMPRODUCT(--ISNUMBER(SEARCH(", "&amp;$B7&amp;", ",", "&amp;'Giao nhận &amp; Theo dõi đơn'!$B$7:$B$500&amp;", ")),--('Giao nhận &amp; Theo dõi đơn'!$AT$7:$AT$500="Fail"))+SUMPRODUCT(--ISNUMBER(SEARCH(", "&amp;$B7&amp;", ",", "&amp;'Bảng tin &amp; Chi tiết tin'!$B$7:$B$500&amp;", ")),--('Bảng tin &amp; Chi tiết tin'!$AT$7:$AT$500="Fail"))+SUMPRODUCT(--ISNUMBER(SEARCH(", "&amp;$B7&amp;", ",", "&amp;'Quà cảm ơn'!$B$7:$B$500&amp;", ")),--('Quà cảm ơn'!$AT$7:$AT$500="Fail"))+SUMPRODUCT(--ISNUMBER(SEARCH(", "&amp;$B7&amp;", ",", "&amp;'Trang chủ'!$B$7:$B$500&amp;", ")),--('Trang chủ'!$AT$7:$AT$500="Fail"))+SUMPRODUCT(--ISNUMBER(SEARCH(", "&amp;$B7&amp;", ",", "&amp;'Thông báo'!$B$7:$B$500&amp;", ")),--('Thông báo'!$AT$7:$AT$500="Fail"))+SUMPRODUCT(--ISNUMBER(SEARCH(", "&amp;$B7&amp;", ",", "&amp;'Đăng tin &amp; Quản lý tin'!$B$7:$B$500&amp;", ")),--('Đăng tin &amp; Quản lý tin'!$AT$7:$AT$500="Fail"))+SUMPRODUCT(--ISNUMBER(SEARCH(", "&amp;$B7&amp;", ",", "&amp;'Trust &amp; Safety'!$B$7:$B$500&amp;", ")),--('Trust &amp; Safety'!$AT$7:$AT$500="Fail"))+SUMPRODUCT(--ISNUMBER(SEARCH(", "&amp;$B7&amp;", ",", "&amp;'Tài khoản &amp; Hồ sơ'!$B$7:$B$500&amp;", ")),--('Tài khoản &amp; Hồ sơ'!$AT$7:$AT$500="Fail"))</f>
        <v>0</v>
      </c>
      <c r="I7" s="51" t="n">
        <f aca="false">SUMPRODUCT(--ISNUMBER(SEARCH(", "&amp;$B7&amp;", ",", "&amp;'Hoạt động (Đơn của tôi)'!$B$7:$B$500&amp;", ")),--('Hoạt động (Đơn của tôi)'!$AT$7:$AT$500="Block"))+SUMPRODUCT(--ISNUMBER(SEARCH(", "&amp;$B7&amp;", ",", "&amp;'Ghép nối'!$B$7:$B$500&amp;", ")),--('Ghép nối'!$AT$7:$AT$500="Block"))+SUMPRODUCT(--ISNUMBER(SEARCH(", "&amp;$B7&amp;", ",", "&amp;'Huỷ đơn - Huỷ nhận đơn'!$B$7:$B$500&amp;", ")),--('Huỷ đơn - Huỷ nhận đơn'!$AT$7:$AT$500="Block"))+SUMPRODUCT(--ISNUMBER(SEARCH(", "&amp;$B7&amp;", ",", "&amp;'Giao nhận &amp; Theo dõi đơn'!$B$7:$B$500&amp;", ")),--('Giao nhận &amp; Theo dõi đơn'!$AT$7:$AT$500="Block"))+SUMPRODUCT(--ISNUMBER(SEARCH(", "&amp;$B7&amp;", ",", "&amp;'Bảng tin &amp; Chi tiết tin'!$B$7:$B$500&amp;", ")),--('Bảng tin &amp; Chi tiết tin'!$AT$7:$AT$500="Block"))+SUMPRODUCT(--ISNUMBER(SEARCH(", "&amp;$B7&amp;", ",", "&amp;'Quà cảm ơn'!$B$7:$B$500&amp;", ")),--('Quà cảm ơn'!$AT$7:$AT$500="Block"))+SUMPRODUCT(--ISNUMBER(SEARCH(", "&amp;$B7&amp;", ",", "&amp;'Trang chủ'!$B$7:$B$500&amp;", ")),--('Trang chủ'!$AT$7:$AT$500="Block"))+SUMPRODUCT(--ISNUMBER(SEARCH(", "&amp;$B7&amp;", ",", "&amp;'Thông báo'!$B$7:$B$500&amp;", ")),--('Thông báo'!$AT$7:$AT$500="Block"))+SUMPRODUCT(--ISNUMBER(SEARCH(", "&amp;$B7&amp;", ",", "&amp;'Đăng tin &amp; Quản lý tin'!$B$7:$B$500&amp;", ")),--('Đăng tin &amp; Quản lý tin'!$AT$7:$AT$500="Block"))+SUMPRODUCT(--ISNUMBER(SEARCH(", "&amp;$B7&amp;", ",", "&amp;'Trust &amp; Safety'!$B$7:$B$500&amp;", ")),--('Trust &amp; Safety'!$AT$7:$AT$500="Block"))+SUMPRODUCT(--ISNUMBER(SEARCH(", "&amp;$B7&amp;", ",", "&amp;'Tài khoản &amp; Hồ sơ'!$B$7:$B$500&amp;", ")),--('Tài khoản &amp; Hồ sơ'!$AT$7:$AT$500="Block"))</f>
        <v>0</v>
      </c>
      <c r="J7" s="51" t="n">
        <f aca="false">SUMPRODUCT(--ISNUMBER(SEARCH(", "&amp;$B7&amp;", ",", "&amp;'Hoạt động (Đơn của tôi)'!$B$7:$B$500&amp;", ")),--('Hoạt động (Đơn của tôi)'!$AT$7:$AT$500="N/A"))+SUMPRODUCT(--ISNUMBER(SEARCH(", "&amp;$B7&amp;", ",", "&amp;'Ghép nối'!$B$7:$B$500&amp;", ")),--('Ghép nối'!$AT$7:$AT$500="N/A"))+SUMPRODUCT(--ISNUMBER(SEARCH(", "&amp;$B7&amp;", ",", "&amp;'Huỷ đơn - Huỷ nhận đơn'!$B$7:$B$500&amp;", ")),--('Huỷ đơn - Huỷ nhận đơn'!$AT$7:$AT$500="N/A"))+SUMPRODUCT(--ISNUMBER(SEARCH(", "&amp;$B7&amp;", ",", "&amp;'Giao nhận &amp; Theo dõi đơn'!$B$7:$B$500&amp;", ")),--('Giao nhận &amp; Theo dõi đơn'!$AT$7:$AT$500="N/A"))+SUMPRODUCT(--ISNUMBER(SEARCH(", "&amp;$B7&amp;", ",", "&amp;'Bảng tin &amp; Chi tiết tin'!$B$7:$B$500&amp;", ")),--('Bảng tin &amp; Chi tiết tin'!$AT$7:$AT$500="N/A"))+SUMPRODUCT(--ISNUMBER(SEARCH(", "&amp;$B7&amp;", ",", "&amp;'Quà cảm ơn'!$B$7:$B$500&amp;", ")),--('Quà cảm ơn'!$AT$7:$AT$500="N/A"))+SUMPRODUCT(--ISNUMBER(SEARCH(", "&amp;$B7&amp;", ",", "&amp;'Trang chủ'!$B$7:$B$500&amp;", ")),--('Trang chủ'!$AT$7:$AT$500="N/A"))+SUMPRODUCT(--ISNUMBER(SEARCH(", "&amp;$B7&amp;", ",", "&amp;'Thông báo'!$B$7:$B$500&amp;", ")),--('Thông báo'!$AT$7:$AT$500="N/A"))+SUMPRODUCT(--ISNUMBER(SEARCH(", "&amp;$B7&amp;", ",", "&amp;'Đăng tin &amp; Quản lý tin'!$B$7:$B$500&amp;", ")),--('Đăng tin &amp; Quản lý tin'!$AT$7:$AT$500="N/A"))+SUMPRODUCT(--ISNUMBER(SEARCH(", "&amp;$B7&amp;", ",", "&amp;'Trust &amp; Safety'!$B$7:$B$500&amp;", ")),--('Trust &amp; Safety'!$AT$7:$AT$500="N/A"))+SUMPRODUCT(--ISNUMBER(SEARCH(", "&amp;$B7&amp;", ",", "&amp;'Tài khoản &amp; Hồ sơ'!$B$7:$B$500&amp;", ")),--('Tài khoản &amp; Hồ sơ'!$AT$7:$AT$500="N/A"))</f>
        <v>0</v>
      </c>
      <c r="K7" s="52" t="n">
        <f aca="false">IFERROR(F7/E7,0)</f>
        <v>1</v>
      </c>
      <c r="L7" s="123" t="str">
        <f aca="false">IF(E7=0,"Chưa có TC (gap)",IF(H7&gt;0,"Có lỗi (Fail)",IF(I7&gt;0,"Bị block",IF(F7&lt;E7,"Đang test",IF(G7=0,"Không áp dụng (N/A)","Đã test xong")))))</f>
        <v>Đã test xong</v>
      </c>
      <c r="AB7" s="1" t="s">
        <v>412</v>
      </c>
      <c r="AD7" s="1" t="s">
        <v>416</v>
      </c>
      <c r="AE7" s="1" t="n">
        <f aca="false">SUMIF($AB$6:$AB$77,$AD7,$E$6:$E$77)</f>
        <v>13</v>
      </c>
      <c r="AF7" s="1" t="n">
        <f aca="false">SUMIF($AB$6:$AB$77,$AD7,$F$6:$F$77)</f>
        <v>0</v>
      </c>
    </row>
    <row r="8" customFormat="false" ht="45.75" hidden="false" customHeight="true" outlineLevel="0" collapsed="false">
      <c r="B8" s="175" t="s">
        <v>417</v>
      </c>
      <c r="C8" s="176" t="s">
        <v>418</v>
      </c>
      <c r="D8" s="123" t="s">
        <v>419</v>
      </c>
      <c r="E8" s="51" t="n">
        <f aca="false">SUMPRODUCT(--ISNUMBER(SEARCH(", "&amp;$B8&amp;", ",", "&amp;'Hoạt động (Đơn của tôi)'!$B$7:$B$500&amp;", ")))+SUMPRODUCT(--ISNUMBER(SEARCH(", "&amp;$B8&amp;", ",", "&amp;'Ghép nối'!$B$7:$B$500&amp;", ")))+SUMPRODUCT(--ISNUMBER(SEARCH(", "&amp;$B8&amp;", ",", "&amp;'Huỷ đơn - Huỷ nhận đơn'!$B$7:$B$500&amp;", ")))+SUMPRODUCT(--ISNUMBER(SEARCH(", "&amp;$B8&amp;", ",", "&amp;'Giao nhận &amp; Theo dõi đơn'!$B$7:$B$500&amp;", ")))+SUMPRODUCT(--ISNUMBER(SEARCH(", "&amp;$B8&amp;", ",", "&amp;'Bảng tin &amp; Chi tiết tin'!$B$7:$B$500&amp;", ")))+SUMPRODUCT(--ISNUMBER(SEARCH(", "&amp;$B8&amp;", ",", "&amp;'Quà cảm ơn'!$B$7:$B$500&amp;", ")))+SUMPRODUCT(--ISNUMBER(SEARCH(", "&amp;$B8&amp;", ",", "&amp;'Trang chủ'!$B$7:$B$500&amp;", ")))+SUMPRODUCT(--ISNUMBER(SEARCH(", "&amp;$B8&amp;", ",", "&amp;'Thông báo'!$B$7:$B$500&amp;", ")))+SUMPRODUCT(--ISNUMBER(SEARCH(", "&amp;$B8&amp;", ",", "&amp;'Đăng tin &amp; Quản lý tin'!$B$7:$B$500&amp;", ")))+SUMPRODUCT(--ISNUMBER(SEARCH(", "&amp;$B8&amp;", ",", "&amp;'Trust &amp; Safety'!$B$7:$B$500&amp;", ")))+SUMPRODUCT(--ISNUMBER(SEARCH(", "&amp;$B8&amp;", ",", "&amp;'Tài khoản &amp; Hồ sơ'!$B$7:$B$500&amp;", ")))</f>
        <v>1</v>
      </c>
      <c r="F8" s="51" t="n">
        <f aca="false">SUMPRODUCT(--ISNUMBER(SEARCH(", "&amp;$B8&amp;", ",", "&amp;'Hoạt động (Đơn của tôi)'!$B$7:$B$500&amp;", ")),--('Hoạt động (Đơn của tôi)'!$AT$7:$AT$500&lt;&gt;""))+SUMPRODUCT(--ISNUMBER(SEARCH(", "&amp;$B8&amp;", ",", "&amp;'Ghép nối'!$B$7:$B$500&amp;", ")),--('Ghép nối'!$AT$7:$AT$500&lt;&gt;""))+SUMPRODUCT(--ISNUMBER(SEARCH(", "&amp;$B8&amp;", ",", "&amp;'Huỷ đơn - Huỷ nhận đơn'!$B$7:$B$500&amp;", ")),--('Huỷ đơn - Huỷ nhận đơn'!$AT$7:$AT$500&lt;&gt;""))+SUMPRODUCT(--ISNUMBER(SEARCH(", "&amp;$B8&amp;", ",", "&amp;'Giao nhận &amp; Theo dõi đơn'!$B$7:$B$500&amp;", ")),--('Giao nhận &amp; Theo dõi đơn'!$AT$7:$AT$500&lt;&gt;""))+SUMPRODUCT(--ISNUMBER(SEARCH(", "&amp;$B8&amp;", ",", "&amp;'Bảng tin &amp; Chi tiết tin'!$B$7:$B$500&amp;", ")),--('Bảng tin &amp; Chi tiết tin'!$AT$7:$AT$500&lt;&gt;""))+SUMPRODUCT(--ISNUMBER(SEARCH(", "&amp;$B8&amp;", ",", "&amp;'Quà cảm ơn'!$B$7:$B$500&amp;", ")),--('Quà cảm ơn'!$AT$7:$AT$500&lt;&gt;""))+SUMPRODUCT(--ISNUMBER(SEARCH(", "&amp;$B8&amp;", ",", "&amp;'Trang chủ'!$B$7:$B$500&amp;", ")),--('Trang chủ'!$AT$7:$AT$500&lt;&gt;""))+SUMPRODUCT(--ISNUMBER(SEARCH(", "&amp;$B8&amp;", ",", "&amp;'Thông báo'!$B$7:$B$500&amp;", ")),--('Thông báo'!$AT$7:$AT$500&lt;&gt;""))+SUMPRODUCT(--ISNUMBER(SEARCH(", "&amp;$B8&amp;", ",", "&amp;'Đăng tin &amp; Quản lý tin'!$B$7:$B$500&amp;", ")),--('Đăng tin &amp; Quản lý tin'!$AT$7:$AT$500&lt;&gt;""))+SUMPRODUCT(--ISNUMBER(SEARCH(", "&amp;$B8&amp;", ",", "&amp;'Trust &amp; Safety'!$B$7:$B$500&amp;", ")),--('Trust &amp; Safety'!$AT$7:$AT$500&lt;&gt;""))+SUMPRODUCT(--ISNUMBER(SEARCH(", "&amp;$B8&amp;", ",", "&amp;'Tài khoản &amp; Hồ sơ'!$B$7:$B$500&amp;", ")),--('Tài khoản &amp; Hồ sơ'!$AT$7:$AT$500&lt;&gt;""))</f>
        <v>1</v>
      </c>
      <c r="G8" s="51" t="n">
        <f aca="false">SUMPRODUCT(--ISNUMBER(SEARCH(", "&amp;$B8&amp;", ",", "&amp;'Hoạt động (Đơn của tôi)'!$B$7:$B$500&amp;", ")),--('Hoạt động (Đơn của tôi)'!$AT$7:$AT$500="Pass"))+SUMPRODUCT(--ISNUMBER(SEARCH(", "&amp;$B8&amp;", ",", "&amp;'Ghép nối'!$B$7:$B$500&amp;", ")),--('Ghép nối'!$AT$7:$AT$500="Pass"))+SUMPRODUCT(--ISNUMBER(SEARCH(", "&amp;$B8&amp;", ",", "&amp;'Huỷ đơn - Huỷ nhận đơn'!$B$7:$B$500&amp;", ")),--('Huỷ đơn - Huỷ nhận đơn'!$AT$7:$AT$500="Pass"))+SUMPRODUCT(--ISNUMBER(SEARCH(", "&amp;$B8&amp;", ",", "&amp;'Giao nhận &amp; Theo dõi đơn'!$B$7:$B$500&amp;", ")),--('Giao nhận &amp; Theo dõi đơn'!$AT$7:$AT$500="Pass"))+SUMPRODUCT(--ISNUMBER(SEARCH(", "&amp;$B8&amp;", ",", "&amp;'Bảng tin &amp; Chi tiết tin'!$B$7:$B$500&amp;", ")),--('Bảng tin &amp; Chi tiết tin'!$AT$7:$AT$500="Pass"))+SUMPRODUCT(--ISNUMBER(SEARCH(", "&amp;$B8&amp;", ",", "&amp;'Quà cảm ơn'!$B$7:$B$500&amp;", ")),--('Quà cảm ơn'!$AT$7:$AT$500="Pass"))+SUMPRODUCT(--ISNUMBER(SEARCH(", "&amp;$B8&amp;", ",", "&amp;'Trang chủ'!$B$7:$B$500&amp;", ")),--('Trang chủ'!$AT$7:$AT$500="Pass"))+SUMPRODUCT(--ISNUMBER(SEARCH(", "&amp;$B8&amp;", ",", "&amp;'Thông báo'!$B$7:$B$500&amp;", ")),--('Thông báo'!$AT$7:$AT$500="Pass"))+SUMPRODUCT(--ISNUMBER(SEARCH(", "&amp;$B8&amp;", ",", "&amp;'Đăng tin &amp; Quản lý tin'!$B$7:$B$500&amp;", ")),--('Đăng tin &amp; Quản lý tin'!$AT$7:$AT$500="Pass"))+SUMPRODUCT(--ISNUMBER(SEARCH(", "&amp;$B8&amp;", ",", "&amp;'Trust &amp; Safety'!$B$7:$B$500&amp;", ")),--('Trust &amp; Safety'!$AT$7:$AT$500="Pass"))+SUMPRODUCT(--ISNUMBER(SEARCH(", "&amp;$B8&amp;", ",", "&amp;'Tài khoản &amp; Hồ sơ'!$B$7:$B$500&amp;", ")),--('Tài khoản &amp; Hồ sơ'!$AT$7:$AT$500="Pass"))</f>
        <v>1</v>
      </c>
      <c r="H8" s="51" t="n">
        <f aca="false">SUMPRODUCT(--ISNUMBER(SEARCH(", "&amp;$B8&amp;", ",", "&amp;'Hoạt động (Đơn của tôi)'!$B$7:$B$500&amp;", ")),--('Hoạt động (Đơn của tôi)'!$AT$7:$AT$500="Fail"))+SUMPRODUCT(--ISNUMBER(SEARCH(", "&amp;$B8&amp;", ",", "&amp;'Ghép nối'!$B$7:$B$500&amp;", ")),--('Ghép nối'!$AT$7:$AT$500="Fail"))+SUMPRODUCT(--ISNUMBER(SEARCH(", "&amp;$B8&amp;", ",", "&amp;'Huỷ đơn - Huỷ nhận đơn'!$B$7:$B$500&amp;", ")),--('Huỷ đơn - Huỷ nhận đơn'!$AT$7:$AT$500="Fail"))+SUMPRODUCT(--ISNUMBER(SEARCH(", "&amp;$B8&amp;", ",", "&amp;'Giao nhận &amp; Theo dõi đơn'!$B$7:$B$500&amp;", ")),--('Giao nhận &amp; Theo dõi đơn'!$AT$7:$AT$500="Fail"))+SUMPRODUCT(--ISNUMBER(SEARCH(", "&amp;$B8&amp;", ",", "&amp;'Bảng tin &amp; Chi tiết tin'!$B$7:$B$500&amp;", ")),--('Bảng tin &amp; Chi tiết tin'!$AT$7:$AT$500="Fail"))+SUMPRODUCT(--ISNUMBER(SEARCH(", "&amp;$B8&amp;", ",", "&amp;'Quà cảm ơn'!$B$7:$B$500&amp;", ")),--('Quà cảm ơn'!$AT$7:$AT$500="Fail"))+SUMPRODUCT(--ISNUMBER(SEARCH(", "&amp;$B8&amp;", ",", "&amp;'Trang chủ'!$B$7:$B$500&amp;", ")),--('Trang chủ'!$AT$7:$AT$500="Fail"))+SUMPRODUCT(--ISNUMBER(SEARCH(", "&amp;$B8&amp;", ",", "&amp;'Thông báo'!$B$7:$B$500&amp;", ")),--('Thông báo'!$AT$7:$AT$500="Fail"))+SUMPRODUCT(--ISNUMBER(SEARCH(", "&amp;$B8&amp;", ",", "&amp;'Đăng tin &amp; Quản lý tin'!$B$7:$B$500&amp;", ")),--('Đăng tin &amp; Quản lý tin'!$AT$7:$AT$500="Fail"))+SUMPRODUCT(--ISNUMBER(SEARCH(", "&amp;$B8&amp;", ",", "&amp;'Trust &amp; Safety'!$B$7:$B$500&amp;", ")),--('Trust &amp; Safety'!$AT$7:$AT$500="Fail"))+SUMPRODUCT(--ISNUMBER(SEARCH(", "&amp;$B8&amp;", ",", "&amp;'Tài khoản &amp; Hồ sơ'!$B$7:$B$500&amp;", ")),--('Tài khoản &amp; Hồ sơ'!$AT$7:$AT$500="Fail"))</f>
        <v>0</v>
      </c>
      <c r="I8" s="51" t="n">
        <f aca="false">SUMPRODUCT(--ISNUMBER(SEARCH(", "&amp;$B8&amp;", ",", "&amp;'Hoạt động (Đơn của tôi)'!$B$7:$B$500&amp;", ")),--('Hoạt động (Đơn của tôi)'!$AT$7:$AT$500="Block"))+SUMPRODUCT(--ISNUMBER(SEARCH(", "&amp;$B8&amp;", ",", "&amp;'Ghép nối'!$B$7:$B$500&amp;", ")),--('Ghép nối'!$AT$7:$AT$500="Block"))+SUMPRODUCT(--ISNUMBER(SEARCH(", "&amp;$B8&amp;", ",", "&amp;'Huỷ đơn - Huỷ nhận đơn'!$B$7:$B$500&amp;", ")),--('Huỷ đơn - Huỷ nhận đơn'!$AT$7:$AT$500="Block"))+SUMPRODUCT(--ISNUMBER(SEARCH(", "&amp;$B8&amp;", ",", "&amp;'Giao nhận &amp; Theo dõi đơn'!$B$7:$B$500&amp;", ")),--('Giao nhận &amp; Theo dõi đơn'!$AT$7:$AT$500="Block"))+SUMPRODUCT(--ISNUMBER(SEARCH(", "&amp;$B8&amp;", ",", "&amp;'Bảng tin &amp; Chi tiết tin'!$B$7:$B$500&amp;", ")),--('Bảng tin &amp; Chi tiết tin'!$AT$7:$AT$500="Block"))+SUMPRODUCT(--ISNUMBER(SEARCH(", "&amp;$B8&amp;", ",", "&amp;'Quà cảm ơn'!$B$7:$B$500&amp;", ")),--('Quà cảm ơn'!$AT$7:$AT$500="Block"))+SUMPRODUCT(--ISNUMBER(SEARCH(", "&amp;$B8&amp;", ",", "&amp;'Trang chủ'!$B$7:$B$500&amp;", ")),--('Trang chủ'!$AT$7:$AT$500="Block"))+SUMPRODUCT(--ISNUMBER(SEARCH(", "&amp;$B8&amp;", ",", "&amp;'Thông báo'!$B$7:$B$500&amp;", ")),--('Thông báo'!$AT$7:$AT$500="Block"))+SUMPRODUCT(--ISNUMBER(SEARCH(", "&amp;$B8&amp;", ",", "&amp;'Đăng tin &amp; Quản lý tin'!$B$7:$B$500&amp;", ")),--('Đăng tin &amp; Quản lý tin'!$AT$7:$AT$500="Block"))+SUMPRODUCT(--ISNUMBER(SEARCH(", "&amp;$B8&amp;", ",", "&amp;'Trust &amp; Safety'!$B$7:$B$500&amp;", ")),--('Trust &amp; Safety'!$AT$7:$AT$500="Block"))+SUMPRODUCT(--ISNUMBER(SEARCH(", "&amp;$B8&amp;", ",", "&amp;'Tài khoản &amp; Hồ sơ'!$B$7:$B$500&amp;", ")),--('Tài khoản &amp; Hồ sơ'!$AT$7:$AT$500="Block"))</f>
        <v>0</v>
      </c>
      <c r="J8" s="51" t="n">
        <f aca="false">SUMPRODUCT(--ISNUMBER(SEARCH(", "&amp;$B8&amp;", ",", "&amp;'Hoạt động (Đơn của tôi)'!$B$7:$B$500&amp;", ")),--('Hoạt động (Đơn của tôi)'!$AT$7:$AT$500="N/A"))+SUMPRODUCT(--ISNUMBER(SEARCH(", "&amp;$B8&amp;", ",", "&amp;'Ghép nối'!$B$7:$B$500&amp;", ")),--('Ghép nối'!$AT$7:$AT$500="N/A"))+SUMPRODUCT(--ISNUMBER(SEARCH(", "&amp;$B8&amp;", ",", "&amp;'Huỷ đơn - Huỷ nhận đơn'!$B$7:$B$500&amp;", ")),--('Huỷ đơn - Huỷ nhận đơn'!$AT$7:$AT$500="N/A"))+SUMPRODUCT(--ISNUMBER(SEARCH(", "&amp;$B8&amp;", ",", "&amp;'Giao nhận &amp; Theo dõi đơn'!$B$7:$B$500&amp;", ")),--('Giao nhận &amp; Theo dõi đơn'!$AT$7:$AT$500="N/A"))+SUMPRODUCT(--ISNUMBER(SEARCH(", "&amp;$B8&amp;", ",", "&amp;'Bảng tin &amp; Chi tiết tin'!$B$7:$B$500&amp;", ")),--('Bảng tin &amp; Chi tiết tin'!$AT$7:$AT$500="N/A"))+SUMPRODUCT(--ISNUMBER(SEARCH(", "&amp;$B8&amp;", ",", "&amp;'Quà cảm ơn'!$B$7:$B$500&amp;", ")),--('Quà cảm ơn'!$AT$7:$AT$500="N/A"))+SUMPRODUCT(--ISNUMBER(SEARCH(", "&amp;$B8&amp;", ",", "&amp;'Trang chủ'!$B$7:$B$500&amp;", ")),--('Trang chủ'!$AT$7:$AT$500="N/A"))+SUMPRODUCT(--ISNUMBER(SEARCH(", "&amp;$B8&amp;", ",", "&amp;'Thông báo'!$B$7:$B$500&amp;", ")),--('Thông báo'!$AT$7:$AT$500="N/A"))+SUMPRODUCT(--ISNUMBER(SEARCH(", "&amp;$B8&amp;", ",", "&amp;'Đăng tin &amp; Quản lý tin'!$B$7:$B$500&amp;", ")),--('Đăng tin &amp; Quản lý tin'!$AT$7:$AT$500="N/A"))+SUMPRODUCT(--ISNUMBER(SEARCH(", "&amp;$B8&amp;", ",", "&amp;'Trust &amp; Safety'!$B$7:$B$500&amp;", ")),--('Trust &amp; Safety'!$AT$7:$AT$500="N/A"))+SUMPRODUCT(--ISNUMBER(SEARCH(", "&amp;$B8&amp;", ",", "&amp;'Tài khoản &amp; Hồ sơ'!$B$7:$B$500&amp;", ")),--('Tài khoản &amp; Hồ sơ'!$AT$7:$AT$500="N/A"))</f>
        <v>0</v>
      </c>
      <c r="K8" s="52" t="n">
        <f aca="false">IFERROR(F8/E8,0)</f>
        <v>1</v>
      </c>
      <c r="L8" s="123" t="str">
        <f aca="false">IF(E8=0,"Chưa có TC (gap)",IF(H8&gt;0,"Có lỗi (Fail)",IF(I8&gt;0,"Bị block",IF(F8&lt;E8,"Đang test",IF(G8=0,"Không áp dụng (N/A)","Đã test xong")))))</f>
        <v>Đã test xong</v>
      </c>
      <c r="AB8" s="1" t="s">
        <v>412</v>
      </c>
      <c r="AD8" s="1" t="s">
        <v>420</v>
      </c>
      <c r="AE8" s="1" t="n">
        <f aca="false">SUMIF($AB$6:$AB$77,$AD8,$E$6:$E$77)</f>
        <v>16</v>
      </c>
      <c r="AF8" s="1" t="n">
        <f aca="false">SUMIF($AB$6:$AB$77,$AD8,$F$6:$F$77)</f>
        <v>0</v>
      </c>
    </row>
    <row r="9" customFormat="false" ht="79.5" hidden="false" customHeight="true" outlineLevel="0" collapsed="false">
      <c r="B9" s="175" t="s">
        <v>421</v>
      </c>
      <c r="C9" s="176" t="s">
        <v>422</v>
      </c>
      <c r="D9" s="123" t="s">
        <v>423</v>
      </c>
      <c r="E9" s="51" t="n">
        <f aca="false">SUMPRODUCT(--ISNUMBER(SEARCH(", "&amp;$B9&amp;", ",", "&amp;'Hoạt động (Đơn của tôi)'!$B$7:$B$500&amp;", ")))+SUMPRODUCT(--ISNUMBER(SEARCH(", "&amp;$B9&amp;", ",", "&amp;'Ghép nối'!$B$7:$B$500&amp;", ")))+SUMPRODUCT(--ISNUMBER(SEARCH(", "&amp;$B9&amp;", ",", "&amp;'Huỷ đơn - Huỷ nhận đơn'!$B$7:$B$500&amp;", ")))+SUMPRODUCT(--ISNUMBER(SEARCH(", "&amp;$B9&amp;", ",", "&amp;'Giao nhận &amp; Theo dõi đơn'!$B$7:$B$500&amp;", ")))+SUMPRODUCT(--ISNUMBER(SEARCH(", "&amp;$B9&amp;", ",", "&amp;'Bảng tin &amp; Chi tiết tin'!$B$7:$B$500&amp;", ")))+SUMPRODUCT(--ISNUMBER(SEARCH(", "&amp;$B9&amp;", ",", "&amp;'Quà cảm ơn'!$B$7:$B$500&amp;", ")))+SUMPRODUCT(--ISNUMBER(SEARCH(", "&amp;$B9&amp;", ",", "&amp;'Trang chủ'!$B$7:$B$500&amp;", ")))+SUMPRODUCT(--ISNUMBER(SEARCH(", "&amp;$B9&amp;", ",", "&amp;'Thông báo'!$B$7:$B$500&amp;", ")))+SUMPRODUCT(--ISNUMBER(SEARCH(", "&amp;$B9&amp;", ",", "&amp;'Đăng tin &amp; Quản lý tin'!$B$7:$B$500&amp;", ")))+SUMPRODUCT(--ISNUMBER(SEARCH(", "&amp;$B9&amp;", ",", "&amp;'Trust &amp; Safety'!$B$7:$B$500&amp;", ")))+SUMPRODUCT(--ISNUMBER(SEARCH(", "&amp;$B9&amp;", ",", "&amp;'Tài khoản &amp; Hồ sơ'!$B$7:$B$500&amp;", ")))</f>
        <v>2</v>
      </c>
      <c r="F9" s="51" t="n">
        <f aca="false">SUMPRODUCT(--ISNUMBER(SEARCH(", "&amp;$B9&amp;", ",", "&amp;'Hoạt động (Đơn của tôi)'!$B$7:$B$500&amp;", ")),--('Hoạt động (Đơn của tôi)'!$AT$7:$AT$500&lt;&gt;""))+SUMPRODUCT(--ISNUMBER(SEARCH(", "&amp;$B9&amp;", ",", "&amp;'Ghép nối'!$B$7:$B$500&amp;", ")),--('Ghép nối'!$AT$7:$AT$500&lt;&gt;""))+SUMPRODUCT(--ISNUMBER(SEARCH(", "&amp;$B9&amp;", ",", "&amp;'Huỷ đơn - Huỷ nhận đơn'!$B$7:$B$500&amp;", ")),--('Huỷ đơn - Huỷ nhận đơn'!$AT$7:$AT$500&lt;&gt;""))+SUMPRODUCT(--ISNUMBER(SEARCH(", "&amp;$B9&amp;", ",", "&amp;'Giao nhận &amp; Theo dõi đơn'!$B$7:$B$500&amp;", ")),--('Giao nhận &amp; Theo dõi đơn'!$AT$7:$AT$500&lt;&gt;""))+SUMPRODUCT(--ISNUMBER(SEARCH(", "&amp;$B9&amp;", ",", "&amp;'Bảng tin &amp; Chi tiết tin'!$B$7:$B$500&amp;", ")),--('Bảng tin &amp; Chi tiết tin'!$AT$7:$AT$500&lt;&gt;""))+SUMPRODUCT(--ISNUMBER(SEARCH(", "&amp;$B9&amp;", ",", "&amp;'Quà cảm ơn'!$B$7:$B$500&amp;", ")),--('Quà cảm ơn'!$AT$7:$AT$500&lt;&gt;""))+SUMPRODUCT(--ISNUMBER(SEARCH(", "&amp;$B9&amp;", ",", "&amp;'Trang chủ'!$B$7:$B$500&amp;", ")),--('Trang chủ'!$AT$7:$AT$500&lt;&gt;""))+SUMPRODUCT(--ISNUMBER(SEARCH(", "&amp;$B9&amp;", ",", "&amp;'Thông báo'!$B$7:$B$500&amp;", ")),--('Thông báo'!$AT$7:$AT$500&lt;&gt;""))+SUMPRODUCT(--ISNUMBER(SEARCH(", "&amp;$B9&amp;", ",", "&amp;'Đăng tin &amp; Quản lý tin'!$B$7:$B$500&amp;", ")),--('Đăng tin &amp; Quản lý tin'!$AT$7:$AT$500&lt;&gt;""))+SUMPRODUCT(--ISNUMBER(SEARCH(", "&amp;$B9&amp;", ",", "&amp;'Trust &amp; Safety'!$B$7:$B$500&amp;", ")),--('Trust &amp; Safety'!$AT$7:$AT$500&lt;&gt;""))+SUMPRODUCT(--ISNUMBER(SEARCH(", "&amp;$B9&amp;", ",", "&amp;'Tài khoản &amp; Hồ sơ'!$B$7:$B$500&amp;", ")),--('Tài khoản &amp; Hồ sơ'!$AT$7:$AT$500&lt;&gt;""))</f>
        <v>2</v>
      </c>
      <c r="G9" s="51" t="n">
        <f aca="false">SUMPRODUCT(--ISNUMBER(SEARCH(", "&amp;$B9&amp;", ",", "&amp;'Hoạt động (Đơn của tôi)'!$B$7:$B$500&amp;", ")),--('Hoạt động (Đơn của tôi)'!$AT$7:$AT$500="Pass"))+SUMPRODUCT(--ISNUMBER(SEARCH(", "&amp;$B9&amp;", ",", "&amp;'Ghép nối'!$B$7:$B$500&amp;", ")),--('Ghép nối'!$AT$7:$AT$500="Pass"))+SUMPRODUCT(--ISNUMBER(SEARCH(", "&amp;$B9&amp;", ",", "&amp;'Huỷ đơn - Huỷ nhận đơn'!$B$7:$B$500&amp;", ")),--('Huỷ đơn - Huỷ nhận đơn'!$AT$7:$AT$500="Pass"))+SUMPRODUCT(--ISNUMBER(SEARCH(", "&amp;$B9&amp;", ",", "&amp;'Giao nhận &amp; Theo dõi đơn'!$B$7:$B$500&amp;", ")),--('Giao nhận &amp; Theo dõi đơn'!$AT$7:$AT$500="Pass"))+SUMPRODUCT(--ISNUMBER(SEARCH(", "&amp;$B9&amp;", ",", "&amp;'Bảng tin &amp; Chi tiết tin'!$B$7:$B$500&amp;", ")),--('Bảng tin &amp; Chi tiết tin'!$AT$7:$AT$500="Pass"))+SUMPRODUCT(--ISNUMBER(SEARCH(", "&amp;$B9&amp;", ",", "&amp;'Quà cảm ơn'!$B$7:$B$500&amp;", ")),--('Quà cảm ơn'!$AT$7:$AT$500="Pass"))+SUMPRODUCT(--ISNUMBER(SEARCH(", "&amp;$B9&amp;", ",", "&amp;'Trang chủ'!$B$7:$B$500&amp;", ")),--('Trang chủ'!$AT$7:$AT$500="Pass"))+SUMPRODUCT(--ISNUMBER(SEARCH(", "&amp;$B9&amp;", ",", "&amp;'Thông báo'!$B$7:$B$500&amp;", ")),--('Thông báo'!$AT$7:$AT$500="Pass"))+SUMPRODUCT(--ISNUMBER(SEARCH(", "&amp;$B9&amp;", ",", "&amp;'Đăng tin &amp; Quản lý tin'!$B$7:$B$500&amp;", ")),--('Đăng tin &amp; Quản lý tin'!$AT$7:$AT$500="Pass"))+SUMPRODUCT(--ISNUMBER(SEARCH(", "&amp;$B9&amp;", ",", "&amp;'Trust &amp; Safety'!$B$7:$B$500&amp;", ")),--('Trust &amp; Safety'!$AT$7:$AT$500="Pass"))+SUMPRODUCT(--ISNUMBER(SEARCH(", "&amp;$B9&amp;", ",", "&amp;'Tài khoản &amp; Hồ sơ'!$B$7:$B$500&amp;", ")),--('Tài khoản &amp; Hồ sơ'!$AT$7:$AT$500="Pass"))</f>
        <v>2</v>
      </c>
      <c r="H9" s="51" t="n">
        <f aca="false">SUMPRODUCT(--ISNUMBER(SEARCH(", "&amp;$B9&amp;", ",", "&amp;'Hoạt động (Đơn của tôi)'!$B$7:$B$500&amp;", ")),--('Hoạt động (Đơn của tôi)'!$AT$7:$AT$500="Fail"))+SUMPRODUCT(--ISNUMBER(SEARCH(", "&amp;$B9&amp;", ",", "&amp;'Ghép nối'!$B$7:$B$500&amp;", ")),--('Ghép nối'!$AT$7:$AT$500="Fail"))+SUMPRODUCT(--ISNUMBER(SEARCH(", "&amp;$B9&amp;", ",", "&amp;'Huỷ đơn - Huỷ nhận đơn'!$B$7:$B$500&amp;", ")),--('Huỷ đơn - Huỷ nhận đơn'!$AT$7:$AT$500="Fail"))+SUMPRODUCT(--ISNUMBER(SEARCH(", "&amp;$B9&amp;", ",", "&amp;'Giao nhận &amp; Theo dõi đơn'!$B$7:$B$500&amp;", ")),--('Giao nhận &amp; Theo dõi đơn'!$AT$7:$AT$500="Fail"))+SUMPRODUCT(--ISNUMBER(SEARCH(", "&amp;$B9&amp;", ",", "&amp;'Bảng tin &amp; Chi tiết tin'!$B$7:$B$500&amp;", ")),--('Bảng tin &amp; Chi tiết tin'!$AT$7:$AT$500="Fail"))+SUMPRODUCT(--ISNUMBER(SEARCH(", "&amp;$B9&amp;", ",", "&amp;'Quà cảm ơn'!$B$7:$B$500&amp;", ")),--('Quà cảm ơn'!$AT$7:$AT$500="Fail"))+SUMPRODUCT(--ISNUMBER(SEARCH(", "&amp;$B9&amp;", ",", "&amp;'Trang chủ'!$B$7:$B$500&amp;", ")),--('Trang chủ'!$AT$7:$AT$500="Fail"))+SUMPRODUCT(--ISNUMBER(SEARCH(", "&amp;$B9&amp;", ",", "&amp;'Thông báo'!$B$7:$B$500&amp;", ")),--('Thông báo'!$AT$7:$AT$500="Fail"))+SUMPRODUCT(--ISNUMBER(SEARCH(", "&amp;$B9&amp;", ",", "&amp;'Đăng tin &amp; Quản lý tin'!$B$7:$B$500&amp;", ")),--('Đăng tin &amp; Quản lý tin'!$AT$7:$AT$500="Fail"))+SUMPRODUCT(--ISNUMBER(SEARCH(", "&amp;$B9&amp;", ",", "&amp;'Trust &amp; Safety'!$B$7:$B$500&amp;", ")),--('Trust &amp; Safety'!$AT$7:$AT$500="Fail"))+SUMPRODUCT(--ISNUMBER(SEARCH(", "&amp;$B9&amp;", ",", "&amp;'Tài khoản &amp; Hồ sơ'!$B$7:$B$500&amp;", ")),--('Tài khoản &amp; Hồ sơ'!$AT$7:$AT$500="Fail"))</f>
        <v>0</v>
      </c>
      <c r="I9" s="51" t="n">
        <f aca="false">SUMPRODUCT(--ISNUMBER(SEARCH(", "&amp;$B9&amp;", ",", "&amp;'Hoạt động (Đơn của tôi)'!$B$7:$B$500&amp;", ")),--('Hoạt động (Đơn của tôi)'!$AT$7:$AT$500="Block"))+SUMPRODUCT(--ISNUMBER(SEARCH(", "&amp;$B9&amp;", ",", "&amp;'Ghép nối'!$B$7:$B$500&amp;", ")),--('Ghép nối'!$AT$7:$AT$500="Block"))+SUMPRODUCT(--ISNUMBER(SEARCH(", "&amp;$B9&amp;", ",", "&amp;'Huỷ đơn - Huỷ nhận đơn'!$B$7:$B$500&amp;", ")),--('Huỷ đơn - Huỷ nhận đơn'!$AT$7:$AT$500="Block"))+SUMPRODUCT(--ISNUMBER(SEARCH(", "&amp;$B9&amp;", ",", "&amp;'Giao nhận &amp; Theo dõi đơn'!$B$7:$B$500&amp;", ")),--('Giao nhận &amp; Theo dõi đơn'!$AT$7:$AT$500="Block"))+SUMPRODUCT(--ISNUMBER(SEARCH(", "&amp;$B9&amp;", ",", "&amp;'Bảng tin &amp; Chi tiết tin'!$B$7:$B$500&amp;", ")),--('Bảng tin &amp; Chi tiết tin'!$AT$7:$AT$500="Block"))+SUMPRODUCT(--ISNUMBER(SEARCH(", "&amp;$B9&amp;", ",", "&amp;'Quà cảm ơn'!$B$7:$B$500&amp;", ")),--('Quà cảm ơn'!$AT$7:$AT$500="Block"))+SUMPRODUCT(--ISNUMBER(SEARCH(", "&amp;$B9&amp;", ",", "&amp;'Trang chủ'!$B$7:$B$500&amp;", ")),--('Trang chủ'!$AT$7:$AT$500="Block"))+SUMPRODUCT(--ISNUMBER(SEARCH(", "&amp;$B9&amp;", ",", "&amp;'Thông báo'!$B$7:$B$500&amp;", ")),--('Thông báo'!$AT$7:$AT$500="Block"))+SUMPRODUCT(--ISNUMBER(SEARCH(", "&amp;$B9&amp;", ",", "&amp;'Đăng tin &amp; Quản lý tin'!$B$7:$B$500&amp;", ")),--('Đăng tin &amp; Quản lý tin'!$AT$7:$AT$500="Block"))+SUMPRODUCT(--ISNUMBER(SEARCH(", "&amp;$B9&amp;", ",", "&amp;'Trust &amp; Safety'!$B$7:$B$500&amp;", ")),--('Trust &amp; Safety'!$AT$7:$AT$500="Block"))+SUMPRODUCT(--ISNUMBER(SEARCH(", "&amp;$B9&amp;", ",", "&amp;'Tài khoản &amp; Hồ sơ'!$B$7:$B$500&amp;", ")),--('Tài khoản &amp; Hồ sơ'!$AT$7:$AT$500="Block"))</f>
        <v>0</v>
      </c>
      <c r="J9" s="51" t="n">
        <f aca="false">SUMPRODUCT(--ISNUMBER(SEARCH(", "&amp;$B9&amp;", ",", "&amp;'Hoạt động (Đơn của tôi)'!$B$7:$B$500&amp;", ")),--('Hoạt động (Đơn của tôi)'!$AT$7:$AT$500="N/A"))+SUMPRODUCT(--ISNUMBER(SEARCH(", "&amp;$B9&amp;", ",", "&amp;'Ghép nối'!$B$7:$B$500&amp;", ")),--('Ghép nối'!$AT$7:$AT$500="N/A"))+SUMPRODUCT(--ISNUMBER(SEARCH(", "&amp;$B9&amp;", ",", "&amp;'Huỷ đơn - Huỷ nhận đơn'!$B$7:$B$500&amp;", ")),--('Huỷ đơn - Huỷ nhận đơn'!$AT$7:$AT$500="N/A"))+SUMPRODUCT(--ISNUMBER(SEARCH(", "&amp;$B9&amp;", ",", "&amp;'Giao nhận &amp; Theo dõi đơn'!$B$7:$B$500&amp;", ")),--('Giao nhận &amp; Theo dõi đơn'!$AT$7:$AT$500="N/A"))+SUMPRODUCT(--ISNUMBER(SEARCH(", "&amp;$B9&amp;", ",", "&amp;'Bảng tin &amp; Chi tiết tin'!$B$7:$B$500&amp;", ")),--('Bảng tin &amp; Chi tiết tin'!$AT$7:$AT$500="N/A"))+SUMPRODUCT(--ISNUMBER(SEARCH(", "&amp;$B9&amp;", ",", "&amp;'Quà cảm ơn'!$B$7:$B$500&amp;", ")),--('Quà cảm ơn'!$AT$7:$AT$500="N/A"))+SUMPRODUCT(--ISNUMBER(SEARCH(", "&amp;$B9&amp;", ",", "&amp;'Trang chủ'!$B$7:$B$500&amp;", ")),--('Trang chủ'!$AT$7:$AT$500="N/A"))+SUMPRODUCT(--ISNUMBER(SEARCH(", "&amp;$B9&amp;", ",", "&amp;'Thông báo'!$B$7:$B$500&amp;", ")),--('Thông báo'!$AT$7:$AT$500="N/A"))+SUMPRODUCT(--ISNUMBER(SEARCH(", "&amp;$B9&amp;", ",", "&amp;'Đăng tin &amp; Quản lý tin'!$B$7:$B$500&amp;", ")),--('Đăng tin &amp; Quản lý tin'!$AT$7:$AT$500="N/A"))+SUMPRODUCT(--ISNUMBER(SEARCH(", "&amp;$B9&amp;", ",", "&amp;'Trust &amp; Safety'!$B$7:$B$500&amp;", ")),--('Trust &amp; Safety'!$AT$7:$AT$500="N/A"))+SUMPRODUCT(--ISNUMBER(SEARCH(", "&amp;$B9&amp;", ",", "&amp;'Tài khoản &amp; Hồ sơ'!$B$7:$B$500&amp;", ")),--('Tài khoản &amp; Hồ sơ'!$AT$7:$AT$500="N/A"))</f>
        <v>0</v>
      </c>
      <c r="K9" s="52" t="n">
        <f aca="false">IFERROR(F9/E9,0)</f>
        <v>1</v>
      </c>
      <c r="L9" s="123" t="str">
        <f aca="false">IF(E9=0,"Chưa có TC (gap)",IF(H9&gt;0,"Có lỗi (Fail)",IF(I9&gt;0,"Bị block",IF(F9&lt;E9,"Đang test",IF(G9=0,"Không áp dụng (N/A)","Đã test xong")))))</f>
        <v>Đã test xong</v>
      </c>
      <c r="AB9" s="1" t="s">
        <v>412</v>
      </c>
      <c r="AD9" s="1" t="s">
        <v>424</v>
      </c>
      <c r="AE9" s="1" t="n">
        <f aca="false">SUMIF($AB$6:$AB$77,$AD9,$E$6:$E$77)</f>
        <v>51</v>
      </c>
      <c r="AF9" s="1" t="n">
        <f aca="false">SUMIF($AB$6:$AB$77,$AD9,$F$6:$F$77)</f>
        <v>0</v>
      </c>
    </row>
    <row r="10" customFormat="false" ht="34.5" hidden="false" customHeight="true" outlineLevel="0" collapsed="false">
      <c r="B10" s="175" t="s">
        <v>425</v>
      </c>
      <c r="C10" s="176" t="s">
        <v>426</v>
      </c>
      <c r="D10" s="123" t="s">
        <v>427</v>
      </c>
      <c r="E10" s="51" t="n">
        <f aca="false">SUMPRODUCT(--ISNUMBER(SEARCH(", "&amp;$B10&amp;", ",", "&amp;'Hoạt động (Đơn của tôi)'!$B$7:$B$500&amp;", ")))+SUMPRODUCT(--ISNUMBER(SEARCH(", "&amp;$B10&amp;", ",", "&amp;'Ghép nối'!$B$7:$B$500&amp;", ")))+SUMPRODUCT(--ISNUMBER(SEARCH(", "&amp;$B10&amp;", ",", "&amp;'Huỷ đơn - Huỷ nhận đơn'!$B$7:$B$500&amp;", ")))+SUMPRODUCT(--ISNUMBER(SEARCH(", "&amp;$B10&amp;", ",", "&amp;'Giao nhận &amp; Theo dõi đơn'!$B$7:$B$500&amp;", ")))+SUMPRODUCT(--ISNUMBER(SEARCH(", "&amp;$B10&amp;", ",", "&amp;'Bảng tin &amp; Chi tiết tin'!$B$7:$B$500&amp;", ")))+SUMPRODUCT(--ISNUMBER(SEARCH(", "&amp;$B10&amp;", ",", "&amp;'Quà cảm ơn'!$B$7:$B$500&amp;", ")))+SUMPRODUCT(--ISNUMBER(SEARCH(", "&amp;$B10&amp;", ",", "&amp;'Trang chủ'!$B$7:$B$500&amp;", ")))+SUMPRODUCT(--ISNUMBER(SEARCH(", "&amp;$B10&amp;", ",", "&amp;'Thông báo'!$B$7:$B$500&amp;", ")))+SUMPRODUCT(--ISNUMBER(SEARCH(", "&amp;$B10&amp;", ",", "&amp;'Đăng tin &amp; Quản lý tin'!$B$7:$B$500&amp;", ")))+SUMPRODUCT(--ISNUMBER(SEARCH(", "&amp;$B10&amp;", ",", "&amp;'Trust &amp; Safety'!$B$7:$B$500&amp;", ")))+SUMPRODUCT(--ISNUMBER(SEARCH(", "&amp;$B10&amp;", ",", "&amp;'Tài khoản &amp; Hồ sơ'!$B$7:$B$500&amp;", ")))</f>
        <v>1</v>
      </c>
      <c r="F10" s="51" t="n">
        <f aca="false">SUMPRODUCT(--ISNUMBER(SEARCH(", "&amp;$B10&amp;", ",", "&amp;'Hoạt động (Đơn của tôi)'!$B$7:$B$500&amp;", ")),--('Hoạt động (Đơn của tôi)'!$AT$7:$AT$500&lt;&gt;""))+SUMPRODUCT(--ISNUMBER(SEARCH(", "&amp;$B10&amp;", ",", "&amp;'Ghép nối'!$B$7:$B$500&amp;", ")),--('Ghép nối'!$AT$7:$AT$500&lt;&gt;""))+SUMPRODUCT(--ISNUMBER(SEARCH(", "&amp;$B10&amp;", ",", "&amp;'Huỷ đơn - Huỷ nhận đơn'!$B$7:$B$500&amp;", ")),--('Huỷ đơn - Huỷ nhận đơn'!$AT$7:$AT$500&lt;&gt;""))+SUMPRODUCT(--ISNUMBER(SEARCH(", "&amp;$B10&amp;", ",", "&amp;'Giao nhận &amp; Theo dõi đơn'!$B$7:$B$500&amp;", ")),--('Giao nhận &amp; Theo dõi đơn'!$AT$7:$AT$500&lt;&gt;""))+SUMPRODUCT(--ISNUMBER(SEARCH(", "&amp;$B10&amp;", ",", "&amp;'Bảng tin &amp; Chi tiết tin'!$B$7:$B$500&amp;", ")),--('Bảng tin &amp; Chi tiết tin'!$AT$7:$AT$500&lt;&gt;""))+SUMPRODUCT(--ISNUMBER(SEARCH(", "&amp;$B10&amp;", ",", "&amp;'Quà cảm ơn'!$B$7:$B$500&amp;", ")),--('Quà cảm ơn'!$AT$7:$AT$500&lt;&gt;""))+SUMPRODUCT(--ISNUMBER(SEARCH(", "&amp;$B10&amp;", ",", "&amp;'Trang chủ'!$B$7:$B$500&amp;", ")),--('Trang chủ'!$AT$7:$AT$500&lt;&gt;""))+SUMPRODUCT(--ISNUMBER(SEARCH(", "&amp;$B10&amp;", ",", "&amp;'Thông báo'!$B$7:$B$500&amp;", ")),--('Thông báo'!$AT$7:$AT$500&lt;&gt;""))+SUMPRODUCT(--ISNUMBER(SEARCH(", "&amp;$B10&amp;", ",", "&amp;'Đăng tin &amp; Quản lý tin'!$B$7:$B$500&amp;", ")),--('Đăng tin &amp; Quản lý tin'!$AT$7:$AT$500&lt;&gt;""))+SUMPRODUCT(--ISNUMBER(SEARCH(", "&amp;$B10&amp;", ",", "&amp;'Trust &amp; Safety'!$B$7:$B$500&amp;", ")),--('Trust &amp; Safety'!$AT$7:$AT$500&lt;&gt;""))+SUMPRODUCT(--ISNUMBER(SEARCH(", "&amp;$B10&amp;", ",", "&amp;'Tài khoản &amp; Hồ sơ'!$B$7:$B$500&amp;", ")),--('Tài khoản &amp; Hồ sơ'!$AT$7:$AT$500&lt;&gt;""))</f>
        <v>1</v>
      </c>
      <c r="G10" s="51" t="n">
        <f aca="false">SUMPRODUCT(--ISNUMBER(SEARCH(", "&amp;$B10&amp;", ",", "&amp;'Hoạt động (Đơn của tôi)'!$B$7:$B$500&amp;", ")),--('Hoạt động (Đơn của tôi)'!$AT$7:$AT$500="Pass"))+SUMPRODUCT(--ISNUMBER(SEARCH(", "&amp;$B10&amp;", ",", "&amp;'Ghép nối'!$B$7:$B$500&amp;", ")),--('Ghép nối'!$AT$7:$AT$500="Pass"))+SUMPRODUCT(--ISNUMBER(SEARCH(", "&amp;$B10&amp;", ",", "&amp;'Huỷ đơn - Huỷ nhận đơn'!$B$7:$B$500&amp;", ")),--('Huỷ đơn - Huỷ nhận đơn'!$AT$7:$AT$500="Pass"))+SUMPRODUCT(--ISNUMBER(SEARCH(", "&amp;$B10&amp;", ",", "&amp;'Giao nhận &amp; Theo dõi đơn'!$B$7:$B$500&amp;", ")),--('Giao nhận &amp; Theo dõi đơn'!$AT$7:$AT$500="Pass"))+SUMPRODUCT(--ISNUMBER(SEARCH(", "&amp;$B10&amp;", ",", "&amp;'Bảng tin &amp; Chi tiết tin'!$B$7:$B$500&amp;", ")),--('Bảng tin &amp; Chi tiết tin'!$AT$7:$AT$500="Pass"))+SUMPRODUCT(--ISNUMBER(SEARCH(", "&amp;$B10&amp;", ",", "&amp;'Quà cảm ơn'!$B$7:$B$500&amp;", ")),--('Quà cảm ơn'!$AT$7:$AT$500="Pass"))+SUMPRODUCT(--ISNUMBER(SEARCH(", "&amp;$B10&amp;", ",", "&amp;'Trang chủ'!$B$7:$B$500&amp;", ")),--('Trang chủ'!$AT$7:$AT$500="Pass"))+SUMPRODUCT(--ISNUMBER(SEARCH(", "&amp;$B10&amp;", ",", "&amp;'Thông báo'!$B$7:$B$500&amp;", ")),--('Thông báo'!$AT$7:$AT$500="Pass"))+SUMPRODUCT(--ISNUMBER(SEARCH(", "&amp;$B10&amp;", ",", "&amp;'Đăng tin &amp; Quản lý tin'!$B$7:$B$500&amp;", ")),--('Đăng tin &amp; Quản lý tin'!$AT$7:$AT$500="Pass"))+SUMPRODUCT(--ISNUMBER(SEARCH(", "&amp;$B10&amp;", ",", "&amp;'Trust &amp; Safety'!$B$7:$B$500&amp;", ")),--('Trust &amp; Safety'!$AT$7:$AT$500="Pass"))+SUMPRODUCT(--ISNUMBER(SEARCH(", "&amp;$B10&amp;", ",", "&amp;'Tài khoản &amp; Hồ sơ'!$B$7:$B$500&amp;", ")),--('Tài khoản &amp; Hồ sơ'!$AT$7:$AT$500="Pass"))</f>
        <v>1</v>
      </c>
      <c r="H10" s="51" t="n">
        <f aca="false">SUMPRODUCT(--ISNUMBER(SEARCH(", "&amp;$B10&amp;", ",", "&amp;'Hoạt động (Đơn của tôi)'!$B$7:$B$500&amp;", ")),--('Hoạt động (Đơn của tôi)'!$AT$7:$AT$500="Fail"))+SUMPRODUCT(--ISNUMBER(SEARCH(", "&amp;$B10&amp;", ",", "&amp;'Ghép nối'!$B$7:$B$500&amp;", ")),--('Ghép nối'!$AT$7:$AT$500="Fail"))+SUMPRODUCT(--ISNUMBER(SEARCH(", "&amp;$B10&amp;", ",", "&amp;'Huỷ đơn - Huỷ nhận đơn'!$B$7:$B$500&amp;", ")),--('Huỷ đơn - Huỷ nhận đơn'!$AT$7:$AT$500="Fail"))+SUMPRODUCT(--ISNUMBER(SEARCH(", "&amp;$B10&amp;", ",", "&amp;'Giao nhận &amp; Theo dõi đơn'!$B$7:$B$500&amp;", ")),--('Giao nhận &amp; Theo dõi đơn'!$AT$7:$AT$500="Fail"))+SUMPRODUCT(--ISNUMBER(SEARCH(", "&amp;$B10&amp;", ",", "&amp;'Bảng tin &amp; Chi tiết tin'!$B$7:$B$500&amp;", ")),--('Bảng tin &amp; Chi tiết tin'!$AT$7:$AT$500="Fail"))+SUMPRODUCT(--ISNUMBER(SEARCH(", "&amp;$B10&amp;", ",", "&amp;'Quà cảm ơn'!$B$7:$B$500&amp;", ")),--('Quà cảm ơn'!$AT$7:$AT$500="Fail"))+SUMPRODUCT(--ISNUMBER(SEARCH(", "&amp;$B10&amp;", ",", "&amp;'Trang chủ'!$B$7:$B$500&amp;", ")),--('Trang chủ'!$AT$7:$AT$500="Fail"))+SUMPRODUCT(--ISNUMBER(SEARCH(", "&amp;$B10&amp;", ",", "&amp;'Thông báo'!$B$7:$B$500&amp;", ")),--('Thông báo'!$AT$7:$AT$500="Fail"))+SUMPRODUCT(--ISNUMBER(SEARCH(", "&amp;$B10&amp;", ",", "&amp;'Đăng tin &amp; Quản lý tin'!$B$7:$B$500&amp;", ")),--('Đăng tin &amp; Quản lý tin'!$AT$7:$AT$500="Fail"))+SUMPRODUCT(--ISNUMBER(SEARCH(", "&amp;$B10&amp;", ",", "&amp;'Trust &amp; Safety'!$B$7:$B$500&amp;", ")),--('Trust &amp; Safety'!$AT$7:$AT$500="Fail"))+SUMPRODUCT(--ISNUMBER(SEARCH(", "&amp;$B10&amp;", ",", "&amp;'Tài khoản &amp; Hồ sơ'!$B$7:$B$500&amp;", ")),--('Tài khoản &amp; Hồ sơ'!$AT$7:$AT$500="Fail"))</f>
        <v>0</v>
      </c>
      <c r="I10" s="51" t="n">
        <f aca="false">SUMPRODUCT(--ISNUMBER(SEARCH(", "&amp;$B10&amp;", ",", "&amp;'Hoạt động (Đơn của tôi)'!$B$7:$B$500&amp;", ")),--('Hoạt động (Đơn của tôi)'!$AT$7:$AT$500="Block"))+SUMPRODUCT(--ISNUMBER(SEARCH(", "&amp;$B10&amp;", ",", "&amp;'Ghép nối'!$B$7:$B$500&amp;", ")),--('Ghép nối'!$AT$7:$AT$500="Block"))+SUMPRODUCT(--ISNUMBER(SEARCH(", "&amp;$B10&amp;", ",", "&amp;'Huỷ đơn - Huỷ nhận đơn'!$B$7:$B$500&amp;", ")),--('Huỷ đơn - Huỷ nhận đơn'!$AT$7:$AT$500="Block"))+SUMPRODUCT(--ISNUMBER(SEARCH(", "&amp;$B10&amp;", ",", "&amp;'Giao nhận &amp; Theo dõi đơn'!$B$7:$B$500&amp;", ")),--('Giao nhận &amp; Theo dõi đơn'!$AT$7:$AT$500="Block"))+SUMPRODUCT(--ISNUMBER(SEARCH(", "&amp;$B10&amp;", ",", "&amp;'Bảng tin &amp; Chi tiết tin'!$B$7:$B$500&amp;", ")),--('Bảng tin &amp; Chi tiết tin'!$AT$7:$AT$500="Block"))+SUMPRODUCT(--ISNUMBER(SEARCH(", "&amp;$B10&amp;", ",", "&amp;'Quà cảm ơn'!$B$7:$B$500&amp;", ")),--('Quà cảm ơn'!$AT$7:$AT$500="Block"))+SUMPRODUCT(--ISNUMBER(SEARCH(", "&amp;$B10&amp;", ",", "&amp;'Trang chủ'!$B$7:$B$500&amp;", ")),--('Trang chủ'!$AT$7:$AT$500="Block"))+SUMPRODUCT(--ISNUMBER(SEARCH(", "&amp;$B10&amp;", ",", "&amp;'Thông báo'!$B$7:$B$500&amp;", ")),--('Thông báo'!$AT$7:$AT$500="Block"))+SUMPRODUCT(--ISNUMBER(SEARCH(", "&amp;$B10&amp;", ",", "&amp;'Đăng tin &amp; Quản lý tin'!$B$7:$B$500&amp;", ")),--('Đăng tin &amp; Quản lý tin'!$AT$7:$AT$500="Block"))+SUMPRODUCT(--ISNUMBER(SEARCH(", "&amp;$B10&amp;", ",", "&amp;'Trust &amp; Safety'!$B$7:$B$500&amp;", ")),--('Trust &amp; Safety'!$AT$7:$AT$500="Block"))+SUMPRODUCT(--ISNUMBER(SEARCH(", "&amp;$B10&amp;", ",", "&amp;'Tài khoản &amp; Hồ sơ'!$B$7:$B$500&amp;", ")),--('Tài khoản &amp; Hồ sơ'!$AT$7:$AT$500="Block"))</f>
        <v>0</v>
      </c>
      <c r="J10" s="51" t="n">
        <f aca="false">SUMPRODUCT(--ISNUMBER(SEARCH(", "&amp;$B10&amp;", ",", "&amp;'Hoạt động (Đơn của tôi)'!$B$7:$B$500&amp;", ")),--('Hoạt động (Đơn của tôi)'!$AT$7:$AT$500="N/A"))+SUMPRODUCT(--ISNUMBER(SEARCH(", "&amp;$B10&amp;", ",", "&amp;'Ghép nối'!$B$7:$B$500&amp;", ")),--('Ghép nối'!$AT$7:$AT$500="N/A"))+SUMPRODUCT(--ISNUMBER(SEARCH(", "&amp;$B10&amp;", ",", "&amp;'Huỷ đơn - Huỷ nhận đơn'!$B$7:$B$500&amp;", ")),--('Huỷ đơn - Huỷ nhận đơn'!$AT$7:$AT$500="N/A"))+SUMPRODUCT(--ISNUMBER(SEARCH(", "&amp;$B10&amp;", ",", "&amp;'Giao nhận &amp; Theo dõi đơn'!$B$7:$B$500&amp;", ")),--('Giao nhận &amp; Theo dõi đơn'!$AT$7:$AT$500="N/A"))+SUMPRODUCT(--ISNUMBER(SEARCH(", "&amp;$B10&amp;", ",", "&amp;'Bảng tin &amp; Chi tiết tin'!$B$7:$B$500&amp;", ")),--('Bảng tin &amp; Chi tiết tin'!$AT$7:$AT$500="N/A"))+SUMPRODUCT(--ISNUMBER(SEARCH(", "&amp;$B10&amp;", ",", "&amp;'Quà cảm ơn'!$B$7:$B$500&amp;", ")),--('Quà cảm ơn'!$AT$7:$AT$500="N/A"))+SUMPRODUCT(--ISNUMBER(SEARCH(", "&amp;$B10&amp;", ",", "&amp;'Trang chủ'!$B$7:$B$500&amp;", ")),--('Trang chủ'!$AT$7:$AT$500="N/A"))+SUMPRODUCT(--ISNUMBER(SEARCH(", "&amp;$B10&amp;", ",", "&amp;'Thông báo'!$B$7:$B$500&amp;", ")),--('Thông báo'!$AT$7:$AT$500="N/A"))+SUMPRODUCT(--ISNUMBER(SEARCH(", "&amp;$B10&amp;", ",", "&amp;'Đăng tin &amp; Quản lý tin'!$B$7:$B$500&amp;", ")),--('Đăng tin &amp; Quản lý tin'!$AT$7:$AT$500="N/A"))+SUMPRODUCT(--ISNUMBER(SEARCH(", "&amp;$B10&amp;", ",", "&amp;'Trust &amp; Safety'!$B$7:$B$500&amp;", ")),--('Trust &amp; Safety'!$AT$7:$AT$500="N/A"))+SUMPRODUCT(--ISNUMBER(SEARCH(", "&amp;$B10&amp;", ",", "&amp;'Tài khoản &amp; Hồ sơ'!$B$7:$B$500&amp;", ")),--('Tài khoản &amp; Hồ sơ'!$AT$7:$AT$500="N/A"))</f>
        <v>0</v>
      </c>
      <c r="K10" s="52" t="n">
        <f aca="false">IFERROR(F10/E10,0)</f>
        <v>1</v>
      </c>
      <c r="L10" s="123" t="str">
        <f aca="false">IF(E10=0,"Chưa có TC (gap)",IF(H10&gt;0,"Có lỗi (Fail)",IF(I10&gt;0,"Bị block",IF(F10&lt;E10,"Đang test",IF(G10=0,"Không áp dụng (N/A)","Đã test xong")))))</f>
        <v>Đã test xong</v>
      </c>
      <c r="AB10" s="1" t="s">
        <v>412</v>
      </c>
      <c r="AD10" s="1" t="s">
        <v>428</v>
      </c>
      <c r="AE10" s="1" t="n">
        <f aca="false">SUMIF($AB$6:$AB$77,$AD10,$E$6:$E$77)</f>
        <v>5</v>
      </c>
      <c r="AF10" s="1" t="n">
        <f aca="false">SUMIF($AB$6:$AB$77,$AD10,$F$6:$F$77)</f>
        <v>0</v>
      </c>
    </row>
    <row r="11" customFormat="false" ht="90.75" hidden="false" customHeight="true" outlineLevel="0" collapsed="false">
      <c r="B11" s="175" t="s">
        <v>429</v>
      </c>
      <c r="C11" s="176" t="s">
        <v>430</v>
      </c>
      <c r="D11" s="123" t="s">
        <v>431</v>
      </c>
      <c r="E11" s="51" t="n">
        <f aca="false">SUMPRODUCT(--ISNUMBER(SEARCH(", "&amp;$B11&amp;", ",", "&amp;'Hoạt động (Đơn của tôi)'!$B$7:$B$500&amp;", ")))+SUMPRODUCT(--ISNUMBER(SEARCH(", "&amp;$B11&amp;", ",", "&amp;'Ghép nối'!$B$7:$B$500&amp;", ")))+SUMPRODUCT(--ISNUMBER(SEARCH(", "&amp;$B11&amp;", ",", "&amp;'Huỷ đơn - Huỷ nhận đơn'!$B$7:$B$500&amp;", ")))+SUMPRODUCT(--ISNUMBER(SEARCH(", "&amp;$B11&amp;", ",", "&amp;'Giao nhận &amp; Theo dõi đơn'!$B$7:$B$500&amp;", ")))+SUMPRODUCT(--ISNUMBER(SEARCH(", "&amp;$B11&amp;", ",", "&amp;'Bảng tin &amp; Chi tiết tin'!$B$7:$B$500&amp;", ")))+SUMPRODUCT(--ISNUMBER(SEARCH(", "&amp;$B11&amp;", ",", "&amp;'Quà cảm ơn'!$B$7:$B$500&amp;", ")))+SUMPRODUCT(--ISNUMBER(SEARCH(", "&amp;$B11&amp;", ",", "&amp;'Trang chủ'!$B$7:$B$500&amp;", ")))+SUMPRODUCT(--ISNUMBER(SEARCH(", "&amp;$B11&amp;", ",", "&amp;'Thông báo'!$B$7:$B$500&amp;", ")))+SUMPRODUCT(--ISNUMBER(SEARCH(", "&amp;$B11&amp;", ",", "&amp;'Đăng tin &amp; Quản lý tin'!$B$7:$B$500&amp;", ")))+SUMPRODUCT(--ISNUMBER(SEARCH(", "&amp;$B11&amp;", ",", "&amp;'Trust &amp; Safety'!$B$7:$B$500&amp;", ")))+SUMPRODUCT(--ISNUMBER(SEARCH(", "&amp;$B11&amp;", ",", "&amp;'Tài khoản &amp; Hồ sơ'!$B$7:$B$500&amp;", ")))</f>
        <v>3</v>
      </c>
      <c r="F11" s="51" t="n">
        <f aca="false">SUMPRODUCT(--ISNUMBER(SEARCH(", "&amp;$B11&amp;", ",", "&amp;'Hoạt động (Đơn của tôi)'!$B$7:$B$500&amp;", ")),--('Hoạt động (Đơn của tôi)'!$AT$7:$AT$500&lt;&gt;""))+SUMPRODUCT(--ISNUMBER(SEARCH(", "&amp;$B11&amp;", ",", "&amp;'Ghép nối'!$B$7:$B$500&amp;", ")),--('Ghép nối'!$AT$7:$AT$500&lt;&gt;""))+SUMPRODUCT(--ISNUMBER(SEARCH(", "&amp;$B11&amp;", ",", "&amp;'Huỷ đơn - Huỷ nhận đơn'!$B$7:$B$500&amp;", ")),--('Huỷ đơn - Huỷ nhận đơn'!$AT$7:$AT$500&lt;&gt;""))+SUMPRODUCT(--ISNUMBER(SEARCH(", "&amp;$B11&amp;", ",", "&amp;'Giao nhận &amp; Theo dõi đơn'!$B$7:$B$500&amp;", ")),--('Giao nhận &amp; Theo dõi đơn'!$AT$7:$AT$500&lt;&gt;""))+SUMPRODUCT(--ISNUMBER(SEARCH(", "&amp;$B11&amp;", ",", "&amp;'Bảng tin &amp; Chi tiết tin'!$B$7:$B$500&amp;", ")),--('Bảng tin &amp; Chi tiết tin'!$AT$7:$AT$500&lt;&gt;""))+SUMPRODUCT(--ISNUMBER(SEARCH(", "&amp;$B11&amp;", ",", "&amp;'Quà cảm ơn'!$B$7:$B$500&amp;", ")),--('Quà cảm ơn'!$AT$7:$AT$500&lt;&gt;""))+SUMPRODUCT(--ISNUMBER(SEARCH(", "&amp;$B11&amp;", ",", "&amp;'Trang chủ'!$B$7:$B$500&amp;", ")),--('Trang chủ'!$AT$7:$AT$500&lt;&gt;""))+SUMPRODUCT(--ISNUMBER(SEARCH(", "&amp;$B11&amp;", ",", "&amp;'Thông báo'!$B$7:$B$500&amp;", ")),--('Thông báo'!$AT$7:$AT$500&lt;&gt;""))+SUMPRODUCT(--ISNUMBER(SEARCH(", "&amp;$B11&amp;", ",", "&amp;'Đăng tin &amp; Quản lý tin'!$B$7:$B$500&amp;", ")),--('Đăng tin &amp; Quản lý tin'!$AT$7:$AT$500&lt;&gt;""))+SUMPRODUCT(--ISNUMBER(SEARCH(", "&amp;$B11&amp;", ",", "&amp;'Trust &amp; Safety'!$B$7:$B$500&amp;", ")),--('Trust &amp; Safety'!$AT$7:$AT$500&lt;&gt;""))+SUMPRODUCT(--ISNUMBER(SEARCH(", "&amp;$B11&amp;", ",", "&amp;'Tài khoản &amp; Hồ sơ'!$B$7:$B$500&amp;", ")),--('Tài khoản &amp; Hồ sơ'!$AT$7:$AT$500&lt;&gt;""))</f>
        <v>3</v>
      </c>
      <c r="G11" s="51" t="n">
        <f aca="false">SUMPRODUCT(--ISNUMBER(SEARCH(", "&amp;$B11&amp;", ",", "&amp;'Hoạt động (Đơn của tôi)'!$B$7:$B$500&amp;", ")),--('Hoạt động (Đơn của tôi)'!$AT$7:$AT$500="Pass"))+SUMPRODUCT(--ISNUMBER(SEARCH(", "&amp;$B11&amp;", ",", "&amp;'Ghép nối'!$B$7:$B$500&amp;", ")),--('Ghép nối'!$AT$7:$AT$500="Pass"))+SUMPRODUCT(--ISNUMBER(SEARCH(", "&amp;$B11&amp;", ",", "&amp;'Huỷ đơn - Huỷ nhận đơn'!$B$7:$B$500&amp;", ")),--('Huỷ đơn - Huỷ nhận đơn'!$AT$7:$AT$500="Pass"))+SUMPRODUCT(--ISNUMBER(SEARCH(", "&amp;$B11&amp;", ",", "&amp;'Giao nhận &amp; Theo dõi đơn'!$B$7:$B$500&amp;", ")),--('Giao nhận &amp; Theo dõi đơn'!$AT$7:$AT$500="Pass"))+SUMPRODUCT(--ISNUMBER(SEARCH(", "&amp;$B11&amp;", ",", "&amp;'Bảng tin &amp; Chi tiết tin'!$B$7:$B$500&amp;", ")),--('Bảng tin &amp; Chi tiết tin'!$AT$7:$AT$500="Pass"))+SUMPRODUCT(--ISNUMBER(SEARCH(", "&amp;$B11&amp;", ",", "&amp;'Quà cảm ơn'!$B$7:$B$500&amp;", ")),--('Quà cảm ơn'!$AT$7:$AT$500="Pass"))+SUMPRODUCT(--ISNUMBER(SEARCH(", "&amp;$B11&amp;", ",", "&amp;'Trang chủ'!$B$7:$B$500&amp;", ")),--('Trang chủ'!$AT$7:$AT$500="Pass"))+SUMPRODUCT(--ISNUMBER(SEARCH(", "&amp;$B11&amp;", ",", "&amp;'Thông báo'!$B$7:$B$500&amp;", ")),--('Thông báo'!$AT$7:$AT$500="Pass"))+SUMPRODUCT(--ISNUMBER(SEARCH(", "&amp;$B11&amp;", ",", "&amp;'Đăng tin &amp; Quản lý tin'!$B$7:$B$500&amp;", ")),--('Đăng tin &amp; Quản lý tin'!$AT$7:$AT$500="Pass"))+SUMPRODUCT(--ISNUMBER(SEARCH(", "&amp;$B11&amp;", ",", "&amp;'Trust &amp; Safety'!$B$7:$B$500&amp;", ")),--('Trust &amp; Safety'!$AT$7:$AT$500="Pass"))+SUMPRODUCT(--ISNUMBER(SEARCH(", "&amp;$B11&amp;", ",", "&amp;'Tài khoản &amp; Hồ sơ'!$B$7:$B$500&amp;", ")),--('Tài khoản &amp; Hồ sơ'!$AT$7:$AT$500="Pass"))</f>
        <v>3</v>
      </c>
      <c r="H11" s="51" t="n">
        <f aca="false">SUMPRODUCT(--ISNUMBER(SEARCH(", "&amp;$B11&amp;", ",", "&amp;'Hoạt động (Đơn của tôi)'!$B$7:$B$500&amp;", ")),--('Hoạt động (Đơn của tôi)'!$AT$7:$AT$500="Fail"))+SUMPRODUCT(--ISNUMBER(SEARCH(", "&amp;$B11&amp;", ",", "&amp;'Ghép nối'!$B$7:$B$500&amp;", ")),--('Ghép nối'!$AT$7:$AT$500="Fail"))+SUMPRODUCT(--ISNUMBER(SEARCH(", "&amp;$B11&amp;", ",", "&amp;'Huỷ đơn - Huỷ nhận đơn'!$B$7:$B$500&amp;", ")),--('Huỷ đơn - Huỷ nhận đơn'!$AT$7:$AT$500="Fail"))+SUMPRODUCT(--ISNUMBER(SEARCH(", "&amp;$B11&amp;", ",", "&amp;'Giao nhận &amp; Theo dõi đơn'!$B$7:$B$500&amp;", ")),--('Giao nhận &amp; Theo dõi đơn'!$AT$7:$AT$500="Fail"))+SUMPRODUCT(--ISNUMBER(SEARCH(", "&amp;$B11&amp;", ",", "&amp;'Bảng tin &amp; Chi tiết tin'!$B$7:$B$500&amp;", ")),--('Bảng tin &amp; Chi tiết tin'!$AT$7:$AT$500="Fail"))+SUMPRODUCT(--ISNUMBER(SEARCH(", "&amp;$B11&amp;", ",", "&amp;'Quà cảm ơn'!$B$7:$B$500&amp;", ")),--('Quà cảm ơn'!$AT$7:$AT$500="Fail"))+SUMPRODUCT(--ISNUMBER(SEARCH(", "&amp;$B11&amp;", ",", "&amp;'Trang chủ'!$B$7:$B$500&amp;", ")),--('Trang chủ'!$AT$7:$AT$500="Fail"))+SUMPRODUCT(--ISNUMBER(SEARCH(", "&amp;$B11&amp;", ",", "&amp;'Thông báo'!$B$7:$B$500&amp;", ")),--('Thông báo'!$AT$7:$AT$500="Fail"))+SUMPRODUCT(--ISNUMBER(SEARCH(", "&amp;$B11&amp;", ",", "&amp;'Đăng tin &amp; Quản lý tin'!$B$7:$B$500&amp;", ")),--('Đăng tin &amp; Quản lý tin'!$AT$7:$AT$500="Fail"))+SUMPRODUCT(--ISNUMBER(SEARCH(", "&amp;$B11&amp;", ",", "&amp;'Trust &amp; Safety'!$B$7:$B$500&amp;", ")),--('Trust &amp; Safety'!$AT$7:$AT$500="Fail"))+SUMPRODUCT(--ISNUMBER(SEARCH(", "&amp;$B11&amp;", ",", "&amp;'Tài khoản &amp; Hồ sơ'!$B$7:$B$500&amp;", ")),--('Tài khoản &amp; Hồ sơ'!$AT$7:$AT$500="Fail"))</f>
        <v>0</v>
      </c>
      <c r="I11" s="51" t="n">
        <f aca="false">SUMPRODUCT(--ISNUMBER(SEARCH(", "&amp;$B11&amp;", ",", "&amp;'Hoạt động (Đơn của tôi)'!$B$7:$B$500&amp;", ")),--('Hoạt động (Đơn của tôi)'!$AT$7:$AT$500="Block"))+SUMPRODUCT(--ISNUMBER(SEARCH(", "&amp;$B11&amp;", ",", "&amp;'Ghép nối'!$B$7:$B$500&amp;", ")),--('Ghép nối'!$AT$7:$AT$500="Block"))+SUMPRODUCT(--ISNUMBER(SEARCH(", "&amp;$B11&amp;", ",", "&amp;'Huỷ đơn - Huỷ nhận đơn'!$B$7:$B$500&amp;", ")),--('Huỷ đơn - Huỷ nhận đơn'!$AT$7:$AT$500="Block"))+SUMPRODUCT(--ISNUMBER(SEARCH(", "&amp;$B11&amp;", ",", "&amp;'Giao nhận &amp; Theo dõi đơn'!$B$7:$B$500&amp;", ")),--('Giao nhận &amp; Theo dõi đơn'!$AT$7:$AT$500="Block"))+SUMPRODUCT(--ISNUMBER(SEARCH(", "&amp;$B11&amp;", ",", "&amp;'Bảng tin &amp; Chi tiết tin'!$B$7:$B$500&amp;", ")),--('Bảng tin &amp; Chi tiết tin'!$AT$7:$AT$500="Block"))+SUMPRODUCT(--ISNUMBER(SEARCH(", "&amp;$B11&amp;", ",", "&amp;'Quà cảm ơn'!$B$7:$B$500&amp;", ")),--('Quà cảm ơn'!$AT$7:$AT$500="Block"))+SUMPRODUCT(--ISNUMBER(SEARCH(", "&amp;$B11&amp;", ",", "&amp;'Trang chủ'!$B$7:$B$500&amp;", ")),--('Trang chủ'!$AT$7:$AT$500="Block"))+SUMPRODUCT(--ISNUMBER(SEARCH(", "&amp;$B11&amp;", ",", "&amp;'Thông báo'!$B$7:$B$500&amp;", ")),--('Thông báo'!$AT$7:$AT$500="Block"))+SUMPRODUCT(--ISNUMBER(SEARCH(", "&amp;$B11&amp;", ",", "&amp;'Đăng tin &amp; Quản lý tin'!$B$7:$B$500&amp;", ")),--('Đăng tin &amp; Quản lý tin'!$AT$7:$AT$500="Block"))+SUMPRODUCT(--ISNUMBER(SEARCH(", "&amp;$B11&amp;", ",", "&amp;'Trust &amp; Safety'!$B$7:$B$500&amp;", ")),--('Trust &amp; Safety'!$AT$7:$AT$500="Block"))+SUMPRODUCT(--ISNUMBER(SEARCH(", "&amp;$B11&amp;", ",", "&amp;'Tài khoản &amp; Hồ sơ'!$B$7:$B$500&amp;", ")),--('Tài khoản &amp; Hồ sơ'!$AT$7:$AT$500="Block"))</f>
        <v>0</v>
      </c>
      <c r="J11" s="51" t="n">
        <f aca="false">SUMPRODUCT(--ISNUMBER(SEARCH(", "&amp;$B11&amp;", ",", "&amp;'Hoạt động (Đơn của tôi)'!$B$7:$B$500&amp;", ")),--('Hoạt động (Đơn của tôi)'!$AT$7:$AT$500="N/A"))+SUMPRODUCT(--ISNUMBER(SEARCH(", "&amp;$B11&amp;", ",", "&amp;'Ghép nối'!$B$7:$B$500&amp;", ")),--('Ghép nối'!$AT$7:$AT$500="N/A"))+SUMPRODUCT(--ISNUMBER(SEARCH(", "&amp;$B11&amp;", ",", "&amp;'Huỷ đơn - Huỷ nhận đơn'!$B$7:$B$500&amp;", ")),--('Huỷ đơn - Huỷ nhận đơn'!$AT$7:$AT$500="N/A"))+SUMPRODUCT(--ISNUMBER(SEARCH(", "&amp;$B11&amp;", ",", "&amp;'Giao nhận &amp; Theo dõi đơn'!$B$7:$B$500&amp;", ")),--('Giao nhận &amp; Theo dõi đơn'!$AT$7:$AT$500="N/A"))+SUMPRODUCT(--ISNUMBER(SEARCH(", "&amp;$B11&amp;", ",", "&amp;'Bảng tin &amp; Chi tiết tin'!$B$7:$B$500&amp;", ")),--('Bảng tin &amp; Chi tiết tin'!$AT$7:$AT$500="N/A"))+SUMPRODUCT(--ISNUMBER(SEARCH(", "&amp;$B11&amp;", ",", "&amp;'Quà cảm ơn'!$B$7:$B$500&amp;", ")),--('Quà cảm ơn'!$AT$7:$AT$500="N/A"))+SUMPRODUCT(--ISNUMBER(SEARCH(", "&amp;$B11&amp;", ",", "&amp;'Trang chủ'!$B$7:$B$500&amp;", ")),--('Trang chủ'!$AT$7:$AT$500="N/A"))+SUMPRODUCT(--ISNUMBER(SEARCH(", "&amp;$B11&amp;", ",", "&amp;'Thông báo'!$B$7:$B$500&amp;", ")),--('Thông báo'!$AT$7:$AT$500="N/A"))+SUMPRODUCT(--ISNUMBER(SEARCH(", "&amp;$B11&amp;", ",", "&amp;'Đăng tin &amp; Quản lý tin'!$B$7:$B$500&amp;", ")),--('Đăng tin &amp; Quản lý tin'!$AT$7:$AT$500="N/A"))+SUMPRODUCT(--ISNUMBER(SEARCH(", "&amp;$B11&amp;", ",", "&amp;'Trust &amp; Safety'!$B$7:$B$500&amp;", ")),--('Trust &amp; Safety'!$AT$7:$AT$500="N/A"))+SUMPRODUCT(--ISNUMBER(SEARCH(", "&amp;$B11&amp;", ",", "&amp;'Tài khoản &amp; Hồ sơ'!$B$7:$B$500&amp;", ")),--('Tài khoản &amp; Hồ sơ'!$AT$7:$AT$500="N/A"))</f>
        <v>0</v>
      </c>
      <c r="K11" s="52" t="n">
        <f aca="false">IFERROR(F11/E11,0)</f>
        <v>1</v>
      </c>
      <c r="L11" s="123" t="str">
        <f aca="false">IF(E11=0,"Chưa có TC (gap)",IF(H11&gt;0,"Có lỗi (Fail)",IF(I11&gt;0,"Bị block",IF(F11&lt;E11,"Đang test",IF(G11=0,"Không áp dụng (N/A)","Đã test xong")))))</f>
        <v>Đã test xong</v>
      </c>
      <c r="AB11" s="1" t="s">
        <v>412</v>
      </c>
      <c r="AD11" s="1" t="s">
        <v>432</v>
      </c>
      <c r="AE11" s="1" t="n">
        <f aca="false">SUMIF($AB$6:$AB$77,$AD11,$E$6:$E$77)</f>
        <v>8</v>
      </c>
      <c r="AF11" s="1" t="n">
        <f aca="false">SUMIF($AB$6:$AB$77,$AD11,$F$6:$F$77)</f>
        <v>0</v>
      </c>
    </row>
    <row r="12" customFormat="false" ht="90.75" hidden="false" customHeight="true" outlineLevel="0" collapsed="false">
      <c r="B12" s="175" t="s">
        <v>433</v>
      </c>
      <c r="C12" s="176" t="s">
        <v>434</v>
      </c>
      <c r="D12" s="123" t="s">
        <v>435</v>
      </c>
      <c r="E12" s="51" t="n">
        <f aca="false">SUMPRODUCT(--ISNUMBER(SEARCH(", "&amp;$B12&amp;", ",", "&amp;'Hoạt động (Đơn của tôi)'!$B$7:$B$500&amp;", ")))+SUMPRODUCT(--ISNUMBER(SEARCH(", "&amp;$B12&amp;", ",", "&amp;'Ghép nối'!$B$7:$B$500&amp;", ")))+SUMPRODUCT(--ISNUMBER(SEARCH(", "&amp;$B12&amp;", ",", "&amp;'Huỷ đơn - Huỷ nhận đơn'!$B$7:$B$500&amp;", ")))+SUMPRODUCT(--ISNUMBER(SEARCH(", "&amp;$B12&amp;", ",", "&amp;'Giao nhận &amp; Theo dõi đơn'!$B$7:$B$500&amp;", ")))+SUMPRODUCT(--ISNUMBER(SEARCH(", "&amp;$B12&amp;", ",", "&amp;'Bảng tin &amp; Chi tiết tin'!$B$7:$B$500&amp;", ")))+SUMPRODUCT(--ISNUMBER(SEARCH(", "&amp;$B12&amp;", ",", "&amp;'Quà cảm ơn'!$B$7:$B$500&amp;", ")))+SUMPRODUCT(--ISNUMBER(SEARCH(", "&amp;$B12&amp;", ",", "&amp;'Trang chủ'!$B$7:$B$500&amp;", ")))+SUMPRODUCT(--ISNUMBER(SEARCH(", "&amp;$B12&amp;", ",", "&amp;'Thông báo'!$B$7:$B$500&amp;", ")))+SUMPRODUCT(--ISNUMBER(SEARCH(", "&amp;$B12&amp;", ",", "&amp;'Đăng tin &amp; Quản lý tin'!$B$7:$B$500&amp;", ")))+SUMPRODUCT(--ISNUMBER(SEARCH(", "&amp;$B12&amp;", ",", "&amp;'Trust &amp; Safety'!$B$7:$B$500&amp;", ")))+SUMPRODUCT(--ISNUMBER(SEARCH(", "&amp;$B12&amp;", ",", "&amp;'Tài khoản &amp; Hồ sơ'!$B$7:$B$500&amp;", ")))</f>
        <v>2</v>
      </c>
      <c r="F12" s="51" t="n">
        <f aca="false">SUMPRODUCT(--ISNUMBER(SEARCH(", "&amp;$B12&amp;", ",", "&amp;'Hoạt động (Đơn của tôi)'!$B$7:$B$500&amp;", ")),--('Hoạt động (Đơn của tôi)'!$AT$7:$AT$500&lt;&gt;""))+SUMPRODUCT(--ISNUMBER(SEARCH(", "&amp;$B12&amp;", ",", "&amp;'Ghép nối'!$B$7:$B$500&amp;", ")),--('Ghép nối'!$AT$7:$AT$500&lt;&gt;""))+SUMPRODUCT(--ISNUMBER(SEARCH(", "&amp;$B12&amp;", ",", "&amp;'Huỷ đơn - Huỷ nhận đơn'!$B$7:$B$500&amp;", ")),--('Huỷ đơn - Huỷ nhận đơn'!$AT$7:$AT$500&lt;&gt;""))+SUMPRODUCT(--ISNUMBER(SEARCH(", "&amp;$B12&amp;", ",", "&amp;'Giao nhận &amp; Theo dõi đơn'!$B$7:$B$500&amp;", ")),--('Giao nhận &amp; Theo dõi đơn'!$AT$7:$AT$500&lt;&gt;""))+SUMPRODUCT(--ISNUMBER(SEARCH(", "&amp;$B12&amp;", ",", "&amp;'Bảng tin &amp; Chi tiết tin'!$B$7:$B$500&amp;", ")),--('Bảng tin &amp; Chi tiết tin'!$AT$7:$AT$500&lt;&gt;""))+SUMPRODUCT(--ISNUMBER(SEARCH(", "&amp;$B12&amp;", ",", "&amp;'Quà cảm ơn'!$B$7:$B$500&amp;", ")),--('Quà cảm ơn'!$AT$7:$AT$500&lt;&gt;""))+SUMPRODUCT(--ISNUMBER(SEARCH(", "&amp;$B12&amp;", ",", "&amp;'Trang chủ'!$B$7:$B$500&amp;", ")),--('Trang chủ'!$AT$7:$AT$500&lt;&gt;""))+SUMPRODUCT(--ISNUMBER(SEARCH(", "&amp;$B12&amp;", ",", "&amp;'Thông báo'!$B$7:$B$500&amp;", ")),--('Thông báo'!$AT$7:$AT$500&lt;&gt;""))+SUMPRODUCT(--ISNUMBER(SEARCH(", "&amp;$B12&amp;", ",", "&amp;'Đăng tin &amp; Quản lý tin'!$B$7:$B$500&amp;", ")),--('Đăng tin &amp; Quản lý tin'!$AT$7:$AT$500&lt;&gt;""))+SUMPRODUCT(--ISNUMBER(SEARCH(", "&amp;$B12&amp;", ",", "&amp;'Trust &amp; Safety'!$B$7:$B$500&amp;", ")),--('Trust &amp; Safety'!$AT$7:$AT$500&lt;&gt;""))+SUMPRODUCT(--ISNUMBER(SEARCH(", "&amp;$B12&amp;", ",", "&amp;'Tài khoản &amp; Hồ sơ'!$B$7:$B$500&amp;", ")),--('Tài khoản &amp; Hồ sơ'!$AT$7:$AT$500&lt;&gt;""))</f>
        <v>0</v>
      </c>
      <c r="G12" s="51" t="n">
        <f aca="false">SUMPRODUCT(--ISNUMBER(SEARCH(", "&amp;$B12&amp;", ",", "&amp;'Hoạt động (Đơn của tôi)'!$B$7:$B$500&amp;", ")),--('Hoạt động (Đơn của tôi)'!$AT$7:$AT$500="Pass"))+SUMPRODUCT(--ISNUMBER(SEARCH(", "&amp;$B12&amp;", ",", "&amp;'Ghép nối'!$B$7:$B$500&amp;", ")),--('Ghép nối'!$AT$7:$AT$500="Pass"))+SUMPRODUCT(--ISNUMBER(SEARCH(", "&amp;$B12&amp;", ",", "&amp;'Huỷ đơn - Huỷ nhận đơn'!$B$7:$B$500&amp;", ")),--('Huỷ đơn - Huỷ nhận đơn'!$AT$7:$AT$500="Pass"))+SUMPRODUCT(--ISNUMBER(SEARCH(", "&amp;$B12&amp;", ",", "&amp;'Giao nhận &amp; Theo dõi đơn'!$B$7:$B$500&amp;", ")),--('Giao nhận &amp; Theo dõi đơn'!$AT$7:$AT$500="Pass"))+SUMPRODUCT(--ISNUMBER(SEARCH(", "&amp;$B12&amp;", ",", "&amp;'Bảng tin &amp; Chi tiết tin'!$B$7:$B$500&amp;", ")),--('Bảng tin &amp; Chi tiết tin'!$AT$7:$AT$500="Pass"))+SUMPRODUCT(--ISNUMBER(SEARCH(", "&amp;$B12&amp;", ",", "&amp;'Quà cảm ơn'!$B$7:$B$500&amp;", ")),--('Quà cảm ơn'!$AT$7:$AT$500="Pass"))+SUMPRODUCT(--ISNUMBER(SEARCH(", "&amp;$B12&amp;", ",", "&amp;'Trang chủ'!$B$7:$B$500&amp;", ")),--('Trang chủ'!$AT$7:$AT$500="Pass"))+SUMPRODUCT(--ISNUMBER(SEARCH(", "&amp;$B12&amp;", ",", "&amp;'Thông báo'!$B$7:$B$500&amp;", ")),--('Thông báo'!$AT$7:$AT$500="Pass"))+SUMPRODUCT(--ISNUMBER(SEARCH(", "&amp;$B12&amp;", ",", "&amp;'Đăng tin &amp; Quản lý tin'!$B$7:$B$500&amp;", ")),--('Đăng tin &amp; Quản lý tin'!$AT$7:$AT$500="Pass"))+SUMPRODUCT(--ISNUMBER(SEARCH(", "&amp;$B12&amp;", ",", "&amp;'Trust &amp; Safety'!$B$7:$B$500&amp;", ")),--('Trust &amp; Safety'!$AT$7:$AT$500="Pass"))+SUMPRODUCT(--ISNUMBER(SEARCH(", "&amp;$B12&amp;", ",", "&amp;'Tài khoản &amp; Hồ sơ'!$B$7:$B$500&amp;", ")),--('Tài khoản &amp; Hồ sơ'!$AT$7:$AT$500="Pass"))</f>
        <v>0</v>
      </c>
      <c r="H12" s="51" t="n">
        <f aca="false">SUMPRODUCT(--ISNUMBER(SEARCH(", "&amp;$B12&amp;", ",", "&amp;'Hoạt động (Đơn của tôi)'!$B$7:$B$500&amp;", ")),--('Hoạt động (Đơn của tôi)'!$AT$7:$AT$500="Fail"))+SUMPRODUCT(--ISNUMBER(SEARCH(", "&amp;$B12&amp;", ",", "&amp;'Ghép nối'!$B$7:$B$500&amp;", ")),--('Ghép nối'!$AT$7:$AT$500="Fail"))+SUMPRODUCT(--ISNUMBER(SEARCH(", "&amp;$B12&amp;", ",", "&amp;'Huỷ đơn - Huỷ nhận đơn'!$B$7:$B$500&amp;", ")),--('Huỷ đơn - Huỷ nhận đơn'!$AT$7:$AT$500="Fail"))+SUMPRODUCT(--ISNUMBER(SEARCH(", "&amp;$B12&amp;", ",", "&amp;'Giao nhận &amp; Theo dõi đơn'!$B$7:$B$500&amp;", ")),--('Giao nhận &amp; Theo dõi đơn'!$AT$7:$AT$500="Fail"))+SUMPRODUCT(--ISNUMBER(SEARCH(", "&amp;$B12&amp;", ",", "&amp;'Bảng tin &amp; Chi tiết tin'!$B$7:$B$500&amp;", ")),--('Bảng tin &amp; Chi tiết tin'!$AT$7:$AT$500="Fail"))+SUMPRODUCT(--ISNUMBER(SEARCH(", "&amp;$B12&amp;", ",", "&amp;'Quà cảm ơn'!$B$7:$B$500&amp;", ")),--('Quà cảm ơn'!$AT$7:$AT$500="Fail"))+SUMPRODUCT(--ISNUMBER(SEARCH(", "&amp;$B12&amp;", ",", "&amp;'Trang chủ'!$B$7:$B$500&amp;", ")),--('Trang chủ'!$AT$7:$AT$500="Fail"))+SUMPRODUCT(--ISNUMBER(SEARCH(", "&amp;$B12&amp;", ",", "&amp;'Thông báo'!$B$7:$B$500&amp;", ")),--('Thông báo'!$AT$7:$AT$500="Fail"))+SUMPRODUCT(--ISNUMBER(SEARCH(", "&amp;$B12&amp;", ",", "&amp;'Đăng tin &amp; Quản lý tin'!$B$7:$B$500&amp;", ")),--('Đăng tin &amp; Quản lý tin'!$AT$7:$AT$500="Fail"))+SUMPRODUCT(--ISNUMBER(SEARCH(", "&amp;$B12&amp;", ",", "&amp;'Trust &amp; Safety'!$B$7:$B$500&amp;", ")),--('Trust &amp; Safety'!$AT$7:$AT$500="Fail"))+SUMPRODUCT(--ISNUMBER(SEARCH(", "&amp;$B12&amp;", ",", "&amp;'Tài khoản &amp; Hồ sơ'!$B$7:$B$500&amp;", ")),--('Tài khoản &amp; Hồ sơ'!$AT$7:$AT$500="Fail"))</f>
        <v>0</v>
      </c>
      <c r="I12" s="51" t="n">
        <f aca="false">SUMPRODUCT(--ISNUMBER(SEARCH(", "&amp;$B12&amp;", ",", "&amp;'Hoạt động (Đơn của tôi)'!$B$7:$B$500&amp;", ")),--('Hoạt động (Đơn của tôi)'!$AT$7:$AT$500="Block"))+SUMPRODUCT(--ISNUMBER(SEARCH(", "&amp;$B12&amp;", ",", "&amp;'Ghép nối'!$B$7:$B$500&amp;", ")),--('Ghép nối'!$AT$7:$AT$500="Block"))+SUMPRODUCT(--ISNUMBER(SEARCH(", "&amp;$B12&amp;", ",", "&amp;'Huỷ đơn - Huỷ nhận đơn'!$B$7:$B$500&amp;", ")),--('Huỷ đơn - Huỷ nhận đơn'!$AT$7:$AT$500="Block"))+SUMPRODUCT(--ISNUMBER(SEARCH(", "&amp;$B12&amp;", ",", "&amp;'Giao nhận &amp; Theo dõi đơn'!$B$7:$B$500&amp;", ")),--('Giao nhận &amp; Theo dõi đơn'!$AT$7:$AT$500="Block"))+SUMPRODUCT(--ISNUMBER(SEARCH(", "&amp;$B12&amp;", ",", "&amp;'Bảng tin &amp; Chi tiết tin'!$B$7:$B$500&amp;", ")),--('Bảng tin &amp; Chi tiết tin'!$AT$7:$AT$500="Block"))+SUMPRODUCT(--ISNUMBER(SEARCH(", "&amp;$B12&amp;", ",", "&amp;'Quà cảm ơn'!$B$7:$B$500&amp;", ")),--('Quà cảm ơn'!$AT$7:$AT$500="Block"))+SUMPRODUCT(--ISNUMBER(SEARCH(", "&amp;$B12&amp;", ",", "&amp;'Trang chủ'!$B$7:$B$500&amp;", ")),--('Trang chủ'!$AT$7:$AT$500="Block"))+SUMPRODUCT(--ISNUMBER(SEARCH(", "&amp;$B12&amp;", ",", "&amp;'Thông báo'!$B$7:$B$500&amp;", ")),--('Thông báo'!$AT$7:$AT$500="Block"))+SUMPRODUCT(--ISNUMBER(SEARCH(", "&amp;$B12&amp;", ",", "&amp;'Đăng tin &amp; Quản lý tin'!$B$7:$B$500&amp;", ")),--('Đăng tin &amp; Quản lý tin'!$AT$7:$AT$500="Block"))+SUMPRODUCT(--ISNUMBER(SEARCH(", "&amp;$B12&amp;", ",", "&amp;'Trust &amp; Safety'!$B$7:$B$500&amp;", ")),--('Trust &amp; Safety'!$AT$7:$AT$500="Block"))+SUMPRODUCT(--ISNUMBER(SEARCH(", "&amp;$B12&amp;", ",", "&amp;'Tài khoản &amp; Hồ sơ'!$B$7:$B$500&amp;", ")),--('Tài khoản &amp; Hồ sơ'!$AT$7:$AT$500="Block"))</f>
        <v>0</v>
      </c>
      <c r="J12" s="51" t="n">
        <f aca="false">SUMPRODUCT(--ISNUMBER(SEARCH(", "&amp;$B12&amp;", ",", "&amp;'Hoạt động (Đơn của tôi)'!$B$7:$B$500&amp;", ")),--('Hoạt động (Đơn của tôi)'!$AT$7:$AT$500="N/A"))+SUMPRODUCT(--ISNUMBER(SEARCH(", "&amp;$B12&amp;", ",", "&amp;'Ghép nối'!$B$7:$B$500&amp;", ")),--('Ghép nối'!$AT$7:$AT$500="N/A"))+SUMPRODUCT(--ISNUMBER(SEARCH(", "&amp;$B12&amp;", ",", "&amp;'Huỷ đơn - Huỷ nhận đơn'!$B$7:$B$500&amp;", ")),--('Huỷ đơn - Huỷ nhận đơn'!$AT$7:$AT$500="N/A"))+SUMPRODUCT(--ISNUMBER(SEARCH(", "&amp;$B12&amp;", ",", "&amp;'Giao nhận &amp; Theo dõi đơn'!$B$7:$B$500&amp;", ")),--('Giao nhận &amp; Theo dõi đơn'!$AT$7:$AT$500="N/A"))+SUMPRODUCT(--ISNUMBER(SEARCH(", "&amp;$B12&amp;", ",", "&amp;'Bảng tin &amp; Chi tiết tin'!$B$7:$B$500&amp;", ")),--('Bảng tin &amp; Chi tiết tin'!$AT$7:$AT$500="N/A"))+SUMPRODUCT(--ISNUMBER(SEARCH(", "&amp;$B12&amp;", ",", "&amp;'Quà cảm ơn'!$B$7:$B$500&amp;", ")),--('Quà cảm ơn'!$AT$7:$AT$500="N/A"))+SUMPRODUCT(--ISNUMBER(SEARCH(", "&amp;$B12&amp;", ",", "&amp;'Trang chủ'!$B$7:$B$500&amp;", ")),--('Trang chủ'!$AT$7:$AT$500="N/A"))+SUMPRODUCT(--ISNUMBER(SEARCH(", "&amp;$B12&amp;", ",", "&amp;'Thông báo'!$B$7:$B$500&amp;", ")),--('Thông báo'!$AT$7:$AT$500="N/A"))+SUMPRODUCT(--ISNUMBER(SEARCH(", "&amp;$B12&amp;", ",", "&amp;'Đăng tin &amp; Quản lý tin'!$B$7:$B$500&amp;", ")),--('Đăng tin &amp; Quản lý tin'!$AT$7:$AT$500="N/A"))+SUMPRODUCT(--ISNUMBER(SEARCH(", "&amp;$B12&amp;", ",", "&amp;'Trust &amp; Safety'!$B$7:$B$500&amp;", ")),--('Trust &amp; Safety'!$AT$7:$AT$500="N/A"))+SUMPRODUCT(--ISNUMBER(SEARCH(", "&amp;$B12&amp;", ",", "&amp;'Tài khoản &amp; Hồ sơ'!$B$7:$B$500&amp;", ")),--('Tài khoản &amp; Hồ sơ'!$AT$7:$AT$500="N/A"))</f>
        <v>0</v>
      </c>
      <c r="K12" s="52" t="n">
        <f aca="false">IFERROR(F12/E12,0)</f>
        <v>0</v>
      </c>
      <c r="L12" s="123" t="str">
        <f aca="false">IF(E12=0,"Chưa có TC (gap)",IF(H12&gt;0,"Có lỗi (Fail)",IF(I12&gt;0,"Bị block",IF(F12&lt;E12,"Đang test",IF(G12=0,"Không áp dụng (N/A)","Đã test xong")))))</f>
        <v>Đang test</v>
      </c>
      <c r="AB12" s="1" t="s">
        <v>416</v>
      </c>
      <c r="AD12" s="1" t="s">
        <v>436</v>
      </c>
      <c r="AE12" s="1" t="n">
        <f aca="false">SUMIF($AB$6:$AB$77,$AD12,$E$6:$E$77)</f>
        <v>12</v>
      </c>
      <c r="AF12" s="1" t="n">
        <f aca="false">SUMIF($AB$6:$AB$77,$AD12,$F$6:$F$77)</f>
        <v>0</v>
      </c>
    </row>
    <row r="13" customFormat="false" ht="34.5" hidden="false" customHeight="true" outlineLevel="0" collapsed="false">
      <c r="B13" s="175" t="s">
        <v>437</v>
      </c>
      <c r="C13" s="176" t="s">
        <v>438</v>
      </c>
      <c r="D13" s="123" t="s">
        <v>439</v>
      </c>
      <c r="E13" s="51" t="n">
        <f aca="false">SUMPRODUCT(--ISNUMBER(SEARCH(", "&amp;$B13&amp;", ",", "&amp;'Hoạt động (Đơn của tôi)'!$B$7:$B$500&amp;", ")))+SUMPRODUCT(--ISNUMBER(SEARCH(", "&amp;$B13&amp;", ",", "&amp;'Ghép nối'!$B$7:$B$500&amp;", ")))+SUMPRODUCT(--ISNUMBER(SEARCH(", "&amp;$B13&amp;", ",", "&amp;'Huỷ đơn - Huỷ nhận đơn'!$B$7:$B$500&amp;", ")))+SUMPRODUCT(--ISNUMBER(SEARCH(", "&amp;$B13&amp;", ",", "&amp;'Giao nhận &amp; Theo dõi đơn'!$B$7:$B$500&amp;", ")))+SUMPRODUCT(--ISNUMBER(SEARCH(", "&amp;$B13&amp;", ",", "&amp;'Bảng tin &amp; Chi tiết tin'!$B$7:$B$500&amp;", ")))+SUMPRODUCT(--ISNUMBER(SEARCH(", "&amp;$B13&amp;", ",", "&amp;'Quà cảm ơn'!$B$7:$B$500&amp;", ")))+SUMPRODUCT(--ISNUMBER(SEARCH(", "&amp;$B13&amp;", ",", "&amp;'Trang chủ'!$B$7:$B$500&amp;", ")))+SUMPRODUCT(--ISNUMBER(SEARCH(", "&amp;$B13&amp;", ",", "&amp;'Thông báo'!$B$7:$B$500&amp;", ")))+SUMPRODUCT(--ISNUMBER(SEARCH(", "&amp;$B13&amp;", ",", "&amp;'Đăng tin &amp; Quản lý tin'!$B$7:$B$500&amp;", ")))+SUMPRODUCT(--ISNUMBER(SEARCH(", "&amp;$B13&amp;", ",", "&amp;'Trust &amp; Safety'!$B$7:$B$500&amp;", ")))+SUMPRODUCT(--ISNUMBER(SEARCH(", "&amp;$B13&amp;", ",", "&amp;'Tài khoản &amp; Hồ sơ'!$B$7:$B$500&amp;", ")))</f>
        <v>1</v>
      </c>
      <c r="F13" s="51" t="n">
        <f aca="false">SUMPRODUCT(--ISNUMBER(SEARCH(", "&amp;$B13&amp;", ",", "&amp;'Hoạt động (Đơn của tôi)'!$B$7:$B$500&amp;", ")),--('Hoạt động (Đơn của tôi)'!$AT$7:$AT$500&lt;&gt;""))+SUMPRODUCT(--ISNUMBER(SEARCH(", "&amp;$B13&amp;", ",", "&amp;'Ghép nối'!$B$7:$B$500&amp;", ")),--('Ghép nối'!$AT$7:$AT$500&lt;&gt;""))+SUMPRODUCT(--ISNUMBER(SEARCH(", "&amp;$B13&amp;", ",", "&amp;'Huỷ đơn - Huỷ nhận đơn'!$B$7:$B$500&amp;", ")),--('Huỷ đơn - Huỷ nhận đơn'!$AT$7:$AT$500&lt;&gt;""))+SUMPRODUCT(--ISNUMBER(SEARCH(", "&amp;$B13&amp;", ",", "&amp;'Giao nhận &amp; Theo dõi đơn'!$B$7:$B$500&amp;", ")),--('Giao nhận &amp; Theo dõi đơn'!$AT$7:$AT$500&lt;&gt;""))+SUMPRODUCT(--ISNUMBER(SEARCH(", "&amp;$B13&amp;", ",", "&amp;'Bảng tin &amp; Chi tiết tin'!$B$7:$B$500&amp;", ")),--('Bảng tin &amp; Chi tiết tin'!$AT$7:$AT$500&lt;&gt;""))+SUMPRODUCT(--ISNUMBER(SEARCH(", "&amp;$B13&amp;", ",", "&amp;'Quà cảm ơn'!$B$7:$B$500&amp;", ")),--('Quà cảm ơn'!$AT$7:$AT$500&lt;&gt;""))+SUMPRODUCT(--ISNUMBER(SEARCH(", "&amp;$B13&amp;", ",", "&amp;'Trang chủ'!$B$7:$B$500&amp;", ")),--('Trang chủ'!$AT$7:$AT$500&lt;&gt;""))+SUMPRODUCT(--ISNUMBER(SEARCH(", "&amp;$B13&amp;", ",", "&amp;'Thông báo'!$B$7:$B$500&amp;", ")),--('Thông báo'!$AT$7:$AT$500&lt;&gt;""))+SUMPRODUCT(--ISNUMBER(SEARCH(", "&amp;$B13&amp;", ",", "&amp;'Đăng tin &amp; Quản lý tin'!$B$7:$B$500&amp;", ")),--('Đăng tin &amp; Quản lý tin'!$AT$7:$AT$500&lt;&gt;""))+SUMPRODUCT(--ISNUMBER(SEARCH(", "&amp;$B13&amp;", ",", "&amp;'Trust &amp; Safety'!$B$7:$B$500&amp;", ")),--('Trust &amp; Safety'!$AT$7:$AT$500&lt;&gt;""))+SUMPRODUCT(--ISNUMBER(SEARCH(", "&amp;$B13&amp;", ",", "&amp;'Tài khoản &amp; Hồ sơ'!$B$7:$B$500&amp;", ")),--('Tài khoản &amp; Hồ sơ'!$AT$7:$AT$500&lt;&gt;""))</f>
        <v>0</v>
      </c>
      <c r="G13" s="51" t="n">
        <f aca="false">SUMPRODUCT(--ISNUMBER(SEARCH(", "&amp;$B13&amp;", ",", "&amp;'Hoạt động (Đơn của tôi)'!$B$7:$B$500&amp;", ")),--('Hoạt động (Đơn của tôi)'!$AT$7:$AT$500="Pass"))+SUMPRODUCT(--ISNUMBER(SEARCH(", "&amp;$B13&amp;", ",", "&amp;'Ghép nối'!$B$7:$B$500&amp;", ")),--('Ghép nối'!$AT$7:$AT$500="Pass"))+SUMPRODUCT(--ISNUMBER(SEARCH(", "&amp;$B13&amp;", ",", "&amp;'Huỷ đơn - Huỷ nhận đơn'!$B$7:$B$500&amp;", ")),--('Huỷ đơn - Huỷ nhận đơn'!$AT$7:$AT$500="Pass"))+SUMPRODUCT(--ISNUMBER(SEARCH(", "&amp;$B13&amp;", ",", "&amp;'Giao nhận &amp; Theo dõi đơn'!$B$7:$B$500&amp;", ")),--('Giao nhận &amp; Theo dõi đơn'!$AT$7:$AT$500="Pass"))+SUMPRODUCT(--ISNUMBER(SEARCH(", "&amp;$B13&amp;", ",", "&amp;'Bảng tin &amp; Chi tiết tin'!$B$7:$B$500&amp;", ")),--('Bảng tin &amp; Chi tiết tin'!$AT$7:$AT$500="Pass"))+SUMPRODUCT(--ISNUMBER(SEARCH(", "&amp;$B13&amp;", ",", "&amp;'Quà cảm ơn'!$B$7:$B$500&amp;", ")),--('Quà cảm ơn'!$AT$7:$AT$500="Pass"))+SUMPRODUCT(--ISNUMBER(SEARCH(", "&amp;$B13&amp;", ",", "&amp;'Trang chủ'!$B$7:$B$500&amp;", ")),--('Trang chủ'!$AT$7:$AT$500="Pass"))+SUMPRODUCT(--ISNUMBER(SEARCH(", "&amp;$B13&amp;", ",", "&amp;'Thông báo'!$B$7:$B$500&amp;", ")),--('Thông báo'!$AT$7:$AT$500="Pass"))+SUMPRODUCT(--ISNUMBER(SEARCH(", "&amp;$B13&amp;", ",", "&amp;'Đăng tin &amp; Quản lý tin'!$B$7:$B$500&amp;", ")),--('Đăng tin &amp; Quản lý tin'!$AT$7:$AT$500="Pass"))+SUMPRODUCT(--ISNUMBER(SEARCH(", "&amp;$B13&amp;", ",", "&amp;'Trust &amp; Safety'!$B$7:$B$500&amp;", ")),--('Trust &amp; Safety'!$AT$7:$AT$500="Pass"))+SUMPRODUCT(--ISNUMBER(SEARCH(", "&amp;$B13&amp;", ",", "&amp;'Tài khoản &amp; Hồ sơ'!$B$7:$B$500&amp;", ")),--('Tài khoản &amp; Hồ sơ'!$AT$7:$AT$500="Pass"))</f>
        <v>0</v>
      </c>
      <c r="H13" s="51" t="n">
        <f aca="false">SUMPRODUCT(--ISNUMBER(SEARCH(", "&amp;$B13&amp;", ",", "&amp;'Hoạt động (Đơn của tôi)'!$B$7:$B$500&amp;", ")),--('Hoạt động (Đơn của tôi)'!$AT$7:$AT$500="Fail"))+SUMPRODUCT(--ISNUMBER(SEARCH(", "&amp;$B13&amp;", ",", "&amp;'Ghép nối'!$B$7:$B$500&amp;", ")),--('Ghép nối'!$AT$7:$AT$500="Fail"))+SUMPRODUCT(--ISNUMBER(SEARCH(", "&amp;$B13&amp;", ",", "&amp;'Huỷ đơn - Huỷ nhận đơn'!$B$7:$B$500&amp;", ")),--('Huỷ đơn - Huỷ nhận đơn'!$AT$7:$AT$500="Fail"))+SUMPRODUCT(--ISNUMBER(SEARCH(", "&amp;$B13&amp;", ",", "&amp;'Giao nhận &amp; Theo dõi đơn'!$B$7:$B$500&amp;", ")),--('Giao nhận &amp; Theo dõi đơn'!$AT$7:$AT$500="Fail"))+SUMPRODUCT(--ISNUMBER(SEARCH(", "&amp;$B13&amp;", ",", "&amp;'Bảng tin &amp; Chi tiết tin'!$B$7:$B$500&amp;", ")),--('Bảng tin &amp; Chi tiết tin'!$AT$7:$AT$500="Fail"))+SUMPRODUCT(--ISNUMBER(SEARCH(", "&amp;$B13&amp;", ",", "&amp;'Quà cảm ơn'!$B$7:$B$500&amp;", ")),--('Quà cảm ơn'!$AT$7:$AT$500="Fail"))+SUMPRODUCT(--ISNUMBER(SEARCH(", "&amp;$B13&amp;", ",", "&amp;'Trang chủ'!$B$7:$B$500&amp;", ")),--('Trang chủ'!$AT$7:$AT$500="Fail"))+SUMPRODUCT(--ISNUMBER(SEARCH(", "&amp;$B13&amp;", ",", "&amp;'Thông báo'!$B$7:$B$500&amp;", ")),--('Thông báo'!$AT$7:$AT$500="Fail"))+SUMPRODUCT(--ISNUMBER(SEARCH(", "&amp;$B13&amp;", ",", "&amp;'Đăng tin &amp; Quản lý tin'!$B$7:$B$500&amp;", ")),--('Đăng tin &amp; Quản lý tin'!$AT$7:$AT$500="Fail"))+SUMPRODUCT(--ISNUMBER(SEARCH(", "&amp;$B13&amp;", ",", "&amp;'Trust &amp; Safety'!$B$7:$B$500&amp;", ")),--('Trust &amp; Safety'!$AT$7:$AT$500="Fail"))+SUMPRODUCT(--ISNUMBER(SEARCH(", "&amp;$B13&amp;", ",", "&amp;'Tài khoản &amp; Hồ sơ'!$B$7:$B$500&amp;", ")),--('Tài khoản &amp; Hồ sơ'!$AT$7:$AT$500="Fail"))</f>
        <v>0</v>
      </c>
      <c r="I13" s="51" t="n">
        <f aca="false">SUMPRODUCT(--ISNUMBER(SEARCH(", "&amp;$B13&amp;", ",", "&amp;'Hoạt động (Đơn của tôi)'!$B$7:$B$500&amp;", ")),--('Hoạt động (Đơn của tôi)'!$AT$7:$AT$500="Block"))+SUMPRODUCT(--ISNUMBER(SEARCH(", "&amp;$B13&amp;", ",", "&amp;'Ghép nối'!$B$7:$B$500&amp;", ")),--('Ghép nối'!$AT$7:$AT$500="Block"))+SUMPRODUCT(--ISNUMBER(SEARCH(", "&amp;$B13&amp;", ",", "&amp;'Huỷ đơn - Huỷ nhận đơn'!$B$7:$B$500&amp;", ")),--('Huỷ đơn - Huỷ nhận đơn'!$AT$7:$AT$500="Block"))+SUMPRODUCT(--ISNUMBER(SEARCH(", "&amp;$B13&amp;", ",", "&amp;'Giao nhận &amp; Theo dõi đơn'!$B$7:$B$500&amp;", ")),--('Giao nhận &amp; Theo dõi đơn'!$AT$7:$AT$500="Block"))+SUMPRODUCT(--ISNUMBER(SEARCH(", "&amp;$B13&amp;", ",", "&amp;'Bảng tin &amp; Chi tiết tin'!$B$7:$B$500&amp;", ")),--('Bảng tin &amp; Chi tiết tin'!$AT$7:$AT$500="Block"))+SUMPRODUCT(--ISNUMBER(SEARCH(", "&amp;$B13&amp;", ",", "&amp;'Quà cảm ơn'!$B$7:$B$500&amp;", ")),--('Quà cảm ơn'!$AT$7:$AT$500="Block"))+SUMPRODUCT(--ISNUMBER(SEARCH(", "&amp;$B13&amp;", ",", "&amp;'Trang chủ'!$B$7:$B$500&amp;", ")),--('Trang chủ'!$AT$7:$AT$500="Block"))+SUMPRODUCT(--ISNUMBER(SEARCH(", "&amp;$B13&amp;", ",", "&amp;'Thông báo'!$B$7:$B$500&amp;", ")),--('Thông báo'!$AT$7:$AT$500="Block"))+SUMPRODUCT(--ISNUMBER(SEARCH(", "&amp;$B13&amp;", ",", "&amp;'Đăng tin &amp; Quản lý tin'!$B$7:$B$500&amp;", ")),--('Đăng tin &amp; Quản lý tin'!$AT$7:$AT$500="Block"))+SUMPRODUCT(--ISNUMBER(SEARCH(", "&amp;$B13&amp;", ",", "&amp;'Trust &amp; Safety'!$B$7:$B$500&amp;", ")),--('Trust &amp; Safety'!$AT$7:$AT$500="Block"))+SUMPRODUCT(--ISNUMBER(SEARCH(", "&amp;$B13&amp;", ",", "&amp;'Tài khoản &amp; Hồ sơ'!$B$7:$B$500&amp;", ")),--('Tài khoản &amp; Hồ sơ'!$AT$7:$AT$500="Block"))</f>
        <v>0</v>
      </c>
      <c r="J13" s="51" t="n">
        <f aca="false">SUMPRODUCT(--ISNUMBER(SEARCH(", "&amp;$B13&amp;", ",", "&amp;'Hoạt động (Đơn của tôi)'!$B$7:$B$500&amp;", ")),--('Hoạt động (Đơn của tôi)'!$AT$7:$AT$500="N/A"))+SUMPRODUCT(--ISNUMBER(SEARCH(", "&amp;$B13&amp;", ",", "&amp;'Ghép nối'!$B$7:$B$500&amp;", ")),--('Ghép nối'!$AT$7:$AT$500="N/A"))+SUMPRODUCT(--ISNUMBER(SEARCH(", "&amp;$B13&amp;", ",", "&amp;'Huỷ đơn - Huỷ nhận đơn'!$B$7:$B$500&amp;", ")),--('Huỷ đơn - Huỷ nhận đơn'!$AT$7:$AT$500="N/A"))+SUMPRODUCT(--ISNUMBER(SEARCH(", "&amp;$B13&amp;", ",", "&amp;'Giao nhận &amp; Theo dõi đơn'!$B$7:$B$500&amp;", ")),--('Giao nhận &amp; Theo dõi đơn'!$AT$7:$AT$500="N/A"))+SUMPRODUCT(--ISNUMBER(SEARCH(", "&amp;$B13&amp;", ",", "&amp;'Bảng tin &amp; Chi tiết tin'!$B$7:$B$500&amp;", ")),--('Bảng tin &amp; Chi tiết tin'!$AT$7:$AT$500="N/A"))+SUMPRODUCT(--ISNUMBER(SEARCH(", "&amp;$B13&amp;", ",", "&amp;'Quà cảm ơn'!$B$7:$B$500&amp;", ")),--('Quà cảm ơn'!$AT$7:$AT$500="N/A"))+SUMPRODUCT(--ISNUMBER(SEARCH(", "&amp;$B13&amp;", ",", "&amp;'Trang chủ'!$B$7:$B$500&amp;", ")),--('Trang chủ'!$AT$7:$AT$500="N/A"))+SUMPRODUCT(--ISNUMBER(SEARCH(", "&amp;$B13&amp;", ",", "&amp;'Thông báo'!$B$7:$B$500&amp;", ")),--('Thông báo'!$AT$7:$AT$500="N/A"))+SUMPRODUCT(--ISNUMBER(SEARCH(", "&amp;$B13&amp;", ",", "&amp;'Đăng tin &amp; Quản lý tin'!$B$7:$B$500&amp;", ")),--('Đăng tin &amp; Quản lý tin'!$AT$7:$AT$500="N/A"))+SUMPRODUCT(--ISNUMBER(SEARCH(", "&amp;$B13&amp;", ",", "&amp;'Trust &amp; Safety'!$B$7:$B$500&amp;", ")),--('Trust &amp; Safety'!$AT$7:$AT$500="N/A"))+SUMPRODUCT(--ISNUMBER(SEARCH(", "&amp;$B13&amp;", ",", "&amp;'Tài khoản &amp; Hồ sơ'!$B$7:$B$500&amp;", ")),--('Tài khoản &amp; Hồ sơ'!$AT$7:$AT$500="N/A"))</f>
        <v>0</v>
      </c>
      <c r="K13" s="52" t="n">
        <f aca="false">IFERROR(F13/E13,0)</f>
        <v>0</v>
      </c>
      <c r="L13" s="123" t="str">
        <f aca="false">IF(E13=0,"Chưa có TC (gap)",IF(H13&gt;0,"Có lỗi (Fail)",IF(I13&gt;0,"Bị block",IF(F13&lt;E13,"Đang test",IF(G13=0,"Không áp dụng (N/A)","Đã test xong")))))</f>
        <v>Đang test</v>
      </c>
      <c r="AB13" s="1" t="s">
        <v>416</v>
      </c>
      <c r="AD13" s="1" t="s">
        <v>440</v>
      </c>
      <c r="AE13" s="1" t="n">
        <f aca="false">SUMIF($AB$6:$AB$77,$AD13,$E$6:$E$77)</f>
        <v>9</v>
      </c>
      <c r="AF13" s="1" t="n">
        <f aca="false">SUMIF($AB$6:$AB$77,$AD13,$F$6:$F$77)</f>
        <v>0</v>
      </c>
    </row>
    <row r="14" customFormat="false" ht="79.5" hidden="false" customHeight="true" outlineLevel="0" collapsed="false">
      <c r="B14" s="175" t="s">
        <v>441</v>
      </c>
      <c r="C14" s="176" t="s">
        <v>442</v>
      </c>
      <c r="D14" s="123" t="s">
        <v>443</v>
      </c>
      <c r="E14" s="51" t="n">
        <f aca="false">SUMPRODUCT(--ISNUMBER(SEARCH(", "&amp;$B14&amp;", ",", "&amp;'Hoạt động (Đơn của tôi)'!$B$7:$B$500&amp;", ")))+SUMPRODUCT(--ISNUMBER(SEARCH(", "&amp;$B14&amp;", ",", "&amp;'Ghép nối'!$B$7:$B$500&amp;", ")))+SUMPRODUCT(--ISNUMBER(SEARCH(", "&amp;$B14&amp;", ",", "&amp;'Huỷ đơn - Huỷ nhận đơn'!$B$7:$B$500&amp;", ")))+SUMPRODUCT(--ISNUMBER(SEARCH(", "&amp;$B14&amp;", ",", "&amp;'Giao nhận &amp; Theo dõi đơn'!$B$7:$B$500&amp;", ")))+SUMPRODUCT(--ISNUMBER(SEARCH(", "&amp;$B14&amp;", ",", "&amp;'Bảng tin &amp; Chi tiết tin'!$B$7:$B$500&amp;", ")))+SUMPRODUCT(--ISNUMBER(SEARCH(", "&amp;$B14&amp;", ",", "&amp;'Quà cảm ơn'!$B$7:$B$500&amp;", ")))+SUMPRODUCT(--ISNUMBER(SEARCH(", "&amp;$B14&amp;", ",", "&amp;'Trang chủ'!$B$7:$B$500&amp;", ")))+SUMPRODUCT(--ISNUMBER(SEARCH(", "&amp;$B14&amp;", ",", "&amp;'Thông báo'!$B$7:$B$500&amp;", ")))+SUMPRODUCT(--ISNUMBER(SEARCH(", "&amp;$B14&amp;", ",", "&amp;'Đăng tin &amp; Quản lý tin'!$B$7:$B$500&amp;", ")))+SUMPRODUCT(--ISNUMBER(SEARCH(", "&amp;$B14&amp;", ",", "&amp;'Trust &amp; Safety'!$B$7:$B$500&amp;", ")))+SUMPRODUCT(--ISNUMBER(SEARCH(", "&amp;$B14&amp;", ",", "&amp;'Tài khoản &amp; Hồ sơ'!$B$7:$B$500&amp;", ")))</f>
        <v>4</v>
      </c>
      <c r="F14" s="51" t="n">
        <f aca="false">SUMPRODUCT(--ISNUMBER(SEARCH(", "&amp;$B14&amp;", ",", "&amp;'Hoạt động (Đơn của tôi)'!$B$7:$B$500&amp;", ")),--('Hoạt động (Đơn của tôi)'!$AT$7:$AT$500&lt;&gt;""))+SUMPRODUCT(--ISNUMBER(SEARCH(", "&amp;$B14&amp;", ",", "&amp;'Ghép nối'!$B$7:$B$500&amp;", ")),--('Ghép nối'!$AT$7:$AT$500&lt;&gt;""))+SUMPRODUCT(--ISNUMBER(SEARCH(", "&amp;$B14&amp;", ",", "&amp;'Huỷ đơn - Huỷ nhận đơn'!$B$7:$B$500&amp;", ")),--('Huỷ đơn - Huỷ nhận đơn'!$AT$7:$AT$500&lt;&gt;""))+SUMPRODUCT(--ISNUMBER(SEARCH(", "&amp;$B14&amp;", ",", "&amp;'Giao nhận &amp; Theo dõi đơn'!$B$7:$B$500&amp;", ")),--('Giao nhận &amp; Theo dõi đơn'!$AT$7:$AT$500&lt;&gt;""))+SUMPRODUCT(--ISNUMBER(SEARCH(", "&amp;$B14&amp;", ",", "&amp;'Bảng tin &amp; Chi tiết tin'!$B$7:$B$500&amp;", ")),--('Bảng tin &amp; Chi tiết tin'!$AT$7:$AT$500&lt;&gt;""))+SUMPRODUCT(--ISNUMBER(SEARCH(", "&amp;$B14&amp;", ",", "&amp;'Quà cảm ơn'!$B$7:$B$500&amp;", ")),--('Quà cảm ơn'!$AT$7:$AT$500&lt;&gt;""))+SUMPRODUCT(--ISNUMBER(SEARCH(", "&amp;$B14&amp;", ",", "&amp;'Trang chủ'!$B$7:$B$500&amp;", ")),--('Trang chủ'!$AT$7:$AT$500&lt;&gt;""))+SUMPRODUCT(--ISNUMBER(SEARCH(", "&amp;$B14&amp;", ",", "&amp;'Thông báo'!$B$7:$B$500&amp;", ")),--('Thông báo'!$AT$7:$AT$500&lt;&gt;""))+SUMPRODUCT(--ISNUMBER(SEARCH(", "&amp;$B14&amp;", ",", "&amp;'Đăng tin &amp; Quản lý tin'!$B$7:$B$500&amp;", ")),--('Đăng tin &amp; Quản lý tin'!$AT$7:$AT$500&lt;&gt;""))+SUMPRODUCT(--ISNUMBER(SEARCH(", "&amp;$B14&amp;", ",", "&amp;'Trust &amp; Safety'!$B$7:$B$500&amp;", ")),--('Trust &amp; Safety'!$AT$7:$AT$500&lt;&gt;""))+SUMPRODUCT(--ISNUMBER(SEARCH(", "&amp;$B14&amp;", ",", "&amp;'Tài khoản &amp; Hồ sơ'!$B$7:$B$500&amp;", ")),--('Tài khoản &amp; Hồ sơ'!$AT$7:$AT$500&lt;&gt;""))</f>
        <v>0</v>
      </c>
      <c r="G14" s="51" t="n">
        <f aca="false">SUMPRODUCT(--ISNUMBER(SEARCH(", "&amp;$B14&amp;", ",", "&amp;'Hoạt động (Đơn của tôi)'!$B$7:$B$500&amp;", ")),--('Hoạt động (Đơn của tôi)'!$AT$7:$AT$500="Pass"))+SUMPRODUCT(--ISNUMBER(SEARCH(", "&amp;$B14&amp;", ",", "&amp;'Ghép nối'!$B$7:$B$500&amp;", ")),--('Ghép nối'!$AT$7:$AT$500="Pass"))+SUMPRODUCT(--ISNUMBER(SEARCH(", "&amp;$B14&amp;", ",", "&amp;'Huỷ đơn - Huỷ nhận đơn'!$B$7:$B$500&amp;", ")),--('Huỷ đơn - Huỷ nhận đơn'!$AT$7:$AT$500="Pass"))+SUMPRODUCT(--ISNUMBER(SEARCH(", "&amp;$B14&amp;", ",", "&amp;'Giao nhận &amp; Theo dõi đơn'!$B$7:$B$500&amp;", ")),--('Giao nhận &amp; Theo dõi đơn'!$AT$7:$AT$500="Pass"))+SUMPRODUCT(--ISNUMBER(SEARCH(", "&amp;$B14&amp;", ",", "&amp;'Bảng tin &amp; Chi tiết tin'!$B$7:$B$500&amp;", ")),--('Bảng tin &amp; Chi tiết tin'!$AT$7:$AT$500="Pass"))+SUMPRODUCT(--ISNUMBER(SEARCH(", "&amp;$B14&amp;", ",", "&amp;'Quà cảm ơn'!$B$7:$B$500&amp;", ")),--('Quà cảm ơn'!$AT$7:$AT$500="Pass"))+SUMPRODUCT(--ISNUMBER(SEARCH(", "&amp;$B14&amp;", ",", "&amp;'Trang chủ'!$B$7:$B$500&amp;", ")),--('Trang chủ'!$AT$7:$AT$500="Pass"))+SUMPRODUCT(--ISNUMBER(SEARCH(", "&amp;$B14&amp;", ",", "&amp;'Thông báo'!$B$7:$B$500&amp;", ")),--('Thông báo'!$AT$7:$AT$500="Pass"))+SUMPRODUCT(--ISNUMBER(SEARCH(", "&amp;$B14&amp;", ",", "&amp;'Đăng tin &amp; Quản lý tin'!$B$7:$B$500&amp;", ")),--('Đăng tin &amp; Quản lý tin'!$AT$7:$AT$500="Pass"))+SUMPRODUCT(--ISNUMBER(SEARCH(", "&amp;$B14&amp;", ",", "&amp;'Trust &amp; Safety'!$B$7:$B$500&amp;", ")),--('Trust &amp; Safety'!$AT$7:$AT$500="Pass"))+SUMPRODUCT(--ISNUMBER(SEARCH(", "&amp;$B14&amp;", ",", "&amp;'Tài khoản &amp; Hồ sơ'!$B$7:$B$500&amp;", ")),--('Tài khoản &amp; Hồ sơ'!$AT$7:$AT$500="Pass"))</f>
        <v>0</v>
      </c>
      <c r="H14" s="51" t="n">
        <f aca="false">SUMPRODUCT(--ISNUMBER(SEARCH(", "&amp;$B14&amp;", ",", "&amp;'Hoạt động (Đơn của tôi)'!$B$7:$B$500&amp;", ")),--('Hoạt động (Đơn của tôi)'!$AT$7:$AT$500="Fail"))+SUMPRODUCT(--ISNUMBER(SEARCH(", "&amp;$B14&amp;", ",", "&amp;'Ghép nối'!$B$7:$B$500&amp;", ")),--('Ghép nối'!$AT$7:$AT$500="Fail"))+SUMPRODUCT(--ISNUMBER(SEARCH(", "&amp;$B14&amp;", ",", "&amp;'Huỷ đơn - Huỷ nhận đơn'!$B$7:$B$500&amp;", ")),--('Huỷ đơn - Huỷ nhận đơn'!$AT$7:$AT$500="Fail"))+SUMPRODUCT(--ISNUMBER(SEARCH(", "&amp;$B14&amp;", ",", "&amp;'Giao nhận &amp; Theo dõi đơn'!$B$7:$B$500&amp;", ")),--('Giao nhận &amp; Theo dõi đơn'!$AT$7:$AT$500="Fail"))+SUMPRODUCT(--ISNUMBER(SEARCH(", "&amp;$B14&amp;", ",", "&amp;'Bảng tin &amp; Chi tiết tin'!$B$7:$B$500&amp;", ")),--('Bảng tin &amp; Chi tiết tin'!$AT$7:$AT$500="Fail"))+SUMPRODUCT(--ISNUMBER(SEARCH(", "&amp;$B14&amp;", ",", "&amp;'Quà cảm ơn'!$B$7:$B$500&amp;", ")),--('Quà cảm ơn'!$AT$7:$AT$500="Fail"))+SUMPRODUCT(--ISNUMBER(SEARCH(", "&amp;$B14&amp;", ",", "&amp;'Trang chủ'!$B$7:$B$500&amp;", ")),--('Trang chủ'!$AT$7:$AT$500="Fail"))+SUMPRODUCT(--ISNUMBER(SEARCH(", "&amp;$B14&amp;", ",", "&amp;'Thông báo'!$B$7:$B$500&amp;", ")),--('Thông báo'!$AT$7:$AT$500="Fail"))+SUMPRODUCT(--ISNUMBER(SEARCH(", "&amp;$B14&amp;", ",", "&amp;'Đăng tin &amp; Quản lý tin'!$B$7:$B$500&amp;", ")),--('Đăng tin &amp; Quản lý tin'!$AT$7:$AT$500="Fail"))+SUMPRODUCT(--ISNUMBER(SEARCH(", "&amp;$B14&amp;", ",", "&amp;'Trust &amp; Safety'!$B$7:$B$500&amp;", ")),--('Trust &amp; Safety'!$AT$7:$AT$500="Fail"))+SUMPRODUCT(--ISNUMBER(SEARCH(", "&amp;$B14&amp;", ",", "&amp;'Tài khoản &amp; Hồ sơ'!$B$7:$B$500&amp;", ")),--('Tài khoản &amp; Hồ sơ'!$AT$7:$AT$500="Fail"))</f>
        <v>0</v>
      </c>
      <c r="I14" s="51" t="n">
        <f aca="false">SUMPRODUCT(--ISNUMBER(SEARCH(", "&amp;$B14&amp;", ",", "&amp;'Hoạt động (Đơn của tôi)'!$B$7:$B$500&amp;", ")),--('Hoạt động (Đơn của tôi)'!$AT$7:$AT$500="Block"))+SUMPRODUCT(--ISNUMBER(SEARCH(", "&amp;$B14&amp;", ",", "&amp;'Ghép nối'!$B$7:$B$500&amp;", ")),--('Ghép nối'!$AT$7:$AT$500="Block"))+SUMPRODUCT(--ISNUMBER(SEARCH(", "&amp;$B14&amp;", ",", "&amp;'Huỷ đơn - Huỷ nhận đơn'!$B$7:$B$500&amp;", ")),--('Huỷ đơn - Huỷ nhận đơn'!$AT$7:$AT$500="Block"))+SUMPRODUCT(--ISNUMBER(SEARCH(", "&amp;$B14&amp;", ",", "&amp;'Giao nhận &amp; Theo dõi đơn'!$B$7:$B$500&amp;", ")),--('Giao nhận &amp; Theo dõi đơn'!$AT$7:$AT$500="Block"))+SUMPRODUCT(--ISNUMBER(SEARCH(", "&amp;$B14&amp;", ",", "&amp;'Bảng tin &amp; Chi tiết tin'!$B$7:$B$500&amp;", ")),--('Bảng tin &amp; Chi tiết tin'!$AT$7:$AT$500="Block"))+SUMPRODUCT(--ISNUMBER(SEARCH(", "&amp;$B14&amp;", ",", "&amp;'Quà cảm ơn'!$B$7:$B$500&amp;", ")),--('Quà cảm ơn'!$AT$7:$AT$500="Block"))+SUMPRODUCT(--ISNUMBER(SEARCH(", "&amp;$B14&amp;", ",", "&amp;'Trang chủ'!$B$7:$B$500&amp;", ")),--('Trang chủ'!$AT$7:$AT$500="Block"))+SUMPRODUCT(--ISNUMBER(SEARCH(", "&amp;$B14&amp;", ",", "&amp;'Thông báo'!$B$7:$B$500&amp;", ")),--('Thông báo'!$AT$7:$AT$500="Block"))+SUMPRODUCT(--ISNUMBER(SEARCH(", "&amp;$B14&amp;", ",", "&amp;'Đăng tin &amp; Quản lý tin'!$B$7:$B$500&amp;", ")),--('Đăng tin &amp; Quản lý tin'!$AT$7:$AT$500="Block"))+SUMPRODUCT(--ISNUMBER(SEARCH(", "&amp;$B14&amp;", ",", "&amp;'Trust &amp; Safety'!$B$7:$B$500&amp;", ")),--('Trust &amp; Safety'!$AT$7:$AT$500="Block"))+SUMPRODUCT(--ISNUMBER(SEARCH(", "&amp;$B14&amp;", ",", "&amp;'Tài khoản &amp; Hồ sơ'!$B$7:$B$500&amp;", ")),--('Tài khoản &amp; Hồ sơ'!$AT$7:$AT$500="Block"))</f>
        <v>0</v>
      </c>
      <c r="J14" s="51" t="n">
        <f aca="false">SUMPRODUCT(--ISNUMBER(SEARCH(", "&amp;$B14&amp;", ",", "&amp;'Hoạt động (Đơn của tôi)'!$B$7:$B$500&amp;", ")),--('Hoạt động (Đơn của tôi)'!$AT$7:$AT$500="N/A"))+SUMPRODUCT(--ISNUMBER(SEARCH(", "&amp;$B14&amp;", ",", "&amp;'Ghép nối'!$B$7:$B$500&amp;", ")),--('Ghép nối'!$AT$7:$AT$500="N/A"))+SUMPRODUCT(--ISNUMBER(SEARCH(", "&amp;$B14&amp;", ",", "&amp;'Huỷ đơn - Huỷ nhận đơn'!$B$7:$B$500&amp;", ")),--('Huỷ đơn - Huỷ nhận đơn'!$AT$7:$AT$500="N/A"))+SUMPRODUCT(--ISNUMBER(SEARCH(", "&amp;$B14&amp;", ",", "&amp;'Giao nhận &amp; Theo dõi đơn'!$B$7:$B$500&amp;", ")),--('Giao nhận &amp; Theo dõi đơn'!$AT$7:$AT$500="N/A"))+SUMPRODUCT(--ISNUMBER(SEARCH(", "&amp;$B14&amp;", ",", "&amp;'Bảng tin &amp; Chi tiết tin'!$B$7:$B$500&amp;", ")),--('Bảng tin &amp; Chi tiết tin'!$AT$7:$AT$500="N/A"))+SUMPRODUCT(--ISNUMBER(SEARCH(", "&amp;$B14&amp;", ",", "&amp;'Quà cảm ơn'!$B$7:$B$500&amp;", ")),--('Quà cảm ơn'!$AT$7:$AT$500="N/A"))+SUMPRODUCT(--ISNUMBER(SEARCH(", "&amp;$B14&amp;", ",", "&amp;'Trang chủ'!$B$7:$B$500&amp;", ")),--('Trang chủ'!$AT$7:$AT$500="N/A"))+SUMPRODUCT(--ISNUMBER(SEARCH(", "&amp;$B14&amp;", ",", "&amp;'Thông báo'!$B$7:$B$500&amp;", ")),--('Thông báo'!$AT$7:$AT$500="N/A"))+SUMPRODUCT(--ISNUMBER(SEARCH(", "&amp;$B14&amp;", ",", "&amp;'Đăng tin &amp; Quản lý tin'!$B$7:$B$500&amp;", ")),--('Đăng tin &amp; Quản lý tin'!$AT$7:$AT$500="N/A"))+SUMPRODUCT(--ISNUMBER(SEARCH(", "&amp;$B14&amp;", ",", "&amp;'Trust &amp; Safety'!$B$7:$B$500&amp;", ")),--('Trust &amp; Safety'!$AT$7:$AT$500="N/A"))+SUMPRODUCT(--ISNUMBER(SEARCH(", "&amp;$B14&amp;", ",", "&amp;'Tài khoản &amp; Hồ sơ'!$B$7:$B$500&amp;", ")),--('Tài khoản &amp; Hồ sơ'!$AT$7:$AT$500="N/A"))</f>
        <v>0</v>
      </c>
      <c r="K14" s="52" t="n">
        <f aca="false">IFERROR(F14/E14,0)</f>
        <v>0</v>
      </c>
      <c r="L14" s="123" t="str">
        <f aca="false">IF(E14=0,"Chưa có TC (gap)",IF(H14&gt;0,"Có lỗi (Fail)",IF(I14&gt;0,"Bị block",IF(F14&lt;E14,"Đang test",IF(G14=0,"Không áp dụng (N/A)","Đã test xong")))))</f>
        <v>Đang test</v>
      </c>
      <c r="AB14" s="1" t="s">
        <v>416</v>
      </c>
      <c r="AD14" s="1" t="s">
        <v>444</v>
      </c>
      <c r="AE14" s="1" t="n">
        <f aca="false">SUMIF($AB$6:$AB$77,$AD14,$E$6:$E$77)</f>
        <v>50</v>
      </c>
      <c r="AF14" s="1" t="n">
        <f aca="false">SUMIF($AB$6:$AB$77,$AD14,$F$6:$F$77)</f>
        <v>0</v>
      </c>
    </row>
    <row r="15" customFormat="false" ht="68.25" hidden="false" customHeight="true" outlineLevel="0" collapsed="false">
      <c r="B15" s="175" t="s">
        <v>445</v>
      </c>
      <c r="C15" s="176" t="s">
        <v>446</v>
      </c>
      <c r="D15" s="123" t="s">
        <v>447</v>
      </c>
      <c r="E15" s="51" t="n">
        <f aca="false">SUMPRODUCT(--ISNUMBER(SEARCH(", "&amp;$B15&amp;", ",", "&amp;'Hoạt động (Đơn của tôi)'!$B$7:$B$500&amp;", ")))+SUMPRODUCT(--ISNUMBER(SEARCH(", "&amp;$B15&amp;", ",", "&amp;'Ghép nối'!$B$7:$B$500&amp;", ")))+SUMPRODUCT(--ISNUMBER(SEARCH(", "&amp;$B15&amp;", ",", "&amp;'Huỷ đơn - Huỷ nhận đơn'!$B$7:$B$500&amp;", ")))+SUMPRODUCT(--ISNUMBER(SEARCH(", "&amp;$B15&amp;", ",", "&amp;'Giao nhận &amp; Theo dõi đơn'!$B$7:$B$500&amp;", ")))+SUMPRODUCT(--ISNUMBER(SEARCH(", "&amp;$B15&amp;", ",", "&amp;'Bảng tin &amp; Chi tiết tin'!$B$7:$B$500&amp;", ")))+SUMPRODUCT(--ISNUMBER(SEARCH(", "&amp;$B15&amp;", ",", "&amp;'Quà cảm ơn'!$B$7:$B$500&amp;", ")))+SUMPRODUCT(--ISNUMBER(SEARCH(", "&amp;$B15&amp;", ",", "&amp;'Trang chủ'!$B$7:$B$500&amp;", ")))+SUMPRODUCT(--ISNUMBER(SEARCH(", "&amp;$B15&amp;", ",", "&amp;'Thông báo'!$B$7:$B$500&amp;", ")))+SUMPRODUCT(--ISNUMBER(SEARCH(", "&amp;$B15&amp;", ",", "&amp;'Đăng tin &amp; Quản lý tin'!$B$7:$B$500&amp;", ")))+SUMPRODUCT(--ISNUMBER(SEARCH(", "&amp;$B15&amp;", ",", "&amp;'Trust &amp; Safety'!$B$7:$B$500&amp;", ")))+SUMPRODUCT(--ISNUMBER(SEARCH(", "&amp;$B15&amp;", ",", "&amp;'Tài khoản &amp; Hồ sơ'!$B$7:$B$500&amp;", ")))</f>
        <v>4</v>
      </c>
      <c r="F15" s="51" t="n">
        <f aca="false">SUMPRODUCT(--ISNUMBER(SEARCH(", "&amp;$B15&amp;", ",", "&amp;'Hoạt động (Đơn của tôi)'!$B$7:$B$500&amp;", ")),--('Hoạt động (Đơn của tôi)'!$AT$7:$AT$500&lt;&gt;""))+SUMPRODUCT(--ISNUMBER(SEARCH(", "&amp;$B15&amp;", ",", "&amp;'Ghép nối'!$B$7:$B$500&amp;", ")),--('Ghép nối'!$AT$7:$AT$500&lt;&gt;""))+SUMPRODUCT(--ISNUMBER(SEARCH(", "&amp;$B15&amp;", ",", "&amp;'Huỷ đơn - Huỷ nhận đơn'!$B$7:$B$500&amp;", ")),--('Huỷ đơn - Huỷ nhận đơn'!$AT$7:$AT$500&lt;&gt;""))+SUMPRODUCT(--ISNUMBER(SEARCH(", "&amp;$B15&amp;", ",", "&amp;'Giao nhận &amp; Theo dõi đơn'!$B$7:$B$500&amp;", ")),--('Giao nhận &amp; Theo dõi đơn'!$AT$7:$AT$500&lt;&gt;""))+SUMPRODUCT(--ISNUMBER(SEARCH(", "&amp;$B15&amp;", ",", "&amp;'Bảng tin &amp; Chi tiết tin'!$B$7:$B$500&amp;", ")),--('Bảng tin &amp; Chi tiết tin'!$AT$7:$AT$500&lt;&gt;""))+SUMPRODUCT(--ISNUMBER(SEARCH(", "&amp;$B15&amp;", ",", "&amp;'Quà cảm ơn'!$B$7:$B$500&amp;", ")),--('Quà cảm ơn'!$AT$7:$AT$500&lt;&gt;""))+SUMPRODUCT(--ISNUMBER(SEARCH(", "&amp;$B15&amp;", ",", "&amp;'Trang chủ'!$B$7:$B$500&amp;", ")),--('Trang chủ'!$AT$7:$AT$500&lt;&gt;""))+SUMPRODUCT(--ISNUMBER(SEARCH(", "&amp;$B15&amp;", ",", "&amp;'Thông báo'!$B$7:$B$500&amp;", ")),--('Thông báo'!$AT$7:$AT$500&lt;&gt;""))+SUMPRODUCT(--ISNUMBER(SEARCH(", "&amp;$B15&amp;", ",", "&amp;'Đăng tin &amp; Quản lý tin'!$B$7:$B$500&amp;", ")),--('Đăng tin &amp; Quản lý tin'!$AT$7:$AT$500&lt;&gt;""))+SUMPRODUCT(--ISNUMBER(SEARCH(", "&amp;$B15&amp;", ",", "&amp;'Trust &amp; Safety'!$B$7:$B$500&amp;", ")),--('Trust &amp; Safety'!$AT$7:$AT$500&lt;&gt;""))+SUMPRODUCT(--ISNUMBER(SEARCH(", "&amp;$B15&amp;", ",", "&amp;'Tài khoản &amp; Hồ sơ'!$B$7:$B$500&amp;", ")),--('Tài khoản &amp; Hồ sơ'!$AT$7:$AT$500&lt;&gt;""))</f>
        <v>0</v>
      </c>
      <c r="G15" s="51" t="n">
        <f aca="false">SUMPRODUCT(--ISNUMBER(SEARCH(", "&amp;$B15&amp;", ",", "&amp;'Hoạt động (Đơn của tôi)'!$B$7:$B$500&amp;", ")),--('Hoạt động (Đơn của tôi)'!$AT$7:$AT$500="Pass"))+SUMPRODUCT(--ISNUMBER(SEARCH(", "&amp;$B15&amp;", ",", "&amp;'Ghép nối'!$B$7:$B$500&amp;", ")),--('Ghép nối'!$AT$7:$AT$500="Pass"))+SUMPRODUCT(--ISNUMBER(SEARCH(", "&amp;$B15&amp;", ",", "&amp;'Huỷ đơn - Huỷ nhận đơn'!$B$7:$B$500&amp;", ")),--('Huỷ đơn - Huỷ nhận đơn'!$AT$7:$AT$500="Pass"))+SUMPRODUCT(--ISNUMBER(SEARCH(", "&amp;$B15&amp;", ",", "&amp;'Giao nhận &amp; Theo dõi đơn'!$B$7:$B$500&amp;", ")),--('Giao nhận &amp; Theo dõi đơn'!$AT$7:$AT$500="Pass"))+SUMPRODUCT(--ISNUMBER(SEARCH(", "&amp;$B15&amp;", ",", "&amp;'Bảng tin &amp; Chi tiết tin'!$B$7:$B$500&amp;", ")),--('Bảng tin &amp; Chi tiết tin'!$AT$7:$AT$500="Pass"))+SUMPRODUCT(--ISNUMBER(SEARCH(", "&amp;$B15&amp;", ",", "&amp;'Quà cảm ơn'!$B$7:$B$500&amp;", ")),--('Quà cảm ơn'!$AT$7:$AT$500="Pass"))+SUMPRODUCT(--ISNUMBER(SEARCH(", "&amp;$B15&amp;", ",", "&amp;'Trang chủ'!$B$7:$B$500&amp;", ")),--('Trang chủ'!$AT$7:$AT$500="Pass"))+SUMPRODUCT(--ISNUMBER(SEARCH(", "&amp;$B15&amp;", ",", "&amp;'Thông báo'!$B$7:$B$500&amp;", ")),--('Thông báo'!$AT$7:$AT$500="Pass"))+SUMPRODUCT(--ISNUMBER(SEARCH(", "&amp;$B15&amp;", ",", "&amp;'Đăng tin &amp; Quản lý tin'!$B$7:$B$500&amp;", ")),--('Đăng tin &amp; Quản lý tin'!$AT$7:$AT$500="Pass"))+SUMPRODUCT(--ISNUMBER(SEARCH(", "&amp;$B15&amp;", ",", "&amp;'Trust &amp; Safety'!$B$7:$B$500&amp;", ")),--('Trust &amp; Safety'!$AT$7:$AT$500="Pass"))+SUMPRODUCT(--ISNUMBER(SEARCH(", "&amp;$B15&amp;", ",", "&amp;'Tài khoản &amp; Hồ sơ'!$B$7:$B$500&amp;", ")),--('Tài khoản &amp; Hồ sơ'!$AT$7:$AT$500="Pass"))</f>
        <v>0</v>
      </c>
      <c r="H15" s="51" t="n">
        <f aca="false">SUMPRODUCT(--ISNUMBER(SEARCH(", "&amp;$B15&amp;", ",", "&amp;'Hoạt động (Đơn của tôi)'!$B$7:$B$500&amp;", ")),--('Hoạt động (Đơn của tôi)'!$AT$7:$AT$500="Fail"))+SUMPRODUCT(--ISNUMBER(SEARCH(", "&amp;$B15&amp;", ",", "&amp;'Ghép nối'!$B$7:$B$500&amp;", ")),--('Ghép nối'!$AT$7:$AT$500="Fail"))+SUMPRODUCT(--ISNUMBER(SEARCH(", "&amp;$B15&amp;", ",", "&amp;'Huỷ đơn - Huỷ nhận đơn'!$B$7:$B$500&amp;", ")),--('Huỷ đơn - Huỷ nhận đơn'!$AT$7:$AT$500="Fail"))+SUMPRODUCT(--ISNUMBER(SEARCH(", "&amp;$B15&amp;", ",", "&amp;'Giao nhận &amp; Theo dõi đơn'!$B$7:$B$500&amp;", ")),--('Giao nhận &amp; Theo dõi đơn'!$AT$7:$AT$500="Fail"))+SUMPRODUCT(--ISNUMBER(SEARCH(", "&amp;$B15&amp;", ",", "&amp;'Bảng tin &amp; Chi tiết tin'!$B$7:$B$500&amp;", ")),--('Bảng tin &amp; Chi tiết tin'!$AT$7:$AT$500="Fail"))+SUMPRODUCT(--ISNUMBER(SEARCH(", "&amp;$B15&amp;", ",", "&amp;'Quà cảm ơn'!$B$7:$B$500&amp;", ")),--('Quà cảm ơn'!$AT$7:$AT$500="Fail"))+SUMPRODUCT(--ISNUMBER(SEARCH(", "&amp;$B15&amp;", ",", "&amp;'Trang chủ'!$B$7:$B$500&amp;", ")),--('Trang chủ'!$AT$7:$AT$500="Fail"))+SUMPRODUCT(--ISNUMBER(SEARCH(", "&amp;$B15&amp;", ",", "&amp;'Thông báo'!$B$7:$B$500&amp;", ")),--('Thông báo'!$AT$7:$AT$500="Fail"))+SUMPRODUCT(--ISNUMBER(SEARCH(", "&amp;$B15&amp;", ",", "&amp;'Đăng tin &amp; Quản lý tin'!$B$7:$B$500&amp;", ")),--('Đăng tin &amp; Quản lý tin'!$AT$7:$AT$500="Fail"))+SUMPRODUCT(--ISNUMBER(SEARCH(", "&amp;$B15&amp;", ",", "&amp;'Trust &amp; Safety'!$B$7:$B$500&amp;", ")),--('Trust &amp; Safety'!$AT$7:$AT$500="Fail"))+SUMPRODUCT(--ISNUMBER(SEARCH(", "&amp;$B15&amp;", ",", "&amp;'Tài khoản &amp; Hồ sơ'!$B$7:$B$500&amp;", ")),--('Tài khoản &amp; Hồ sơ'!$AT$7:$AT$500="Fail"))</f>
        <v>0</v>
      </c>
      <c r="I15" s="51" t="n">
        <f aca="false">SUMPRODUCT(--ISNUMBER(SEARCH(", "&amp;$B15&amp;", ",", "&amp;'Hoạt động (Đơn của tôi)'!$B$7:$B$500&amp;", ")),--('Hoạt động (Đơn của tôi)'!$AT$7:$AT$500="Block"))+SUMPRODUCT(--ISNUMBER(SEARCH(", "&amp;$B15&amp;", ",", "&amp;'Ghép nối'!$B$7:$B$500&amp;", ")),--('Ghép nối'!$AT$7:$AT$500="Block"))+SUMPRODUCT(--ISNUMBER(SEARCH(", "&amp;$B15&amp;", ",", "&amp;'Huỷ đơn - Huỷ nhận đơn'!$B$7:$B$500&amp;", ")),--('Huỷ đơn - Huỷ nhận đơn'!$AT$7:$AT$500="Block"))+SUMPRODUCT(--ISNUMBER(SEARCH(", "&amp;$B15&amp;", ",", "&amp;'Giao nhận &amp; Theo dõi đơn'!$B$7:$B$500&amp;", ")),--('Giao nhận &amp; Theo dõi đơn'!$AT$7:$AT$500="Block"))+SUMPRODUCT(--ISNUMBER(SEARCH(", "&amp;$B15&amp;", ",", "&amp;'Bảng tin &amp; Chi tiết tin'!$B$7:$B$500&amp;", ")),--('Bảng tin &amp; Chi tiết tin'!$AT$7:$AT$500="Block"))+SUMPRODUCT(--ISNUMBER(SEARCH(", "&amp;$B15&amp;", ",", "&amp;'Quà cảm ơn'!$B$7:$B$500&amp;", ")),--('Quà cảm ơn'!$AT$7:$AT$500="Block"))+SUMPRODUCT(--ISNUMBER(SEARCH(", "&amp;$B15&amp;", ",", "&amp;'Trang chủ'!$B$7:$B$500&amp;", ")),--('Trang chủ'!$AT$7:$AT$500="Block"))+SUMPRODUCT(--ISNUMBER(SEARCH(", "&amp;$B15&amp;", ",", "&amp;'Thông báo'!$B$7:$B$500&amp;", ")),--('Thông báo'!$AT$7:$AT$500="Block"))+SUMPRODUCT(--ISNUMBER(SEARCH(", "&amp;$B15&amp;", ",", "&amp;'Đăng tin &amp; Quản lý tin'!$B$7:$B$500&amp;", ")),--('Đăng tin &amp; Quản lý tin'!$AT$7:$AT$500="Block"))+SUMPRODUCT(--ISNUMBER(SEARCH(", "&amp;$B15&amp;", ",", "&amp;'Trust &amp; Safety'!$B$7:$B$500&amp;", ")),--('Trust &amp; Safety'!$AT$7:$AT$500="Block"))+SUMPRODUCT(--ISNUMBER(SEARCH(", "&amp;$B15&amp;", ",", "&amp;'Tài khoản &amp; Hồ sơ'!$B$7:$B$500&amp;", ")),--('Tài khoản &amp; Hồ sơ'!$AT$7:$AT$500="Block"))</f>
        <v>0</v>
      </c>
      <c r="J15" s="51" t="n">
        <f aca="false">SUMPRODUCT(--ISNUMBER(SEARCH(", "&amp;$B15&amp;", ",", "&amp;'Hoạt động (Đơn của tôi)'!$B$7:$B$500&amp;", ")),--('Hoạt động (Đơn của tôi)'!$AT$7:$AT$500="N/A"))+SUMPRODUCT(--ISNUMBER(SEARCH(", "&amp;$B15&amp;", ",", "&amp;'Ghép nối'!$B$7:$B$500&amp;", ")),--('Ghép nối'!$AT$7:$AT$500="N/A"))+SUMPRODUCT(--ISNUMBER(SEARCH(", "&amp;$B15&amp;", ",", "&amp;'Huỷ đơn - Huỷ nhận đơn'!$B$7:$B$500&amp;", ")),--('Huỷ đơn - Huỷ nhận đơn'!$AT$7:$AT$500="N/A"))+SUMPRODUCT(--ISNUMBER(SEARCH(", "&amp;$B15&amp;", ",", "&amp;'Giao nhận &amp; Theo dõi đơn'!$B$7:$B$500&amp;", ")),--('Giao nhận &amp; Theo dõi đơn'!$AT$7:$AT$500="N/A"))+SUMPRODUCT(--ISNUMBER(SEARCH(", "&amp;$B15&amp;", ",", "&amp;'Bảng tin &amp; Chi tiết tin'!$B$7:$B$500&amp;", ")),--('Bảng tin &amp; Chi tiết tin'!$AT$7:$AT$500="N/A"))+SUMPRODUCT(--ISNUMBER(SEARCH(", "&amp;$B15&amp;", ",", "&amp;'Quà cảm ơn'!$B$7:$B$500&amp;", ")),--('Quà cảm ơn'!$AT$7:$AT$500="N/A"))+SUMPRODUCT(--ISNUMBER(SEARCH(", "&amp;$B15&amp;", ",", "&amp;'Trang chủ'!$B$7:$B$500&amp;", ")),--('Trang chủ'!$AT$7:$AT$500="N/A"))+SUMPRODUCT(--ISNUMBER(SEARCH(", "&amp;$B15&amp;", ",", "&amp;'Thông báo'!$B$7:$B$500&amp;", ")),--('Thông báo'!$AT$7:$AT$500="N/A"))+SUMPRODUCT(--ISNUMBER(SEARCH(", "&amp;$B15&amp;", ",", "&amp;'Đăng tin &amp; Quản lý tin'!$B$7:$B$500&amp;", ")),--('Đăng tin &amp; Quản lý tin'!$AT$7:$AT$500="N/A"))+SUMPRODUCT(--ISNUMBER(SEARCH(", "&amp;$B15&amp;", ",", "&amp;'Trust &amp; Safety'!$B$7:$B$500&amp;", ")),--('Trust &amp; Safety'!$AT$7:$AT$500="N/A"))+SUMPRODUCT(--ISNUMBER(SEARCH(", "&amp;$B15&amp;", ",", "&amp;'Tài khoản &amp; Hồ sơ'!$B$7:$B$500&amp;", ")),--('Tài khoản &amp; Hồ sơ'!$AT$7:$AT$500="N/A"))</f>
        <v>0</v>
      </c>
      <c r="K15" s="52" t="n">
        <f aca="false">IFERROR(F15/E15,0)</f>
        <v>0</v>
      </c>
      <c r="L15" s="123" t="str">
        <f aca="false">IF(E15=0,"Chưa có TC (gap)",IF(H15&gt;0,"Có lỗi (Fail)",IF(I15&gt;0,"Bị block",IF(F15&lt;E15,"Đang test",IF(G15=0,"Không áp dụng (N/A)","Đã test xong")))))</f>
        <v>Đang test</v>
      </c>
      <c r="AB15" s="1" t="s">
        <v>416</v>
      </c>
      <c r="AD15" s="1" t="s">
        <v>448</v>
      </c>
      <c r="AE15" s="1" t="n">
        <f aca="false">SUMIF($AB$6:$AB$77,$AD15,$E$6:$E$77)</f>
        <v>17</v>
      </c>
      <c r="AF15" s="1" t="n">
        <f aca="false">SUMIF($AB$6:$AB$77,$AD15,$F$6:$F$77)</f>
        <v>0</v>
      </c>
    </row>
    <row r="16" customFormat="false" ht="57" hidden="false" customHeight="true" outlineLevel="0" collapsed="false">
      <c r="B16" s="175" t="s">
        <v>449</v>
      </c>
      <c r="C16" s="176" t="s">
        <v>450</v>
      </c>
      <c r="D16" s="123" t="s">
        <v>451</v>
      </c>
      <c r="E16" s="51" t="n">
        <f aca="false">SUMPRODUCT(--ISNUMBER(SEARCH(", "&amp;$B16&amp;", ",", "&amp;'Hoạt động (Đơn của tôi)'!$B$7:$B$500&amp;", ")))+SUMPRODUCT(--ISNUMBER(SEARCH(", "&amp;$B16&amp;", ",", "&amp;'Ghép nối'!$B$7:$B$500&amp;", ")))+SUMPRODUCT(--ISNUMBER(SEARCH(", "&amp;$B16&amp;", ",", "&amp;'Huỷ đơn - Huỷ nhận đơn'!$B$7:$B$500&amp;", ")))+SUMPRODUCT(--ISNUMBER(SEARCH(", "&amp;$B16&amp;", ",", "&amp;'Giao nhận &amp; Theo dõi đơn'!$B$7:$B$500&amp;", ")))+SUMPRODUCT(--ISNUMBER(SEARCH(", "&amp;$B16&amp;", ",", "&amp;'Bảng tin &amp; Chi tiết tin'!$B$7:$B$500&amp;", ")))+SUMPRODUCT(--ISNUMBER(SEARCH(", "&amp;$B16&amp;", ",", "&amp;'Quà cảm ơn'!$B$7:$B$500&amp;", ")))+SUMPRODUCT(--ISNUMBER(SEARCH(", "&amp;$B16&amp;", ",", "&amp;'Trang chủ'!$B$7:$B$500&amp;", ")))+SUMPRODUCT(--ISNUMBER(SEARCH(", "&amp;$B16&amp;", ",", "&amp;'Thông báo'!$B$7:$B$500&amp;", ")))+SUMPRODUCT(--ISNUMBER(SEARCH(", "&amp;$B16&amp;", ",", "&amp;'Đăng tin &amp; Quản lý tin'!$B$7:$B$500&amp;", ")))+SUMPRODUCT(--ISNUMBER(SEARCH(", "&amp;$B16&amp;", ",", "&amp;'Trust &amp; Safety'!$B$7:$B$500&amp;", ")))+SUMPRODUCT(--ISNUMBER(SEARCH(", "&amp;$B16&amp;", ",", "&amp;'Tài khoản &amp; Hồ sơ'!$B$7:$B$500&amp;", ")))</f>
        <v>1</v>
      </c>
      <c r="F16" s="51" t="n">
        <f aca="false">SUMPRODUCT(--ISNUMBER(SEARCH(", "&amp;$B16&amp;", ",", "&amp;'Hoạt động (Đơn của tôi)'!$B$7:$B$500&amp;", ")),--('Hoạt động (Đơn của tôi)'!$AT$7:$AT$500&lt;&gt;""))+SUMPRODUCT(--ISNUMBER(SEARCH(", "&amp;$B16&amp;", ",", "&amp;'Ghép nối'!$B$7:$B$500&amp;", ")),--('Ghép nối'!$AT$7:$AT$500&lt;&gt;""))+SUMPRODUCT(--ISNUMBER(SEARCH(", "&amp;$B16&amp;", ",", "&amp;'Huỷ đơn - Huỷ nhận đơn'!$B$7:$B$500&amp;", ")),--('Huỷ đơn - Huỷ nhận đơn'!$AT$7:$AT$500&lt;&gt;""))+SUMPRODUCT(--ISNUMBER(SEARCH(", "&amp;$B16&amp;", ",", "&amp;'Giao nhận &amp; Theo dõi đơn'!$B$7:$B$500&amp;", ")),--('Giao nhận &amp; Theo dõi đơn'!$AT$7:$AT$500&lt;&gt;""))+SUMPRODUCT(--ISNUMBER(SEARCH(", "&amp;$B16&amp;", ",", "&amp;'Bảng tin &amp; Chi tiết tin'!$B$7:$B$500&amp;", ")),--('Bảng tin &amp; Chi tiết tin'!$AT$7:$AT$500&lt;&gt;""))+SUMPRODUCT(--ISNUMBER(SEARCH(", "&amp;$B16&amp;", ",", "&amp;'Quà cảm ơn'!$B$7:$B$500&amp;", ")),--('Quà cảm ơn'!$AT$7:$AT$500&lt;&gt;""))+SUMPRODUCT(--ISNUMBER(SEARCH(", "&amp;$B16&amp;", ",", "&amp;'Trang chủ'!$B$7:$B$500&amp;", ")),--('Trang chủ'!$AT$7:$AT$500&lt;&gt;""))+SUMPRODUCT(--ISNUMBER(SEARCH(", "&amp;$B16&amp;", ",", "&amp;'Thông báo'!$B$7:$B$500&amp;", ")),--('Thông báo'!$AT$7:$AT$500&lt;&gt;""))+SUMPRODUCT(--ISNUMBER(SEARCH(", "&amp;$B16&amp;", ",", "&amp;'Đăng tin &amp; Quản lý tin'!$B$7:$B$500&amp;", ")),--('Đăng tin &amp; Quản lý tin'!$AT$7:$AT$500&lt;&gt;""))+SUMPRODUCT(--ISNUMBER(SEARCH(", "&amp;$B16&amp;", ",", "&amp;'Trust &amp; Safety'!$B$7:$B$500&amp;", ")),--('Trust &amp; Safety'!$AT$7:$AT$500&lt;&gt;""))+SUMPRODUCT(--ISNUMBER(SEARCH(", "&amp;$B16&amp;", ",", "&amp;'Tài khoản &amp; Hồ sơ'!$B$7:$B$500&amp;", ")),--('Tài khoản &amp; Hồ sơ'!$AT$7:$AT$500&lt;&gt;""))</f>
        <v>0</v>
      </c>
      <c r="G16" s="51" t="n">
        <f aca="false">SUMPRODUCT(--ISNUMBER(SEARCH(", "&amp;$B16&amp;", ",", "&amp;'Hoạt động (Đơn của tôi)'!$B$7:$B$500&amp;", ")),--('Hoạt động (Đơn của tôi)'!$AT$7:$AT$500="Pass"))+SUMPRODUCT(--ISNUMBER(SEARCH(", "&amp;$B16&amp;", ",", "&amp;'Ghép nối'!$B$7:$B$500&amp;", ")),--('Ghép nối'!$AT$7:$AT$500="Pass"))+SUMPRODUCT(--ISNUMBER(SEARCH(", "&amp;$B16&amp;", ",", "&amp;'Huỷ đơn - Huỷ nhận đơn'!$B$7:$B$500&amp;", ")),--('Huỷ đơn - Huỷ nhận đơn'!$AT$7:$AT$500="Pass"))+SUMPRODUCT(--ISNUMBER(SEARCH(", "&amp;$B16&amp;", ",", "&amp;'Giao nhận &amp; Theo dõi đơn'!$B$7:$B$500&amp;", ")),--('Giao nhận &amp; Theo dõi đơn'!$AT$7:$AT$500="Pass"))+SUMPRODUCT(--ISNUMBER(SEARCH(", "&amp;$B16&amp;", ",", "&amp;'Bảng tin &amp; Chi tiết tin'!$B$7:$B$500&amp;", ")),--('Bảng tin &amp; Chi tiết tin'!$AT$7:$AT$500="Pass"))+SUMPRODUCT(--ISNUMBER(SEARCH(", "&amp;$B16&amp;", ",", "&amp;'Quà cảm ơn'!$B$7:$B$500&amp;", ")),--('Quà cảm ơn'!$AT$7:$AT$500="Pass"))+SUMPRODUCT(--ISNUMBER(SEARCH(", "&amp;$B16&amp;", ",", "&amp;'Trang chủ'!$B$7:$B$500&amp;", ")),--('Trang chủ'!$AT$7:$AT$500="Pass"))+SUMPRODUCT(--ISNUMBER(SEARCH(", "&amp;$B16&amp;", ",", "&amp;'Thông báo'!$B$7:$B$500&amp;", ")),--('Thông báo'!$AT$7:$AT$500="Pass"))+SUMPRODUCT(--ISNUMBER(SEARCH(", "&amp;$B16&amp;", ",", "&amp;'Đăng tin &amp; Quản lý tin'!$B$7:$B$500&amp;", ")),--('Đăng tin &amp; Quản lý tin'!$AT$7:$AT$500="Pass"))+SUMPRODUCT(--ISNUMBER(SEARCH(", "&amp;$B16&amp;", ",", "&amp;'Trust &amp; Safety'!$B$7:$B$500&amp;", ")),--('Trust &amp; Safety'!$AT$7:$AT$500="Pass"))+SUMPRODUCT(--ISNUMBER(SEARCH(", "&amp;$B16&amp;", ",", "&amp;'Tài khoản &amp; Hồ sơ'!$B$7:$B$500&amp;", ")),--('Tài khoản &amp; Hồ sơ'!$AT$7:$AT$500="Pass"))</f>
        <v>0</v>
      </c>
      <c r="H16" s="51" t="n">
        <f aca="false">SUMPRODUCT(--ISNUMBER(SEARCH(", "&amp;$B16&amp;", ",", "&amp;'Hoạt động (Đơn của tôi)'!$B$7:$B$500&amp;", ")),--('Hoạt động (Đơn của tôi)'!$AT$7:$AT$500="Fail"))+SUMPRODUCT(--ISNUMBER(SEARCH(", "&amp;$B16&amp;", ",", "&amp;'Ghép nối'!$B$7:$B$500&amp;", ")),--('Ghép nối'!$AT$7:$AT$500="Fail"))+SUMPRODUCT(--ISNUMBER(SEARCH(", "&amp;$B16&amp;", ",", "&amp;'Huỷ đơn - Huỷ nhận đơn'!$B$7:$B$500&amp;", ")),--('Huỷ đơn - Huỷ nhận đơn'!$AT$7:$AT$500="Fail"))+SUMPRODUCT(--ISNUMBER(SEARCH(", "&amp;$B16&amp;", ",", "&amp;'Giao nhận &amp; Theo dõi đơn'!$B$7:$B$500&amp;", ")),--('Giao nhận &amp; Theo dõi đơn'!$AT$7:$AT$500="Fail"))+SUMPRODUCT(--ISNUMBER(SEARCH(", "&amp;$B16&amp;", ",", "&amp;'Bảng tin &amp; Chi tiết tin'!$B$7:$B$500&amp;", ")),--('Bảng tin &amp; Chi tiết tin'!$AT$7:$AT$500="Fail"))+SUMPRODUCT(--ISNUMBER(SEARCH(", "&amp;$B16&amp;", ",", "&amp;'Quà cảm ơn'!$B$7:$B$500&amp;", ")),--('Quà cảm ơn'!$AT$7:$AT$500="Fail"))+SUMPRODUCT(--ISNUMBER(SEARCH(", "&amp;$B16&amp;", ",", "&amp;'Trang chủ'!$B$7:$B$500&amp;", ")),--('Trang chủ'!$AT$7:$AT$500="Fail"))+SUMPRODUCT(--ISNUMBER(SEARCH(", "&amp;$B16&amp;", ",", "&amp;'Thông báo'!$B$7:$B$500&amp;", ")),--('Thông báo'!$AT$7:$AT$500="Fail"))+SUMPRODUCT(--ISNUMBER(SEARCH(", "&amp;$B16&amp;", ",", "&amp;'Đăng tin &amp; Quản lý tin'!$B$7:$B$500&amp;", ")),--('Đăng tin &amp; Quản lý tin'!$AT$7:$AT$500="Fail"))+SUMPRODUCT(--ISNUMBER(SEARCH(", "&amp;$B16&amp;", ",", "&amp;'Trust &amp; Safety'!$B$7:$B$500&amp;", ")),--('Trust &amp; Safety'!$AT$7:$AT$500="Fail"))+SUMPRODUCT(--ISNUMBER(SEARCH(", "&amp;$B16&amp;", ",", "&amp;'Tài khoản &amp; Hồ sơ'!$B$7:$B$500&amp;", ")),--('Tài khoản &amp; Hồ sơ'!$AT$7:$AT$500="Fail"))</f>
        <v>0</v>
      </c>
      <c r="I16" s="51" t="n">
        <f aca="false">SUMPRODUCT(--ISNUMBER(SEARCH(", "&amp;$B16&amp;", ",", "&amp;'Hoạt động (Đơn của tôi)'!$B$7:$B$500&amp;", ")),--('Hoạt động (Đơn của tôi)'!$AT$7:$AT$500="Block"))+SUMPRODUCT(--ISNUMBER(SEARCH(", "&amp;$B16&amp;", ",", "&amp;'Ghép nối'!$B$7:$B$500&amp;", ")),--('Ghép nối'!$AT$7:$AT$500="Block"))+SUMPRODUCT(--ISNUMBER(SEARCH(", "&amp;$B16&amp;", ",", "&amp;'Huỷ đơn - Huỷ nhận đơn'!$B$7:$B$500&amp;", ")),--('Huỷ đơn - Huỷ nhận đơn'!$AT$7:$AT$500="Block"))+SUMPRODUCT(--ISNUMBER(SEARCH(", "&amp;$B16&amp;", ",", "&amp;'Giao nhận &amp; Theo dõi đơn'!$B$7:$B$500&amp;", ")),--('Giao nhận &amp; Theo dõi đơn'!$AT$7:$AT$500="Block"))+SUMPRODUCT(--ISNUMBER(SEARCH(", "&amp;$B16&amp;", ",", "&amp;'Bảng tin &amp; Chi tiết tin'!$B$7:$B$500&amp;", ")),--('Bảng tin &amp; Chi tiết tin'!$AT$7:$AT$500="Block"))+SUMPRODUCT(--ISNUMBER(SEARCH(", "&amp;$B16&amp;", ",", "&amp;'Quà cảm ơn'!$B$7:$B$500&amp;", ")),--('Quà cảm ơn'!$AT$7:$AT$500="Block"))+SUMPRODUCT(--ISNUMBER(SEARCH(", "&amp;$B16&amp;", ",", "&amp;'Trang chủ'!$B$7:$B$500&amp;", ")),--('Trang chủ'!$AT$7:$AT$500="Block"))+SUMPRODUCT(--ISNUMBER(SEARCH(", "&amp;$B16&amp;", ",", "&amp;'Thông báo'!$B$7:$B$500&amp;", ")),--('Thông báo'!$AT$7:$AT$500="Block"))+SUMPRODUCT(--ISNUMBER(SEARCH(", "&amp;$B16&amp;", ",", "&amp;'Đăng tin &amp; Quản lý tin'!$B$7:$B$500&amp;", ")),--('Đăng tin &amp; Quản lý tin'!$AT$7:$AT$500="Block"))+SUMPRODUCT(--ISNUMBER(SEARCH(", "&amp;$B16&amp;", ",", "&amp;'Trust &amp; Safety'!$B$7:$B$500&amp;", ")),--('Trust &amp; Safety'!$AT$7:$AT$500="Block"))+SUMPRODUCT(--ISNUMBER(SEARCH(", "&amp;$B16&amp;", ",", "&amp;'Tài khoản &amp; Hồ sơ'!$B$7:$B$500&amp;", ")),--('Tài khoản &amp; Hồ sơ'!$AT$7:$AT$500="Block"))</f>
        <v>0</v>
      </c>
      <c r="J16" s="51" t="n">
        <f aca="false">SUMPRODUCT(--ISNUMBER(SEARCH(", "&amp;$B16&amp;", ",", "&amp;'Hoạt động (Đơn của tôi)'!$B$7:$B$500&amp;", ")),--('Hoạt động (Đơn của tôi)'!$AT$7:$AT$500="N/A"))+SUMPRODUCT(--ISNUMBER(SEARCH(", "&amp;$B16&amp;", ",", "&amp;'Ghép nối'!$B$7:$B$500&amp;", ")),--('Ghép nối'!$AT$7:$AT$500="N/A"))+SUMPRODUCT(--ISNUMBER(SEARCH(", "&amp;$B16&amp;", ",", "&amp;'Huỷ đơn - Huỷ nhận đơn'!$B$7:$B$500&amp;", ")),--('Huỷ đơn - Huỷ nhận đơn'!$AT$7:$AT$500="N/A"))+SUMPRODUCT(--ISNUMBER(SEARCH(", "&amp;$B16&amp;", ",", "&amp;'Giao nhận &amp; Theo dõi đơn'!$B$7:$B$500&amp;", ")),--('Giao nhận &amp; Theo dõi đơn'!$AT$7:$AT$500="N/A"))+SUMPRODUCT(--ISNUMBER(SEARCH(", "&amp;$B16&amp;", ",", "&amp;'Bảng tin &amp; Chi tiết tin'!$B$7:$B$500&amp;", ")),--('Bảng tin &amp; Chi tiết tin'!$AT$7:$AT$500="N/A"))+SUMPRODUCT(--ISNUMBER(SEARCH(", "&amp;$B16&amp;", ",", "&amp;'Quà cảm ơn'!$B$7:$B$500&amp;", ")),--('Quà cảm ơn'!$AT$7:$AT$500="N/A"))+SUMPRODUCT(--ISNUMBER(SEARCH(", "&amp;$B16&amp;", ",", "&amp;'Trang chủ'!$B$7:$B$500&amp;", ")),--('Trang chủ'!$AT$7:$AT$500="N/A"))+SUMPRODUCT(--ISNUMBER(SEARCH(", "&amp;$B16&amp;", ",", "&amp;'Thông báo'!$B$7:$B$500&amp;", ")),--('Thông báo'!$AT$7:$AT$500="N/A"))+SUMPRODUCT(--ISNUMBER(SEARCH(", "&amp;$B16&amp;", ",", "&amp;'Đăng tin &amp; Quản lý tin'!$B$7:$B$500&amp;", ")),--('Đăng tin &amp; Quản lý tin'!$AT$7:$AT$500="N/A"))+SUMPRODUCT(--ISNUMBER(SEARCH(", "&amp;$B16&amp;", ",", "&amp;'Trust &amp; Safety'!$B$7:$B$500&amp;", ")),--('Trust &amp; Safety'!$AT$7:$AT$500="N/A"))+SUMPRODUCT(--ISNUMBER(SEARCH(", "&amp;$B16&amp;", ",", "&amp;'Tài khoản &amp; Hồ sơ'!$B$7:$B$500&amp;", ")),--('Tài khoản &amp; Hồ sơ'!$AT$7:$AT$500="N/A"))</f>
        <v>0</v>
      </c>
      <c r="K16" s="52" t="n">
        <f aca="false">IFERROR(F16/E16,0)</f>
        <v>0</v>
      </c>
      <c r="L16" s="123" t="str">
        <f aca="false">IF(E16=0,"Chưa có TC (gap)",IF(H16&gt;0,"Có lỗi (Fail)",IF(I16&gt;0,"Bị block",IF(F16&lt;E16,"Đang test",IF(G16=0,"Không áp dụng (N/A)","Đã test xong")))))</f>
        <v>Đang test</v>
      </c>
      <c r="AB16" s="1" t="s">
        <v>416</v>
      </c>
      <c r="AD16" s="1" t="s">
        <v>452</v>
      </c>
      <c r="AE16" s="1" t="n">
        <f aca="false">SUMIF($AB$6:$AB$77,$AD16,$E$6:$E$77)</f>
        <v>40</v>
      </c>
      <c r="AF16" s="1" t="n">
        <f aca="false">SUMIF($AB$6:$AB$77,$AD16,$F$6:$F$77)</f>
        <v>0</v>
      </c>
    </row>
    <row r="17" customFormat="false" ht="45.75" hidden="false" customHeight="true" outlineLevel="0" collapsed="false">
      <c r="B17" s="175" t="s">
        <v>453</v>
      </c>
      <c r="C17" s="176" t="s">
        <v>454</v>
      </c>
      <c r="D17" s="123" t="s">
        <v>455</v>
      </c>
      <c r="E17" s="51" t="n">
        <f aca="false">SUMPRODUCT(--ISNUMBER(SEARCH(", "&amp;$B17&amp;", ",", "&amp;'Hoạt động (Đơn của tôi)'!$B$7:$B$500&amp;", ")))+SUMPRODUCT(--ISNUMBER(SEARCH(", "&amp;$B17&amp;", ",", "&amp;'Ghép nối'!$B$7:$B$500&amp;", ")))+SUMPRODUCT(--ISNUMBER(SEARCH(", "&amp;$B17&amp;", ",", "&amp;'Huỷ đơn - Huỷ nhận đơn'!$B$7:$B$500&amp;", ")))+SUMPRODUCT(--ISNUMBER(SEARCH(", "&amp;$B17&amp;", ",", "&amp;'Giao nhận &amp; Theo dõi đơn'!$B$7:$B$500&amp;", ")))+SUMPRODUCT(--ISNUMBER(SEARCH(", "&amp;$B17&amp;", ",", "&amp;'Bảng tin &amp; Chi tiết tin'!$B$7:$B$500&amp;", ")))+SUMPRODUCT(--ISNUMBER(SEARCH(", "&amp;$B17&amp;", ",", "&amp;'Quà cảm ơn'!$B$7:$B$500&amp;", ")))+SUMPRODUCT(--ISNUMBER(SEARCH(", "&amp;$B17&amp;", ",", "&amp;'Trang chủ'!$B$7:$B$500&amp;", ")))+SUMPRODUCT(--ISNUMBER(SEARCH(", "&amp;$B17&amp;", ",", "&amp;'Thông báo'!$B$7:$B$500&amp;", ")))+SUMPRODUCT(--ISNUMBER(SEARCH(", "&amp;$B17&amp;", ",", "&amp;'Đăng tin &amp; Quản lý tin'!$B$7:$B$500&amp;", ")))+SUMPRODUCT(--ISNUMBER(SEARCH(", "&amp;$B17&amp;", ",", "&amp;'Trust &amp; Safety'!$B$7:$B$500&amp;", ")))+SUMPRODUCT(--ISNUMBER(SEARCH(", "&amp;$B17&amp;", ",", "&amp;'Tài khoản &amp; Hồ sơ'!$B$7:$B$500&amp;", ")))</f>
        <v>1</v>
      </c>
      <c r="F17" s="51" t="n">
        <f aca="false">SUMPRODUCT(--ISNUMBER(SEARCH(", "&amp;$B17&amp;", ",", "&amp;'Hoạt động (Đơn của tôi)'!$B$7:$B$500&amp;", ")),--('Hoạt động (Đơn của tôi)'!$AT$7:$AT$500&lt;&gt;""))+SUMPRODUCT(--ISNUMBER(SEARCH(", "&amp;$B17&amp;", ",", "&amp;'Ghép nối'!$B$7:$B$500&amp;", ")),--('Ghép nối'!$AT$7:$AT$500&lt;&gt;""))+SUMPRODUCT(--ISNUMBER(SEARCH(", "&amp;$B17&amp;", ",", "&amp;'Huỷ đơn - Huỷ nhận đơn'!$B$7:$B$500&amp;", ")),--('Huỷ đơn - Huỷ nhận đơn'!$AT$7:$AT$500&lt;&gt;""))+SUMPRODUCT(--ISNUMBER(SEARCH(", "&amp;$B17&amp;", ",", "&amp;'Giao nhận &amp; Theo dõi đơn'!$B$7:$B$500&amp;", ")),--('Giao nhận &amp; Theo dõi đơn'!$AT$7:$AT$500&lt;&gt;""))+SUMPRODUCT(--ISNUMBER(SEARCH(", "&amp;$B17&amp;", ",", "&amp;'Bảng tin &amp; Chi tiết tin'!$B$7:$B$500&amp;", ")),--('Bảng tin &amp; Chi tiết tin'!$AT$7:$AT$500&lt;&gt;""))+SUMPRODUCT(--ISNUMBER(SEARCH(", "&amp;$B17&amp;", ",", "&amp;'Quà cảm ơn'!$B$7:$B$500&amp;", ")),--('Quà cảm ơn'!$AT$7:$AT$500&lt;&gt;""))+SUMPRODUCT(--ISNUMBER(SEARCH(", "&amp;$B17&amp;", ",", "&amp;'Trang chủ'!$B$7:$B$500&amp;", ")),--('Trang chủ'!$AT$7:$AT$500&lt;&gt;""))+SUMPRODUCT(--ISNUMBER(SEARCH(", "&amp;$B17&amp;", ",", "&amp;'Thông báo'!$B$7:$B$500&amp;", ")),--('Thông báo'!$AT$7:$AT$500&lt;&gt;""))+SUMPRODUCT(--ISNUMBER(SEARCH(", "&amp;$B17&amp;", ",", "&amp;'Đăng tin &amp; Quản lý tin'!$B$7:$B$500&amp;", ")),--('Đăng tin &amp; Quản lý tin'!$AT$7:$AT$500&lt;&gt;""))+SUMPRODUCT(--ISNUMBER(SEARCH(", "&amp;$B17&amp;", ",", "&amp;'Trust &amp; Safety'!$B$7:$B$500&amp;", ")),--('Trust &amp; Safety'!$AT$7:$AT$500&lt;&gt;""))+SUMPRODUCT(--ISNUMBER(SEARCH(", "&amp;$B17&amp;", ",", "&amp;'Tài khoản &amp; Hồ sơ'!$B$7:$B$500&amp;", ")),--('Tài khoản &amp; Hồ sơ'!$AT$7:$AT$500&lt;&gt;""))</f>
        <v>0</v>
      </c>
      <c r="G17" s="51" t="n">
        <f aca="false">SUMPRODUCT(--ISNUMBER(SEARCH(", "&amp;$B17&amp;", ",", "&amp;'Hoạt động (Đơn của tôi)'!$B$7:$B$500&amp;", ")),--('Hoạt động (Đơn của tôi)'!$AT$7:$AT$500="Pass"))+SUMPRODUCT(--ISNUMBER(SEARCH(", "&amp;$B17&amp;", ",", "&amp;'Ghép nối'!$B$7:$B$500&amp;", ")),--('Ghép nối'!$AT$7:$AT$500="Pass"))+SUMPRODUCT(--ISNUMBER(SEARCH(", "&amp;$B17&amp;", ",", "&amp;'Huỷ đơn - Huỷ nhận đơn'!$B$7:$B$500&amp;", ")),--('Huỷ đơn - Huỷ nhận đơn'!$AT$7:$AT$500="Pass"))+SUMPRODUCT(--ISNUMBER(SEARCH(", "&amp;$B17&amp;", ",", "&amp;'Giao nhận &amp; Theo dõi đơn'!$B$7:$B$500&amp;", ")),--('Giao nhận &amp; Theo dõi đơn'!$AT$7:$AT$500="Pass"))+SUMPRODUCT(--ISNUMBER(SEARCH(", "&amp;$B17&amp;", ",", "&amp;'Bảng tin &amp; Chi tiết tin'!$B$7:$B$500&amp;", ")),--('Bảng tin &amp; Chi tiết tin'!$AT$7:$AT$500="Pass"))+SUMPRODUCT(--ISNUMBER(SEARCH(", "&amp;$B17&amp;", ",", "&amp;'Quà cảm ơn'!$B$7:$B$500&amp;", ")),--('Quà cảm ơn'!$AT$7:$AT$500="Pass"))+SUMPRODUCT(--ISNUMBER(SEARCH(", "&amp;$B17&amp;", ",", "&amp;'Trang chủ'!$B$7:$B$500&amp;", ")),--('Trang chủ'!$AT$7:$AT$500="Pass"))+SUMPRODUCT(--ISNUMBER(SEARCH(", "&amp;$B17&amp;", ",", "&amp;'Thông báo'!$B$7:$B$500&amp;", ")),--('Thông báo'!$AT$7:$AT$500="Pass"))+SUMPRODUCT(--ISNUMBER(SEARCH(", "&amp;$B17&amp;", ",", "&amp;'Đăng tin &amp; Quản lý tin'!$B$7:$B$500&amp;", ")),--('Đăng tin &amp; Quản lý tin'!$AT$7:$AT$500="Pass"))+SUMPRODUCT(--ISNUMBER(SEARCH(", "&amp;$B17&amp;", ",", "&amp;'Trust &amp; Safety'!$B$7:$B$500&amp;", ")),--('Trust &amp; Safety'!$AT$7:$AT$500="Pass"))+SUMPRODUCT(--ISNUMBER(SEARCH(", "&amp;$B17&amp;", ",", "&amp;'Tài khoản &amp; Hồ sơ'!$B$7:$B$500&amp;", ")),--('Tài khoản &amp; Hồ sơ'!$AT$7:$AT$500="Pass"))</f>
        <v>0</v>
      </c>
      <c r="H17" s="51" t="n">
        <f aca="false">SUMPRODUCT(--ISNUMBER(SEARCH(", "&amp;$B17&amp;", ",", "&amp;'Hoạt động (Đơn của tôi)'!$B$7:$B$500&amp;", ")),--('Hoạt động (Đơn của tôi)'!$AT$7:$AT$500="Fail"))+SUMPRODUCT(--ISNUMBER(SEARCH(", "&amp;$B17&amp;", ",", "&amp;'Ghép nối'!$B$7:$B$500&amp;", ")),--('Ghép nối'!$AT$7:$AT$500="Fail"))+SUMPRODUCT(--ISNUMBER(SEARCH(", "&amp;$B17&amp;", ",", "&amp;'Huỷ đơn - Huỷ nhận đơn'!$B$7:$B$500&amp;", ")),--('Huỷ đơn - Huỷ nhận đơn'!$AT$7:$AT$500="Fail"))+SUMPRODUCT(--ISNUMBER(SEARCH(", "&amp;$B17&amp;", ",", "&amp;'Giao nhận &amp; Theo dõi đơn'!$B$7:$B$500&amp;", ")),--('Giao nhận &amp; Theo dõi đơn'!$AT$7:$AT$500="Fail"))+SUMPRODUCT(--ISNUMBER(SEARCH(", "&amp;$B17&amp;", ",", "&amp;'Bảng tin &amp; Chi tiết tin'!$B$7:$B$500&amp;", ")),--('Bảng tin &amp; Chi tiết tin'!$AT$7:$AT$500="Fail"))+SUMPRODUCT(--ISNUMBER(SEARCH(", "&amp;$B17&amp;", ",", "&amp;'Quà cảm ơn'!$B$7:$B$500&amp;", ")),--('Quà cảm ơn'!$AT$7:$AT$500="Fail"))+SUMPRODUCT(--ISNUMBER(SEARCH(", "&amp;$B17&amp;", ",", "&amp;'Trang chủ'!$B$7:$B$500&amp;", ")),--('Trang chủ'!$AT$7:$AT$500="Fail"))+SUMPRODUCT(--ISNUMBER(SEARCH(", "&amp;$B17&amp;", ",", "&amp;'Thông báo'!$B$7:$B$500&amp;", ")),--('Thông báo'!$AT$7:$AT$500="Fail"))+SUMPRODUCT(--ISNUMBER(SEARCH(", "&amp;$B17&amp;", ",", "&amp;'Đăng tin &amp; Quản lý tin'!$B$7:$B$500&amp;", ")),--('Đăng tin &amp; Quản lý tin'!$AT$7:$AT$500="Fail"))+SUMPRODUCT(--ISNUMBER(SEARCH(", "&amp;$B17&amp;", ",", "&amp;'Trust &amp; Safety'!$B$7:$B$500&amp;", ")),--('Trust &amp; Safety'!$AT$7:$AT$500="Fail"))+SUMPRODUCT(--ISNUMBER(SEARCH(", "&amp;$B17&amp;", ",", "&amp;'Tài khoản &amp; Hồ sơ'!$B$7:$B$500&amp;", ")),--('Tài khoản &amp; Hồ sơ'!$AT$7:$AT$500="Fail"))</f>
        <v>0</v>
      </c>
      <c r="I17" s="51" t="n">
        <f aca="false">SUMPRODUCT(--ISNUMBER(SEARCH(", "&amp;$B17&amp;", ",", "&amp;'Hoạt động (Đơn của tôi)'!$B$7:$B$500&amp;", ")),--('Hoạt động (Đơn của tôi)'!$AT$7:$AT$500="Block"))+SUMPRODUCT(--ISNUMBER(SEARCH(", "&amp;$B17&amp;", ",", "&amp;'Ghép nối'!$B$7:$B$500&amp;", ")),--('Ghép nối'!$AT$7:$AT$500="Block"))+SUMPRODUCT(--ISNUMBER(SEARCH(", "&amp;$B17&amp;", ",", "&amp;'Huỷ đơn - Huỷ nhận đơn'!$B$7:$B$500&amp;", ")),--('Huỷ đơn - Huỷ nhận đơn'!$AT$7:$AT$500="Block"))+SUMPRODUCT(--ISNUMBER(SEARCH(", "&amp;$B17&amp;", ",", "&amp;'Giao nhận &amp; Theo dõi đơn'!$B$7:$B$500&amp;", ")),--('Giao nhận &amp; Theo dõi đơn'!$AT$7:$AT$500="Block"))+SUMPRODUCT(--ISNUMBER(SEARCH(", "&amp;$B17&amp;", ",", "&amp;'Bảng tin &amp; Chi tiết tin'!$B$7:$B$500&amp;", ")),--('Bảng tin &amp; Chi tiết tin'!$AT$7:$AT$500="Block"))+SUMPRODUCT(--ISNUMBER(SEARCH(", "&amp;$B17&amp;", ",", "&amp;'Quà cảm ơn'!$B$7:$B$500&amp;", ")),--('Quà cảm ơn'!$AT$7:$AT$500="Block"))+SUMPRODUCT(--ISNUMBER(SEARCH(", "&amp;$B17&amp;", ",", "&amp;'Trang chủ'!$B$7:$B$500&amp;", ")),--('Trang chủ'!$AT$7:$AT$500="Block"))+SUMPRODUCT(--ISNUMBER(SEARCH(", "&amp;$B17&amp;", ",", "&amp;'Thông báo'!$B$7:$B$500&amp;", ")),--('Thông báo'!$AT$7:$AT$500="Block"))+SUMPRODUCT(--ISNUMBER(SEARCH(", "&amp;$B17&amp;", ",", "&amp;'Đăng tin &amp; Quản lý tin'!$B$7:$B$500&amp;", ")),--('Đăng tin &amp; Quản lý tin'!$AT$7:$AT$500="Block"))+SUMPRODUCT(--ISNUMBER(SEARCH(", "&amp;$B17&amp;", ",", "&amp;'Trust &amp; Safety'!$B$7:$B$500&amp;", ")),--('Trust &amp; Safety'!$AT$7:$AT$500="Block"))+SUMPRODUCT(--ISNUMBER(SEARCH(", "&amp;$B17&amp;", ",", "&amp;'Tài khoản &amp; Hồ sơ'!$B$7:$B$500&amp;", ")),--('Tài khoản &amp; Hồ sơ'!$AT$7:$AT$500="Block"))</f>
        <v>0</v>
      </c>
      <c r="J17" s="51" t="n">
        <f aca="false">SUMPRODUCT(--ISNUMBER(SEARCH(", "&amp;$B17&amp;", ",", "&amp;'Hoạt động (Đơn của tôi)'!$B$7:$B$500&amp;", ")),--('Hoạt động (Đơn của tôi)'!$AT$7:$AT$500="N/A"))+SUMPRODUCT(--ISNUMBER(SEARCH(", "&amp;$B17&amp;", ",", "&amp;'Ghép nối'!$B$7:$B$500&amp;", ")),--('Ghép nối'!$AT$7:$AT$500="N/A"))+SUMPRODUCT(--ISNUMBER(SEARCH(", "&amp;$B17&amp;", ",", "&amp;'Huỷ đơn - Huỷ nhận đơn'!$B$7:$B$500&amp;", ")),--('Huỷ đơn - Huỷ nhận đơn'!$AT$7:$AT$500="N/A"))+SUMPRODUCT(--ISNUMBER(SEARCH(", "&amp;$B17&amp;", ",", "&amp;'Giao nhận &amp; Theo dõi đơn'!$B$7:$B$500&amp;", ")),--('Giao nhận &amp; Theo dõi đơn'!$AT$7:$AT$500="N/A"))+SUMPRODUCT(--ISNUMBER(SEARCH(", "&amp;$B17&amp;", ",", "&amp;'Bảng tin &amp; Chi tiết tin'!$B$7:$B$500&amp;", ")),--('Bảng tin &amp; Chi tiết tin'!$AT$7:$AT$500="N/A"))+SUMPRODUCT(--ISNUMBER(SEARCH(", "&amp;$B17&amp;", ",", "&amp;'Quà cảm ơn'!$B$7:$B$500&amp;", ")),--('Quà cảm ơn'!$AT$7:$AT$500="N/A"))+SUMPRODUCT(--ISNUMBER(SEARCH(", "&amp;$B17&amp;", ",", "&amp;'Trang chủ'!$B$7:$B$500&amp;", ")),--('Trang chủ'!$AT$7:$AT$500="N/A"))+SUMPRODUCT(--ISNUMBER(SEARCH(", "&amp;$B17&amp;", ",", "&amp;'Thông báo'!$B$7:$B$500&amp;", ")),--('Thông báo'!$AT$7:$AT$500="N/A"))+SUMPRODUCT(--ISNUMBER(SEARCH(", "&amp;$B17&amp;", ",", "&amp;'Đăng tin &amp; Quản lý tin'!$B$7:$B$500&amp;", ")),--('Đăng tin &amp; Quản lý tin'!$AT$7:$AT$500="N/A"))+SUMPRODUCT(--ISNUMBER(SEARCH(", "&amp;$B17&amp;", ",", "&amp;'Trust &amp; Safety'!$B$7:$B$500&amp;", ")),--('Trust &amp; Safety'!$AT$7:$AT$500="N/A"))+SUMPRODUCT(--ISNUMBER(SEARCH(", "&amp;$B17&amp;", ",", "&amp;'Tài khoản &amp; Hồ sơ'!$B$7:$B$500&amp;", ")),--('Tài khoản &amp; Hồ sơ'!$AT$7:$AT$500="N/A"))</f>
        <v>0</v>
      </c>
      <c r="K17" s="52" t="n">
        <f aca="false">IFERROR(F17/E17,0)</f>
        <v>0</v>
      </c>
      <c r="L17" s="123" t="str">
        <f aca="false">IF(E17=0,"Chưa có TC (gap)",IF(H17&gt;0,"Có lỗi (Fail)",IF(I17&gt;0,"Bị block",IF(F17&lt;E17,"Đang test",IF(G17=0,"Không áp dụng (N/A)","Đã test xong")))))</f>
        <v>Đang test</v>
      </c>
      <c r="AB17" s="1" t="s">
        <v>416</v>
      </c>
    </row>
    <row r="18" customFormat="false" ht="45.75" hidden="false" customHeight="true" outlineLevel="0" collapsed="false">
      <c r="B18" s="175" t="s">
        <v>456</v>
      </c>
      <c r="C18" s="176" t="s">
        <v>457</v>
      </c>
      <c r="D18" s="123" t="s">
        <v>458</v>
      </c>
      <c r="E18" s="51" t="n">
        <f aca="false">SUMPRODUCT(--ISNUMBER(SEARCH(", "&amp;$B18&amp;", ",", "&amp;'Hoạt động (Đơn của tôi)'!$B$7:$B$500&amp;", ")))+SUMPRODUCT(--ISNUMBER(SEARCH(", "&amp;$B18&amp;", ",", "&amp;'Ghép nối'!$B$7:$B$500&amp;", ")))+SUMPRODUCT(--ISNUMBER(SEARCH(", "&amp;$B18&amp;", ",", "&amp;'Huỷ đơn - Huỷ nhận đơn'!$B$7:$B$500&amp;", ")))+SUMPRODUCT(--ISNUMBER(SEARCH(", "&amp;$B18&amp;", ",", "&amp;'Giao nhận &amp; Theo dõi đơn'!$B$7:$B$500&amp;", ")))+SUMPRODUCT(--ISNUMBER(SEARCH(", "&amp;$B18&amp;", ",", "&amp;'Bảng tin &amp; Chi tiết tin'!$B$7:$B$500&amp;", ")))+SUMPRODUCT(--ISNUMBER(SEARCH(", "&amp;$B18&amp;", ",", "&amp;'Quà cảm ơn'!$B$7:$B$500&amp;", ")))+SUMPRODUCT(--ISNUMBER(SEARCH(", "&amp;$B18&amp;", ",", "&amp;'Trang chủ'!$B$7:$B$500&amp;", ")))+SUMPRODUCT(--ISNUMBER(SEARCH(", "&amp;$B18&amp;", ",", "&amp;'Thông báo'!$B$7:$B$500&amp;", ")))+SUMPRODUCT(--ISNUMBER(SEARCH(", "&amp;$B18&amp;", ",", "&amp;'Đăng tin &amp; Quản lý tin'!$B$7:$B$500&amp;", ")))+SUMPRODUCT(--ISNUMBER(SEARCH(", "&amp;$B18&amp;", ",", "&amp;'Trust &amp; Safety'!$B$7:$B$500&amp;", ")))+SUMPRODUCT(--ISNUMBER(SEARCH(", "&amp;$B18&amp;", ",", "&amp;'Tài khoản &amp; Hồ sơ'!$B$7:$B$500&amp;", ")))</f>
        <v>2</v>
      </c>
      <c r="F18" s="51" t="n">
        <f aca="false">SUMPRODUCT(--ISNUMBER(SEARCH(", "&amp;$B18&amp;", ",", "&amp;'Hoạt động (Đơn của tôi)'!$B$7:$B$500&amp;", ")),--('Hoạt động (Đơn của tôi)'!$AT$7:$AT$500&lt;&gt;""))+SUMPRODUCT(--ISNUMBER(SEARCH(", "&amp;$B18&amp;", ",", "&amp;'Ghép nối'!$B$7:$B$500&amp;", ")),--('Ghép nối'!$AT$7:$AT$500&lt;&gt;""))+SUMPRODUCT(--ISNUMBER(SEARCH(", "&amp;$B18&amp;", ",", "&amp;'Huỷ đơn - Huỷ nhận đơn'!$B$7:$B$500&amp;", ")),--('Huỷ đơn - Huỷ nhận đơn'!$AT$7:$AT$500&lt;&gt;""))+SUMPRODUCT(--ISNUMBER(SEARCH(", "&amp;$B18&amp;", ",", "&amp;'Giao nhận &amp; Theo dõi đơn'!$B$7:$B$500&amp;", ")),--('Giao nhận &amp; Theo dõi đơn'!$AT$7:$AT$500&lt;&gt;""))+SUMPRODUCT(--ISNUMBER(SEARCH(", "&amp;$B18&amp;", ",", "&amp;'Bảng tin &amp; Chi tiết tin'!$B$7:$B$500&amp;", ")),--('Bảng tin &amp; Chi tiết tin'!$AT$7:$AT$500&lt;&gt;""))+SUMPRODUCT(--ISNUMBER(SEARCH(", "&amp;$B18&amp;", ",", "&amp;'Quà cảm ơn'!$B$7:$B$500&amp;", ")),--('Quà cảm ơn'!$AT$7:$AT$500&lt;&gt;""))+SUMPRODUCT(--ISNUMBER(SEARCH(", "&amp;$B18&amp;", ",", "&amp;'Trang chủ'!$B$7:$B$500&amp;", ")),--('Trang chủ'!$AT$7:$AT$500&lt;&gt;""))+SUMPRODUCT(--ISNUMBER(SEARCH(", "&amp;$B18&amp;", ",", "&amp;'Thông báo'!$B$7:$B$500&amp;", ")),--('Thông báo'!$AT$7:$AT$500&lt;&gt;""))+SUMPRODUCT(--ISNUMBER(SEARCH(", "&amp;$B18&amp;", ",", "&amp;'Đăng tin &amp; Quản lý tin'!$B$7:$B$500&amp;", ")),--('Đăng tin &amp; Quản lý tin'!$AT$7:$AT$500&lt;&gt;""))+SUMPRODUCT(--ISNUMBER(SEARCH(", "&amp;$B18&amp;", ",", "&amp;'Trust &amp; Safety'!$B$7:$B$500&amp;", ")),--('Trust &amp; Safety'!$AT$7:$AT$500&lt;&gt;""))+SUMPRODUCT(--ISNUMBER(SEARCH(", "&amp;$B18&amp;", ",", "&amp;'Tài khoản &amp; Hồ sơ'!$B$7:$B$500&amp;", ")),--('Tài khoản &amp; Hồ sơ'!$AT$7:$AT$500&lt;&gt;""))</f>
        <v>0</v>
      </c>
      <c r="G18" s="51" t="n">
        <f aca="false">SUMPRODUCT(--ISNUMBER(SEARCH(", "&amp;$B18&amp;", ",", "&amp;'Hoạt động (Đơn của tôi)'!$B$7:$B$500&amp;", ")),--('Hoạt động (Đơn của tôi)'!$AT$7:$AT$500="Pass"))+SUMPRODUCT(--ISNUMBER(SEARCH(", "&amp;$B18&amp;", ",", "&amp;'Ghép nối'!$B$7:$B$500&amp;", ")),--('Ghép nối'!$AT$7:$AT$500="Pass"))+SUMPRODUCT(--ISNUMBER(SEARCH(", "&amp;$B18&amp;", ",", "&amp;'Huỷ đơn - Huỷ nhận đơn'!$B$7:$B$500&amp;", ")),--('Huỷ đơn - Huỷ nhận đơn'!$AT$7:$AT$500="Pass"))+SUMPRODUCT(--ISNUMBER(SEARCH(", "&amp;$B18&amp;", ",", "&amp;'Giao nhận &amp; Theo dõi đơn'!$B$7:$B$500&amp;", ")),--('Giao nhận &amp; Theo dõi đơn'!$AT$7:$AT$500="Pass"))+SUMPRODUCT(--ISNUMBER(SEARCH(", "&amp;$B18&amp;", ",", "&amp;'Bảng tin &amp; Chi tiết tin'!$B$7:$B$500&amp;", ")),--('Bảng tin &amp; Chi tiết tin'!$AT$7:$AT$500="Pass"))+SUMPRODUCT(--ISNUMBER(SEARCH(", "&amp;$B18&amp;", ",", "&amp;'Quà cảm ơn'!$B$7:$B$500&amp;", ")),--('Quà cảm ơn'!$AT$7:$AT$500="Pass"))+SUMPRODUCT(--ISNUMBER(SEARCH(", "&amp;$B18&amp;", ",", "&amp;'Trang chủ'!$B$7:$B$500&amp;", ")),--('Trang chủ'!$AT$7:$AT$500="Pass"))+SUMPRODUCT(--ISNUMBER(SEARCH(", "&amp;$B18&amp;", ",", "&amp;'Thông báo'!$B$7:$B$500&amp;", ")),--('Thông báo'!$AT$7:$AT$500="Pass"))+SUMPRODUCT(--ISNUMBER(SEARCH(", "&amp;$B18&amp;", ",", "&amp;'Đăng tin &amp; Quản lý tin'!$B$7:$B$500&amp;", ")),--('Đăng tin &amp; Quản lý tin'!$AT$7:$AT$500="Pass"))+SUMPRODUCT(--ISNUMBER(SEARCH(", "&amp;$B18&amp;", ",", "&amp;'Trust &amp; Safety'!$B$7:$B$500&amp;", ")),--('Trust &amp; Safety'!$AT$7:$AT$500="Pass"))+SUMPRODUCT(--ISNUMBER(SEARCH(", "&amp;$B18&amp;", ",", "&amp;'Tài khoản &amp; Hồ sơ'!$B$7:$B$500&amp;", ")),--('Tài khoản &amp; Hồ sơ'!$AT$7:$AT$500="Pass"))</f>
        <v>0</v>
      </c>
      <c r="H18" s="51" t="n">
        <f aca="false">SUMPRODUCT(--ISNUMBER(SEARCH(", "&amp;$B18&amp;", ",", "&amp;'Hoạt động (Đơn của tôi)'!$B$7:$B$500&amp;", ")),--('Hoạt động (Đơn của tôi)'!$AT$7:$AT$500="Fail"))+SUMPRODUCT(--ISNUMBER(SEARCH(", "&amp;$B18&amp;", ",", "&amp;'Ghép nối'!$B$7:$B$500&amp;", ")),--('Ghép nối'!$AT$7:$AT$500="Fail"))+SUMPRODUCT(--ISNUMBER(SEARCH(", "&amp;$B18&amp;", ",", "&amp;'Huỷ đơn - Huỷ nhận đơn'!$B$7:$B$500&amp;", ")),--('Huỷ đơn - Huỷ nhận đơn'!$AT$7:$AT$500="Fail"))+SUMPRODUCT(--ISNUMBER(SEARCH(", "&amp;$B18&amp;", ",", "&amp;'Giao nhận &amp; Theo dõi đơn'!$B$7:$B$500&amp;", ")),--('Giao nhận &amp; Theo dõi đơn'!$AT$7:$AT$500="Fail"))+SUMPRODUCT(--ISNUMBER(SEARCH(", "&amp;$B18&amp;", ",", "&amp;'Bảng tin &amp; Chi tiết tin'!$B$7:$B$500&amp;", ")),--('Bảng tin &amp; Chi tiết tin'!$AT$7:$AT$500="Fail"))+SUMPRODUCT(--ISNUMBER(SEARCH(", "&amp;$B18&amp;", ",", "&amp;'Quà cảm ơn'!$B$7:$B$500&amp;", ")),--('Quà cảm ơn'!$AT$7:$AT$500="Fail"))+SUMPRODUCT(--ISNUMBER(SEARCH(", "&amp;$B18&amp;", ",", "&amp;'Trang chủ'!$B$7:$B$500&amp;", ")),--('Trang chủ'!$AT$7:$AT$500="Fail"))+SUMPRODUCT(--ISNUMBER(SEARCH(", "&amp;$B18&amp;", ",", "&amp;'Thông báo'!$B$7:$B$500&amp;", ")),--('Thông báo'!$AT$7:$AT$500="Fail"))+SUMPRODUCT(--ISNUMBER(SEARCH(", "&amp;$B18&amp;", ",", "&amp;'Đăng tin &amp; Quản lý tin'!$B$7:$B$500&amp;", ")),--('Đăng tin &amp; Quản lý tin'!$AT$7:$AT$500="Fail"))+SUMPRODUCT(--ISNUMBER(SEARCH(", "&amp;$B18&amp;", ",", "&amp;'Trust &amp; Safety'!$B$7:$B$500&amp;", ")),--('Trust &amp; Safety'!$AT$7:$AT$500="Fail"))+SUMPRODUCT(--ISNUMBER(SEARCH(", "&amp;$B18&amp;", ",", "&amp;'Tài khoản &amp; Hồ sơ'!$B$7:$B$500&amp;", ")),--('Tài khoản &amp; Hồ sơ'!$AT$7:$AT$500="Fail"))</f>
        <v>0</v>
      </c>
      <c r="I18" s="51" t="n">
        <f aca="false">SUMPRODUCT(--ISNUMBER(SEARCH(", "&amp;$B18&amp;", ",", "&amp;'Hoạt động (Đơn của tôi)'!$B$7:$B$500&amp;", ")),--('Hoạt động (Đơn của tôi)'!$AT$7:$AT$500="Block"))+SUMPRODUCT(--ISNUMBER(SEARCH(", "&amp;$B18&amp;", ",", "&amp;'Ghép nối'!$B$7:$B$500&amp;", ")),--('Ghép nối'!$AT$7:$AT$500="Block"))+SUMPRODUCT(--ISNUMBER(SEARCH(", "&amp;$B18&amp;", ",", "&amp;'Huỷ đơn - Huỷ nhận đơn'!$B$7:$B$500&amp;", ")),--('Huỷ đơn - Huỷ nhận đơn'!$AT$7:$AT$500="Block"))+SUMPRODUCT(--ISNUMBER(SEARCH(", "&amp;$B18&amp;", ",", "&amp;'Giao nhận &amp; Theo dõi đơn'!$B$7:$B$500&amp;", ")),--('Giao nhận &amp; Theo dõi đơn'!$AT$7:$AT$500="Block"))+SUMPRODUCT(--ISNUMBER(SEARCH(", "&amp;$B18&amp;", ",", "&amp;'Bảng tin &amp; Chi tiết tin'!$B$7:$B$500&amp;", ")),--('Bảng tin &amp; Chi tiết tin'!$AT$7:$AT$500="Block"))+SUMPRODUCT(--ISNUMBER(SEARCH(", "&amp;$B18&amp;", ",", "&amp;'Quà cảm ơn'!$B$7:$B$500&amp;", ")),--('Quà cảm ơn'!$AT$7:$AT$500="Block"))+SUMPRODUCT(--ISNUMBER(SEARCH(", "&amp;$B18&amp;", ",", "&amp;'Trang chủ'!$B$7:$B$500&amp;", ")),--('Trang chủ'!$AT$7:$AT$500="Block"))+SUMPRODUCT(--ISNUMBER(SEARCH(", "&amp;$B18&amp;", ",", "&amp;'Thông báo'!$B$7:$B$500&amp;", ")),--('Thông báo'!$AT$7:$AT$500="Block"))+SUMPRODUCT(--ISNUMBER(SEARCH(", "&amp;$B18&amp;", ",", "&amp;'Đăng tin &amp; Quản lý tin'!$B$7:$B$500&amp;", ")),--('Đăng tin &amp; Quản lý tin'!$AT$7:$AT$500="Block"))+SUMPRODUCT(--ISNUMBER(SEARCH(", "&amp;$B18&amp;", ",", "&amp;'Trust &amp; Safety'!$B$7:$B$500&amp;", ")),--('Trust &amp; Safety'!$AT$7:$AT$500="Block"))+SUMPRODUCT(--ISNUMBER(SEARCH(", "&amp;$B18&amp;", ",", "&amp;'Tài khoản &amp; Hồ sơ'!$B$7:$B$500&amp;", ")),--('Tài khoản &amp; Hồ sơ'!$AT$7:$AT$500="Block"))</f>
        <v>0</v>
      </c>
      <c r="J18" s="51" t="n">
        <f aca="false">SUMPRODUCT(--ISNUMBER(SEARCH(", "&amp;$B18&amp;", ",", "&amp;'Hoạt động (Đơn của tôi)'!$B$7:$B$500&amp;", ")),--('Hoạt động (Đơn của tôi)'!$AT$7:$AT$500="N/A"))+SUMPRODUCT(--ISNUMBER(SEARCH(", "&amp;$B18&amp;", ",", "&amp;'Ghép nối'!$B$7:$B$500&amp;", ")),--('Ghép nối'!$AT$7:$AT$500="N/A"))+SUMPRODUCT(--ISNUMBER(SEARCH(", "&amp;$B18&amp;", ",", "&amp;'Huỷ đơn - Huỷ nhận đơn'!$B$7:$B$500&amp;", ")),--('Huỷ đơn - Huỷ nhận đơn'!$AT$7:$AT$500="N/A"))+SUMPRODUCT(--ISNUMBER(SEARCH(", "&amp;$B18&amp;", ",", "&amp;'Giao nhận &amp; Theo dõi đơn'!$B$7:$B$500&amp;", ")),--('Giao nhận &amp; Theo dõi đơn'!$AT$7:$AT$500="N/A"))+SUMPRODUCT(--ISNUMBER(SEARCH(", "&amp;$B18&amp;", ",", "&amp;'Bảng tin &amp; Chi tiết tin'!$B$7:$B$500&amp;", ")),--('Bảng tin &amp; Chi tiết tin'!$AT$7:$AT$500="N/A"))+SUMPRODUCT(--ISNUMBER(SEARCH(", "&amp;$B18&amp;", ",", "&amp;'Quà cảm ơn'!$B$7:$B$500&amp;", ")),--('Quà cảm ơn'!$AT$7:$AT$500="N/A"))+SUMPRODUCT(--ISNUMBER(SEARCH(", "&amp;$B18&amp;", ",", "&amp;'Trang chủ'!$B$7:$B$500&amp;", ")),--('Trang chủ'!$AT$7:$AT$500="N/A"))+SUMPRODUCT(--ISNUMBER(SEARCH(", "&amp;$B18&amp;", ",", "&amp;'Thông báo'!$B$7:$B$500&amp;", ")),--('Thông báo'!$AT$7:$AT$500="N/A"))+SUMPRODUCT(--ISNUMBER(SEARCH(", "&amp;$B18&amp;", ",", "&amp;'Đăng tin &amp; Quản lý tin'!$B$7:$B$500&amp;", ")),--('Đăng tin &amp; Quản lý tin'!$AT$7:$AT$500="N/A"))+SUMPRODUCT(--ISNUMBER(SEARCH(", "&amp;$B18&amp;", ",", "&amp;'Trust &amp; Safety'!$B$7:$B$500&amp;", ")),--('Trust &amp; Safety'!$AT$7:$AT$500="N/A"))+SUMPRODUCT(--ISNUMBER(SEARCH(", "&amp;$B18&amp;", ",", "&amp;'Tài khoản &amp; Hồ sơ'!$B$7:$B$500&amp;", ")),--('Tài khoản &amp; Hồ sơ'!$AT$7:$AT$500="N/A"))</f>
        <v>0</v>
      </c>
      <c r="K18" s="52" t="n">
        <f aca="false">IFERROR(F18/E18,0)</f>
        <v>0</v>
      </c>
      <c r="L18" s="123" t="str">
        <f aca="false">IF(E18=0,"Chưa có TC (gap)",IF(H18&gt;0,"Có lỗi (Fail)",IF(I18&gt;0,"Bị block",IF(F18&lt;E18,"Đang test",IF(G18=0,"Không áp dụng (N/A)","Đã test xong")))))</f>
        <v>Đang test</v>
      </c>
      <c r="AB18" s="1" t="s">
        <v>420</v>
      </c>
    </row>
    <row r="19" customFormat="false" ht="45.75" hidden="false" customHeight="true" outlineLevel="0" collapsed="false">
      <c r="B19" s="175" t="s">
        <v>459</v>
      </c>
      <c r="C19" s="176" t="s">
        <v>460</v>
      </c>
      <c r="D19" s="123" t="s">
        <v>461</v>
      </c>
      <c r="E19" s="51" t="n">
        <f aca="false">SUMPRODUCT(--ISNUMBER(SEARCH(", "&amp;$B19&amp;", ",", "&amp;'Hoạt động (Đơn của tôi)'!$B$7:$B$500&amp;", ")))+SUMPRODUCT(--ISNUMBER(SEARCH(", "&amp;$B19&amp;", ",", "&amp;'Ghép nối'!$B$7:$B$500&amp;", ")))+SUMPRODUCT(--ISNUMBER(SEARCH(", "&amp;$B19&amp;", ",", "&amp;'Huỷ đơn - Huỷ nhận đơn'!$B$7:$B$500&amp;", ")))+SUMPRODUCT(--ISNUMBER(SEARCH(", "&amp;$B19&amp;", ",", "&amp;'Giao nhận &amp; Theo dõi đơn'!$B$7:$B$500&amp;", ")))+SUMPRODUCT(--ISNUMBER(SEARCH(", "&amp;$B19&amp;", ",", "&amp;'Bảng tin &amp; Chi tiết tin'!$B$7:$B$500&amp;", ")))+SUMPRODUCT(--ISNUMBER(SEARCH(", "&amp;$B19&amp;", ",", "&amp;'Quà cảm ơn'!$B$7:$B$500&amp;", ")))+SUMPRODUCT(--ISNUMBER(SEARCH(", "&amp;$B19&amp;", ",", "&amp;'Trang chủ'!$B$7:$B$500&amp;", ")))+SUMPRODUCT(--ISNUMBER(SEARCH(", "&amp;$B19&amp;", ",", "&amp;'Thông báo'!$B$7:$B$500&amp;", ")))+SUMPRODUCT(--ISNUMBER(SEARCH(", "&amp;$B19&amp;", ",", "&amp;'Đăng tin &amp; Quản lý tin'!$B$7:$B$500&amp;", ")))+SUMPRODUCT(--ISNUMBER(SEARCH(", "&amp;$B19&amp;", ",", "&amp;'Trust &amp; Safety'!$B$7:$B$500&amp;", ")))+SUMPRODUCT(--ISNUMBER(SEARCH(", "&amp;$B19&amp;", ",", "&amp;'Tài khoản &amp; Hồ sơ'!$B$7:$B$500&amp;", ")))</f>
        <v>4</v>
      </c>
      <c r="F19" s="51" t="n">
        <f aca="false">SUMPRODUCT(--ISNUMBER(SEARCH(", "&amp;$B19&amp;", ",", "&amp;'Hoạt động (Đơn của tôi)'!$B$7:$B$500&amp;", ")),--('Hoạt động (Đơn của tôi)'!$AT$7:$AT$500&lt;&gt;""))+SUMPRODUCT(--ISNUMBER(SEARCH(", "&amp;$B19&amp;", ",", "&amp;'Ghép nối'!$B$7:$B$500&amp;", ")),--('Ghép nối'!$AT$7:$AT$500&lt;&gt;""))+SUMPRODUCT(--ISNUMBER(SEARCH(", "&amp;$B19&amp;", ",", "&amp;'Huỷ đơn - Huỷ nhận đơn'!$B$7:$B$500&amp;", ")),--('Huỷ đơn - Huỷ nhận đơn'!$AT$7:$AT$500&lt;&gt;""))+SUMPRODUCT(--ISNUMBER(SEARCH(", "&amp;$B19&amp;", ",", "&amp;'Giao nhận &amp; Theo dõi đơn'!$B$7:$B$500&amp;", ")),--('Giao nhận &amp; Theo dõi đơn'!$AT$7:$AT$500&lt;&gt;""))+SUMPRODUCT(--ISNUMBER(SEARCH(", "&amp;$B19&amp;", ",", "&amp;'Bảng tin &amp; Chi tiết tin'!$B$7:$B$500&amp;", ")),--('Bảng tin &amp; Chi tiết tin'!$AT$7:$AT$500&lt;&gt;""))+SUMPRODUCT(--ISNUMBER(SEARCH(", "&amp;$B19&amp;", ",", "&amp;'Quà cảm ơn'!$B$7:$B$500&amp;", ")),--('Quà cảm ơn'!$AT$7:$AT$500&lt;&gt;""))+SUMPRODUCT(--ISNUMBER(SEARCH(", "&amp;$B19&amp;", ",", "&amp;'Trang chủ'!$B$7:$B$500&amp;", ")),--('Trang chủ'!$AT$7:$AT$500&lt;&gt;""))+SUMPRODUCT(--ISNUMBER(SEARCH(", "&amp;$B19&amp;", ",", "&amp;'Thông báo'!$B$7:$B$500&amp;", ")),--('Thông báo'!$AT$7:$AT$500&lt;&gt;""))+SUMPRODUCT(--ISNUMBER(SEARCH(", "&amp;$B19&amp;", ",", "&amp;'Đăng tin &amp; Quản lý tin'!$B$7:$B$500&amp;", ")),--('Đăng tin &amp; Quản lý tin'!$AT$7:$AT$500&lt;&gt;""))+SUMPRODUCT(--ISNUMBER(SEARCH(", "&amp;$B19&amp;", ",", "&amp;'Trust &amp; Safety'!$B$7:$B$500&amp;", ")),--('Trust &amp; Safety'!$AT$7:$AT$500&lt;&gt;""))+SUMPRODUCT(--ISNUMBER(SEARCH(", "&amp;$B19&amp;", ",", "&amp;'Tài khoản &amp; Hồ sơ'!$B$7:$B$500&amp;", ")),--('Tài khoản &amp; Hồ sơ'!$AT$7:$AT$500&lt;&gt;""))</f>
        <v>0</v>
      </c>
      <c r="G19" s="51" t="n">
        <f aca="false">SUMPRODUCT(--ISNUMBER(SEARCH(", "&amp;$B19&amp;", ",", "&amp;'Hoạt động (Đơn của tôi)'!$B$7:$B$500&amp;", ")),--('Hoạt động (Đơn của tôi)'!$AT$7:$AT$500="Pass"))+SUMPRODUCT(--ISNUMBER(SEARCH(", "&amp;$B19&amp;", ",", "&amp;'Ghép nối'!$B$7:$B$500&amp;", ")),--('Ghép nối'!$AT$7:$AT$500="Pass"))+SUMPRODUCT(--ISNUMBER(SEARCH(", "&amp;$B19&amp;", ",", "&amp;'Huỷ đơn - Huỷ nhận đơn'!$B$7:$B$500&amp;", ")),--('Huỷ đơn - Huỷ nhận đơn'!$AT$7:$AT$500="Pass"))+SUMPRODUCT(--ISNUMBER(SEARCH(", "&amp;$B19&amp;", ",", "&amp;'Giao nhận &amp; Theo dõi đơn'!$B$7:$B$500&amp;", ")),--('Giao nhận &amp; Theo dõi đơn'!$AT$7:$AT$500="Pass"))+SUMPRODUCT(--ISNUMBER(SEARCH(", "&amp;$B19&amp;", ",", "&amp;'Bảng tin &amp; Chi tiết tin'!$B$7:$B$500&amp;", ")),--('Bảng tin &amp; Chi tiết tin'!$AT$7:$AT$500="Pass"))+SUMPRODUCT(--ISNUMBER(SEARCH(", "&amp;$B19&amp;", ",", "&amp;'Quà cảm ơn'!$B$7:$B$500&amp;", ")),--('Quà cảm ơn'!$AT$7:$AT$500="Pass"))+SUMPRODUCT(--ISNUMBER(SEARCH(", "&amp;$B19&amp;", ",", "&amp;'Trang chủ'!$B$7:$B$500&amp;", ")),--('Trang chủ'!$AT$7:$AT$500="Pass"))+SUMPRODUCT(--ISNUMBER(SEARCH(", "&amp;$B19&amp;", ",", "&amp;'Thông báo'!$B$7:$B$500&amp;", ")),--('Thông báo'!$AT$7:$AT$500="Pass"))+SUMPRODUCT(--ISNUMBER(SEARCH(", "&amp;$B19&amp;", ",", "&amp;'Đăng tin &amp; Quản lý tin'!$B$7:$B$500&amp;", ")),--('Đăng tin &amp; Quản lý tin'!$AT$7:$AT$500="Pass"))+SUMPRODUCT(--ISNUMBER(SEARCH(", "&amp;$B19&amp;", ",", "&amp;'Trust &amp; Safety'!$B$7:$B$500&amp;", ")),--('Trust &amp; Safety'!$AT$7:$AT$500="Pass"))+SUMPRODUCT(--ISNUMBER(SEARCH(", "&amp;$B19&amp;", ",", "&amp;'Tài khoản &amp; Hồ sơ'!$B$7:$B$500&amp;", ")),--('Tài khoản &amp; Hồ sơ'!$AT$7:$AT$500="Pass"))</f>
        <v>0</v>
      </c>
      <c r="H19" s="51" t="n">
        <f aca="false">SUMPRODUCT(--ISNUMBER(SEARCH(", "&amp;$B19&amp;", ",", "&amp;'Hoạt động (Đơn của tôi)'!$B$7:$B$500&amp;", ")),--('Hoạt động (Đơn của tôi)'!$AT$7:$AT$500="Fail"))+SUMPRODUCT(--ISNUMBER(SEARCH(", "&amp;$B19&amp;", ",", "&amp;'Ghép nối'!$B$7:$B$500&amp;", ")),--('Ghép nối'!$AT$7:$AT$500="Fail"))+SUMPRODUCT(--ISNUMBER(SEARCH(", "&amp;$B19&amp;", ",", "&amp;'Huỷ đơn - Huỷ nhận đơn'!$B$7:$B$500&amp;", ")),--('Huỷ đơn - Huỷ nhận đơn'!$AT$7:$AT$500="Fail"))+SUMPRODUCT(--ISNUMBER(SEARCH(", "&amp;$B19&amp;", ",", "&amp;'Giao nhận &amp; Theo dõi đơn'!$B$7:$B$500&amp;", ")),--('Giao nhận &amp; Theo dõi đơn'!$AT$7:$AT$500="Fail"))+SUMPRODUCT(--ISNUMBER(SEARCH(", "&amp;$B19&amp;", ",", "&amp;'Bảng tin &amp; Chi tiết tin'!$B$7:$B$500&amp;", ")),--('Bảng tin &amp; Chi tiết tin'!$AT$7:$AT$500="Fail"))+SUMPRODUCT(--ISNUMBER(SEARCH(", "&amp;$B19&amp;", ",", "&amp;'Quà cảm ơn'!$B$7:$B$500&amp;", ")),--('Quà cảm ơn'!$AT$7:$AT$500="Fail"))+SUMPRODUCT(--ISNUMBER(SEARCH(", "&amp;$B19&amp;", ",", "&amp;'Trang chủ'!$B$7:$B$500&amp;", ")),--('Trang chủ'!$AT$7:$AT$500="Fail"))+SUMPRODUCT(--ISNUMBER(SEARCH(", "&amp;$B19&amp;", ",", "&amp;'Thông báo'!$B$7:$B$500&amp;", ")),--('Thông báo'!$AT$7:$AT$500="Fail"))+SUMPRODUCT(--ISNUMBER(SEARCH(", "&amp;$B19&amp;", ",", "&amp;'Đăng tin &amp; Quản lý tin'!$B$7:$B$500&amp;", ")),--('Đăng tin &amp; Quản lý tin'!$AT$7:$AT$500="Fail"))+SUMPRODUCT(--ISNUMBER(SEARCH(", "&amp;$B19&amp;", ",", "&amp;'Trust &amp; Safety'!$B$7:$B$500&amp;", ")),--('Trust &amp; Safety'!$AT$7:$AT$500="Fail"))+SUMPRODUCT(--ISNUMBER(SEARCH(", "&amp;$B19&amp;", ",", "&amp;'Tài khoản &amp; Hồ sơ'!$B$7:$B$500&amp;", ")),--('Tài khoản &amp; Hồ sơ'!$AT$7:$AT$500="Fail"))</f>
        <v>0</v>
      </c>
      <c r="I19" s="51" t="n">
        <f aca="false">SUMPRODUCT(--ISNUMBER(SEARCH(", "&amp;$B19&amp;", ",", "&amp;'Hoạt động (Đơn của tôi)'!$B$7:$B$500&amp;", ")),--('Hoạt động (Đơn của tôi)'!$AT$7:$AT$500="Block"))+SUMPRODUCT(--ISNUMBER(SEARCH(", "&amp;$B19&amp;", ",", "&amp;'Ghép nối'!$B$7:$B$500&amp;", ")),--('Ghép nối'!$AT$7:$AT$500="Block"))+SUMPRODUCT(--ISNUMBER(SEARCH(", "&amp;$B19&amp;", ",", "&amp;'Huỷ đơn - Huỷ nhận đơn'!$B$7:$B$500&amp;", ")),--('Huỷ đơn - Huỷ nhận đơn'!$AT$7:$AT$500="Block"))+SUMPRODUCT(--ISNUMBER(SEARCH(", "&amp;$B19&amp;", ",", "&amp;'Giao nhận &amp; Theo dõi đơn'!$B$7:$B$500&amp;", ")),--('Giao nhận &amp; Theo dõi đơn'!$AT$7:$AT$500="Block"))+SUMPRODUCT(--ISNUMBER(SEARCH(", "&amp;$B19&amp;", ",", "&amp;'Bảng tin &amp; Chi tiết tin'!$B$7:$B$500&amp;", ")),--('Bảng tin &amp; Chi tiết tin'!$AT$7:$AT$500="Block"))+SUMPRODUCT(--ISNUMBER(SEARCH(", "&amp;$B19&amp;", ",", "&amp;'Quà cảm ơn'!$B$7:$B$500&amp;", ")),--('Quà cảm ơn'!$AT$7:$AT$500="Block"))+SUMPRODUCT(--ISNUMBER(SEARCH(", "&amp;$B19&amp;", ",", "&amp;'Trang chủ'!$B$7:$B$500&amp;", ")),--('Trang chủ'!$AT$7:$AT$500="Block"))+SUMPRODUCT(--ISNUMBER(SEARCH(", "&amp;$B19&amp;", ",", "&amp;'Thông báo'!$B$7:$B$500&amp;", ")),--('Thông báo'!$AT$7:$AT$500="Block"))+SUMPRODUCT(--ISNUMBER(SEARCH(", "&amp;$B19&amp;", ",", "&amp;'Đăng tin &amp; Quản lý tin'!$B$7:$B$500&amp;", ")),--('Đăng tin &amp; Quản lý tin'!$AT$7:$AT$500="Block"))+SUMPRODUCT(--ISNUMBER(SEARCH(", "&amp;$B19&amp;", ",", "&amp;'Trust &amp; Safety'!$B$7:$B$500&amp;", ")),--('Trust &amp; Safety'!$AT$7:$AT$500="Block"))+SUMPRODUCT(--ISNUMBER(SEARCH(", "&amp;$B19&amp;", ",", "&amp;'Tài khoản &amp; Hồ sơ'!$B$7:$B$500&amp;", ")),--('Tài khoản &amp; Hồ sơ'!$AT$7:$AT$500="Block"))</f>
        <v>0</v>
      </c>
      <c r="J19" s="51" t="n">
        <f aca="false">SUMPRODUCT(--ISNUMBER(SEARCH(", "&amp;$B19&amp;", ",", "&amp;'Hoạt động (Đơn của tôi)'!$B$7:$B$500&amp;", ")),--('Hoạt động (Đơn của tôi)'!$AT$7:$AT$500="N/A"))+SUMPRODUCT(--ISNUMBER(SEARCH(", "&amp;$B19&amp;", ",", "&amp;'Ghép nối'!$B$7:$B$500&amp;", ")),--('Ghép nối'!$AT$7:$AT$500="N/A"))+SUMPRODUCT(--ISNUMBER(SEARCH(", "&amp;$B19&amp;", ",", "&amp;'Huỷ đơn - Huỷ nhận đơn'!$B$7:$B$500&amp;", ")),--('Huỷ đơn - Huỷ nhận đơn'!$AT$7:$AT$500="N/A"))+SUMPRODUCT(--ISNUMBER(SEARCH(", "&amp;$B19&amp;", ",", "&amp;'Giao nhận &amp; Theo dõi đơn'!$B$7:$B$500&amp;", ")),--('Giao nhận &amp; Theo dõi đơn'!$AT$7:$AT$500="N/A"))+SUMPRODUCT(--ISNUMBER(SEARCH(", "&amp;$B19&amp;", ",", "&amp;'Bảng tin &amp; Chi tiết tin'!$B$7:$B$500&amp;", ")),--('Bảng tin &amp; Chi tiết tin'!$AT$7:$AT$500="N/A"))+SUMPRODUCT(--ISNUMBER(SEARCH(", "&amp;$B19&amp;", ",", "&amp;'Quà cảm ơn'!$B$7:$B$500&amp;", ")),--('Quà cảm ơn'!$AT$7:$AT$500="N/A"))+SUMPRODUCT(--ISNUMBER(SEARCH(", "&amp;$B19&amp;", ",", "&amp;'Trang chủ'!$B$7:$B$500&amp;", ")),--('Trang chủ'!$AT$7:$AT$500="N/A"))+SUMPRODUCT(--ISNUMBER(SEARCH(", "&amp;$B19&amp;", ",", "&amp;'Thông báo'!$B$7:$B$500&amp;", ")),--('Thông báo'!$AT$7:$AT$500="N/A"))+SUMPRODUCT(--ISNUMBER(SEARCH(", "&amp;$B19&amp;", ",", "&amp;'Đăng tin &amp; Quản lý tin'!$B$7:$B$500&amp;", ")),--('Đăng tin &amp; Quản lý tin'!$AT$7:$AT$500="N/A"))+SUMPRODUCT(--ISNUMBER(SEARCH(", "&amp;$B19&amp;", ",", "&amp;'Trust &amp; Safety'!$B$7:$B$500&amp;", ")),--('Trust &amp; Safety'!$AT$7:$AT$500="N/A"))+SUMPRODUCT(--ISNUMBER(SEARCH(", "&amp;$B19&amp;", ",", "&amp;'Tài khoản &amp; Hồ sơ'!$B$7:$B$500&amp;", ")),--('Tài khoản &amp; Hồ sơ'!$AT$7:$AT$500="N/A"))</f>
        <v>0</v>
      </c>
      <c r="K19" s="52" t="n">
        <f aca="false">IFERROR(F19/E19,0)</f>
        <v>0</v>
      </c>
      <c r="L19" s="123" t="str">
        <f aca="false">IF(E19=0,"Chưa có TC (gap)",IF(H19&gt;0,"Có lỗi (Fail)",IF(I19&gt;0,"Bị block",IF(F19&lt;E19,"Đang test",IF(G19=0,"Không áp dụng (N/A)","Đã test xong")))))</f>
        <v>Đang test</v>
      </c>
      <c r="AB19" s="1" t="s">
        <v>420</v>
      </c>
    </row>
    <row r="20" customFormat="false" ht="45.75" hidden="false" customHeight="true" outlineLevel="0" collapsed="false">
      <c r="B20" s="175" t="s">
        <v>462</v>
      </c>
      <c r="C20" s="176" t="s">
        <v>463</v>
      </c>
      <c r="D20" s="123" t="s">
        <v>464</v>
      </c>
      <c r="E20" s="51" t="n">
        <f aca="false">SUMPRODUCT(--ISNUMBER(SEARCH(", "&amp;$B20&amp;", ",", "&amp;'Hoạt động (Đơn của tôi)'!$B$7:$B$500&amp;", ")))+SUMPRODUCT(--ISNUMBER(SEARCH(", "&amp;$B20&amp;", ",", "&amp;'Ghép nối'!$B$7:$B$500&amp;", ")))+SUMPRODUCT(--ISNUMBER(SEARCH(", "&amp;$B20&amp;", ",", "&amp;'Huỷ đơn - Huỷ nhận đơn'!$B$7:$B$500&amp;", ")))+SUMPRODUCT(--ISNUMBER(SEARCH(", "&amp;$B20&amp;", ",", "&amp;'Giao nhận &amp; Theo dõi đơn'!$B$7:$B$500&amp;", ")))+SUMPRODUCT(--ISNUMBER(SEARCH(", "&amp;$B20&amp;", ",", "&amp;'Bảng tin &amp; Chi tiết tin'!$B$7:$B$500&amp;", ")))+SUMPRODUCT(--ISNUMBER(SEARCH(", "&amp;$B20&amp;", ",", "&amp;'Quà cảm ơn'!$B$7:$B$500&amp;", ")))+SUMPRODUCT(--ISNUMBER(SEARCH(", "&amp;$B20&amp;", ",", "&amp;'Trang chủ'!$B$7:$B$500&amp;", ")))+SUMPRODUCT(--ISNUMBER(SEARCH(", "&amp;$B20&amp;", ",", "&amp;'Thông báo'!$B$7:$B$500&amp;", ")))+SUMPRODUCT(--ISNUMBER(SEARCH(", "&amp;$B20&amp;", ",", "&amp;'Đăng tin &amp; Quản lý tin'!$B$7:$B$500&amp;", ")))+SUMPRODUCT(--ISNUMBER(SEARCH(", "&amp;$B20&amp;", ",", "&amp;'Trust &amp; Safety'!$B$7:$B$500&amp;", ")))+SUMPRODUCT(--ISNUMBER(SEARCH(", "&amp;$B20&amp;", ",", "&amp;'Tài khoản &amp; Hồ sơ'!$B$7:$B$500&amp;", ")))</f>
        <v>3</v>
      </c>
      <c r="F20" s="51" t="n">
        <f aca="false">SUMPRODUCT(--ISNUMBER(SEARCH(", "&amp;$B20&amp;", ",", "&amp;'Hoạt động (Đơn của tôi)'!$B$7:$B$500&amp;", ")),--('Hoạt động (Đơn của tôi)'!$AT$7:$AT$500&lt;&gt;""))+SUMPRODUCT(--ISNUMBER(SEARCH(", "&amp;$B20&amp;", ",", "&amp;'Ghép nối'!$B$7:$B$500&amp;", ")),--('Ghép nối'!$AT$7:$AT$500&lt;&gt;""))+SUMPRODUCT(--ISNUMBER(SEARCH(", "&amp;$B20&amp;", ",", "&amp;'Huỷ đơn - Huỷ nhận đơn'!$B$7:$B$500&amp;", ")),--('Huỷ đơn - Huỷ nhận đơn'!$AT$7:$AT$500&lt;&gt;""))+SUMPRODUCT(--ISNUMBER(SEARCH(", "&amp;$B20&amp;", ",", "&amp;'Giao nhận &amp; Theo dõi đơn'!$B$7:$B$500&amp;", ")),--('Giao nhận &amp; Theo dõi đơn'!$AT$7:$AT$500&lt;&gt;""))+SUMPRODUCT(--ISNUMBER(SEARCH(", "&amp;$B20&amp;", ",", "&amp;'Bảng tin &amp; Chi tiết tin'!$B$7:$B$500&amp;", ")),--('Bảng tin &amp; Chi tiết tin'!$AT$7:$AT$500&lt;&gt;""))+SUMPRODUCT(--ISNUMBER(SEARCH(", "&amp;$B20&amp;", ",", "&amp;'Quà cảm ơn'!$B$7:$B$500&amp;", ")),--('Quà cảm ơn'!$AT$7:$AT$500&lt;&gt;""))+SUMPRODUCT(--ISNUMBER(SEARCH(", "&amp;$B20&amp;", ",", "&amp;'Trang chủ'!$B$7:$B$500&amp;", ")),--('Trang chủ'!$AT$7:$AT$500&lt;&gt;""))+SUMPRODUCT(--ISNUMBER(SEARCH(", "&amp;$B20&amp;", ",", "&amp;'Thông báo'!$B$7:$B$500&amp;", ")),--('Thông báo'!$AT$7:$AT$500&lt;&gt;""))+SUMPRODUCT(--ISNUMBER(SEARCH(", "&amp;$B20&amp;", ",", "&amp;'Đăng tin &amp; Quản lý tin'!$B$7:$B$500&amp;", ")),--('Đăng tin &amp; Quản lý tin'!$AT$7:$AT$500&lt;&gt;""))+SUMPRODUCT(--ISNUMBER(SEARCH(", "&amp;$B20&amp;", ",", "&amp;'Trust &amp; Safety'!$B$7:$B$500&amp;", ")),--('Trust &amp; Safety'!$AT$7:$AT$500&lt;&gt;""))+SUMPRODUCT(--ISNUMBER(SEARCH(", "&amp;$B20&amp;", ",", "&amp;'Tài khoản &amp; Hồ sơ'!$B$7:$B$500&amp;", ")),--('Tài khoản &amp; Hồ sơ'!$AT$7:$AT$500&lt;&gt;""))</f>
        <v>0</v>
      </c>
      <c r="G20" s="51" t="n">
        <f aca="false">SUMPRODUCT(--ISNUMBER(SEARCH(", "&amp;$B20&amp;", ",", "&amp;'Hoạt động (Đơn của tôi)'!$B$7:$B$500&amp;", ")),--('Hoạt động (Đơn của tôi)'!$AT$7:$AT$500="Pass"))+SUMPRODUCT(--ISNUMBER(SEARCH(", "&amp;$B20&amp;", ",", "&amp;'Ghép nối'!$B$7:$B$500&amp;", ")),--('Ghép nối'!$AT$7:$AT$500="Pass"))+SUMPRODUCT(--ISNUMBER(SEARCH(", "&amp;$B20&amp;", ",", "&amp;'Huỷ đơn - Huỷ nhận đơn'!$B$7:$B$500&amp;", ")),--('Huỷ đơn - Huỷ nhận đơn'!$AT$7:$AT$500="Pass"))+SUMPRODUCT(--ISNUMBER(SEARCH(", "&amp;$B20&amp;", ",", "&amp;'Giao nhận &amp; Theo dõi đơn'!$B$7:$B$500&amp;", ")),--('Giao nhận &amp; Theo dõi đơn'!$AT$7:$AT$500="Pass"))+SUMPRODUCT(--ISNUMBER(SEARCH(", "&amp;$B20&amp;", ",", "&amp;'Bảng tin &amp; Chi tiết tin'!$B$7:$B$500&amp;", ")),--('Bảng tin &amp; Chi tiết tin'!$AT$7:$AT$500="Pass"))+SUMPRODUCT(--ISNUMBER(SEARCH(", "&amp;$B20&amp;", ",", "&amp;'Quà cảm ơn'!$B$7:$B$500&amp;", ")),--('Quà cảm ơn'!$AT$7:$AT$500="Pass"))+SUMPRODUCT(--ISNUMBER(SEARCH(", "&amp;$B20&amp;", ",", "&amp;'Trang chủ'!$B$7:$B$500&amp;", ")),--('Trang chủ'!$AT$7:$AT$500="Pass"))+SUMPRODUCT(--ISNUMBER(SEARCH(", "&amp;$B20&amp;", ",", "&amp;'Thông báo'!$B$7:$B$500&amp;", ")),--('Thông báo'!$AT$7:$AT$500="Pass"))+SUMPRODUCT(--ISNUMBER(SEARCH(", "&amp;$B20&amp;", ",", "&amp;'Đăng tin &amp; Quản lý tin'!$B$7:$B$500&amp;", ")),--('Đăng tin &amp; Quản lý tin'!$AT$7:$AT$500="Pass"))+SUMPRODUCT(--ISNUMBER(SEARCH(", "&amp;$B20&amp;", ",", "&amp;'Trust &amp; Safety'!$B$7:$B$500&amp;", ")),--('Trust &amp; Safety'!$AT$7:$AT$500="Pass"))+SUMPRODUCT(--ISNUMBER(SEARCH(", "&amp;$B20&amp;", ",", "&amp;'Tài khoản &amp; Hồ sơ'!$B$7:$B$500&amp;", ")),--('Tài khoản &amp; Hồ sơ'!$AT$7:$AT$500="Pass"))</f>
        <v>0</v>
      </c>
      <c r="H20" s="51" t="n">
        <f aca="false">SUMPRODUCT(--ISNUMBER(SEARCH(", "&amp;$B20&amp;", ",", "&amp;'Hoạt động (Đơn của tôi)'!$B$7:$B$500&amp;", ")),--('Hoạt động (Đơn của tôi)'!$AT$7:$AT$500="Fail"))+SUMPRODUCT(--ISNUMBER(SEARCH(", "&amp;$B20&amp;", ",", "&amp;'Ghép nối'!$B$7:$B$500&amp;", ")),--('Ghép nối'!$AT$7:$AT$500="Fail"))+SUMPRODUCT(--ISNUMBER(SEARCH(", "&amp;$B20&amp;", ",", "&amp;'Huỷ đơn - Huỷ nhận đơn'!$B$7:$B$500&amp;", ")),--('Huỷ đơn - Huỷ nhận đơn'!$AT$7:$AT$500="Fail"))+SUMPRODUCT(--ISNUMBER(SEARCH(", "&amp;$B20&amp;", ",", "&amp;'Giao nhận &amp; Theo dõi đơn'!$B$7:$B$500&amp;", ")),--('Giao nhận &amp; Theo dõi đơn'!$AT$7:$AT$500="Fail"))+SUMPRODUCT(--ISNUMBER(SEARCH(", "&amp;$B20&amp;", ",", "&amp;'Bảng tin &amp; Chi tiết tin'!$B$7:$B$500&amp;", ")),--('Bảng tin &amp; Chi tiết tin'!$AT$7:$AT$500="Fail"))+SUMPRODUCT(--ISNUMBER(SEARCH(", "&amp;$B20&amp;", ",", "&amp;'Quà cảm ơn'!$B$7:$B$500&amp;", ")),--('Quà cảm ơn'!$AT$7:$AT$500="Fail"))+SUMPRODUCT(--ISNUMBER(SEARCH(", "&amp;$B20&amp;", ",", "&amp;'Trang chủ'!$B$7:$B$500&amp;", ")),--('Trang chủ'!$AT$7:$AT$500="Fail"))+SUMPRODUCT(--ISNUMBER(SEARCH(", "&amp;$B20&amp;", ",", "&amp;'Thông báo'!$B$7:$B$500&amp;", ")),--('Thông báo'!$AT$7:$AT$500="Fail"))+SUMPRODUCT(--ISNUMBER(SEARCH(", "&amp;$B20&amp;", ",", "&amp;'Đăng tin &amp; Quản lý tin'!$B$7:$B$500&amp;", ")),--('Đăng tin &amp; Quản lý tin'!$AT$7:$AT$500="Fail"))+SUMPRODUCT(--ISNUMBER(SEARCH(", "&amp;$B20&amp;", ",", "&amp;'Trust &amp; Safety'!$B$7:$B$500&amp;", ")),--('Trust &amp; Safety'!$AT$7:$AT$500="Fail"))+SUMPRODUCT(--ISNUMBER(SEARCH(", "&amp;$B20&amp;", ",", "&amp;'Tài khoản &amp; Hồ sơ'!$B$7:$B$500&amp;", ")),--('Tài khoản &amp; Hồ sơ'!$AT$7:$AT$500="Fail"))</f>
        <v>0</v>
      </c>
      <c r="I20" s="51" t="n">
        <f aca="false">SUMPRODUCT(--ISNUMBER(SEARCH(", "&amp;$B20&amp;", ",", "&amp;'Hoạt động (Đơn của tôi)'!$B$7:$B$500&amp;", ")),--('Hoạt động (Đơn của tôi)'!$AT$7:$AT$500="Block"))+SUMPRODUCT(--ISNUMBER(SEARCH(", "&amp;$B20&amp;", ",", "&amp;'Ghép nối'!$B$7:$B$500&amp;", ")),--('Ghép nối'!$AT$7:$AT$500="Block"))+SUMPRODUCT(--ISNUMBER(SEARCH(", "&amp;$B20&amp;", ",", "&amp;'Huỷ đơn - Huỷ nhận đơn'!$B$7:$B$500&amp;", ")),--('Huỷ đơn - Huỷ nhận đơn'!$AT$7:$AT$500="Block"))+SUMPRODUCT(--ISNUMBER(SEARCH(", "&amp;$B20&amp;", ",", "&amp;'Giao nhận &amp; Theo dõi đơn'!$B$7:$B$500&amp;", ")),--('Giao nhận &amp; Theo dõi đơn'!$AT$7:$AT$500="Block"))+SUMPRODUCT(--ISNUMBER(SEARCH(", "&amp;$B20&amp;", ",", "&amp;'Bảng tin &amp; Chi tiết tin'!$B$7:$B$500&amp;", ")),--('Bảng tin &amp; Chi tiết tin'!$AT$7:$AT$500="Block"))+SUMPRODUCT(--ISNUMBER(SEARCH(", "&amp;$B20&amp;", ",", "&amp;'Quà cảm ơn'!$B$7:$B$500&amp;", ")),--('Quà cảm ơn'!$AT$7:$AT$500="Block"))+SUMPRODUCT(--ISNUMBER(SEARCH(", "&amp;$B20&amp;", ",", "&amp;'Trang chủ'!$B$7:$B$500&amp;", ")),--('Trang chủ'!$AT$7:$AT$500="Block"))+SUMPRODUCT(--ISNUMBER(SEARCH(", "&amp;$B20&amp;", ",", "&amp;'Thông báo'!$B$7:$B$500&amp;", ")),--('Thông báo'!$AT$7:$AT$500="Block"))+SUMPRODUCT(--ISNUMBER(SEARCH(", "&amp;$B20&amp;", ",", "&amp;'Đăng tin &amp; Quản lý tin'!$B$7:$B$500&amp;", ")),--('Đăng tin &amp; Quản lý tin'!$AT$7:$AT$500="Block"))+SUMPRODUCT(--ISNUMBER(SEARCH(", "&amp;$B20&amp;", ",", "&amp;'Trust &amp; Safety'!$B$7:$B$500&amp;", ")),--('Trust &amp; Safety'!$AT$7:$AT$500="Block"))+SUMPRODUCT(--ISNUMBER(SEARCH(", "&amp;$B20&amp;", ",", "&amp;'Tài khoản &amp; Hồ sơ'!$B$7:$B$500&amp;", ")),--('Tài khoản &amp; Hồ sơ'!$AT$7:$AT$500="Block"))</f>
        <v>0</v>
      </c>
      <c r="J20" s="51" t="n">
        <f aca="false">SUMPRODUCT(--ISNUMBER(SEARCH(", "&amp;$B20&amp;", ",", "&amp;'Hoạt động (Đơn của tôi)'!$B$7:$B$500&amp;", ")),--('Hoạt động (Đơn của tôi)'!$AT$7:$AT$500="N/A"))+SUMPRODUCT(--ISNUMBER(SEARCH(", "&amp;$B20&amp;", ",", "&amp;'Ghép nối'!$B$7:$B$500&amp;", ")),--('Ghép nối'!$AT$7:$AT$500="N/A"))+SUMPRODUCT(--ISNUMBER(SEARCH(", "&amp;$B20&amp;", ",", "&amp;'Huỷ đơn - Huỷ nhận đơn'!$B$7:$B$500&amp;", ")),--('Huỷ đơn - Huỷ nhận đơn'!$AT$7:$AT$500="N/A"))+SUMPRODUCT(--ISNUMBER(SEARCH(", "&amp;$B20&amp;", ",", "&amp;'Giao nhận &amp; Theo dõi đơn'!$B$7:$B$500&amp;", ")),--('Giao nhận &amp; Theo dõi đơn'!$AT$7:$AT$500="N/A"))+SUMPRODUCT(--ISNUMBER(SEARCH(", "&amp;$B20&amp;", ",", "&amp;'Bảng tin &amp; Chi tiết tin'!$B$7:$B$500&amp;", ")),--('Bảng tin &amp; Chi tiết tin'!$AT$7:$AT$500="N/A"))+SUMPRODUCT(--ISNUMBER(SEARCH(", "&amp;$B20&amp;", ",", "&amp;'Quà cảm ơn'!$B$7:$B$500&amp;", ")),--('Quà cảm ơn'!$AT$7:$AT$500="N/A"))+SUMPRODUCT(--ISNUMBER(SEARCH(", "&amp;$B20&amp;", ",", "&amp;'Trang chủ'!$B$7:$B$500&amp;", ")),--('Trang chủ'!$AT$7:$AT$500="N/A"))+SUMPRODUCT(--ISNUMBER(SEARCH(", "&amp;$B20&amp;", ",", "&amp;'Thông báo'!$B$7:$B$500&amp;", ")),--('Thông báo'!$AT$7:$AT$500="N/A"))+SUMPRODUCT(--ISNUMBER(SEARCH(", "&amp;$B20&amp;", ",", "&amp;'Đăng tin &amp; Quản lý tin'!$B$7:$B$500&amp;", ")),--('Đăng tin &amp; Quản lý tin'!$AT$7:$AT$500="N/A"))+SUMPRODUCT(--ISNUMBER(SEARCH(", "&amp;$B20&amp;", ",", "&amp;'Trust &amp; Safety'!$B$7:$B$500&amp;", ")),--('Trust &amp; Safety'!$AT$7:$AT$500="N/A"))+SUMPRODUCT(--ISNUMBER(SEARCH(", "&amp;$B20&amp;", ",", "&amp;'Tài khoản &amp; Hồ sơ'!$B$7:$B$500&amp;", ")),--('Tài khoản &amp; Hồ sơ'!$AT$7:$AT$500="N/A"))</f>
        <v>0</v>
      </c>
      <c r="K20" s="52" t="n">
        <f aca="false">IFERROR(F20/E20,0)</f>
        <v>0</v>
      </c>
      <c r="L20" s="123" t="str">
        <f aca="false">IF(E20=0,"Chưa có TC (gap)",IF(H20&gt;0,"Có lỗi (Fail)",IF(I20&gt;0,"Bị block",IF(F20&lt;E20,"Đang test",IF(G20=0,"Không áp dụng (N/A)","Đã test xong")))))</f>
        <v>Đang test</v>
      </c>
      <c r="AB20" s="1" t="s">
        <v>420</v>
      </c>
    </row>
    <row r="21" customFormat="false" ht="15.75" hidden="false" customHeight="true" outlineLevel="0" collapsed="false">
      <c r="B21" s="175" t="s">
        <v>465</v>
      </c>
      <c r="C21" s="176" t="s">
        <v>466</v>
      </c>
      <c r="D21" s="123" t="s">
        <v>467</v>
      </c>
      <c r="E21" s="51" t="n">
        <f aca="false">SUMPRODUCT(--ISNUMBER(SEARCH(", "&amp;$B21&amp;", ",", "&amp;'Hoạt động (Đơn của tôi)'!$B$7:$B$500&amp;", ")))+SUMPRODUCT(--ISNUMBER(SEARCH(", "&amp;$B21&amp;", ",", "&amp;'Ghép nối'!$B$7:$B$500&amp;", ")))+SUMPRODUCT(--ISNUMBER(SEARCH(", "&amp;$B21&amp;", ",", "&amp;'Huỷ đơn - Huỷ nhận đơn'!$B$7:$B$500&amp;", ")))+SUMPRODUCT(--ISNUMBER(SEARCH(", "&amp;$B21&amp;", ",", "&amp;'Giao nhận &amp; Theo dõi đơn'!$B$7:$B$500&amp;", ")))+SUMPRODUCT(--ISNUMBER(SEARCH(", "&amp;$B21&amp;", ",", "&amp;'Bảng tin &amp; Chi tiết tin'!$B$7:$B$500&amp;", ")))+SUMPRODUCT(--ISNUMBER(SEARCH(", "&amp;$B21&amp;", ",", "&amp;'Quà cảm ơn'!$B$7:$B$500&amp;", ")))+SUMPRODUCT(--ISNUMBER(SEARCH(", "&amp;$B21&amp;", ",", "&amp;'Trang chủ'!$B$7:$B$500&amp;", ")))+SUMPRODUCT(--ISNUMBER(SEARCH(", "&amp;$B21&amp;", ",", "&amp;'Thông báo'!$B$7:$B$500&amp;", ")))+SUMPRODUCT(--ISNUMBER(SEARCH(", "&amp;$B21&amp;", ",", "&amp;'Đăng tin &amp; Quản lý tin'!$B$7:$B$500&amp;", ")))+SUMPRODUCT(--ISNUMBER(SEARCH(", "&amp;$B21&amp;", ",", "&amp;'Trust &amp; Safety'!$B$7:$B$500&amp;", ")))+SUMPRODUCT(--ISNUMBER(SEARCH(", "&amp;$B21&amp;", ",", "&amp;'Tài khoản &amp; Hồ sơ'!$B$7:$B$500&amp;", ")))</f>
        <v>2</v>
      </c>
      <c r="F21" s="51" t="n">
        <f aca="false">SUMPRODUCT(--ISNUMBER(SEARCH(", "&amp;$B21&amp;", ",", "&amp;'Hoạt động (Đơn của tôi)'!$B$7:$B$500&amp;", ")),--('Hoạt động (Đơn của tôi)'!$AT$7:$AT$500&lt;&gt;""))+SUMPRODUCT(--ISNUMBER(SEARCH(", "&amp;$B21&amp;", ",", "&amp;'Ghép nối'!$B$7:$B$500&amp;", ")),--('Ghép nối'!$AT$7:$AT$500&lt;&gt;""))+SUMPRODUCT(--ISNUMBER(SEARCH(", "&amp;$B21&amp;", ",", "&amp;'Huỷ đơn - Huỷ nhận đơn'!$B$7:$B$500&amp;", ")),--('Huỷ đơn - Huỷ nhận đơn'!$AT$7:$AT$500&lt;&gt;""))+SUMPRODUCT(--ISNUMBER(SEARCH(", "&amp;$B21&amp;", ",", "&amp;'Giao nhận &amp; Theo dõi đơn'!$B$7:$B$500&amp;", ")),--('Giao nhận &amp; Theo dõi đơn'!$AT$7:$AT$500&lt;&gt;""))+SUMPRODUCT(--ISNUMBER(SEARCH(", "&amp;$B21&amp;", ",", "&amp;'Bảng tin &amp; Chi tiết tin'!$B$7:$B$500&amp;", ")),--('Bảng tin &amp; Chi tiết tin'!$AT$7:$AT$500&lt;&gt;""))+SUMPRODUCT(--ISNUMBER(SEARCH(", "&amp;$B21&amp;", ",", "&amp;'Quà cảm ơn'!$B$7:$B$500&amp;", ")),--('Quà cảm ơn'!$AT$7:$AT$500&lt;&gt;""))+SUMPRODUCT(--ISNUMBER(SEARCH(", "&amp;$B21&amp;", ",", "&amp;'Trang chủ'!$B$7:$B$500&amp;", ")),--('Trang chủ'!$AT$7:$AT$500&lt;&gt;""))+SUMPRODUCT(--ISNUMBER(SEARCH(", "&amp;$B21&amp;", ",", "&amp;'Thông báo'!$B$7:$B$500&amp;", ")),--('Thông báo'!$AT$7:$AT$500&lt;&gt;""))+SUMPRODUCT(--ISNUMBER(SEARCH(", "&amp;$B21&amp;", ",", "&amp;'Đăng tin &amp; Quản lý tin'!$B$7:$B$500&amp;", ")),--('Đăng tin &amp; Quản lý tin'!$AT$7:$AT$500&lt;&gt;""))+SUMPRODUCT(--ISNUMBER(SEARCH(", "&amp;$B21&amp;", ",", "&amp;'Trust &amp; Safety'!$B$7:$B$500&amp;", ")),--('Trust &amp; Safety'!$AT$7:$AT$500&lt;&gt;""))+SUMPRODUCT(--ISNUMBER(SEARCH(", "&amp;$B21&amp;", ",", "&amp;'Tài khoản &amp; Hồ sơ'!$B$7:$B$500&amp;", ")),--('Tài khoản &amp; Hồ sơ'!$AT$7:$AT$500&lt;&gt;""))</f>
        <v>0</v>
      </c>
      <c r="G21" s="51" t="n">
        <f aca="false">SUMPRODUCT(--ISNUMBER(SEARCH(", "&amp;$B21&amp;", ",", "&amp;'Hoạt động (Đơn của tôi)'!$B$7:$B$500&amp;", ")),--('Hoạt động (Đơn của tôi)'!$AT$7:$AT$500="Pass"))+SUMPRODUCT(--ISNUMBER(SEARCH(", "&amp;$B21&amp;", ",", "&amp;'Ghép nối'!$B$7:$B$500&amp;", ")),--('Ghép nối'!$AT$7:$AT$500="Pass"))+SUMPRODUCT(--ISNUMBER(SEARCH(", "&amp;$B21&amp;", ",", "&amp;'Huỷ đơn - Huỷ nhận đơn'!$B$7:$B$500&amp;", ")),--('Huỷ đơn - Huỷ nhận đơn'!$AT$7:$AT$500="Pass"))+SUMPRODUCT(--ISNUMBER(SEARCH(", "&amp;$B21&amp;", ",", "&amp;'Giao nhận &amp; Theo dõi đơn'!$B$7:$B$500&amp;", ")),--('Giao nhận &amp; Theo dõi đơn'!$AT$7:$AT$500="Pass"))+SUMPRODUCT(--ISNUMBER(SEARCH(", "&amp;$B21&amp;", ",", "&amp;'Bảng tin &amp; Chi tiết tin'!$B$7:$B$500&amp;", ")),--('Bảng tin &amp; Chi tiết tin'!$AT$7:$AT$500="Pass"))+SUMPRODUCT(--ISNUMBER(SEARCH(", "&amp;$B21&amp;", ",", "&amp;'Quà cảm ơn'!$B$7:$B$500&amp;", ")),--('Quà cảm ơn'!$AT$7:$AT$500="Pass"))+SUMPRODUCT(--ISNUMBER(SEARCH(", "&amp;$B21&amp;", ",", "&amp;'Trang chủ'!$B$7:$B$500&amp;", ")),--('Trang chủ'!$AT$7:$AT$500="Pass"))+SUMPRODUCT(--ISNUMBER(SEARCH(", "&amp;$B21&amp;", ",", "&amp;'Thông báo'!$B$7:$B$500&amp;", ")),--('Thông báo'!$AT$7:$AT$500="Pass"))+SUMPRODUCT(--ISNUMBER(SEARCH(", "&amp;$B21&amp;", ",", "&amp;'Đăng tin &amp; Quản lý tin'!$B$7:$B$500&amp;", ")),--('Đăng tin &amp; Quản lý tin'!$AT$7:$AT$500="Pass"))+SUMPRODUCT(--ISNUMBER(SEARCH(", "&amp;$B21&amp;", ",", "&amp;'Trust &amp; Safety'!$B$7:$B$500&amp;", ")),--('Trust &amp; Safety'!$AT$7:$AT$500="Pass"))+SUMPRODUCT(--ISNUMBER(SEARCH(", "&amp;$B21&amp;", ",", "&amp;'Tài khoản &amp; Hồ sơ'!$B$7:$B$500&amp;", ")),--('Tài khoản &amp; Hồ sơ'!$AT$7:$AT$500="Pass"))</f>
        <v>0</v>
      </c>
      <c r="H21" s="51" t="n">
        <f aca="false">SUMPRODUCT(--ISNUMBER(SEARCH(", "&amp;$B21&amp;", ",", "&amp;'Hoạt động (Đơn của tôi)'!$B$7:$B$500&amp;", ")),--('Hoạt động (Đơn của tôi)'!$AT$7:$AT$500="Fail"))+SUMPRODUCT(--ISNUMBER(SEARCH(", "&amp;$B21&amp;", ",", "&amp;'Ghép nối'!$B$7:$B$500&amp;", ")),--('Ghép nối'!$AT$7:$AT$500="Fail"))+SUMPRODUCT(--ISNUMBER(SEARCH(", "&amp;$B21&amp;", ",", "&amp;'Huỷ đơn - Huỷ nhận đơn'!$B$7:$B$500&amp;", ")),--('Huỷ đơn - Huỷ nhận đơn'!$AT$7:$AT$500="Fail"))+SUMPRODUCT(--ISNUMBER(SEARCH(", "&amp;$B21&amp;", ",", "&amp;'Giao nhận &amp; Theo dõi đơn'!$B$7:$B$500&amp;", ")),--('Giao nhận &amp; Theo dõi đơn'!$AT$7:$AT$500="Fail"))+SUMPRODUCT(--ISNUMBER(SEARCH(", "&amp;$B21&amp;", ",", "&amp;'Bảng tin &amp; Chi tiết tin'!$B$7:$B$500&amp;", ")),--('Bảng tin &amp; Chi tiết tin'!$AT$7:$AT$500="Fail"))+SUMPRODUCT(--ISNUMBER(SEARCH(", "&amp;$B21&amp;", ",", "&amp;'Quà cảm ơn'!$B$7:$B$500&amp;", ")),--('Quà cảm ơn'!$AT$7:$AT$500="Fail"))+SUMPRODUCT(--ISNUMBER(SEARCH(", "&amp;$B21&amp;", ",", "&amp;'Trang chủ'!$B$7:$B$500&amp;", ")),--('Trang chủ'!$AT$7:$AT$500="Fail"))+SUMPRODUCT(--ISNUMBER(SEARCH(", "&amp;$B21&amp;", ",", "&amp;'Thông báo'!$B$7:$B$500&amp;", ")),--('Thông báo'!$AT$7:$AT$500="Fail"))+SUMPRODUCT(--ISNUMBER(SEARCH(", "&amp;$B21&amp;", ",", "&amp;'Đăng tin &amp; Quản lý tin'!$B$7:$B$500&amp;", ")),--('Đăng tin &amp; Quản lý tin'!$AT$7:$AT$500="Fail"))+SUMPRODUCT(--ISNUMBER(SEARCH(", "&amp;$B21&amp;", ",", "&amp;'Trust &amp; Safety'!$B$7:$B$500&amp;", ")),--('Trust &amp; Safety'!$AT$7:$AT$500="Fail"))+SUMPRODUCT(--ISNUMBER(SEARCH(", "&amp;$B21&amp;", ",", "&amp;'Tài khoản &amp; Hồ sơ'!$B$7:$B$500&amp;", ")),--('Tài khoản &amp; Hồ sơ'!$AT$7:$AT$500="Fail"))</f>
        <v>0</v>
      </c>
      <c r="I21" s="51" t="n">
        <f aca="false">SUMPRODUCT(--ISNUMBER(SEARCH(", "&amp;$B21&amp;", ",", "&amp;'Hoạt động (Đơn của tôi)'!$B$7:$B$500&amp;", ")),--('Hoạt động (Đơn của tôi)'!$AT$7:$AT$500="Block"))+SUMPRODUCT(--ISNUMBER(SEARCH(", "&amp;$B21&amp;", ",", "&amp;'Ghép nối'!$B$7:$B$500&amp;", ")),--('Ghép nối'!$AT$7:$AT$500="Block"))+SUMPRODUCT(--ISNUMBER(SEARCH(", "&amp;$B21&amp;", ",", "&amp;'Huỷ đơn - Huỷ nhận đơn'!$B$7:$B$500&amp;", ")),--('Huỷ đơn - Huỷ nhận đơn'!$AT$7:$AT$500="Block"))+SUMPRODUCT(--ISNUMBER(SEARCH(", "&amp;$B21&amp;", ",", "&amp;'Giao nhận &amp; Theo dõi đơn'!$B$7:$B$500&amp;", ")),--('Giao nhận &amp; Theo dõi đơn'!$AT$7:$AT$500="Block"))+SUMPRODUCT(--ISNUMBER(SEARCH(", "&amp;$B21&amp;", ",", "&amp;'Bảng tin &amp; Chi tiết tin'!$B$7:$B$500&amp;", ")),--('Bảng tin &amp; Chi tiết tin'!$AT$7:$AT$500="Block"))+SUMPRODUCT(--ISNUMBER(SEARCH(", "&amp;$B21&amp;", ",", "&amp;'Quà cảm ơn'!$B$7:$B$500&amp;", ")),--('Quà cảm ơn'!$AT$7:$AT$500="Block"))+SUMPRODUCT(--ISNUMBER(SEARCH(", "&amp;$B21&amp;", ",", "&amp;'Trang chủ'!$B$7:$B$500&amp;", ")),--('Trang chủ'!$AT$7:$AT$500="Block"))+SUMPRODUCT(--ISNUMBER(SEARCH(", "&amp;$B21&amp;", ",", "&amp;'Thông báo'!$B$7:$B$500&amp;", ")),--('Thông báo'!$AT$7:$AT$500="Block"))+SUMPRODUCT(--ISNUMBER(SEARCH(", "&amp;$B21&amp;", ",", "&amp;'Đăng tin &amp; Quản lý tin'!$B$7:$B$500&amp;", ")),--('Đăng tin &amp; Quản lý tin'!$AT$7:$AT$500="Block"))+SUMPRODUCT(--ISNUMBER(SEARCH(", "&amp;$B21&amp;", ",", "&amp;'Trust &amp; Safety'!$B$7:$B$500&amp;", ")),--('Trust &amp; Safety'!$AT$7:$AT$500="Block"))+SUMPRODUCT(--ISNUMBER(SEARCH(", "&amp;$B21&amp;", ",", "&amp;'Tài khoản &amp; Hồ sơ'!$B$7:$B$500&amp;", ")),--('Tài khoản &amp; Hồ sơ'!$AT$7:$AT$500="Block"))</f>
        <v>0</v>
      </c>
      <c r="J21" s="51" t="n">
        <f aca="false">SUMPRODUCT(--ISNUMBER(SEARCH(", "&amp;$B21&amp;", ",", "&amp;'Hoạt động (Đơn của tôi)'!$B$7:$B$500&amp;", ")),--('Hoạt động (Đơn của tôi)'!$AT$7:$AT$500="N/A"))+SUMPRODUCT(--ISNUMBER(SEARCH(", "&amp;$B21&amp;", ",", "&amp;'Ghép nối'!$B$7:$B$500&amp;", ")),--('Ghép nối'!$AT$7:$AT$500="N/A"))+SUMPRODUCT(--ISNUMBER(SEARCH(", "&amp;$B21&amp;", ",", "&amp;'Huỷ đơn - Huỷ nhận đơn'!$B$7:$B$500&amp;", ")),--('Huỷ đơn - Huỷ nhận đơn'!$AT$7:$AT$500="N/A"))+SUMPRODUCT(--ISNUMBER(SEARCH(", "&amp;$B21&amp;", ",", "&amp;'Giao nhận &amp; Theo dõi đơn'!$B$7:$B$500&amp;", ")),--('Giao nhận &amp; Theo dõi đơn'!$AT$7:$AT$500="N/A"))+SUMPRODUCT(--ISNUMBER(SEARCH(", "&amp;$B21&amp;", ",", "&amp;'Bảng tin &amp; Chi tiết tin'!$B$7:$B$500&amp;", ")),--('Bảng tin &amp; Chi tiết tin'!$AT$7:$AT$500="N/A"))+SUMPRODUCT(--ISNUMBER(SEARCH(", "&amp;$B21&amp;", ",", "&amp;'Quà cảm ơn'!$B$7:$B$500&amp;", ")),--('Quà cảm ơn'!$AT$7:$AT$500="N/A"))+SUMPRODUCT(--ISNUMBER(SEARCH(", "&amp;$B21&amp;", ",", "&amp;'Trang chủ'!$B$7:$B$500&amp;", ")),--('Trang chủ'!$AT$7:$AT$500="N/A"))+SUMPRODUCT(--ISNUMBER(SEARCH(", "&amp;$B21&amp;", ",", "&amp;'Thông báo'!$B$7:$B$500&amp;", ")),--('Thông báo'!$AT$7:$AT$500="N/A"))+SUMPRODUCT(--ISNUMBER(SEARCH(", "&amp;$B21&amp;", ",", "&amp;'Đăng tin &amp; Quản lý tin'!$B$7:$B$500&amp;", ")),--('Đăng tin &amp; Quản lý tin'!$AT$7:$AT$500="N/A"))+SUMPRODUCT(--ISNUMBER(SEARCH(", "&amp;$B21&amp;", ",", "&amp;'Trust &amp; Safety'!$B$7:$B$500&amp;", ")),--('Trust &amp; Safety'!$AT$7:$AT$500="N/A"))+SUMPRODUCT(--ISNUMBER(SEARCH(", "&amp;$B21&amp;", ",", "&amp;'Tài khoản &amp; Hồ sơ'!$B$7:$B$500&amp;", ")),--('Tài khoản &amp; Hồ sơ'!$AT$7:$AT$500="N/A"))</f>
        <v>0</v>
      </c>
      <c r="K21" s="52" t="n">
        <f aca="false">IFERROR(F21/E21,0)</f>
        <v>0</v>
      </c>
      <c r="L21" s="123" t="str">
        <f aca="false">IF(E21=0,"Chưa có TC (gap)",IF(H21&gt;0,"Có lỗi (Fail)",IF(I21&gt;0,"Bị block",IF(F21&lt;E21,"Đang test",IF(G21=0,"Không áp dụng (N/A)","Đã test xong")))))</f>
        <v>Đang test</v>
      </c>
      <c r="AB21" s="1" t="s">
        <v>420</v>
      </c>
    </row>
    <row r="22" customFormat="false" ht="15.75" hidden="false" customHeight="true" outlineLevel="0" collapsed="false">
      <c r="B22" s="175" t="s">
        <v>468</v>
      </c>
      <c r="C22" s="176" t="s">
        <v>469</v>
      </c>
      <c r="D22" s="123" t="s">
        <v>470</v>
      </c>
      <c r="E22" s="51" t="n">
        <f aca="false">SUMPRODUCT(--ISNUMBER(SEARCH(", "&amp;$B22&amp;", ",", "&amp;'Hoạt động (Đơn của tôi)'!$B$7:$B$500&amp;", ")))+SUMPRODUCT(--ISNUMBER(SEARCH(", "&amp;$B22&amp;", ",", "&amp;'Ghép nối'!$B$7:$B$500&amp;", ")))+SUMPRODUCT(--ISNUMBER(SEARCH(", "&amp;$B22&amp;", ",", "&amp;'Huỷ đơn - Huỷ nhận đơn'!$B$7:$B$500&amp;", ")))+SUMPRODUCT(--ISNUMBER(SEARCH(", "&amp;$B22&amp;", ",", "&amp;'Giao nhận &amp; Theo dõi đơn'!$B$7:$B$500&amp;", ")))+SUMPRODUCT(--ISNUMBER(SEARCH(", "&amp;$B22&amp;", ",", "&amp;'Bảng tin &amp; Chi tiết tin'!$B$7:$B$500&amp;", ")))+SUMPRODUCT(--ISNUMBER(SEARCH(", "&amp;$B22&amp;", ",", "&amp;'Quà cảm ơn'!$B$7:$B$500&amp;", ")))+SUMPRODUCT(--ISNUMBER(SEARCH(", "&amp;$B22&amp;", ",", "&amp;'Trang chủ'!$B$7:$B$500&amp;", ")))+SUMPRODUCT(--ISNUMBER(SEARCH(", "&amp;$B22&amp;", ",", "&amp;'Thông báo'!$B$7:$B$500&amp;", ")))+SUMPRODUCT(--ISNUMBER(SEARCH(", "&amp;$B22&amp;", ",", "&amp;'Đăng tin &amp; Quản lý tin'!$B$7:$B$500&amp;", ")))+SUMPRODUCT(--ISNUMBER(SEARCH(", "&amp;$B22&amp;", ",", "&amp;'Trust &amp; Safety'!$B$7:$B$500&amp;", ")))+SUMPRODUCT(--ISNUMBER(SEARCH(", "&amp;$B22&amp;", ",", "&amp;'Tài khoản &amp; Hồ sơ'!$B$7:$B$500&amp;", ")))</f>
        <v>4</v>
      </c>
      <c r="F22" s="51" t="n">
        <f aca="false">SUMPRODUCT(--ISNUMBER(SEARCH(", "&amp;$B22&amp;", ",", "&amp;'Hoạt động (Đơn của tôi)'!$B$7:$B$500&amp;", ")),--('Hoạt động (Đơn của tôi)'!$AT$7:$AT$500&lt;&gt;""))+SUMPRODUCT(--ISNUMBER(SEARCH(", "&amp;$B22&amp;", ",", "&amp;'Ghép nối'!$B$7:$B$500&amp;", ")),--('Ghép nối'!$AT$7:$AT$500&lt;&gt;""))+SUMPRODUCT(--ISNUMBER(SEARCH(", "&amp;$B22&amp;", ",", "&amp;'Huỷ đơn - Huỷ nhận đơn'!$B$7:$B$500&amp;", ")),--('Huỷ đơn - Huỷ nhận đơn'!$AT$7:$AT$500&lt;&gt;""))+SUMPRODUCT(--ISNUMBER(SEARCH(", "&amp;$B22&amp;", ",", "&amp;'Giao nhận &amp; Theo dõi đơn'!$B$7:$B$500&amp;", ")),--('Giao nhận &amp; Theo dõi đơn'!$AT$7:$AT$500&lt;&gt;""))+SUMPRODUCT(--ISNUMBER(SEARCH(", "&amp;$B22&amp;", ",", "&amp;'Bảng tin &amp; Chi tiết tin'!$B$7:$B$500&amp;", ")),--('Bảng tin &amp; Chi tiết tin'!$AT$7:$AT$500&lt;&gt;""))+SUMPRODUCT(--ISNUMBER(SEARCH(", "&amp;$B22&amp;", ",", "&amp;'Quà cảm ơn'!$B$7:$B$500&amp;", ")),--('Quà cảm ơn'!$AT$7:$AT$500&lt;&gt;""))+SUMPRODUCT(--ISNUMBER(SEARCH(", "&amp;$B22&amp;", ",", "&amp;'Trang chủ'!$B$7:$B$500&amp;", ")),--('Trang chủ'!$AT$7:$AT$500&lt;&gt;""))+SUMPRODUCT(--ISNUMBER(SEARCH(", "&amp;$B22&amp;", ",", "&amp;'Thông báo'!$B$7:$B$500&amp;", ")),--('Thông báo'!$AT$7:$AT$500&lt;&gt;""))+SUMPRODUCT(--ISNUMBER(SEARCH(", "&amp;$B22&amp;", ",", "&amp;'Đăng tin &amp; Quản lý tin'!$B$7:$B$500&amp;", ")),--('Đăng tin &amp; Quản lý tin'!$AT$7:$AT$500&lt;&gt;""))+SUMPRODUCT(--ISNUMBER(SEARCH(", "&amp;$B22&amp;", ",", "&amp;'Trust &amp; Safety'!$B$7:$B$500&amp;", ")),--('Trust &amp; Safety'!$AT$7:$AT$500&lt;&gt;""))+SUMPRODUCT(--ISNUMBER(SEARCH(", "&amp;$B22&amp;", ",", "&amp;'Tài khoản &amp; Hồ sơ'!$B$7:$B$500&amp;", ")),--('Tài khoản &amp; Hồ sơ'!$AT$7:$AT$500&lt;&gt;""))</f>
        <v>0</v>
      </c>
      <c r="G22" s="51" t="n">
        <f aca="false">SUMPRODUCT(--ISNUMBER(SEARCH(", "&amp;$B22&amp;", ",", "&amp;'Hoạt động (Đơn của tôi)'!$B$7:$B$500&amp;", ")),--('Hoạt động (Đơn của tôi)'!$AT$7:$AT$500="Pass"))+SUMPRODUCT(--ISNUMBER(SEARCH(", "&amp;$B22&amp;", ",", "&amp;'Ghép nối'!$B$7:$B$500&amp;", ")),--('Ghép nối'!$AT$7:$AT$500="Pass"))+SUMPRODUCT(--ISNUMBER(SEARCH(", "&amp;$B22&amp;", ",", "&amp;'Huỷ đơn - Huỷ nhận đơn'!$B$7:$B$500&amp;", ")),--('Huỷ đơn - Huỷ nhận đơn'!$AT$7:$AT$500="Pass"))+SUMPRODUCT(--ISNUMBER(SEARCH(", "&amp;$B22&amp;", ",", "&amp;'Giao nhận &amp; Theo dõi đơn'!$B$7:$B$500&amp;", ")),--('Giao nhận &amp; Theo dõi đơn'!$AT$7:$AT$500="Pass"))+SUMPRODUCT(--ISNUMBER(SEARCH(", "&amp;$B22&amp;", ",", "&amp;'Bảng tin &amp; Chi tiết tin'!$B$7:$B$500&amp;", ")),--('Bảng tin &amp; Chi tiết tin'!$AT$7:$AT$500="Pass"))+SUMPRODUCT(--ISNUMBER(SEARCH(", "&amp;$B22&amp;", ",", "&amp;'Quà cảm ơn'!$B$7:$B$500&amp;", ")),--('Quà cảm ơn'!$AT$7:$AT$500="Pass"))+SUMPRODUCT(--ISNUMBER(SEARCH(", "&amp;$B22&amp;", ",", "&amp;'Trang chủ'!$B$7:$B$500&amp;", ")),--('Trang chủ'!$AT$7:$AT$500="Pass"))+SUMPRODUCT(--ISNUMBER(SEARCH(", "&amp;$B22&amp;", ",", "&amp;'Thông báo'!$B$7:$B$500&amp;", ")),--('Thông báo'!$AT$7:$AT$500="Pass"))+SUMPRODUCT(--ISNUMBER(SEARCH(", "&amp;$B22&amp;", ",", "&amp;'Đăng tin &amp; Quản lý tin'!$B$7:$B$500&amp;", ")),--('Đăng tin &amp; Quản lý tin'!$AT$7:$AT$500="Pass"))+SUMPRODUCT(--ISNUMBER(SEARCH(", "&amp;$B22&amp;", ",", "&amp;'Trust &amp; Safety'!$B$7:$B$500&amp;", ")),--('Trust &amp; Safety'!$AT$7:$AT$500="Pass"))+SUMPRODUCT(--ISNUMBER(SEARCH(", "&amp;$B22&amp;", ",", "&amp;'Tài khoản &amp; Hồ sơ'!$B$7:$B$500&amp;", ")),--('Tài khoản &amp; Hồ sơ'!$AT$7:$AT$500="Pass"))</f>
        <v>0</v>
      </c>
      <c r="H22" s="51" t="n">
        <f aca="false">SUMPRODUCT(--ISNUMBER(SEARCH(", "&amp;$B22&amp;", ",", "&amp;'Hoạt động (Đơn của tôi)'!$B$7:$B$500&amp;", ")),--('Hoạt động (Đơn của tôi)'!$AT$7:$AT$500="Fail"))+SUMPRODUCT(--ISNUMBER(SEARCH(", "&amp;$B22&amp;", ",", "&amp;'Ghép nối'!$B$7:$B$500&amp;", ")),--('Ghép nối'!$AT$7:$AT$500="Fail"))+SUMPRODUCT(--ISNUMBER(SEARCH(", "&amp;$B22&amp;", ",", "&amp;'Huỷ đơn - Huỷ nhận đơn'!$B$7:$B$500&amp;", ")),--('Huỷ đơn - Huỷ nhận đơn'!$AT$7:$AT$500="Fail"))+SUMPRODUCT(--ISNUMBER(SEARCH(", "&amp;$B22&amp;", ",", "&amp;'Giao nhận &amp; Theo dõi đơn'!$B$7:$B$500&amp;", ")),--('Giao nhận &amp; Theo dõi đơn'!$AT$7:$AT$500="Fail"))+SUMPRODUCT(--ISNUMBER(SEARCH(", "&amp;$B22&amp;", ",", "&amp;'Bảng tin &amp; Chi tiết tin'!$B$7:$B$500&amp;", ")),--('Bảng tin &amp; Chi tiết tin'!$AT$7:$AT$500="Fail"))+SUMPRODUCT(--ISNUMBER(SEARCH(", "&amp;$B22&amp;", ",", "&amp;'Quà cảm ơn'!$B$7:$B$500&amp;", ")),--('Quà cảm ơn'!$AT$7:$AT$500="Fail"))+SUMPRODUCT(--ISNUMBER(SEARCH(", "&amp;$B22&amp;", ",", "&amp;'Trang chủ'!$B$7:$B$500&amp;", ")),--('Trang chủ'!$AT$7:$AT$500="Fail"))+SUMPRODUCT(--ISNUMBER(SEARCH(", "&amp;$B22&amp;", ",", "&amp;'Thông báo'!$B$7:$B$500&amp;", ")),--('Thông báo'!$AT$7:$AT$500="Fail"))+SUMPRODUCT(--ISNUMBER(SEARCH(", "&amp;$B22&amp;", ",", "&amp;'Đăng tin &amp; Quản lý tin'!$B$7:$B$500&amp;", ")),--('Đăng tin &amp; Quản lý tin'!$AT$7:$AT$500="Fail"))+SUMPRODUCT(--ISNUMBER(SEARCH(", "&amp;$B22&amp;", ",", "&amp;'Trust &amp; Safety'!$B$7:$B$500&amp;", ")),--('Trust &amp; Safety'!$AT$7:$AT$500="Fail"))+SUMPRODUCT(--ISNUMBER(SEARCH(", "&amp;$B22&amp;", ",", "&amp;'Tài khoản &amp; Hồ sơ'!$B$7:$B$500&amp;", ")),--('Tài khoản &amp; Hồ sơ'!$AT$7:$AT$500="Fail"))</f>
        <v>0</v>
      </c>
      <c r="I22" s="51" t="n">
        <f aca="false">SUMPRODUCT(--ISNUMBER(SEARCH(", "&amp;$B22&amp;", ",", "&amp;'Hoạt động (Đơn của tôi)'!$B$7:$B$500&amp;", ")),--('Hoạt động (Đơn của tôi)'!$AT$7:$AT$500="Block"))+SUMPRODUCT(--ISNUMBER(SEARCH(", "&amp;$B22&amp;", ",", "&amp;'Ghép nối'!$B$7:$B$500&amp;", ")),--('Ghép nối'!$AT$7:$AT$500="Block"))+SUMPRODUCT(--ISNUMBER(SEARCH(", "&amp;$B22&amp;", ",", "&amp;'Huỷ đơn - Huỷ nhận đơn'!$B$7:$B$500&amp;", ")),--('Huỷ đơn - Huỷ nhận đơn'!$AT$7:$AT$500="Block"))+SUMPRODUCT(--ISNUMBER(SEARCH(", "&amp;$B22&amp;", ",", "&amp;'Giao nhận &amp; Theo dõi đơn'!$B$7:$B$500&amp;", ")),--('Giao nhận &amp; Theo dõi đơn'!$AT$7:$AT$500="Block"))+SUMPRODUCT(--ISNUMBER(SEARCH(", "&amp;$B22&amp;", ",", "&amp;'Bảng tin &amp; Chi tiết tin'!$B$7:$B$500&amp;", ")),--('Bảng tin &amp; Chi tiết tin'!$AT$7:$AT$500="Block"))+SUMPRODUCT(--ISNUMBER(SEARCH(", "&amp;$B22&amp;", ",", "&amp;'Quà cảm ơn'!$B$7:$B$500&amp;", ")),--('Quà cảm ơn'!$AT$7:$AT$500="Block"))+SUMPRODUCT(--ISNUMBER(SEARCH(", "&amp;$B22&amp;", ",", "&amp;'Trang chủ'!$B$7:$B$500&amp;", ")),--('Trang chủ'!$AT$7:$AT$500="Block"))+SUMPRODUCT(--ISNUMBER(SEARCH(", "&amp;$B22&amp;", ",", "&amp;'Thông báo'!$B$7:$B$500&amp;", ")),--('Thông báo'!$AT$7:$AT$500="Block"))+SUMPRODUCT(--ISNUMBER(SEARCH(", "&amp;$B22&amp;", ",", "&amp;'Đăng tin &amp; Quản lý tin'!$B$7:$B$500&amp;", ")),--('Đăng tin &amp; Quản lý tin'!$AT$7:$AT$500="Block"))+SUMPRODUCT(--ISNUMBER(SEARCH(", "&amp;$B22&amp;", ",", "&amp;'Trust &amp; Safety'!$B$7:$B$500&amp;", ")),--('Trust &amp; Safety'!$AT$7:$AT$500="Block"))+SUMPRODUCT(--ISNUMBER(SEARCH(", "&amp;$B22&amp;", ",", "&amp;'Tài khoản &amp; Hồ sơ'!$B$7:$B$500&amp;", ")),--('Tài khoản &amp; Hồ sơ'!$AT$7:$AT$500="Block"))</f>
        <v>0</v>
      </c>
      <c r="J22" s="51" t="n">
        <f aca="false">SUMPRODUCT(--ISNUMBER(SEARCH(", "&amp;$B22&amp;", ",", "&amp;'Hoạt động (Đơn của tôi)'!$B$7:$B$500&amp;", ")),--('Hoạt động (Đơn của tôi)'!$AT$7:$AT$500="N/A"))+SUMPRODUCT(--ISNUMBER(SEARCH(", "&amp;$B22&amp;", ",", "&amp;'Ghép nối'!$B$7:$B$500&amp;", ")),--('Ghép nối'!$AT$7:$AT$500="N/A"))+SUMPRODUCT(--ISNUMBER(SEARCH(", "&amp;$B22&amp;", ",", "&amp;'Huỷ đơn - Huỷ nhận đơn'!$B$7:$B$500&amp;", ")),--('Huỷ đơn - Huỷ nhận đơn'!$AT$7:$AT$500="N/A"))+SUMPRODUCT(--ISNUMBER(SEARCH(", "&amp;$B22&amp;", ",", "&amp;'Giao nhận &amp; Theo dõi đơn'!$B$7:$B$500&amp;", ")),--('Giao nhận &amp; Theo dõi đơn'!$AT$7:$AT$500="N/A"))+SUMPRODUCT(--ISNUMBER(SEARCH(", "&amp;$B22&amp;", ",", "&amp;'Bảng tin &amp; Chi tiết tin'!$B$7:$B$500&amp;", ")),--('Bảng tin &amp; Chi tiết tin'!$AT$7:$AT$500="N/A"))+SUMPRODUCT(--ISNUMBER(SEARCH(", "&amp;$B22&amp;", ",", "&amp;'Quà cảm ơn'!$B$7:$B$500&amp;", ")),--('Quà cảm ơn'!$AT$7:$AT$500="N/A"))+SUMPRODUCT(--ISNUMBER(SEARCH(", "&amp;$B22&amp;", ",", "&amp;'Trang chủ'!$B$7:$B$500&amp;", ")),--('Trang chủ'!$AT$7:$AT$500="N/A"))+SUMPRODUCT(--ISNUMBER(SEARCH(", "&amp;$B22&amp;", ",", "&amp;'Thông báo'!$B$7:$B$500&amp;", ")),--('Thông báo'!$AT$7:$AT$500="N/A"))+SUMPRODUCT(--ISNUMBER(SEARCH(", "&amp;$B22&amp;", ",", "&amp;'Đăng tin &amp; Quản lý tin'!$B$7:$B$500&amp;", ")),--('Đăng tin &amp; Quản lý tin'!$AT$7:$AT$500="N/A"))+SUMPRODUCT(--ISNUMBER(SEARCH(", "&amp;$B22&amp;", ",", "&amp;'Trust &amp; Safety'!$B$7:$B$500&amp;", ")),--('Trust &amp; Safety'!$AT$7:$AT$500="N/A"))+SUMPRODUCT(--ISNUMBER(SEARCH(", "&amp;$B22&amp;", ",", "&amp;'Tài khoản &amp; Hồ sơ'!$B$7:$B$500&amp;", ")),--('Tài khoản &amp; Hồ sơ'!$AT$7:$AT$500="N/A"))</f>
        <v>0</v>
      </c>
      <c r="K22" s="52" t="n">
        <f aca="false">IFERROR(F22/E22,0)</f>
        <v>0</v>
      </c>
      <c r="L22" s="123" t="str">
        <f aca="false">IF(E22=0,"Chưa có TC (gap)",IF(H22&gt;0,"Có lỗi (Fail)",IF(I22&gt;0,"Bị block",IF(F22&lt;E22,"Đang test",IF(G22=0,"Không áp dụng (N/A)","Đã test xong")))))</f>
        <v>Đang test</v>
      </c>
      <c r="AB22" s="1" t="s">
        <v>420</v>
      </c>
    </row>
    <row r="23" customFormat="false" ht="15.75" hidden="false" customHeight="true" outlineLevel="0" collapsed="false">
      <c r="B23" s="175" t="s">
        <v>471</v>
      </c>
      <c r="C23" s="176" t="s">
        <v>472</v>
      </c>
      <c r="D23" s="123" t="s">
        <v>473</v>
      </c>
      <c r="E23" s="51" t="n">
        <f aca="false">SUMPRODUCT(--ISNUMBER(SEARCH(", "&amp;$B23&amp;", ",", "&amp;'Hoạt động (Đơn của tôi)'!$B$7:$B$500&amp;", ")))+SUMPRODUCT(--ISNUMBER(SEARCH(", "&amp;$B23&amp;", ",", "&amp;'Ghép nối'!$B$7:$B$500&amp;", ")))+SUMPRODUCT(--ISNUMBER(SEARCH(", "&amp;$B23&amp;", ",", "&amp;'Huỷ đơn - Huỷ nhận đơn'!$B$7:$B$500&amp;", ")))+SUMPRODUCT(--ISNUMBER(SEARCH(", "&amp;$B23&amp;", ",", "&amp;'Giao nhận &amp; Theo dõi đơn'!$B$7:$B$500&amp;", ")))+SUMPRODUCT(--ISNUMBER(SEARCH(", "&amp;$B23&amp;", ",", "&amp;'Bảng tin &amp; Chi tiết tin'!$B$7:$B$500&amp;", ")))+SUMPRODUCT(--ISNUMBER(SEARCH(", "&amp;$B23&amp;", ",", "&amp;'Quà cảm ơn'!$B$7:$B$500&amp;", ")))+SUMPRODUCT(--ISNUMBER(SEARCH(", "&amp;$B23&amp;", ",", "&amp;'Trang chủ'!$B$7:$B$500&amp;", ")))+SUMPRODUCT(--ISNUMBER(SEARCH(", "&amp;$B23&amp;", ",", "&amp;'Thông báo'!$B$7:$B$500&amp;", ")))+SUMPRODUCT(--ISNUMBER(SEARCH(", "&amp;$B23&amp;", ",", "&amp;'Đăng tin &amp; Quản lý tin'!$B$7:$B$500&amp;", ")))+SUMPRODUCT(--ISNUMBER(SEARCH(", "&amp;$B23&amp;", ",", "&amp;'Trust &amp; Safety'!$B$7:$B$500&amp;", ")))+SUMPRODUCT(--ISNUMBER(SEARCH(", "&amp;$B23&amp;", ",", "&amp;'Tài khoản &amp; Hồ sơ'!$B$7:$B$500&amp;", ")))</f>
        <v>1</v>
      </c>
      <c r="F23" s="51" t="n">
        <f aca="false">SUMPRODUCT(--ISNUMBER(SEARCH(", "&amp;$B23&amp;", ",", "&amp;'Hoạt động (Đơn của tôi)'!$B$7:$B$500&amp;", ")),--('Hoạt động (Đơn của tôi)'!$AT$7:$AT$500&lt;&gt;""))+SUMPRODUCT(--ISNUMBER(SEARCH(", "&amp;$B23&amp;", ",", "&amp;'Ghép nối'!$B$7:$B$500&amp;", ")),--('Ghép nối'!$AT$7:$AT$500&lt;&gt;""))+SUMPRODUCT(--ISNUMBER(SEARCH(", "&amp;$B23&amp;", ",", "&amp;'Huỷ đơn - Huỷ nhận đơn'!$B$7:$B$500&amp;", ")),--('Huỷ đơn - Huỷ nhận đơn'!$AT$7:$AT$500&lt;&gt;""))+SUMPRODUCT(--ISNUMBER(SEARCH(", "&amp;$B23&amp;", ",", "&amp;'Giao nhận &amp; Theo dõi đơn'!$B$7:$B$500&amp;", ")),--('Giao nhận &amp; Theo dõi đơn'!$AT$7:$AT$500&lt;&gt;""))+SUMPRODUCT(--ISNUMBER(SEARCH(", "&amp;$B23&amp;", ",", "&amp;'Bảng tin &amp; Chi tiết tin'!$B$7:$B$500&amp;", ")),--('Bảng tin &amp; Chi tiết tin'!$AT$7:$AT$500&lt;&gt;""))+SUMPRODUCT(--ISNUMBER(SEARCH(", "&amp;$B23&amp;", ",", "&amp;'Quà cảm ơn'!$B$7:$B$500&amp;", ")),--('Quà cảm ơn'!$AT$7:$AT$500&lt;&gt;""))+SUMPRODUCT(--ISNUMBER(SEARCH(", "&amp;$B23&amp;", ",", "&amp;'Trang chủ'!$B$7:$B$500&amp;", ")),--('Trang chủ'!$AT$7:$AT$500&lt;&gt;""))+SUMPRODUCT(--ISNUMBER(SEARCH(", "&amp;$B23&amp;", ",", "&amp;'Thông báo'!$B$7:$B$500&amp;", ")),--('Thông báo'!$AT$7:$AT$500&lt;&gt;""))+SUMPRODUCT(--ISNUMBER(SEARCH(", "&amp;$B23&amp;", ",", "&amp;'Đăng tin &amp; Quản lý tin'!$B$7:$B$500&amp;", ")),--('Đăng tin &amp; Quản lý tin'!$AT$7:$AT$500&lt;&gt;""))+SUMPRODUCT(--ISNUMBER(SEARCH(", "&amp;$B23&amp;", ",", "&amp;'Trust &amp; Safety'!$B$7:$B$500&amp;", ")),--('Trust &amp; Safety'!$AT$7:$AT$500&lt;&gt;""))+SUMPRODUCT(--ISNUMBER(SEARCH(", "&amp;$B23&amp;", ",", "&amp;'Tài khoản &amp; Hồ sơ'!$B$7:$B$500&amp;", ")),--('Tài khoản &amp; Hồ sơ'!$AT$7:$AT$500&lt;&gt;""))</f>
        <v>0</v>
      </c>
      <c r="G23" s="51" t="n">
        <f aca="false">SUMPRODUCT(--ISNUMBER(SEARCH(", "&amp;$B23&amp;", ",", "&amp;'Hoạt động (Đơn của tôi)'!$B$7:$B$500&amp;", ")),--('Hoạt động (Đơn của tôi)'!$AT$7:$AT$500="Pass"))+SUMPRODUCT(--ISNUMBER(SEARCH(", "&amp;$B23&amp;", ",", "&amp;'Ghép nối'!$B$7:$B$500&amp;", ")),--('Ghép nối'!$AT$7:$AT$500="Pass"))+SUMPRODUCT(--ISNUMBER(SEARCH(", "&amp;$B23&amp;", ",", "&amp;'Huỷ đơn - Huỷ nhận đơn'!$B$7:$B$500&amp;", ")),--('Huỷ đơn - Huỷ nhận đơn'!$AT$7:$AT$500="Pass"))+SUMPRODUCT(--ISNUMBER(SEARCH(", "&amp;$B23&amp;", ",", "&amp;'Giao nhận &amp; Theo dõi đơn'!$B$7:$B$500&amp;", ")),--('Giao nhận &amp; Theo dõi đơn'!$AT$7:$AT$500="Pass"))+SUMPRODUCT(--ISNUMBER(SEARCH(", "&amp;$B23&amp;", ",", "&amp;'Bảng tin &amp; Chi tiết tin'!$B$7:$B$500&amp;", ")),--('Bảng tin &amp; Chi tiết tin'!$AT$7:$AT$500="Pass"))+SUMPRODUCT(--ISNUMBER(SEARCH(", "&amp;$B23&amp;", ",", "&amp;'Quà cảm ơn'!$B$7:$B$500&amp;", ")),--('Quà cảm ơn'!$AT$7:$AT$500="Pass"))+SUMPRODUCT(--ISNUMBER(SEARCH(", "&amp;$B23&amp;", ",", "&amp;'Trang chủ'!$B$7:$B$500&amp;", ")),--('Trang chủ'!$AT$7:$AT$500="Pass"))+SUMPRODUCT(--ISNUMBER(SEARCH(", "&amp;$B23&amp;", ",", "&amp;'Thông báo'!$B$7:$B$500&amp;", ")),--('Thông báo'!$AT$7:$AT$500="Pass"))+SUMPRODUCT(--ISNUMBER(SEARCH(", "&amp;$B23&amp;", ",", "&amp;'Đăng tin &amp; Quản lý tin'!$B$7:$B$500&amp;", ")),--('Đăng tin &amp; Quản lý tin'!$AT$7:$AT$500="Pass"))+SUMPRODUCT(--ISNUMBER(SEARCH(", "&amp;$B23&amp;", ",", "&amp;'Trust &amp; Safety'!$B$7:$B$500&amp;", ")),--('Trust &amp; Safety'!$AT$7:$AT$500="Pass"))+SUMPRODUCT(--ISNUMBER(SEARCH(", "&amp;$B23&amp;", ",", "&amp;'Tài khoản &amp; Hồ sơ'!$B$7:$B$500&amp;", ")),--('Tài khoản &amp; Hồ sơ'!$AT$7:$AT$500="Pass"))</f>
        <v>0</v>
      </c>
      <c r="H23" s="51" t="n">
        <f aca="false">SUMPRODUCT(--ISNUMBER(SEARCH(", "&amp;$B23&amp;", ",", "&amp;'Hoạt động (Đơn của tôi)'!$B$7:$B$500&amp;", ")),--('Hoạt động (Đơn của tôi)'!$AT$7:$AT$500="Fail"))+SUMPRODUCT(--ISNUMBER(SEARCH(", "&amp;$B23&amp;", ",", "&amp;'Ghép nối'!$B$7:$B$500&amp;", ")),--('Ghép nối'!$AT$7:$AT$500="Fail"))+SUMPRODUCT(--ISNUMBER(SEARCH(", "&amp;$B23&amp;", ",", "&amp;'Huỷ đơn - Huỷ nhận đơn'!$B$7:$B$500&amp;", ")),--('Huỷ đơn - Huỷ nhận đơn'!$AT$7:$AT$500="Fail"))+SUMPRODUCT(--ISNUMBER(SEARCH(", "&amp;$B23&amp;", ",", "&amp;'Giao nhận &amp; Theo dõi đơn'!$B$7:$B$500&amp;", ")),--('Giao nhận &amp; Theo dõi đơn'!$AT$7:$AT$500="Fail"))+SUMPRODUCT(--ISNUMBER(SEARCH(", "&amp;$B23&amp;", ",", "&amp;'Bảng tin &amp; Chi tiết tin'!$B$7:$B$500&amp;", ")),--('Bảng tin &amp; Chi tiết tin'!$AT$7:$AT$500="Fail"))+SUMPRODUCT(--ISNUMBER(SEARCH(", "&amp;$B23&amp;", ",", "&amp;'Quà cảm ơn'!$B$7:$B$500&amp;", ")),--('Quà cảm ơn'!$AT$7:$AT$500="Fail"))+SUMPRODUCT(--ISNUMBER(SEARCH(", "&amp;$B23&amp;", ",", "&amp;'Trang chủ'!$B$7:$B$500&amp;", ")),--('Trang chủ'!$AT$7:$AT$500="Fail"))+SUMPRODUCT(--ISNUMBER(SEARCH(", "&amp;$B23&amp;", ",", "&amp;'Thông báo'!$B$7:$B$500&amp;", ")),--('Thông báo'!$AT$7:$AT$500="Fail"))+SUMPRODUCT(--ISNUMBER(SEARCH(", "&amp;$B23&amp;", ",", "&amp;'Đăng tin &amp; Quản lý tin'!$B$7:$B$500&amp;", ")),--('Đăng tin &amp; Quản lý tin'!$AT$7:$AT$500="Fail"))+SUMPRODUCT(--ISNUMBER(SEARCH(", "&amp;$B23&amp;", ",", "&amp;'Trust &amp; Safety'!$B$7:$B$500&amp;", ")),--('Trust &amp; Safety'!$AT$7:$AT$500="Fail"))+SUMPRODUCT(--ISNUMBER(SEARCH(", "&amp;$B23&amp;", ",", "&amp;'Tài khoản &amp; Hồ sơ'!$B$7:$B$500&amp;", ")),--('Tài khoản &amp; Hồ sơ'!$AT$7:$AT$500="Fail"))</f>
        <v>0</v>
      </c>
      <c r="I23" s="51" t="n">
        <f aca="false">SUMPRODUCT(--ISNUMBER(SEARCH(", "&amp;$B23&amp;", ",", "&amp;'Hoạt động (Đơn của tôi)'!$B$7:$B$500&amp;", ")),--('Hoạt động (Đơn của tôi)'!$AT$7:$AT$500="Block"))+SUMPRODUCT(--ISNUMBER(SEARCH(", "&amp;$B23&amp;", ",", "&amp;'Ghép nối'!$B$7:$B$500&amp;", ")),--('Ghép nối'!$AT$7:$AT$500="Block"))+SUMPRODUCT(--ISNUMBER(SEARCH(", "&amp;$B23&amp;", ",", "&amp;'Huỷ đơn - Huỷ nhận đơn'!$B$7:$B$500&amp;", ")),--('Huỷ đơn - Huỷ nhận đơn'!$AT$7:$AT$500="Block"))+SUMPRODUCT(--ISNUMBER(SEARCH(", "&amp;$B23&amp;", ",", "&amp;'Giao nhận &amp; Theo dõi đơn'!$B$7:$B$500&amp;", ")),--('Giao nhận &amp; Theo dõi đơn'!$AT$7:$AT$500="Block"))+SUMPRODUCT(--ISNUMBER(SEARCH(", "&amp;$B23&amp;", ",", "&amp;'Bảng tin &amp; Chi tiết tin'!$B$7:$B$500&amp;", ")),--('Bảng tin &amp; Chi tiết tin'!$AT$7:$AT$500="Block"))+SUMPRODUCT(--ISNUMBER(SEARCH(", "&amp;$B23&amp;", ",", "&amp;'Quà cảm ơn'!$B$7:$B$500&amp;", ")),--('Quà cảm ơn'!$AT$7:$AT$500="Block"))+SUMPRODUCT(--ISNUMBER(SEARCH(", "&amp;$B23&amp;", ",", "&amp;'Trang chủ'!$B$7:$B$500&amp;", ")),--('Trang chủ'!$AT$7:$AT$500="Block"))+SUMPRODUCT(--ISNUMBER(SEARCH(", "&amp;$B23&amp;", ",", "&amp;'Thông báo'!$B$7:$B$500&amp;", ")),--('Thông báo'!$AT$7:$AT$500="Block"))+SUMPRODUCT(--ISNUMBER(SEARCH(", "&amp;$B23&amp;", ",", "&amp;'Đăng tin &amp; Quản lý tin'!$B$7:$B$500&amp;", ")),--('Đăng tin &amp; Quản lý tin'!$AT$7:$AT$500="Block"))+SUMPRODUCT(--ISNUMBER(SEARCH(", "&amp;$B23&amp;", ",", "&amp;'Trust &amp; Safety'!$B$7:$B$500&amp;", ")),--('Trust &amp; Safety'!$AT$7:$AT$500="Block"))+SUMPRODUCT(--ISNUMBER(SEARCH(", "&amp;$B23&amp;", ",", "&amp;'Tài khoản &amp; Hồ sơ'!$B$7:$B$500&amp;", ")),--('Tài khoản &amp; Hồ sơ'!$AT$7:$AT$500="Block"))</f>
        <v>0</v>
      </c>
      <c r="J23" s="51" t="n">
        <f aca="false">SUMPRODUCT(--ISNUMBER(SEARCH(", "&amp;$B23&amp;", ",", "&amp;'Hoạt động (Đơn của tôi)'!$B$7:$B$500&amp;", ")),--('Hoạt động (Đơn của tôi)'!$AT$7:$AT$500="N/A"))+SUMPRODUCT(--ISNUMBER(SEARCH(", "&amp;$B23&amp;", ",", "&amp;'Ghép nối'!$B$7:$B$500&amp;", ")),--('Ghép nối'!$AT$7:$AT$500="N/A"))+SUMPRODUCT(--ISNUMBER(SEARCH(", "&amp;$B23&amp;", ",", "&amp;'Huỷ đơn - Huỷ nhận đơn'!$B$7:$B$500&amp;", ")),--('Huỷ đơn - Huỷ nhận đơn'!$AT$7:$AT$500="N/A"))+SUMPRODUCT(--ISNUMBER(SEARCH(", "&amp;$B23&amp;", ",", "&amp;'Giao nhận &amp; Theo dõi đơn'!$B$7:$B$500&amp;", ")),--('Giao nhận &amp; Theo dõi đơn'!$AT$7:$AT$500="N/A"))+SUMPRODUCT(--ISNUMBER(SEARCH(", "&amp;$B23&amp;", ",", "&amp;'Bảng tin &amp; Chi tiết tin'!$B$7:$B$500&amp;", ")),--('Bảng tin &amp; Chi tiết tin'!$AT$7:$AT$500="N/A"))+SUMPRODUCT(--ISNUMBER(SEARCH(", "&amp;$B23&amp;", ",", "&amp;'Quà cảm ơn'!$B$7:$B$500&amp;", ")),--('Quà cảm ơn'!$AT$7:$AT$500="N/A"))+SUMPRODUCT(--ISNUMBER(SEARCH(", "&amp;$B23&amp;", ",", "&amp;'Trang chủ'!$B$7:$B$500&amp;", ")),--('Trang chủ'!$AT$7:$AT$500="N/A"))+SUMPRODUCT(--ISNUMBER(SEARCH(", "&amp;$B23&amp;", ",", "&amp;'Thông báo'!$B$7:$B$500&amp;", ")),--('Thông báo'!$AT$7:$AT$500="N/A"))+SUMPRODUCT(--ISNUMBER(SEARCH(", "&amp;$B23&amp;", ",", "&amp;'Đăng tin &amp; Quản lý tin'!$B$7:$B$500&amp;", ")),--('Đăng tin &amp; Quản lý tin'!$AT$7:$AT$500="N/A"))+SUMPRODUCT(--ISNUMBER(SEARCH(", "&amp;$B23&amp;", ",", "&amp;'Trust &amp; Safety'!$B$7:$B$500&amp;", ")),--('Trust &amp; Safety'!$AT$7:$AT$500="N/A"))+SUMPRODUCT(--ISNUMBER(SEARCH(", "&amp;$B23&amp;", ",", "&amp;'Tài khoản &amp; Hồ sơ'!$B$7:$B$500&amp;", ")),--('Tài khoản &amp; Hồ sơ'!$AT$7:$AT$500="N/A"))</f>
        <v>0</v>
      </c>
      <c r="K23" s="52" t="n">
        <f aca="false">IFERROR(F23/E23,0)</f>
        <v>0</v>
      </c>
      <c r="L23" s="123" t="str">
        <f aca="false">IF(E23=0,"Chưa có TC (gap)",IF(H23&gt;0,"Có lỗi (Fail)",IF(I23&gt;0,"Bị block",IF(F23&lt;E23,"Đang test",IF(G23=0,"Không áp dụng (N/A)","Đã test xong")))))</f>
        <v>Đang test</v>
      </c>
      <c r="AB23" s="1" t="s">
        <v>420</v>
      </c>
    </row>
    <row r="24" customFormat="false" ht="15.75" hidden="false" customHeight="true" outlineLevel="0" collapsed="false">
      <c r="B24" s="175" t="s">
        <v>474</v>
      </c>
      <c r="C24" s="176" t="s">
        <v>475</v>
      </c>
      <c r="D24" s="123" t="s">
        <v>476</v>
      </c>
      <c r="E24" s="51" t="n">
        <f aca="false">SUMPRODUCT(--ISNUMBER(SEARCH(", "&amp;$B24&amp;", ",", "&amp;'Hoạt động (Đơn của tôi)'!$B$7:$B$500&amp;", ")))+SUMPRODUCT(--ISNUMBER(SEARCH(", "&amp;$B24&amp;", ",", "&amp;'Ghép nối'!$B$7:$B$500&amp;", ")))+SUMPRODUCT(--ISNUMBER(SEARCH(", "&amp;$B24&amp;", ",", "&amp;'Huỷ đơn - Huỷ nhận đơn'!$B$7:$B$500&amp;", ")))+SUMPRODUCT(--ISNUMBER(SEARCH(", "&amp;$B24&amp;", ",", "&amp;'Giao nhận &amp; Theo dõi đơn'!$B$7:$B$500&amp;", ")))+SUMPRODUCT(--ISNUMBER(SEARCH(", "&amp;$B24&amp;", ",", "&amp;'Bảng tin &amp; Chi tiết tin'!$B$7:$B$500&amp;", ")))+SUMPRODUCT(--ISNUMBER(SEARCH(", "&amp;$B24&amp;", ",", "&amp;'Quà cảm ơn'!$B$7:$B$500&amp;", ")))+SUMPRODUCT(--ISNUMBER(SEARCH(", "&amp;$B24&amp;", ",", "&amp;'Trang chủ'!$B$7:$B$500&amp;", ")))+SUMPRODUCT(--ISNUMBER(SEARCH(", "&amp;$B24&amp;", ",", "&amp;'Thông báo'!$B$7:$B$500&amp;", ")))+SUMPRODUCT(--ISNUMBER(SEARCH(", "&amp;$B24&amp;", ",", "&amp;'Đăng tin &amp; Quản lý tin'!$B$7:$B$500&amp;", ")))+SUMPRODUCT(--ISNUMBER(SEARCH(", "&amp;$B24&amp;", ",", "&amp;'Trust &amp; Safety'!$B$7:$B$500&amp;", ")))+SUMPRODUCT(--ISNUMBER(SEARCH(", "&amp;$B24&amp;", ",", "&amp;'Tài khoản &amp; Hồ sơ'!$B$7:$B$500&amp;", ")))</f>
        <v>9</v>
      </c>
      <c r="F24" s="51" t="n">
        <f aca="false">SUMPRODUCT(--ISNUMBER(SEARCH(", "&amp;$B24&amp;", ",", "&amp;'Hoạt động (Đơn của tôi)'!$B$7:$B$500&amp;", ")),--('Hoạt động (Đơn của tôi)'!$AT$7:$AT$500&lt;&gt;""))+SUMPRODUCT(--ISNUMBER(SEARCH(", "&amp;$B24&amp;", ",", "&amp;'Ghép nối'!$B$7:$B$500&amp;", ")),--('Ghép nối'!$AT$7:$AT$500&lt;&gt;""))+SUMPRODUCT(--ISNUMBER(SEARCH(", "&amp;$B24&amp;", ",", "&amp;'Huỷ đơn - Huỷ nhận đơn'!$B$7:$B$500&amp;", ")),--('Huỷ đơn - Huỷ nhận đơn'!$AT$7:$AT$500&lt;&gt;""))+SUMPRODUCT(--ISNUMBER(SEARCH(", "&amp;$B24&amp;", ",", "&amp;'Giao nhận &amp; Theo dõi đơn'!$B$7:$B$500&amp;", ")),--('Giao nhận &amp; Theo dõi đơn'!$AT$7:$AT$500&lt;&gt;""))+SUMPRODUCT(--ISNUMBER(SEARCH(", "&amp;$B24&amp;", ",", "&amp;'Bảng tin &amp; Chi tiết tin'!$B$7:$B$500&amp;", ")),--('Bảng tin &amp; Chi tiết tin'!$AT$7:$AT$500&lt;&gt;""))+SUMPRODUCT(--ISNUMBER(SEARCH(", "&amp;$B24&amp;", ",", "&amp;'Quà cảm ơn'!$B$7:$B$500&amp;", ")),--('Quà cảm ơn'!$AT$7:$AT$500&lt;&gt;""))+SUMPRODUCT(--ISNUMBER(SEARCH(", "&amp;$B24&amp;", ",", "&amp;'Trang chủ'!$B$7:$B$500&amp;", ")),--('Trang chủ'!$AT$7:$AT$500&lt;&gt;""))+SUMPRODUCT(--ISNUMBER(SEARCH(", "&amp;$B24&amp;", ",", "&amp;'Thông báo'!$B$7:$B$500&amp;", ")),--('Thông báo'!$AT$7:$AT$500&lt;&gt;""))+SUMPRODUCT(--ISNUMBER(SEARCH(", "&amp;$B24&amp;", ",", "&amp;'Đăng tin &amp; Quản lý tin'!$B$7:$B$500&amp;", ")),--('Đăng tin &amp; Quản lý tin'!$AT$7:$AT$500&lt;&gt;""))+SUMPRODUCT(--ISNUMBER(SEARCH(", "&amp;$B24&amp;", ",", "&amp;'Trust &amp; Safety'!$B$7:$B$500&amp;", ")),--('Trust &amp; Safety'!$AT$7:$AT$500&lt;&gt;""))+SUMPRODUCT(--ISNUMBER(SEARCH(", "&amp;$B24&amp;", ",", "&amp;'Tài khoản &amp; Hồ sơ'!$B$7:$B$500&amp;", ")),--('Tài khoản &amp; Hồ sơ'!$AT$7:$AT$500&lt;&gt;""))</f>
        <v>0</v>
      </c>
      <c r="G24" s="51" t="n">
        <f aca="false">SUMPRODUCT(--ISNUMBER(SEARCH(", "&amp;$B24&amp;", ",", "&amp;'Hoạt động (Đơn của tôi)'!$B$7:$B$500&amp;", ")),--('Hoạt động (Đơn của tôi)'!$AT$7:$AT$500="Pass"))+SUMPRODUCT(--ISNUMBER(SEARCH(", "&amp;$B24&amp;", ",", "&amp;'Ghép nối'!$B$7:$B$500&amp;", ")),--('Ghép nối'!$AT$7:$AT$500="Pass"))+SUMPRODUCT(--ISNUMBER(SEARCH(", "&amp;$B24&amp;", ",", "&amp;'Huỷ đơn - Huỷ nhận đơn'!$B$7:$B$500&amp;", ")),--('Huỷ đơn - Huỷ nhận đơn'!$AT$7:$AT$500="Pass"))+SUMPRODUCT(--ISNUMBER(SEARCH(", "&amp;$B24&amp;", ",", "&amp;'Giao nhận &amp; Theo dõi đơn'!$B$7:$B$500&amp;", ")),--('Giao nhận &amp; Theo dõi đơn'!$AT$7:$AT$500="Pass"))+SUMPRODUCT(--ISNUMBER(SEARCH(", "&amp;$B24&amp;", ",", "&amp;'Bảng tin &amp; Chi tiết tin'!$B$7:$B$500&amp;", ")),--('Bảng tin &amp; Chi tiết tin'!$AT$7:$AT$500="Pass"))+SUMPRODUCT(--ISNUMBER(SEARCH(", "&amp;$B24&amp;", ",", "&amp;'Quà cảm ơn'!$B$7:$B$500&amp;", ")),--('Quà cảm ơn'!$AT$7:$AT$500="Pass"))+SUMPRODUCT(--ISNUMBER(SEARCH(", "&amp;$B24&amp;", ",", "&amp;'Trang chủ'!$B$7:$B$500&amp;", ")),--('Trang chủ'!$AT$7:$AT$500="Pass"))+SUMPRODUCT(--ISNUMBER(SEARCH(", "&amp;$B24&amp;", ",", "&amp;'Thông báo'!$B$7:$B$500&amp;", ")),--('Thông báo'!$AT$7:$AT$500="Pass"))+SUMPRODUCT(--ISNUMBER(SEARCH(", "&amp;$B24&amp;", ",", "&amp;'Đăng tin &amp; Quản lý tin'!$B$7:$B$500&amp;", ")),--('Đăng tin &amp; Quản lý tin'!$AT$7:$AT$500="Pass"))+SUMPRODUCT(--ISNUMBER(SEARCH(", "&amp;$B24&amp;", ",", "&amp;'Trust &amp; Safety'!$B$7:$B$500&amp;", ")),--('Trust &amp; Safety'!$AT$7:$AT$500="Pass"))+SUMPRODUCT(--ISNUMBER(SEARCH(", "&amp;$B24&amp;", ",", "&amp;'Tài khoản &amp; Hồ sơ'!$B$7:$B$500&amp;", ")),--('Tài khoản &amp; Hồ sơ'!$AT$7:$AT$500="Pass"))</f>
        <v>0</v>
      </c>
      <c r="H24" s="51" t="n">
        <f aca="false">SUMPRODUCT(--ISNUMBER(SEARCH(", "&amp;$B24&amp;", ",", "&amp;'Hoạt động (Đơn của tôi)'!$B$7:$B$500&amp;", ")),--('Hoạt động (Đơn của tôi)'!$AT$7:$AT$500="Fail"))+SUMPRODUCT(--ISNUMBER(SEARCH(", "&amp;$B24&amp;", ",", "&amp;'Ghép nối'!$B$7:$B$500&amp;", ")),--('Ghép nối'!$AT$7:$AT$500="Fail"))+SUMPRODUCT(--ISNUMBER(SEARCH(", "&amp;$B24&amp;", ",", "&amp;'Huỷ đơn - Huỷ nhận đơn'!$B$7:$B$500&amp;", ")),--('Huỷ đơn - Huỷ nhận đơn'!$AT$7:$AT$500="Fail"))+SUMPRODUCT(--ISNUMBER(SEARCH(", "&amp;$B24&amp;", ",", "&amp;'Giao nhận &amp; Theo dõi đơn'!$B$7:$B$500&amp;", ")),--('Giao nhận &amp; Theo dõi đơn'!$AT$7:$AT$500="Fail"))+SUMPRODUCT(--ISNUMBER(SEARCH(", "&amp;$B24&amp;", ",", "&amp;'Bảng tin &amp; Chi tiết tin'!$B$7:$B$500&amp;", ")),--('Bảng tin &amp; Chi tiết tin'!$AT$7:$AT$500="Fail"))+SUMPRODUCT(--ISNUMBER(SEARCH(", "&amp;$B24&amp;", ",", "&amp;'Quà cảm ơn'!$B$7:$B$500&amp;", ")),--('Quà cảm ơn'!$AT$7:$AT$500="Fail"))+SUMPRODUCT(--ISNUMBER(SEARCH(", "&amp;$B24&amp;", ",", "&amp;'Trang chủ'!$B$7:$B$500&amp;", ")),--('Trang chủ'!$AT$7:$AT$500="Fail"))+SUMPRODUCT(--ISNUMBER(SEARCH(", "&amp;$B24&amp;", ",", "&amp;'Thông báo'!$B$7:$B$500&amp;", ")),--('Thông báo'!$AT$7:$AT$500="Fail"))+SUMPRODUCT(--ISNUMBER(SEARCH(", "&amp;$B24&amp;", ",", "&amp;'Đăng tin &amp; Quản lý tin'!$B$7:$B$500&amp;", ")),--('Đăng tin &amp; Quản lý tin'!$AT$7:$AT$500="Fail"))+SUMPRODUCT(--ISNUMBER(SEARCH(", "&amp;$B24&amp;", ",", "&amp;'Trust &amp; Safety'!$B$7:$B$500&amp;", ")),--('Trust &amp; Safety'!$AT$7:$AT$500="Fail"))+SUMPRODUCT(--ISNUMBER(SEARCH(", "&amp;$B24&amp;", ",", "&amp;'Tài khoản &amp; Hồ sơ'!$B$7:$B$500&amp;", ")),--('Tài khoản &amp; Hồ sơ'!$AT$7:$AT$500="Fail"))</f>
        <v>0</v>
      </c>
      <c r="I24" s="51" t="n">
        <f aca="false">SUMPRODUCT(--ISNUMBER(SEARCH(", "&amp;$B24&amp;", ",", "&amp;'Hoạt động (Đơn của tôi)'!$B$7:$B$500&amp;", ")),--('Hoạt động (Đơn của tôi)'!$AT$7:$AT$500="Block"))+SUMPRODUCT(--ISNUMBER(SEARCH(", "&amp;$B24&amp;", ",", "&amp;'Ghép nối'!$B$7:$B$500&amp;", ")),--('Ghép nối'!$AT$7:$AT$500="Block"))+SUMPRODUCT(--ISNUMBER(SEARCH(", "&amp;$B24&amp;", ",", "&amp;'Huỷ đơn - Huỷ nhận đơn'!$B$7:$B$500&amp;", ")),--('Huỷ đơn - Huỷ nhận đơn'!$AT$7:$AT$500="Block"))+SUMPRODUCT(--ISNUMBER(SEARCH(", "&amp;$B24&amp;", ",", "&amp;'Giao nhận &amp; Theo dõi đơn'!$B$7:$B$500&amp;", ")),--('Giao nhận &amp; Theo dõi đơn'!$AT$7:$AT$500="Block"))+SUMPRODUCT(--ISNUMBER(SEARCH(", "&amp;$B24&amp;", ",", "&amp;'Bảng tin &amp; Chi tiết tin'!$B$7:$B$500&amp;", ")),--('Bảng tin &amp; Chi tiết tin'!$AT$7:$AT$500="Block"))+SUMPRODUCT(--ISNUMBER(SEARCH(", "&amp;$B24&amp;", ",", "&amp;'Quà cảm ơn'!$B$7:$B$500&amp;", ")),--('Quà cảm ơn'!$AT$7:$AT$500="Block"))+SUMPRODUCT(--ISNUMBER(SEARCH(", "&amp;$B24&amp;", ",", "&amp;'Trang chủ'!$B$7:$B$500&amp;", ")),--('Trang chủ'!$AT$7:$AT$500="Block"))+SUMPRODUCT(--ISNUMBER(SEARCH(", "&amp;$B24&amp;", ",", "&amp;'Thông báo'!$B$7:$B$500&amp;", ")),--('Thông báo'!$AT$7:$AT$500="Block"))+SUMPRODUCT(--ISNUMBER(SEARCH(", "&amp;$B24&amp;", ",", "&amp;'Đăng tin &amp; Quản lý tin'!$B$7:$B$500&amp;", ")),--('Đăng tin &amp; Quản lý tin'!$AT$7:$AT$500="Block"))+SUMPRODUCT(--ISNUMBER(SEARCH(", "&amp;$B24&amp;", ",", "&amp;'Trust &amp; Safety'!$B$7:$B$500&amp;", ")),--('Trust &amp; Safety'!$AT$7:$AT$500="Block"))+SUMPRODUCT(--ISNUMBER(SEARCH(", "&amp;$B24&amp;", ",", "&amp;'Tài khoản &amp; Hồ sơ'!$B$7:$B$500&amp;", ")),--('Tài khoản &amp; Hồ sơ'!$AT$7:$AT$500="Block"))</f>
        <v>0</v>
      </c>
      <c r="J24" s="51" t="n">
        <f aca="false">SUMPRODUCT(--ISNUMBER(SEARCH(", "&amp;$B24&amp;", ",", "&amp;'Hoạt động (Đơn của tôi)'!$B$7:$B$500&amp;", ")),--('Hoạt động (Đơn của tôi)'!$AT$7:$AT$500="N/A"))+SUMPRODUCT(--ISNUMBER(SEARCH(", "&amp;$B24&amp;", ",", "&amp;'Ghép nối'!$B$7:$B$500&amp;", ")),--('Ghép nối'!$AT$7:$AT$500="N/A"))+SUMPRODUCT(--ISNUMBER(SEARCH(", "&amp;$B24&amp;", ",", "&amp;'Huỷ đơn - Huỷ nhận đơn'!$B$7:$B$500&amp;", ")),--('Huỷ đơn - Huỷ nhận đơn'!$AT$7:$AT$500="N/A"))+SUMPRODUCT(--ISNUMBER(SEARCH(", "&amp;$B24&amp;", ",", "&amp;'Giao nhận &amp; Theo dõi đơn'!$B$7:$B$500&amp;", ")),--('Giao nhận &amp; Theo dõi đơn'!$AT$7:$AT$500="N/A"))+SUMPRODUCT(--ISNUMBER(SEARCH(", "&amp;$B24&amp;", ",", "&amp;'Bảng tin &amp; Chi tiết tin'!$B$7:$B$500&amp;", ")),--('Bảng tin &amp; Chi tiết tin'!$AT$7:$AT$500="N/A"))+SUMPRODUCT(--ISNUMBER(SEARCH(", "&amp;$B24&amp;", ",", "&amp;'Quà cảm ơn'!$B$7:$B$500&amp;", ")),--('Quà cảm ơn'!$AT$7:$AT$500="N/A"))+SUMPRODUCT(--ISNUMBER(SEARCH(", "&amp;$B24&amp;", ",", "&amp;'Trang chủ'!$B$7:$B$500&amp;", ")),--('Trang chủ'!$AT$7:$AT$500="N/A"))+SUMPRODUCT(--ISNUMBER(SEARCH(", "&amp;$B24&amp;", ",", "&amp;'Thông báo'!$B$7:$B$500&amp;", ")),--('Thông báo'!$AT$7:$AT$500="N/A"))+SUMPRODUCT(--ISNUMBER(SEARCH(", "&amp;$B24&amp;", ",", "&amp;'Đăng tin &amp; Quản lý tin'!$B$7:$B$500&amp;", ")),--('Đăng tin &amp; Quản lý tin'!$AT$7:$AT$500="N/A"))+SUMPRODUCT(--ISNUMBER(SEARCH(", "&amp;$B24&amp;", ",", "&amp;'Trust &amp; Safety'!$B$7:$B$500&amp;", ")),--('Trust &amp; Safety'!$AT$7:$AT$500="N/A"))+SUMPRODUCT(--ISNUMBER(SEARCH(", "&amp;$B24&amp;", ",", "&amp;'Tài khoản &amp; Hồ sơ'!$B$7:$B$500&amp;", ")),--('Tài khoản &amp; Hồ sơ'!$AT$7:$AT$500="N/A"))</f>
        <v>0</v>
      </c>
      <c r="K24" s="52" t="n">
        <f aca="false">IFERROR(F24/E24,0)</f>
        <v>0</v>
      </c>
      <c r="L24" s="123" t="str">
        <f aca="false">IF(E24=0,"Chưa có TC (gap)",IF(H24&gt;0,"Có lỗi (Fail)",IF(I24&gt;0,"Bị block",IF(F24&lt;E24,"Đang test",IF(G24=0,"Không áp dụng (N/A)","Đã test xong")))))</f>
        <v>Đang test</v>
      </c>
      <c r="AB24" s="1" t="s">
        <v>424</v>
      </c>
    </row>
    <row r="25" customFormat="false" ht="15.75" hidden="false" customHeight="true" outlineLevel="0" collapsed="false">
      <c r="B25" s="175" t="s">
        <v>477</v>
      </c>
      <c r="C25" s="176" t="s">
        <v>478</v>
      </c>
      <c r="D25" s="123" t="s">
        <v>479</v>
      </c>
      <c r="E25" s="51" t="n">
        <f aca="false">SUMPRODUCT(--ISNUMBER(SEARCH(", "&amp;$B25&amp;", ",", "&amp;'Hoạt động (Đơn của tôi)'!$B$7:$B$500&amp;", ")))+SUMPRODUCT(--ISNUMBER(SEARCH(", "&amp;$B25&amp;", ",", "&amp;'Ghép nối'!$B$7:$B$500&amp;", ")))+SUMPRODUCT(--ISNUMBER(SEARCH(", "&amp;$B25&amp;", ",", "&amp;'Huỷ đơn - Huỷ nhận đơn'!$B$7:$B$500&amp;", ")))+SUMPRODUCT(--ISNUMBER(SEARCH(", "&amp;$B25&amp;", ",", "&amp;'Giao nhận &amp; Theo dõi đơn'!$B$7:$B$500&amp;", ")))+SUMPRODUCT(--ISNUMBER(SEARCH(", "&amp;$B25&amp;", ",", "&amp;'Bảng tin &amp; Chi tiết tin'!$B$7:$B$500&amp;", ")))+SUMPRODUCT(--ISNUMBER(SEARCH(", "&amp;$B25&amp;", ",", "&amp;'Quà cảm ơn'!$B$7:$B$500&amp;", ")))+SUMPRODUCT(--ISNUMBER(SEARCH(", "&amp;$B25&amp;", ",", "&amp;'Trang chủ'!$B$7:$B$500&amp;", ")))+SUMPRODUCT(--ISNUMBER(SEARCH(", "&amp;$B25&amp;", ",", "&amp;'Thông báo'!$B$7:$B$500&amp;", ")))+SUMPRODUCT(--ISNUMBER(SEARCH(", "&amp;$B25&amp;", ",", "&amp;'Đăng tin &amp; Quản lý tin'!$B$7:$B$500&amp;", ")))+SUMPRODUCT(--ISNUMBER(SEARCH(", "&amp;$B25&amp;", ",", "&amp;'Trust &amp; Safety'!$B$7:$B$500&amp;", ")))+SUMPRODUCT(--ISNUMBER(SEARCH(", "&amp;$B25&amp;", ",", "&amp;'Tài khoản &amp; Hồ sơ'!$B$7:$B$500&amp;", ")))</f>
        <v>1</v>
      </c>
      <c r="F25" s="51" t="n">
        <f aca="false">SUMPRODUCT(--ISNUMBER(SEARCH(", "&amp;$B25&amp;", ",", "&amp;'Hoạt động (Đơn của tôi)'!$B$7:$B$500&amp;", ")),--('Hoạt động (Đơn của tôi)'!$AT$7:$AT$500&lt;&gt;""))+SUMPRODUCT(--ISNUMBER(SEARCH(", "&amp;$B25&amp;", ",", "&amp;'Ghép nối'!$B$7:$B$500&amp;", ")),--('Ghép nối'!$AT$7:$AT$500&lt;&gt;""))+SUMPRODUCT(--ISNUMBER(SEARCH(", "&amp;$B25&amp;", ",", "&amp;'Huỷ đơn - Huỷ nhận đơn'!$B$7:$B$500&amp;", ")),--('Huỷ đơn - Huỷ nhận đơn'!$AT$7:$AT$500&lt;&gt;""))+SUMPRODUCT(--ISNUMBER(SEARCH(", "&amp;$B25&amp;", ",", "&amp;'Giao nhận &amp; Theo dõi đơn'!$B$7:$B$500&amp;", ")),--('Giao nhận &amp; Theo dõi đơn'!$AT$7:$AT$500&lt;&gt;""))+SUMPRODUCT(--ISNUMBER(SEARCH(", "&amp;$B25&amp;", ",", "&amp;'Bảng tin &amp; Chi tiết tin'!$B$7:$B$500&amp;", ")),--('Bảng tin &amp; Chi tiết tin'!$AT$7:$AT$500&lt;&gt;""))+SUMPRODUCT(--ISNUMBER(SEARCH(", "&amp;$B25&amp;", ",", "&amp;'Quà cảm ơn'!$B$7:$B$500&amp;", ")),--('Quà cảm ơn'!$AT$7:$AT$500&lt;&gt;""))+SUMPRODUCT(--ISNUMBER(SEARCH(", "&amp;$B25&amp;", ",", "&amp;'Trang chủ'!$B$7:$B$500&amp;", ")),--('Trang chủ'!$AT$7:$AT$500&lt;&gt;""))+SUMPRODUCT(--ISNUMBER(SEARCH(", "&amp;$B25&amp;", ",", "&amp;'Thông báo'!$B$7:$B$500&amp;", ")),--('Thông báo'!$AT$7:$AT$500&lt;&gt;""))+SUMPRODUCT(--ISNUMBER(SEARCH(", "&amp;$B25&amp;", ",", "&amp;'Đăng tin &amp; Quản lý tin'!$B$7:$B$500&amp;", ")),--('Đăng tin &amp; Quản lý tin'!$AT$7:$AT$500&lt;&gt;""))+SUMPRODUCT(--ISNUMBER(SEARCH(", "&amp;$B25&amp;", ",", "&amp;'Trust &amp; Safety'!$B$7:$B$500&amp;", ")),--('Trust &amp; Safety'!$AT$7:$AT$500&lt;&gt;""))+SUMPRODUCT(--ISNUMBER(SEARCH(", "&amp;$B25&amp;", ",", "&amp;'Tài khoản &amp; Hồ sơ'!$B$7:$B$500&amp;", ")),--('Tài khoản &amp; Hồ sơ'!$AT$7:$AT$500&lt;&gt;""))</f>
        <v>0</v>
      </c>
      <c r="G25" s="51" t="n">
        <f aca="false">SUMPRODUCT(--ISNUMBER(SEARCH(", "&amp;$B25&amp;", ",", "&amp;'Hoạt động (Đơn của tôi)'!$B$7:$B$500&amp;", ")),--('Hoạt động (Đơn của tôi)'!$AT$7:$AT$500="Pass"))+SUMPRODUCT(--ISNUMBER(SEARCH(", "&amp;$B25&amp;", ",", "&amp;'Ghép nối'!$B$7:$B$500&amp;", ")),--('Ghép nối'!$AT$7:$AT$500="Pass"))+SUMPRODUCT(--ISNUMBER(SEARCH(", "&amp;$B25&amp;", ",", "&amp;'Huỷ đơn - Huỷ nhận đơn'!$B$7:$B$500&amp;", ")),--('Huỷ đơn - Huỷ nhận đơn'!$AT$7:$AT$500="Pass"))+SUMPRODUCT(--ISNUMBER(SEARCH(", "&amp;$B25&amp;", ",", "&amp;'Giao nhận &amp; Theo dõi đơn'!$B$7:$B$500&amp;", ")),--('Giao nhận &amp; Theo dõi đơn'!$AT$7:$AT$500="Pass"))+SUMPRODUCT(--ISNUMBER(SEARCH(", "&amp;$B25&amp;", ",", "&amp;'Bảng tin &amp; Chi tiết tin'!$B$7:$B$500&amp;", ")),--('Bảng tin &amp; Chi tiết tin'!$AT$7:$AT$500="Pass"))+SUMPRODUCT(--ISNUMBER(SEARCH(", "&amp;$B25&amp;", ",", "&amp;'Quà cảm ơn'!$B$7:$B$500&amp;", ")),--('Quà cảm ơn'!$AT$7:$AT$500="Pass"))+SUMPRODUCT(--ISNUMBER(SEARCH(", "&amp;$B25&amp;", ",", "&amp;'Trang chủ'!$B$7:$B$500&amp;", ")),--('Trang chủ'!$AT$7:$AT$500="Pass"))+SUMPRODUCT(--ISNUMBER(SEARCH(", "&amp;$B25&amp;", ",", "&amp;'Thông báo'!$B$7:$B$500&amp;", ")),--('Thông báo'!$AT$7:$AT$500="Pass"))+SUMPRODUCT(--ISNUMBER(SEARCH(", "&amp;$B25&amp;", ",", "&amp;'Đăng tin &amp; Quản lý tin'!$B$7:$B$500&amp;", ")),--('Đăng tin &amp; Quản lý tin'!$AT$7:$AT$500="Pass"))+SUMPRODUCT(--ISNUMBER(SEARCH(", "&amp;$B25&amp;", ",", "&amp;'Trust &amp; Safety'!$B$7:$B$500&amp;", ")),--('Trust &amp; Safety'!$AT$7:$AT$500="Pass"))+SUMPRODUCT(--ISNUMBER(SEARCH(", "&amp;$B25&amp;", ",", "&amp;'Tài khoản &amp; Hồ sơ'!$B$7:$B$500&amp;", ")),--('Tài khoản &amp; Hồ sơ'!$AT$7:$AT$500="Pass"))</f>
        <v>0</v>
      </c>
      <c r="H25" s="51" t="n">
        <f aca="false">SUMPRODUCT(--ISNUMBER(SEARCH(", "&amp;$B25&amp;", ",", "&amp;'Hoạt động (Đơn của tôi)'!$B$7:$B$500&amp;", ")),--('Hoạt động (Đơn của tôi)'!$AT$7:$AT$500="Fail"))+SUMPRODUCT(--ISNUMBER(SEARCH(", "&amp;$B25&amp;", ",", "&amp;'Ghép nối'!$B$7:$B$500&amp;", ")),--('Ghép nối'!$AT$7:$AT$500="Fail"))+SUMPRODUCT(--ISNUMBER(SEARCH(", "&amp;$B25&amp;", ",", "&amp;'Huỷ đơn - Huỷ nhận đơn'!$B$7:$B$500&amp;", ")),--('Huỷ đơn - Huỷ nhận đơn'!$AT$7:$AT$500="Fail"))+SUMPRODUCT(--ISNUMBER(SEARCH(", "&amp;$B25&amp;", ",", "&amp;'Giao nhận &amp; Theo dõi đơn'!$B$7:$B$500&amp;", ")),--('Giao nhận &amp; Theo dõi đơn'!$AT$7:$AT$500="Fail"))+SUMPRODUCT(--ISNUMBER(SEARCH(", "&amp;$B25&amp;", ",", "&amp;'Bảng tin &amp; Chi tiết tin'!$B$7:$B$500&amp;", ")),--('Bảng tin &amp; Chi tiết tin'!$AT$7:$AT$500="Fail"))+SUMPRODUCT(--ISNUMBER(SEARCH(", "&amp;$B25&amp;", ",", "&amp;'Quà cảm ơn'!$B$7:$B$500&amp;", ")),--('Quà cảm ơn'!$AT$7:$AT$500="Fail"))+SUMPRODUCT(--ISNUMBER(SEARCH(", "&amp;$B25&amp;", ",", "&amp;'Trang chủ'!$B$7:$B$500&amp;", ")),--('Trang chủ'!$AT$7:$AT$500="Fail"))+SUMPRODUCT(--ISNUMBER(SEARCH(", "&amp;$B25&amp;", ",", "&amp;'Thông báo'!$B$7:$B$500&amp;", ")),--('Thông báo'!$AT$7:$AT$500="Fail"))+SUMPRODUCT(--ISNUMBER(SEARCH(", "&amp;$B25&amp;", ",", "&amp;'Đăng tin &amp; Quản lý tin'!$B$7:$B$500&amp;", ")),--('Đăng tin &amp; Quản lý tin'!$AT$7:$AT$500="Fail"))+SUMPRODUCT(--ISNUMBER(SEARCH(", "&amp;$B25&amp;", ",", "&amp;'Trust &amp; Safety'!$B$7:$B$500&amp;", ")),--('Trust &amp; Safety'!$AT$7:$AT$500="Fail"))+SUMPRODUCT(--ISNUMBER(SEARCH(", "&amp;$B25&amp;", ",", "&amp;'Tài khoản &amp; Hồ sơ'!$B$7:$B$500&amp;", ")),--('Tài khoản &amp; Hồ sơ'!$AT$7:$AT$500="Fail"))</f>
        <v>0</v>
      </c>
      <c r="I25" s="51" t="n">
        <f aca="false">SUMPRODUCT(--ISNUMBER(SEARCH(", "&amp;$B25&amp;", ",", "&amp;'Hoạt động (Đơn của tôi)'!$B$7:$B$500&amp;", ")),--('Hoạt động (Đơn của tôi)'!$AT$7:$AT$500="Block"))+SUMPRODUCT(--ISNUMBER(SEARCH(", "&amp;$B25&amp;", ",", "&amp;'Ghép nối'!$B$7:$B$500&amp;", ")),--('Ghép nối'!$AT$7:$AT$500="Block"))+SUMPRODUCT(--ISNUMBER(SEARCH(", "&amp;$B25&amp;", ",", "&amp;'Huỷ đơn - Huỷ nhận đơn'!$B$7:$B$500&amp;", ")),--('Huỷ đơn - Huỷ nhận đơn'!$AT$7:$AT$500="Block"))+SUMPRODUCT(--ISNUMBER(SEARCH(", "&amp;$B25&amp;", ",", "&amp;'Giao nhận &amp; Theo dõi đơn'!$B$7:$B$500&amp;", ")),--('Giao nhận &amp; Theo dõi đơn'!$AT$7:$AT$500="Block"))+SUMPRODUCT(--ISNUMBER(SEARCH(", "&amp;$B25&amp;", ",", "&amp;'Bảng tin &amp; Chi tiết tin'!$B$7:$B$500&amp;", ")),--('Bảng tin &amp; Chi tiết tin'!$AT$7:$AT$500="Block"))+SUMPRODUCT(--ISNUMBER(SEARCH(", "&amp;$B25&amp;", ",", "&amp;'Quà cảm ơn'!$B$7:$B$500&amp;", ")),--('Quà cảm ơn'!$AT$7:$AT$500="Block"))+SUMPRODUCT(--ISNUMBER(SEARCH(", "&amp;$B25&amp;", ",", "&amp;'Trang chủ'!$B$7:$B$500&amp;", ")),--('Trang chủ'!$AT$7:$AT$500="Block"))+SUMPRODUCT(--ISNUMBER(SEARCH(", "&amp;$B25&amp;", ",", "&amp;'Thông báo'!$B$7:$B$500&amp;", ")),--('Thông báo'!$AT$7:$AT$500="Block"))+SUMPRODUCT(--ISNUMBER(SEARCH(", "&amp;$B25&amp;", ",", "&amp;'Đăng tin &amp; Quản lý tin'!$B$7:$B$500&amp;", ")),--('Đăng tin &amp; Quản lý tin'!$AT$7:$AT$500="Block"))+SUMPRODUCT(--ISNUMBER(SEARCH(", "&amp;$B25&amp;", ",", "&amp;'Trust &amp; Safety'!$B$7:$B$500&amp;", ")),--('Trust &amp; Safety'!$AT$7:$AT$500="Block"))+SUMPRODUCT(--ISNUMBER(SEARCH(", "&amp;$B25&amp;", ",", "&amp;'Tài khoản &amp; Hồ sơ'!$B$7:$B$500&amp;", ")),--('Tài khoản &amp; Hồ sơ'!$AT$7:$AT$500="Block"))</f>
        <v>0</v>
      </c>
      <c r="J25" s="51" t="n">
        <f aca="false">SUMPRODUCT(--ISNUMBER(SEARCH(", "&amp;$B25&amp;", ",", "&amp;'Hoạt động (Đơn của tôi)'!$B$7:$B$500&amp;", ")),--('Hoạt động (Đơn của tôi)'!$AT$7:$AT$500="N/A"))+SUMPRODUCT(--ISNUMBER(SEARCH(", "&amp;$B25&amp;", ",", "&amp;'Ghép nối'!$B$7:$B$500&amp;", ")),--('Ghép nối'!$AT$7:$AT$500="N/A"))+SUMPRODUCT(--ISNUMBER(SEARCH(", "&amp;$B25&amp;", ",", "&amp;'Huỷ đơn - Huỷ nhận đơn'!$B$7:$B$500&amp;", ")),--('Huỷ đơn - Huỷ nhận đơn'!$AT$7:$AT$500="N/A"))+SUMPRODUCT(--ISNUMBER(SEARCH(", "&amp;$B25&amp;", ",", "&amp;'Giao nhận &amp; Theo dõi đơn'!$B$7:$B$500&amp;", ")),--('Giao nhận &amp; Theo dõi đơn'!$AT$7:$AT$500="N/A"))+SUMPRODUCT(--ISNUMBER(SEARCH(", "&amp;$B25&amp;", ",", "&amp;'Bảng tin &amp; Chi tiết tin'!$B$7:$B$500&amp;", ")),--('Bảng tin &amp; Chi tiết tin'!$AT$7:$AT$500="N/A"))+SUMPRODUCT(--ISNUMBER(SEARCH(", "&amp;$B25&amp;", ",", "&amp;'Quà cảm ơn'!$B$7:$B$500&amp;", ")),--('Quà cảm ơn'!$AT$7:$AT$500="N/A"))+SUMPRODUCT(--ISNUMBER(SEARCH(", "&amp;$B25&amp;", ",", "&amp;'Trang chủ'!$B$7:$B$500&amp;", ")),--('Trang chủ'!$AT$7:$AT$500="N/A"))+SUMPRODUCT(--ISNUMBER(SEARCH(", "&amp;$B25&amp;", ",", "&amp;'Thông báo'!$B$7:$B$500&amp;", ")),--('Thông báo'!$AT$7:$AT$500="N/A"))+SUMPRODUCT(--ISNUMBER(SEARCH(", "&amp;$B25&amp;", ",", "&amp;'Đăng tin &amp; Quản lý tin'!$B$7:$B$500&amp;", ")),--('Đăng tin &amp; Quản lý tin'!$AT$7:$AT$500="N/A"))+SUMPRODUCT(--ISNUMBER(SEARCH(", "&amp;$B25&amp;", ",", "&amp;'Trust &amp; Safety'!$B$7:$B$500&amp;", ")),--('Trust &amp; Safety'!$AT$7:$AT$500="N/A"))+SUMPRODUCT(--ISNUMBER(SEARCH(", "&amp;$B25&amp;", ",", "&amp;'Tài khoản &amp; Hồ sơ'!$B$7:$B$500&amp;", ")),--('Tài khoản &amp; Hồ sơ'!$AT$7:$AT$500="N/A"))</f>
        <v>0</v>
      </c>
      <c r="K25" s="52" t="n">
        <f aca="false">IFERROR(F25/E25,0)</f>
        <v>0</v>
      </c>
      <c r="L25" s="123" t="str">
        <f aca="false">IF(E25=0,"Chưa có TC (gap)",IF(H25&gt;0,"Có lỗi (Fail)",IF(I25&gt;0,"Bị block",IF(F25&lt;E25,"Đang test",IF(G25=0,"Không áp dụng (N/A)","Đã test xong")))))</f>
        <v>Đang test</v>
      </c>
      <c r="AB25" s="1" t="s">
        <v>424</v>
      </c>
    </row>
    <row r="26" customFormat="false" ht="15.75" hidden="false" customHeight="true" outlineLevel="0" collapsed="false">
      <c r="B26" s="175" t="s">
        <v>480</v>
      </c>
      <c r="C26" s="176" t="s">
        <v>481</v>
      </c>
      <c r="D26" s="123" t="s">
        <v>482</v>
      </c>
      <c r="E26" s="51" t="n">
        <f aca="false">SUMPRODUCT(--ISNUMBER(SEARCH(", "&amp;$B26&amp;", ",", "&amp;'Hoạt động (Đơn của tôi)'!$B$7:$B$500&amp;", ")))+SUMPRODUCT(--ISNUMBER(SEARCH(", "&amp;$B26&amp;", ",", "&amp;'Ghép nối'!$B$7:$B$500&amp;", ")))+SUMPRODUCT(--ISNUMBER(SEARCH(", "&amp;$B26&amp;", ",", "&amp;'Huỷ đơn - Huỷ nhận đơn'!$B$7:$B$500&amp;", ")))+SUMPRODUCT(--ISNUMBER(SEARCH(", "&amp;$B26&amp;", ",", "&amp;'Giao nhận &amp; Theo dõi đơn'!$B$7:$B$500&amp;", ")))+SUMPRODUCT(--ISNUMBER(SEARCH(", "&amp;$B26&amp;", ",", "&amp;'Bảng tin &amp; Chi tiết tin'!$B$7:$B$500&amp;", ")))+SUMPRODUCT(--ISNUMBER(SEARCH(", "&amp;$B26&amp;", ",", "&amp;'Quà cảm ơn'!$B$7:$B$500&amp;", ")))+SUMPRODUCT(--ISNUMBER(SEARCH(", "&amp;$B26&amp;", ",", "&amp;'Trang chủ'!$B$7:$B$500&amp;", ")))+SUMPRODUCT(--ISNUMBER(SEARCH(", "&amp;$B26&amp;", ",", "&amp;'Thông báo'!$B$7:$B$500&amp;", ")))+SUMPRODUCT(--ISNUMBER(SEARCH(", "&amp;$B26&amp;", ",", "&amp;'Đăng tin &amp; Quản lý tin'!$B$7:$B$500&amp;", ")))+SUMPRODUCT(--ISNUMBER(SEARCH(", "&amp;$B26&amp;", ",", "&amp;'Trust &amp; Safety'!$B$7:$B$500&amp;", ")))+SUMPRODUCT(--ISNUMBER(SEARCH(", "&amp;$B26&amp;", ",", "&amp;'Tài khoản &amp; Hồ sơ'!$B$7:$B$500&amp;", ")))</f>
        <v>2</v>
      </c>
      <c r="F26" s="51" t="n">
        <f aca="false">SUMPRODUCT(--ISNUMBER(SEARCH(", "&amp;$B26&amp;", ",", "&amp;'Hoạt động (Đơn của tôi)'!$B$7:$B$500&amp;", ")),--('Hoạt động (Đơn của tôi)'!$AT$7:$AT$500&lt;&gt;""))+SUMPRODUCT(--ISNUMBER(SEARCH(", "&amp;$B26&amp;", ",", "&amp;'Ghép nối'!$B$7:$B$500&amp;", ")),--('Ghép nối'!$AT$7:$AT$500&lt;&gt;""))+SUMPRODUCT(--ISNUMBER(SEARCH(", "&amp;$B26&amp;", ",", "&amp;'Huỷ đơn - Huỷ nhận đơn'!$B$7:$B$500&amp;", ")),--('Huỷ đơn - Huỷ nhận đơn'!$AT$7:$AT$500&lt;&gt;""))+SUMPRODUCT(--ISNUMBER(SEARCH(", "&amp;$B26&amp;", ",", "&amp;'Giao nhận &amp; Theo dõi đơn'!$B$7:$B$500&amp;", ")),--('Giao nhận &amp; Theo dõi đơn'!$AT$7:$AT$500&lt;&gt;""))+SUMPRODUCT(--ISNUMBER(SEARCH(", "&amp;$B26&amp;", ",", "&amp;'Bảng tin &amp; Chi tiết tin'!$B$7:$B$500&amp;", ")),--('Bảng tin &amp; Chi tiết tin'!$AT$7:$AT$500&lt;&gt;""))+SUMPRODUCT(--ISNUMBER(SEARCH(", "&amp;$B26&amp;", ",", "&amp;'Quà cảm ơn'!$B$7:$B$500&amp;", ")),--('Quà cảm ơn'!$AT$7:$AT$500&lt;&gt;""))+SUMPRODUCT(--ISNUMBER(SEARCH(", "&amp;$B26&amp;", ",", "&amp;'Trang chủ'!$B$7:$B$500&amp;", ")),--('Trang chủ'!$AT$7:$AT$500&lt;&gt;""))+SUMPRODUCT(--ISNUMBER(SEARCH(", "&amp;$B26&amp;", ",", "&amp;'Thông báo'!$B$7:$B$500&amp;", ")),--('Thông báo'!$AT$7:$AT$500&lt;&gt;""))+SUMPRODUCT(--ISNUMBER(SEARCH(", "&amp;$B26&amp;", ",", "&amp;'Đăng tin &amp; Quản lý tin'!$B$7:$B$500&amp;", ")),--('Đăng tin &amp; Quản lý tin'!$AT$7:$AT$500&lt;&gt;""))+SUMPRODUCT(--ISNUMBER(SEARCH(", "&amp;$B26&amp;", ",", "&amp;'Trust &amp; Safety'!$B$7:$B$500&amp;", ")),--('Trust &amp; Safety'!$AT$7:$AT$500&lt;&gt;""))+SUMPRODUCT(--ISNUMBER(SEARCH(", "&amp;$B26&amp;", ",", "&amp;'Tài khoản &amp; Hồ sơ'!$B$7:$B$500&amp;", ")),--('Tài khoản &amp; Hồ sơ'!$AT$7:$AT$500&lt;&gt;""))</f>
        <v>0</v>
      </c>
      <c r="G26" s="51" t="n">
        <f aca="false">SUMPRODUCT(--ISNUMBER(SEARCH(", "&amp;$B26&amp;", ",", "&amp;'Hoạt động (Đơn của tôi)'!$B$7:$B$500&amp;", ")),--('Hoạt động (Đơn của tôi)'!$AT$7:$AT$500="Pass"))+SUMPRODUCT(--ISNUMBER(SEARCH(", "&amp;$B26&amp;", ",", "&amp;'Ghép nối'!$B$7:$B$500&amp;", ")),--('Ghép nối'!$AT$7:$AT$500="Pass"))+SUMPRODUCT(--ISNUMBER(SEARCH(", "&amp;$B26&amp;", ",", "&amp;'Huỷ đơn - Huỷ nhận đơn'!$B$7:$B$500&amp;", ")),--('Huỷ đơn - Huỷ nhận đơn'!$AT$7:$AT$500="Pass"))+SUMPRODUCT(--ISNUMBER(SEARCH(", "&amp;$B26&amp;", ",", "&amp;'Giao nhận &amp; Theo dõi đơn'!$B$7:$B$500&amp;", ")),--('Giao nhận &amp; Theo dõi đơn'!$AT$7:$AT$500="Pass"))+SUMPRODUCT(--ISNUMBER(SEARCH(", "&amp;$B26&amp;", ",", "&amp;'Bảng tin &amp; Chi tiết tin'!$B$7:$B$500&amp;", ")),--('Bảng tin &amp; Chi tiết tin'!$AT$7:$AT$500="Pass"))+SUMPRODUCT(--ISNUMBER(SEARCH(", "&amp;$B26&amp;", ",", "&amp;'Quà cảm ơn'!$B$7:$B$500&amp;", ")),--('Quà cảm ơn'!$AT$7:$AT$500="Pass"))+SUMPRODUCT(--ISNUMBER(SEARCH(", "&amp;$B26&amp;", ",", "&amp;'Trang chủ'!$B$7:$B$500&amp;", ")),--('Trang chủ'!$AT$7:$AT$500="Pass"))+SUMPRODUCT(--ISNUMBER(SEARCH(", "&amp;$B26&amp;", ",", "&amp;'Thông báo'!$B$7:$B$500&amp;", ")),--('Thông báo'!$AT$7:$AT$500="Pass"))+SUMPRODUCT(--ISNUMBER(SEARCH(", "&amp;$B26&amp;", ",", "&amp;'Đăng tin &amp; Quản lý tin'!$B$7:$B$500&amp;", ")),--('Đăng tin &amp; Quản lý tin'!$AT$7:$AT$500="Pass"))+SUMPRODUCT(--ISNUMBER(SEARCH(", "&amp;$B26&amp;", ",", "&amp;'Trust &amp; Safety'!$B$7:$B$500&amp;", ")),--('Trust &amp; Safety'!$AT$7:$AT$500="Pass"))+SUMPRODUCT(--ISNUMBER(SEARCH(", "&amp;$B26&amp;", ",", "&amp;'Tài khoản &amp; Hồ sơ'!$B$7:$B$500&amp;", ")),--('Tài khoản &amp; Hồ sơ'!$AT$7:$AT$500="Pass"))</f>
        <v>0</v>
      </c>
      <c r="H26" s="51" t="n">
        <f aca="false">SUMPRODUCT(--ISNUMBER(SEARCH(", "&amp;$B26&amp;", ",", "&amp;'Hoạt động (Đơn của tôi)'!$B$7:$B$500&amp;", ")),--('Hoạt động (Đơn của tôi)'!$AT$7:$AT$500="Fail"))+SUMPRODUCT(--ISNUMBER(SEARCH(", "&amp;$B26&amp;", ",", "&amp;'Ghép nối'!$B$7:$B$500&amp;", ")),--('Ghép nối'!$AT$7:$AT$500="Fail"))+SUMPRODUCT(--ISNUMBER(SEARCH(", "&amp;$B26&amp;", ",", "&amp;'Huỷ đơn - Huỷ nhận đơn'!$B$7:$B$500&amp;", ")),--('Huỷ đơn - Huỷ nhận đơn'!$AT$7:$AT$500="Fail"))+SUMPRODUCT(--ISNUMBER(SEARCH(", "&amp;$B26&amp;", ",", "&amp;'Giao nhận &amp; Theo dõi đơn'!$B$7:$B$500&amp;", ")),--('Giao nhận &amp; Theo dõi đơn'!$AT$7:$AT$500="Fail"))+SUMPRODUCT(--ISNUMBER(SEARCH(", "&amp;$B26&amp;", ",", "&amp;'Bảng tin &amp; Chi tiết tin'!$B$7:$B$500&amp;", ")),--('Bảng tin &amp; Chi tiết tin'!$AT$7:$AT$500="Fail"))+SUMPRODUCT(--ISNUMBER(SEARCH(", "&amp;$B26&amp;", ",", "&amp;'Quà cảm ơn'!$B$7:$B$500&amp;", ")),--('Quà cảm ơn'!$AT$7:$AT$500="Fail"))+SUMPRODUCT(--ISNUMBER(SEARCH(", "&amp;$B26&amp;", ",", "&amp;'Trang chủ'!$B$7:$B$500&amp;", ")),--('Trang chủ'!$AT$7:$AT$500="Fail"))+SUMPRODUCT(--ISNUMBER(SEARCH(", "&amp;$B26&amp;", ",", "&amp;'Thông báo'!$B$7:$B$500&amp;", ")),--('Thông báo'!$AT$7:$AT$500="Fail"))+SUMPRODUCT(--ISNUMBER(SEARCH(", "&amp;$B26&amp;", ",", "&amp;'Đăng tin &amp; Quản lý tin'!$B$7:$B$500&amp;", ")),--('Đăng tin &amp; Quản lý tin'!$AT$7:$AT$500="Fail"))+SUMPRODUCT(--ISNUMBER(SEARCH(", "&amp;$B26&amp;", ",", "&amp;'Trust &amp; Safety'!$B$7:$B$500&amp;", ")),--('Trust &amp; Safety'!$AT$7:$AT$500="Fail"))+SUMPRODUCT(--ISNUMBER(SEARCH(", "&amp;$B26&amp;", ",", "&amp;'Tài khoản &amp; Hồ sơ'!$B$7:$B$500&amp;", ")),--('Tài khoản &amp; Hồ sơ'!$AT$7:$AT$500="Fail"))</f>
        <v>0</v>
      </c>
      <c r="I26" s="51" t="n">
        <f aca="false">SUMPRODUCT(--ISNUMBER(SEARCH(", "&amp;$B26&amp;", ",", "&amp;'Hoạt động (Đơn của tôi)'!$B$7:$B$500&amp;", ")),--('Hoạt động (Đơn của tôi)'!$AT$7:$AT$500="Block"))+SUMPRODUCT(--ISNUMBER(SEARCH(", "&amp;$B26&amp;", ",", "&amp;'Ghép nối'!$B$7:$B$500&amp;", ")),--('Ghép nối'!$AT$7:$AT$500="Block"))+SUMPRODUCT(--ISNUMBER(SEARCH(", "&amp;$B26&amp;", ",", "&amp;'Huỷ đơn - Huỷ nhận đơn'!$B$7:$B$500&amp;", ")),--('Huỷ đơn - Huỷ nhận đơn'!$AT$7:$AT$500="Block"))+SUMPRODUCT(--ISNUMBER(SEARCH(", "&amp;$B26&amp;", ",", "&amp;'Giao nhận &amp; Theo dõi đơn'!$B$7:$B$500&amp;", ")),--('Giao nhận &amp; Theo dõi đơn'!$AT$7:$AT$500="Block"))+SUMPRODUCT(--ISNUMBER(SEARCH(", "&amp;$B26&amp;", ",", "&amp;'Bảng tin &amp; Chi tiết tin'!$B$7:$B$500&amp;", ")),--('Bảng tin &amp; Chi tiết tin'!$AT$7:$AT$500="Block"))+SUMPRODUCT(--ISNUMBER(SEARCH(", "&amp;$B26&amp;", ",", "&amp;'Quà cảm ơn'!$B$7:$B$500&amp;", ")),--('Quà cảm ơn'!$AT$7:$AT$500="Block"))+SUMPRODUCT(--ISNUMBER(SEARCH(", "&amp;$B26&amp;", ",", "&amp;'Trang chủ'!$B$7:$B$500&amp;", ")),--('Trang chủ'!$AT$7:$AT$500="Block"))+SUMPRODUCT(--ISNUMBER(SEARCH(", "&amp;$B26&amp;", ",", "&amp;'Thông báo'!$B$7:$B$500&amp;", ")),--('Thông báo'!$AT$7:$AT$500="Block"))+SUMPRODUCT(--ISNUMBER(SEARCH(", "&amp;$B26&amp;", ",", "&amp;'Đăng tin &amp; Quản lý tin'!$B$7:$B$500&amp;", ")),--('Đăng tin &amp; Quản lý tin'!$AT$7:$AT$500="Block"))+SUMPRODUCT(--ISNUMBER(SEARCH(", "&amp;$B26&amp;", ",", "&amp;'Trust &amp; Safety'!$B$7:$B$500&amp;", ")),--('Trust &amp; Safety'!$AT$7:$AT$500="Block"))+SUMPRODUCT(--ISNUMBER(SEARCH(", "&amp;$B26&amp;", ",", "&amp;'Tài khoản &amp; Hồ sơ'!$B$7:$B$500&amp;", ")),--('Tài khoản &amp; Hồ sơ'!$AT$7:$AT$500="Block"))</f>
        <v>0</v>
      </c>
      <c r="J26" s="51" t="n">
        <f aca="false">SUMPRODUCT(--ISNUMBER(SEARCH(", "&amp;$B26&amp;", ",", "&amp;'Hoạt động (Đơn của tôi)'!$B$7:$B$500&amp;", ")),--('Hoạt động (Đơn của tôi)'!$AT$7:$AT$500="N/A"))+SUMPRODUCT(--ISNUMBER(SEARCH(", "&amp;$B26&amp;", ",", "&amp;'Ghép nối'!$B$7:$B$500&amp;", ")),--('Ghép nối'!$AT$7:$AT$500="N/A"))+SUMPRODUCT(--ISNUMBER(SEARCH(", "&amp;$B26&amp;", ",", "&amp;'Huỷ đơn - Huỷ nhận đơn'!$B$7:$B$500&amp;", ")),--('Huỷ đơn - Huỷ nhận đơn'!$AT$7:$AT$500="N/A"))+SUMPRODUCT(--ISNUMBER(SEARCH(", "&amp;$B26&amp;", ",", "&amp;'Giao nhận &amp; Theo dõi đơn'!$B$7:$B$500&amp;", ")),--('Giao nhận &amp; Theo dõi đơn'!$AT$7:$AT$500="N/A"))+SUMPRODUCT(--ISNUMBER(SEARCH(", "&amp;$B26&amp;", ",", "&amp;'Bảng tin &amp; Chi tiết tin'!$B$7:$B$500&amp;", ")),--('Bảng tin &amp; Chi tiết tin'!$AT$7:$AT$500="N/A"))+SUMPRODUCT(--ISNUMBER(SEARCH(", "&amp;$B26&amp;", ",", "&amp;'Quà cảm ơn'!$B$7:$B$500&amp;", ")),--('Quà cảm ơn'!$AT$7:$AT$500="N/A"))+SUMPRODUCT(--ISNUMBER(SEARCH(", "&amp;$B26&amp;", ",", "&amp;'Trang chủ'!$B$7:$B$500&amp;", ")),--('Trang chủ'!$AT$7:$AT$500="N/A"))+SUMPRODUCT(--ISNUMBER(SEARCH(", "&amp;$B26&amp;", ",", "&amp;'Thông báo'!$B$7:$B$500&amp;", ")),--('Thông báo'!$AT$7:$AT$500="N/A"))+SUMPRODUCT(--ISNUMBER(SEARCH(", "&amp;$B26&amp;", ",", "&amp;'Đăng tin &amp; Quản lý tin'!$B$7:$B$500&amp;", ")),--('Đăng tin &amp; Quản lý tin'!$AT$7:$AT$500="N/A"))+SUMPRODUCT(--ISNUMBER(SEARCH(", "&amp;$B26&amp;", ",", "&amp;'Trust &amp; Safety'!$B$7:$B$500&amp;", ")),--('Trust &amp; Safety'!$AT$7:$AT$500="N/A"))+SUMPRODUCT(--ISNUMBER(SEARCH(", "&amp;$B26&amp;", ",", "&amp;'Tài khoản &amp; Hồ sơ'!$B$7:$B$500&amp;", ")),--('Tài khoản &amp; Hồ sơ'!$AT$7:$AT$500="N/A"))</f>
        <v>0</v>
      </c>
      <c r="K26" s="52" t="n">
        <f aca="false">IFERROR(F26/E26,0)</f>
        <v>0</v>
      </c>
      <c r="L26" s="123" t="str">
        <f aca="false">IF(E26=0,"Chưa có TC (gap)",IF(H26&gt;0,"Có lỗi (Fail)",IF(I26&gt;0,"Bị block",IF(F26&lt;E26,"Đang test",IF(G26=0,"Không áp dụng (N/A)","Đã test xong")))))</f>
        <v>Đang test</v>
      </c>
      <c r="AB26" s="1" t="s">
        <v>424</v>
      </c>
    </row>
    <row r="27" customFormat="false" ht="15.75" hidden="false" customHeight="true" outlineLevel="0" collapsed="false">
      <c r="B27" s="175" t="s">
        <v>483</v>
      </c>
      <c r="C27" s="176" t="s">
        <v>484</v>
      </c>
      <c r="D27" s="123" t="s">
        <v>485</v>
      </c>
      <c r="E27" s="51" t="n">
        <f aca="false">SUMPRODUCT(--ISNUMBER(SEARCH(", "&amp;$B27&amp;", ",", "&amp;'Hoạt động (Đơn của tôi)'!$B$7:$B$500&amp;", ")))+SUMPRODUCT(--ISNUMBER(SEARCH(", "&amp;$B27&amp;", ",", "&amp;'Ghép nối'!$B$7:$B$500&amp;", ")))+SUMPRODUCT(--ISNUMBER(SEARCH(", "&amp;$B27&amp;", ",", "&amp;'Huỷ đơn - Huỷ nhận đơn'!$B$7:$B$500&amp;", ")))+SUMPRODUCT(--ISNUMBER(SEARCH(", "&amp;$B27&amp;", ",", "&amp;'Giao nhận &amp; Theo dõi đơn'!$B$7:$B$500&amp;", ")))+SUMPRODUCT(--ISNUMBER(SEARCH(", "&amp;$B27&amp;", ",", "&amp;'Bảng tin &amp; Chi tiết tin'!$B$7:$B$500&amp;", ")))+SUMPRODUCT(--ISNUMBER(SEARCH(", "&amp;$B27&amp;", ",", "&amp;'Quà cảm ơn'!$B$7:$B$500&amp;", ")))+SUMPRODUCT(--ISNUMBER(SEARCH(", "&amp;$B27&amp;", ",", "&amp;'Trang chủ'!$B$7:$B$500&amp;", ")))+SUMPRODUCT(--ISNUMBER(SEARCH(", "&amp;$B27&amp;", ",", "&amp;'Thông báo'!$B$7:$B$500&amp;", ")))+SUMPRODUCT(--ISNUMBER(SEARCH(", "&amp;$B27&amp;", ",", "&amp;'Đăng tin &amp; Quản lý tin'!$B$7:$B$500&amp;", ")))+SUMPRODUCT(--ISNUMBER(SEARCH(", "&amp;$B27&amp;", ",", "&amp;'Trust &amp; Safety'!$B$7:$B$500&amp;", ")))+SUMPRODUCT(--ISNUMBER(SEARCH(", "&amp;$B27&amp;", ",", "&amp;'Tài khoản &amp; Hồ sơ'!$B$7:$B$500&amp;", ")))</f>
        <v>7</v>
      </c>
      <c r="F27" s="51" t="n">
        <f aca="false">SUMPRODUCT(--ISNUMBER(SEARCH(", "&amp;$B27&amp;", ",", "&amp;'Hoạt động (Đơn của tôi)'!$B$7:$B$500&amp;", ")),--('Hoạt động (Đơn của tôi)'!$AT$7:$AT$500&lt;&gt;""))+SUMPRODUCT(--ISNUMBER(SEARCH(", "&amp;$B27&amp;", ",", "&amp;'Ghép nối'!$B$7:$B$500&amp;", ")),--('Ghép nối'!$AT$7:$AT$500&lt;&gt;""))+SUMPRODUCT(--ISNUMBER(SEARCH(", "&amp;$B27&amp;", ",", "&amp;'Huỷ đơn - Huỷ nhận đơn'!$B$7:$B$500&amp;", ")),--('Huỷ đơn - Huỷ nhận đơn'!$AT$7:$AT$500&lt;&gt;""))+SUMPRODUCT(--ISNUMBER(SEARCH(", "&amp;$B27&amp;", ",", "&amp;'Giao nhận &amp; Theo dõi đơn'!$B$7:$B$500&amp;", ")),--('Giao nhận &amp; Theo dõi đơn'!$AT$7:$AT$500&lt;&gt;""))+SUMPRODUCT(--ISNUMBER(SEARCH(", "&amp;$B27&amp;", ",", "&amp;'Bảng tin &amp; Chi tiết tin'!$B$7:$B$500&amp;", ")),--('Bảng tin &amp; Chi tiết tin'!$AT$7:$AT$500&lt;&gt;""))+SUMPRODUCT(--ISNUMBER(SEARCH(", "&amp;$B27&amp;", ",", "&amp;'Quà cảm ơn'!$B$7:$B$500&amp;", ")),--('Quà cảm ơn'!$AT$7:$AT$500&lt;&gt;""))+SUMPRODUCT(--ISNUMBER(SEARCH(", "&amp;$B27&amp;", ",", "&amp;'Trang chủ'!$B$7:$B$500&amp;", ")),--('Trang chủ'!$AT$7:$AT$500&lt;&gt;""))+SUMPRODUCT(--ISNUMBER(SEARCH(", "&amp;$B27&amp;", ",", "&amp;'Thông báo'!$B$7:$B$500&amp;", ")),--('Thông báo'!$AT$7:$AT$500&lt;&gt;""))+SUMPRODUCT(--ISNUMBER(SEARCH(", "&amp;$B27&amp;", ",", "&amp;'Đăng tin &amp; Quản lý tin'!$B$7:$B$500&amp;", ")),--('Đăng tin &amp; Quản lý tin'!$AT$7:$AT$500&lt;&gt;""))+SUMPRODUCT(--ISNUMBER(SEARCH(", "&amp;$B27&amp;", ",", "&amp;'Trust &amp; Safety'!$B$7:$B$500&amp;", ")),--('Trust &amp; Safety'!$AT$7:$AT$500&lt;&gt;""))+SUMPRODUCT(--ISNUMBER(SEARCH(", "&amp;$B27&amp;", ",", "&amp;'Tài khoản &amp; Hồ sơ'!$B$7:$B$500&amp;", ")),--('Tài khoản &amp; Hồ sơ'!$AT$7:$AT$500&lt;&gt;""))</f>
        <v>0</v>
      </c>
      <c r="G27" s="51" t="n">
        <f aca="false">SUMPRODUCT(--ISNUMBER(SEARCH(", "&amp;$B27&amp;", ",", "&amp;'Hoạt động (Đơn của tôi)'!$B$7:$B$500&amp;", ")),--('Hoạt động (Đơn của tôi)'!$AT$7:$AT$500="Pass"))+SUMPRODUCT(--ISNUMBER(SEARCH(", "&amp;$B27&amp;", ",", "&amp;'Ghép nối'!$B$7:$B$500&amp;", ")),--('Ghép nối'!$AT$7:$AT$500="Pass"))+SUMPRODUCT(--ISNUMBER(SEARCH(", "&amp;$B27&amp;", ",", "&amp;'Huỷ đơn - Huỷ nhận đơn'!$B$7:$B$500&amp;", ")),--('Huỷ đơn - Huỷ nhận đơn'!$AT$7:$AT$500="Pass"))+SUMPRODUCT(--ISNUMBER(SEARCH(", "&amp;$B27&amp;", ",", "&amp;'Giao nhận &amp; Theo dõi đơn'!$B$7:$B$500&amp;", ")),--('Giao nhận &amp; Theo dõi đơn'!$AT$7:$AT$500="Pass"))+SUMPRODUCT(--ISNUMBER(SEARCH(", "&amp;$B27&amp;", ",", "&amp;'Bảng tin &amp; Chi tiết tin'!$B$7:$B$500&amp;", ")),--('Bảng tin &amp; Chi tiết tin'!$AT$7:$AT$500="Pass"))+SUMPRODUCT(--ISNUMBER(SEARCH(", "&amp;$B27&amp;", ",", "&amp;'Quà cảm ơn'!$B$7:$B$500&amp;", ")),--('Quà cảm ơn'!$AT$7:$AT$500="Pass"))+SUMPRODUCT(--ISNUMBER(SEARCH(", "&amp;$B27&amp;", ",", "&amp;'Trang chủ'!$B$7:$B$500&amp;", ")),--('Trang chủ'!$AT$7:$AT$500="Pass"))+SUMPRODUCT(--ISNUMBER(SEARCH(", "&amp;$B27&amp;", ",", "&amp;'Thông báo'!$B$7:$B$500&amp;", ")),--('Thông báo'!$AT$7:$AT$500="Pass"))+SUMPRODUCT(--ISNUMBER(SEARCH(", "&amp;$B27&amp;", ",", "&amp;'Đăng tin &amp; Quản lý tin'!$B$7:$B$500&amp;", ")),--('Đăng tin &amp; Quản lý tin'!$AT$7:$AT$500="Pass"))+SUMPRODUCT(--ISNUMBER(SEARCH(", "&amp;$B27&amp;", ",", "&amp;'Trust &amp; Safety'!$B$7:$B$500&amp;", ")),--('Trust &amp; Safety'!$AT$7:$AT$500="Pass"))+SUMPRODUCT(--ISNUMBER(SEARCH(", "&amp;$B27&amp;", ",", "&amp;'Tài khoản &amp; Hồ sơ'!$B$7:$B$500&amp;", ")),--('Tài khoản &amp; Hồ sơ'!$AT$7:$AT$500="Pass"))</f>
        <v>0</v>
      </c>
      <c r="H27" s="51" t="n">
        <f aca="false">SUMPRODUCT(--ISNUMBER(SEARCH(", "&amp;$B27&amp;", ",", "&amp;'Hoạt động (Đơn của tôi)'!$B$7:$B$500&amp;", ")),--('Hoạt động (Đơn của tôi)'!$AT$7:$AT$500="Fail"))+SUMPRODUCT(--ISNUMBER(SEARCH(", "&amp;$B27&amp;", ",", "&amp;'Ghép nối'!$B$7:$B$500&amp;", ")),--('Ghép nối'!$AT$7:$AT$500="Fail"))+SUMPRODUCT(--ISNUMBER(SEARCH(", "&amp;$B27&amp;", ",", "&amp;'Huỷ đơn - Huỷ nhận đơn'!$B$7:$B$500&amp;", ")),--('Huỷ đơn - Huỷ nhận đơn'!$AT$7:$AT$500="Fail"))+SUMPRODUCT(--ISNUMBER(SEARCH(", "&amp;$B27&amp;", ",", "&amp;'Giao nhận &amp; Theo dõi đơn'!$B$7:$B$500&amp;", ")),--('Giao nhận &amp; Theo dõi đơn'!$AT$7:$AT$500="Fail"))+SUMPRODUCT(--ISNUMBER(SEARCH(", "&amp;$B27&amp;", ",", "&amp;'Bảng tin &amp; Chi tiết tin'!$B$7:$B$500&amp;", ")),--('Bảng tin &amp; Chi tiết tin'!$AT$7:$AT$500="Fail"))+SUMPRODUCT(--ISNUMBER(SEARCH(", "&amp;$B27&amp;", ",", "&amp;'Quà cảm ơn'!$B$7:$B$500&amp;", ")),--('Quà cảm ơn'!$AT$7:$AT$500="Fail"))+SUMPRODUCT(--ISNUMBER(SEARCH(", "&amp;$B27&amp;", ",", "&amp;'Trang chủ'!$B$7:$B$500&amp;", ")),--('Trang chủ'!$AT$7:$AT$500="Fail"))+SUMPRODUCT(--ISNUMBER(SEARCH(", "&amp;$B27&amp;", ",", "&amp;'Thông báo'!$B$7:$B$500&amp;", ")),--('Thông báo'!$AT$7:$AT$500="Fail"))+SUMPRODUCT(--ISNUMBER(SEARCH(", "&amp;$B27&amp;", ",", "&amp;'Đăng tin &amp; Quản lý tin'!$B$7:$B$500&amp;", ")),--('Đăng tin &amp; Quản lý tin'!$AT$7:$AT$500="Fail"))+SUMPRODUCT(--ISNUMBER(SEARCH(", "&amp;$B27&amp;", ",", "&amp;'Trust &amp; Safety'!$B$7:$B$500&amp;", ")),--('Trust &amp; Safety'!$AT$7:$AT$500="Fail"))+SUMPRODUCT(--ISNUMBER(SEARCH(", "&amp;$B27&amp;", ",", "&amp;'Tài khoản &amp; Hồ sơ'!$B$7:$B$500&amp;", ")),--('Tài khoản &amp; Hồ sơ'!$AT$7:$AT$500="Fail"))</f>
        <v>0</v>
      </c>
      <c r="I27" s="51" t="n">
        <f aca="false">SUMPRODUCT(--ISNUMBER(SEARCH(", "&amp;$B27&amp;", ",", "&amp;'Hoạt động (Đơn của tôi)'!$B$7:$B$500&amp;", ")),--('Hoạt động (Đơn của tôi)'!$AT$7:$AT$500="Block"))+SUMPRODUCT(--ISNUMBER(SEARCH(", "&amp;$B27&amp;", ",", "&amp;'Ghép nối'!$B$7:$B$500&amp;", ")),--('Ghép nối'!$AT$7:$AT$500="Block"))+SUMPRODUCT(--ISNUMBER(SEARCH(", "&amp;$B27&amp;", ",", "&amp;'Huỷ đơn - Huỷ nhận đơn'!$B$7:$B$500&amp;", ")),--('Huỷ đơn - Huỷ nhận đơn'!$AT$7:$AT$500="Block"))+SUMPRODUCT(--ISNUMBER(SEARCH(", "&amp;$B27&amp;", ",", "&amp;'Giao nhận &amp; Theo dõi đơn'!$B$7:$B$500&amp;", ")),--('Giao nhận &amp; Theo dõi đơn'!$AT$7:$AT$500="Block"))+SUMPRODUCT(--ISNUMBER(SEARCH(", "&amp;$B27&amp;", ",", "&amp;'Bảng tin &amp; Chi tiết tin'!$B$7:$B$500&amp;", ")),--('Bảng tin &amp; Chi tiết tin'!$AT$7:$AT$500="Block"))+SUMPRODUCT(--ISNUMBER(SEARCH(", "&amp;$B27&amp;", ",", "&amp;'Quà cảm ơn'!$B$7:$B$500&amp;", ")),--('Quà cảm ơn'!$AT$7:$AT$500="Block"))+SUMPRODUCT(--ISNUMBER(SEARCH(", "&amp;$B27&amp;", ",", "&amp;'Trang chủ'!$B$7:$B$500&amp;", ")),--('Trang chủ'!$AT$7:$AT$500="Block"))+SUMPRODUCT(--ISNUMBER(SEARCH(", "&amp;$B27&amp;", ",", "&amp;'Thông báo'!$B$7:$B$500&amp;", ")),--('Thông báo'!$AT$7:$AT$500="Block"))+SUMPRODUCT(--ISNUMBER(SEARCH(", "&amp;$B27&amp;", ",", "&amp;'Đăng tin &amp; Quản lý tin'!$B$7:$B$500&amp;", ")),--('Đăng tin &amp; Quản lý tin'!$AT$7:$AT$500="Block"))+SUMPRODUCT(--ISNUMBER(SEARCH(", "&amp;$B27&amp;", ",", "&amp;'Trust &amp; Safety'!$B$7:$B$500&amp;", ")),--('Trust &amp; Safety'!$AT$7:$AT$500="Block"))+SUMPRODUCT(--ISNUMBER(SEARCH(", "&amp;$B27&amp;", ",", "&amp;'Tài khoản &amp; Hồ sơ'!$B$7:$B$500&amp;", ")),--('Tài khoản &amp; Hồ sơ'!$AT$7:$AT$500="Block"))</f>
        <v>0</v>
      </c>
      <c r="J27" s="51" t="n">
        <f aca="false">SUMPRODUCT(--ISNUMBER(SEARCH(", "&amp;$B27&amp;", ",", "&amp;'Hoạt động (Đơn của tôi)'!$B$7:$B$500&amp;", ")),--('Hoạt động (Đơn của tôi)'!$AT$7:$AT$500="N/A"))+SUMPRODUCT(--ISNUMBER(SEARCH(", "&amp;$B27&amp;", ",", "&amp;'Ghép nối'!$B$7:$B$500&amp;", ")),--('Ghép nối'!$AT$7:$AT$500="N/A"))+SUMPRODUCT(--ISNUMBER(SEARCH(", "&amp;$B27&amp;", ",", "&amp;'Huỷ đơn - Huỷ nhận đơn'!$B$7:$B$500&amp;", ")),--('Huỷ đơn - Huỷ nhận đơn'!$AT$7:$AT$500="N/A"))+SUMPRODUCT(--ISNUMBER(SEARCH(", "&amp;$B27&amp;", ",", "&amp;'Giao nhận &amp; Theo dõi đơn'!$B$7:$B$500&amp;", ")),--('Giao nhận &amp; Theo dõi đơn'!$AT$7:$AT$500="N/A"))+SUMPRODUCT(--ISNUMBER(SEARCH(", "&amp;$B27&amp;", ",", "&amp;'Bảng tin &amp; Chi tiết tin'!$B$7:$B$500&amp;", ")),--('Bảng tin &amp; Chi tiết tin'!$AT$7:$AT$500="N/A"))+SUMPRODUCT(--ISNUMBER(SEARCH(", "&amp;$B27&amp;", ",", "&amp;'Quà cảm ơn'!$B$7:$B$500&amp;", ")),--('Quà cảm ơn'!$AT$7:$AT$500="N/A"))+SUMPRODUCT(--ISNUMBER(SEARCH(", "&amp;$B27&amp;", ",", "&amp;'Trang chủ'!$B$7:$B$500&amp;", ")),--('Trang chủ'!$AT$7:$AT$500="N/A"))+SUMPRODUCT(--ISNUMBER(SEARCH(", "&amp;$B27&amp;", ",", "&amp;'Thông báo'!$B$7:$B$500&amp;", ")),--('Thông báo'!$AT$7:$AT$500="N/A"))+SUMPRODUCT(--ISNUMBER(SEARCH(", "&amp;$B27&amp;", ",", "&amp;'Đăng tin &amp; Quản lý tin'!$B$7:$B$500&amp;", ")),--('Đăng tin &amp; Quản lý tin'!$AT$7:$AT$500="N/A"))+SUMPRODUCT(--ISNUMBER(SEARCH(", "&amp;$B27&amp;", ",", "&amp;'Trust &amp; Safety'!$B$7:$B$500&amp;", ")),--('Trust &amp; Safety'!$AT$7:$AT$500="N/A"))+SUMPRODUCT(--ISNUMBER(SEARCH(", "&amp;$B27&amp;", ",", "&amp;'Tài khoản &amp; Hồ sơ'!$B$7:$B$500&amp;", ")),--('Tài khoản &amp; Hồ sơ'!$AT$7:$AT$500="N/A"))</f>
        <v>0</v>
      </c>
      <c r="K27" s="52" t="n">
        <f aca="false">IFERROR(F27/E27,0)</f>
        <v>0</v>
      </c>
      <c r="L27" s="123" t="str">
        <f aca="false">IF(E27=0,"Chưa có TC (gap)",IF(H27&gt;0,"Có lỗi (Fail)",IF(I27&gt;0,"Bị block",IF(F27&lt;E27,"Đang test",IF(G27=0,"Không áp dụng (N/A)","Đã test xong")))))</f>
        <v>Đang test</v>
      </c>
      <c r="AB27" s="1" t="s">
        <v>424</v>
      </c>
    </row>
    <row r="28" customFormat="false" ht="15.75" hidden="false" customHeight="true" outlineLevel="0" collapsed="false">
      <c r="B28" s="175" t="s">
        <v>486</v>
      </c>
      <c r="C28" s="176" t="s">
        <v>487</v>
      </c>
      <c r="D28" s="123" t="s">
        <v>488</v>
      </c>
      <c r="E28" s="51" t="n">
        <f aca="false">SUMPRODUCT(--ISNUMBER(SEARCH(", "&amp;$B28&amp;", ",", "&amp;'Hoạt động (Đơn của tôi)'!$B$7:$B$500&amp;", ")))+SUMPRODUCT(--ISNUMBER(SEARCH(", "&amp;$B28&amp;", ",", "&amp;'Ghép nối'!$B$7:$B$500&amp;", ")))+SUMPRODUCT(--ISNUMBER(SEARCH(", "&amp;$B28&amp;", ",", "&amp;'Huỷ đơn - Huỷ nhận đơn'!$B$7:$B$500&amp;", ")))+SUMPRODUCT(--ISNUMBER(SEARCH(", "&amp;$B28&amp;", ",", "&amp;'Giao nhận &amp; Theo dõi đơn'!$B$7:$B$500&amp;", ")))+SUMPRODUCT(--ISNUMBER(SEARCH(", "&amp;$B28&amp;", ",", "&amp;'Bảng tin &amp; Chi tiết tin'!$B$7:$B$500&amp;", ")))+SUMPRODUCT(--ISNUMBER(SEARCH(", "&amp;$B28&amp;", ",", "&amp;'Quà cảm ơn'!$B$7:$B$500&amp;", ")))+SUMPRODUCT(--ISNUMBER(SEARCH(", "&amp;$B28&amp;", ",", "&amp;'Trang chủ'!$B$7:$B$500&amp;", ")))+SUMPRODUCT(--ISNUMBER(SEARCH(", "&amp;$B28&amp;", ",", "&amp;'Thông báo'!$B$7:$B$500&amp;", ")))+SUMPRODUCT(--ISNUMBER(SEARCH(", "&amp;$B28&amp;", ",", "&amp;'Đăng tin &amp; Quản lý tin'!$B$7:$B$500&amp;", ")))+SUMPRODUCT(--ISNUMBER(SEARCH(", "&amp;$B28&amp;", ",", "&amp;'Trust &amp; Safety'!$B$7:$B$500&amp;", ")))+SUMPRODUCT(--ISNUMBER(SEARCH(", "&amp;$B28&amp;", ",", "&amp;'Tài khoản &amp; Hồ sơ'!$B$7:$B$500&amp;", ")))</f>
        <v>8</v>
      </c>
      <c r="F28" s="51" t="n">
        <f aca="false">SUMPRODUCT(--ISNUMBER(SEARCH(", "&amp;$B28&amp;", ",", "&amp;'Hoạt động (Đơn của tôi)'!$B$7:$B$500&amp;", ")),--('Hoạt động (Đơn của tôi)'!$AT$7:$AT$500&lt;&gt;""))+SUMPRODUCT(--ISNUMBER(SEARCH(", "&amp;$B28&amp;", ",", "&amp;'Ghép nối'!$B$7:$B$500&amp;", ")),--('Ghép nối'!$AT$7:$AT$500&lt;&gt;""))+SUMPRODUCT(--ISNUMBER(SEARCH(", "&amp;$B28&amp;", ",", "&amp;'Huỷ đơn - Huỷ nhận đơn'!$B$7:$B$500&amp;", ")),--('Huỷ đơn - Huỷ nhận đơn'!$AT$7:$AT$500&lt;&gt;""))+SUMPRODUCT(--ISNUMBER(SEARCH(", "&amp;$B28&amp;", ",", "&amp;'Giao nhận &amp; Theo dõi đơn'!$B$7:$B$500&amp;", ")),--('Giao nhận &amp; Theo dõi đơn'!$AT$7:$AT$500&lt;&gt;""))+SUMPRODUCT(--ISNUMBER(SEARCH(", "&amp;$B28&amp;", ",", "&amp;'Bảng tin &amp; Chi tiết tin'!$B$7:$B$500&amp;", ")),--('Bảng tin &amp; Chi tiết tin'!$AT$7:$AT$500&lt;&gt;""))+SUMPRODUCT(--ISNUMBER(SEARCH(", "&amp;$B28&amp;", ",", "&amp;'Quà cảm ơn'!$B$7:$B$500&amp;", ")),--('Quà cảm ơn'!$AT$7:$AT$500&lt;&gt;""))+SUMPRODUCT(--ISNUMBER(SEARCH(", "&amp;$B28&amp;", ",", "&amp;'Trang chủ'!$B$7:$B$500&amp;", ")),--('Trang chủ'!$AT$7:$AT$500&lt;&gt;""))+SUMPRODUCT(--ISNUMBER(SEARCH(", "&amp;$B28&amp;", ",", "&amp;'Thông báo'!$B$7:$B$500&amp;", ")),--('Thông báo'!$AT$7:$AT$500&lt;&gt;""))+SUMPRODUCT(--ISNUMBER(SEARCH(", "&amp;$B28&amp;", ",", "&amp;'Đăng tin &amp; Quản lý tin'!$B$7:$B$500&amp;", ")),--('Đăng tin &amp; Quản lý tin'!$AT$7:$AT$500&lt;&gt;""))+SUMPRODUCT(--ISNUMBER(SEARCH(", "&amp;$B28&amp;", ",", "&amp;'Trust &amp; Safety'!$B$7:$B$500&amp;", ")),--('Trust &amp; Safety'!$AT$7:$AT$500&lt;&gt;""))+SUMPRODUCT(--ISNUMBER(SEARCH(", "&amp;$B28&amp;", ",", "&amp;'Tài khoản &amp; Hồ sơ'!$B$7:$B$500&amp;", ")),--('Tài khoản &amp; Hồ sơ'!$AT$7:$AT$500&lt;&gt;""))</f>
        <v>0</v>
      </c>
      <c r="G28" s="51" t="n">
        <f aca="false">SUMPRODUCT(--ISNUMBER(SEARCH(", "&amp;$B28&amp;", ",", "&amp;'Hoạt động (Đơn của tôi)'!$B$7:$B$500&amp;", ")),--('Hoạt động (Đơn của tôi)'!$AT$7:$AT$500="Pass"))+SUMPRODUCT(--ISNUMBER(SEARCH(", "&amp;$B28&amp;", ",", "&amp;'Ghép nối'!$B$7:$B$500&amp;", ")),--('Ghép nối'!$AT$7:$AT$500="Pass"))+SUMPRODUCT(--ISNUMBER(SEARCH(", "&amp;$B28&amp;", ",", "&amp;'Huỷ đơn - Huỷ nhận đơn'!$B$7:$B$500&amp;", ")),--('Huỷ đơn - Huỷ nhận đơn'!$AT$7:$AT$500="Pass"))+SUMPRODUCT(--ISNUMBER(SEARCH(", "&amp;$B28&amp;", ",", "&amp;'Giao nhận &amp; Theo dõi đơn'!$B$7:$B$500&amp;", ")),--('Giao nhận &amp; Theo dõi đơn'!$AT$7:$AT$500="Pass"))+SUMPRODUCT(--ISNUMBER(SEARCH(", "&amp;$B28&amp;", ",", "&amp;'Bảng tin &amp; Chi tiết tin'!$B$7:$B$500&amp;", ")),--('Bảng tin &amp; Chi tiết tin'!$AT$7:$AT$500="Pass"))+SUMPRODUCT(--ISNUMBER(SEARCH(", "&amp;$B28&amp;", ",", "&amp;'Quà cảm ơn'!$B$7:$B$500&amp;", ")),--('Quà cảm ơn'!$AT$7:$AT$500="Pass"))+SUMPRODUCT(--ISNUMBER(SEARCH(", "&amp;$B28&amp;", ",", "&amp;'Trang chủ'!$B$7:$B$500&amp;", ")),--('Trang chủ'!$AT$7:$AT$500="Pass"))+SUMPRODUCT(--ISNUMBER(SEARCH(", "&amp;$B28&amp;", ",", "&amp;'Thông báo'!$B$7:$B$500&amp;", ")),--('Thông báo'!$AT$7:$AT$500="Pass"))+SUMPRODUCT(--ISNUMBER(SEARCH(", "&amp;$B28&amp;", ",", "&amp;'Đăng tin &amp; Quản lý tin'!$B$7:$B$500&amp;", ")),--('Đăng tin &amp; Quản lý tin'!$AT$7:$AT$500="Pass"))+SUMPRODUCT(--ISNUMBER(SEARCH(", "&amp;$B28&amp;", ",", "&amp;'Trust &amp; Safety'!$B$7:$B$500&amp;", ")),--('Trust &amp; Safety'!$AT$7:$AT$500="Pass"))+SUMPRODUCT(--ISNUMBER(SEARCH(", "&amp;$B28&amp;", ",", "&amp;'Tài khoản &amp; Hồ sơ'!$B$7:$B$500&amp;", ")),--('Tài khoản &amp; Hồ sơ'!$AT$7:$AT$500="Pass"))</f>
        <v>0</v>
      </c>
      <c r="H28" s="51" t="n">
        <f aca="false">SUMPRODUCT(--ISNUMBER(SEARCH(", "&amp;$B28&amp;", ",", "&amp;'Hoạt động (Đơn của tôi)'!$B$7:$B$500&amp;", ")),--('Hoạt động (Đơn của tôi)'!$AT$7:$AT$500="Fail"))+SUMPRODUCT(--ISNUMBER(SEARCH(", "&amp;$B28&amp;", ",", "&amp;'Ghép nối'!$B$7:$B$500&amp;", ")),--('Ghép nối'!$AT$7:$AT$500="Fail"))+SUMPRODUCT(--ISNUMBER(SEARCH(", "&amp;$B28&amp;", ",", "&amp;'Huỷ đơn - Huỷ nhận đơn'!$B$7:$B$500&amp;", ")),--('Huỷ đơn - Huỷ nhận đơn'!$AT$7:$AT$500="Fail"))+SUMPRODUCT(--ISNUMBER(SEARCH(", "&amp;$B28&amp;", ",", "&amp;'Giao nhận &amp; Theo dõi đơn'!$B$7:$B$500&amp;", ")),--('Giao nhận &amp; Theo dõi đơn'!$AT$7:$AT$500="Fail"))+SUMPRODUCT(--ISNUMBER(SEARCH(", "&amp;$B28&amp;", ",", "&amp;'Bảng tin &amp; Chi tiết tin'!$B$7:$B$500&amp;", ")),--('Bảng tin &amp; Chi tiết tin'!$AT$7:$AT$500="Fail"))+SUMPRODUCT(--ISNUMBER(SEARCH(", "&amp;$B28&amp;", ",", "&amp;'Quà cảm ơn'!$B$7:$B$500&amp;", ")),--('Quà cảm ơn'!$AT$7:$AT$500="Fail"))+SUMPRODUCT(--ISNUMBER(SEARCH(", "&amp;$B28&amp;", ",", "&amp;'Trang chủ'!$B$7:$B$500&amp;", ")),--('Trang chủ'!$AT$7:$AT$500="Fail"))+SUMPRODUCT(--ISNUMBER(SEARCH(", "&amp;$B28&amp;", ",", "&amp;'Thông báo'!$B$7:$B$500&amp;", ")),--('Thông báo'!$AT$7:$AT$500="Fail"))+SUMPRODUCT(--ISNUMBER(SEARCH(", "&amp;$B28&amp;", ",", "&amp;'Đăng tin &amp; Quản lý tin'!$B$7:$B$500&amp;", ")),--('Đăng tin &amp; Quản lý tin'!$AT$7:$AT$500="Fail"))+SUMPRODUCT(--ISNUMBER(SEARCH(", "&amp;$B28&amp;", ",", "&amp;'Trust &amp; Safety'!$B$7:$B$500&amp;", ")),--('Trust &amp; Safety'!$AT$7:$AT$500="Fail"))+SUMPRODUCT(--ISNUMBER(SEARCH(", "&amp;$B28&amp;", ",", "&amp;'Tài khoản &amp; Hồ sơ'!$B$7:$B$500&amp;", ")),--('Tài khoản &amp; Hồ sơ'!$AT$7:$AT$500="Fail"))</f>
        <v>0</v>
      </c>
      <c r="I28" s="51" t="n">
        <f aca="false">SUMPRODUCT(--ISNUMBER(SEARCH(", "&amp;$B28&amp;", ",", "&amp;'Hoạt động (Đơn của tôi)'!$B$7:$B$500&amp;", ")),--('Hoạt động (Đơn của tôi)'!$AT$7:$AT$500="Block"))+SUMPRODUCT(--ISNUMBER(SEARCH(", "&amp;$B28&amp;", ",", "&amp;'Ghép nối'!$B$7:$B$500&amp;", ")),--('Ghép nối'!$AT$7:$AT$500="Block"))+SUMPRODUCT(--ISNUMBER(SEARCH(", "&amp;$B28&amp;", ",", "&amp;'Huỷ đơn - Huỷ nhận đơn'!$B$7:$B$500&amp;", ")),--('Huỷ đơn - Huỷ nhận đơn'!$AT$7:$AT$500="Block"))+SUMPRODUCT(--ISNUMBER(SEARCH(", "&amp;$B28&amp;", ",", "&amp;'Giao nhận &amp; Theo dõi đơn'!$B$7:$B$500&amp;", ")),--('Giao nhận &amp; Theo dõi đơn'!$AT$7:$AT$500="Block"))+SUMPRODUCT(--ISNUMBER(SEARCH(", "&amp;$B28&amp;", ",", "&amp;'Bảng tin &amp; Chi tiết tin'!$B$7:$B$500&amp;", ")),--('Bảng tin &amp; Chi tiết tin'!$AT$7:$AT$500="Block"))+SUMPRODUCT(--ISNUMBER(SEARCH(", "&amp;$B28&amp;", ",", "&amp;'Quà cảm ơn'!$B$7:$B$500&amp;", ")),--('Quà cảm ơn'!$AT$7:$AT$500="Block"))+SUMPRODUCT(--ISNUMBER(SEARCH(", "&amp;$B28&amp;", ",", "&amp;'Trang chủ'!$B$7:$B$500&amp;", ")),--('Trang chủ'!$AT$7:$AT$500="Block"))+SUMPRODUCT(--ISNUMBER(SEARCH(", "&amp;$B28&amp;", ",", "&amp;'Thông báo'!$B$7:$B$500&amp;", ")),--('Thông báo'!$AT$7:$AT$500="Block"))+SUMPRODUCT(--ISNUMBER(SEARCH(", "&amp;$B28&amp;", ",", "&amp;'Đăng tin &amp; Quản lý tin'!$B$7:$B$500&amp;", ")),--('Đăng tin &amp; Quản lý tin'!$AT$7:$AT$500="Block"))+SUMPRODUCT(--ISNUMBER(SEARCH(", "&amp;$B28&amp;", ",", "&amp;'Trust &amp; Safety'!$B$7:$B$500&amp;", ")),--('Trust &amp; Safety'!$AT$7:$AT$500="Block"))+SUMPRODUCT(--ISNUMBER(SEARCH(", "&amp;$B28&amp;", ",", "&amp;'Tài khoản &amp; Hồ sơ'!$B$7:$B$500&amp;", ")),--('Tài khoản &amp; Hồ sơ'!$AT$7:$AT$500="Block"))</f>
        <v>0</v>
      </c>
      <c r="J28" s="51" t="n">
        <f aca="false">SUMPRODUCT(--ISNUMBER(SEARCH(", "&amp;$B28&amp;", ",", "&amp;'Hoạt động (Đơn của tôi)'!$B$7:$B$500&amp;", ")),--('Hoạt động (Đơn của tôi)'!$AT$7:$AT$500="N/A"))+SUMPRODUCT(--ISNUMBER(SEARCH(", "&amp;$B28&amp;", ",", "&amp;'Ghép nối'!$B$7:$B$500&amp;", ")),--('Ghép nối'!$AT$7:$AT$500="N/A"))+SUMPRODUCT(--ISNUMBER(SEARCH(", "&amp;$B28&amp;", ",", "&amp;'Huỷ đơn - Huỷ nhận đơn'!$B$7:$B$500&amp;", ")),--('Huỷ đơn - Huỷ nhận đơn'!$AT$7:$AT$500="N/A"))+SUMPRODUCT(--ISNUMBER(SEARCH(", "&amp;$B28&amp;", ",", "&amp;'Giao nhận &amp; Theo dõi đơn'!$B$7:$B$500&amp;", ")),--('Giao nhận &amp; Theo dõi đơn'!$AT$7:$AT$500="N/A"))+SUMPRODUCT(--ISNUMBER(SEARCH(", "&amp;$B28&amp;", ",", "&amp;'Bảng tin &amp; Chi tiết tin'!$B$7:$B$500&amp;", ")),--('Bảng tin &amp; Chi tiết tin'!$AT$7:$AT$500="N/A"))+SUMPRODUCT(--ISNUMBER(SEARCH(", "&amp;$B28&amp;", ",", "&amp;'Quà cảm ơn'!$B$7:$B$500&amp;", ")),--('Quà cảm ơn'!$AT$7:$AT$500="N/A"))+SUMPRODUCT(--ISNUMBER(SEARCH(", "&amp;$B28&amp;", ",", "&amp;'Trang chủ'!$B$7:$B$500&amp;", ")),--('Trang chủ'!$AT$7:$AT$500="N/A"))+SUMPRODUCT(--ISNUMBER(SEARCH(", "&amp;$B28&amp;", ",", "&amp;'Thông báo'!$B$7:$B$500&amp;", ")),--('Thông báo'!$AT$7:$AT$500="N/A"))+SUMPRODUCT(--ISNUMBER(SEARCH(", "&amp;$B28&amp;", ",", "&amp;'Đăng tin &amp; Quản lý tin'!$B$7:$B$500&amp;", ")),--('Đăng tin &amp; Quản lý tin'!$AT$7:$AT$500="N/A"))+SUMPRODUCT(--ISNUMBER(SEARCH(", "&amp;$B28&amp;", ",", "&amp;'Trust &amp; Safety'!$B$7:$B$500&amp;", ")),--('Trust &amp; Safety'!$AT$7:$AT$500="N/A"))+SUMPRODUCT(--ISNUMBER(SEARCH(", "&amp;$B28&amp;", ",", "&amp;'Tài khoản &amp; Hồ sơ'!$B$7:$B$500&amp;", ")),--('Tài khoản &amp; Hồ sơ'!$AT$7:$AT$500="N/A"))</f>
        <v>0</v>
      </c>
      <c r="K28" s="52" t="n">
        <f aca="false">IFERROR(F28/E28,0)</f>
        <v>0</v>
      </c>
      <c r="L28" s="123" t="str">
        <f aca="false">IF(E28=0,"Chưa có TC (gap)",IF(H28&gt;0,"Có lỗi (Fail)",IF(I28&gt;0,"Bị block",IF(F28&lt;E28,"Đang test",IF(G28=0,"Không áp dụng (N/A)","Đã test xong")))))</f>
        <v>Đang test</v>
      </c>
      <c r="AB28" s="1" t="s">
        <v>424</v>
      </c>
    </row>
    <row r="29" customFormat="false" ht="15.75" hidden="false" customHeight="true" outlineLevel="0" collapsed="false">
      <c r="B29" s="175" t="s">
        <v>489</v>
      </c>
      <c r="C29" s="176" t="s">
        <v>490</v>
      </c>
      <c r="D29" s="123" t="s">
        <v>491</v>
      </c>
      <c r="E29" s="51" t="n">
        <f aca="false">SUMPRODUCT(--ISNUMBER(SEARCH(", "&amp;$B29&amp;", ",", "&amp;'Hoạt động (Đơn của tôi)'!$B$7:$B$500&amp;", ")))+SUMPRODUCT(--ISNUMBER(SEARCH(", "&amp;$B29&amp;", ",", "&amp;'Ghép nối'!$B$7:$B$500&amp;", ")))+SUMPRODUCT(--ISNUMBER(SEARCH(", "&amp;$B29&amp;", ",", "&amp;'Huỷ đơn - Huỷ nhận đơn'!$B$7:$B$500&amp;", ")))+SUMPRODUCT(--ISNUMBER(SEARCH(", "&amp;$B29&amp;", ",", "&amp;'Giao nhận &amp; Theo dõi đơn'!$B$7:$B$500&amp;", ")))+SUMPRODUCT(--ISNUMBER(SEARCH(", "&amp;$B29&amp;", ",", "&amp;'Bảng tin &amp; Chi tiết tin'!$B$7:$B$500&amp;", ")))+SUMPRODUCT(--ISNUMBER(SEARCH(", "&amp;$B29&amp;", ",", "&amp;'Quà cảm ơn'!$B$7:$B$500&amp;", ")))+SUMPRODUCT(--ISNUMBER(SEARCH(", "&amp;$B29&amp;", ",", "&amp;'Trang chủ'!$B$7:$B$500&amp;", ")))+SUMPRODUCT(--ISNUMBER(SEARCH(", "&amp;$B29&amp;", ",", "&amp;'Thông báo'!$B$7:$B$500&amp;", ")))+SUMPRODUCT(--ISNUMBER(SEARCH(", "&amp;$B29&amp;", ",", "&amp;'Đăng tin &amp; Quản lý tin'!$B$7:$B$500&amp;", ")))+SUMPRODUCT(--ISNUMBER(SEARCH(", "&amp;$B29&amp;", ",", "&amp;'Trust &amp; Safety'!$B$7:$B$500&amp;", ")))+SUMPRODUCT(--ISNUMBER(SEARCH(", "&amp;$B29&amp;", ",", "&amp;'Tài khoản &amp; Hồ sơ'!$B$7:$B$500&amp;", ")))</f>
        <v>10</v>
      </c>
      <c r="F29" s="51" t="n">
        <f aca="false">SUMPRODUCT(--ISNUMBER(SEARCH(", "&amp;$B29&amp;", ",", "&amp;'Hoạt động (Đơn của tôi)'!$B$7:$B$500&amp;", ")),--('Hoạt động (Đơn của tôi)'!$AT$7:$AT$500&lt;&gt;""))+SUMPRODUCT(--ISNUMBER(SEARCH(", "&amp;$B29&amp;", ",", "&amp;'Ghép nối'!$B$7:$B$500&amp;", ")),--('Ghép nối'!$AT$7:$AT$500&lt;&gt;""))+SUMPRODUCT(--ISNUMBER(SEARCH(", "&amp;$B29&amp;", ",", "&amp;'Huỷ đơn - Huỷ nhận đơn'!$B$7:$B$500&amp;", ")),--('Huỷ đơn - Huỷ nhận đơn'!$AT$7:$AT$500&lt;&gt;""))+SUMPRODUCT(--ISNUMBER(SEARCH(", "&amp;$B29&amp;", ",", "&amp;'Giao nhận &amp; Theo dõi đơn'!$B$7:$B$500&amp;", ")),--('Giao nhận &amp; Theo dõi đơn'!$AT$7:$AT$500&lt;&gt;""))+SUMPRODUCT(--ISNUMBER(SEARCH(", "&amp;$B29&amp;", ",", "&amp;'Bảng tin &amp; Chi tiết tin'!$B$7:$B$500&amp;", ")),--('Bảng tin &amp; Chi tiết tin'!$AT$7:$AT$500&lt;&gt;""))+SUMPRODUCT(--ISNUMBER(SEARCH(", "&amp;$B29&amp;", ",", "&amp;'Quà cảm ơn'!$B$7:$B$500&amp;", ")),--('Quà cảm ơn'!$AT$7:$AT$500&lt;&gt;""))+SUMPRODUCT(--ISNUMBER(SEARCH(", "&amp;$B29&amp;", ",", "&amp;'Trang chủ'!$B$7:$B$500&amp;", ")),--('Trang chủ'!$AT$7:$AT$500&lt;&gt;""))+SUMPRODUCT(--ISNUMBER(SEARCH(", "&amp;$B29&amp;", ",", "&amp;'Thông báo'!$B$7:$B$500&amp;", ")),--('Thông báo'!$AT$7:$AT$500&lt;&gt;""))+SUMPRODUCT(--ISNUMBER(SEARCH(", "&amp;$B29&amp;", ",", "&amp;'Đăng tin &amp; Quản lý tin'!$B$7:$B$500&amp;", ")),--('Đăng tin &amp; Quản lý tin'!$AT$7:$AT$500&lt;&gt;""))+SUMPRODUCT(--ISNUMBER(SEARCH(", "&amp;$B29&amp;", ",", "&amp;'Trust &amp; Safety'!$B$7:$B$500&amp;", ")),--('Trust &amp; Safety'!$AT$7:$AT$500&lt;&gt;""))+SUMPRODUCT(--ISNUMBER(SEARCH(", "&amp;$B29&amp;", ",", "&amp;'Tài khoản &amp; Hồ sơ'!$B$7:$B$500&amp;", ")),--('Tài khoản &amp; Hồ sơ'!$AT$7:$AT$500&lt;&gt;""))</f>
        <v>0</v>
      </c>
      <c r="G29" s="51" t="n">
        <f aca="false">SUMPRODUCT(--ISNUMBER(SEARCH(", "&amp;$B29&amp;", ",", "&amp;'Hoạt động (Đơn của tôi)'!$B$7:$B$500&amp;", ")),--('Hoạt động (Đơn của tôi)'!$AT$7:$AT$500="Pass"))+SUMPRODUCT(--ISNUMBER(SEARCH(", "&amp;$B29&amp;", ",", "&amp;'Ghép nối'!$B$7:$B$500&amp;", ")),--('Ghép nối'!$AT$7:$AT$500="Pass"))+SUMPRODUCT(--ISNUMBER(SEARCH(", "&amp;$B29&amp;", ",", "&amp;'Huỷ đơn - Huỷ nhận đơn'!$B$7:$B$500&amp;", ")),--('Huỷ đơn - Huỷ nhận đơn'!$AT$7:$AT$500="Pass"))+SUMPRODUCT(--ISNUMBER(SEARCH(", "&amp;$B29&amp;", ",", "&amp;'Giao nhận &amp; Theo dõi đơn'!$B$7:$B$500&amp;", ")),--('Giao nhận &amp; Theo dõi đơn'!$AT$7:$AT$500="Pass"))+SUMPRODUCT(--ISNUMBER(SEARCH(", "&amp;$B29&amp;", ",", "&amp;'Bảng tin &amp; Chi tiết tin'!$B$7:$B$500&amp;", ")),--('Bảng tin &amp; Chi tiết tin'!$AT$7:$AT$500="Pass"))+SUMPRODUCT(--ISNUMBER(SEARCH(", "&amp;$B29&amp;", ",", "&amp;'Quà cảm ơn'!$B$7:$B$500&amp;", ")),--('Quà cảm ơn'!$AT$7:$AT$500="Pass"))+SUMPRODUCT(--ISNUMBER(SEARCH(", "&amp;$B29&amp;", ",", "&amp;'Trang chủ'!$B$7:$B$500&amp;", ")),--('Trang chủ'!$AT$7:$AT$500="Pass"))+SUMPRODUCT(--ISNUMBER(SEARCH(", "&amp;$B29&amp;", ",", "&amp;'Thông báo'!$B$7:$B$500&amp;", ")),--('Thông báo'!$AT$7:$AT$500="Pass"))+SUMPRODUCT(--ISNUMBER(SEARCH(", "&amp;$B29&amp;", ",", "&amp;'Đăng tin &amp; Quản lý tin'!$B$7:$B$500&amp;", ")),--('Đăng tin &amp; Quản lý tin'!$AT$7:$AT$500="Pass"))+SUMPRODUCT(--ISNUMBER(SEARCH(", "&amp;$B29&amp;", ",", "&amp;'Trust &amp; Safety'!$B$7:$B$500&amp;", ")),--('Trust &amp; Safety'!$AT$7:$AT$500="Pass"))+SUMPRODUCT(--ISNUMBER(SEARCH(", "&amp;$B29&amp;", ",", "&amp;'Tài khoản &amp; Hồ sơ'!$B$7:$B$500&amp;", ")),--('Tài khoản &amp; Hồ sơ'!$AT$7:$AT$500="Pass"))</f>
        <v>0</v>
      </c>
      <c r="H29" s="51" t="n">
        <f aca="false">SUMPRODUCT(--ISNUMBER(SEARCH(", "&amp;$B29&amp;", ",", "&amp;'Hoạt động (Đơn của tôi)'!$B$7:$B$500&amp;", ")),--('Hoạt động (Đơn của tôi)'!$AT$7:$AT$500="Fail"))+SUMPRODUCT(--ISNUMBER(SEARCH(", "&amp;$B29&amp;", ",", "&amp;'Ghép nối'!$B$7:$B$500&amp;", ")),--('Ghép nối'!$AT$7:$AT$500="Fail"))+SUMPRODUCT(--ISNUMBER(SEARCH(", "&amp;$B29&amp;", ",", "&amp;'Huỷ đơn - Huỷ nhận đơn'!$B$7:$B$500&amp;", ")),--('Huỷ đơn - Huỷ nhận đơn'!$AT$7:$AT$500="Fail"))+SUMPRODUCT(--ISNUMBER(SEARCH(", "&amp;$B29&amp;", ",", "&amp;'Giao nhận &amp; Theo dõi đơn'!$B$7:$B$500&amp;", ")),--('Giao nhận &amp; Theo dõi đơn'!$AT$7:$AT$500="Fail"))+SUMPRODUCT(--ISNUMBER(SEARCH(", "&amp;$B29&amp;", ",", "&amp;'Bảng tin &amp; Chi tiết tin'!$B$7:$B$500&amp;", ")),--('Bảng tin &amp; Chi tiết tin'!$AT$7:$AT$500="Fail"))+SUMPRODUCT(--ISNUMBER(SEARCH(", "&amp;$B29&amp;", ",", "&amp;'Quà cảm ơn'!$B$7:$B$500&amp;", ")),--('Quà cảm ơn'!$AT$7:$AT$500="Fail"))+SUMPRODUCT(--ISNUMBER(SEARCH(", "&amp;$B29&amp;", ",", "&amp;'Trang chủ'!$B$7:$B$500&amp;", ")),--('Trang chủ'!$AT$7:$AT$500="Fail"))+SUMPRODUCT(--ISNUMBER(SEARCH(", "&amp;$B29&amp;", ",", "&amp;'Thông báo'!$B$7:$B$500&amp;", ")),--('Thông báo'!$AT$7:$AT$500="Fail"))+SUMPRODUCT(--ISNUMBER(SEARCH(", "&amp;$B29&amp;", ",", "&amp;'Đăng tin &amp; Quản lý tin'!$B$7:$B$500&amp;", ")),--('Đăng tin &amp; Quản lý tin'!$AT$7:$AT$500="Fail"))+SUMPRODUCT(--ISNUMBER(SEARCH(", "&amp;$B29&amp;", ",", "&amp;'Trust &amp; Safety'!$B$7:$B$500&amp;", ")),--('Trust &amp; Safety'!$AT$7:$AT$500="Fail"))+SUMPRODUCT(--ISNUMBER(SEARCH(", "&amp;$B29&amp;", ",", "&amp;'Tài khoản &amp; Hồ sơ'!$B$7:$B$500&amp;", ")),--('Tài khoản &amp; Hồ sơ'!$AT$7:$AT$500="Fail"))</f>
        <v>0</v>
      </c>
      <c r="I29" s="51" t="n">
        <f aca="false">SUMPRODUCT(--ISNUMBER(SEARCH(", "&amp;$B29&amp;", ",", "&amp;'Hoạt động (Đơn của tôi)'!$B$7:$B$500&amp;", ")),--('Hoạt động (Đơn của tôi)'!$AT$7:$AT$500="Block"))+SUMPRODUCT(--ISNUMBER(SEARCH(", "&amp;$B29&amp;", ",", "&amp;'Ghép nối'!$B$7:$B$500&amp;", ")),--('Ghép nối'!$AT$7:$AT$500="Block"))+SUMPRODUCT(--ISNUMBER(SEARCH(", "&amp;$B29&amp;", ",", "&amp;'Huỷ đơn - Huỷ nhận đơn'!$B$7:$B$500&amp;", ")),--('Huỷ đơn - Huỷ nhận đơn'!$AT$7:$AT$500="Block"))+SUMPRODUCT(--ISNUMBER(SEARCH(", "&amp;$B29&amp;", ",", "&amp;'Giao nhận &amp; Theo dõi đơn'!$B$7:$B$500&amp;", ")),--('Giao nhận &amp; Theo dõi đơn'!$AT$7:$AT$500="Block"))+SUMPRODUCT(--ISNUMBER(SEARCH(", "&amp;$B29&amp;", ",", "&amp;'Bảng tin &amp; Chi tiết tin'!$B$7:$B$500&amp;", ")),--('Bảng tin &amp; Chi tiết tin'!$AT$7:$AT$500="Block"))+SUMPRODUCT(--ISNUMBER(SEARCH(", "&amp;$B29&amp;", ",", "&amp;'Quà cảm ơn'!$B$7:$B$500&amp;", ")),--('Quà cảm ơn'!$AT$7:$AT$500="Block"))+SUMPRODUCT(--ISNUMBER(SEARCH(", "&amp;$B29&amp;", ",", "&amp;'Trang chủ'!$B$7:$B$500&amp;", ")),--('Trang chủ'!$AT$7:$AT$500="Block"))+SUMPRODUCT(--ISNUMBER(SEARCH(", "&amp;$B29&amp;", ",", "&amp;'Thông báo'!$B$7:$B$500&amp;", ")),--('Thông báo'!$AT$7:$AT$500="Block"))+SUMPRODUCT(--ISNUMBER(SEARCH(", "&amp;$B29&amp;", ",", "&amp;'Đăng tin &amp; Quản lý tin'!$B$7:$B$500&amp;", ")),--('Đăng tin &amp; Quản lý tin'!$AT$7:$AT$500="Block"))+SUMPRODUCT(--ISNUMBER(SEARCH(", "&amp;$B29&amp;", ",", "&amp;'Trust &amp; Safety'!$B$7:$B$500&amp;", ")),--('Trust &amp; Safety'!$AT$7:$AT$500="Block"))+SUMPRODUCT(--ISNUMBER(SEARCH(", "&amp;$B29&amp;", ",", "&amp;'Tài khoản &amp; Hồ sơ'!$B$7:$B$500&amp;", ")),--('Tài khoản &amp; Hồ sơ'!$AT$7:$AT$500="Block"))</f>
        <v>0</v>
      </c>
      <c r="J29" s="51" t="n">
        <f aca="false">SUMPRODUCT(--ISNUMBER(SEARCH(", "&amp;$B29&amp;", ",", "&amp;'Hoạt động (Đơn của tôi)'!$B$7:$B$500&amp;", ")),--('Hoạt động (Đơn của tôi)'!$AT$7:$AT$500="N/A"))+SUMPRODUCT(--ISNUMBER(SEARCH(", "&amp;$B29&amp;", ",", "&amp;'Ghép nối'!$B$7:$B$500&amp;", ")),--('Ghép nối'!$AT$7:$AT$500="N/A"))+SUMPRODUCT(--ISNUMBER(SEARCH(", "&amp;$B29&amp;", ",", "&amp;'Huỷ đơn - Huỷ nhận đơn'!$B$7:$B$500&amp;", ")),--('Huỷ đơn - Huỷ nhận đơn'!$AT$7:$AT$500="N/A"))+SUMPRODUCT(--ISNUMBER(SEARCH(", "&amp;$B29&amp;", ",", "&amp;'Giao nhận &amp; Theo dõi đơn'!$B$7:$B$500&amp;", ")),--('Giao nhận &amp; Theo dõi đơn'!$AT$7:$AT$500="N/A"))+SUMPRODUCT(--ISNUMBER(SEARCH(", "&amp;$B29&amp;", ",", "&amp;'Bảng tin &amp; Chi tiết tin'!$B$7:$B$500&amp;", ")),--('Bảng tin &amp; Chi tiết tin'!$AT$7:$AT$500="N/A"))+SUMPRODUCT(--ISNUMBER(SEARCH(", "&amp;$B29&amp;", ",", "&amp;'Quà cảm ơn'!$B$7:$B$500&amp;", ")),--('Quà cảm ơn'!$AT$7:$AT$500="N/A"))+SUMPRODUCT(--ISNUMBER(SEARCH(", "&amp;$B29&amp;", ",", "&amp;'Trang chủ'!$B$7:$B$500&amp;", ")),--('Trang chủ'!$AT$7:$AT$500="N/A"))+SUMPRODUCT(--ISNUMBER(SEARCH(", "&amp;$B29&amp;", ",", "&amp;'Thông báo'!$B$7:$B$500&amp;", ")),--('Thông báo'!$AT$7:$AT$500="N/A"))+SUMPRODUCT(--ISNUMBER(SEARCH(", "&amp;$B29&amp;", ",", "&amp;'Đăng tin &amp; Quản lý tin'!$B$7:$B$500&amp;", ")),--('Đăng tin &amp; Quản lý tin'!$AT$7:$AT$500="N/A"))+SUMPRODUCT(--ISNUMBER(SEARCH(", "&amp;$B29&amp;", ",", "&amp;'Trust &amp; Safety'!$B$7:$B$500&amp;", ")),--('Trust &amp; Safety'!$AT$7:$AT$500="N/A"))+SUMPRODUCT(--ISNUMBER(SEARCH(", "&amp;$B29&amp;", ",", "&amp;'Tài khoản &amp; Hồ sơ'!$B$7:$B$500&amp;", ")),--('Tài khoản &amp; Hồ sơ'!$AT$7:$AT$500="N/A"))</f>
        <v>0</v>
      </c>
      <c r="K29" s="52" t="n">
        <f aca="false">IFERROR(F29/E29,0)</f>
        <v>0</v>
      </c>
      <c r="L29" s="123" t="str">
        <f aca="false">IF(E29=0,"Chưa có TC (gap)",IF(H29&gt;0,"Có lỗi (Fail)",IF(I29&gt;0,"Bị block",IF(F29&lt;E29,"Đang test",IF(G29=0,"Không áp dụng (N/A)","Đã test xong")))))</f>
        <v>Đang test</v>
      </c>
      <c r="AB29" s="1" t="s">
        <v>424</v>
      </c>
    </row>
    <row r="30" customFormat="false" ht="15.75" hidden="false" customHeight="true" outlineLevel="0" collapsed="false">
      <c r="B30" s="175" t="s">
        <v>492</v>
      </c>
      <c r="C30" s="176" t="s">
        <v>493</v>
      </c>
      <c r="D30" s="123" t="s">
        <v>494</v>
      </c>
      <c r="E30" s="51" t="n">
        <f aca="false">SUMPRODUCT(--ISNUMBER(SEARCH(", "&amp;$B30&amp;", ",", "&amp;'Hoạt động (Đơn của tôi)'!$B$7:$B$500&amp;", ")))+SUMPRODUCT(--ISNUMBER(SEARCH(", "&amp;$B30&amp;", ",", "&amp;'Ghép nối'!$B$7:$B$500&amp;", ")))+SUMPRODUCT(--ISNUMBER(SEARCH(", "&amp;$B30&amp;", ",", "&amp;'Huỷ đơn - Huỷ nhận đơn'!$B$7:$B$500&amp;", ")))+SUMPRODUCT(--ISNUMBER(SEARCH(", "&amp;$B30&amp;", ",", "&amp;'Giao nhận &amp; Theo dõi đơn'!$B$7:$B$500&amp;", ")))+SUMPRODUCT(--ISNUMBER(SEARCH(", "&amp;$B30&amp;", ",", "&amp;'Bảng tin &amp; Chi tiết tin'!$B$7:$B$500&amp;", ")))+SUMPRODUCT(--ISNUMBER(SEARCH(", "&amp;$B30&amp;", ",", "&amp;'Quà cảm ơn'!$B$7:$B$500&amp;", ")))+SUMPRODUCT(--ISNUMBER(SEARCH(", "&amp;$B30&amp;", ",", "&amp;'Trang chủ'!$B$7:$B$500&amp;", ")))+SUMPRODUCT(--ISNUMBER(SEARCH(", "&amp;$B30&amp;", ",", "&amp;'Thông báo'!$B$7:$B$500&amp;", ")))+SUMPRODUCT(--ISNUMBER(SEARCH(", "&amp;$B30&amp;", ",", "&amp;'Đăng tin &amp; Quản lý tin'!$B$7:$B$500&amp;", ")))+SUMPRODUCT(--ISNUMBER(SEARCH(", "&amp;$B30&amp;", ",", "&amp;'Trust &amp; Safety'!$B$7:$B$500&amp;", ")))+SUMPRODUCT(--ISNUMBER(SEARCH(", "&amp;$B30&amp;", ",", "&amp;'Tài khoản &amp; Hồ sơ'!$B$7:$B$500&amp;", ")))</f>
        <v>6</v>
      </c>
      <c r="F30" s="51" t="n">
        <f aca="false">SUMPRODUCT(--ISNUMBER(SEARCH(", "&amp;$B30&amp;", ",", "&amp;'Hoạt động (Đơn của tôi)'!$B$7:$B$500&amp;", ")),--('Hoạt động (Đơn của tôi)'!$AT$7:$AT$500&lt;&gt;""))+SUMPRODUCT(--ISNUMBER(SEARCH(", "&amp;$B30&amp;", ",", "&amp;'Ghép nối'!$B$7:$B$500&amp;", ")),--('Ghép nối'!$AT$7:$AT$500&lt;&gt;""))+SUMPRODUCT(--ISNUMBER(SEARCH(", "&amp;$B30&amp;", ",", "&amp;'Huỷ đơn - Huỷ nhận đơn'!$B$7:$B$500&amp;", ")),--('Huỷ đơn - Huỷ nhận đơn'!$AT$7:$AT$500&lt;&gt;""))+SUMPRODUCT(--ISNUMBER(SEARCH(", "&amp;$B30&amp;", ",", "&amp;'Giao nhận &amp; Theo dõi đơn'!$B$7:$B$500&amp;", ")),--('Giao nhận &amp; Theo dõi đơn'!$AT$7:$AT$500&lt;&gt;""))+SUMPRODUCT(--ISNUMBER(SEARCH(", "&amp;$B30&amp;", ",", "&amp;'Bảng tin &amp; Chi tiết tin'!$B$7:$B$500&amp;", ")),--('Bảng tin &amp; Chi tiết tin'!$AT$7:$AT$500&lt;&gt;""))+SUMPRODUCT(--ISNUMBER(SEARCH(", "&amp;$B30&amp;", ",", "&amp;'Quà cảm ơn'!$B$7:$B$500&amp;", ")),--('Quà cảm ơn'!$AT$7:$AT$500&lt;&gt;""))+SUMPRODUCT(--ISNUMBER(SEARCH(", "&amp;$B30&amp;", ",", "&amp;'Trang chủ'!$B$7:$B$500&amp;", ")),--('Trang chủ'!$AT$7:$AT$500&lt;&gt;""))+SUMPRODUCT(--ISNUMBER(SEARCH(", "&amp;$B30&amp;", ",", "&amp;'Thông báo'!$B$7:$B$500&amp;", ")),--('Thông báo'!$AT$7:$AT$500&lt;&gt;""))+SUMPRODUCT(--ISNUMBER(SEARCH(", "&amp;$B30&amp;", ",", "&amp;'Đăng tin &amp; Quản lý tin'!$B$7:$B$500&amp;", ")),--('Đăng tin &amp; Quản lý tin'!$AT$7:$AT$500&lt;&gt;""))+SUMPRODUCT(--ISNUMBER(SEARCH(", "&amp;$B30&amp;", ",", "&amp;'Trust &amp; Safety'!$B$7:$B$500&amp;", ")),--('Trust &amp; Safety'!$AT$7:$AT$500&lt;&gt;""))+SUMPRODUCT(--ISNUMBER(SEARCH(", "&amp;$B30&amp;", ",", "&amp;'Tài khoản &amp; Hồ sơ'!$B$7:$B$500&amp;", ")),--('Tài khoản &amp; Hồ sơ'!$AT$7:$AT$500&lt;&gt;""))</f>
        <v>0</v>
      </c>
      <c r="G30" s="51" t="n">
        <f aca="false">SUMPRODUCT(--ISNUMBER(SEARCH(", "&amp;$B30&amp;", ",", "&amp;'Hoạt động (Đơn của tôi)'!$B$7:$B$500&amp;", ")),--('Hoạt động (Đơn của tôi)'!$AT$7:$AT$500="Pass"))+SUMPRODUCT(--ISNUMBER(SEARCH(", "&amp;$B30&amp;", ",", "&amp;'Ghép nối'!$B$7:$B$500&amp;", ")),--('Ghép nối'!$AT$7:$AT$500="Pass"))+SUMPRODUCT(--ISNUMBER(SEARCH(", "&amp;$B30&amp;", ",", "&amp;'Huỷ đơn - Huỷ nhận đơn'!$B$7:$B$500&amp;", ")),--('Huỷ đơn - Huỷ nhận đơn'!$AT$7:$AT$500="Pass"))+SUMPRODUCT(--ISNUMBER(SEARCH(", "&amp;$B30&amp;", ",", "&amp;'Giao nhận &amp; Theo dõi đơn'!$B$7:$B$500&amp;", ")),--('Giao nhận &amp; Theo dõi đơn'!$AT$7:$AT$500="Pass"))+SUMPRODUCT(--ISNUMBER(SEARCH(", "&amp;$B30&amp;", ",", "&amp;'Bảng tin &amp; Chi tiết tin'!$B$7:$B$500&amp;", ")),--('Bảng tin &amp; Chi tiết tin'!$AT$7:$AT$500="Pass"))+SUMPRODUCT(--ISNUMBER(SEARCH(", "&amp;$B30&amp;", ",", "&amp;'Quà cảm ơn'!$B$7:$B$500&amp;", ")),--('Quà cảm ơn'!$AT$7:$AT$500="Pass"))+SUMPRODUCT(--ISNUMBER(SEARCH(", "&amp;$B30&amp;", ",", "&amp;'Trang chủ'!$B$7:$B$500&amp;", ")),--('Trang chủ'!$AT$7:$AT$500="Pass"))+SUMPRODUCT(--ISNUMBER(SEARCH(", "&amp;$B30&amp;", ",", "&amp;'Thông báo'!$B$7:$B$500&amp;", ")),--('Thông báo'!$AT$7:$AT$500="Pass"))+SUMPRODUCT(--ISNUMBER(SEARCH(", "&amp;$B30&amp;", ",", "&amp;'Đăng tin &amp; Quản lý tin'!$B$7:$B$500&amp;", ")),--('Đăng tin &amp; Quản lý tin'!$AT$7:$AT$500="Pass"))+SUMPRODUCT(--ISNUMBER(SEARCH(", "&amp;$B30&amp;", ",", "&amp;'Trust &amp; Safety'!$B$7:$B$500&amp;", ")),--('Trust &amp; Safety'!$AT$7:$AT$500="Pass"))+SUMPRODUCT(--ISNUMBER(SEARCH(", "&amp;$B30&amp;", ",", "&amp;'Tài khoản &amp; Hồ sơ'!$B$7:$B$500&amp;", ")),--('Tài khoản &amp; Hồ sơ'!$AT$7:$AT$500="Pass"))</f>
        <v>0</v>
      </c>
      <c r="H30" s="51" t="n">
        <f aca="false">SUMPRODUCT(--ISNUMBER(SEARCH(", "&amp;$B30&amp;", ",", "&amp;'Hoạt động (Đơn của tôi)'!$B$7:$B$500&amp;", ")),--('Hoạt động (Đơn của tôi)'!$AT$7:$AT$500="Fail"))+SUMPRODUCT(--ISNUMBER(SEARCH(", "&amp;$B30&amp;", ",", "&amp;'Ghép nối'!$B$7:$B$500&amp;", ")),--('Ghép nối'!$AT$7:$AT$500="Fail"))+SUMPRODUCT(--ISNUMBER(SEARCH(", "&amp;$B30&amp;", ",", "&amp;'Huỷ đơn - Huỷ nhận đơn'!$B$7:$B$500&amp;", ")),--('Huỷ đơn - Huỷ nhận đơn'!$AT$7:$AT$500="Fail"))+SUMPRODUCT(--ISNUMBER(SEARCH(", "&amp;$B30&amp;", ",", "&amp;'Giao nhận &amp; Theo dõi đơn'!$B$7:$B$500&amp;", ")),--('Giao nhận &amp; Theo dõi đơn'!$AT$7:$AT$500="Fail"))+SUMPRODUCT(--ISNUMBER(SEARCH(", "&amp;$B30&amp;", ",", "&amp;'Bảng tin &amp; Chi tiết tin'!$B$7:$B$500&amp;", ")),--('Bảng tin &amp; Chi tiết tin'!$AT$7:$AT$500="Fail"))+SUMPRODUCT(--ISNUMBER(SEARCH(", "&amp;$B30&amp;", ",", "&amp;'Quà cảm ơn'!$B$7:$B$500&amp;", ")),--('Quà cảm ơn'!$AT$7:$AT$500="Fail"))+SUMPRODUCT(--ISNUMBER(SEARCH(", "&amp;$B30&amp;", ",", "&amp;'Trang chủ'!$B$7:$B$500&amp;", ")),--('Trang chủ'!$AT$7:$AT$500="Fail"))+SUMPRODUCT(--ISNUMBER(SEARCH(", "&amp;$B30&amp;", ",", "&amp;'Thông báo'!$B$7:$B$500&amp;", ")),--('Thông báo'!$AT$7:$AT$500="Fail"))+SUMPRODUCT(--ISNUMBER(SEARCH(", "&amp;$B30&amp;", ",", "&amp;'Đăng tin &amp; Quản lý tin'!$B$7:$B$500&amp;", ")),--('Đăng tin &amp; Quản lý tin'!$AT$7:$AT$500="Fail"))+SUMPRODUCT(--ISNUMBER(SEARCH(", "&amp;$B30&amp;", ",", "&amp;'Trust &amp; Safety'!$B$7:$B$500&amp;", ")),--('Trust &amp; Safety'!$AT$7:$AT$500="Fail"))+SUMPRODUCT(--ISNUMBER(SEARCH(", "&amp;$B30&amp;", ",", "&amp;'Tài khoản &amp; Hồ sơ'!$B$7:$B$500&amp;", ")),--('Tài khoản &amp; Hồ sơ'!$AT$7:$AT$500="Fail"))</f>
        <v>0</v>
      </c>
      <c r="I30" s="51" t="n">
        <f aca="false">SUMPRODUCT(--ISNUMBER(SEARCH(", "&amp;$B30&amp;", ",", "&amp;'Hoạt động (Đơn của tôi)'!$B$7:$B$500&amp;", ")),--('Hoạt động (Đơn của tôi)'!$AT$7:$AT$500="Block"))+SUMPRODUCT(--ISNUMBER(SEARCH(", "&amp;$B30&amp;", ",", "&amp;'Ghép nối'!$B$7:$B$500&amp;", ")),--('Ghép nối'!$AT$7:$AT$500="Block"))+SUMPRODUCT(--ISNUMBER(SEARCH(", "&amp;$B30&amp;", ",", "&amp;'Huỷ đơn - Huỷ nhận đơn'!$B$7:$B$500&amp;", ")),--('Huỷ đơn - Huỷ nhận đơn'!$AT$7:$AT$500="Block"))+SUMPRODUCT(--ISNUMBER(SEARCH(", "&amp;$B30&amp;", ",", "&amp;'Giao nhận &amp; Theo dõi đơn'!$B$7:$B$500&amp;", ")),--('Giao nhận &amp; Theo dõi đơn'!$AT$7:$AT$500="Block"))+SUMPRODUCT(--ISNUMBER(SEARCH(", "&amp;$B30&amp;", ",", "&amp;'Bảng tin &amp; Chi tiết tin'!$B$7:$B$500&amp;", ")),--('Bảng tin &amp; Chi tiết tin'!$AT$7:$AT$500="Block"))+SUMPRODUCT(--ISNUMBER(SEARCH(", "&amp;$B30&amp;", ",", "&amp;'Quà cảm ơn'!$B$7:$B$500&amp;", ")),--('Quà cảm ơn'!$AT$7:$AT$500="Block"))+SUMPRODUCT(--ISNUMBER(SEARCH(", "&amp;$B30&amp;", ",", "&amp;'Trang chủ'!$B$7:$B$500&amp;", ")),--('Trang chủ'!$AT$7:$AT$500="Block"))+SUMPRODUCT(--ISNUMBER(SEARCH(", "&amp;$B30&amp;", ",", "&amp;'Thông báo'!$B$7:$B$500&amp;", ")),--('Thông báo'!$AT$7:$AT$500="Block"))+SUMPRODUCT(--ISNUMBER(SEARCH(", "&amp;$B30&amp;", ",", "&amp;'Đăng tin &amp; Quản lý tin'!$B$7:$B$500&amp;", ")),--('Đăng tin &amp; Quản lý tin'!$AT$7:$AT$500="Block"))+SUMPRODUCT(--ISNUMBER(SEARCH(", "&amp;$B30&amp;", ",", "&amp;'Trust &amp; Safety'!$B$7:$B$500&amp;", ")),--('Trust &amp; Safety'!$AT$7:$AT$500="Block"))+SUMPRODUCT(--ISNUMBER(SEARCH(", "&amp;$B30&amp;", ",", "&amp;'Tài khoản &amp; Hồ sơ'!$B$7:$B$500&amp;", ")),--('Tài khoản &amp; Hồ sơ'!$AT$7:$AT$500="Block"))</f>
        <v>0</v>
      </c>
      <c r="J30" s="51" t="n">
        <f aca="false">SUMPRODUCT(--ISNUMBER(SEARCH(", "&amp;$B30&amp;", ",", "&amp;'Hoạt động (Đơn của tôi)'!$B$7:$B$500&amp;", ")),--('Hoạt động (Đơn của tôi)'!$AT$7:$AT$500="N/A"))+SUMPRODUCT(--ISNUMBER(SEARCH(", "&amp;$B30&amp;", ",", "&amp;'Ghép nối'!$B$7:$B$500&amp;", ")),--('Ghép nối'!$AT$7:$AT$500="N/A"))+SUMPRODUCT(--ISNUMBER(SEARCH(", "&amp;$B30&amp;", ",", "&amp;'Huỷ đơn - Huỷ nhận đơn'!$B$7:$B$500&amp;", ")),--('Huỷ đơn - Huỷ nhận đơn'!$AT$7:$AT$500="N/A"))+SUMPRODUCT(--ISNUMBER(SEARCH(", "&amp;$B30&amp;", ",", "&amp;'Giao nhận &amp; Theo dõi đơn'!$B$7:$B$500&amp;", ")),--('Giao nhận &amp; Theo dõi đơn'!$AT$7:$AT$500="N/A"))+SUMPRODUCT(--ISNUMBER(SEARCH(", "&amp;$B30&amp;", ",", "&amp;'Bảng tin &amp; Chi tiết tin'!$B$7:$B$500&amp;", ")),--('Bảng tin &amp; Chi tiết tin'!$AT$7:$AT$500="N/A"))+SUMPRODUCT(--ISNUMBER(SEARCH(", "&amp;$B30&amp;", ",", "&amp;'Quà cảm ơn'!$B$7:$B$500&amp;", ")),--('Quà cảm ơn'!$AT$7:$AT$500="N/A"))+SUMPRODUCT(--ISNUMBER(SEARCH(", "&amp;$B30&amp;", ",", "&amp;'Trang chủ'!$B$7:$B$500&amp;", ")),--('Trang chủ'!$AT$7:$AT$500="N/A"))+SUMPRODUCT(--ISNUMBER(SEARCH(", "&amp;$B30&amp;", ",", "&amp;'Thông báo'!$B$7:$B$500&amp;", ")),--('Thông báo'!$AT$7:$AT$500="N/A"))+SUMPRODUCT(--ISNUMBER(SEARCH(", "&amp;$B30&amp;", ",", "&amp;'Đăng tin &amp; Quản lý tin'!$B$7:$B$500&amp;", ")),--('Đăng tin &amp; Quản lý tin'!$AT$7:$AT$500="N/A"))+SUMPRODUCT(--ISNUMBER(SEARCH(", "&amp;$B30&amp;", ",", "&amp;'Trust &amp; Safety'!$B$7:$B$500&amp;", ")),--('Trust &amp; Safety'!$AT$7:$AT$500="N/A"))+SUMPRODUCT(--ISNUMBER(SEARCH(", "&amp;$B30&amp;", ",", "&amp;'Tài khoản &amp; Hồ sơ'!$B$7:$B$500&amp;", ")),--('Tài khoản &amp; Hồ sơ'!$AT$7:$AT$500="N/A"))</f>
        <v>0</v>
      </c>
      <c r="K30" s="52" t="n">
        <f aca="false">IFERROR(F30/E30,0)</f>
        <v>0</v>
      </c>
      <c r="L30" s="123" t="str">
        <f aca="false">IF(E30=0,"Chưa có TC (gap)",IF(H30&gt;0,"Có lỗi (Fail)",IF(I30&gt;0,"Bị block",IF(F30&lt;E30,"Đang test",IF(G30=0,"Không áp dụng (N/A)","Đã test xong")))))</f>
        <v>Đang test</v>
      </c>
      <c r="AB30" s="1" t="s">
        <v>424</v>
      </c>
    </row>
    <row r="31" customFormat="false" ht="15.75" hidden="false" customHeight="true" outlineLevel="0" collapsed="false">
      <c r="B31" s="175" t="s">
        <v>495</v>
      </c>
      <c r="C31" s="176" t="s">
        <v>496</v>
      </c>
      <c r="D31" s="123" t="s">
        <v>497</v>
      </c>
      <c r="E31" s="51" t="n">
        <f aca="false">SUMPRODUCT(--ISNUMBER(SEARCH(", "&amp;$B31&amp;", ",", "&amp;'Hoạt động (Đơn của tôi)'!$B$7:$B$500&amp;", ")))+SUMPRODUCT(--ISNUMBER(SEARCH(", "&amp;$B31&amp;", ",", "&amp;'Ghép nối'!$B$7:$B$500&amp;", ")))+SUMPRODUCT(--ISNUMBER(SEARCH(", "&amp;$B31&amp;", ",", "&amp;'Huỷ đơn - Huỷ nhận đơn'!$B$7:$B$500&amp;", ")))+SUMPRODUCT(--ISNUMBER(SEARCH(", "&amp;$B31&amp;", ",", "&amp;'Giao nhận &amp; Theo dõi đơn'!$B$7:$B$500&amp;", ")))+SUMPRODUCT(--ISNUMBER(SEARCH(", "&amp;$B31&amp;", ",", "&amp;'Bảng tin &amp; Chi tiết tin'!$B$7:$B$500&amp;", ")))+SUMPRODUCT(--ISNUMBER(SEARCH(", "&amp;$B31&amp;", ",", "&amp;'Quà cảm ơn'!$B$7:$B$500&amp;", ")))+SUMPRODUCT(--ISNUMBER(SEARCH(", "&amp;$B31&amp;", ",", "&amp;'Trang chủ'!$B$7:$B$500&amp;", ")))+SUMPRODUCT(--ISNUMBER(SEARCH(", "&amp;$B31&amp;", ",", "&amp;'Thông báo'!$B$7:$B$500&amp;", ")))+SUMPRODUCT(--ISNUMBER(SEARCH(", "&amp;$B31&amp;", ",", "&amp;'Đăng tin &amp; Quản lý tin'!$B$7:$B$500&amp;", ")))+SUMPRODUCT(--ISNUMBER(SEARCH(", "&amp;$B31&amp;", ",", "&amp;'Trust &amp; Safety'!$B$7:$B$500&amp;", ")))+SUMPRODUCT(--ISNUMBER(SEARCH(", "&amp;$B31&amp;", ",", "&amp;'Tài khoản &amp; Hồ sơ'!$B$7:$B$500&amp;", ")))</f>
        <v>3</v>
      </c>
      <c r="F31" s="51" t="n">
        <f aca="false">SUMPRODUCT(--ISNUMBER(SEARCH(", "&amp;$B31&amp;", ",", "&amp;'Hoạt động (Đơn của tôi)'!$B$7:$B$500&amp;", ")),--('Hoạt động (Đơn của tôi)'!$AT$7:$AT$500&lt;&gt;""))+SUMPRODUCT(--ISNUMBER(SEARCH(", "&amp;$B31&amp;", ",", "&amp;'Ghép nối'!$B$7:$B$500&amp;", ")),--('Ghép nối'!$AT$7:$AT$500&lt;&gt;""))+SUMPRODUCT(--ISNUMBER(SEARCH(", "&amp;$B31&amp;", ",", "&amp;'Huỷ đơn - Huỷ nhận đơn'!$B$7:$B$500&amp;", ")),--('Huỷ đơn - Huỷ nhận đơn'!$AT$7:$AT$500&lt;&gt;""))+SUMPRODUCT(--ISNUMBER(SEARCH(", "&amp;$B31&amp;", ",", "&amp;'Giao nhận &amp; Theo dõi đơn'!$B$7:$B$500&amp;", ")),--('Giao nhận &amp; Theo dõi đơn'!$AT$7:$AT$500&lt;&gt;""))+SUMPRODUCT(--ISNUMBER(SEARCH(", "&amp;$B31&amp;", ",", "&amp;'Bảng tin &amp; Chi tiết tin'!$B$7:$B$500&amp;", ")),--('Bảng tin &amp; Chi tiết tin'!$AT$7:$AT$500&lt;&gt;""))+SUMPRODUCT(--ISNUMBER(SEARCH(", "&amp;$B31&amp;", ",", "&amp;'Quà cảm ơn'!$B$7:$B$500&amp;", ")),--('Quà cảm ơn'!$AT$7:$AT$500&lt;&gt;""))+SUMPRODUCT(--ISNUMBER(SEARCH(", "&amp;$B31&amp;", ",", "&amp;'Trang chủ'!$B$7:$B$500&amp;", ")),--('Trang chủ'!$AT$7:$AT$500&lt;&gt;""))+SUMPRODUCT(--ISNUMBER(SEARCH(", "&amp;$B31&amp;", ",", "&amp;'Thông báo'!$B$7:$B$500&amp;", ")),--('Thông báo'!$AT$7:$AT$500&lt;&gt;""))+SUMPRODUCT(--ISNUMBER(SEARCH(", "&amp;$B31&amp;", ",", "&amp;'Đăng tin &amp; Quản lý tin'!$B$7:$B$500&amp;", ")),--('Đăng tin &amp; Quản lý tin'!$AT$7:$AT$500&lt;&gt;""))+SUMPRODUCT(--ISNUMBER(SEARCH(", "&amp;$B31&amp;", ",", "&amp;'Trust &amp; Safety'!$B$7:$B$500&amp;", ")),--('Trust &amp; Safety'!$AT$7:$AT$500&lt;&gt;""))+SUMPRODUCT(--ISNUMBER(SEARCH(", "&amp;$B31&amp;", ",", "&amp;'Tài khoản &amp; Hồ sơ'!$B$7:$B$500&amp;", ")),--('Tài khoản &amp; Hồ sơ'!$AT$7:$AT$500&lt;&gt;""))</f>
        <v>0</v>
      </c>
      <c r="G31" s="51" t="n">
        <f aca="false">SUMPRODUCT(--ISNUMBER(SEARCH(", "&amp;$B31&amp;", ",", "&amp;'Hoạt động (Đơn của tôi)'!$B$7:$B$500&amp;", ")),--('Hoạt động (Đơn của tôi)'!$AT$7:$AT$500="Pass"))+SUMPRODUCT(--ISNUMBER(SEARCH(", "&amp;$B31&amp;", ",", "&amp;'Ghép nối'!$B$7:$B$500&amp;", ")),--('Ghép nối'!$AT$7:$AT$500="Pass"))+SUMPRODUCT(--ISNUMBER(SEARCH(", "&amp;$B31&amp;", ",", "&amp;'Huỷ đơn - Huỷ nhận đơn'!$B$7:$B$500&amp;", ")),--('Huỷ đơn - Huỷ nhận đơn'!$AT$7:$AT$500="Pass"))+SUMPRODUCT(--ISNUMBER(SEARCH(", "&amp;$B31&amp;", ",", "&amp;'Giao nhận &amp; Theo dõi đơn'!$B$7:$B$500&amp;", ")),--('Giao nhận &amp; Theo dõi đơn'!$AT$7:$AT$500="Pass"))+SUMPRODUCT(--ISNUMBER(SEARCH(", "&amp;$B31&amp;", ",", "&amp;'Bảng tin &amp; Chi tiết tin'!$B$7:$B$500&amp;", ")),--('Bảng tin &amp; Chi tiết tin'!$AT$7:$AT$500="Pass"))+SUMPRODUCT(--ISNUMBER(SEARCH(", "&amp;$B31&amp;", ",", "&amp;'Quà cảm ơn'!$B$7:$B$500&amp;", ")),--('Quà cảm ơn'!$AT$7:$AT$500="Pass"))+SUMPRODUCT(--ISNUMBER(SEARCH(", "&amp;$B31&amp;", ",", "&amp;'Trang chủ'!$B$7:$B$500&amp;", ")),--('Trang chủ'!$AT$7:$AT$500="Pass"))+SUMPRODUCT(--ISNUMBER(SEARCH(", "&amp;$B31&amp;", ",", "&amp;'Thông báo'!$B$7:$B$500&amp;", ")),--('Thông báo'!$AT$7:$AT$500="Pass"))+SUMPRODUCT(--ISNUMBER(SEARCH(", "&amp;$B31&amp;", ",", "&amp;'Đăng tin &amp; Quản lý tin'!$B$7:$B$500&amp;", ")),--('Đăng tin &amp; Quản lý tin'!$AT$7:$AT$500="Pass"))+SUMPRODUCT(--ISNUMBER(SEARCH(", "&amp;$B31&amp;", ",", "&amp;'Trust &amp; Safety'!$B$7:$B$500&amp;", ")),--('Trust &amp; Safety'!$AT$7:$AT$500="Pass"))+SUMPRODUCT(--ISNUMBER(SEARCH(", "&amp;$B31&amp;", ",", "&amp;'Tài khoản &amp; Hồ sơ'!$B$7:$B$500&amp;", ")),--('Tài khoản &amp; Hồ sơ'!$AT$7:$AT$500="Pass"))</f>
        <v>0</v>
      </c>
      <c r="H31" s="51" t="n">
        <f aca="false">SUMPRODUCT(--ISNUMBER(SEARCH(", "&amp;$B31&amp;", ",", "&amp;'Hoạt động (Đơn của tôi)'!$B$7:$B$500&amp;", ")),--('Hoạt động (Đơn của tôi)'!$AT$7:$AT$500="Fail"))+SUMPRODUCT(--ISNUMBER(SEARCH(", "&amp;$B31&amp;", ",", "&amp;'Ghép nối'!$B$7:$B$500&amp;", ")),--('Ghép nối'!$AT$7:$AT$500="Fail"))+SUMPRODUCT(--ISNUMBER(SEARCH(", "&amp;$B31&amp;", ",", "&amp;'Huỷ đơn - Huỷ nhận đơn'!$B$7:$B$500&amp;", ")),--('Huỷ đơn - Huỷ nhận đơn'!$AT$7:$AT$500="Fail"))+SUMPRODUCT(--ISNUMBER(SEARCH(", "&amp;$B31&amp;", ",", "&amp;'Giao nhận &amp; Theo dõi đơn'!$B$7:$B$500&amp;", ")),--('Giao nhận &amp; Theo dõi đơn'!$AT$7:$AT$500="Fail"))+SUMPRODUCT(--ISNUMBER(SEARCH(", "&amp;$B31&amp;", ",", "&amp;'Bảng tin &amp; Chi tiết tin'!$B$7:$B$500&amp;", ")),--('Bảng tin &amp; Chi tiết tin'!$AT$7:$AT$500="Fail"))+SUMPRODUCT(--ISNUMBER(SEARCH(", "&amp;$B31&amp;", ",", "&amp;'Quà cảm ơn'!$B$7:$B$500&amp;", ")),--('Quà cảm ơn'!$AT$7:$AT$500="Fail"))+SUMPRODUCT(--ISNUMBER(SEARCH(", "&amp;$B31&amp;", ",", "&amp;'Trang chủ'!$B$7:$B$500&amp;", ")),--('Trang chủ'!$AT$7:$AT$500="Fail"))+SUMPRODUCT(--ISNUMBER(SEARCH(", "&amp;$B31&amp;", ",", "&amp;'Thông báo'!$B$7:$B$500&amp;", ")),--('Thông báo'!$AT$7:$AT$500="Fail"))+SUMPRODUCT(--ISNUMBER(SEARCH(", "&amp;$B31&amp;", ",", "&amp;'Đăng tin &amp; Quản lý tin'!$B$7:$B$500&amp;", ")),--('Đăng tin &amp; Quản lý tin'!$AT$7:$AT$500="Fail"))+SUMPRODUCT(--ISNUMBER(SEARCH(", "&amp;$B31&amp;", ",", "&amp;'Trust &amp; Safety'!$B$7:$B$500&amp;", ")),--('Trust &amp; Safety'!$AT$7:$AT$500="Fail"))+SUMPRODUCT(--ISNUMBER(SEARCH(", "&amp;$B31&amp;", ",", "&amp;'Tài khoản &amp; Hồ sơ'!$B$7:$B$500&amp;", ")),--('Tài khoản &amp; Hồ sơ'!$AT$7:$AT$500="Fail"))</f>
        <v>0</v>
      </c>
      <c r="I31" s="51" t="n">
        <f aca="false">SUMPRODUCT(--ISNUMBER(SEARCH(", "&amp;$B31&amp;", ",", "&amp;'Hoạt động (Đơn của tôi)'!$B$7:$B$500&amp;", ")),--('Hoạt động (Đơn của tôi)'!$AT$7:$AT$500="Block"))+SUMPRODUCT(--ISNUMBER(SEARCH(", "&amp;$B31&amp;", ",", "&amp;'Ghép nối'!$B$7:$B$500&amp;", ")),--('Ghép nối'!$AT$7:$AT$500="Block"))+SUMPRODUCT(--ISNUMBER(SEARCH(", "&amp;$B31&amp;", ",", "&amp;'Huỷ đơn - Huỷ nhận đơn'!$B$7:$B$500&amp;", ")),--('Huỷ đơn - Huỷ nhận đơn'!$AT$7:$AT$500="Block"))+SUMPRODUCT(--ISNUMBER(SEARCH(", "&amp;$B31&amp;", ",", "&amp;'Giao nhận &amp; Theo dõi đơn'!$B$7:$B$500&amp;", ")),--('Giao nhận &amp; Theo dõi đơn'!$AT$7:$AT$500="Block"))+SUMPRODUCT(--ISNUMBER(SEARCH(", "&amp;$B31&amp;", ",", "&amp;'Bảng tin &amp; Chi tiết tin'!$B$7:$B$500&amp;", ")),--('Bảng tin &amp; Chi tiết tin'!$AT$7:$AT$500="Block"))+SUMPRODUCT(--ISNUMBER(SEARCH(", "&amp;$B31&amp;", ",", "&amp;'Quà cảm ơn'!$B$7:$B$500&amp;", ")),--('Quà cảm ơn'!$AT$7:$AT$500="Block"))+SUMPRODUCT(--ISNUMBER(SEARCH(", "&amp;$B31&amp;", ",", "&amp;'Trang chủ'!$B$7:$B$500&amp;", ")),--('Trang chủ'!$AT$7:$AT$500="Block"))+SUMPRODUCT(--ISNUMBER(SEARCH(", "&amp;$B31&amp;", ",", "&amp;'Thông báo'!$B$7:$B$500&amp;", ")),--('Thông báo'!$AT$7:$AT$500="Block"))+SUMPRODUCT(--ISNUMBER(SEARCH(", "&amp;$B31&amp;", ",", "&amp;'Đăng tin &amp; Quản lý tin'!$B$7:$B$500&amp;", ")),--('Đăng tin &amp; Quản lý tin'!$AT$7:$AT$500="Block"))+SUMPRODUCT(--ISNUMBER(SEARCH(", "&amp;$B31&amp;", ",", "&amp;'Trust &amp; Safety'!$B$7:$B$500&amp;", ")),--('Trust &amp; Safety'!$AT$7:$AT$500="Block"))+SUMPRODUCT(--ISNUMBER(SEARCH(", "&amp;$B31&amp;", ",", "&amp;'Tài khoản &amp; Hồ sơ'!$B$7:$B$500&amp;", ")),--('Tài khoản &amp; Hồ sơ'!$AT$7:$AT$500="Block"))</f>
        <v>0</v>
      </c>
      <c r="J31" s="51" t="n">
        <f aca="false">SUMPRODUCT(--ISNUMBER(SEARCH(", "&amp;$B31&amp;", ",", "&amp;'Hoạt động (Đơn của tôi)'!$B$7:$B$500&amp;", ")),--('Hoạt động (Đơn của tôi)'!$AT$7:$AT$500="N/A"))+SUMPRODUCT(--ISNUMBER(SEARCH(", "&amp;$B31&amp;", ",", "&amp;'Ghép nối'!$B$7:$B$500&amp;", ")),--('Ghép nối'!$AT$7:$AT$500="N/A"))+SUMPRODUCT(--ISNUMBER(SEARCH(", "&amp;$B31&amp;", ",", "&amp;'Huỷ đơn - Huỷ nhận đơn'!$B$7:$B$500&amp;", ")),--('Huỷ đơn - Huỷ nhận đơn'!$AT$7:$AT$500="N/A"))+SUMPRODUCT(--ISNUMBER(SEARCH(", "&amp;$B31&amp;", ",", "&amp;'Giao nhận &amp; Theo dõi đơn'!$B$7:$B$500&amp;", ")),--('Giao nhận &amp; Theo dõi đơn'!$AT$7:$AT$500="N/A"))+SUMPRODUCT(--ISNUMBER(SEARCH(", "&amp;$B31&amp;", ",", "&amp;'Bảng tin &amp; Chi tiết tin'!$B$7:$B$500&amp;", ")),--('Bảng tin &amp; Chi tiết tin'!$AT$7:$AT$500="N/A"))+SUMPRODUCT(--ISNUMBER(SEARCH(", "&amp;$B31&amp;", ",", "&amp;'Quà cảm ơn'!$B$7:$B$500&amp;", ")),--('Quà cảm ơn'!$AT$7:$AT$500="N/A"))+SUMPRODUCT(--ISNUMBER(SEARCH(", "&amp;$B31&amp;", ",", "&amp;'Trang chủ'!$B$7:$B$500&amp;", ")),--('Trang chủ'!$AT$7:$AT$500="N/A"))+SUMPRODUCT(--ISNUMBER(SEARCH(", "&amp;$B31&amp;", ",", "&amp;'Thông báo'!$B$7:$B$500&amp;", ")),--('Thông báo'!$AT$7:$AT$500="N/A"))+SUMPRODUCT(--ISNUMBER(SEARCH(", "&amp;$B31&amp;", ",", "&amp;'Đăng tin &amp; Quản lý tin'!$B$7:$B$500&amp;", ")),--('Đăng tin &amp; Quản lý tin'!$AT$7:$AT$500="N/A"))+SUMPRODUCT(--ISNUMBER(SEARCH(", "&amp;$B31&amp;", ",", "&amp;'Trust &amp; Safety'!$B$7:$B$500&amp;", ")),--('Trust &amp; Safety'!$AT$7:$AT$500="N/A"))+SUMPRODUCT(--ISNUMBER(SEARCH(", "&amp;$B31&amp;", ",", "&amp;'Tài khoản &amp; Hồ sơ'!$B$7:$B$500&amp;", ")),--('Tài khoản &amp; Hồ sơ'!$AT$7:$AT$500="N/A"))</f>
        <v>0</v>
      </c>
      <c r="K31" s="52" t="n">
        <f aca="false">IFERROR(F31/E31,0)</f>
        <v>0</v>
      </c>
      <c r="L31" s="123" t="str">
        <f aca="false">IF(E31=0,"Chưa có TC (gap)",IF(H31&gt;0,"Có lỗi (Fail)",IF(I31&gt;0,"Bị block",IF(F31&lt;E31,"Đang test",IF(G31=0,"Không áp dụng (N/A)","Đã test xong")))))</f>
        <v>Đang test</v>
      </c>
      <c r="AB31" s="1" t="s">
        <v>424</v>
      </c>
    </row>
    <row r="32" customFormat="false" ht="15.75" hidden="false" customHeight="true" outlineLevel="0" collapsed="false">
      <c r="B32" s="175" t="s">
        <v>498</v>
      </c>
      <c r="C32" s="176" t="s">
        <v>499</v>
      </c>
      <c r="D32" s="123" t="s">
        <v>500</v>
      </c>
      <c r="E32" s="51" t="n">
        <f aca="false">SUMPRODUCT(--ISNUMBER(SEARCH(", "&amp;$B32&amp;", ",", "&amp;'Hoạt động (Đơn của tôi)'!$B$7:$B$500&amp;", ")))+SUMPRODUCT(--ISNUMBER(SEARCH(", "&amp;$B32&amp;", ",", "&amp;'Ghép nối'!$B$7:$B$500&amp;", ")))+SUMPRODUCT(--ISNUMBER(SEARCH(", "&amp;$B32&amp;", ",", "&amp;'Huỷ đơn - Huỷ nhận đơn'!$B$7:$B$500&amp;", ")))+SUMPRODUCT(--ISNUMBER(SEARCH(", "&amp;$B32&amp;", ",", "&amp;'Giao nhận &amp; Theo dõi đơn'!$B$7:$B$500&amp;", ")))+SUMPRODUCT(--ISNUMBER(SEARCH(", "&amp;$B32&amp;", ",", "&amp;'Bảng tin &amp; Chi tiết tin'!$B$7:$B$500&amp;", ")))+SUMPRODUCT(--ISNUMBER(SEARCH(", "&amp;$B32&amp;", ",", "&amp;'Quà cảm ơn'!$B$7:$B$500&amp;", ")))+SUMPRODUCT(--ISNUMBER(SEARCH(", "&amp;$B32&amp;", ",", "&amp;'Trang chủ'!$B$7:$B$500&amp;", ")))+SUMPRODUCT(--ISNUMBER(SEARCH(", "&amp;$B32&amp;", ",", "&amp;'Thông báo'!$B$7:$B$500&amp;", ")))+SUMPRODUCT(--ISNUMBER(SEARCH(", "&amp;$B32&amp;", ",", "&amp;'Đăng tin &amp; Quản lý tin'!$B$7:$B$500&amp;", ")))+SUMPRODUCT(--ISNUMBER(SEARCH(", "&amp;$B32&amp;", ",", "&amp;'Trust &amp; Safety'!$B$7:$B$500&amp;", ")))+SUMPRODUCT(--ISNUMBER(SEARCH(", "&amp;$B32&amp;", ",", "&amp;'Tài khoản &amp; Hồ sơ'!$B$7:$B$500&amp;", ")))</f>
        <v>3</v>
      </c>
      <c r="F32" s="51" t="n">
        <f aca="false">SUMPRODUCT(--ISNUMBER(SEARCH(", "&amp;$B32&amp;", ",", "&amp;'Hoạt động (Đơn của tôi)'!$B$7:$B$500&amp;", ")),--('Hoạt động (Đơn của tôi)'!$AT$7:$AT$500&lt;&gt;""))+SUMPRODUCT(--ISNUMBER(SEARCH(", "&amp;$B32&amp;", ",", "&amp;'Ghép nối'!$B$7:$B$500&amp;", ")),--('Ghép nối'!$AT$7:$AT$500&lt;&gt;""))+SUMPRODUCT(--ISNUMBER(SEARCH(", "&amp;$B32&amp;", ",", "&amp;'Huỷ đơn - Huỷ nhận đơn'!$B$7:$B$500&amp;", ")),--('Huỷ đơn - Huỷ nhận đơn'!$AT$7:$AT$500&lt;&gt;""))+SUMPRODUCT(--ISNUMBER(SEARCH(", "&amp;$B32&amp;", ",", "&amp;'Giao nhận &amp; Theo dõi đơn'!$B$7:$B$500&amp;", ")),--('Giao nhận &amp; Theo dõi đơn'!$AT$7:$AT$500&lt;&gt;""))+SUMPRODUCT(--ISNUMBER(SEARCH(", "&amp;$B32&amp;", ",", "&amp;'Bảng tin &amp; Chi tiết tin'!$B$7:$B$500&amp;", ")),--('Bảng tin &amp; Chi tiết tin'!$AT$7:$AT$500&lt;&gt;""))+SUMPRODUCT(--ISNUMBER(SEARCH(", "&amp;$B32&amp;", ",", "&amp;'Quà cảm ơn'!$B$7:$B$500&amp;", ")),--('Quà cảm ơn'!$AT$7:$AT$500&lt;&gt;""))+SUMPRODUCT(--ISNUMBER(SEARCH(", "&amp;$B32&amp;", ",", "&amp;'Trang chủ'!$B$7:$B$500&amp;", ")),--('Trang chủ'!$AT$7:$AT$500&lt;&gt;""))+SUMPRODUCT(--ISNUMBER(SEARCH(", "&amp;$B32&amp;", ",", "&amp;'Thông báo'!$B$7:$B$500&amp;", ")),--('Thông báo'!$AT$7:$AT$500&lt;&gt;""))+SUMPRODUCT(--ISNUMBER(SEARCH(", "&amp;$B32&amp;", ",", "&amp;'Đăng tin &amp; Quản lý tin'!$B$7:$B$500&amp;", ")),--('Đăng tin &amp; Quản lý tin'!$AT$7:$AT$500&lt;&gt;""))+SUMPRODUCT(--ISNUMBER(SEARCH(", "&amp;$B32&amp;", ",", "&amp;'Trust &amp; Safety'!$B$7:$B$500&amp;", ")),--('Trust &amp; Safety'!$AT$7:$AT$500&lt;&gt;""))+SUMPRODUCT(--ISNUMBER(SEARCH(", "&amp;$B32&amp;", ",", "&amp;'Tài khoản &amp; Hồ sơ'!$B$7:$B$500&amp;", ")),--('Tài khoản &amp; Hồ sơ'!$AT$7:$AT$500&lt;&gt;""))</f>
        <v>0</v>
      </c>
      <c r="G32" s="51" t="n">
        <f aca="false">SUMPRODUCT(--ISNUMBER(SEARCH(", "&amp;$B32&amp;", ",", "&amp;'Hoạt động (Đơn của tôi)'!$B$7:$B$500&amp;", ")),--('Hoạt động (Đơn của tôi)'!$AT$7:$AT$500="Pass"))+SUMPRODUCT(--ISNUMBER(SEARCH(", "&amp;$B32&amp;", ",", "&amp;'Ghép nối'!$B$7:$B$500&amp;", ")),--('Ghép nối'!$AT$7:$AT$500="Pass"))+SUMPRODUCT(--ISNUMBER(SEARCH(", "&amp;$B32&amp;", ",", "&amp;'Huỷ đơn - Huỷ nhận đơn'!$B$7:$B$500&amp;", ")),--('Huỷ đơn - Huỷ nhận đơn'!$AT$7:$AT$500="Pass"))+SUMPRODUCT(--ISNUMBER(SEARCH(", "&amp;$B32&amp;", ",", "&amp;'Giao nhận &amp; Theo dõi đơn'!$B$7:$B$500&amp;", ")),--('Giao nhận &amp; Theo dõi đơn'!$AT$7:$AT$500="Pass"))+SUMPRODUCT(--ISNUMBER(SEARCH(", "&amp;$B32&amp;", ",", "&amp;'Bảng tin &amp; Chi tiết tin'!$B$7:$B$500&amp;", ")),--('Bảng tin &amp; Chi tiết tin'!$AT$7:$AT$500="Pass"))+SUMPRODUCT(--ISNUMBER(SEARCH(", "&amp;$B32&amp;", ",", "&amp;'Quà cảm ơn'!$B$7:$B$500&amp;", ")),--('Quà cảm ơn'!$AT$7:$AT$500="Pass"))+SUMPRODUCT(--ISNUMBER(SEARCH(", "&amp;$B32&amp;", ",", "&amp;'Trang chủ'!$B$7:$B$500&amp;", ")),--('Trang chủ'!$AT$7:$AT$500="Pass"))+SUMPRODUCT(--ISNUMBER(SEARCH(", "&amp;$B32&amp;", ",", "&amp;'Thông báo'!$B$7:$B$500&amp;", ")),--('Thông báo'!$AT$7:$AT$500="Pass"))+SUMPRODUCT(--ISNUMBER(SEARCH(", "&amp;$B32&amp;", ",", "&amp;'Đăng tin &amp; Quản lý tin'!$B$7:$B$500&amp;", ")),--('Đăng tin &amp; Quản lý tin'!$AT$7:$AT$500="Pass"))+SUMPRODUCT(--ISNUMBER(SEARCH(", "&amp;$B32&amp;", ",", "&amp;'Trust &amp; Safety'!$B$7:$B$500&amp;", ")),--('Trust &amp; Safety'!$AT$7:$AT$500="Pass"))+SUMPRODUCT(--ISNUMBER(SEARCH(", "&amp;$B32&amp;", ",", "&amp;'Tài khoản &amp; Hồ sơ'!$B$7:$B$500&amp;", ")),--('Tài khoản &amp; Hồ sơ'!$AT$7:$AT$500="Pass"))</f>
        <v>0</v>
      </c>
      <c r="H32" s="51" t="n">
        <f aca="false">SUMPRODUCT(--ISNUMBER(SEARCH(", "&amp;$B32&amp;", ",", "&amp;'Hoạt động (Đơn của tôi)'!$B$7:$B$500&amp;", ")),--('Hoạt động (Đơn của tôi)'!$AT$7:$AT$500="Fail"))+SUMPRODUCT(--ISNUMBER(SEARCH(", "&amp;$B32&amp;", ",", "&amp;'Ghép nối'!$B$7:$B$500&amp;", ")),--('Ghép nối'!$AT$7:$AT$500="Fail"))+SUMPRODUCT(--ISNUMBER(SEARCH(", "&amp;$B32&amp;", ",", "&amp;'Huỷ đơn - Huỷ nhận đơn'!$B$7:$B$500&amp;", ")),--('Huỷ đơn - Huỷ nhận đơn'!$AT$7:$AT$500="Fail"))+SUMPRODUCT(--ISNUMBER(SEARCH(", "&amp;$B32&amp;", ",", "&amp;'Giao nhận &amp; Theo dõi đơn'!$B$7:$B$500&amp;", ")),--('Giao nhận &amp; Theo dõi đơn'!$AT$7:$AT$500="Fail"))+SUMPRODUCT(--ISNUMBER(SEARCH(", "&amp;$B32&amp;", ",", "&amp;'Bảng tin &amp; Chi tiết tin'!$B$7:$B$500&amp;", ")),--('Bảng tin &amp; Chi tiết tin'!$AT$7:$AT$500="Fail"))+SUMPRODUCT(--ISNUMBER(SEARCH(", "&amp;$B32&amp;", ",", "&amp;'Quà cảm ơn'!$B$7:$B$500&amp;", ")),--('Quà cảm ơn'!$AT$7:$AT$500="Fail"))+SUMPRODUCT(--ISNUMBER(SEARCH(", "&amp;$B32&amp;", ",", "&amp;'Trang chủ'!$B$7:$B$500&amp;", ")),--('Trang chủ'!$AT$7:$AT$500="Fail"))+SUMPRODUCT(--ISNUMBER(SEARCH(", "&amp;$B32&amp;", ",", "&amp;'Thông báo'!$B$7:$B$500&amp;", ")),--('Thông báo'!$AT$7:$AT$500="Fail"))+SUMPRODUCT(--ISNUMBER(SEARCH(", "&amp;$B32&amp;", ",", "&amp;'Đăng tin &amp; Quản lý tin'!$B$7:$B$500&amp;", ")),--('Đăng tin &amp; Quản lý tin'!$AT$7:$AT$500="Fail"))+SUMPRODUCT(--ISNUMBER(SEARCH(", "&amp;$B32&amp;", ",", "&amp;'Trust &amp; Safety'!$B$7:$B$500&amp;", ")),--('Trust &amp; Safety'!$AT$7:$AT$500="Fail"))+SUMPRODUCT(--ISNUMBER(SEARCH(", "&amp;$B32&amp;", ",", "&amp;'Tài khoản &amp; Hồ sơ'!$B$7:$B$500&amp;", ")),--('Tài khoản &amp; Hồ sơ'!$AT$7:$AT$500="Fail"))</f>
        <v>0</v>
      </c>
      <c r="I32" s="51" t="n">
        <f aca="false">SUMPRODUCT(--ISNUMBER(SEARCH(", "&amp;$B32&amp;", ",", "&amp;'Hoạt động (Đơn của tôi)'!$B$7:$B$500&amp;", ")),--('Hoạt động (Đơn của tôi)'!$AT$7:$AT$500="Block"))+SUMPRODUCT(--ISNUMBER(SEARCH(", "&amp;$B32&amp;", ",", "&amp;'Ghép nối'!$B$7:$B$500&amp;", ")),--('Ghép nối'!$AT$7:$AT$500="Block"))+SUMPRODUCT(--ISNUMBER(SEARCH(", "&amp;$B32&amp;", ",", "&amp;'Huỷ đơn - Huỷ nhận đơn'!$B$7:$B$500&amp;", ")),--('Huỷ đơn - Huỷ nhận đơn'!$AT$7:$AT$500="Block"))+SUMPRODUCT(--ISNUMBER(SEARCH(", "&amp;$B32&amp;", ",", "&amp;'Giao nhận &amp; Theo dõi đơn'!$B$7:$B$500&amp;", ")),--('Giao nhận &amp; Theo dõi đơn'!$AT$7:$AT$500="Block"))+SUMPRODUCT(--ISNUMBER(SEARCH(", "&amp;$B32&amp;", ",", "&amp;'Bảng tin &amp; Chi tiết tin'!$B$7:$B$500&amp;", ")),--('Bảng tin &amp; Chi tiết tin'!$AT$7:$AT$500="Block"))+SUMPRODUCT(--ISNUMBER(SEARCH(", "&amp;$B32&amp;", ",", "&amp;'Quà cảm ơn'!$B$7:$B$500&amp;", ")),--('Quà cảm ơn'!$AT$7:$AT$500="Block"))+SUMPRODUCT(--ISNUMBER(SEARCH(", "&amp;$B32&amp;", ",", "&amp;'Trang chủ'!$B$7:$B$500&amp;", ")),--('Trang chủ'!$AT$7:$AT$500="Block"))+SUMPRODUCT(--ISNUMBER(SEARCH(", "&amp;$B32&amp;", ",", "&amp;'Thông báo'!$B$7:$B$500&amp;", ")),--('Thông báo'!$AT$7:$AT$500="Block"))+SUMPRODUCT(--ISNUMBER(SEARCH(", "&amp;$B32&amp;", ",", "&amp;'Đăng tin &amp; Quản lý tin'!$B$7:$B$500&amp;", ")),--('Đăng tin &amp; Quản lý tin'!$AT$7:$AT$500="Block"))+SUMPRODUCT(--ISNUMBER(SEARCH(", "&amp;$B32&amp;", ",", "&amp;'Trust &amp; Safety'!$B$7:$B$500&amp;", ")),--('Trust &amp; Safety'!$AT$7:$AT$500="Block"))+SUMPRODUCT(--ISNUMBER(SEARCH(", "&amp;$B32&amp;", ",", "&amp;'Tài khoản &amp; Hồ sơ'!$B$7:$B$500&amp;", ")),--('Tài khoản &amp; Hồ sơ'!$AT$7:$AT$500="Block"))</f>
        <v>0</v>
      </c>
      <c r="J32" s="51" t="n">
        <f aca="false">SUMPRODUCT(--ISNUMBER(SEARCH(", "&amp;$B32&amp;", ",", "&amp;'Hoạt động (Đơn của tôi)'!$B$7:$B$500&amp;", ")),--('Hoạt động (Đơn của tôi)'!$AT$7:$AT$500="N/A"))+SUMPRODUCT(--ISNUMBER(SEARCH(", "&amp;$B32&amp;", ",", "&amp;'Ghép nối'!$B$7:$B$500&amp;", ")),--('Ghép nối'!$AT$7:$AT$500="N/A"))+SUMPRODUCT(--ISNUMBER(SEARCH(", "&amp;$B32&amp;", ",", "&amp;'Huỷ đơn - Huỷ nhận đơn'!$B$7:$B$500&amp;", ")),--('Huỷ đơn - Huỷ nhận đơn'!$AT$7:$AT$500="N/A"))+SUMPRODUCT(--ISNUMBER(SEARCH(", "&amp;$B32&amp;", ",", "&amp;'Giao nhận &amp; Theo dõi đơn'!$B$7:$B$500&amp;", ")),--('Giao nhận &amp; Theo dõi đơn'!$AT$7:$AT$500="N/A"))+SUMPRODUCT(--ISNUMBER(SEARCH(", "&amp;$B32&amp;", ",", "&amp;'Bảng tin &amp; Chi tiết tin'!$B$7:$B$500&amp;", ")),--('Bảng tin &amp; Chi tiết tin'!$AT$7:$AT$500="N/A"))+SUMPRODUCT(--ISNUMBER(SEARCH(", "&amp;$B32&amp;", ",", "&amp;'Quà cảm ơn'!$B$7:$B$500&amp;", ")),--('Quà cảm ơn'!$AT$7:$AT$500="N/A"))+SUMPRODUCT(--ISNUMBER(SEARCH(", "&amp;$B32&amp;", ",", "&amp;'Trang chủ'!$B$7:$B$500&amp;", ")),--('Trang chủ'!$AT$7:$AT$500="N/A"))+SUMPRODUCT(--ISNUMBER(SEARCH(", "&amp;$B32&amp;", ",", "&amp;'Thông báo'!$B$7:$B$500&amp;", ")),--('Thông báo'!$AT$7:$AT$500="N/A"))+SUMPRODUCT(--ISNUMBER(SEARCH(", "&amp;$B32&amp;", ",", "&amp;'Đăng tin &amp; Quản lý tin'!$B$7:$B$500&amp;", ")),--('Đăng tin &amp; Quản lý tin'!$AT$7:$AT$500="N/A"))+SUMPRODUCT(--ISNUMBER(SEARCH(", "&amp;$B32&amp;", ",", "&amp;'Trust &amp; Safety'!$B$7:$B$500&amp;", ")),--('Trust &amp; Safety'!$AT$7:$AT$500="N/A"))+SUMPRODUCT(--ISNUMBER(SEARCH(", "&amp;$B32&amp;", ",", "&amp;'Tài khoản &amp; Hồ sơ'!$B$7:$B$500&amp;", ")),--('Tài khoản &amp; Hồ sơ'!$AT$7:$AT$500="N/A"))</f>
        <v>0</v>
      </c>
      <c r="K32" s="52" t="n">
        <f aca="false">IFERROR(F32/E32,0)</f>
        <v>0</v>
      </c>
      <c r="L32" s="123" t="str">
        <f aca="false">IF(E32=0,"Chưa có TC (gap)",IF(H32&gt;0,"Có lỗi (Fail)",IF(I32&gt;0,"Bị block",IF(F32&lt;E32,"Đang test",IF(G32=0,"Không áp dụng (N/A)","Đã test xong")))))</f>
        <v>Đang test</v>
      </c>
      <c r="AB32" s="1" t="s">
        <v>424</v>
      </c>
    </row>
    <row r="33" customFormat="false" ht="15.75" hidden="false" customHeight="true" outlineLevel="0" collapsed="false">
      <c r="B33" s="175" t="s">
        <v>501</v>
      </c>
      <c r="C33" s="176" t="s">
        <v>502</v>
      </c>
      <c r="D33" s="123" t="s">
        <v>503</v>
      </c>
      <c r="E33" s="51" t="n">
        <f aca="false">SUMPRODUCT(--ISNUMBER(SEARCH(", "&amp;$B33&amp;", ",", "&amp;'Hoạt động (Đơn của tôi)'!$B$7:$B$500&amp;", ")))+SUMPRODUCT(--ISNUMBER(SEARCH(", "&amp;$B33&amp;", ",", "&amp;'Ghép nối'!$B$7:$B$500&amp;", ")))+SUMPRODUCT(--ISNUMBER(SEARCH(", "&amp;$B33&amp;", ",", "&amp;'Huỷ đơn - Huỷ nhận đơn'!$B$7:$B$500&amp;", ")))+SUMPRODUCT(--ISNUMBER(SEARCH(", "&amp;$B33&amp;", ",", "&amp;'Giao nhận &amp; Theo dõi đơn'!$B$7:$B$500&amp;", ")))+SUMPRODUCT(--ISNUMBER(SEARCH(", "&amp;$B33&amp;", ",", "&amp;'Bảng tin &amp; Chi tiết tin'!$B$7:$B$500&amp;", ")))+SUMPRODUCT(--ISNUMBER(SEARCH(", "&amp;$B33&amp;", ",", "&amp;'Quà cảm ơn'!$B$7:$B$500&amp;", ")))+SUMPRODUCT(--ISNUMBER(SEARCH(", "&amp;$B33&amp;", ",", "&amp;'Trang chủ'!$B$7:$B$500&amp;", ")))+SUMPRODUCT(--ISNUMBER(SEARCH(", "&amp;$B33&amp;", ",", "&amp;'Thông báo'!$B$7:$B$500&amp;", ")))+SUMPRODUCT(--ISNUMBER(SEARCH(", "&amp;$B33&amp;", ",", "&amp;'Đăng tin &amp; Quản lý tin'!$B$7:$B$500&amp;", ")))+SUMPRODUCT(--ISNUMBER(SEARCH(", "&amp;$B33&amp;", ",", "&amp;'Trust &amp; Safety'!$B$7:$B$500&amp;", ")))+SUMPRODUCT(--ISNUMBER(SEARCH(", "&amp;$B33&amp;", ",", "&amp;'Tài khoản &amp; Hồ sơ'!$B$7:$B$500&amp;", ")))</f>
        <v>2</v>
      </c>
      <c r="F33" s="51" t="n">
        <f aca="false">SUMPRODUCT(--ISNUMBER(SEARCH(", "&amp;$B33&amp;", ",", "&amp;'Hoạt động (Đơn của tôi)'!$B$7:$B$500&amp;", ")),--('Hoạt động (Đơn của tôi)'!$AT$7:$AT$500&lt;&gt;""))+SUMPRODUCT(--ISNUMBER(SEARCH(", "&amp;$B33&amp;", ",", "&amp;'Ghép nối'!$B$7:$B$500&amp;", ")),--('Ghép nối'!$AT$7:$AT$500&lt;&gt;""))+SUMPRODUCT(--ISNUMBER(SEARCH(", "&amp;$B33&amp;", ",", "&amp;'Huỷ đơn - Huỷ nhận đơn'!$B$7:$B$500&amp;", ")),--('Huỷ đơn - Huỷ nhận đơn'!$AT$7:$AT$500&lt;&gt;""))+SUMPRODUCT(--ISNUMBER(SEARCH(", "&amp;$B33&amp;", ",", "&amp;'Giao nhận &amp; Theo dõi đơn'!$B$7:$B$500&amp;", ")),--('Giao nhận &amp; Theo dõi đơn'!$AT$7:$AT$500&lt;&gt;""))+SUMPRODUCT(--ISNUMBER(SEARCH(", "&amp;$B33&amp;", ",", "&amp;'Bảng tin &amp; Chi tiết tin'!$B$7:$B$500&amp;", ")),--('Bảng tin &amp; Chi tiết tin'!$AT$7:$AT$500&lt;&gt;""))+SUMPRODUCT(--ISNUMBER(SEARCH(", "&amp;$B33&amp;", ",", "&amp;'Quà cảm ơn'!$B$7:$B$500&amp;", ")),--('Quà cảm ơn'!$AT$7:$AT$500&lt;&gt;""))+SUMPRODUCT(--ISNUMBER(SEARCH(", "&amp;$B33&amp;", ",", "&amp;'Trang chủ'!$B$7:$B$500&amp;", ")),--('Trang chủ'!$AT$7:$AT$500&lt;&gt;""))+SUMPRODUCT(--ISNUMBER(SEARCH(", "&amp;$B33&amp;", ",", "&amp;'Thông báo'!$B$7:$B$500&amp;", ")),--('Thông báo'!$AT$7:$AT$500&lt;&gt;""))+SUMPRODUCT(--ISNUMBER(SEARCH(", "&amp;$B33&amp;", ",", "&amp;'Đăng tin &amp; Quản lý tin'!$B$7:$B$500&amp;", ")),--('Đăng tin &amp; Quản lý tin'!$AT$7:$AT$500&lt;&gt;""))+SUMPRODUCT(--ISNUMBER(SEARCH(", "&amp;$B33&amp;", ",", "&amp;'Trust &amp; Safety'!$B$7:$B$500&amp;", ")),--('Trust &amp; Safety'!$AT$7:$AT$500&lt;&gt;""))+SUMPRODUCT(--ISNUMBER(SEARCH(", "&amp;$B33&amp;", ",", "&amp;'Tài khoản &amp; Hồ sơ'!$B$7:$B$500&amp;", ")),--('Tài khoản &amp; Hồ sơ'!$AT$7:$AT$500&lt;&gt;""))</f>
        <v>0</v>
      </c>
      <c r="G33" s="51" t="n">
        <f aca="false">SUMPRODUCT(--ISNUMBER(SEARCH(", "&amp;$B33&amp;", ",", "&amp;'Hoạt động (Đơn của tôi)'!$B$7:$B$500&amp;", ")),--('Hoạt động (Đơn của tôi)'!$AT$7:$AT$500="Pass"))+SUMPRODUCT(--ISNUMBER(SEARCH(", "&amp;$B33&amp;", ",", "&amp;'Ghép nối'!$B$7:$B$500&amp;", ")),--('Ghép nối'!$AT$7:$AT$500="Pass"))+SUMPRODUCT(--ISNUMBER(SEARCH(", "&amp;$B33&amp;", ",", "&amp;'Huỷ đơn - Huỷ nhận đơn'!$B$7:$B$500&amp;", ")),--('Huỷ đơn - Huỷ nhận đơn'!$AT$7:$AT$500="Pass"))+SUMPRODUCT(--ISNUMBER(SEARCH(", "&amp;$B33&amp;", ",", "&amp;'Giao nhận &amp; Theo dõi đơn'!$B$7:$B$500&amp;", ")),--('Giao nhận &amp; Theo dõi đơn'!$AT$7:$AT$500="Pass"))+SUMPRODUCT(--ISNUMBER(SEARCH(", "&amp;$B33&amp;", ",", "&amp;'Bảng tin &amp; Chi tiết tin'!$B$7:$B$500&amp;", ")),--('Bảng tin &amp; Chi tiết tin'!$AT$7:$AT$500="Pass"))+SUMPRODUCT(--ISNUMBER(SEARCH(", "&amp;$B33&amp;", ",", "&amp;'Quà cảm ơn'!$B$7:$B$500&amp;", ")),--('Quà cảm ơn'!$AT$7:$AT$500="Pass"))+SUMPRODUCT(--ISNUMBER(SEARCH(", "&amp;$B33&amp;", ",", "&amp;'Trang chủ'!$B$7:$B$500&amp;", ")),--('Trang chủ'!$AT$7:$AT$500="Pass"))+SUMPRODUCT(--ISNUMBER(SEARCH(", "&amp;$B33&amp;", ",", "&amp;'Thông báo'!$B$7:$B$500&amp;", ")),--('Thông báo'!$AT$7:$AT$500="Pass"))+SUMPRODUCT(--ISNUMBER(SEARCH(", "&amp;$B33&amp;", ",", "&amp;'Đăng tin &amp; Quản lý tin'!$B$7:$B$500&amp;", ")),--('Đăng tin &amp; Quản lý tin'!$AT$7:$AT$500="Pass"))+SUMPRODUCT(--ISNUMBER(SEARCH(", "&amp;$B33&amp;", ",", "&amp;'Trust &amp; Safety'!$B$7:$B$500&amp;", ")),--('Trust &amp; Safety'!$AT$7:$AT$500="Pass"))+SUMPRODUCT(--ISNUMBER(SEARCH(", "&amp;$B33&amp;", ",", "&amp;'Tài khoản &amp; Hồ sơ'!$B$7:$B$500&amp;", ")),--('Tài khoản &amp; Hồ sơ'!$AT$7:$AT$500="Pass"))</f>
        <v>0</v>
      </c>
      <c r="H33" s="51" t="n">
        <f aca="false">SUMPRODUCT(--ISNUMBER(SEARCH(", "&amp;$B33&amp;", ",", "&amp;'Hoạt động (Đơn của tôi)'!$B$7:$B$500&amp;", ")),--('Hoạt động (Đơn của tôi)'!$AT$7:$AT$500="Fail"))+SUMPRODUCT(--ISNUMBER(SEARCH(", "&amp;$B33&amp;", ",", "&amp;'Ghép nối'!$B$7:$B$500&amp;", ")),--('Ghép nối'!$AT$7:$AT$500="Fail"))+SUMPRODUCT(--ISNUMBER(SEARCH(", "&amp;$B33&amp;", ",", "&amp;'Huỷ đơn - Huỷ nhận đơn'!$B$7:$B$500&amp;", ")),--('Huỷ đơn - Huỷ nhận đơn'!$AT$7:$AT$500="Fail"))+SUMPRODUCT(--ISNUMBER(SEARCH(", "&amp;$B33&amp;", ",", "&amp;'Giao nhận &amp; Theo dõi đơn'!$B$7:$B$500&amp;", ")),--('Giao nhận &amp; Theo dõi đơn'!$AT$7:$AT$500="Fail"))+SUMPRODUCT(--ISNUMBER(SEARCH(", "&amp;$B33&amp;", ",", "&amp;'Bảng tin &amp; Chi tiết tin'!$B$7:$B$500&amp;", ")),--('Bảng tin &amp; Chi tiết tin'!$AT$7:$AT$500="Fail"))+SUMPRODUCT(--ISNUMBER(SEARCH(", "&amp;$B33&amp;", ",", "&amp;'Quà cảm ơn'!$B$7:$B$500&amp;", ")),--('Quà cảm ơn'!$AT$7:$AT$500="Fail"))+SUMPRODUCT(--ISNUMBER(SEARCH(", "&amp;$B33&amp;", ",", "&amp;'Trang chủ'!$B$7:$B$500&amp;", ")),--('Trang chủ'!$AT$7:$AT$500="Fail"))+SUMPRODUCT(--ISNUMBER(SEARCH(", "&amp;$B33&amp;", ",", "&amp;'Thông báo'!$B$7:$B$500&amp;", ")),--('Thông báo'!$AT$7:$AT$500="Fail"))+SUMPRODUCT(--ISNUMBER(SEARCH(", "&amp;$B33&amp;", ",", "&amp;'Đăng tin &amp; Quản lý tin'!$B$7:$B$500&amp;", ")),--('Đăng tin &amp; Quản lý tin'!$AT$7:$AT$500="Fail"))+SUMPRODUCT(--ISNUMBER(SEARCH(", "&amp;$B33&amp;", ",", "&amp;'Trust &amp; Safety'!$B$7:$B$500&amp;", ")),--('Trust &amp; Safety'!$AT$7:$AT$500="Fail"))+SUMPRODUCT(--ISNUMBER(SEARCH(", "&amp;$B33&amp;", ",", "&amp;'Tài khoản &amp; Hồ sơ'!$B$7:$B$500&amp;", ")),--('Tài khoản &amp; Hồ sơ'!$AT$7:$AT$500="Fail"))</f>
        <v>0</v>
      </c>
      <c r="I33" s="51" t="n">
        <f aca="false">SUMPRODUCT(--ISNUMBER(SEARCH(", "&amp;$B33&amp;", ",", "&amp;'Hoạt động (Đơn của tôi)'!$B$7:$B$500&amp;", ")),--('Hoạt động (Đơn của tôi)'!$AT$7:$AT$500="Block"))+SUMPRODUCT(--ISNUMBER(SEARCH(", "&amp;$B33&amp;", ",", "&amp;'Ghép nối'!$B$7:$B$500&amp;", ")),--('Ghép nối'!$AT$7:$AT$500="Block"))+SUMPRODUCT(--ISNUMBER(SEARCH(", "&amp;$B33&amp;", ",", "&amp;'Huỷ đơn - Huỷ nhận đơn'!$B$7:$B$500&amp;", ")),--('Huỷ đơn - Huỷ nhận đơn'!$AT$7:$AT$500="Block"))+SUMPRODUCT(--ISNUMBER(SEARCH(", "&amp;$B33&amp;", ",", "&amp;'Giao nhận &amp; Theo dõi đơn'!$B$7:$B$500&amp;", ")),--('Giao nhận &amp; Theo dõi đơn'!$AT$7:$AT$500="Block"))+SUMPRODUCT(--ISNUMBER(SEARCH(", "&amp;$B33&amp;", ",", "&amp;'Bảng tin &amp; Chi tiết tin'!$B$7:$B$500&amp;", ")),--('Bảng tin &amp; Chi tiết tin'!$AT$7:$AT$500="Block"))+SUMPRODUCT(--ISNUMBER(SEARCH(", "&amp;$B33&amp;", ",", "&amp;'Quà cảm ơn'!$B$7:$B$500&amp;", ")),--('Quà cảm ơn'!$AT$7:$AT$500="Block"))+SUMPRODUCT(--ISNUMBER(SEARCH(", "&amp;$B33&amp;", ",", "&amp;'Trang chủ'!$B$7:$B$500&amp;", ")),--('Trang chủ'!$AT$7:$AT$500="Block"))+SUMPRODUCT(--ISNUMBER(SEARCH(", "&amp;$B33&amp;", ",", "&amp;'Thông báo'!$B$7:$B$500&amp;", ")),--('Thông báo'!$AT$7:$AT$500="Block"))+SUMPRODUCT(--ISNUMBER(SEARCH(", "&amp;$B33&amp;", ",", "&amp;'Đăng tin &amp; Quản lý tin'!$B$7:$B$500&amp;", ")),--('Đăng tin &amp; Quản lý tin'!$AT$7:$AT$500="Block"))+SUMPRODUCT(--ISNUMBER(SEARCH(", "&amp;$B33&amp;", ",", "&amp;'Trust &amp; Safety'!$B$7:$B$500&amp;", ")),--('Trust &amp; Safety'!$AT$7:$AT$500="Block"))+SUMPRODUCT(--ISNUMBER(SEARCH(", "&amp;$B33&amp;", ",", "&amp;'Tài khoản &amp; Hồ sơ'!$B$7:$B$500&amp;", ")),--('Tài khoản &amp; Hồ sơ'!$AT$7:$AT$500="Block"))</f>
        <v>0</v>
      </c>
      <c r="J33" s="51" t="n">
        <f aca="false">SUMPRODUCT(--ISNUMBER(SEARCH(", "&amp;$B33&amp;", ",", "&amp;'Hoạt động (Đơn của tôi)'!$B$7:$B$500&amp;", ")),--('Hoạt động (Đơn của tôi)'!$AT$7:$AT$500="N/A"))+SUMPRODUCT(--ISNUMBER(SEARCH(", "&amp;$B33&amp;", ",", "&amp;'Ghép nối'!$B$7:$B$500&amp;", ")),--('Ghép nối'!$AT$7:$AT$500="N/A"))+SUMPRODUCT(--ISNUMBER(SEARCH(", "&amp;$B33&amp;", ",", "&amp;'Huỷ đơn - Huỷ nhận đơn'!$B$7:$B$500&amp;", ")),--('Huỷ đơn - Huỷ nhận đơn'!$AT$7:$AT$500="N/A"))+SUMPRODUCT(--ISNUMBER(SEARCH(", "&amp;$B33&amp;", ",", "&amp;'Giao nhận &amp; Theo dõi đơn'!$B$7:$B$500&amp;", ")),--('Giao nhận &amp; Theo dõi đơn'!$AT$7:$AT$500="N/A"))+SUMPRODUCT(--ISNUMBER(SEARCH(", "&amp;$B33&amp;", ",", "&amp;'Bảng tin &amp; Chi tiết tin'!$B$7:$B$500&amp;", ")),--('Bảng tin &amp; Chi tiết tin'!$AT$7:$AT$500="N/A"))+SUMPRODUCT(--ISNUMBER(SEARCH(", "&amp;$B33&amp;", ",", "&amp;'Quà cảm ơn'!$B$7:$B$500&amp;", ")),--('Quà cảm ơn'!$AT$7:$AT$500="N/A"))+SUMPRODUCT(--ISNUMBER(SEARCH(", "&amp;$B33&amp;", ",", "&amp;'Trang chủ'!$B$7:$B$500&amp;", ")),--('Trang chủ'!$AT$7:$AT$500="N/A"))+SUMPRODUCT(--ISNUMBER(SEARCH(", "&amp;$B33&amp;", ",", "&amp;'Thông báo'!$B$7:$B$500&amp;", ")),--('Thông báo'!$AT$7:$AT$500="N/A"))+SUMPRODUCT(--ISNUMBER(SEARCH(", "&amp;$B33&amp;", ",", "&amp;'Đăng tin &amp; Quản lý tin'!$B$7:$B$500&amp;", ")),--('Đăng tin &amp; Quản lý tin'!$AT$7:$AT$500="N/A"))+SUMPRODUCT(--ISNUMBER(SEARCH(", "&amp;$B33&amp;", ",", "&amp;'Trust &amp; Safety'!$B$7:$B$500&amp;", ")),--('Trust &amp; Safety'!$AT$7:$AT$500="N/A"))+SUMPRODUCT(--ISNUMBER(SEARCH(", "&amp;$B33&amp;", ",", "&amp;'Tài khoản &amp; Hồ sơ'!$B$7:$B$500&amp;", ")),--('Tài khoản &amp; Hồ sơ'!$AT$7:$AT$500="N/A"))</f>
        <v>0</v>
      </c>
      <c r="K33" s="52" t="n">
        <f aca="false">IFERROR(F33/E33,0)</f>
        <v>0</v>
      </c>
      <c r="L33" s="123" t="str">
        <f aca="false">IF(E33=0,"Chưa có TC (gap)",IF(H33&gt;0,"Có lỗi (Fail)",IF(I33&gt;0,"Bị block",IF(F33&lt;E33,"Đang test",IF(G33=0,"Không áp dụng (N/A)","Đã test xong")))))</f>
        <v>Đang test</v>
      </c>
      <c r="AB33" s="1" t="s">
        <v>424</v>
      </c>
    </row>
    <row r="34" customFormat="false" ht="15.75" hidden="false" customHeight="true" outlineLevel="0" collapsed="false">
      <c r="B34" s="175" t="s">
        <v>504</v>
      </c>
      <c r="C34" s="176"/>
      <c r="D34" s="123" t="s">
        <v>505</v>
      </c>
      <c r="E34" s="51" t="n">
        <f aca="false">SUMPRODUCT(--ISNUMBER(SEARCH(", "&amp;$B34&amp;", ",", "&amp;'Hoạt động (Đơn của tôi)'!$B$7:$B$500&amp;", ")))+SUMPRODUCT(--ISNUMBER(SEARCH(", "&amp;$B34&amp;", ",", "&amp;'Ghép nối'!$B$7:$B$500&amp;", ")))+SUMPRODUCT(--ISNUMBER(SEARCH(", "&amp;$B34&amp;", ",", "&amp;'Huỷ đơn - Huỷ nhận đơn'!$B$7:$B$500&amp;", ")))+SUMPRODUCT(--ISNUMBER(SEARCH(", "&amp;$B34&amp;", ",", "&amp;'Giao nhận &amp; Theo dõi đơn'!$B$7:$B$500&amp;", ")))+SUMPRODUCT(--ISNUMBER(SEARCH(", "&amp;$B34&amp;", ",", "&amp;'Bảng tin &amp; Chi tiết tin'!$B$7:$B$500&amp;", ")))+SUMPRODUCT(--ISNUMBER(SEARCH(", "&amp;$B34&amp;", ",", "&amp;'Quà cảm ơn'!$B$7:$B$500&amp;", ")))+SUMPRODUCT(--ISNUMBER(SEARCH(", "&amp;$B34&amp;", ",", "&amp;'Trang chủ'!$B$7:$B$500&amp;", ")))+SUMPRODUCT(--ISNUMBER(SEARCH(", "&amp;$B34&amp;", ",", "&amp;'Thông báo'!$B$7:$B$500&amp;", ")))+SUMPRODUCT(--ISNUMBER(SEARCH(", "&amp;$B34&amp;", ",", "&amp;'Đăng tin &amp; Quản lý tin'!$B$7:$B$500&amp;", ")))+SUMPRODUCT(--ISNUMBER(SEARCH(", "&amp;$B34&amp;", ",", "&amp;'Trust &amp; Safety'!$B$7:$B$500&amp;", ")))+SUMPRODUCT(--ISNUMBER(SEARCH(", "&amp;$B34&amp;", ",", "&amp;'Tài khoản &amp; Hồ sơ'!$B$7:$B$500&amp;", ")))</f>
        <v>1</v>
      </c>
      <c r="F34" s="51" t="n">
        <f aca="false">SUMPRODUCT(--ISNUMBER(SEARCH(", "&amp;$B34&amp;", ",", "&amp;'Hoạt động (Đơn của tôi)'!$B$7:$B$500&amp;", ")),--('Hoạt động (Đơn của tôi)'!$AT$7:$AT$500&lt;&gt;""))+SUMPRODUCT(--ISNUMBER(SEARCH(", "&amp;$B34&amp;", ",", "&amp;'Ghép nối'!$B$7:$B$500&amp;", ")),--('Ghép nối'!$AT$7:$AT$500&lt;&gt;""))+SUMPRODUCT(--ISNUMBER(SEARCH(", "&amp;$B34&amp;", ",", "&amp;'Huỷ đơn - Huỷ nhận đơn'!$B$7:$B$500&amp;", ")),--('Huỷ đơn - Huỷ nhận đơn'!$AT$7:$AT$500&lt;&gt;""))+SUMPRODUCT(--ISNUMBER(SEARCH(", "&amp;$B34&amp;", ",", "&amp;'Giao nhận &amp; Theo dõi đơn'!$B$7:$B$500&amp;", ")),--('Giao nhận &amp; Theo dõi đơn'!$AT$7:$AT$500&lt;&gt;""))+SUMPRODUCT(--ISNUMBER(SEARCH(", "&amp;$B34&amp;", ",", "&amp;'Bảng tin &amp; Chi tiết tin'!$B$7:$B$500&amp;", ")),--('Bảng tin &amp; Chi tiết tin'!$AT$7:$AT$500&lt;&gt;""))+SUMPRODUCT(--ISNUMBER(SEARCH(", "&amp;$B34&amp;", ",", "&amp;'Quà cảm ơn'!$B$7:$B$500&amp;", ")),--('Quà cảm ơn'!$AT$7:$AT$500&lt;&gt;""))+SUMPRODUCT(--ISNUMBER(SEARCH(", "&amp;$B34&amp;", ",", "&amp;'Trang chủ'!$B$7:$B$500&amp;", ")),--('Trang chủ'!$AT$7:$AT$500&lt;&gt;""))+SUMPRODUCT(--ISNUMBER(SEARCH(", "&amp;$B34&amp;", ",", "&amp;'Thông báo'!$B$7:$B$500&amp;", ")),--('Thông báo'!$AT$7:$AT$500&lt;&gt;""))+SUMPRODUCT(--ISNUMBER(SEARCH(", "&amp;$B34&amp;", ",", "&amp;'Đăng tin &amp; Quản lý tin'!$B$7:$B$500&amp;", ")),--('Đăng tin &amp; Quản lý tin'!$AT$7:$AT$500&lt;&gt;""))+SUMPRODUCT(--ISNUMBER(SEARCH(", "&amp;$B34&amp;", ",", "&amp;'Trust &amp; Safety'!$B$7:$B$500&amp;", ")),--('Trust &amp; Safety'!$AT$7:$AT$500&lt;&gt;""))+SUMPRODUCT(--ISNUMBER(SEARCH(", "&amp;$B34&amp;", ",", "&amp;'Tài khoản &amp; Hồ sơ'!$B$7:$B$500&amp;", ")),--('Tài khoản &amp; Hồ sơ'!$AT$7:$AT$500&lt;&gt;""))</f>
        <v>0</v>
      </c>
      <c r="G34" s="51" t="n">
        <f aca="false">SUMPRODUCT(--ISNUMBER(SEARCH(", "&amp;$B34&amp;", ",", "&amp;'Hoạt động (Đơn của tôi)'!$B$7:$B$500&amp;", ")),--('Hoạt động (Đơn của tôi)'!$AT$7:$AT$500="Pass"))+SUMPRODUCT(--ISNUMBER(SEARCH(", "&amp;$B34&amp;", ",", "&amp;'Ghép nối'!$B$7:$B$500&amp;", ")),--('Ghép nối'!$AT$7:$AT$500="Pass"))+SUMPRODUCT(--ISNUMBER(SEARCH(", "&amp;$B34&amp;", ",", "&amp;'Huỷ đơn - Huỷ nhận đơn'!$B$7:$B$500&amp;", ")),--('Huỷ đơn - Huỷ nhận đơn'!$AT$7:$AT$500="Pass"))+SUMPRODUCT(--ISNUMBER(SEARCH(", "&amp;$B34&amp;", ",", "&amp;'Giao nhận &amp; Theo dõi đơn'!$B$7:$B$500&amp;", ")),--('Giao nhận &amp; Theo dõi đơn'!$AT$7:$AT$500="Pass"))+SUMPRODUCT(--ISNUMBER(SEARCH(", "&amp;$B34&amp;", ",", "&amp;'Bảng tin &amp; Chi tiết tin'!$B$7:$B$500&amp;", ")),--('Bảng tin &amp; Chi tiết tin'!$AT$7:$AT$500="Pass"))+SUMPRODUCT(--ISNUMBER(SEARCH(", "&amp;$B34&amp;", ",", "&amp;'Quà cảm ơn'!$B$7:$B$500&amp;", ")),--('Quà cảm ơn'!$AT$7:$AT$500="Pass"))+SUMPRODUCT(--ISNUMBER(SEARCH(", "&amp;$B34&amp;", ",", "&amp;'Trang chủ'!$B$7:$B$500&amp;", ")),--('Trang chủ'!$AT$7:$AT$500="Pass"))+SUMPRODUCT(--ISNUMBER(SEARCH(", "&amp;$B34&amp;", ",", "&amp;'Thông báo'!$B$7:$B$500&amp;", ")),--('Thông báo'!$AT$7:$AT$500="Pass"))+SUMPRODUCT(--ISNUMBER(SEARCH(", "&amp;$B34&amp;", ",", "&amp;'Đăng tin &amp; Quản lý tin'!$B$7:$B$500&amp;", ")),--('Đăng tin &amp; Quản lý tin'!$AT$7:$AT$500="Pass"))+SUMPRODUCT(--ISNUMBER(SEARCH(", "&amp;$B34&amp;", ",", "&amp;'Trust &amp; Safety'!$B$7:$B$500&amp;", ")),--('Trust &amp; Safety'!$AT$7:$AT$500="Pass"))+SUMPRODUCT(--ISNUMBER(SEARCH(", "&amp;$B34&amp;", ",", "&amp;'Tài khoản &amp; Hồ sơ'!$B$7:$B$500&amp;", ")),--('Tài khoản &amp; Hồ sơ'!$AT$7:$AT$500="Pass"))</f>
        <v>0</v>
      </c>
      <c r="H34" s="51" t="n">
        <f aca="false">SUMPRODUCT(--ISNUMBER(SEARCH(", "&amp;$B34&amp;", ",", "&amp;'Hoạt động (Đơn của tôi)'!$B$7:$B$500&amp;", ")),--('Hoạt động (Đơn của tôi)'!$AT$7:$AT$500="Fail"))+SUMPRODUCT(--ISNUMBER(SEARCH(", "&amp;$B34&amp;", ",", "&amp;'Ghép nối'!$B$7:$B$500&amp;", ")),--('Ghép nối'!$AT$7:$AT$500="Fail"))+SUMPRODUCT(--ISNUMBER(SEARCH(", "&amp;$B34&amp;", ",", "&amp;'Huỷ đơn - Huỷ nhận đơn'!$B$7:$B$500&amp;", ")),--('Huỷ đơn - Huỷ nhận đơn'!$AT$7:$AT$500="Fail"))+SUMPRODUCT(--ISNUMBER(SEARCH(", "&amp;$B34&amp;", ",", "&amp;'Giao nhận &amp; Theo dõi đơn'!$B$7:$B$500&amp;", ")),--('Giao nhận &amp; Theo dõi đơn'!$AT$7:$AT$500="Fail"))+SUMPRODUCT(--ISNUMBER(SEARCH(", "&amp;$B34&amp;", ",", "&amp;'Bảng tin &amp; Chi tiết tin'!$B$7:$B$500&amp;", ")),--('Bảng tin &amp; Chi tiết tin'!$AT$7:$AT$500="Fail"))+SUMPRODUCT(--ISNUMBER(SEARCH(", "&amp;$B34&amp;", ",", "&amp;'Quà cảm ơn'!$B$7:$B$500&amp;", ")),--('Quà cảm ơn'!$AT$7:$AT$500="Fail"))+SUMPRODUCT(--ISNUMBER(SEARCH(", "&amp;$B34&amp;", ",", "&amp;'Trang chủ'!$B$7:$B$500&amp;", ")),--('Trang chủ'!$AT$7:$AT$500="Fail"))+SUMPRODUCT(--ISNUMBER(SEARCH(", "&amp;$B34&amp;", ",", "&amp;'Thông báo'!$B$7:$B$500&amp;", ")),--('Thông báo'!$AT$7:$AT$500="Fail"))+SUMPRODUCT(--ISNUMBER(SEARCH(", "&amp;$B34&amp;", ",", "&amp;'Đăng tin &amp; Quản lý tin'!$B$7:$B$500&amp;", ")),--('Đăng tin &amp; Quản lý tin'!$AT$7:$AT$500="Fail"))+SUMPRODUCT(--ISNUMBER(SEARCH(", "&amp;$B34&amp;", ",", "&amp;'Trust &amp; Safety'!$B$7:$B$500&amp;", ")),--('Trust &amp; Safety'!$AT$7:$AT$500="Fail"))+SUMPRODUCT(--ISNUMBER(SEARCH(", "&amp;$B34&amp;", ",", "&amp;'Tài khoản &amp; Hồ sơ'!$B$7:$B$500&amp;", ")),--('Tài khoản &amp; Hồ sơ'!$AT$7:$AT$500="Fail"))</f>
        <v>0</v>
      </c>
      <c r="I34" s="51" t="n">
        <f aca="false">SUMPRODUCT(--ISNUMBER(SEARCH(", "&amp;$B34&amp;", ",", "&amp;'Hoạt động (Đơn của tôi)'!$B$7:$B$500&amp;", ")),--('Hoạt động (Đơn của tôi)'!$AT$7:$AT$500="Block"))+SUMPRODUCT(--ISNUMBER(SEARCH(", "&amp;$B34&amp;", ",", "&amp;'Ghép nối'!$B$7:$B$500&amp;", ")),--('Ghép nối'!$AT$7:$AT$500="Block"))+SUMPRODUCT(--ISNUMBER(SEARCH(", "&amp;$B34&amp;", ",", "&amp;'Huỷ đơn - Huỷ nhận đơn'!$B$7:$B$500&amp;", ")),--('Huỷ đơn - Huỷ nhận đơn'!$AT$7:$AT$500="Block"))+SUMPRODUCT(--ISNUMBER(SEARCH(", "&amp;$B34&amp;", ",", "&amp;'Giao nhận &amp; Theo dõi đơn'!$B$7:$B$500&amp;", ")),--('Giao nhận &amp; Theo dõi đơn'!$AT$7:$AT$500="Block"))+SUMPRODUCT(--ISNUMBER(SEARCH(", "&amp;$B34&amp;", ",", "&amp;'Bảng tin &amp; Chi tiết tin'!$B$7:$B$500&amp;", ")),--('Bảng tin &amp; Chi tiết tin'!$AT$7:$AT$500="Block"))+SUMPRODUCT(--ISNUMBER(SEARCH(", "&amp;$B34&amp;", ",", "&amp;'Quà cảm ơn'!$B$7:$B$500&amp;", ")),--('Quà cảm ơn'!$AT$7:$AT$500="Block"))+SUMPRODUCT(--ISNUMBER(SEARCH(", "&amp;$B34&amp;", ",", "&amp;'Trang chủ'!$B$7:$B$500&amp;", ")),--('Trang chủ'!$AT$7:$AT$500="Block"))+SUMPRODUCT(--ISNUMBER(SEARCH(", "&amp;$B34&amp;", ",", "&amp;'Thông báo'!$B$7:$B$500&amp;", ")),--('Thông báo'!$AT$7:$AT$500="Block"))+SUMPRODUCT(--ISNUMBER(SEARCH(", "&amp;$B34&amp;", ",", "&amp;'Đăng tin &amp; Quản lý tin'!$B$7:$B$500&amp;", ")),--('Đăng tin &amp; Quản lý tin'!$AT$7:$AT$500="Block"))+SUMPRODUCT(--ISNUMBER(SEARCH(", "&amp;$B34&amp;", ",", "&amp;'Trust &amp; Safety'!$B$7:$B$500&amp;", ")),--('Trust &amp; Safety'!$AT$7:$AT$500="Block"))+SUMPRODUCT(--ISNUMBER(SEARCH(", "&amp;$B34&amp;", ",", "&amp;'Tài khoản &amp; Hồ sơ'!$B$7:$B$500&amp;", ")),--('Tài khoản &amp; Hồ sơ'!$AT$7:$AT$500="Block"))</f>
        <v>0</v>
      </c>
      <c r="J34" s="51" t="n">
        <f aca="false">SUMPRODUCT(--ISNUMBER(SEARCH(", "&amp;$B34&amp;", ",", "&amp;'Hoạt động (Đơn của tôi)'!$B$7:$B$500&amp;", ")),--('Hoạt động (Đơn của tôi)'!$AT$7:$AT$500="N/A"))+SUMPRODUCT(--ISNUMBER(SEARCH(", "&amp;$B34&amp;", ",", "&amp;'Ghép nối'!$B$7:$B$500&amp;", ")),--('Ghép nối'!$AT$7:$AT$500="N/A"))+SUMPRODUCT(--ISNUMBER(SEARCH(", "&amp;$B34&amp;", ",", "&amp;'Huỷ đơn - Huỷ nhận đơn'!$B$7:$B$500&amp;", ")),--('Huỷ đơn - Huỷ nhận đơn'!$AT$7:$AT$500="N/A"))+SUMPRODUCT(--ISNUMBER(SEARCH(", "&amp;$B34&amp;", ",", "&amp;'Giao nhận &amp; Theo dõi đơn'!$B$7:$B$500&amp;", ")),--('Giao nhận &amp; Theo dõi đơn'!$AT$7:$AT$500="N/A"))+SUMPRODUCT(--ISNUMBER(SEARCH(", "&amp;$B34&amp;", ",", "&amp;'Bảng tin &amp; Chi tiết tin'!$B$7:$B$500&amp;", ")),--('Bảng tin &amp; Chi tiết tin'!$AT$7:$AT$500="N/A"))+SUMPRODUCT(--ISNUMBER(SEARCH(", "&amp;$B34&amp;", ",", "&amp;'Quà cảm ơn'!$B$7:$B$500&amp;", ")),--('Quà cảm ơn'!$AT$7:$AT$500="N/A"))+SUMPRODUCT(--ISNUMBER(SEARCH(", "&amp;$B34&amp;", ",", "&amp;'Trang chủ'!$B$7:$B$500&amp;", ")),--('Trang chủ'!$AT$7:$AT$500="N/A"))+SUMPRODUCT(--ISNUMBER(SEARCH(", "&amp;$B34&amp;", ",", "&amp;'Thông báo'!$B$7:$B$500&amp;", ")),--('Thông báo'!$AT$7:$AT$500="N/A"))+SUMPRODUCT(--ISNUMBER(SEARCH(", "&amp;$B34&amp;", ",", "&amp;'Đăng tin &amp; Quản lý tin'!$B$7:$B$500&amp;", ")),--('Đăng tin &amp; Quản lý tin'!$AT$7:$AT$500="N/A"))+SUMPRODUCT(--ISNUMBER(SEARCH(", "&amp;$B34&amp;", ",", "&amp;'Trust &amp; Safety'!$B$7:$B$500&amp;", ")),--('Trust &amp; Safety'!$AT$7:$AT$500="N/A"))+SUMPRODUCT(--ISNUMBER(SEARCH(", "&amp;$B34&amp;", ",", "&amp;'Tài khoản &amp; Hồ sơ'!$B$7:$B$500&amp;", ")),--('Tài khoản &amp; Hồ sơ'!$AT$7:$AT$500="N/A"))</f>
        <v>0</v>
      </c>
      <c r="K34" s="52" t="n">
        <f aca="false">IFERROR(F34/E34,0)</f>
        <v>0</v>
      </c>
      <c r="L34" s="123" t="str">
        <f aca="false">IF(E34=0,"Chưa có TC (gap)",IF(H34&gt;0,"Có lỗi (Fail)",IF(I34&gt;0,"Bị block",IF(F34&lt;E34,"Đang test",IF(G34=0,"Không áp dụng (N/A)","Đã test xong")))))</f>
        <v>Đang test</v>
      </c>
      <c r="AB34" s="1" t="s">
        <v>428</v>
      </c>
    </row>
    <row r="35" customFormat="false" ht="15.75" hidden="false" customHeight="true" outlineLevel="0" collapsed="false">
      <c r="B35" s="175" t="s">
        <v>506</v>
      </c>
      <c r="C35" s="176"/>
      <c r="D35" s="123" t="s">
        <v>507</v>
      </c>
      <c r="E35" s="51" t="n">
        <f aca="false">SUMPRODUCT(--ISNUMBER(SEARCH(", "&amp;$B35&amp;", ",", "&amp;'Hoạt động (Đơn của tôi)'!$B$7:$B$500&amp;", ")))+SUMPRODUCT(--ISNUMBER(SEARCH(", "&amp;$B35&amp;", ",", "&amp;'Ghép nối'!$B$7:$B$500&amp;", ")))+SUMPRODUCT(--ISNUMBER(SEARCH(", "&amp;$B35&amp;", ",", "&amp;'Huỷ đơn - Huỷ nhận đơn'!$B$7:$B$500&amp;", ")))+SUMPRODUCT(--ISNUMBER(SEARCH(", "&amp;$B35&amp;", ",", "&amp;'Giao nhận &amp; Theo dõi đơn'!$B$7:$B$500&amp;", ")))+SUMPRODUCT(--ISNUMBER(SEARCH(", "&amp;$B35&amp;", ",", "&amp;'Bảng tin &amp; Chi tiết tin'!$B$7:$B$500&amp;", ")))+SUMPRODUCT(--ISNUMBER(SEARCH(", "&amp;$B35&amp;", ",", "&amp;'Quà cảm ơn'!$B$7:$B$500&amp;", ")))+SUMPRODUCT(--ISNUMBER(SEARCH(", "&amp;$B35&amp;", ",", "&amp;'Trang chủ'!$B$7:$B$500&amp;", ")))+SUMPRODUCT(--ISNUMBER(SEARCH(", "&amp;$B35&amp;", ",", "&amp;'Thông báo'!$B$7:$B$500&amp;", ")))+SUMPRODUCT(--ISNUMBER(SEARCH(", "&amp;$B35&amp;", ",", "&amp;'Đăng tin &amp; Quản lý tin'!$B$7:$B$500&amp;", ")))+SUMPRODUCT(--ISNUMBER(SEARCH(", "&amp;$B35&amp;", ",", "&amp;'Trust &amp; Safety'!$B$7:$B$500&amp;", ")))+SUMPRODUCT(--ISNUMBER(SEARCH(", "&amp;$B35&amp;", ",", "&amp;'Tài khoản &amp; Hồ sơ'!$B$7:$B$500&amp;", ")))</f>
        <v>1</v>
      </c>
      <c r="F35" s="51" t="n">
        <f aca="false">SUMPRODUCT(--ISNUMBER(SEARCH(", "&amp;$B35&amp;", ",", "&amp;'Hoạt động (Đơn của tôi)'!$B$7:$B$500&amp;", ")),--('Hoạt động (Đơn của tôi)'!$AT$7:$AT$500&lt;&gt;""))+SUMPRODUCT(--ISNUMBER(SEARCH(", "&amp;$B35&amp;", ",", "&amp;'Ghép nối'!$B$7:$B$500&amp;", ")),--('Ghép nối'!$AT$7:$AT$500&lt;&gt;""))+SUMPRODUCT(--ISNUMBER(SEARCH(", "&amp;$B35&amp;", ",", "&amp;'Huỷ đơn - Huỷ nhận đơn'!$B$7:$B$500&amp;", ")),--('Huỷ đơn - Huỷ nhận đơn'!$AT$7:$AT$500&lt;&gt;""))+SUMPRODUCT(--ISNUMBER(SEARCH(", "&amp;$B35&amp;", ",", "&amp;'Giao nhận &amp; Theo dõi đơn'!$B$7:$B$500&amp;", ")),--('Giao nhận &amp; Theo dõi đơn'!$AT$7:$AT$500&lt;&gt;""))+SUMPRODUCT(--ISNUMBER(SEARCH(", "&amp;$B35&amp;", ",", "&amp;'Bảng tin &amp; Chi tiết tin'!$B$7:$B$500&amp;", ")),--('Bảng tin &amp; Chi tiết tin'!$AT$7:$AT$500&lt;&gt;""))+SUMPRODUCT(--ISNUMBER(SEARCH(", "&amp;$B35&amp;", ",", "&amp;'Quà cảm ơn'!$B$7:$B$500&amp;", ")),--('Quà cảm ơn'!$AT$7:$AT$500&lt;&gt;""))+SUMPRODUCT(--ISNUMBER(SEARCH(", "&amp;$B35&amp;", ",", "&amp;'Trang chủ'!$B$7:$B$500&amp;", ")),--('Trang chủ'!$AT$7:$AT$500&lt;&gt;""))+SUMPRODUCT(--ISNUMBER(SEARCH(", "&amp;$B35&amp;", ",", "&amp;'Thông báo'!$B$7:$B$500&amp;", ")),--('Thông báo'!$AT$7:$AT$500&lt;&gt;""))+SUMPRODUCT(--ISNUMBER(SEARCH(", "&amp;$B35&amp;", ",", "&amp;'Đăng tin &amp; Quản lý tin'!$B$7:$B$500&amp;", ")),--('Đăng tin &amp; Quản lý tin'!$AT$7:$AT$500&lt;&gt;""))+SUMPRODUCT(--ISNUMBER(SEARCH(", "&amp;$B35&amp;", ",", "&amp;'Trust &amp; Safety'!$B$7:$B$500&amp;", ")),--('Trust &amp; Safety'!$AT$7:$AT$500&lt;&gt;""))+SUMPRODUCT(--ISNUMBER(SEARCH(", "&amp;$B35&amp;", ",", "&amp;'Tài khoản &amp; Hồ sơ'!$B$7:$B$500&amp;", ")),--('Tài khoản &amp; Hồ sơ'!$AT$7:$AT$500&lt;&gt;""))</f>
        <v>0</v>
      </c>
      <c r="G35" s="51" t="n">
        <f aca="false">SUMPRODUCT(--ISNUMBER(SEARCH(", "&amp;$B35&amp;", ",", "&amp;'Hoạt động (Đơn của tôi)'!$B$7:$B$500&amp;", ")),--('Hoạt động (Đơn của tôi)'!$AT$7:$AT$500="Pass"))+SUMPRODUCT(--ISNUMBER(SEARCH(", "&amp;$B35&amp;", ",", "&amp;'Ghép nối'!$B$7:$B$500&amp;", ")),--('Ghép nối'!$AT$7:$AT$500="Pass"))+SUMPRODUCT(--ISNUMBER(SEARCH(", "&amp;$B35&amp;", ",", "&amp;'Huỷ đơn - Huỷ nhận đơn'!$B$7:$B$500&amp;", ")),--('Huỷ đơn - Huỷ nhận đơn'!$AT$7:$AT$500="Pass"))+SUMPRODUCT(--ISNUMBER(SEARCH(", "&amp;$B35&amp;", ",", "&amp;'Giao nhận &amp; Theo dõi đơn'!$B$7:$B$500&amp;", ")),--('Giao nhận &amp; Theo dõi đơn'!$AT$7:$AT$500="Pass"))+SUMPRODUCT(--ISNUMBER(SEARCH(", "&amp;$B35&amp;", ",", "&amp;'Bảng tin &amp; Chi tiết tin'!$B$7:$B$500&amp;", ")),--('Bảng tin &amp; Chi tiết tin'!$AT$7:$AT$500="Pass"))+SUMPRODUCT(--ISNUMBER(SEARCH(", "&amp;$B35&amp;", ",", "&amp;'Quà cảm ơn'!$B$7:$B$500&amp;", ")),--('Quà cảm ơn'!$AT$7:$AT$500="Pass"))+SUMPRODUCT(--ISNUMBER(SEARCH(", "&amp;$B35&amp;", ",", "&amp;'Trang chủ'!$B$7:$B$500&amp;", ")),--('Trang chủ'!$AT$7:$AT$500="Pass"))+SUMPRODUCT(--ISNUMBER(SEARCH(", "&amp;$B35&amp;", ",", "&amp;'Thông báo'!$B$7:$B$500&amp;", ")),--('Thông báo'!$AT$7:$AT$500="Pass"))+SUMPRODUCT(--ISNUMBER(SEARCH(", "&amp;$B35&amp;", ",", "&amp;'Đăng tin &amp; Quản lý tin'!$B$7:$B$500&amp;", ")),--('Đăng tin &amp; Quản lý tin'!$AT$7:$AT$500="Pass"))+SUMPRODUCT(--ISNUMBER(SEARCH(", "&amp;$B35&amp;", ",", "&amp;'Trust &amp; Safety'!$B$7:$B$500&amp;", ")),--('Trust &amp; Safety'!$AT$7:$AT$500="Pass"))+SUMPRODUCT(--ISNUMBER(SEARCH(", "&amp;$B35&amp;", ",", "&amp;'Tài khoản &amp; Hồ sơ'!$B$7:$B$500&amp;", ")),--('Tài khoản &amp; Hồ sơ'!$AT$7:$AT$500="Pass"))</f>
        <v>0</v>
      </c>
      <c r="H35" s="51" t="n">
        <f aca="false">SUMPRODUCT(--ISNUMBER(SEARCH(", "&amp;$B35&amp;", ",", "&amp;'Hoạt động (Đơn của tôi)'!$B$7:$B$500&amp;", ")),--('Hoạt động (Đơn của tôi)'!$AT$7:$AT$500="Fail"))+SUMPRODUCT(--ISNUMBER(SEARCH(", "&amp;$B35&amp;", ",", "&amp;'Ghép nối'!$B$7:$B$500&amp;", ")),--('Ghép nối'!$AT$7:$AT$500="Fail"))+SUMPRODUCT(--ISNUMBER(SEARCH(", "&amp;$B35&amp;", ",", "&amp;'Huỷ đơn - Huỷ nhận đơn'!$B$7:$B$500&amp;", ")),--('Huỷ đơn - Huỷ nhận đơn'!$AT$7:$AT$500="Fail"))+SUMPRODUCT(--ISNUMBER(SEARCH(", "&amp;$B35&amp;", ",", "&amp;'Giao nhận &amp; Theo dõi đơn'!$B$7:$B$500&amp;", ")),--('Giao nhận &amp; Theo dõi đơn'!$AT$7:$AT$500="Fail"))+SUMPRODUCT(--ISNUMBER(SEARCH(", "&amp;$B35&amp;", ",", "&amp;'Bảng tin &amp; Chi tiết tin'!$B$7:$B$500&amp;", ")),--('Bảng tin &amp; Chi tiết tin'!$AT$7:$AT$500="Fail"))+SUMPRODUCT(--ISNUMBER(SEARCH(", "&amp;$B35&amp;", ",", "&amp;'Quà cảm ơn'!$B$7:$B$500&amp;", ")),--('Quà cảm ơn'!$AT$7:$AT$500="Fail"))+SUMPRODUCT(--ISNUMBER(SEARCH(", "&amp;$B35&amp;", ",", "&amp;'Trang chủ'!$B$7:$B$500&amp;", ")),--('Trang chủ'!$AT$7:$AT$500="Fail"))+SUMPRODUCT(--ISNUMBER(SEARCH(", "&amp;$B35&amp;", ",", "&amp;'Thông báo'!$B$7:$B$500&amp;", ")),--('Thông báo'!$AT$7:$AT$500="Fail"))+SUMPRODUCT(--ISNUMBER(SEARCH(", "&amp;$B35&amp;", ",", "&amp;'Đăng tin &amp; Quản lý tin'!$B$7:$B$500&amp;", ")),--('Đăng tin &amp; Quản lý tin'!$AT$7:$AT$500="Fail"))+SUMPRODUCT(--ISNUMBER(SEARCH(", "&amp;$B35&amp;", ",", "&amp;'Trust &amp; Safety'!$B$7:$B$500&amp;", ")),--('Trust &amp; Safety'!$AT$7:$AT$500="Fail"))+SUMPRODUCT(--ISNUMBER(SEARCH(", "&amp;$B35&amp;", ",", "&amp;'Tài khoản &amp; Hồ sơ'!$B$7:$B$500&amp;", ")),--('Tài khoản &amp; Hồ sơ'!$AT$7:$AT$500="Fail"))</f>
        <v>0</v>
      </c>
      <c r="I35" s="51" t="n">
        <f aca="false">SUMPRODUCT(--ISNUMBER(SEARCH(", "&amp;$B35&amp;", ",", "&amp;'Hoạt động (Đơn của tôi)'!$B$7:$B$500&amp;", ")),--('Hoạt động (Đơn của tôi)'!$AT$7:$AT$500="Block"))+SUMPRODUCT(--ISNUMBER(SEARCH(", "&amp;$B35&amp;", ",", "&amp;'Ghép nối'!$B$7:$B$500&amp;", ")),--('Ghép nối'!$AT$7:$AT$500="Block"))+SUMPRODUCT(--ISNUMBER(SEARCH(", "&amp;$B35&amp;", ",", "&amp;'Huỷ đơn - Huỷ nhận đơn'!$B$7:$B$500&amp;", ")),--('Huỷ đơn - Huỷ nhận đơn'!$AT$7:$AT$500="Block"))+SUMPRODUCT(--ISNUMBER(SEARCH(", "&amp;$B35&amp;", ",", "&amp;'Giao nhận &amp; Theo dõi đơn'!$B$7:$B$500&amp;", ")),--('Giao nhận &amp; Theo dõi đơn'!$AT$7:$AT$500="Block"))+SUMPRODUCT(--ISNUMBER(SEARCH(", "&amp;$B35&amp;", ",", "&amp;'Bảng tin &amp; Chi tiết tin'!$B$7:$B$500&amp;", ")),--('Bảng tin &amp; Chi tiết tin'!$AT$7:$AT$500="Block"))+SUMPRODUCT(--ISNUMBER(SEARCH(", "&amp;$B35&amp;", ",", "&amp;'Quà cảm ơn'!$B$7:$B$500&amp;", ")),--('Quà cảm ơn'!$AT$7:$AT$500="Block"))+SUMPRODUCT(--ISNUMBER(SEARCH(", "&amp;$B35&amp;", ",", "&amp;'Trang chủ'!$B$7:$B$500&amp;", ")),--('Trang chủ'!$AT$7:$AT$500="Block"))+SUMPRODUCT(--ISNUMBER(SEARCH(", "&amp;$B35&amp;", ",", "&amp;'Thông báo'!$B$7:$B$500&amp;", ")),--('Thông báo'!$AT$7:$AT$500="Block"))+SUMPRODUCT(--ISNUMBER(SEARCH(", "&amp;$B35&amp;", ",", "&amp;'Đăng tin &amp; Quản lý tin'!$B$7:$B$500&amp;", ")),--('Đăng tin &amp; Quản lý tin'!$AT$7:$AT$500="Block"))+SUMPRODUCT(--ISNUMBER(SEARCH(", "&amp;$B35&amp;", ",", "&amp;'Trust &amp; Safety'!$B$7:$B$500&amp;", ")),--('Trust &amp; Safety'!$AT$7:$AT$500="Block"))+SUMPRODUCT(--ISNUMBER(SEARCH(", "&amp;$B35&amp;", ",", "&amp;'Tài khoản &amp; Hồ sơ'!$B$7:$B$500&amp;", ")),--('Tài khoản &amp; Hồ sơ'!$AT$7:$AT$500="Block"))</f>
        <v>0</v>
      </c>
      <c r="J35" s="51" t="n">
        <f aca="false">SUMPRODUCT(--ISNUMBER(SEARCH(", "&amp;$B35&amp;", ",", "&amp;'Hoạt động (Đơn của tôi)'!$B$7:$B$500&amp;", ")),--('Hoạt động (Đơn của tôi)'!$AT$7:$AT$500="N/A"))+SUMPRODUCT(--ISNUMBER(SEARCH(", "&amp;$B35&amp;", ",", "&amp;'Ghép nối'!$B$7:$B$500&amp;", ")),--('Ghép nối'!$AT$7:$AT$500="N/A"))+SUMPRODUCT(--ISNUMBER(SEARCH(", "&amp;$B35&amp;", ",", "&amp;'Huỷ đơn - Huỷ nhận đơn'!$B$7:$B$500&amp;", ")),--('Huỷ đơn - Huỷ nhận đơn'!$AT$7:$AT$500="N/A"))+SUMPRODUCT(--ISNUMBER(SEARCH(", "&amp;$B35&amp;", ",", "&amp;'Giao nhận &amp; Theo dõi đơn'!$B$7:$B$500&amp;", ")),--('Giao nhận &amp; Theo dõi đơn'!$AT$7:$AT$500="N/A"))+SUMPRODUCT(--ISNUMBER(SEARCH(", "&amp;$B35&amp;", ",", "&amp;'Bảng tin &amp; Chi tiết tin'!$B$7:$B$500&amp;", ")),--('Bảng tin &amp; Chi tiết tin'!$AT$7:$AT$500="N/A"))+SUMPRODUCT(--ISNUMBER(SEARCH(", "&amp;$B35&amp;", ",", "&amp;'Quà cảm ơn'!$B$7:$B$500&amp;", ")),--('Quà cảm ơn'!$AT$7:$AT$500="N/A"))+SUMPRODUCT(--ISNUMBER(SEARCH(", "&amp;$B35&amp;", ",", "&amp;'Trang chủ'!$B$7:$B$500&amp;", ")),--('Trang chủ'!$AT$7:$AT$500="N/A"))+SUMPRODUCT(--ISNUMBER(SEARCH(", "&amp;$B35&amp;", ",", "&amp;'Thông báo'!$B$7:$B$500&amp;", ")),--('Thông báo'!$AT$7:$AT$500="N/A"))+SUMPRODUCT(--ISNUMBER(SEARCH(", "&amp;$B35&amp;", ",", "&amp;'Đăng tin &amp; Quản lý tin'!$B$7:$B$500&amp;", ")),--('Đăng tin &amp; Quản lý tin'!$AT$7:$AT$500="N/A"))+SUMPRODUCT(--ISNUMBER(SEARCH(", "&amp;$B35&amp;", ",", "&amp;'Trust &amp; Safety'!$B$7:$B$500&amp;", ")),--('Trust &amp; Safety'!$AT$7:$AT$500="N/A"))+SUMPRODUCT(--ISNUMBER(SEARCH(", "&amp;$B35&amp;", ",", "&amp;'Tài khoản &amp; Hồ sơ'!$B$7:$B$500&amp;", ")),--('Tài khoản &amp; Hồ sơ'!$AT$7:$AT$500="N/A"))</f>
        <v>0</v>
      </c>
      <c r="K35" s="52" t="n">
        <f aca="false">IFERROR(F35/E35,0)</f>
        <v>0</v>
      </c>
      <c r="L35" s="123" t="str">
        <f aca="false">IF(E35=0,"Chưa có TC (gap)",IF(H35&gt;0,"Có lỗi (Fail)",IF(I35&gt;0,"Bị block",IF(F35&lt;E35,"Đang test",IF(G35=0,"Không áp dụng (N/A)","Đã test xong")))))</f>
        <v>Đang test</v>
      </c>
      <c r="AB35" s="1" t="s">
        <v>428</v>
      </c>
    </row>
    <row r="36" customFormat="false" ht="15.75" hidden="false" customHeight="true" outlineLevel="0" collapsed="false">
      <c r="B36" s="175" t="s">
        <v>508</v>
      </c>
      <c r="C36" s="176"/>
      <c r="D36" s="123" t="s">
        <v>505</v>
      </c>
      <c r="E36" s="51" t="n">
        <f aca="false">SUMPRODUCT(--ISNUMBER(SEARCH(", "&amp;$B36&amp;", ",", "&amp;'Hoạt động (Đơn của tôi)'!$B$7:$B$500&amp;", ")))+SUMPRODUCT(--ISNUMBER(SEARCH(", "&amp;$B36&amp;", ",", "&amp;'Ghép nối'!$B$7:$B$500&amp;", ")))+SUMPRODUCT(--ISNUMBER(SEARCH(", "&amp;$B36&amp;", ",", "&amp;'Huỷ đơn - Huỷ nhận đơn'!$B$7:$B$500&amp;", ")))+SUMPRODUCT(--ISNUMBER(SEARCH(", "&amp;$B36&amp;", ",", "&amp;'Giao nhận &amp; Theo dõi đơn'!$B$7:$B$500&amp;", ")))+SUMPRODUCT(--ISNUMBER(SEARCH(", "&amp;$B36&amp;", ",", "&amp;'Bảng tin &amp; Chi tiết tin'!$B$7:$B$500&amp;", ")))+SUMPRODUCT(--ISNUMBER(SEARCH(", "&amp;$B36&amp;", ",", "&amp;'Quà cảm ơn'!$B$7:$B$500&amp;", ")))+SUMPRODUCT(--ISNUMBER(SEARCH(", "&amp;$B36&amp;", ",", "&amp;'Trang chủ'!$B$7:$B$500&amp;", ")))+SUMPRODUCT(--ISNUMBER(SEARCH(", "&amp;$B36&amp;", ",", "&amp;'Thông báo'!$B$7:$B$500&amp;", ")))+SUMPRODUCT(--ISNUMBER(SEARCH(", "&amp;$B36&amp;", ",", "&amp;'Đăng tin &amp; Quản lý tin'!$B$7:$B$500&amp;", ")))+SUMPRODUCT(--ISNUMBER(SEARCH(", "&amp;$B36&amp;", ",", "&amp;'Trust &amp; Safety'!$B$7:$B$500&amp;", ")))+SUMPRODUCT(--ISNUMBER(SEARCH(", "&amp;$B36&amp;", ",", "&amp;'Tài khoản &amp; Hồ sơ'!$B$7:$B$500&amp;", ")))</f>
        <v>2</v>
      </c>
      <c r="F36" s="51" t="n">
        <f aca="false">SUMPRODUCT(--ISNUMBER(SEARCH(", "&amp;$B36&amp;", ",", "&amp;'Hoạt động (Đơn của tôi)'!$B$7:$B$500&amp;", ")),--('Hoạt động (Đơn của tôi)'!$AT$7:$AT$500&lt;&gt;""))+SUMPRODUCT(--ISNUMBER(SEARCH(", "&amp;$B36&amp;", ",", "&amp;'Ghép nối'!$B$7:$B$500&amp;", ")),--('Ghép nối'!$AT$7:$AT$500&lt;&gt;""))+SUMPRODUCT(--ISNUMBER(SEARCH(", "&amp;$B36&amp;", ",", "&amp;'Huỷ đơn - Huỷ nhận đơn'!$B$7:$B$500&amp;", ")),--('Huỷ đơn - Huỷ nhận đơn'!$AT$7:$AT$500&lt;&gt;""))+SUMPRODUCT(--ISNUMBER(SEARCH(", "&amp;$B36&amp;", ",", "&amp;'Giao nhận &amp; Theo dõi đơn'!$B$7:$B$500&amp;", ")),--('Giao nhận &amp; Theo dõi đơn'!$AT$7:$AT$500&lt;&gt;""))+SUMPRODUCT(--ISNUMBER(SEARCH(", "&amp;$B36&amp;", ",", "&amp;'Bảng tin &amp; Chi tiết tin'!$B$7:$B$500&amp;", ")),--('Bảng tin &amp; Chi tiết tin'!$AT$7:$AT$500&lt;&gt;""))+SUMPRODUCT(--ISNUMBER(SEARCH(", "&amp;$B36&amp;", ",", "&amp;'Quà cảm ơn'!$B$7:$B$500&amp;", ")),--('Quà cảm ơn'!$AT$7:$AT$500&lt;&gt;""))+SUMPRODUCT(--ISNUMBER(SEARCH(", "&amp;$B36&amp;", ",", "&amp;'Trang chủ'!$B$7:$B$500&amp;", ")),--('Trang chủ'!$AT$7:$AT$500&lt;&gt;""))+SUMPRODUCT(--ISNUMBER(SEARCH(", "&amp;$B36&amp;", ",", "&amp;'Thông báo'!$B$7:$B$500&amp;", ")),--('Thông báo'!$AT$7:$AT$500&lt;&gt;""))+SUMPRODUCT(--ISNUMBER(SEARCH(", "&amp;$B36&amp;", ",", "&amp;'Đăng tin &amp; Quản lý tin'!$B$7:$B$500&amp;", ")),--('Đăng tin &amp; Quản lý tin'!$AT$7:$AT$500&lt;&gt;""))+SUMPRODUCT(--ISNUMBER(SEARCH(", "&amp;$B36&amp;", ",", "&amp;'Trust &amp; Safety'!$B$7:$B$500&amp;", ")),--('Trust &amp; Safety'!$AT$7:$AT$500&lt;&gt;""))+SUMPRODUCT(--ISNUMBER(SEARCH(", "&amp;$B36&amp;", ",", "&amp;'Tài khoản &amp; Hồ sơ'!$B$7:$B$500&amp;", ")),--('Tài khoản &amp; Hồ sơ'!$AT$7:$AT$500&lt;&gt;""))</f>
        <v>0</v>
      </c>
      <c r="G36" s="51" t="n">
        <f aca="false">SUMPRODUCT(--ISNUMBER(SEARCH(", "&amp;$B36&amp;", ",", "&amp;'Hoạt động (Đơn của tôi)'!$B$7:$B$500&amp;", ")),--('Hoạt động (Đơn của tôi)'!$AT$7:$AT$500="Pass"))+SUMPRODUCT(--ISNUMBER(SEARCH(", "&amp;$B36&amp;", ",", "&amp;'Ghép nối'!$B$7:$B$500&amp;", ")),--('Ghép nối'!$AT$7:$AT$500="Pass"))+SUMPRODUCT(--ISNUMBER(SEARCH(", "&amp;$B36&amp;", ",", "&amp;'Huỷ đơn - Huỷ nhận đơn'!$B$7:$B$500&amp;", ")),--('Huỷ đơn - Huỷ nhận đơn'!$AT$7:$AT$500="Pass"))+SUMPRODUCT(--ISNUMBER(SEARCH(", "&amp;$B36&amp;", ",", "&amp;'Giao nhận &amp; Theo dõi đơn'!$B$7:$B$500&amp;", ")),--('Giao nhận &amp; Theo dõi đơn'!$AT$7:$AT$500="Pass"))+SUMPRODUCT(--ISNUMBER(SEARCH(", "&amp;$B36&amp;", ",", "&amp;'Bảng tin &amp; Chi tiết tin'!$B$7:$B$500&amp;", ")),--('Bảng tin &amp; Chi tiết tin'!$AT$7:$AT$500="Pass"))+SUMPRODUCT(--ISNUMBER(SEARCH(", "&amp;$B36&amp;", ",", "&amp;'Quà cảm ơn'!$B$7:$B$500&amp;", ")),--('Quà cảm ơn'!$AT$7:$AT$500="Pass"))+SUMPRODUCT(--ISNUMBER(SEARCH(", "&amp;$B36&amp;", ",", "&amp;'Trang chủ'!$B$7:$B$500&amp;", ")),--('Trang chủ'!$AT$7:$AT$500="Pass"))+SUMPRODUCT(--ISNUMBER(SEARCH(", "&amp;$B36&amp;", ",", "&amp;'Thông báo'!$B$7:$B$500&amp;", ")),--('Thông báo'!$AT$7:$AT$500="Pass"))+SUMPRODUCT(--ISNUMBER(SEARCH(", "&amp;$B36&amp;", ",", "&amp;'Đăng tin &amp; Quản lý tin'!$B$7:$B$500&amp;", ")),--('Đăng tin &amp; Quản lý tin'!$AT$7:$AT$500="Pass"))+SUMPRODUCT(--ISNUMBER(SEARCH(", "&amp;$B36&amp;", ",", "&amp;'Trust &amp; Safety'!$B$7:$B$500&amp;", ")),--('Trust &amp; Safety'!$AT$7:$AT$500="Pass"))+SUMPRODUCT(--ISNUMBER(SEARCH(", "&amp;$B36&amp;", ",", "&amp;'Tài khoản &amp; Hồ sơ'!$B$7:$B$500&amp;", ")),--('Tài khoản &amp; Hồ sơ'!$AT$7:$AT$500="Pass"))</f>
        <v>0</v>
      </c>
      <c r="H36" s="51" t="n">
        <f aca="false">SUMPRODUCT(--ISNUMBER(SEARCH(", "&amp;$B36&amp;", ",", "&amp;'Hoạt động (Đơn của tôi)'!$B$7:$B$500&amp;", ")),--('Hoạt động (Đơn của tôi)'!$AT$7:$AT$500="Fail"))+SUMPRODUCT(--ISNUMBER(SEARCH(", "&amp;$B36&amp;", ",", "&amp;'Ghép nối'!$B$7:$B$500&amp;", ")),--('Ghép nối'!$AT$7:$AT$500="Fail"))+SUMPRODUCT(--ISNUMBER(SEARCH(", "&amp;$B36&amp;", ",", "&amp;'Huỷ đơn - Huỷ nhận đơn'!$B$7:$B$500&amp;", ")),--('Huỷ đơn - Huỷ nhận đơn'!$AT$7:$AT$500="Fail"))+SUMPRODUCT(--ISNUMBER(SEARCH(", "&amp;$B36&amp;", ",", "&amp;'Giao nhận &amp; Theo dõi đơn'!$B$7:$B$500&amp;", ")),--('Giao nhận &amp; Theo dõi đơn'!$AT$7:$AT$500="Fail"))+SUMPRODUCT(--ISNUMBER(SEARCH(", "&amp;$B36&amp;", ",", "&amp;'Bảng tin &amp; Chi tiết tin'!$B$7:$B$500&amp;", ")),--('Bảng tin &amp; Chi tiết tin'!$AT$7:$AT$500="Fail"))+SUMPRODUCT(--ISNUMBER(SEARCH(", "&amp;$B36&amp;", ",", "&amp;'Quà cảm ơn'!$B$7:$B$500&amp;", ")),--('Quà cảm ơn'!$AT$7:$AT$500="Fail"))+SUMPRODUCT(--ISNUMBER(SEARCH(", "&amp;$B36&amp;", ",", "&amp;'Trang chủ'!$B$7:$B$500&amp;", ")),--('Trang chủ'!$AT$7:$AT$500="Fail"))+SUMPRODUCT(--ISNUMBER(SEARCH(", "&amp;$B36&amp;", ",", "&amp;'Thông báo'!$B$7:$B$500&amp;", ")),--('Thông báo'!$AT$7:$AT$500="Fail"))+SUMPRODUCT(--ISNUMBER(SEARCH(", "&amp;$B36&amp;", ",", "&amp;'Đăng tin &amp; Quản lý tin'!$B$7:$B$500&amp;", ")),--('Đăng tin &amp; Quản lý tin'!$AT$7:$AT$500="Fail"))+SUMPRODUCT(--ISNUMBER(SEARCH(", "&amp;$B36&amp;", ",", "&amp;'Trust &amp; Safety'!$B$7:$B$500&amp;", ")),--('Trust &amp; Safety'!$AT$7:$AT$500="Fail"))+SUMPRODUCT(--ISNUMBER(SEARCH(", "&amp;$B36&amp;", ",", "&amp;'Tài khoản &amp; Hồ sơ'!$B$7:$B$500&amp;", ")),--('Tài khoản &amp; Hồ sơ'!$AT$7:$AT$500="Fail"))</f>
        <v>0</v>
      </c>
      <c r="I36" s="51" t="n">
        <f aca="false">SUMPRODUCT(--ISNUMBER(SEARCH(", "&amp;$B36&amp;", ",", "&amp;'Hoạt động (Đơn của tôi)'!$B$7:$B$500&amp;", ")),--('Hoạt động (Đơn của tôi)'!$AT$7:$AT$500="Block"))+SUMPRODUCT(--ISNUMBER(SEARCH(", "&amp;$B36&amp;", ",", "&amp;'Ghép nối'!$B$7:$B$500&amp;", ")),--('Ghép nối'!$AT$7:$AT$500="Block"))+SUMPRODUCT(--ISNUMBER(SEARCH(", "&amp;$B36&amp;", ",", "&amp;'Huỷ đơn - Huỷ nhận đơn'!$B$7:$B$500&amp;", ")),--('Huỷ đơn - Huỷ nhận đơn'!$AT$7:$AT$500="Block"))+SUMPRODUCT(--ISNUMBER(SEARCH(", "&amp;$B36&amp;", ",", "&amp;'Giao nhận &amp; Theo dõi đơn'!$B$7:$B$500&amp;", ")),--('Giao nhận &amp; Theo dõi đơn'!$AT$7:$AT$500="Block"))+SUMPRODUCT(--ISNUMBER(SEARCH(", "&amp;$B36&amp;", ",", "&amp;'Bảng tin &amp; Chi tiết tin'!$B$7:$B$500&amp;", ")),--('Bảng tin &amp; Chi tiết tin'!$AT$7:$AT$500="Block"))+SUMPRODUCT(--ISNUMBER(SEARCH(", "&amp;$B36&amp;", ",", "&amp;'Quà cảm ơn'!$B$7:$B$500&amp;", ")),--('Quà cảm ơn'!$AT$7:$AT$500="Block"))+SUMPRODUCT(--ISNUMBER(SEARCH(", "&amp;$B36&amp;", ",", "&amp;'Trang chủ'!$B$7:$B$500&amp;", ")),--('Trang chủ'!$AT$7:$AT$500="Block"))+SUMPRODUCT(--ISNUMBER(SEARCH(", "&amp;$B36&amp;", ",", "&amp;'Thông báo'!$B$7:$B$500&amp;", ")),--('Thông báo'!$AT$7:$AT$500="Block"))+SUMPRODUCT(--ISNUMBER(SEARCH(", "&amp;$B36&amp;", ",", "&amp;'Đăng tin &amp; Quản lý tin'!$B$7:$B$500&amp;", ")),--('Đăng tin &amp; Quản lý tin'!$AT$7:$AT$500="Block"))+SUMPRODUCT(--ISNUMBER(SEARCH(", "&amp;$B36&amp;", ",", "&amp;'Trust &amp; Safety'!$B$7:$B$500&amp;", ")),--('Trust &amp; Safety'!$AT$7:$AT$500="Block"))+SUMPRODUCT(--ISNUMBER(SEARCH(", "&amp;$B36&amp;", ",", "&amp;'Tài khoản &amp; Hồ sơ'!$B$7:$B$500&amp;", ")),--('Tài khoản &amp; Hồ sơ'!$AT$7:$AT$500="Block"))</f>
        <v>0</v>
      </c>
      <c r="J36" s="51" t="n">
        <f aca="false">SUMPRODUCT(--ISNUMBER(SEARCH(", "&amp;$B36&amp;", ",", "&amp;'Hoạt động (Đơn của tôi)'!$B$7:$B$500&amp;", ")),--('Hoạt động (Đơn của tôi)'!$AT$7:$AT$500="N/A"))+SUMPRODUCT(--ISNUMBER(SEARCH(", "&amp;$B36&amp;", ",", "&amp;'Ghép nối'!$B$7:$B$500&amp;", ")),--('Ghép nối'!$AT$7:$AT$500="N/A"))+SUMPRODUCT(--ISNUMBER(SEARCH(", "&amp;$B36&amp;", ",", "&amp;'Huỷ đơn - Huỷ nhận đơn'!$B$7:$B$500&amp;", ")),--('Huỷ đơn - Huỷ nhận đơn'!$AT$7:$AT$500="N/A"))+SUMPRODUCT(--ISNUMBER(SEARCH(", "&amp;$B36&amp;", ",", "&amp;'Giao nhận &amp; Theo dõi đơn'!$B$7:$B$500&amp;", ")),--('Giao nhận &amp; Theo dõi đơn'!$AT$7:$AT$500="N/A"))+SUMPRODUCT(--ISNUMBER(SEARCH(", "&amp;$B36&amp;", ",", "&amp;'Bảng tin &amp; Chi tiết tin'!$B$7:$B$500&amp;", ")),--('Bảng tin &amp; Chi tiết tin'!$AT$7:$AT$500="N/A"))+SUMPRODUCT(--ISNUMBER(SEARCH(", "&amp;$B36&amp;", ",", "&amp;'Quà cảm ơn'!$B$7:$B$500&amp;", ")),--('Quà cảm ơn'!$AT$7:$AT$500="N/A"))+SUMPRODUCT(--ISNUMBER(SEARCH(", "&amp;$B36&amp;", ",", "&amp;'Trang chủ'!$B$7:$B$500&amp;", ")),--('Trang chủ'!$AT$7:$AT$500="N/A"))+SUMPRODUCT(--ISNUMBER(SEARCH(", "&amp;$B36&amp;", ",", "&amp;'Thông báo'!$B$7:$B$500&amp;", ")),--('Thông báo'!$AT$7:$AT$500="N/A"))+SUMPRODUCT(--ISNUMBER(SEARCH(", "&amp;$B36&amp;", ",", "&amp;'Đăng tin &amp; Quản lý tin'!$B$7:$B$500&amp;", ")),--('Đăng tin &amp; Quản lý tin'!$AT$7:$AT$500="N/A"))+SUMPRODUCT(--ISNUMBER(SEARCH(", "&amp;$B36&amp;", ",", "&amp;'Trust &amp; Safety'!$B$7:$B$500&amp;", ")),--('Trust &amp; Safety'!$AT$7:$AT$500="N/A"))+SUMPRODUCT(--ISNUMBER(SEARCH(", "&amp;$B36&amp;", ",", "&amp;'Tài khoản &amp; Hồ sơ'!$B$7:$B$500&amp;", ")),--('Tài khoản &amp; Hồ sơ'!$AT$7:$AT$500="N/A"))</f>
        <v>0</v>
      </c>
      <c r="K36" s="52" t="n">
        <f aca="false">IFERROR(F36/E36,0)</f>
        <v>0</v>
      </c>
      <c r="L36" s="123" t="str">
        <f aca="false">IF(E36=0,"Chưa có TC (gap)",IF(H36&gt;0,"Có lỗi (Fail)",IF(I36&gt;0,"Bị block",IF(F36&lt;E36,"Đang test",IF(G36=0,"Không áp dụng (N/A)","Đã test xong")))))</f>
        <v>Đang test</v>
      </c>
      <c r="AB36" s="1" t="s">
        <v>428</v>
      </c>
    </row>
    <row r="37" customFormat="false" ht="15.75" hidden="false" customHeight="true" outlineLevel="0" collapsed="false">
      <c r="B37" s="175" t="s">
        <v>509</v>
      </c>
      <c r="C37" s="176"/>
      <c r="D37" s="123" t="s">
        <v>510</v>
      </c>
      <c r="E37" s="51" t="n">
        <f aca="false">SUMPRODUCT(--ISNUMBER(SEARCH(", "&amp;$B37&amp;", ",", "&amp;'Hoạt động (Đơn của tôi)'!$B$7:$B$500&amp;", ")))+SUMPRODUCT(--ISNUMBER(SEARCH(", "&amp;$B37&amp;", ",", "&amp;'Ghép nối'!$B$7:$B$500&amp;", ")))+SUMPRODUCT(--ISNUMBER(SEARCH(", "&amp;$B37&amp;", ",", "&amp;'Huỷ đơn - Huỷ nhận đơn'!$B$7:$B$500&amp;", ")))+SUMPRODUCT(--ISNUMBER(SEARCH(", "&amp;$B37&amp;", ",", "&amp;'Giao nhận &amp; Theo dõi đơn'!$B$7:$B$500&amp;", ")))+SUMPRODUCT(--ISNUMBER(SEARCH(", "&amp;$B37&amp;", ",", "&amp;'Bảng tin &amp; Chi tiết tin'!$B$7:$B$500&amp;", ")))+SUMPRODUCT(--ISNUMBER(SEARCH(", "&amp;$B37&amp;", ",", "&amp;'Quà cảm ơn'!$B$7:$B$500&amp;", ")))+SUMPRODUCT(--ISNUMBER(SEARCH(", "&amp;$B37&amp;", ",", "&amp;'Trang chủ'!$B$7:$B$500&amp;", ")))+SUMPRODUCT(--ISNUMBER(SEARCH(", "&amp;$B37&amp;", ",", "&amp;'Thông báo'!$B$7:$B$500&amp;", ")))+SUMPRODUCT(--ISNUMBER(SEARCH(", "&amp;$B37&amp;", ",", "&amp;'Đăng tin &amp; Quản lý tin'!$B$7:$B$500&amp;", ")))+SUMPRODUCT(--ISNUMBER(SEARCH(", "&amp;$B37&amp;", ",", "&amp;'Trust &amp; Safety'!$B$7:$B$500&amp;", ")))+SUMPRODUCT(--ISNUMBER(SEARCH(", "&amp;$B37&amp;", ",", "&amp;'Tài khoản &amp; Hồ sơ'!$B$7:$B$500&amp;", ")))</f>
        <v>1</v>
      </c>
      <c r="F37" s="51" t="n">
        <f aca="false">SUMPRODUCT(--ISNUMBER(SEARCH(", "&amp;$B37&amp;", ",", "&amp;'Hoạt động (Đơn của tôi)'!$B$7:$B$500&amp;", ")),--('Hoạt động (Đơn của tôi)'!$AT$7:$AT$500&lt;&gt;""))+SUMPRODUCT(--ISNUMBER(SEARCH(", "&amp;$B37&amp;", ",", "&amp;'Ghép nối'!$B$7:$B$500&amp;", ")),--('Ghép nối'!$AT$7:$AT$500&lt;&gt;""))+SUMPRODUCT(--ISNUMBER(SEARCH(", "&amp;$B37&amp;", ",", "&amp;'Huỷ đơn - Huỷ nhận đơn'!$B$7:$B$500&amp;", ")),--('Huỷ đơn - Huỷ nhận đơn'!$AT$7:$AT$500&lt;&gt;""))+SUMPRODUCT(--ISNUMBER(SEARCH(", "&amp;$B37&amp;", ",", "&amp;'Giao nhận &amp; Theo dõi đơn'!$B$7:$B$500&amp;", ")),--('Giao nhận &amp; Theo dõi đơn'!$AT$7:$AT$500&lt;&gt;""))+SUMPRODUCT(--ISNUMBER(SEARCH(", "&amp;$B37&amp;", ",", "&amp;'Bảng tin &amp; Chi tiết tin'!$B$7:$B$500&amp;", ")),--('Bảng tin &amp; Chi tiết tin'!$AT$7:$AT$500&lt;&gt;""))+SUMPRODUCT(--ISNUMBER(SEARCH(", "&amp;$B37&amp;", ",", "&amp;'Quà cảm ơn'!$B$7:$B$500&amp;", ")),--('Quà cảm ơn'!$AT$7:$AT$500&lt;&gt;""))+SUMPRODUCT(--ISNUMBER(SEARCH(", "&amp;$B37&amp;", ",", "&amp;'Trang chủ'!$B$7:$B$500&amp;", ")),--('Trang chủ'!$AT$7:$AT$500&lt;&gt;""))+SUMPRODUCT(--ISNUMBER(SEARCH(", "&amp;$B37&amp;", ",", "&amp;'Thông báo'!$B$7:$B$500&amp;", ")),--('Thông báo'!$AT$7:$AT$500&lt;&gt;""))+SUMPRODUCT(--ISNUMBER(SEARCH(", "&amp;$B37&amp;", ",", "&amp;'Đăng tin &amp; Quản lý tin'!$B$7:$B$500&amp;", ")),--('Đăng tin &amp; Quản lý tin'!$AT$7:$AT$500&lt;&gt;""))+SUMPRODUCT(--ISNUMBER(SEARCH(", "&amp;$B37&amp;", ",", "&amp;'Trust &amp; Safety'!$B$7:$B$500&amp;", ")),--('Trust &amp; Safety'!$AT$7:$AT$500&lt;&gt;""))+SUMPRODUCT(--ISNUMBER(SEARCH(", "&amp;$B37&amp;", ",", "&amp;'Tài khoản &amp; Hồ sơ'!$B$7:$B$500&amp;", ")),--('Tài khoản &amp; Hồ sơ'!$AT$7:$AT$500&lt;&gt;""))</f>
        <v>0</v>
      </c>
      <c r="G37" s="51" t="n">
        <f aca="false">SUMPRODUCT(--ISNUMBER(SEARCH(", "&amp;$B37&amp;", ",", "&amp;'Hoạt động (Đơn của tôi)'!$B$7:$B$500&amp;", ")),--('Hoạt động (Đơn của tôi)'!$AT$7:$AT$500="Pass"))+SUMPRODUCT(--ISNUMBER(SEARCH(", "&amp;$B37&amp;", ",", "&amp;'Ghép nối'!$B$7:$B$500&amp;", ")),--('Ghép nối'!$AT$7:$AT$500="Pass"))+SUMPRODUCT(--ISNUMBER(SEARCH(", "&amp;$B37&amp;", ",", "&amp;'Huỷ đơn - Huỷ nhận đơn'!$B$7:$B$500&amp;", ")),--('Huỷ đơn - Huỷ nhận đơn'!$AT$7:$AT$500="Pass"))+SUMPRODUCT(--ISNUMBER(SEARCH(", "&amp;$B37&amp;", ",", "&amp;'Giao nhận &amp; Theo dõi đơn'!$B$7:$B$500&amp;", ")),--('Giao nhận &amp; Theo dõi đơn'!$AT$7:$AT$500="Pass"))+SUMPRODUCT(--ISNUMBER(SEARCH(", "&amp;$B37&amp;", ",", "&amp;'Bảng tin &amp; Chi tiết tin'!$B$7:$B$500&amp;", ")),--('Bảng tin &amp; Chi tiết tin'!$AT$7:$AT$500="Pass"))+SUMPRODUCT(--ISNUMBER(SEARCH(", "&amp;$B37&amp;", ",", "&amp;'Quà cảm ơn'!$B$7:$B$500&amp;", ")),--('Quà cảm ơn'!$AT$7:$AT$500="Pass"))+SUMPRODUCT(--ISNUMBER(SEARCH(", "&amp;$B37&amp;", ",", "&amp;'Trang chủ'!$B$7:$B$500&amp;", ")),--('Trang chủ'!$AT$7:$AT$500="Pass"))+SUMPRODUCT(--ISNUMBER(SEARCH(", "&amp;$B37&amp;", ",", "&amp;'Thông báo'!$B$7:$B$500&amp;", ")),--('Thông báo'!$AT$7:$AT$500="Pass"))+SUMPRODUCT(--ISNUMBER(SEARCH(", "&amp;$B37&amp;", ",", "&amp;'Đăng tin &amp; Quản lý tin'!$B$7:$B$500&amp;", ")),--('Đăng tin &amp; Quản lý tin'!$AT$7:$AT$500="Pass"))+SUMPRODUCT(--ISNUMBER(SEARCH(", "&amp;$B37&amp;", ",", "&amp;'Trust &amp; Safety'!$B$7:$B$500&amp;", ")),--('Trust &amp; Safety'!$AT$7:$AT$500="Pass"))+SUMPRODUCT(--ISNUMBER(SEARCH(", "&amp;$B37&amp;", ",", "&amp;'Tài khoản &amp; Hồ sơ'!$B$7:$B$500&amp;", ")),--('Tài khoản &amp; Hồ sơ'!$AT$7:$AT$500="Pass"))</f>
        <v>0</v>
      </c>
      <c r="H37" s="51" t="n">
        <f aca="false">SUMPRODUCT(--ISNUMBER(SEARCH(", "&amp;$B37&amp;", ",", "&amp;'Hoạt động (Đơn của tôi)'!$B$7:$B$500&amp;", ")),--('Hoạt động (Đơn của tôi)'!$AT$7:$AT$500="Fail"))+SUMPRODUCT(--ISNUMBER(SEARCH(", "&amp;$B37&amp;", ",", "&amp;'Ghép nối'!$B$7:$B$500&amp;", ")),--('Ghép nối'!$AT$7:$AT$500="Fail"))+SUMPRODUCT(--ISNUMBER(SEARCH(", "&amp;$B37&amp;", ",", "&amp;'Huỷ đơn - Huỷ nhận đơn'!$B$7:$B$500&amp;", ")),--('Huỷ đơn - Huỷ nhận đơn'!$AT$7:$AT$500="Fail"))+SUMPRODUCT(--ISNUMBER(SEARCH(", "&amp;$B37&amp;", ",", "&amp;'Giao nhận &amp; Theo dõi đơn'!$B$7:$B$500&amp;", ")),--('Giao nhận &amp; Theo dõi đơn'!$AT$7:$AT$500="Fail"))+SUMPRODUCT(--ISNUMBER(SEARCH(", "&amp;$B37&amp;", ",", "&amp;'Bảng tin &amp; Chi tiết tin'!$B$7:$B$500&amp;", ")),--('Bảng tin &amp; Chi tiết tin'!$AT$7:$AT$500="Fail"))+SUMPRODUCT(--ISNUMBER(SEARCH(", "&amp;$B37&amp;", ",", "&amp;'Quà cảm ơn'!$B$7:$B$500&amp;", ")),--('Quà cảm ơn'!$AT$7:$AT$500="Fail"))+SUMPRODUCT(--ISNUMBER(SEARCH(", "&amp;$B37&amp;", ",", "&amp;'Trang chủ'!$B$7:$B$500&amp;", ")),--('Trang chủ'!$AT$7:$AT$500="Fail"))+SUMPRODUCT(--ISNUMBER(SEARCH(", "&amp;$B37&amp;", ",", "&amp;'Thông báo'!$B$7:$B$500&amp;", ")),--('Thông báo'!$AT$7:$AT$500="Fail"))+SUMPRODUCT(--ISNUMBER(SEARCH(", "&amp;$B37&amp;", ",", "&amp;'Đăng tin &amp; Quản lý tin'!$B$7:$B$500&amp;", ")),--('Đăng tin &amp; Quản lý tin'!$AT$7:$AT$500="Fail"))+SUMPRODUCT(--ISNUMBER(SEARCH(", "&amp;$B37&amp;", ",", "&amp;'Trust &amp; Safety'!$B$7:$B$500&amp;", ")),--('Trust &amp; Safety'!$AT$7:$AT$500="Fail"))+SUMPRODUCT(--ISNUMBER(SEARCH(", "&amp;$B37&amp;", ",", "&amp;'Tài khoản &amp; Hồ sơ'!$B$7:$B$500&amp;", ")),--('Tài khoản &amp; Hồ sơ'!$AT$7:$AT$500="Fail"))</f>
        <v>0</v>
      </c>
      <c r="I37" s="51" t="n">
        <f aca="false">SUMPRODUCT(--ISNUMBER(SEARCH(", "&amp;$B37&amp;", ",", "&amp;'Hoạt động (Đơn của tôi)'!$B$7:$B$500&amp;", ")),--('Hoạt động (Đơn của tôi)'!$AT$7:$AT$500="Block"))+SUMPRODUCT(--ISNUMBER(SEARCH(", "&amp;$B37&amp;", ",", "&amp;'Ghép nối'!$B$7:$B$500&amp;", ")),--('Ghép nối'!$AT$7:$AT$500="Block"))+SUMPRODUCT(--ISNUMBER(SEARCH(", "&amp;$B37&amp;", ",", "&amp;'Huỷ đơn - Huỷ nhận đơn'!$B$7:$B$500&amp;", ")),--('Huỷ đơn - Huỷ nhận đơn'!$AT$7:$AT$500="Block"))+SUMPRODUCT(--ISNUMBER(SEARCH(", "&amp;$B37&amp;", ",", "&amp;'Giao nhận &amp; Theo dõi đơn'!$B$7:$B$500&amp;", ")),--('Giao nhận &amp; Theo dõi đơn'!$AT$7:$AT$500="Block"))+SUMPRODUCT(--ISNUMBER(SEARCH(", "&amp;$B37&amp;", ",", "&amp;'Bảng tin &amp; Chi tiết tin'!$B$7:$B$500&amp;", ")),--('Bảng tin &amp; Chi tiết tin'!$AT$7:$AT$500="Block"))+SUMPRODUCT(--ISNUMBER(SEARCH(", "&amp;$B37&amp;", ",", "&amp;'Quà cảm ơn'!$B$7:$B$500&amp;", ")),--('Quà cảm ơn'!$AT$7:$AT$500="Block"))+SUMPRODUCT(--ISNUMBER(SEARCH(", "&amp;$B37&amp;", ",", "&amp;'Trang chủ'!$B$7:$B$500&amp;", ")),--('Trang chủ'!$AT$7:$AT$500="Block"))+SUMPRODUCT(--ISNUMBER(SEARCH(", "&amp;$B37&amp;", ",", "&amp;'Thông báo'!$B$7:$B$500&amp;", ")),--('Thông báo'!$AT$7:$AT$500="Block"))+SUMPRODUCT(--ISNUMBER(SEARCH(", "&amp;$B37&amp;", ",", "&amp;'Đăng tin &amp; Quản lý tin'!$B$7:$B$500&amp;", ")),--('Đăng tin &amp; Quản lý tin'!$AT$7:$AT$500="Block"))+SUMPRODUCT(--ISNUMBER(SEARCH(", "&amp;$B37&amp;", ",", "&amp;'Trust &amp; Safety'!$B$7:$B$500&amp;", ")),--('Trust &amp; Safety'!$AT$7:$AT$500="Block"))+SUMPRODUCT(--ISNUMBER(SEARCH(", "&amp;$B37&amp;", ",", "&amp;'Tài khoản &amp; Hồ sơ'!$B$7:$B$500&amp;", ")),--('Tài khoản &amp; Hồ sơ'!$AT$7:$AT$500="Block"))</f>
        <v>0</v>
      </c>
      <c r="J37" s="51" t="n">
        <f aca="false">SUMPRODUCT(--ISNUMBER(SEARCH(", "&amp;$B37&amp;", ",", "&amp;'Hoạt động (Đơn của tôi)'!$B$7:$B$500&amp;", ")),--('Hoạt động (Đơn của tôi)'!$AT$7:$AT$500="N/A"))+SUMPRODUCT(--ISNUMBER(SEARCH(", "&amp;$B37&amp;", ",", "&amp;'Ghép nối'!$B$7:$B$500&amp;", ")),--('Ghép nối'!$AT$7:$AT$500="N/A"))+SUMPRODUCT(--ISNUMBER(SEARCH(", "&amp;$B37&amp;", ",", "&amp;'Huỷ đơn - Huỷ nhận đơn'!$B$7:$B$500&amp;", ")),--('Huỷ đơn - Huỷ nhận đơn'!$AT$7:$AT$500="N/A"))+SUMPRODUCT(--ISNUMBER(SEARCH(", "&amp;$B37&amp;", ",", "&amp;'Giao nhận &amp; Theo dõi đơn'!$B$7:$B$500&amp;", ")),--('Giao nhận &amp; Theo dõi đơn'!$AT$7:$AT$500="N/A"))+SUMPRODUCT(--ISNUMBER(SEARCH(", "&amp;$B37&amp;", ",", "&amp;'Bảng tin &amp; Chi tiết tin'!$B$7:$B$500&amp;", ")),--('Bảng tin &amp; Chi tiết tin'!$AT$7:$AT$500="N/A"))+SUMPRODUCT(--ISNUMBER(SEARCH(", "&amp;$B37&amp;", ",", "&amp;'Quà cảm ơn'!$B$7:$B$500&amp;", ")),--('Quà cảm ơn'!$AT$7:$AT$500="N/A"))+SUMPRODUCT(--ISNUMBER(SEARCH(", "&amp;$B37&amp;", ",", "&amp;'Trang chủ'!$B$7:$B$500&amp;", ")),--('Trang chủ'!$AT$7:$AT$500="N/A"))+SUMPRODUCT(--ISNUMBER(SEARCH(", "&amp;$B37&amp;", ",", "&amp;'Thông báo'!$B$7:$B$500&amp;", ")),--('Thông báo'!$AT$7:$AT$500="N/A"))+SUMPRODUCT(--ISNUMBER(SEARCH(", "&amp;$B37&amp;", ",", "&amp;'Đăng tin &amp; Quản lý tin'!$B$7:$B$500&amp;", ")),--('Đăng tin &amp; Quản lý tin'!$AT$7:$AT$500="N/A"))+SUMPRODUCT(--ISNUMBER(SEARCH(", "&amp;$B37&amp;", ",", "&amp;'Trust &amp; Safety'!$B$7:$B$500&amp;", ")),--('Trust &amp; Safety'!$AT$7:$AT$500="N/A"))+SUMPRODUCT(--ISNUMBER(SEARCH(", "&amp;$B37&amp;", ",", "&amp;'Tài khoản &amp; Hồ sơ'!$B$7:$B$500&amp;", ")),--('Tài khoản &amp; Hồ sơ'!$AT$7:$AT$500="N/A"))</f>
        <v>0</v>
      </c>
      <c r="K37" s="52" t="n">
        <f aca="false">IFERROR(F37/E37,0)</f>
        <v>0</v>
      </c>
      <c r="L37" s="123" t="str">
        <f aca="false">IF(E37=0,"Chưa có TC (gap)",IF(H37&gt;0,"Có lỗi (Fail)",IF(I37&gt;0,"Bị block",IF(F37&lt;E37,"Đang test",IF(G37=0,"Không áp dụng (N/A)","Đã test xong")))))</f>
        <v>Đang test</v>
      </c>
      <c r="AB37" s="1" t="s">
        <v>428</v>
      </c>
    </row>
    <row r="38" customFormat="false" ht="15.75" hidden="false" customHeight="true" outlineLevel="0" collapsed="false">
      <c r="B38" s="175" t="s">
        <v>511</v>
      </c>
      <c r="C38" s="176" t="s">
        <v>512</v>
      </c>
      <c r="D38" s="123" t="s">
        <v>513</v>
      </c>
      <c r="E38" s="51" t="n">
        <f aca="false">SUMPRODUCT(--ISNUMBER(SEARCH(", "&amp;$B38&amp;", ",", "&amp;'Hoạt động (Đơn của tôi)'!$B$7:$B$500&amp;", ")))+SUMPRODUCT(--ISNUMBER(SEARCH(", "&amp;$B38&amp;", ",", "&amp;'Ghép nối'!$B$7:$B$500&amp;", ")))+SUMPRODUCT(--ISNUMBER(SEARCH(", "&amp;$B38&amp;", ",", "&amp;'Huỷ đơn - Huỷ nhận đơn'!$B$7:$B$500&amp;", ")))+SUMPRODUCT(--ISNUMBER(SEARCH(", "&amp;$B38&amp;", ",", "&amp;'Giao nhận &amp; Theo dõi đơn'!$B$7:$B$500&amp;", ")))+SUMPRODUCT(--ISNUMBER(SEARCH(", "&amp;$B38&amp;", ",", "&amp;'Bảng tin &amp; Chi tiết tin'!$B$7:$B$500&amp;", ")))+SUMPRODUCT(--ISNUMBER(SEARCH(", "&amp;$B38&amp;", ",", "&amp;'Quà cảm ơn'!$B$7:$B$500&amp;", ")))+SUMPRODUCT(--ISNUMBER(SEARCH(", "&amp;$B38&amp;", ",", "&amp;'Trang chủ'!$B$7:$B$500&amp;", ")))+SUMPRODUCT(--ISNUMBER(SEARCH(", "&amp;$B38&amp;", ",", "&amp;'Thông báo'!$B$7:$B$500&amp;", ")))+SUMPRODUCT(--ISNUMBER(SEARCH(", "&amp;$B38&amp;", ",", "&amp;'Đăng tin &amp; Quản lý tin'!$B$7:$B$500&amp;", ")))+SUMPRODUCT(--ISNUMBER(SEARCH(", "&amp;$B38&amp;", ",", "&amp;'Trust &amp; Safety'!$B$7:$B$500&amp;", ")))+SUMPRODUCT(--ISNUMBER(SEARCH(", "&amp;$B38&amp;", ",", "&amp;'Tài khoản &amp; Hồ sơ'!$B$7:$B$500&amp;", ")))</f>
        <v>1</v>
      </c>
      <c r="F38" s="51" t="n">
        <f aca="false">SUMPRODUCT(--ISNUMBER(SEARCH(", "&amp;$B38&amp;", ",", "&amp;'Hoạt động (Đơn của tôi)'!$B$7:$B$500&amp;", ")),--('Hoạt động (Đơn của tôi)'!$AT$7:$AT$500&lt;&gt;""))+SUMPRODUCT(--ISNUMBER(SEARCH(", "&amp;$B38&amp;", ",", "&amp;'Ghép nối'!$B$7:$B$500&amp;", ")),--('Ghép nối'!$AT$7:$AT$500&lt;&gt;""))+SUMPRODUCT(--ISNUMBER(SEARCH(", "&amp;$B38&amp;", ",", "&amp;'Huỷ đơn - Huỷ nhận đơn'!$B$7:$B$500&amp;", ")),--('Huỷ đơn - Huỷ nhận đơn'!$AT$7:$AT$500&lt;&gt;""))+SUMPRODUCT(--ISNUMBER(SEARCH(", "&amp;$B38&amp;", ",", "&amp;'Giao nhận &amp; Theo dõi đơn'!$B$7:$B$500&amp;", ")),--('Giao nhận &amp; Theo dõi đơn'!$AT$7:$AT$500&lt;&gt;""))+SUMPRODUCT(--ISNUMBER(SEARCH(", "&amp;$B38&amp;", ",", "&amp;'Bảng tin &amp; Chi tiết tin'!$B$7:$B$500&amp;", ")),--('Bảng tin &amp; Chi tiết tin'!$AT$7:$AT$500&lt;&gt;""))+SUMPRODUCT(--ISNUMBER(SEARCH(", "&amp;$B38&amp;", ",", "&amp;'Quà cảm ơn'!$B$7:$B$500&amp;", ")),--('Quà cảm ơn'!$AT$7:$AT$500&lt;&gt;""))+SUMPRODUCT(--ISNUMBER(SEARCH(", "&amp;$B38&amp;", ",", "&amp;'Trang chủ'!$B$7:$B$500&amp;", ")),--('Trang chủ'!$AT$7:$AT$500&lt;&gt;""))+SUMPRODUCT(--ISNUMBER(SEARCH(", "&amp;$B38&amp;", ",", "&amp;'Thông báo'!$B$7:$B$500&amp;", ")),--('Thông báo'!$AT$7:$AT$500&lt;&gt;""))+SUMPRODUCT(--ISNUMBER(SEARCH(", "&amp;$B38&amp;", ",", "&amp;'Đăng tin &amp; Quản lý tin'!$B$7:$B$500&amp;", ")),--('Đăng tin &amp; Quản lý tin'!$AT$7:$AT$500&lt;&gt;""))+SUMPRODUCT(--ISNUMBER(SEARCH(", "&amp;$B38&amp;", ",", "&amp;'Trust &amp; Safety'!$B$7:$B$500&amp;", ")),--('Trust &amp; Safety'!$AT$7:$AT$500&lt;&gt;""))+SUMPRODUCT(--ISNUMBER(SEARCH(", "&amp;$B38&amp;", ",", "&amp;'Tài khoản &amp; Hồ sơ'!$B$7:$B$500&amp;", ")),--('Tài khoản &amp; Hồ sơ'!$AT$7:$AT$500&lt;&gt;""))</f>
        <v>0</v>
      </c>
      <c r="G38" s="51" t="n">
        <f aca="false">SUMPRODUCT(--ISNUMBER(SEARCH(", "&amp;$B38&amp;", ",", "&amp;'Hoạt động (Đơn của tôi)'!$B$7:$B$500&amp;", ")),--('Hoạt động (Đơn của tôi)'!$AT$7:$AT$500="Pass"))+SUMPRODUCT(--ISNUMBER(SEARCH(", "&amp;$B38&amp;", ",", "&amp;'Ghép nối'!$B$7:$B$500&amp;", ")),--('Ghép nối'!$AT$7:$AT$500="Pass"))+SUMPRODUCT(--ISNUMBER(SEARCH(", "&amp;$B38&amp;", ",", "&amp;'Huỷ đơn - Huỷ nhận đơn'!$B$7:$B$500&amp;", ")),--('Huỷ đơn - Huỷ nhận đơn'!$AT$7:$AT$500="Pass"))+SUMPRODUCT(--ISNUMBER(SEARCH(", "&amp;$B38&amp;", ",", "&amp;'Giao nhận &amp; Theo dõi đơn'!$B$7:$B$500&amp;", ")),--('Giao nhận &amp; Theo dõi đơn'!$AT$7:$AT$500="Pass"))+SUMPRODUCT(--ISNUMBER(SEARCH(", "&amp;$B38&amp;", ",", "&amp;'Bảng tin &amp; Chi tiết tin'!$B$7:$B$500&amp;", ")),--('Bảng tin &amp; Chi tiết tin'!$AT$7:$AT$500="Pass"))+SUMPRODUCT(--ISNUMBER(SEARCH(", "&amp;$B38&amp;", ",", "&amp;'Quà cảm ơn'!$B$7:$B$500&amp;", ")),--('Quà cảm ơn'!$AT$7:$AT$500="Pass"))+SUMPRODUCT(--ISNUMBER(SEARCH(", "&amp;$B38&amp;", ",", "&amp;'Trang chủ'!$B$7:$B$500&amp;", ")),--('Trang chủ'!$AT$7:$AT$500="Pass"))+SUMPRODUCT(--ISNUMBER(SEARCH(", "&amp;$B38&amp;", ",", "&amp;'Thông báo'!$B$7:$B$500&amp;", ")),--('Thông báo'!$AT$7:$AT$500="Pass"))+SUMPRODUCT(--ISNUMBER(SEARCH(", "&amp;$B38&amp;", ",", "&amp;'Đăng tin &amp; Quản lý tin'!$B$7:$B$500&amp;", ")),--('Đăng tin &amp; Quản lý tin'!$AT$7:$AT$500="Pass"))+SUMPRODUCT(--ISNUMBER(SEARCH(", "&amp;$B38&amp;", ",", "&amp;'Trust &amp; Safety'!$B$7:$B$500&amp;", ")),--('Trust &amp; Safety'!$AT$7:$AT$500="Pass"))+SUMPRODUCT(--ISNUMBER(SEARCH(", "&amp;$B38&amp;", ",", "&amp;'Tài khoản &amp; Hồ sơ'!$B$7:$B$500&amp;", ")),--('Tài khoản &amp; Hồ sơ'!$AT$7:$AT$500="Pass"))</f>
        <v>0</v>
      </c>
      <c r="H38" s="51" t="n">
        <f aca="false">SUMPRODUCT(--ISNUMBER(SEARCH(", "&amp;$B38&amp;", ",", "&amp;'Hoạt động (Đơn của tôi)'!$B$7:$B$500&amp;", ")),--('Hoạt động (Đơn của tôi)'!$AT$7:$AT$500="Fail"))+SUMPRODUCT(--ISNUMBER(SEARCH(", "&amp;$B38&amp;", ",", "&amp;'Ghép nối'!$B$7:$B$500&amp;", ")),--('Ghép nối'!$AT$7:$AT$500="Fail"))+SUMPRODUCT(--ISNUMBER(SEARCH(", "&amp;$B38&amp;", ",", "&amp;'Huỷ đơn - Huỷ nhận đơn'!$B$7:$B$500&amp;", ")),--('Huỷ đơn - Huỷ nhận đơn'!$AT$7:$AT$500="Fail"))+SUMPRODUCT(--ISNUMBER(SEARCH(", "&amp;$B38&amp;", ",", "&amp;'Giao nhận &amp; Theo dõi đơn'!$B$7:$B$500&amp;", ")),--('Giao nhận &amp; Theo dõi đơn'!$AT$7:$AT$500="Fail"))+SUMPRODUCT(--ISNUMBER(SEARCH(", "&amp;$B38&amp;", ",", "&amp;'Bảng tin &amp; Chi tiết tin'!$B$7:$B$500&amp;", ")),--('Bảng tin &amp; Chi tiết tin'!$AT$7:$AT$500="Fail"))+SUMPRODUCT(--ISNUMBER(SEARCH(", "&amp;$B38&amp;", ",", "&amp;'Quà cảm ơn'!$B$7:$B$500&amp;", ")),--('Quà cảm ơn'!$AT$7:$AT$500="Fail"))+SUMPRODUCT(--ISNUMBER(SEARCH(", "&amp;$B38&amp;", ",", "&amp;'Trang chủ'!$B$7:$B$500&amp;", ")),--('Trang chủ'!$AT$7:$AT$500="Fail"))+SUMPRODUCT(--ISNUMBER(SEARCH(", "&amp;$B38&amp;", ",", "&amp;'Thông báo'!$B$7:$B$500&amp;", ")),--('Thông báo'!$AT$7:$AT$500="Fail"))+SUMPRODUCT(--ISNUMBER(SEARCH(", "&amp;$B38&amp;", ",", "&amp;'Đăng tin &amp; Quản lý tin'!$B$7:$B$500&amp;", ")),--('Đăng tin &amp; Quản lý tin'!$AT$7:$AT$500="Fail"))+SUMPRODUCT(--ISNUMBER(SEARCH(", "&amp;$B38&amp;", ",", "&amp;'Trust &amp; Safety'!$B$7:$B$500&amp;", ")),--('Trust &amp; Safety'!$AT$7:$AT$500="Fail"))+SUMPRODUCT(--ISNUMBER(SEARCH(", "&amp;$B38&amp;", ",", "&amp;'Tài khoản &amp; Hồ sơ'!$B$7:$B$500&amp;", ")),--('Tài khoản &amp; Hồ sơ'!$AT$7:$AT$500="Fail"))</f>
        <v>0</v>
      </c>
      <c r="I38" s="51" t="n">
        <f aca="false">SUMPRODUCT(--ISNUMBER(SEARCH(", "&amp;$B38&amp;", ",", "&amp;'Hoạt động (Đơn của tôi)'!$B$7:$B$500&amp;", ")),--('Hoạt động (Đơn của tôi)'!$AT$7:$AT$500="Block"))+SUMPRODUCT(--ISNUMBER(SEARCH(", "&amp;$B38&amp;", ",", "&amp;'Ghép nối'!$B$7:$B$500&amp;", ")),--('Ghép nối'!$AT$7:$AT$500="Block"))+SUMPRODUCT(--ISNUMBER(SEARCH(", "&amp;$B38&amp;", ",", "&amp;'Huỷ đơn - Huỷ nhận đơn'!$B$7:$B$500&amp;", ")),--('Huỷ đơn - Huỷ nhận đơn'!$AT$7:$AT$500="Block"))+SUMPRODUCT(--ISNUMBER(SEARCH(", "&amp;$B38&amp;", ",", "&amp;'Giao nhận &amp; Theo dõi đơn'!$B$7:$B$500&amp;", ")),--('Giao nhận &amp; Theo dõi đơn'!$AT$7:$AT$500="Block"))+SUMPRODUCT(--ISNUMBER(SEARCH(", "&amp;$B38&amp;", ",", "&amp;'Bảng tin &amp; Chi tiết tin'!$B$7:$B$500&amp;", ")),--('Bảng tin &amp; Chi tiết tin'!$AT$7:$AT$500="Block"))+SUMPRODUCT(--ISNUMBER(SEARCH(", "&amp;$B38&amp;", ",", "&amp;'Quà cảm ơn'!$B$7:$B$500&amp;", ")),--('Quà cảm ơn'!$AT$7:$AT$500="Block"))+SUMPRODUCT(--ISNUMBER(SEARCH(", "&amp;$B38&amp;", ",", "&amp;'Trang chủ'!$B$7:$B$500&amp;", ")),--('Trang chủ'!$AT$7:$AT$500="Block"))+SUMPRODUCT(--ISNUMBER(SEARCH(", "&amp;$B38&amp;", ",", "&amp;'Thông báo'!$B$7:$B$500&amp;", ")),--('Thông báo'!$AT$7:$AT$500="Block"))+SUMPRODUCT(--ISNUMBER(SEARCH(", "&amp;$B38&amp;", ",", "&amp;'Đăng tin &amp; Quản lý tin'!$B$7:$B$500&amp;", ")),--('Đăng tin &amp; Quản lý tin'!$AT$7:$AT$500="Block"))+SUMPRODUCT(--ISNUMBER(SEARCH(", "&amp;$B38&amp;", ",", "&amp;'Trust &amp; Safety'!$B$7:$B$500&amp;", ")),--('Trust &amp; Safety'!$AT$7:$AT$500="Block"))+SUMPRODUCT(--ISNUMBER(SEARCH(", "&amp;$B38&amp;", ",", "&amp;'Tài khoản &amp; Hồ sơ'!$B$7:$B$500&amp;", ")),--('Tài khoản &amp; Hồ sơ'!$AT$7:$AT$500="Block"))</f>
        <v>0</v>
      </c>
      <c r="J38" s="51" t="n">
        <f aca="false">SUMPRODUCT(--ISNUMBER(SEARCH(", "&amp;$B38&amp;", ",", "&amp;'Hoạt động (Đơn của tôi)'!$B$7:$B$500&amp;", ")),--('Hoạt động (Đơn của tôi)'!$AT$7:$AT$500="N/A"))+SUMPRODUCT(--ISNUMBER(SEARCH(", "&amp;$B38&amp;", ",", "&amp;'Ghép nối'!$B$7:$B$500&amp;", ")),--('Ghép nối'!$AT$7:$AT$500="N/A"))+SUMPRODUCT(--ISNUMBER(SEARCH(", "&amp;$B38&amp;", ",", "&amp;'Huỷ đơn - Huỷ nhận đơn'!$B$7:$B$500&amp;", ")),--('Huỷ đơn - Huỷ nhận đơn'!$AT$7:$AT$500="N/A"))+SUMPRODUCT(--ISNUMBER(SEARCH(", "&amp;$B38&amp;", ",", "&amp;'Giao nhận &amp; Theo dõi đơn'!$B$7:$B$500&amp;", ")),--('Giao nhận &amp; Theo dõi đơn'!$AT$7:$AT$500="N/A"))+SUMPRODUCT(--ISNUMBER(SEARCH(", "&amp;$B38&amp;", ",", "&amp;'Bảng tin &amp; Chi tiết tin'!$B$7:$B$500&amp;", ")),--('Bảng tin &amp; Chi tiết tin'!$AT$7:$AT$500="N/A"))+SUMPRODUCT(--ISNUMBER(SEARCH(", "&amp;$B38&amp;", ",", "&amp;'Quà cảm ơn'!$B$7:$B$500&amp;", ")),--('Quà cảm ơn'!$AT$7:$AT$500="N/A"))+SUMPRODUCT(--ISNUMBER(SEARCH(", "&amp;$B38&amp;", ",", "&amp;'Trang chủ'!$B$7:$B$500&amp;", ")),--('Trang chủ'!$AT$7:$AT$500="N/A"))+SUMPRODUCT(--ISNUMBER(SEARCH(", "&amp;$B38&amp;", ",", "&amp;'Thông báo'!$B$7:$B$500&amp;", ")),--('Thông báo'!$AT$7:$AT$500="N/A"))+SUMPRODUCT(--ISNUMBER(SEARCH(", "&amp;$B38&amp;", ",", "&amp;'Đăng tin &amp; Quản lý tin'!$B$7:$B$500&amp;", ")),--('Đăng tin &amp; Quản lý tin'!$AT$7:$AT$500="N/A"))+SUMPRODUCT(--ISNUMBER(SEARCH(", "&amp;$B38&amp;", ",", "&amp;'Trust &amp; Safety'!$B$7:$B$500&amp;", ")),--('Trust &amp; Safety'!$AT$7:$AT$500="N/A"))+SUMPRODUCT(--ISNUMBER(SEARCH(", "&amp;$B38&amp;", ",", "&amp;'Tài khoản &amp; Hồ sơ'!$B$7:$B$500&amp;", ")),--('Tài khoản &amp; Hồ sơ'!$AT$7:$AT$500="N/A"))</f>
        <v>0</v>
      </c>
      <c r="K38" s="52" t="n">
        <f aca="false">IFERROR(F38/E38,0)</f>
        <v>0</v>
      </c>
      <c r="L38" s="123" t="str">
        <f aca="false">IF(E38=0,"Chưa có TC (gap)",IF(H38&gt;0,"Có lỗi (Fail)",IF(I38&gt;0,"Bị block",IF(F38&lt;E38,"Đang test",IF(G38=0,"Không áp dụng (N/A)","Đã test xong")))))</f>
        <v>Đang test</v>
      </c>
      <c r="AB38" s="1" t="s">
        <v>432</v>
      </c>
    </row>
    <row r="39" customFormat="false" ht="15.75" hidden="false" customHeight="true" outlineLevel="0" collapsed="false">
      <c r="B39" s="175" t="s">
        <v>514</v>
      </c>
      <c r="C39" s="176" t="s">
        <v>515</v>
      </c>
      <c r="D39" s="123" t="s">
        <v>516</v>
      </c>
      <c r="E39" s="51" t="n">
        <f aca="false">SUMPRODUCT(--ISNUMBER(SEARCH(", "&amp;$B39&amp;", ",", "&amp;'Hoạt động (Đơn của tôi)'!$B$7:$B$500&amp;", ")))+SUMPRODUCT(--ISNUMBER(SEARCH(", "&amp;$B39&amp;", ",", "&amp;'Ghép nối'!$B$7:$B$500&amp;", ")))+SUMPRODUCT(--ISNUMBER(SEARCH(", "&amp;$B39&amp;", ",", "&amp;'Huỷ đơn - Huỷ nhận đơn'!$B$7:$B$500&amp;", ")))+SUMPRODUCT(--ISNUMBER(SEARCH(", "&amp;$B39&amp;", ",", "&amp;'Giao nhận &amp; Theo dõi đơn'!$B$7:$B$500&amp;", ")))+SUMPRODUCT(--ISNUMBER(SEARCH(", "&amp;$B39&amp;", ",", "&amp;'Bảng tin &amp; Chi tiết tin'!$B$7:$B$500&amp;", ")))+SUMPRODUCT(--ISNUMBER(SEARCH(", "&amp;$B39&amp;", ",", "&amp;'Quà cảm ơn'!$B$7:$B$500&amp;", ")))+SUMPRODUCT(--ISNUMBER(SEARCH(", "&amp;$B39&amp;", ",", "&amp;'Trang chủ'!$B$7:$B$500&amp;", ")))+SUMPRODUCT(--ISNUMBER(SEARCH(", "&amp;$B39&amp;", ",", "&amp;'Thông báo'!$B$7:$B$500&amp;", ")))+SUMPRODUCT(--ISNUMBER(SEARCH(", "&amp;$B39&amp;", ",", "&amp;'Đăng tin &amp; Quản lý tin'!$B$7:$B$500&amp;", ")))+SUMPRODUCT(--ISNUMBER(SEARCH(", "&amp;$B39&amp;", ",", "&amp;'Trust &amp; Safety'!$B$7:$B$500&amp;", ")))+SUMPRODUCT(--ISNUMBER(SEARCH(", "&amp;$B39&amp;", ",", "&amp;'Tài khoản &amp; Hồ sơ'!$B$7:$B$500&amp;", ")))</f>
        <v>1</v>
      </c>
      <c r="F39" s="51" t="n">
        <f aca="false">SUMPRODUCT(--ISNUMBER(SEARCH(", "&amp;$B39&amp;", ",", "&amp;'Hoạt động (Đơn của tôi)'!$B$7:$B$500&amp;", ")),--('Hoạt động (Đơn của tôi)'!$AT$7:$AT$500&lt;&gt;""))+SUMPRODUCT(--ISNUMBER(SEARCH(", "&amp;$B39&amp;", ",", "&amp;'Ghép nối'!$B$7:$B$500&amp;", ")),--('Ghép nối'!$AT$7:$AT$500&lt;&gt;""))+SUMPRODUCT(--ISNUMBER(SEARCH(", "&amp;$B39&amp;", ",", "&amp;'Huỷ đơn - Huỷ nhận đơn'!$B$7:$B$500&amp;", ")),--('Huỷ đơn - Huỷ nhận đơn'!$AT$7:$AT$500&lt;&gt;""))+SUMPRODUCT(--ISNUMBER(SEARCH(", "&amp;$B39&amp;", ",", "&amp;'Giao nhận &amp; Theo dõi đơn'!$B$7:$B$500&amp;", ")),--('Giao nhận &amp; Theo dõi đơn'!$AT$7:$AT$500&lt;&gt;""))+SUMPRODUCT(--ISNUMBER(SEARCH(", "&amp;$B39&amp;", ",", "&amp;'Bảng tin &amp; Chi tiết tin'!$B$7:$B$500&amp;", ")),--('Bảng tin &amp; Chi tiết tin'!$AT$7:$AT$500&lt;&gt;""))+SUMPRODUCT(--ISNUMBER(SEARCH(", "&amp;$B39&amp;", ",", "&amp;'Quà cảm ơn'!$B$7:$B$500&amp;", ")),--('Quà cảm ơn'!$AT$7:$AT$500&lt;&gt;""))+SUMPRODUCT(--ISNUMBER(SEARCH(", "&amp;$B39&amp;", ",", "&amp;'Trang chủ'!$B$7:$B$500&amp;", ")),--('Trang chủ'!$AT$7:$AT$500&lt;&gt;""))+SUMPRODUCT(--ISNUMBER(SEARCH(", "&amp;$B39&amp;", ",", "&amp;'Thông báo'!$B$7:$B$500&amp;", ")),--('Thông báo'!$AT$7:$AT$500&lt;&gt;""))+SUMPRODUCT(--ISNUMBER(SEARCH(", "&amp;$B39&amp;", ",", "&amp;'Đăng tin &amp; Quản lý tin'!$B$7:$B$500&amp;", ")),--('Đăng tin &amp; Quản lý tin'!$AT$7:$AT$500&lt;&gt;""))+SUMPRODUCT(--ISNUMBER(SEARCH(", "&amp;$B39&amp;", ",", "&amp;'Trust &amp; Safety'!$B$7:$B$500&amp;", ")),--('Trust &amp; Safety'!$AT$7:$AT$500&lt;&gt;""))+SUMPRODUCT(--ISNUMBER(SEARCH(", "&amp;$B39&amp;", ",", "&amp;'Tài khoản &amp; Hồ sơ'!$B$7:$B$500&amp;", ")),--('Tài khoản &amp; Hồ sơ'!$AT$7:$AT$500&lt;&gt;""))</f>
        <v>0</v>
      </c>
      <c r="G39" s="51" t="n">
        <f aca="false">SUMPRODUCT(--ISNUMBER(SEARCH(", "&amp;$B39&amp;", ",", "&amp;'Hoạt động (Đơn của tôi)'!$B$7:$B$500&amp;", ")),--('Hoạt động (Đơn của tôi)'!$AT$7:$AT$500="Pass"))+SUMPRODUCT(--ISNUMBER(SEARCH(", "&amp;$B39&amp;", ",", "&amp;'Ghép nối'!$B$7:$B$500&amp;", ")),--('Ghép nối'!$AT$7:$AT$500="Pass"))+SUMPRODUCT(--ISNUMBER(SEARCH(", "&amp;$B39&amp;", ",", "&amp;'Huỷ đơn - Huỷ nhận đơn'!$B$7:$B$500&amp;", ")),--('Huỷ đơn - Huỷ nhận đơn'!$AT$7:$AT$500="Pass"))+SUMPRODUCT(--ISNUMBER(SEARCH(", "&amp;$B39&amp;", ",", "&amp;'Giao nhận &amp; Theo dõi đơn'!$B$7:$B$500&amp;", ")),--('Giao nhận &amp; Theo dõi đơn'!$AT$7:$AT$500="Pass"))+SUMPRODUCT(--ISNUMBER(SEARCH(", "&amp;$B39&amp;", ",", "&amp;'Bảng tin &amp; Chi tiết tin'!$B$7:$B$500&amp;", ")),--('Bảng tin &amp; Chi tiết tin'!$AT$7:$AT$500="Pass"))+SUMPRODUCT(--ISNUMBER(SEARCH(", "&amp;$B39&amp;", ",", "&amp;'Quà cảm ơn'!$B$7:$B$500&amp;", ")),--('Quà cảm ơn'!$AT$7:$AT$500="Pass"))+SUMPRODUCT(--ISNUMBER(SEARCH(", "&amp;$B39&amp;", ",", "&amp;'Trang chủ'!$B$7:$B$500&amp;", ")),--('Trang chủ'!$AT$7:$AT$500="Pass"))+SUMPRODUCT(--ISNUMBER(SEARCH(", "&amp;$B39&amp;", ",", "&amp;'Thông báo'!$B$7:$B$500&amp;", ")),--('Thông báo'!$AT$7:$AT$500="Pass"))+SUMPRODUCT(--ISNUMBER(SEARCH(", "&amp;$B39&amp;", ",", "&amp;'Đăng tin &amp; Quản lý tin'!$B$7:$B$500&amp;", ")),--('Đăng tin &amp; Quản lý tin'!$AT$7:$AT$500="Pass"))+SUMPRODUCT(--ISNUMBER(SEARCH(", "&amp;$B39&amp;", ",", "&amp;'Trust &amp; Safety'!$B$7:$B$500&amp;", ")),--('Trust &amp; Safety'!$AT$7:$AT$500="Pass"))+SUMPRODUCT(--ISNUMBER(SEARCH(", "&amp;$B39&amp;", ",", "&amp;'Tài khoản &amp; Hồ sơ'!$B$7:$B$500&amp;", ")),--('Tài khoản &amp; Hồ sơ'!$AT$7:$AT$500="Pass"))</f>
        <v>0</v>
      </c>
      <c r="H39" s="51" t="n">
        <f aca="false">SUMPRODUCT(--ISNUMBER(SEARCH(", "&amp;$B39&amp;", ",", "&amp;'Hoạt động (Đơn của tôi)'!$B$7:$B$500&amp;", ")),--('Hoạt động (Đơn của tôi)'!$AT$7:$AT$500="Fail"))+SUMPRODUCT(--ISNUMBER(SEARCH(", "&amp;$B39&amp;", ",", "&amp;'Ghép nối'!$B$7:$B$500&amp;", ")),--('Ghép nối'!$AT$7:$AT$500="Fail"))+SUMPRODUCT(--ISNUMBER(SEARCH(", "&amp;$B39&amp;", ",", "&amp;'Huỷ đơn - Huỷ nhận đơn'!$B$7:$B$500&amp;", ")),--('Huỷ đơn - Huỷ nhận đơn'!$AT$7:$AT$500="Fail"))+SUMPRODUCT(--ISNUMBER(SEARCH(", "&amp;$B39&amp;", ",", "&amp;'Giao nhận &amp; Theo dõi đơn'!$B$7:$B$500&amp;", ")),--('Giao nhận &amp; Theo dõi đơn'!$AT$7:$AT$500="Fail"))+SUMPRODUCT(--ISNUMBER(SEARCH(", "&amp;$B39&amp;", ",", "&amp;'Bảng tin &amp; Chi tiết tin'!$B$7:$B$500&amp;", ")),--('Bảng tin &amp; Chi tiết tin'!$AT$7:$AT$500="Fail"))+SUMPRODUCT(--ISNUMBER(SEARCH(", "&amp;$B39&amp;", ",", "&amp;'Quà cảm ơn'!$B$7:$B$500&amp;", ")),--('Quà cảm ơn'!$AT$7:$AT$500="Fail"))+SUMPRODUCT(--ISNUMBER(SEARCH(", "&amp;$B39&amp;", ",", "&amp;'Trang chủ'!$B$7:$B$500&amp;", ")),--('Trang chủ'!$AT$7:$AT$500="Fail"))+SUMPRODUCT(--ISNUMBER(SEARCH(", "&amp;$B39&amp;", ",", "&amp;'Thông báo'!$B$7:$B$500&amp;", ")),--('Thông báo'!$AT$7:$AT$500="Fail"))+SUMPRODUCT(--ISNUMBER(SEARCH(", "&amp;$B39&amp;", ",", "&amp;'Đăng tin &amp; Quản lý tin'!$B$7:$B$500&amp;", ")),--('Đăng tin &amp; Quản lý tin'!$AT$7:$AT$500="Fail"))+SUMPRODUCT(--ISNUMBER(SEARCH(", "&amp;$B39&amp;", ",", "&amp;'Trust &amp; Safety'!$B$7:$B$500&amp;", ")),--('Trust &amp; Safety'!$AT$7:$AT$500="Fail"))+SUMPRODUCT(--ISNUMBER(SEARCH(", "&amp;$B39&amp;", ",", "&amp;'Tài khoản &amp; Hồ sơ'!$B$7:$B$500&amp;", ")),--('Tài khoản &amp; Hồ sơ'!$AT$7:$AT$500="Fail"))</f>
        <v>0</v>
      </c>
      <c r="I39" s="51" t="n">
        <f aca="false">SUMPRODUCT(--ISNUMBER(SEARCH(", "&amp;$B39&amp;", ",", "&amp;'Hoạt động (Đơn của tôi)'!$B$7:$B$500&amp;", ")),--('Hoạt động (Đơn của tôi)'!$AT$7:$AT$500="Block"))+SUMPRODUCT(--ISNUMBER(SEARCH(", "&amp;$B39&amp;", ",", "&amp;'Ghép nối'!$B$7:$B$500&amp;", ")),--('Ghép nối'!$AT$7:$AT$500="Block"))+SUMPRODUCT(--ISNUMBER(SEARCH(", "&amp;$B39&amp;", ",", "&amp;'Huỷ đơn - Huỷ nhận đơn'!$B$7:$B$500&amp;", ")),--('Huỷ đơn - Huỷ nhận đơn'!$AT$7:$AT$500="Block"))+SUMPRODUCT(--ISNUMBER(SEARCH(", "&amp;$B39&amp;", ",", "&amp;'Giao nhận &amp; Theo dõi đơn'!$B$7:$B$500&amp;", ")),--('Giao nhận &amp; Theo dõi đơn'!$AT$7:$AT$500="Block"))+SUMPRODUCT(--ISNUMBER(SEARCH(", "&amp;$B39&amp;", ",", "&amp;'Bảng tin &amp; Chi tiết tin'!$B$7:$B$500&amp;", ")),--('Bảng tin &amp; Chi tiết tin'!$AT$7:$AT$500="Block"))+SUMPRODUCT(--ISNUMBER(SEARCH(", "&amp;$B39&amp;", ",", "&amp;'Quà cảm ơn'!$B$7:$B$500&amp;", ")),--('Quà cảm ơn'!$AT$7:$AT$500="Block"))+SUMPRODUCT(--ISNUMBER(SEARCH(", "&amp;$B39&amp;", ",", "&amp;'Trang chủ'!$B$7:$B$500&amp;", ")),--('Trang chủ'!$AT$7:$AT$500="Block"))+SUMPRODUCT(--ISNUMBER(SEARCH(", "&amp;$B39&amp;", ",", "&amp;'Thông báo'!$B$7:$B$500&amp;", ")),--('Thông báo'!$AT$7:$AT$500="Block"))+SUMPRODUCT(--ISNUMBER(SEARCH(", "&amp;$B39&amp;", ",", "&amp;'Đăng tin &amp; Quản lý tin'!$B$7:$B$500&amp;", ")),--('Đăng tin &amp; Quản lý tin'!$AT$7:$AT$500="Block"))+SUMPRODUCT(--ISNUMBER(SEARCH(", "&amp;$B39&amp;", ",", "&amp;'Trust &amp; Safety'!$B$7:$B$500&amp;", ")),--('Trust &amp; Safety'!$AT$7:$AT$500="Block"))+SUMPRODUCT(--ISNUMBER(SEARCH(", "&amp;$B39&amp;", ",", "&amp;'Tài khoản &amp; Hồ sơ'!$B$7:$B$500&amp;", ")),--('Tài khoản &amp; Hồ sơ'!$AT$7:$AT$500="Block"))</f>
        <v>0</v>
      </c>
      <c r="J39" s="51" t="n">
        <f aca="false">SUMPRODUCT(--ISNUMBER(SEARCH(", "&amp;$B39&amp;", ",", "&amp;'Hoạt động (Đơn của tôi)'!$B$7:$B$500&amp;", ")),--('Hoạt động (Đơn của tôi)'!$AT$7:$AT$500="N/A"))+SUMPRODUCT(--ISNUMBER(SEARCH(", "&amp;$B39&amp;", ",", "&amp;'Ghép nối'!$B$7:$B$500&amp;", ")),--('Ghép nối'!$AT$7:$AT$500="N/A"))+SUMPRODUCT(--ISNUMBER(SEARCH(", "&amp;$B39&amp;", ",", "&amp;'Huỷ đơn - Huỷ nhận đơn'!$B$7:$B$500&amp;", ")),--('Huỷ đơn - Huỷ nhận đơn'!$AT$7:$AT$500="N/A"))+SUMPRODUCT(--ISNUMBER(SEARCH(", "&amp;$B39&amp;", ",", "&amp;'Giao nhận &amp; Theo dõi đơn'!$B$7:$B$500&amp;", ")),--('Giao nhận &amp; Theo dõi đơn'!$AT$7:$AT$500="N/A"))+SUMPRODUCT(--ISNUMBER(SEARCH(", "&amp;$B39&amp;", ",", "&amp;'Bảng tin &amp; Chi tiết tin'!$B$7:$B$500&amp;", ")),--('Bảng tin &amp; Chi tiết tin'!$AT$7:$AT$500="N/A"))+SUMPRODUCT(--ISNUMBER(SEARCH(", "&amp;$B39&amp;", ",", "&amp;'Quà cảm ơn'!$B$7:$B$500&amp;", ")),--('Quà cảm ơn'!$AT$7:$AT$500="N/A"))+SUMPRODUCT(--ISNUMBER(SEARCH(", "&amp;$B39&amp;", ",", "&amp;'Trang chủ'!$B$7:$B$500&amp;", ")),--('Trang chủ'!$AT$7:$AT$500="N/A"))+SUMPRODUCT(--ISNUMBER(SEARCH(", "&amp;$B39&amp;", ",", "&amp;'Thông báo'!$B$7:$B$500&amp;", ")),--('Thông báo'!$AT$7:$AT$500="N/A"))+SUMPRODUCT(--ISNUMBER(SEARCH(", "&amp;$B39&amp;", ",", "&amp;'Đăng tin &amp; Quản lý tin'!$B$7:$B$500&amp;", ")),--('Đăng tin &amp; Quản lý tin'!$AT$7:$AT$500="N/A"))+SUMPRODUCT(--ISNUMBER(SEARCH(", "&amp;$B39&amp;", ",", "&amp;'Trust &amp; Safety'!$B$7:$B$500&amp;", ")),--('Trust &amp; Safety'!$AT$7:$AT$500="N/A"))+SUMPRODUCT(--ISNUMBER(SEARCH(", "&amp;$B39&amp;", ",", "&amp;'Tài khoản &amp; Hồ sơ'!$B$7:$B$500&amp;", ")),--('Tài khoản &amp; Hồ sơ'!$AT$7:$AT$500="N/A"))</f>
        <v>0</v>
      </c>
      <c r="K39" s="52" t="n">
        <f aca="false">IFERROR(F39/E39,0)</f>
        <v>0</v>
      </c>
      <c r="L39" s="123" t="str">
        <f aca="false">IF(E39=0,"Chưa có TC (gap)",IF(H39&gt;0,"Có lỗi (Fail)",IF(I39&gt;0,"Bị block",IF(F39&lt;E39,"Đang test",IF(G39=0,"Không áp dụng (N/A)","Đã test xong")))))</f>
        <v>Đang test</v>
      </c>
      <c r="AB39" s="1" t="s">
        <v>432</v>
      </c>
    </row>
    <row r="40" customFormat="false" ht="15.75" hidden="false" customHeight="true" outlineLevel="0" collapsed="false">
      <c r="B40" s="175" t="s">
        <v>517</v>
      </c>
      <c r="C40" s="176" t="s">
        <v>518</v>
      </c>
      <c r="D40" s="123" t="s">
        <v>519</v>
      </c>
      <c r="E40" s="51" t="n">
        <f aca="false">SUMPRODUCT(--ISNUMBER(SEARCH(", "&amp;$B40&amp;", ",", "&amp;'Hoạt động (Đơn của tôi)'!$B$7:$B$500&amp;", ")))+SUMPRODUCT(--ISNUMBER(SEARCH(", "&amp;$B40&amp;", ",", "&amp;'Ghép nối'!$B$7:$B$500&amp;", ")))+SUMPRODUCT(--ISNUMBER(SEARCH(", "&amp;$B40&amp;", ",", "&amp;'Huỷ đơn - Huỷ nhận đơn'!$B$7:$B$500&amp;", ")))+SUMPRODUCT(--ISNUMBER(SEARCH(", "&amp;$B40&amp;", ",", "&amp;'Giao nhận &amp; Theo dõi đơn'!$B$7:$B$500&amp;", ")))+SUMPRODUCT(--ISNUMBER(SEARCH(", "&amp;$B40&amp;", ",", "&amp;'Bảng tin &amp; Chi tiết tin'!$B$7:$B$500&amp;", ")))+SUMPRODUCT(--ISNUMBER(SEARCH(", "&amp;$B40&amp;", ",", "&amp;'Quà cảm ơn'!$B$7:$B$500&amp;", ")))+SUMPRODUCT(--ISNUMBER(SEARCH(", "&amp;$B40&amp;", ",", "&amp;'Trang chủ'!$B$7:$B$500&amp;", ")))+SUMPRODUCT(--ISNUMBER(SEARCH(", "&amp;$B40&amp;", ",", "&amp;'Thông báo'!$B$7:$B$500&amp;", ")))+SUMPRODUCT(--ISNUMBER(SEARCH(", "&amp;$B40&amp;", ",", "&amp;'Đăng tin &amp; Quản lý tin'!$B$7:$B$500&amp;", ")))+SUMPRODUCT(--ISNUMBER(SEARCH(", "&amp;$B40&amp;", ",", "&amp;'Trust &amp; Safety'!$B$7:$B$500&amp;", ")))+SUMPRODUCT(--ISNUMBER(SEARCH(", "&amp;$B40&amp;", ",", "&amp;'Tài khoản &amp; Hồ sơ'!$B$7:$B$500&amp;", ")))</f>
        <v>2</v>
      </c>
      <c r="F40" s="51" t="n">
        <f aca="false">SUMPRODUCT(--ISNUMBER(SEARCH(", "&amp;$B40&amp;", ",", "&amp;'Hoạt động (Đơn của tôi)'!$B$7:$B$500&amp;", ")),--('Hoạt động (Đơn của tôi)'!$AT$7:$AT$500&lt;&gt;""))+SUMPRODUCT(--ISNUMBER(SEARCH(", "&amp;$B40&amp;", ",", "&amp;'Ghép nối'!$B$7:$B$500&amp;", ")),--('Ghép nối'!$AT$7:$AT$500&lt;&gt;""))+SUMPRODUCT(--ISNUMBER(SEARCH(", "&amp;$B40&amp;", ",", "&amp;'Huỷ đơn - Huỷ nhận đơn'!$B$7:$B$500&amp;", ")),--('Huỷ đơn - Huỷ nhận đơn'!$AT$7:$AT$500&lt;&gt;""))+SUMPRODUCT(--ISNUMBER(SEARCH(", "&amp;$B40&amp;", ",", "&amp;'Giao nhận &amp; Theo dõi đơn'!$B$7:$B$500&amp;", ")),--('Giao nhận &amp; Theo dõi đơn'!$AT$7:$AT$500&lt;&gt;""))+SUMPRODUCT(--ISNUMBER(SEARCH(", "&amp;$B40&amp;", ",", "&amp;'Bảng tin &amp; Chi tiết tin'!$B$7:$B$500&amp;", ")),--('Bảng tin &amp; Chi tiết tin'!$AT$7:$AT$500&lt;&gt;""))+SUMPRODUCT(--ISNUMBER(SEARCH(", "&amp;$B40&amp;", ",", "&amp;'Quà cảm ơn'!$B$7:$B$500&amp;", ")),--('Quà cảm ơn'!$AT$7:$AT$500&lt;&gt;""))+SUMPRODUCT(--ISNUMBER(SEARCH(", "&amp;$B40&amp;", ",", "&amp;'Trang chủ'!$B$7:$B$500&amp;", ")),--('Trang chủ'!$AT$7:$AT$500&lt;&gt;""))+SUMPRODUCT(--ISNUMBER(SEARCH(", "&amp;$B40&amp;", ",", "&amp;'Thông báo'!$B$7:$B$500&amp;", ")),--('Thông báo'!$AT$7:$AT$500&lt;&gt;""))+SUMPRODUCT(--ISNUMBER(SEARCH(", "&amp;$B40&amp;", ",", "&amp;'Đăng tin &amp; Quản lý tin'!$B$7:$B$500&amp;", ")),--('Đăng tin &amp; Quản lý tin'!$AT$7:$AT$500&lt;&gt;""))+SUMPRODUCT(--ISNUMBER(SEARCH(", "&amp;$B40&amp;", ",", "&amp;'Trust &amp; Safety'!$B$7:$B$500&amp;", ")),--('Trust &amp; Safety'!$AT$7:$AT$500&lt;&gt;""))+SUMPRODUCT(--ISNUMBER(SEARCH(", "&amp;$B40&amp;", ",", "&amp;'Tài khoản &amp; Hồ sơ'!$B$7:$B$500&amp;", ")),--('Tài khoản &amp; Hồ sơ'!$AT$7:$AT$500&lt;&gt;""))</f>
        <v>0</v>
      </c>
      <c r="G40" s="51" t="n">
        <f aca="false">SUMPRODUCT(--ISNUMBER(SEARCH(", "&amp;$B40&amp;", ",", "&amp;'Hoạt động (Đơn của tôi)'!$B$7:$B$500&amp;", ")),--('Hoạt động (Đơn của tôi)'!$AT$7:$AT$500="Pass"))+SUMPRODUCT(--ISNUMBER(SEARCH(", "&amp;$B40&amp;", ",", "&amp;'Ghép nối'!$B$7:$B$500&amp;", ")),--('Ghép nối'!$AT$7:$AT$500="Pass"))+SUMPRODUCT(--ISNUMBER(SEARCH(", "&amp;$B40&amp;", ",", "&amp;'Huỷ đơn - Huỷ nhận đơn'!$B$7:$B$500&amp;", ")),--('Huỷ đơn - Huỷ nhận đơn'!$AT$7:$AT$500="Pass"))+SUMPRODUCT(--ISNUMBER(SEARCH(", "&amp;$B40&amp;", ",", "&amp;'Giao nhận &amp; Theo dõi đơn'!$B$7:$B$500&amp;", ")),--('Giao nhận &amp; Theo dõi đơn'!$AT$7:$AT$500="Pass"))+SUMPRODUCT(--ISNUMBER(SEARCH(", "&amp;$B40&amp;", ",", "&amp;'Bảng tin &amp; Chi tiết tin'!$B$7:$B$500&amp;", ")),--('Bảng tin &amp; Chi tiết tin'!$AT$7:$AT$500="Pass"))+SUMPRODUCT(--ISNUMBER(SEARCH(", "&amp;$B40&amp;", ",", "&amp;'Quà cảm ơn'!$B$7:$B$500&amp;", ")),--('Quà cảm ơn'!$AT$7:$AT$500="Pass"))+SUMPRODUCT(--ISNUMBER(SEARCH(", "&amp;$B40&amp;", ",", "&amp;'Trang chủ'!$B$7:$B$500&amp;", ")),--('Trang chủ'!$AT$7:$AT$500="Pass"))+SUMPRODUCT(--ISNUMBER(SEARCH(", "&amp;$B40&amp;", ",", "&amp;'Thông báo'!$B$7:$B$500&amp;", ")),--('Thông báo'!$AT$7:$AT$500="Pass"))+SUMPRODUCT(--ISNUMBER(SEARCH(", "&amp;$B40&amp;", ",", "&amp;'Đăng tin &amp; Quản lý tin'!$B$7:$B$500&amp;", ")),--('Đăng tin &amp; Quản lý tin'!$AT$7:$AT$500="Pass"))+SUMPRODUCT(--ISNUMBER(SEARCH(", "&amp;$B40&amp;", ",", "&amp;'Trust &amp; Safety'!$B$7:$B$500&amp;", ")),--('Trust &amp; Safety'!$AT$7:$AT$500="Pass"))+SUMPRODUCT(--ISNUMBER(SEARCH(", "&amp;$B40&amp;", ",", "&amp;'Tài khoản &amp; Hồ sơ'!$B$7:$B$500&amp;", ")),--('Tài khoản &amp; Hồ sơ'!$AT$7:$AT$500="Pass"))</f>
        <v>0</v>
      </c>
      <c r="H40" s="51" t="n">
        <f aca="false">SUMPRODUCT(--ISNUMBER(SEARCH(", "&amp;$B40&amp;", ",", "&amp;'Hoạt động (Đơn của tôi)'!$B$7:$B$500&amp;", ")),--('Hoạt động (Đơn của tôi)'!$AT$7:$AT$500="Fail"))+SUMPRODUCT(--ISNUMBER(SEARCH(", "&amp;$B40&amp;", ",", "&amp;'Ghép nối'!$B$7:$B$500&amp;", ")),--('Ghép nối'!$AT$7:$AT$500="Fail"))+SUMPRODUCT(--ISNUMBER(SEARCH(", "&amp;$B40&amp;", ",", "&amp;'Huỷ đơn - Huỷ nhận đơn'!$B$7:$B$500&amp;", ")),--('Huỷ đơn - Huỷ nhận đơn'!$AT$7:$AT$500="Fail"))+SUMPRODUCT(--ISNUMBER(SEARCH(", "&amp;$B40&amp;", ",", "&amp;'Giao nhận &amp; Theo dõi đơn'!$B$7:$B$500&amp;", ")),--('Giao nhận &amp; Theo dõi đơn'!$AT$7:$AT$500="Fail"))+SUMPRODUCT(--ISNUMBER(SEARCH(", "&amp;$B40&amp;", ",", "&amp;'Bảng tin &amp; Chi tiết tin'!$B$7:$B$500&amp;", ")),--('Bảng tin &amp; Chi tiết tin'!$AT$7:$AT$500="Fail"))+SUMPRODUCT(--ISNUMBER(SEARCH(", "&amp;$B40&amp;", ",", "&amp;'Quà cảm ơn'!$B$7:$B$500&amp;", ")),--('Quà cảm ơn'!$AT$7:$AT$500="Fail"))+SUMPRODUCT(--ISNUMBER(SEARCH(", "&amp;$B40&amp;", ",", "&amp;'Trang chủ'!$B$7:$B$500&amp;", ")),--('Trang chủ'!$AT$7:$AT$500="Fail"))+SUMPRODUCT(--ISNUMBER(SEARCH(", "&amp;$B40&amp;", ",", "&amp;'Thông báo'!$B$7:$B$500&amp;", ")),--('Thông báo'!$AT$7:$AT$500="Fail"))+SUMPRODUCT(--ISNUMBER(SEARCH(", "&amp;$B40&amp;", ",", "&amp;'Đăng tin &amp; Quản lý tin'!$B$7:$B$500&amp;", ")),--('Đăng tin &amp; Quản lý tin'!$AT$7:$AT$500="Fail"))+SUMPRODUCT(--ISNUMBER(SEARCH(", "&amp;$B40&amp;", ",", "&amp;'Trust &amp; Safety'!$B$7:$B$500&amp;", ")),--('Trust &amp; Safety'!$AT$7:$AT$500="Fail"))+SUMPRODUCT(--ISNUMBER(SEARCH(", "&amp;$B40&amp;", ",", "&amp;'Tài khoản &amp; Hồ sơ'!$B$7:$B$500&amp;", ")),--('Tài khoản &amp; Hồ sơ'!$AT$7:$AT$500="Fail"))</f>
        <v>0</v>
      </c>
      <c r="I40" s="51" t="n">
        <f aca="false">SUMPRODUCT(--ISNUMBER(SEARCH(", "&amp;$B40&amp;", ",", "&amp;'Hoạt động (Đơn của tôi)'!$B$7:$B$500&amp;", ")),--('Hoạt động (Đơn của tôi)'!$AT$7:$AT$500="Block"))+SUMPRODUCT(--ISNUMBER(SEARCH(", "&amp;$B40&amp;", ",", "&amp;'Ghép nối'!$B$7:$B$500&amp;", ")),--('Ghép nối'!$AT$7:$AT$500="Block"))+SUMPRODUCT(--ISNUMBER(SEARCH(", "&amp;$B40&amp;", ",", "&amp;'Huỷ đơn - Huỷ nhận đơn'!$B$7:$B$500&amp;", ")),--('Huỷ đơn - Huỷ nhận đơn'!$AT$7:$AT$500="Block"))+SUMPRODUCT(--ISNUMBER(SEARCH(", "&amp;$B40&amp;", ",", "&amp;'Giao nhận &amp; Theo dõi đơn'!$B$7:$B$500&amp;", ")),--('Giao nhận &amp; Theo dõi đơn'!$AT$7:$AT$500="Block"))+SUMPRODUCT(--ISNUMBER(SEARCH(", "&amp;$B40&amp;", ",", "&amp;'Bảng tin &amp; Chi tiết tin'!$B$7:$B$500&amp;", ")),--('Bảng tin &amp; Chi tiết tin'!$AT$7:$AT$500="Block"))+SUMPRODUCT(--ISNUMBER(SEARCH(", "&amp;$B40&amp;", ",", "&amp;'Quà cảm ơn'!$B$7:$B$500&amp;", ")),--('Quà cảm ơn'!$AT$7:$AT$500="Block"))+SUMPRODUCT(--ISNUMBER(SEARCH(", "&amp;$B40&amp;", ",", "&amp;'Trang chủ'!$B$7:$B$500&amp;", ")),--('Trang chủ'!$AT$7:$AT$500="Block"))+SUMPRODUCT(--ISNUMBER(SEARCH(", "&amp;$B40&amp;", ",", "&amp;'Thông báo'!$B$7:$B$500&amp;", ")),--('Thông báo'!$AT$7:$AT$500="Block"))+SUMPRODUCT(--ISNUMBER(SEARCH(", "&amp;$B40&amp;", ",", "&amp;'Đăng tin &amp; Quản lý tin'!$B$7:$B$500&amp;", ")),--('Đăng tin &amp; Quản lý tin'!$AT$7:$AT$500="Block"))+SUMPRODUCT(--ISNUMBER(SEARCH(", "&amp;$B40&amp;", ",", "&amp;'Trust &amp; Safety'!$B$7:$B$500&amp;", ")),--('Trust &amp; Safety'!$AT$7:$AT$500="Block"))+SUMPRODUCT(--ISNUMBER(SEARCH(", "&amp;$B40&amp;", ",", "&amp;'Tài khoản &amp; Hồ sơ'!$B$7:$B$500&amp;", ")),--('Tài khoản &amp; Hồ sơ'!$AT$7:$AT$500="Block"))</f>
        <v>0</v>
      </c>
      <c r="J40" s="51" t="n">
        <f aca="false">SUMPRODUCT(--ISNUMBER(SEARCH(", "&amp;$B40&amp;", ",", "&amp;'Hoạt động (Đơn của tôi)'!$B$7:$B$500&amp;", ")),--('Hoạt động (Đơn của tôi)'!$AT$7:$AT$500="N/A"))+SUMPRODUCT(--ISNUMBER(SEARCH(", "&amp;$B40&amp;", ",", "&amp;'Ghép nối'!$B$7:$B$500&amp;", ")),--('Ghép nối'!$AT$7:$AT$500="N/A"))+SUMPRODUCT(--ISNUMBER(SEARCH(", "&amp;$B40&amp;", ",", "&amp;'Huỷ đơn - Huỷ nhận đơn'!$B$7:$B$500&amp;", ")),--('Huỷ đơn - Huỷ nhận đơn'!$AT$7:$AT$500="N/A"))+SUMPRODUCT(--ISNUMBER(SEARCH(", "&amp;$B40&amp;", ",", "&amp;'Giao nhận &amp; Theo dõi đơn'!$B$7:$B$500&amp;", ")),--('Giao nhận &amp; Theo dõi đơn'!$AT$7:$AT$500="N/A"))+SUMPRODUCT(--ISNUMBER(SEARCH(", "&amp;$B40&amp;", ",", "&amp;'Bảng tin &amp; Chi tiết tin'!$B$7:$B$500&amp;", ")),--('Bảng tin &amp; Chi tiết tin'!$AT$7:$AT$500="N/A"))+SUMPRODUCT(--ISNUMBER(SEARCH(", "&amp;$B40&amp;", ",", "&amp;'Quà cảm ơn'!$B$7:$B$500&amp;", ")),--('Quà cảm ơn'!$AT$7:$AT$500="N/A"))+SUMPRODUCT(--ISNUMBER(SEARCH(", "&amp;$B40&amp;", ",", "&amp;'Trang chủ'!$B$7:$B$500&amp;", ")),--('Trang chủ'!$AT$7:$AT$500="N/A"))+SUMPRODUCT(--ISNUMBER(SEARCH(", "&amp;$B40&amp;", ",", "&amp;'Thông báo'!$B$7:$B$500&amp;", ")),--('Thông báo'!$AT$7:$AT$500="N/A"))+SUMPRODUCT(--ISNUMBER(SEARCH(", "&amp;$B40&amp;", ",", "&amp;'Đăng tin &amp; Quản lý tin'!$B$7:$B$500&amp;", ")),--('Đăng tin &amp; Quản lý tin'!$AT$7:$AT$500="N/A"))+SUMPRODUCT(--ISNUMBER(SEARCH(", "&amp;$B40&amp;", ",", "&amp;'Trust &amp; Safety'!$B$7:$B$500&amp;", ")),--('Trust &amp; Safety'!$AT$7:$AT$500="N/A"))+SUMPRODUCT(--ISNUMBER(SEARCH(", "&amp;$B40&amp;", ",", "&amp;'Tài khoản &amp; Hồ sơ'!$B$7:$B$500&amp;", ")),--('Tài khoản &amp; Hồ sơ'!$AT$7:$AT$500="N/A"))</f>
        <v>0</v>
      </c>
      <c r="K40" s="52" t="n">
        <f aca="false">IFERROR(F40/E40,0)</f>
        <v>0</v>
      </c>
      <c r="L40" s="123" t="str">
        <f aca="false">IF(E40=0,"Chưa có TC (gap)",IF(H40&gt;0,"Có lỗi (Fail)",IF(I40&gt;0,"Bị block",IF(F40&lt;E40,"Đang test",IF(G40=0,"Không áp dụng (N/A)","Đã test xong")))))</f>
        <v>Đang test</v>
      </c>
      <c r="AB40" s="1" t="s">
        <v>432</v>
      </c>
    </row>
    <row r="41" customFormat="false" ht="15.75" hidden="false" customHeight="true" outlineLevel="0" collapsed="false">
      <c r="B41" s="175" t="s">
        <v>520</v>
      </c>
      <c r="C41" s="176" t="s">
        <v>521</v>
      </c>
      <c r="D41" s="123" t="s">
        <v>522</v>
      </c>
      <c r="E41" s="51" t="n">
        <f aca="false">SUMPRODUCT(--ISNUMBER(SEARCH(", "&amp;$B41&amp;", ",", "&amp;'Hoạt động (Đơn của tôi)'!$B$7:$B$500&amp;", ")))+SUMPRODUCT(--ISNUMBER(SEARCH(", "&amp;$B41&amp;", ",", "&amp;'Ghép nối'!$B$7:$B$500&amp;", ")))+SUMPRODUCT(--ISNUMBER(SEARCH(", "&amp;$B41&amp;", ",", "&amp;'Huỷ đơn - Huỷ nhận đơn'!$B$7:$B$500&amp;", ")))+SUMPRODUCT(--ISNUMBER(SEARCH(", "&amp;$B41&amp;", ",", "&amp;'Giao nhận &amp; Theo dõi đơn'!$B$7:$B$500&amp;", ")))+SUMPRODUCT(--ISNUMBER(SEARCH(", "&amp;$B41&amp;", ",", "&amp;'Bảng tin &amp; Chi tiết tin'!$B$7:$B$500&amp;", ")))+SUMPRODUCT(--ISNUMBER(SEARCH(", "&amp;$B41&amp;", ",", "&amp;'Quà cảm ơn'!$B$7:$B$500&amp;", ")))+SUMPRODUCT(--ISNUMBER(SEARCH(", "&amp;$B41&amp;", ",", "&amp;'Trang chủ'!$B$7:$B$500&amp;", ")))+SUMPRODUCT(--ISNUMBER(SEARCH(", "&amp;$B41&amp;", ",", "&amp;'Thông báo'!$B$7:$B$500&amp;", ")))+SUMPRODUCT(--ISNUMBER(SEARCH(", "&amp;$B41&amp;", ",", "&amp;'Đăng tin &amp; Quản lý tin'!$B$7:$B$500&amp;", ")))+SUMPRODUCT(--ISNUMBER(SEARCH(", "&amp;$B41&amp;", ",", "&amp;'Trust &amp; Safety'!$B$7:$B$500&amp;", ")))+SUMPRODUCT(--ISNUMBER(SEARCH(", "&amp;$B41&amp;", ",", "&amp;'Tài khoản &amp; Hồ sơ'!$B$7:$B$500&amp;", ")))</f>
        <v>1</v>
      </c>
      <c r="F41" s="51" t="n">
        <f aca="false">SUMPRODUCT(--ISNUMBER(SEARCH(", "&amp;$B41&amp;", ",", "&amp;'Hoạt động (Đơn của tôi)'!$B$7:$B$500&amp;", ")),--('Hoạt động (Đơn của tôi)'!$AT$7:$AT$500&lt;&gt;""))+SUMPRODUCT(--ISNUMBER(SEARCH(", "&amp;$B41&amp;", ",", "&amp;'Ghép nối'!$B$7:$B$500&amp;", ")),--('Ghép nối'!$AT$7:$AT$500&lt;&gt;""))+SUMPRODUCT(--ISNUMBER(SEARCH(", "&amp;$B41&amp;", ",", "&amp;'Huỷ đơn - Huỷ nhận đơn'!$B$7:$B$500&amp;", ")),--('Huỷ đơn - Huỷ nhận đơn'!$AT$7:$AT$500&lt;&gt;""))+SUMPRODUCT(--ISNUMBER(SEARCH(", "&amp;$B41&amp;", ",", "&amp;'Giao nhận &amp; Theo dõi đơn'!$B$7:$B$500&amp;", ")),--('Giao nhận &amp; Theo dõi đơn'!$AT$7:$AT$500&lt;&gt;""))+SUMPRODUCT(--ISNUMBER(SEARCH(", "&amp;$B41&amp;", ",", "&amp;'Bảng tin &amp; Chi tiết tin'!$B$7:$B$500&amp;", ")),--('Bảng tin &amp; Chi tiết tin'!$AT$7:$AT$500&lt;&gt;""))+SUMPRODUCT(--ISNUMBER(SEARCH(", "&amp;$B41&amp;", ",", "&amp;'Quà cảm ơn'!$B$7:$B$500&amp;", ")),--('Quà cảm ơn'!$AT$7:$AT$500&lt;&gt;""))+SUMPRODUCT(--ISNUMBER(SEARCH(", "&amp;$B41&amp;", ",", "&amp;'Trang chủ'!$B$7:$B$500&amp;", ")),--('Trang chủ'!$AT$7:$AT$500&lt;&gt;""))+SUMPRODUCT(--ISNUMBER(SEARCH(", "&amp;$B41&amp;", ",", "&amp;'Thông báo'!$B$7:$B$500&amp;", ")),--('Thông báo'!$AT$7:$AT$500&lt;&gt;""))+SUMPRODUCT(--ISNUMBER(SEARCH(", "&amp;$B41&amp;", ",", "&amp;'Đăng tin &amp; Quản lý tin'!$B$7:$B$500&amp;", ")),--('Đăng tin &amp; Quản lý tin'!$AT$7:$AT$500&lt;&gt;""))+SUMPRODUCT(--ISNUMBER(SEARCH(", "&amp;$B41&amp;", ",", "&amp;'Trust &amp; Safety'!$B$7:$B$500&amp;", ")),--('Trust &amp; Safety'!$AT$7:$AT$500&lt;&gt;""))+SUMPRODUCT(--ISNUMBER(SEARCH(", "&amp;$B41&amp;", ",", "&amp;'Tài khoản &amp; Hồ sơ'!$B$7:$B$500&amp;", ")),--('Tài khoản &amp; Hồ sơ'!$AT$7:$AT$500&lt;&gt;""))</f>
        <v>0</v>
      </c>
      <c r="G41" s="51" t="n">
        <f aca="false">SUMPRODUCT(--ISNUMBER(SEARCH(", "&amp;$B41&amp;", ",", "&amp;'Hoạt động (Đơn của tôi)'!$B$7:$B$500&amp;", ")),--('Hoạt động (Đơn của tôi)'!$AT$7:$AT$500="Pass"))+SUMPRODUCT(--ISNUMBER(SEARCH(", "&amp;$B41&amp;", ",", "&amp;'Ghép nối'!$B$7:$B$500&amp;", ")),--('Ghép nối'!$AT$7:$AT$500="Pass"))+SUMPRODUCT(--ISNUMBER(SEARCH(", "&amp;$B41&amp;", ",", "&amp;'Huỷ đơn - Huỷ nhận đơn'!$B$7:$B$500&amp;", ")),--('Huỷ đơn - Huỷ nhận đơn'!$AT$7:$AT$500="Pass"))+SUMPRODUCT(--ISNUMBER(SEARCH(", "&amp;$B41&amp;", ",", "&amp;'Giao nhận &amp; Theo dõi đơn'!$B$7:$B$500&amp;", ")),--('Giao nhận &amp; Theo dõi đơn'!$AT$7:$AT$500="Pass"))+SUMPRODUCT(--ISNUMBER(SEARCH(", "&amp;$B41&amp;", ",", "&amp;'Bảng tin &amp; Chi tiết tin'!$B$7:$B$500&amp;", ")),--('Bảng tin &amp; Chi tiết tin'!$AT$7:$AT$500="Pass"))+SUMPRODUCT(--ISNUMBER(SEARCH(", "&amp;$B41&amp;", ",", "&amp;'Quà cảm ơn'!$B$7:$B$500&amp;", ")),--('Quà cảm ơn'!$AT$7:$AT$500="Pass"))+SUMPRODUCT(--ISNUMBER(SEARCH(", "&amp;$B41&amp;", ",", "&amp;'Trang chủ'!$B$7:$B$500&amp;", ")),--('Trang chủ'!$AT$7:$AT$500="Pass"))+SUMPRODUCT(--ISNUMBER(SEARCH(", "&amp;$B41&amp;", ",", "&amp;'Thông báo'!$B$7:$B$500&amp;", ")),--('Thông báo'!$AT$7:$AT$500="Pass"))+SUMPRODUCT(--ISNUMBER(SEARCH(", "&amp;$B41&amp;", ",", "&amp;'Đăng tin &amp; Quản lý tin'!$B$7:$B$500&amp;", ")),--('Đăng tin &amp; Quản lý tin'!$AT$7:$AT$500="Pass"))+SUMPRODUCT(--ISNUMBER(SEARCH(", "&amp;$B41&amp;", ",", "&amp;'Trust &amp; Safety'!$B$7:$B$500&amp;", ")),--('Trust &amp; Safety'!$AT$7:$AT$500="Pass"))+SUMPRODUCT(--ISNUMBER(SEARCH(", "&amp;$B41&amp;", ",", "&amp;'Tài khoản &amp; Hồ sơ'!$B$7:$B$500&amp;", ")),--('Tài khoản &amp; Hồ sơ'!$AT$7:$AT$500="Pass"))</f>
        <v>0</v>
      </c>
      <c r="H41" s="51" t="n">
        <f aca="false">SUMPRODUCT(--ISNUMBER(SEARCH(", "&amp;$B41&amp;", ",", "&amp;'Hoạt động (Đơn của tôi)'!$B$7:$B$500&amp;", ")),--('Hoạt động (Đơn của tôi)'!$AT$7:$AT$500="Fail"))+SUMPRODUCT(--ISNUMBER(SEARCH(", "&amp;$B41&amp;", ",", "&amp;'Ghép nối'!$B$7:$B$500&amp;", ")),--('Ghép nối'!$AT$7:$AT$500="Fail"))+SUMPRODUCT(--ISNUMBER(SEARCH(", "&amp;$B41&amp;", ",", "&amp;'Huỷ đơn - Huỷ nhận đơn'!$B$7:$B$500&amp;", ")),--('Huỷ đơn - Huỷ nhận đơn'!$AT$7:$AT$500="Fail"))+SUMPRODUCT(--ISNUMBER(SEARCH(", "&amp;$B41&amp;", ",", "&amp;'Giao nhận &amp; Theo dõi đơn'!$B$7:$B$500&amp;", ")),--('Giao nhận &amp; Theo dõi đơn'!$AT$7:$AT$500="Fail"))+SUMPRODUCT(--ISNUMBER(SEARCH(", "&amp;$B41&amp;", ",", "&amp;'Bảng tin &amp; Chi tiết tin'!$B$7:$B$500&amp;", ")),--('Bảng tin &amp; Chi tiết tin'!$AT$7:$AT$500="Fail"))+SUMPRODUCT(--ISNUMBER(SEARCH(", "&amp;$B41&amp;", ",", "&amp;'Quà cảm ơn'!$B$7:$B$500&amp;", ")),--('Quà cảm ơn'!$AT$7:$AT$500="Fail"))+SUMPRODUCT(--ISNUMBER(SEARCH(", "&amp;$B41&amp;", ",", "&amp;'Trang chủ'!$B$7:$B$500&amp;", ")),--('Trang chủ'!$AT$7:$AT$500="Fail"))+SUMPRODUCT(--ISNUMBER(SEARCH(", "&amp;$B41&amp;", ",", "&amp;'Thông báo'!$B$7:$B$500&amp;", ")),--('Thông báo'!$AT$7:$AT$500="Fail"))+SUMPRODUCT(--ISNUMBER(SEARCH(", "&amp;$B41&amp;", ",", "&amp;'Đăng tin &amp; Quản lý tin'!$B$7:$B$500&amp;", ")),--('Đăng tin &amp; Quản lý tin'!$AT$7:$AT$500="Fail"))+SUMPRODUCT(--ISNUMBER(SEARCH(", "&amp;$B41&amp;", ",", "&amp;'Trust &amp; Safety'!$B$7:$B$500&amp;", ")),--('Trust &amp; Safety'!$AT$7:$AT$500="Fail"))+SUMPRODUCT(--ISNUMBER(SEARCH(", "&amp;$B41&amp;", ",", "&amp;'Tài khoản &amp; Hồ sơ'!$B$7:$B$500&amp;", ")),--('Tài khoản &amp; Hồ sơ'!$AT$7:$AT$500="Fail"))</f>
        <v>0</v>
      </c>
      <c r="I41" s="51" t="n">
        <f aca="false">SUMPRODUCT(--ISNUMBER(SEARCH(", "&amp;$B41&amp;", ",", "&amp;'Hoạt động (Đơn của tôi)'!$B$7:$B$500&amp;", ")),--('Hoạt động (Đơn của tôi)'!$AT$7:$AT$500="Block"))+SUMPRODUCT(--ISNUMBER(SEARCH(", "&amp;$B41&amp;", ",", "&amp;'Ghép nối'!$B$7:$B$500&amp;", ")),--('Ghép nối'!$AT$7:$AT$500="Block"))+SUMPRODUCT(--ISNUMBER(SEARCH(", "&amp;$B41&amp;", ",", "&amp;'Huỷ đơn - Huỷ nhận đơn'!$B$7:$B$500&amp;", ")),--('Huỷ đơn - Huỷ nhận đơn'!$AT$7:$AT$500="Block"))+SUMPRODUCT(--ISNUMBER(SEARCH(", "&amp;$B41&amp;", ",", "&amp;'Giao nhận &amp; Theo dõi đơn'!$B$7:$B$500&amp;", ")),--('Giao nhận &amp; Theo dõi đơn'!$AT$7:$AT$500="Block"))+SUMPRODUCT(--ISNUMBER(SEARCH(", "&amp;$B41&amp;", ",", "&amp;'Bảng tin &amp; Chi tiết tin'!$B$7:$B$500&amp;", ")),--('Bảng tin &amp; Chi tiết tin'!$AT$7:$AT$500="Block"))+SUMPRODUCT(--ISNUMBER(SEARCH(", "&amp;$B41&amp;", ",", "&amp;'Quà cảm ơn'!$B$7:$B$500&amp;", ")),--('Quà cảm ơn'!$AT$7:$AT$500="Block"))+SUMPRODUCT(--ISNUMBER(SEARCH(", "&amp;$B41&amp;", ",", "&amp;'Trang chủ'!$B$7:$B$500&amp;", ")),--('Trang chủ'!$AT$7:$AT$500="Block"))+SUMPRODUCT(--ISNUMBER(SEARCH(", "&amp;$B41&amp;", ",", "&amp;'Thông báo'!$B$7:$B$500&amp;", ")),--('Thông báo'!$AT$7:$AT$500="Block"))+SUMPRODUCT(--ISNUMBER(SEARCH(", "&amp;$B41&amp;", ",", "&amp;'Đăng tin &amp; Quản lý tin'!$B$7:$B$500&amp;", ")),--('Đăng tin &amp; Quản lý tin'!$AT$7:$AT$500="Block"))+SUMPRODUCT(--ISNUMBER(SEARCH(", "&amp;$B41&amp;", ",", "&amp;'Trust &amp; Safety'!$B$7:$B$500&amp;", ")),--('Trust &amp; Safety'!$AT$7:$AT$500="Block"))+SUMPRODUCT(--ISNUMBER(SEARCH(", "&amp;$B41&amp;", ",", "&amp;'Tài khoản &amp; Hồ sơ'!$B$7:$B$500&amp;", ")),--('Tài khoản &amp; Hồ sơ'!$AT$7:$AT$500="Block"))</f>
        <v>0</v>
      </c>
      <c r="J41" s="51" t="n">
        <f aca="false">SUMPRODUCT(--ISNUMBER(SEARCH(", "&amp;$B41&amp;", ",", "&amp;'Hoạt động (Đơn của tôi)'!$B$7:$B$500&amp;", ")),--('Hoạt động (Đơn của tôi)'!$AT$7:$AT$500="N/A"))+SUMPRODUCT(--ISNUMBER(SEARCH(", "&amp;$B41&amp;", ",", "&amp;'Ghép nối'!$B$7:$B$500&amp;", ")),--('Ghép nối'!$AT$7:$AT$500="N/A"))+SUMPRODUCT(--ISNUMBER(SEARCH(", "&amp;$B41&amp;", ",", "&amp;'Huỷ đơn - Huỷ nhận đơn'!$B$7:$B$500&amp;", ")),--('Huỷ đơn - Huỷ nhận đơn'!$AT$7:$AT$500="N/A"))+SUMPRODUCT(--ISNUMBER(SEARCH(", "&amp;$B41&amp;", ",", "&amp;'Giao nhận &amp; Theo dõi đơn'!$B$7:$B$500&amp;", ")),--('Giao nhận &amp; Theo dõi đơn'!$AT$7:$AT$500="N/A"))+SUMPRODUCT(--ISNUMBER(SEARCH(", "&amp;$B41&amp;", ",", "&amp;'Bảng tin &amp; Chi tiết tin'!$B$7:$B$500&amp;", ")),--('Bảng tin &amp; Chi tiết tin'!$AT$7:$AT$500="N/A"))+SUMPRODUCT(--ISNUMBER(SEARCH(", "&amp;$B41&amp;", ",", "&amp;'Quà cảm ơn'!$B$7:$B$500&amp;", ")),--('Quà cảm ơn'!$AT$7:$AT$500="N/A"))+SUMPRODUCT(--ISNUMBER(SEARCH(", "&amp;$B41&amp;", ",", "&amp;'Trang chủ'!$B$7:$B$500&amp;", ")),--('Trang chủ'!$AT$7:$AT$500="N/A"))+SUMPRODUCT(--ISNUMBER(SEARCH(", "&amp;$B41&amp;", ",", "&amp;'Thông báo'!$B$7:$B$500&amp;", ")),--('Thông báo'!$AT$7:$AT$500="N/A"))+SUMPRODUCT(--ISNUMBER(SEARCH(", "&amp;$B41&amp;", ",", "&amp;'Đăng tin &amp; Quản lý tin'!$B$7:$B$500&amp;", ")),--('Đăng tin &amp; Quản lý tin'!$AT$7:$AT$500="N/A"))+SUMPRODUCT(--ISNUMBER(SEARCH(", "&amp;$B41&amp;", ",", "&amp;'Trust &amp; Safety'!$B$7:$B$500&amp;", ")),--('Trust &amp; Safety'!$AT$7:$AT$500="N/A"))+SUMPRODUCT(--ISNUMBER(SEARCH(", "&amp;$B41&amp;", ",", "&amp;'Tài khoản &amp; Hồ sơ'!$B$7:$B$500&amp;", ")),--('Tài khoản &amp; Hồ sơ'!$AT$7:$AT$500="N/A"))</f>
        <v>0</v>
      </c>
      <c r="K41" s="52" t="n">
        <f aca="false">IFERROR(F41/E41,0)</f>
        <v>0</v>
      </c>
      <c r="L41" s="123" t="str">
        <f aca="false">IF(E41=0,"Chưa có TC (gap)",IF(H41&gt;0,"Có lỗi (Fail)",IF(I41&gt;0,"Bị block",IF(F41&lt;E41,"Đang test",IF(G41=0,"Không áp dụng (N/A)","Đã test xong")))))</f>
        <v>Đang test</v>
      </c>
      <c r="AB41" s="1" t="s">
        <v>432</v>
      </c>
    </row>
    <row r="42" customFormat="false" ht="15.75" hidden="false" customHeight="true" outlineLevel="0" collapsed="false">
      <c r="B42" s="175" t="s">
        <v>523</v>
      </c>
      <c r="C42" s="176" t="s">
        <v>524</v>
      </c>
      <c r="D42" s="123" t="s">
        <v>427</v>
      </c>
      <c r="E42" s="51" t="n">
        <f aca="false">SUMPRODUCT(--ISNUMBER(SEARCH(", "&amp;$B42&amp;", ",", "&amp;'Hoạt động (Đơn của tôi)'!$B$7:$B$500&amp;", ")))+SUMPRODUCT(--ISNUMBER(SEARCH(", "&amp;$B42&amp;", ",", "&amp;'Ghép nối'!$B$7:$B$500&amp;", ")))+SUMPRODUCT(--ISNUMBER(SEARCH(", "&amp;$B42&amp;", ",", "&amp;'Huỷ đơn - Huỷ nhận đơn'!$B$7:$B$500&amp;", ")))+SUMPRODUCT(--ISNUMBER(SEARCH(", "&amp;$B42&amp;", ",", "&amp;'Giao nhận &amp; Theo dõi đơn'!$B$7:$B$500&amp;", ")))+SUMPRODUCT(--ISNUMBER(SEARCH(", "&amp;$B42&amp;", ",", "&amp;'Bảng tin &amp; Chi tiết tin'!$B$7:$B$500&amp;", ")))+SUMPRODUCT(--ISNUMBER(SEARCH(", "&amp;$B42&amp;", ",", "&amp;'Quà cảm ơn'!$B$7:$B$500&amp;", ")))+SUMPRODUCT(--ISNUMBER(SEARCH(", "&amp;$B42&amp;", ",", "&amp;'Trang chủ'!$B$7:$B$500&amp;", ")))+SUMPRODUCT(--ISNUMBER(SEARCH(", "&amp;$B42&amp;", ",", "&amp;'Thông báo'!$B$7:$B$500&amp;", ")))+SUMPRODUCT(--ISNUMBER(SEARCH(", "&amp;$B42&amp;", ",", "&amp;'Đăng tin &amp; Quản lý tin'!$B$7:$B$500&amp;", ")))+SUMPRODUCT(--ISNUMBER(SEARCH(", "&amp;$B42&amp;", ",", "&amp;'Trust &amp; Safety'!$B$7:$B$500&amp;", ")))+SUMPRODUCT(--ISNUMBER(SEARCH(", "&amp;$B42&amp;", ",", "&amp;'Tài khoản &amp; Hồ sơ'!$B$7:$B$500&amp;", ")))</f>
        <v>1</v>
      </c>
      <c r="F42" s="51" t="n">
        <f aca="false">SUMPRODUCT(--ISNUMBER(SEARCH(", "&amp;$B42&amp;", ",", "&amp;'Hoạt động (Đơn của tôi)'!$B$7:$B$500&amp;", ")),--('Hoạt động (Đơn của tôi)'!$AT$7:$AT$500&lt;&gt;""))+SUMPRODUCT(--ISNUMBER(SEARCH(", "&amp;$B42&amp;", ",", "&amp;'Ghép nối'!$B$7:$B$500&amp;", ")),--('Ghép nối'!$AT$7:$AT$500&lt;&gt;""))+SUMPRODUCT(--ISNUMBER(SEARCH(", "&amp;$B42&amp;", ",", "&amp;'Huỷ đơn - Huỷ nhận đơn'!$B$7:$B$500&amp;", ")),--('Huỷ đơn - Huỷ nhận đơn'!$AT$7:$AT$500&lt;&gt;""))+SUMPRODUCT(--ISNUMBER(SEARCH(", "&amp;$B42&amp;", ",", "&amp;'Giao nhận &amp; Theo dõi đơn'!$B$7:$B$500&amp;", ")),--('Giao nhận &amp; Theo dõi đơn'!$AT$7:$AT$500&lt;&gt;""))+SUMPRODUCT(--ISNUMBER(SEARCH(", "&amp;$B42&amp;", ",", "&amp;'Bảng tin &amp; Chi tiết tin'!$B$7:$B$500&amp;", ")),--('Bảng tin &amp; Chi tiết tin'!$AT$7:$AT$500&lt;&gt;""))+SUMPRODUCT(--ISNUMBER(SEARCH(", "&amp;$B42&amp;", ",", "&amp;'Quà cảm ơn'!$B$7:$B$500&amp;", ")),--('Quà cảm ơn'!$AT$7:$AT$500&lt;&gt;""))+SUMPRODUCT(--ISNUMBER(SEARCH(", "&amp;$B42&amp;", ",", "&amp;'Trang chủ'!$B$7:$B$500&amp;", ")),--('Trang chủ'!$AT$7:$AT$500&lt;&gt;""))+SUMPRODUCT(--ISNUMBER(SEARCH(", "&amp;$B42&amp;", ",", "&amp;'Thông báo'!$B$7:$B$500&amp;", ")),--('Thông báo'!$AT$7:$AT$500&lt;&gt;""))+SUMPRODUCT(--ISNUMBER(SEARCH(", "&amp;$B42&amp;", ",", "&amp;'Đăng tin &amp; Quản lý tin'!$B$7:$B$500&amp;", ")),--('Đăng tin &amp; Quản lý tin'!$AT$7:$AT$500&lt;&gt;""))+SUMPRODUCT(--ISNUMBER(SEARCH(", "&amp;$B42&amp;", ",", "&amp;'Trust &amp; Safety'!$B$7:$B$500&amp;", ")),--('Trust &amp; Safety'!$AT$7:$AT$500&lt;&gt;""))+SUMPRODUCT(--ISNUMBER(SEARCH(", "&amp;$B42&amp;", ",", "&amp;'Tài khoản &amp; Hồ sơ'!$B$7:$B$500&amp;", ")),--('Tài khoản &amp; Hồ sơ'!$AT$7:$AT$500&lt;&gt;""))</f>
        <v>0</v>
      </c>
      <c r="G42" s="51" t="n">
        <f aca="false">SUMPRODUCT(--ISNUMBER(SEARCH(", "&amp;$B42&amp;", ",", "&amp;'Hoạt động (Đơn của tôi)'!$B$7:$B$500&amp;", ")),--('Hoạt động (Đơn của tôi)'!$AT$7:$AT$500="Pass"))+SUMPRODUCT(--ISNUMBER(SEARCH(", "&amp;$B42&amp;", ",", "&amp;'Ghép nối'!$B$7:$B$500&amp;", ")),--('Ghép nối'!$AT$7:$AT$500="Pass"))+SUMPRODUCT(--ISNUMBER(SEARCH(", "&amp;$B42&amp;", ",", "&amp;'Huỷ đơn - Huỷ nhận đơn'!$B$7:$B$500&amp;", ")),--('Huỷ đơn - Huỷ nhận đơn'!$AT$7:$AT$500="Pass"))+SUMPRODUCT(--ISNUMBER(SEARCH(", "&amp;$B42&amp;", ",", "&amp;'Giao nhận &amp; Theo dõi đơn'!$B$7:$B$500&amp;", ")),--('Giao nhận &amp; Theo dõi đơn'!$AT$7:$AT$500="Pass"))+SUMPRODUCT(--ISNUMBER(SEARCH(", "&amp;$B42&amp;", ",", "&amp;'Bảng tin &amp; Chi tiết tin'!$B$7:$B$500&amp;", ")),--('Bảng tin &amp; Chi tiết tin'!$AT$7:$AT$500="Pass"))+SUMPRODUCT(--ISNUMBER(SEARCH(", "&amp;$B42&amp;", ",", "&amp;'Quà cảm ơn'!$B$7:$B$500&amp;", ")),--('Quà cảm ơn'!$AT$7:$AT$500="Pass"))+SUMPRODUCT(--ISNUMBER(SEARCH(", "&amp;$B42&amp;", ",", "&amp;'Trang chủ'!$B$7:$B$500&amp;", ")),--('Trang chủ'!$AT$7:$AT$500="Pass"))+SUMPRODUCT(--ISNUMBER(SEARCH(", "&amp;$B42&amp;", ",", "&amp;'Thông báo'!$B$7:$B$500&amp;", ")),--('Thông báo'!$AT$7:$AT$500="Pass"))+SUMPRODUCT(--ISNUMBER(SEARCH(", "&amp;$B42&amp;", ",", "&amp;'Đăng tin &amp; Quản lý tin'!$B$7:$B$500&amp;", ")),--('Đăng tin &amp; Quản lý tin'!$AT$7:$AT$500="Pass"))+SUMPRODUCT(--ISNUMBER(SEARCH(", "&amp;$B42&amp;", ",", "&amp;'Trust &amp; Safety'!$B$7:$B$500&amp;", ")),--('Trust &amp; Safety'!$AT$7:$AT$500="Pass"))+SUMPRODUCT(--ISNUMBER(SEARCH(", "&amp;$B42&amp;", ",", "&amp;'Tài khoản &amp; Hồ sơ'!$B$7:$B$500&amp;", ")),--('Tài khoản &amp; Hồ sơ'!$AT$7:$AT$500="Pass"))</f>
        <v>0</v>
      </c>
      <c r="H42" s="51" t="n">
        <f aca="false">SUMPRODUCT(--ISNUMBER(SEARCH(", "&amp;$B42&amp;", ",", "&amp;'Hoạt động (Đơn của tôi)'!$B$7:$B$500&amp;", ")),--('Hoạt động (Đơn của tôi)'!$AT$7:$AT$500="Fail"))+SUMPRODUCT(--ISNUMBER(SEARCH(", "&amp;$B42&amp;", ",", "&amp;'Ghép nối'!$B$7:$B$500&amp;", ")),--('Ghép nối'!$AT$7:$AT$500="Fail"))+SUMPRODUCT(--ISNUMBER(SEARCH(", "&amp;$B42&amp;", ",", "&amp;'Huỷ đơn - Huỷ nhận đơn'!$B$7:$B$500&amp;", ")),--('Huỷ đơn - Huỷ nhận đơn'!$AT$7:$AT$500="Fail"))+SUMPRODUCT(--ISNUMBER(SEARCH(", "&amp;$B42&amp;", ",", "&amp;'Giao nhận &amp; Theo dõi đơn'!$B$7:$B$500&amp;", ")),--('Giao nhận &amp; Theo dõi đơn'!$AT$7:$AT$500="Fail"))+SUMPRODUCT(--ISNUMBER(SEARCH(", "&amp;$B42&amp;", ",", "&amp;'Bảng tin &amp; Chi tiết tin'!$B$7:$B$500&amp;", ")),--('Bảng tin &amp; Chi tiết tin'!$AT$7:$AT$500="Fail"))+SUMPRODUCT(--ISNUMBER(SEARCH(", "&amp;$B42&amp;", ",", "&amp;'Quà cảm ơn'!$B$7:$B$500&amp;", ")),--('Quà cảm ơn'!$AT$7:$AT$500="Fail"))+SUMPRODUCT(--ISNUMBER(SEARCH(", "&amp;$B42&amp;", ",", "&amp;'Trang chủ'!$B$7:$B$500&amp;", ")),--('Trang chủ'!$AT$7:$AT$500="Fail"))+SUMPRODUCT(--ISNUMBER(SEARCH(", "&amp;$B42&amp;", ",", "&amp;'Thông báo'!$B$7:$B$500&amp;", ")),--('Thông báo'!$AT$7:$AT$500="Fail"))+SUMPRODUCT(--ISNUMBER(SEARCH(", "&amp;$B42&amp;", ",", "&amp;'Đăng tin &amp; Quản lý tin'!$B$7:$B$500&amp;", ")),--('Đăng tin &amp; Quản lý tin'!$AT$7:$AT$500="Fail"))+SUMPRODUCT(--ISNUMBER(SEARCH(", "&amp;$B42&amp;", ",", "&amp;'Trust &amp; Safety'!$B$7:$B$500&amp;", ")),--('Trust &amp; Safety'!$AT$7:$AT$500="Fail"))+SUMPRODUCT(--ISNUMBER(SEARCH(", "&amp;$B42&amp;", ",", "&amp;'Tài khoản &amp; Hồ sơ'!$B$7:$B$500&amp;", ")),--('Tài khoản &amp; Hồ sơ'!$AT$7:$AT$500="Fail"))</f>
        <v>0</v>
      </c>
      <c r="I42" s="51" t="n">
        <f aca="false">SUMPRODUCT(--ISNUMBER(SEARCH(", "&amp;$B42&amp;", ",", "&amp;'Hoạt động (Đơn của tôi)'!$B$7:$B$500&amp;", ")),--('Hoạt động (Đơn của tôi)'!$AT$7:$AT$500="Block"))+SUMPRODUCT(--ISNUMBER(SEARCH(", "&amp;$B42&amp;", ",", "&amp;'Ghép nối'!$B$7:$B$500&amp;", ")),--('Ghép nối'!$AT$7:$AT$500="Block"))+SUMPRODUCT(--ISNUMBER(SEARCH(", "&amp;$B42&amp;", ",", "&amp;'Huỷ đơn - Huỷ nhận đơn'!$B$7:$B$500&amp;", ")),--('Huỷ đơn - Huỷ nhận đơn'!$AT$7:$AT$500="Block"))+SUMPRODUCT(--ISNUMBER(SEARCH(", "&amp;$B42&amp;", ",", "&amp;'Giao nhận &amp; Theo dõi đơn'!$B$7:$B$500&amp;", ")),--('Giao nhận &amp; Theo dõi đơn'!$AT$7:$AT$500="Block"))+SUMPRODUCT(--ISNUMBER(SEARCH(", "&amp;$B42&amp;", ",", "&amp;'Bảng tin &amp; Chi tiết tin'!$B$7:$B$500&amp;", ")),--('Bảng tin &amp; Chi tiết tin'!$AT$7:$AT$500="Block"))+SUMPRODUCT(--ISNUMBER(SEARCH(", "&amp;$B42&amp;", ",", "&amp;'Quà cảm ơn'!$B$7:$B$500&amp;", ")),--('Quà cảm ơn'!$AT$7:$AT$500="Block"))+SUMPRODUCT(--ISNUMBER(SEARCH(", "&amp;$B42&amp;", ",", "&amp;'Trang chủ'!$B$7:$B$500&amp;", ")),--('Trang chủ'!$AT$7:$AT$500="Block"))+SUMPRODUCT(--ISNUMBER(SEARCH(", "&amp;$B42&amp;", ",", "&amp;'Thông báo'!$B$7:$B$500&amp;", ")),--('Thông báo'!$AT$7:$AT$500="Block"))+SUMPRODUCT(--ISNUMBER(SEARCH(", "&amp;$B42&amp;", ",", "&amp;'Đăng tin &amp; Quản lý tin'!$B$7:$B$500&amp;", ")),--('Đăng tin &amp; Quản lý tin'!$AT$7:$AT$500="Block"))+SUMPRODUCT(--ISNUMBER(SEARCH(", "&amp;$B42&amp;", ",", "&amp;'Trust &amp; Safety'!$B$7:$B$500&amp;", ")),--('Trust &amp; Safety'!$AT$7:$AT$500="Block"))+SUMPRODUCT(--ISNUMBER(SEARCH(", "&amp;$B42&amp;", ",", "&amp;'Tài khoản &amp; Hồ sơ'!$B$7:$B$500&amp;", ")),--('Tài khoản &amp; Hồ sơ'!$AT$7:$AT$500="Block"))</f>
        <v>0</v>
      </c>
      <c r="J42" s="51" t="n">
        <f aca="false">SUMPRODUCT(--ISNUMBER(SEARCH(", "&amp;$B42&amp;", ",", "&amp;'Hoạt động (Đơn của tôi)'!$B$7:$B$500&amp;", ")),--('Hoạt động (Đơn của tôi)'!$AT$7:$AT$500="N/A"))+SUMPRODUCT(--ISNUMBER(SEARCH(", "&amp;$B42&amp;", ",", "&amp;'Ghép nối'!$B$7:$B$500&amp;", ")),--('Ghép nối'!$AT$7:$AT$500="N/A"))+SUMPRODUCT(--ISNUMBER(SEARCH(", "&amp;$B42&amp;", ",", "&amp;'Huỷ đơn - Huỷ nhận đơn'!$B$7:$B$500&amp;", ")),--('Huỷ đơn - Huỷ nhận đơn'!$AT$7:$AT$500="N/A"))+SUMPRODUCT(--ISNUMBER(SEARCH(", "&amp;$B42&amp;", ",", "&amp;'Giao nhận &amp; Theo dõi đơn'!$B$7:$B$500&amp;", ")),--('Giao nhận &amp; Theo dõi đơn'!$AT$7:$AT$500="N/A"))+SUMPRODUCT(--ISNUMBER(SEARCH(", "&amp;$B42&amp;", ",", "&amp;'Bảng tin &amp; Chi tiết tin'!$B$7:$B$500&amp;", ")),--('Bảng tin &amp; Chi tiết tin'!$AT$7:$AT$500="N/A"))+SUMPRODUCT(--ISNUMBER(SEARCH(", "&amp;$B42&amp;", ",", "&amp;'Quà cảm ơn'!$B$7:$B$500&amp;", ")),--('Quà cảm ơn'!$AT$7:$AT$500="N/A"))+SUMPRODUCT(--ISNUMBER(SEARCH(", "&amp;$B42&amp;", ",", "&amp;'Trang chủ'!$B$7:$B$500&amp;", ")),--('Trang chủ'!$AT$7:$AT$500="N/A"))+SUMPRODUCT(--ISNUMBER(SEARCH(", "&amp;$B42&amp;", ",", "&amp;'Thông báo'!$B$7:$B$500&amp;", ")),--('Thông báo'!$AT$7:$AT$500="N/A"))+SUMPRODUCT(--ISNUMBER(SEARCH(", "&amp;$B42&amp;", ",", "&amp;'Đăng tin &amp; Quản lý tin'!$B$7:$B$500&amp;", ")),--('Đăng tin &amp; Quản lý tin'!$AT$7:$AT$500="N/A"))+SUMPRODUCT(--ISNUMBER(SEARCH(", "&amp;$B42&amp;", ",", "&amp;'Trust &amp; Safety'!$B$7:$B$500&amp;", ")),--('Trust &amp; Safety'!$AT$7:$AT$500="N/A"))+SUMPRODUCT(--ISNUMBER(SEARCH(", "&amp;$B42&amp;", ",", "&amp;'Tài khoản &amp; Hồ sơ'!$B$7:$B$500&amp;", ")),--('Tài khoản &amp; Hồ sơ'!$AT$7:$AT$500="N/A"))</f>
        <v>0</v>
      </c>
      <c r="K42" s="52" t="n">
        <f aca="false">IFERROR(F42/E42,0)</f>
        <v>0</v>
      </c>
      <c r="L42" s="123" t="str">
        <f aca="false">IF(E42=0,"Chưa có TC (gap)",IF(H42&gt;0,"Có lỗi (Fail)",IF(I42&gt;0,"Bị block",IF(F42&lt;E42,"Đang test",IF(G42=0,"Không áp dụng (N/A)","Đã test xong")))))</f>
        <v>Đang test</v>
      </c>
      <c r="AB42" s="1" t="s">
        <v>432</v>
      </c>
    </row>
    <row r="43" customFormat="false" ht="15.75" hidden="false" customHeight="true" outlineLevel="0" collapsed="false">
      <c r="B43" s="175" t="s">
        <v>525</v>
      </c>
      <c r="C43" s="176" t="s">
        <v>526</v>
      </c>
      <c r="D43" s="123" t="s">
        <v>527</v>
      </c>
      <c r="E43" s="51" t="n">
        <f aca="false">SUMPRODUCT(--ISNUMBER(SEARCH(", "&amp;$B43&amp;", ",", "&amp;'Hoạt động (Đơn của tôi)'!$B$7:$B$500&amp;", ")))+SUMPRODUCT(--ISNUMBER(SEARCH(", "&amp;$B43&amp;", ",", "&amp;'Ghép nối'!$B$7:$B$500&amp;", ")))+SUMPRODUCT(--ISNUMBER(SEARCH(", "&amp;$B43&amp;", ",", "&amp;'Huỷ đơn - Huỷ nhận đơn'!$B$7:$B$500&amp;", ")))+SUMPRODUCT(--ISNUMBER(SEARCH(", "&amp;$B43&amp;", ",", "&amp;'Giao nhận &amp; Theo dõi đơn'!$B$7:$B$500&amp;", ")))+SUMPRODUCT(--ISNUMBER(SEARCH(", "&amp;$B43&amp;", ",", "&amp;'Bảng tin &amp; Chi tiết tin'!$B$7:$B$500&amp;", ")))+SUMPRODUCT(--ISNUMBER(SEARCH(", "&amp;$B43&amp;", ",", "&amp;'Quà cảm ơn'!$B$7:$B$500&amp;", ")))+SUMPRODUCT(--ISNUMBER(SEARCH(", "&amp;$B43&amp;", ",", "&amp;'Trang chủ'!$B$7:$B$500&amp;", ")))+SUMPRODUCT(--ISNUMBER(SEARCH(", "&amp;$B43&amp;", ",", "&amp;'Thông báo'!$B$7:$B$500&amp;", ")))+SUMPRODUCT(--ISNUMBER(SEARCH(", "&amp;$B43&amp;", ",", "&amp;'Đăng tin &amp; Quản lý tin'!$B$7:$B$500&amp;", ")))+SUMPRODUCT(--ISNUMBER(SEARCH(", "&amp;$B43&amp;", ",", "&amp;'Trust &amp; Safety'!$B$7:$B$500&amp;", ")))+SUMPRODUCT(--ISNUMBER(SEARCH(", "&amp;$B43&amp;", ",", "&amp;'Tài khoản &amp; Hồ sơ'!$B$7:$B$500&amp;", ")))</f>
        <v>2</v>
      </c>
      <c r="F43" s="51" t="n">
        <f aca="false">SUMPRODUCT(--ISNUMBER(SEARCH(", "&amp;$B43&amp;", ",", "&amp;'Hoạt động (Đơn của tôi)'!$B$7:$B$500&amp;", ")),--('Hoạt động (Đơn của tôi)'!$AT$7:$AT$500&lt;&gt;""))+SUMPRODUCT(--ISNUMBER(SEARCH(", "&amp;$B43&amp;", ",", "&amp;'Ghép nối'!$B$7:$B$500&amp;", ")),--('Ghép nối'!$AT$7:$AT$500&lt;&gt;""))+SUMPRODUCT(--ISNUMBER(SEARCH(", "&amp;$B43&amp;", ",", "&amp;'Huỷ đơn - Huỷ nhận đơn'!$B$7:$B$500&amp;", ")),--('Huỷ đơn - Huỷ nhận đơn'!$AT$7:$AT$500&lt;&gt;""))+SUMPRODUCT(--ISNUMBER(SEARCH(", "&amp;$B43&amp;", ",", "&amp;'Giao nhận &amp; Theo dõi đơn'!$B$7:$B$500&amp;", ")),--('Giao nhận &amp; Theo dõi đơn'!$AT$7:$AT$500&lt;&gt;""))+SUMPRODUCT(--ISNUMBER(SEARCH(", "&amp;$B43&amp;", ",", "&amp;'Bảng tin &amp; Chi tiết tin'!$B$7:$B$500&amp;", ")),--('Bảng tin &amp; Chi tiết tin'!$AT$7:$AT$500&lt;&gt;""))+SUMPRODUCT(--ISNUMBER(SEARCH(", "&amp;$B43&amp;", ",", "&amp;'Quà cảm ơn'!$B$7:$B$500&amp;", ")),--('Quà cảm ơn'!$AT$7:$AT$500&lt;&gt;""))+SUMPRODUCT(--ISNUMBER(SEARCH(", "&amp;$B43&amp;", ",", "&amp;'Trang chủ'!$B$7:$B$500&amp;", ")),--('Trang chủ'!$AT$7:$AT$500&lt;&gt;""))+SUMPRODUCT(--ISNUMBER(SEARCH(", "&amp;$B43&amp;", ",", "&amp;'Thông báo'!$B$7:$B$500&amp;", ")),--('Thông báo'!$AT$7:$AT$500&lt;&gt;""))+SUMPRODUCT(--ISNUMBER(SEARCH(", "&amp;$B43&amp;", ",", "&amp;'Đăng tin &amp; Quản lý tin'!$B$7:$B$500&amp;", ")),--('Đăng tin &amp; Quản lý tin'!$AT$7:$AT$500&lt;&gt;""))+SUMPRODUCT(--ISNUMBER(SEARCH(", "&amp;$B43&amp;", ",", "&amp;'Trust &amp; Safety'!$B$7:$B$500&amp;", ")),--('Trust &amp; Safety'!$AT$7:$AT$500&lt;&gt;""))+SUMPRODUCT(--ISNUMBER(SEARCH(", "&amp;$B43&amp;", ",", "&amp;'Tài khoản &amp; Hồ sơ'!$B$7:$B$500&amp;", ")),--('Tài khoản &amp; Hồ sơ'!$AT$7:$AT$500&lt;&gt;""))</f>
        <v>0</v>
      </c>
      <c r="G43" s="51" t="n">
        <f aca="false">SUMPRODUCT(--ISNUMBER(SEARCH(", "&amp;$B43&amp;", ",", "&amp;'Hoạt động (Đơn của tôi)'!$B$7:$B$500&amp;", ")),--('Hoạt động (Đơn của tôi)'!$AT$7:$AT$500="Pass"))+SUMPRODUCT(--ISNUMBER(SEARCH(", "&amp;$B43&amp;", ",", "&amp;'Ghép nối'!$B$7:$B$500&amp;", ")),--('Ghép nối'!$AT$7:$AT$500="Pass"))+SUMPRODUCT(--ISNUMBER(SEARCH(", "&amp;$B43&amp;", ",", "&amp;'Huỷ đơn - Huỷ nhận đơn'!$B$7:$B$500&amp;", ")),--('Huỷ đơn - Huỷ nhận đơn'!$AT$7:$AT$500="Pass"))+SUMPRODUCT(--ISNUMBER(SEARCH(", "&amp;$B43&amp;", ",", "&amp;'Giao nhận &amp; Theo dõi đơn'!$B$7:$B$500&amp;", ")),--('Giao nhận &amp; Theo dõi đơn'!$AT$7:$AT$500="Pass"))+SUMPRODUCT(--ISNUMBER(SEARCH(", "&amp;$B43&amp;", ",", "&amp;'Bảng tin &amp; Chi tiết tin'!$B$7:$B$500&amp;", ")),--('Bảng tin &amp; Chi tiết tin'!$AT$7:$AT$500="Pass"))+SUMPRODUCT(--ISNUMBER(SEARCH(", "&amp;$B43&amp;", ",", "&amp;'Quà cảm ơn'!$B$7:$B$500&amp;", ")),--('Quà cảm ơn'!$AT$7:$AT$500="Pass"))+SUMPRODUCT(--ISNUMBER(SEARCH(", "&amp;$B43&amp;", ",", "&amp;'Trang chủ'!$B$7:$B$500&amp;", ")),--('Trang chủ'!$AT$7:$AT$500="Pass"))+SUMPRODUCT(--ISNUMBER(SEARCH(", "&amp;$B43&amp;", ",", "&amp;'Thông báo'!$B$7:$B$500&amp;", ")),--('Thông báo'!$AT$7:$AT$500="Pass"))+SUMPRODUCT(--ISNUMBER(SEARCH(", "&amp;$B43&amp;", ",", "&amp;'Đăng tin &amp; Quản lý tin'!$B$7:$B$500&amp;", ")),--('Đăng tin &amp; Quản lý tin'!$AT$7:$AT$500="Pass"))+SUMPRODUCT(--ISNUMBER(SEARCH(", "&amp;$B43&amp;", ",", "&amp;'Trust &amp; Safety'!$B$7:$B$500&amp;", ")),--('Trust &amp; Safety'!$AT$7:$AT$500="Pass"))+SUMPRODUCT(--ISNUMBER(SEARCH(", "&amp;$B43&amp;", ",", "&amp;'Tài khoản &amp; Hồ sơ'!$B$7:$B$500&amp;", ")),--('Tài khoản &amp; Hồ sơ'!$AT$7:$AT$500="Pass"))</f>
        <v>0</v>
      </c>
      <c r="H43" s="51" t="n">
        <f aca="false">SUMPRODUCT(--ISNUMBER(SEARCH(", "&amp;$B43&amp;", ",", "&amp;'Hoạt động (Đơn của tôi)'!$B$7:$B$500&amp;", ")),--('Hoạt động (Đơn của tôi)'!$AT$7:$AT$500="Fail"))+SUMPRODUCT(--ISNUMBER(SEARCH(", "&amp;$B43&amp;", ",", "&amp;'Ghép nối'!$B$7:$B$500&amp;", ")),--('Ghép nối'!$AT$7:$AT$500="Fail"))+SUMPRODUCT(--ISNUMBER(SEARCH(", "&amp;$B43&amp;", ",", "&amp;'Huỷ đơn - Huỷ nhận đơn'!$B$7:$B$500&amp;", ")),--('Huỷ đơn - Huỷ nhận đơn'!$AT$7:$AT$500="Fail"))+SUMPRODUCT(--ISNUMBER(SEARCH(", "&amp;$B43&amp;", ",", "&amp;'Giao nhận &amp; Theo dõi đơn'!$B$7:$B$500&amp;", ")),--('Giao nhận &amp; Theo dõi đơn'!$AT$7:$AT$500="Fail"))+SUMPRODUCT(--ISNUMBER(SEARCH(", "&amp;$B43&amp;", ",", "&amp;'Bảng tin &amp; Chi tiết tin'!$B$7:$B$500&amp;", ")),--('Bảng tin &amp; Chi tiết tin'!$AT$7:$AT$500="Fail"))+SUMPRODUCT(--ISNUMBER(SEARCH(", "&amp;$B43&amp;", ",", "&amp;'Quà cảm ơn'!$B$7:$B$500&amp;", ")),--('Quà cảm ơn'!$AT$7:$AT$500="Fail"))+SUMPRODUCT(--ISNUMBER(SEARCH(", "&amp;$B43&amp;", ",", "&amp;'Trang chủ'!$B$7:$B$500&amp;", ")),--('Trang chủ'!$AT$7:$AT$500="Fail"))+SUMPRODUCT(--ISNUMBER(SEARCH(", "&amp;$B43&amp;", ",", "&amp;'Thông báo'!$B$7:$B$500&amp;", ")),--('Thông báo'!$AT$7:$AT$500="Fail"))+SUMPRODUCT(--ISNUMBER(SEARCH(", "&amp;$B43&amp;", ",", "&amp;'Đăng tin &amp; Quản lý tin'!$B$7:$B$500&amp;", ")),--('Đăng tin &amp; Quản lý tin'!$AT$7:$AT$500="Fail"))+SUMPRODUCT(--ISNUMBER(SEARCH(", "&amp;$B43&amp;", ",", "&amp;'Trust &amp; Safety'!$B$7:$B$500&amp;", ")),--('Trust &amp; Safety'!$AT$7:$AT$500="Fail"))+SUMPRODUCT(--ISNUMBER(SEARCH(", "&amp;$B43&amp;", ",", "&amp;'Tài khoản &amp; Hồ sơ'!$B$7:$B$500&amp;", ")),--('Tài khoản &amp; Hồ sơ'!$AT$7:$AT$500="Fail"))</f>
        <v>0</v>
      </c>
      <c r="I43" s="51" t="n">
        <f aca="false">SUMPRODUCT(--ISNUMBER(SEARCH(", "&amp;$B43&amp;", ",", "&amp;'Hoạt động (Đơn của tôi)'!$B$7:$B$500&amp;", ")),--('Hoạt động (Đơn của tôi)'!$AT$7:$AT$500="Block"))+SUMPRODUCT(--ISNUMBER(SEARCH(", "&amp;$B43&amp;", ",", "&amp;'Ghép nối'!$B$7:$B$500&amp;", ")),--('Ghép nối'!$AT$7:$AT$500="Block"))+SUMPRODUCT(--ISNUMBER(SEARCH(", "&amp;$B43&amp;", ",", "&amp;'Huỷ đơn - Huỷ nhận đơn'!$B$7:$B$500&amp;", ")),--('Huỷ đơn - Huỷ nhận đơn'!$AT$7:$AT$500="Block"))+SUMPRODUCT(--ISNUMBER(SEARCH(", "&amp;$B43&amp;", ",", "&amp;'Giao nhận &amp; Theo dõi đơn'!$B$7:$B$500&amp;", ")),--('Giao nhận &amp; Theo dõi đơn'!$AT$7:$AT$500="Block"))+SUMPRODUCT(--ISNUMBER(SEARCH(", "&amp;$B43&amp;", ",", "&amp;'Bảng tin &amp; Chi tiết tin'!$B$7:$B$500&amp;", ")),--('Bảng tin &amp; Chi tiết tin'!$AT$7:$AT$500="Block"))+SUMPRODUCT(--ISNUMBER(SEARCH(", "&amp;$B43&amp;", ",", "&amp;'Quà cảm ơn'!$B$7:$B$500&amp;", ")),--('Quà cảm ơn'!$AT$7:$AT$500="Block"))+SUMPRODUCT(--ISNUMBER(SEARCH(", "&amp;$B43&amp;", ",", "&amp;'Trang chủ'!$B$7:$B$500&amp;", ")),--('Trang chủ'!$AT$7:$AT$500="Block"))+SUMPRODUCT(--ISNUMBER(SEARCH(", "&amp;$B43&amp;", ",", "&amp;'Thông báo'!$B$7:$B$500&amp;", ")),--('Thông báo'!$AT$7:$AT$500="Block"))+SUMPRODUCT(--ISNUMBER(SEARCH(", "&amp;$B43&amp;", ",", "&amp;'Đăng tin &amp; Quản lý tin'!$B$7:$B$500&amp;", ")),--('Đăng tin &amp; Quản lý tin'!$AT$7:$AT$500="Block"))+SUMPRODUCT(--ISNUMBER(SEARCH(", "&amp;$B43&amp;", ",", "&amp;'Trust &amp; Safety'!$B$7:$B$500&amp;", ")),--('Trust &amp; Safety'!$AT$7:$AT$500="Block"))+SUMPRODUCT(--ISNUMBER(SEARCH(", "&amp;$B43&amp;", ",", "&amp;'Tài khoản &amp; Hồ sơ'!$B$7:$B$500&amp;", ")),--('Tài khoản &amp; Hồ sơ'!$AT$7:$AT$500="Block"))</f>
        <v>0</v>
      </c>
      <c r="J43" s="51" t="n">
        <f aca="false">SUMPRODUCT(--ISNUMBER(SEARCH(", "&amp;$B43&amp;", ",", "&amp;'Hoạt động (Đơn của tôi)'!$B$7:$B$500&amp;", ")),--('Hoạt động (Đơn của tôi)'!$AT$7:$AT$500="N/A"))+SUMPRODUCT(--ISNUMBER(SEARCH(", "&amp;$B43&amp;", ",", "&amp;'Ghép nối'!$B$7:$B$500&amp;", ")),--('Ghép nối'!$AT$7:$AT$500="N/A"))+SUMPRODUCT(--ISNUMBER(SEARCH(", "&amp;$B43&amp;", ",", "&amp;'Huỷ đơn - Huỷ nhận đơn'!$B$7:$B$500&amp;", ")),--('Huỷ đơn - Huỷ nhận đơn'!$AT$7:$AT$500="N/A"))+SUMPRODUCT(--ISNUMBER(SEARCH(", "&amp;$B43&amp;", ",", "&amp;'Giao nhận &amp; Theo dõi đơn'!$B$7:$B$500&amp;", ")),--('Giao nhận &amp; Theo dõi đơn'!$AT$7:$AT$500="N/A"))+SUMPRODUCT(--ISNUMBER(SEARCH(", "&amp;$B43&amp;", ",", "&amp;'Bảng tin &amp; Chi tiết tin'!$B$7:$B$500&amp;", ")),--('Bảng tin &amp; Chi tiết tin'!$AT$7:$AT$500="N/A"))+SUMPRODUCT(--ISNUMBER(SEARCH(", "&amp;$B43&amp;", ",", "&amp;'Quà cảm ơn'!$B$7:$B$500&amp;", ")),--('Quà cảm ơn'!$AT$7:$AT$500="N/A"))+SUMPRODUCT(--ISNUMBER(SEARCH(", "&amp;$B43&amp;", ",", "&amp;'Trang chủ'!$B$7:$B$500&amp;", ")),--('Trang chủ'!$AT$7:$AT$500="N/A"))+SUMPRODUCT(--ISNUMBER(SEARCH(", "&amp;$B43&amp;", ",", "&amp;'Thông báo'!$B$7:$B$500&amp;", ")),--('Thông báo'!$AT$7:$AT$500="N/A"))+SUMPRODUCT(--ISNUMBER(SEARCH(", "&amp;$B43&amp;", ",", "&amp;'Đăng tin &amp; Quản lý tin'!$B$7:$B$500&amp;", ")),--('Đăng tin &amp; Quản lý tin'!$AT$7:$AT$500="N/A"))+SUMPRODUCT(--ISNUMBER(SEARCH(", "&amp;$B43&amp;", ",", "&amp;'Trust &amp; Safety'!$B$7:$B$500&amp;", ")),--('Trust &amp; Safety'!$AT$7:$AT$500="N/A"))+SUMPRODUCT(--ISNUMBER(SEARCH(", "&amp;$B43&amp;", ",", "&amp;'Tài khoản &amp; Hồ sơ'!$B$7:$B$500&amp;", ")),--('Tài khoản &amp; Hồ sơ'!$AT$7:$AT$500="N/A"))</f>
        <v>0</v>
      </c>
      <c r="K43" s="52" t="n">
        <f aca="false">IFERROR(F43/E43,0)</f>
        <v>0</v>
      </c>
      <c r="L43" s="123" t="str">
        <f aca="false">IF(E43=0,"Chưa có TC (gap)",IF(H43&gt;0,"Có lỗi (Fail)",IF(I43&gt;0,"Bị block",IF(F43&lt;E43,"Đang test",IF(G43=0,"Không áp dụng (N/A)","Đã test xong")))))</f>
        <v>Đang test</v>
      </c>
      <c r="AB43" s="1" t="s">
        <v>432</v>
      </c>
    </row>
    <row r="44" customFormat="false" ht="15.75" hidden="false" customHeight="true" outlineLevel="0" collapsed="false">
      <c r="B44" s="175" t="s">
        <v>528</v>
      </c>
      <c r="C44" s="176" t="s">
        <v>529</v>
      </c>
      <c r="D44" s="123" t="s">
        <v>530</v>
      </c>
      <c r="E44" s="51" t="n">
        <f aca="false">SUMPRODUCT(--ISNUMBER(SEARCH(", "&amp;$B44&amp;", ",", "&amp;'Hoạt động (Đơn của tôi)'!$B$7:$B$500&amp;", ")))+SUMPRODUCT(--ISNUMBER(SEARCH(", "&amp;$B44&amp;", ",", "&amp;'Ghép nối'!$B$7:$B$500&amp;", ")))+SUMPRODUCT(--ISNUMBER(SEARCH(", "&amp;$B44&amp;", ",", "&amp;'Huỷ đơn - Huỷ nhận đơn'!$B$7:$B$500&amp;", ")))+SUMPRODUCT(--ISNUMBER(SEARCH(", "&amp;$B44&amp;", ",", "&amp;'Giao nhận &amp; Theo dõi đơn'!$B$7:$B$500&amp;", ")))+SUMPRODUCT(--ISNUMBER(SEARCH(", "&amp;$B44&amp;", ",", "&amp;'Bảng tin &amp; Chi tiết tin'!$B$7:$B$500&amp;", ")))+SUMPRODUCT(--ISNUMBER(SEARCH(", "&amp;$B44&amp;", ",", "&amp;'Quà cảm ơn'!$B$7:$B$500&amp;", ")))+SUMPRODUCT(--ISNUMBER(SEARCH(", "&amp;$B44&amp;", ",", "&amp;'Trang chủ'!$B$7:$B$500&amp;", ")))+SUMPRODUCT(--ISNUMBER(SEARCH(", "&amp;$B44&amp;", ",", "&amp;'Thông báo'!$B$7:$B$500&amp;", ")))+SUMPRODUCT(--ISNUMBER(SEARCH(", "&amp;$B44&amp;", ",", "&amp;'Đăng tin &amp; Quản lý tin'!$B$7:$B$500&amp;", ")))+SUMPRODUCT(--ISNUMBER(SEARCH(", "&amp;$B44&amp;", ",", "&amp;'Trust &amp; Safety'!$B$7:$B$500&amp;", ")))+SUMPRODUCT(--ISNUMBER(SEARCH(", "&amp;$B44&amp;", ",", "&amp;'Tài khoản &amp; Hồ sơ'!$B$7:$B$500&amp;", ")))</f>
        <v>3</v>
      </c>
      <c r="F44" s="51" t="n">
        <f aca="false">SUMPRODUCT(--ISNUMBER(SEARCH(", "&amp;$B44&amp;", ",", "&amp;'Hoạt động (Đơn của tôi)'!$B$7:$B$500&amp;", ")),--('Hoạt động (Đơn của tôi)'!$AT$7:$AT$500&lt;&gt;""))+SUMPRODUCT(--ISNUMBER(SEARCH(", "&amp;$B44&amp;", ",", "&amp;'Ghép nối'!$B$7:$B$500&amp;", ")),--('Ghép nối'!$AT$7:$AT$500&lt;&gt;""))+SUMPRODUCT(--ISNUMBER(SEARCH(", "&amp;$B44&amp;", ",", "&amp;'Huỷ đơn - Huỷ nhận đơn'!$B$7:$B$500&amp;", ")),--('Huỷ đơn - Huỷ nhận đơn'!$AT$7:$AT$500&lt;&gt;""))+SUMPRODUCT(--ISNUMBER(SEARCH(", "&amp;$B44&amp;", ",", "&amp;'Giao nhận &amp; Theo dõi đơn'!$B$7:$B$500&amp;", ")),--('Giao nhận &amp; Theo dõi đơn'!$AT$7:$AT$500&lt;&gt;""))+SUMPRODUCT(--ISNUMBER(SEARCH(", "&amp;$B44&amp;", ",", "&amp;'Bảng tin &amp; Chi tiết tin'!$B$7:$B$500&amp;", ")),--('Bảng tin &amp; Chi tiết tin'!$AT$7:$AT$500&lt;&gt;""))+SUMPRODUCT(--ISNUMBER(SEARCH(", "&amp;$B44&amp;", ",", "&amp;'Quà cảm ơn'!$B$7:$B$500&amp;", ")),--('Quà cảm ơn'!$AT$7:$AT$500&lt;&gt;""))+SUMPRODUCT(--ISNUMBER(SEARCH(", "&amp;$B44&amp;", ",", "&amp;'Trang chủ'!$B$7:$B$500&amp;", ")),--('Trang chủ'!$AT$7:$AT$500&lt;&gt;""))+SUMPRODUCT(--ISNUMBER(SEARCH(", "&amp;$B44&amp;", ",", "&amp;'Thông báo'!$B$7:$B$500&amp;", ")),--('Thông báo'!$AT$7:$AT$500&lt;&gt;""))+SUMPRODUCT(--ISNUMBER(SEARCH(", "&amp;$B44&amp;", ",", "&amp;'Đăng tin &amp; Quản lý tin'!$B$7:$B$500&amp;", ")),--('Đăng tin &amp; Quản lý tin'!$AT$7:$AT$500&lt;&gt;""))+SUMPRODUCT(--ISNUMBER(SEARCH(", "&amp;$B44&amp;", ",", "&amp;'Trust &amp; Safety'!$B$7:$B$500&amp;", ")),--('Trust &amp; Safety'!$AT$7:$AT$500&lt;&gt;""))+SUMPRODUCT(--ISNUMBER(SEARCH(", "&amp;$B44&amp;", ",", "&amp;'Tài khoản &amp; Hồ sơ'!$B$7:$B$500&amp;", ")),--('Tài khoản &amp; Hồ sơ'!$AT$7:$AT$500&lt;&gt;""))</f>
        <v>0</v>
      </c>
      <c r="G44" s="51" t="n">
        <f aca="false">SUMPRODUCT(--ISNUMBER(SEARCH(", "&amp;$B44&amp;", ",", "&amp;'Hoạt động (Đơn của tôi)'!$B$7:$B$500&amp;", ")),--('Hoạt động (Đơn của tôi)'!$AT$7:$AT$500="Pass"))+SUMPRODUCT(--ISNUMBER(SEARCH(", "&amp;$B44&amp;", ",", "&amp;'Ghép nối'!$B$7:$B$500&amp;", ")),--('Ghép nối'!$AT$7:$AT$500="Pass"))+SUMPRODUCT(--ISNUMBER(SEARCH(", "&amp;$B44&amp;", ",", "&amp;'Huỷ đơn - Huỷ nhận đơn'!$B$7:$B$500&amp;", ")),--('Huỷ đơn - Huỷ nhận đơn'!$AT$7:$AT$500="Pass"))+SUMPRODUCT(--ISNUMBER(SEARCH(", "&amp;$B44&amp;", ",", "&amp;'Giao nhận &amp; Theo dõi đơn'!$B$7:$B$500&amp;", ")),--('Giao nhận &amp; Theo dõi đơn'!$AT$7:$AT$500="Pass"))+SUMPRODUCT(--ISNUMBER(SEARCH(", "&amp;$B44&amp;", ",", "&amp;'Bảng tin &amp; Chi tiết tin'!$B$7:$B$500&amp;", ")),--('Bảng tin &amp; Chi tiết tin'!$AT$7:$AT$500="Pass"))+SUMPRODUCT(--ISNUMBER(SEARCH(", "&amp;$B44&amp;", ",", "&amp;'Quà cảm ơn'!$B$7:$B$500&amp;", ")),--('Quà cảm ơn'!$AT$7:$AT$500="Pass"))+SUMPRODUCT(--ISNUMBER(SEARCH(", "&amp;$B44&amp;", ",", "&amp;'Trang chủ'!$B$7:$B$500&amp;", ")),--('Trang chủ'!$AT$7:$AT$500="Pass"))+SUMPRODUCT(--ISNUMBER(SEARCH(", "&amp;$B44&amp;", ",", "&amp;'Thông báo'!$B$7:$B$500&amp;", ")),--('Thông báo'!$AT$7:$AT$500="Pass"))+SUMPRODUCT(--ISNUMBER(SEARCH(", "&amp;$B44&amp;", ",", "&amp;'Đăng tin &amp; Quản lý tin'!$B$7:$B$500&amp;", ")),--('Đăng tin &amp; Quản lý tin'!$AT$7:$AT$500="Pass"))+SUMPRODUCT(--ISNUMBER(SEARCH(", "&amp;$B44&amp;", ",", "&amp;'Trust &amp; Safety'!$B$7:$B$500&amp;", ")),--('Trust &amp; Safety'!$AT$7:$AT$500="Pass"))+SUMPRODUCT(--ISNUMBER(SEARCH(", "&amp;$B44&amp;", ",", "&amp;'Tài khoản &amp; Hồ sơ'!$B$7:$B$500&amp;", ")),--('Tài khoản &amp; Hồ sơ'!$AT$7:$AT$500="Pass"))</f>
        <v>0</v>
      </c>
      <c r="H44" s="51" t="n">
        <f aca="false">SUMPRODUCT(--ISNUMBER(SEARCH(", "&amp;$B44&amp;", ",", "&amp;'Hoạt động (Đơn của tôi)'!$B$7:$B$500&amp;", ")),--('Hoạt động (Đơn của tôi)'!$AT$7:$AT$500="Fail"))+SUMPRODUCT(--ISNUMBER(SEARCH(", "&amp;$B44&amp;", ",", "&amp;'Ghép nối'!$B$7:$B$500&amp;", ")),--('Ghép nối'!$AT$7:$AT$500="Fail"))+SUMPRODUCT(--ISNUMBER(SEARCH(", "&amp;$B44&amp;", ",", "&amp;'Huỷ đơn - Huỷ nhận đơn'!$B$7:$B$500&amp;", ")),--('Huỷ đơn - Huỷ nhận đơn'!$AT$7:$AT$500="Fail"))+SUMPRODUCT(--ISNUMBER(SEARCH(", "&amp;$B44&amp;", ",", "&amp;'Giao nhận &amp; Theo dõi đơn'!$B$7:$B$500&amp;", ")),--('Giao nhận &amp; Theo dõi đơn'!$AT$7:$AT$500="Fail"))+SUMPRODUCT(--ISNUMBER(SEARCH(", "&amp;$B44&amp;", ",", "&amp;'Bảng tin &amp; Chi tiết tin'!$B$7:$B$500&amp;", ")),--('Bảng tin &amp; Chi tiết tin'!$AT$7:$AT$500="Fail"))+SUMPRODUCT(--ISNUMBER(SEARCH(", "&amp;$B44&amp;", ",", "&amp;'Quà cảm ơn'!$B$7:$B$500&amp;", ")),--('Quà cảm ơn'!$AT$7:$AT$500="Fail"))+SUMPRODUCT(--ISNUMBER(SEARCH(", "&amp;$B44&amp;", ",", "&amp;'Trang chủ'!$B$7:$B$500&amp;", ")),--('Trang chủ'!$AT$7:$AT$500="Fail"))+SUMPRODUCT(--ISNUMBER(SEARCH(", "&amp;$B44&amp;", ",", "&amp;'Thông báo'!$B$7:$B$500&amp;", ")),--('Thông báo'!$AT$7:$AT$500="Fail"))+SUMPRODUCT(--ISNUMBER(SEARCH(", "&amp;$B44&amp;", ",", "&amp;'Đăng tin &amp; Quản lý tin'!$B$7:$B$500&amp;", ")),--('Đăng tin &amp; Quản lý tin'!$AT$7:$AT$500="Fail"))+SUMPRODUCT(--ISNUMBER(SEARCH(", "&amp;$B44&amp;", ",", "&amp;'Trust &amp; Safety'!$B$7:$B$500&amp;", ")),--('Trust &amp; Safety'!$AT$7:$AT$500="Fail"))+SUMPRODUCT(--ISNUMBER(SEARCH(", "&amp;$B44&amp;", ",", "&amp;'Tài khoản &amp; Hồ sơ'!$B$7:$B$500&amp;", ")),--('Tài khoản &amp; Hồ sơ'!$AT$7:$AT$500="Fail"))</f>
        <v>0</v>
      </c>
      <c r="I44" s="51" t="n">
        <f aca="false">SUMPRODUCT(--ISNUMBER(SEARCH(", "&amp;$B44&amp;", ",", "&amp;'Hoạt động (Đơn của tôi)'!$B$7:$B$500&amp;", ")),--('Hoạt động (Đơn của tôi)'!$AT$7:$AT$500="Block"))+SUMPRODUCT(--ISNUMBER(SEARCH(", "&amp;$B44&amp;", ",", "&amp;'Ghép nối'!$B$7:$B$500&amp;", ")),--('Ghép nối'!$AT$7:$AT$500="Block"))+SUMPRODUCT(--ISNUMBER(SEARCH(", "&amp;$B44&amp;", ",", "&amp;'Huỷ đơn - Huỷ nhận đơn'!$B$7:$B$500&amp;", ")),--('Huỷ đơn - Huỷ nhận đơn'!$AT$7:$AT$500="Block"))+SUMPRODUCT(--ISNUMBER(SEARCH(", "&amp;$B44&amp;", ",", "&amp;'Giao nhận &amp; Theo dõi đơn'!$B$7:$B$500&amp;", ")),--('Giao nhận &amp; Theo dõi đơn'!$AT$7:$AT$500="Block"))+SUMPRODUCT(--ISNUMBER(SEARCH(", "&amp;$B44&amp;", ",", "&amp;'Bảng tin &amp; Chi tiết tin'!$B$7:$B$500&amp;", ")),--('Bảng tin &amp; Chi tiết tin'!$AT$7:$AT$500="Block"))+SUMPRODUCT(--ISNUMBER(SEARCH(", "&amp;$B44&amp;", ",", "&amp;'Quà cảm ơn'!$B$7:$B$500&amp;", ")),--('Quà cảm ơn'!$AT$7:$AT$500="Block"))+SUMPRODUCT(--ISNUMBER(SEARCH(", "&amp;$B44&amp;", ",", "&amp;'Trang chủ'!$B$7:$B$500&amp;", ")),--('Trang chủ'!$AT$7:$AT$500="Block"))+SUMPRODUCT(--ISNUMBER(SEARCH(", "&amp;$B44&amp;", ",", "&amp;'Thông báo'!$B$7:$B$500&amp;", ")),--('Thông báo'!$AT$7:$AT$500="Block"))+SUMPRODUCT(--ISNUMBER(SEARCH(", "&amp;$B44&amp;", ",", "&amp;'Đăng tin &amp; Quản lý tin'!$B$7:$B$500&amp;", ")),--('Đăng tin &amp; Quản lý tin'!$AT$7:$AT$500="Block"))+SUMPRODUCT(--ISNUMBER(SEARCH(", "&amp;$B44&amp;", ",", "&amp;'Trust &amp; Safety'!$B$7:$B$500&amp;", ")),--('Trust &amp; Safety'!$AT$7:$AT$500="Block"))+SUMPRODUCT(--ISNUMBER(SEARCH(", "&amp;$B44&amp;", ",", "&amp;'Tài khoản &amp; Hồ sơ'!$B$7:$B$500&amp;", ")),--('Tài khoản &amp; Hồ sơ'!$AT$7:$AT$500="Block"))</f>
        <v>0</v>
      </c>
      <c r="J44" s="51" t="n">
        <f aca="false">SUMPRODUCT(--ISNUMBER(SEARCH(", "&amp;$B44&amp;", ",", "&amp;'Hoạt động (Đơn của tôi)'!$B$7:$B$500&amp;", ")),--('Hoạt động (Đơn của tôi)'!$AT$7:$AT$500="N/A"))+SUMPRODUCT(--ISNUMBER(SEARCH(", "&amp;$B44&amp;", ",", "&amp;'Ghép nối'!$B$7:$B$500&amp;", ")),--('Ghép nối'!$AT$7:$AT$500="N/A"))+SUMPRODUCT(--ISNUMBER(SEARCH(", "&amp;$B44&amp;", ",", "&amp;'Huỷ đơn - Huỷ nhận đơn'!$B$7:$B$500&amp;", ")),--('Huỷ đơn - Huỷ nhận đơn'!$AT$7:$AT$500="N/A"))+SUMPRODUCT(--ISNUMBER(SEARCH(", "&amp;$B44&amp;", ",", "&amp;'Giao nhận &amp; Theo dõi đơn'!$B$7:$B$500&amp;", ")),--('Giao nhận &amp; Theo dõi đơn'!$AT$7:$AT$500="N/A"))+SUMPRODUCT(--ISNUMBER(SEARCH(", "&amp;$B44&amp;", ",", "&amp;'Bảng tin &amp; Chi tiết tin'!$B$7:$B$500&amp;", ")),--('Bảng tin &amp; Chi tiết tin'!$AT$7:$AT$500="N/A"))+SUMPRODUCT(--ISNUMBER(SEARCH(", "&amp;$B44&amp;", ",", "&amp;'Quà cảm ơn'!$B$7:$B$500&amp;", ")),--('Quà cảm ơn'!$AT$7:$AT$500="N/A"))+SUMPRODUCT(--ISNUMBER(SEARCH(", "&amp;$B44&amp;", ",", "&amp;'Trang chủ'!$B$7:$B$500&amp;", ")),--('Trang chủ'!$AT$7:$AT$500="N/A"))+SUMPRODUCT(--ISNUMBER(SEARCH(", "&amp;$B44&amp;", ",", "&amp;'Thông báo'!$B$7:$B$500&amp;", ")),--('Thông báo'!$AT$7:$AT$500="N/A"))+SUMPRODUCT(--ISNUMBER(SEARCH(", "&amp;$B44&amp;", ",", "&amp;'Đăng tin &amp; Quản lý tin'!$B$7:$B$500&amp;", ")),--('Đăng tin &amp; Quản lý tin'!$AT$7:$AT$500="N/A"))+SUMPRODUCT(--ISNUMBER(SEARCH(", "&amp;$B44&amp;", ",", "&amp;'Trust &amp; Safety'!$B$7:$B$500&amp;", ")),--('Trust &amp; Safety'!$AT$7:$AT$500="N/A"))+SUMPRODUCT(--ISNUMBER(SEARCH(", "&amp;$B44&amp;", ",", "&amp;'Tài khoản &amp; Hồ sơ'!$B$7:$B$500&amp;", ")),--('Tài khoản &amp; Hồ sơ'!$AT$7:$AT$500="N/A"))</f>
        <v>0</v>
      </c>
      <c r="K44" s="52" t="n">
        <f aca="false">IFERROR(F44/E44,0)</f>
        <v>0</v>
      </c>
      <c r="L44" s="123" t="str">
        <f aca="false">IF(E44=0,"Chưa có TC (gap)",IF(H44&gt;0,"Có lỗi (Fail)",IF(I44&gt;0,"Bị block",IF(F44&lt;E44,"Đang test",IF(G44=0,"Không áp dụng (N/A)","Đã test xong")))))</f>
        <v>Đang test</v>
      </c>
      <c r="AB44" s="1" t="s">
        <v>436</v>
      </c>
    </row>
    <row r="45" customFormat="false" ht="15.75" hidden="false" customHeight="true" outlineLevel="0" collapsed="false">
      <c r="B45" s="175" t="s">
        <v>531</v>
      </c>
      <c r="C45" s="176" t="s">
        <v>532</v>
      </c>
      <c r="D45" s="123" t="s">
        <v>533</v>
      </c>
      <c r="E45" s="51" t="n">
        <f aca="false">SUMPRODUCT(--ISNUMBER(SEARCH(", "&amp;$B45&amp;", ",", "&amp;'Hoạt động (Đơn của tôi)'!$B$7:$B$500&amp;", ")))+SUMPRODUCT(--ISNUMBER(SEARCH(", "&amp;$B45&amp;", ",", "&amp;'Ghép nối'!$B$7:$B$500&amp;", ")))+SUMPRODUCT(--ISNUMBER(SEARCH(", "&amp;$B45&amp;", ",", "&amp;'Huỷ đơn - Huỷ nhận đơn'!$B$7:$B$500&amp;", ")))+SUMPRODUCT(--ISNUMBER(SEARCH(", "&amp;$B45&amp;", ",", "&amp;'Giao nhận &amp; Theo dõi đơn'!$B$7:$B$500&amp;", ")))+SUMPRODUCT(--ISNUMBER(SEARCH(", "&amp;$B45&amp;", ",", "&amp;'Bảng tin &amp; Chi tiết tin'!$B$7:$B$500&amp;", ")))+SUMPRODUCT(--ISNUMBER(SEARCH(", "&amp;$B45&amp;", ",", "&amp;'Quà cảm ơn'!$B$7:$B$500&amp;", ")))+SUMPRODUCT(--ISNUMBER(SEARCH(", "&amp;$B45&amp;", ",", "&amp;'Trang chủ'!$B$7:$B$500&amp;", ")))+SUMPRODUCT(--ISNUMBER(SEARCH(", "&amp;$B45&amp;", ",", "&amp;'Thông báo'!$B$7:$B$500&amp;", ")))+SUMPRODUCT(--ISNUMBER(SEARCH(", "&amp;$B45&amp;", ",", "&amp;'Đăng tin &amp; Quản lý tin'!$B$7:$B$500&amp;", ")))+SUMPRODUCT(--ISNUMBER(SEARCH(", "&amp;$B45&amp;", ",", "&amp;'Trust &amp; Safety'!$B$7:$B$500&amp;", ")))+SUMPRODUCT(--ISNUMBER(SEARCH(", "&amp;$B45&amp;", ",", "&amp;'Tài khoản &amp; Hồ sơ'!$B$7:$B$500&amp;", ")))</f>
        <v>5</v>
      </c>
      <c r="F45" s="51" t="n">
        <f aca="false">SUMPRODUCT(--ISNUMBER(SEARCH(", "&amp;$B45&amp;", ",", "&amp;'Hoạt động (Đơn của tôi)'!$B$7:$B$500&amp;", ")),--('Hoạt động (Đơn của tôi)'!$AT$7:$AT$500&lt;&gt;""))+SUMPRODUCT(--ISNUMBER(SEARCH(", "&amp;$B45&amp;", ",", "&amp;'Ghép nối'!$B$7:$B$500&amp;", ")),--('Ghép nối'!$AT$7:$AT$500&lt;&gt;""))+SUMPRODUCT(--ISNUMBER(SEARCH(", "&amp;$B45&amp;", ",", "&amp;'Huỷ đơn - Huỷ nhận đơn'!$B$7:$B$500&amp;", ")),--('Huỷ đơn - Huỷ nhận đơn'!$AT$7:$AT$500&lt;&gt;""))+SUMPRODUCT(--ISNUMBER(SEARCH(", "&amp;$B45&amp;", ",", "&amp;'Giao nhận &amp; Theo dõi đơn'!$B$7:$B$500&amp;", ")),--('Giao nhận &amp; Theo dõi đơn'!$AT$7:$AT$500&lt;&gt;""))+SUMPRODUCT(--ISNUMBER(SEARCH(", "&amp;$B45&amp;", ",", "&amp;'Bảng tin &amp; Chi tiết tin'!$B$7:$B$500&amp;", ")),--('Bảng tin &amp; Chi tiết tin'!$AT$7:$AT$500&lt;&gt;""))+SUMPRODUCT(--ISNUMBER(SEARCH(", "&amp;$B45&amp;", ",", "&amp;'Quà cảm ơn'!$B$7:$B$500&amp;", ")),--('Quà cảm ơn'!$AT$7:$AT$500&lt;&gt;""))+SUMPRODUCT(--ISNUMBER(SEARCH(", "&amp;$B45&amp;", ",", "&amp;'Trang chủ'!$B$7:$B$500&amp;", ")),--('Trang chủ'!$AT$7:$AT$500&lt;&gt;""))+SUMPRODUCT(--ISNUMBER(SEARCH(", "&amp;$B45&amp;", ",", "&amp;'Thông báo'!$B$7:$B$500&amp;", ")),--('Thông báo'!$AT$7:$AT$500&lt;&gt;""))+SUMPRODUCT(--ISNUMBER(SEARCH(", "&amp;$B45&amp;", ",", "&amp;'Đăng tin &amp; Quản lý tin'!$B$7:$B$500&amp;", ")),--('Đăng tin &amp; Quản lý tin'!$AT$7:$AT$500&lt;&gt;""))+SUMPRODUCT(--ISNUMBER(SEARCH(", "&amp;$B45&amp;", ",", "&amp;'Trust &amp; Safety'!$B$7:$B$500&amp;", ")),--('Trust &amp; Safety'!$AT$7:$AT$500&lt;&gt;""))+SUMPRODUCT(--ISNUMBER(SEARCH(", "&amp;$B45&amp;", ",", "&amp;'Tài khoản &amp; Hồ sơ'!$B$7:$B$500&amp;", ")),--('Tài khoản &amp; Hồ sơ'!$AT$7:$AT$500&lt;&gt;""))</f>
        <v>0</v>
      </c>
      <c r="G45" s="51" t="n">
        <f aca="false">SUMPRODUCT(--ISNUMBER(SEARCH(", "&amp;$B45&amp;", ",", "&amp;'Hoạt động (Đơn của tôi)'!$B$7:$B$500&amp;", ")),--('Hoạt động (Đơn của tôi)'!$AT$7:$AT$500="Pass"))+SUMPRODUCT(--ISNUMBER(SEARCH(", "&amp;$B45&amp;", ",", "&amp;'Ghép nối'!$B$7:$B$500&amp;", ")),--('Ghép nối'!$AT$7:$AT$500="Pass"))+SUMPRODUCT(--ISNUMBER(SEARCH(", "&amp;$B45&amp;", ",", "&amp;'Huỷ đơn - Huỷ nhận đơn'!$B$7:$B$500&amp;", ")),--('Huỷ đơn - Huỷ nhận đơn'!$AT$7:$AT$500="Pass"))+SUMPRODUCT(--ISNUMBER(SEARCH(", "&amp;$B45&amp;", ",", "&amp;'Giao nhận &amp; Theo dõi đơn'!$B$7:$B$500&amp;", ")),--('Giao nhận &amp; Theo dõi đơn'!$AT$7:$AT$500="Pass"))+SUMPRODUCT(--ISNUMBER(SEARCH(", "&amp;$B45&amp;", ",", "&amp;'Bảng tin &amp; Chi tiết tin'!$B$7:$B$500&amp;", ")),--('Bảng tin &amp; Chi tiết tin'!$AT$7:$AT$500="Pass"))+SUMPRODUCT(--ISNUMBER(SEARCH(", "&amp;$B45&amp;", ",", "&amp;'Quà cảm ơn'!$B$7:$B$500&amp;", ")),--('Quà cảm ơn'!$AT$7:$AT$500="Pass"))+SUMPRODUCT(--ISNUMBER(SEARCH(", "&amp;$B45&amp;", ",", "&amp;'Trang chủ'!$B$7:$B$500&amp;", ")),--('Trang chủ'!$AT$7:$AT$500="Pass"))+SUMPRODUCT(--ISNUMBER(SEARCH(", "&amp;$B45&amp;", ",", "&amp;'Thông báo'!$B$7:$B$500&amp;", ")),--('Thông báo'!$AT$7:$AT$500="Pass"))+SUMPRODUCT(--ISNUMBER(SEARCH(", "&amp;$B45&amp;", ",", "&amp;'Đăng tin &amp; Quản lý tin'!$B$7:$B$500&amp;", ")),--('Đăng tin &amp; Quản lý tin'!$AT$7:$AT$500="Pass"))+SUMPRODUCT(--ISNUMBER(SEARCH(", "&amp;$B45&amp;", ",", "&amp;'Trust &amp; Safety'!$B$7:$B$500&amp;", ")),--('Trust &amp; Safety'!$AT$7:$AT$500="Pass"))+SUMPRODUCT(--ISNUMBER(SEARCH(", "&amp;$B45&amp;", ",", "&amp;'Tài khoản &amp; Hồ sơ'!$B$7:$B$500&amp;", ")),--('Tài khoản &amp; Hồ sơ'!$AT$7:$AT$500="Pass"))</f>
        <v>0</v>
      </c>
      <c r="H45" s="51" t="n">
        <f aca="false">SUMPRODUCT(--ISNUMBER(SEARCH(", "&amp;$B45&amp;", ",", "&amp;'Hoạt động (Đơn của tôi)'!$B$7:$B$500&amp;", ")),--('Hoạt động (Đơn của tôi)'!$AT$7:$AT$500="Fail"))+SUMPRODUCT(--ISNUMBER(SEARCH(", "&amp;$B45&amp;", ",", "&amp;'Ghép nối'!$B$7:$B$500&amp;", ")),--('Ghép nối'!$AT$7:$AT$500="Fail"))+SUMPRODUCT(--ISNUMBER(SEARCH(", "&amp;$B45&amp;", ",", "&amp;'Huỷ đơn - Huỷ nhận đơn'!$B$7:$B$500&amp;", ")),--('Huỷ đơn - Huỷ nhận đơn'!$AT$7:$AT$500="Fail"))+SUMPRODUCT(--ISNUMBER(SEARCH(", "&amp;$B45&amp;", ",", "&amp;'Giao nhận &amp; Theo dõi đơn'!$B$7:$B$500&amp;", ")),--('Giao nhận &amp; Theo dõi đơn'!$AT$7:$AT$500="Fail"))+SUMPRODUCT(--ISNUMBER(SEARCH(", "&amp;$B45&amp;", ",", "&amp;'Bảng tin &amp; Chi tiết tin'!$B$7:$B$500&amp;", ")),--('Bảng tin &amp; Chi tiết tin'!$AT$7:$AT$500="Fail"))+SUMPRODUCT(--ISNUMBER(SEARCH(", "&amp;$B45&amp;", ",", "&amp;'Quà cảm ơn'!$B$7:$B$500&amp;", ")),--('Quà cảm ơn'!$AT$7:$AT$500="Fail"))+SUMPRODUCT(--ISNUMBER(SEARCH(", "&amp;$B45&amp;", ",", "&amp;'Trang chủ'!$B$7:$B$500&amp;", ")),--('Trang chủ'!$AT$7:$AT$500="Fail"))+SUMPRODUCT(--ISNUMBER(SEARCH(", "&amp;$B45&amp;", ",", "&amp;'Thông báo'!$B$7:$B$500&amp;", ")),--('Thông báo'!$AT$7:$AT$500="Fail"))+SUMPRODUCT(--ISNUMBER(SEARCH(", "&amp;$B45&amp;", ",", "&amp;'Đăng tin &amp; Quản lý tin'!$B$7:$B$500&amp;", ")),--('Đăng tin &amp; Quản lý tin'!$AT$7:$AT$500="Fail"))+SUMPRODUCT(--ISNUMBER(SEARCH(", "&amp;$B45&amp;", ",", "&amp;'Trust &amp; Safety'!$B$7:$B$500&amp;", ")),--('Trust &amp; Safety'!$AT$7:$AT$500="Fail"))+SUMPRODUCT(--ISNUMBER(SEARCH(", "&amp;$B45&amp;", ",", "&amp;'Tài khoản &amp; Hồ sơ'!$B$7:$B$500&amp;", ")),--('Tài khoản &amp; Hồ sơ'!$AT$7:$AT$500="Fail"))</f>
        <v>0</v>
      </c>
      <c r="I45" s="51" t="n">
        <f aca="false">SUMPRODUCT(--ISNUMBER(SEARCH(", "&amp;$B45&amp;", ",", "&amp;'Hoạt động (Đơn của tôi)'!$B$7:$B$500&amp;", ")),--('Hoạt động (Đơn của tôi)'!$AT$7:$AT$500="Block"))+SUMPRODUCT(--ISNUMBER(SEARCH(", "&amp;$B45&amp;", ",", "&amp;'Ghép nối'!$B$7:$B$500&amp;", ")),--('Ghép nối'!$AT$7:$AT$500="Block"))+SUMPRODUCT(--ISNUMBER(SEARCH(", "&amp;$B45&amp;", ",", "&amp;'Huỷ đơn - Huỷ nhận đơn'!$B$7:$B$500&amp;", ")),--('Huỷ đơn - Huỷ nhận đơn'!$AT$7:$AT$500="Block"))+SUMPRODUCT(--ISNUMBER(SEARCH(", "&amp;$B45&amp;", ",", "&amp;'Giao nhận &amp; Theo dõi đơn'!$B$7:$B$500&amp;", ")),--('Giao nhận &amp; Theo dõi đơn'!$AT$7:$AT$500="Block"))+SUMPRODUCT(--ISNUMBER(SEARCH(", "&amp;$B45&amp;", ",", "&amp;'Bảng tin &amp; Chi tiết tin'!$B$7:$B$500&amp;", ")),--('Bảng tin &amp; Chi tiết tin'!$AT$7:$AT$500="Block"))+SUMPRODUCT(--ISNUMBER(SEARCH(", "&amp;$B45&amp;", ",", "&amp;'Quà cảm ơn'!$B$7:$B$500&amp;", ")),--('Quà cảm ơn'!$AT$7:$AT$500="Block"))+SUMPRODUCT(--ISNUMBER(SEARCH(", "&amp;$B45&amp;", ",", "&amp;'Trang chủ'!$B$7:$B$500&amp;", ")),--('Trang chủ'!$AT$7:$AT$500="Block"))+SUMPRODUCT(--ISNUMBER(SEARCH(", "&amp;$B45&amp;", ",", "&amp;'Thông báo'!$B$7:$B$500&amp;", ")),--('Thông báo'!$AT$7:$AT$500="Block"))+SUMPRODUCT(--ISNUMBER(SEARCH(", "&amp;$B45&amp;", ",", "&amp;'Đăng tin &amp; Quản lý tin'!$B$7:$B$500&amp;", ")),--('Đăng tin &amp; Quản lý tin'!$AT$7:$AT$500="Block"))+SUMPRODUCT(--ISNUMBER(SEARCH(", "&amp;$B45&amp;", ",", "&amp;'Trust &amp; Safety'!$B$7:$B$500&amp;", ")),--('Trust &amp; Safety'!$AT$7:$AT$500="Block"))+SUMPRODUCT(--ISNUMBER(SEARCH(", "&amp;$B45&amp;", ",", "&amp;'Tài khoản &amp; Hồ sơ'!$B$7:$B$500&amp;", ")),--('Tài khoản &amp; Hồ sơ'!$AT$7:$AT$500="Block"))</f>
        <v>0</v>
      </c>
      <c r="J45" s="51" t="n">
        <f aca="false">SUMPRODUCT(--ISNUMBER(SEARCH(", "&amp;$B45&amp;", ",", "&amp;'Hoạt động (Đơn của tôi)'!$B$7:$B$500&amp;", ")),--('Hoạt động (Đơn của tôi)'!$AT$7:$AT$500="N/A"))+SUMPRODUCT(--ISNUMBER(SEARCH(", "&amp;$B45&amp;", ",", "&amp;'Ghép nối'!$B$7:$B$500&amp;", ")),--('Ghép nối'!$AT$7:$AT$500="N/A"))+SUMPRODUCT(--ISNUMBER(SEARCH(", "&amp;$B45&amp;", ",", "&amp;'Huỷ đơn - Huỷ nhận đơn'!$B$7:$B$500&amp;", ")),--('Huỷ đơn - Huỷ nhận đơn'!$AT$7:$AT$500="N/A"))+SUMPRODUCT(--ISNUMBER(SEARCH(", "&amp;$B45&amp;", ",", "&amp;'Giao nhận &amp; Theo dõi đơn'!$B$7:$B$500&amp;", ")),--('Giao nhận &amp; Theo dõi đơn'!$AT$7:$AT$500="N/A"))+SUMPRODUCT(--ISNUMBER(SEARCH(", "&amp;$B45&amp;", ",", "&amp;'Bảng tin &amp; Chi tiết tin'!$B$7:$B$500&amp;", ")),--('Bảng tin &amp; Chi tiết tin'!$AT$7:$AT$500="N/A"))+SUMPRODUCT(--ISNUMBER(SEARCH(", "&amp;$B45&amp;", ",", "&amp;'Quà cảm ơn'!$B$7:$B$500&amp;", ")),--('Quà cảm ơn'!$AT$7:$AT$500="N/A"))+SUMPRODUCT(--ISNUMBER(SEARCH(", "&amp;$B45&amp;", ",", "&amp;'Trang chủ'!$B$7:$B$500&amp;", ")),--('Trang chủ'!$AT$7:$AT$500="N/A"))+SUMPRODUCT(--ISNUMBER(SEARCH(", "&amp;$B45&amp;", ",", "&amp;'Thông báo'!$B$7:$B$500&amp;", ")),--('Thông báo'!$AT$7:$AT$500="N/A"))+SUMPRODUCT(--ISNUMBER(SEARCH(", "&amp;$B45&amp;", ",", "&amp;'Đăng tin &amp; Quản lý tin'!$B$7:$B$500&amp;", ")),--('Đăng tin &amp; Quản lý tin'!$AT$7:$AT$500="N/A"))+SUMPRODUCT(--ISNUMBER(SEARCH(", "&amp;$B45&amp;", ",", "&amp;'Trust &amp; Safety'!$B$7:$B$500&amp;", ")),--('Trust &amp; Safety'!$AT$7:$AT$500="N/A"))+SUMPRODUCT(--ISNUMBER(SEARCH(", "&amp;$B45&amp;", ",", "&amp;'Tài khoản &amp; Hồ sơ'!$B$7:$B$500&amp;", ")),--('Tài khoản &amp; Hồ sơ'!$AT$7:$AT$500="N/A"))</f>
        <v>0</v>
      </c>
      <c r="K45" s="52" t="n">
        <f aca="false">IFERROR(F45/E45,0)</f>
        <v>0</v>
      </c>
      <c r="L45" s="123" t="str">
        <f aca="false">IF(E45=0,"Chưa có TC (gap)",IF(H45&gt;0,"Có lỗi (Fail)",IF(I45&gt;0,"Bị block",IF(F45&lt;E45,"Đang test",IF(G45=0,"Không áp dụng (N/A)","Đã test xong")))))</f>
        <v>Đang test</v>
      </c>
      <c r="AB45" s="1" t="s">
        <v>436</v>
      </c>
    </row>
    <row r="46" customFormat="false" ht="15.75" hidden="false" customHeight="true" outlineLevel="0" collapsed="false">
      <c r="B46" s="175" t="s">
        <v>534</v>
      </c>
      <c r="C46" s="176" t="s">
        <v>535</v>
      </c>
      <c r="D46" s="123" t="s">
        <v>536</v>
      </c>
      <c r="E46" s="51" t="n">
        <f aca="false">SUMPRODUCT(--ISNUMBER(SEARCH(", "&amp;$B46&amp;", ",", "&amp;'Hoạt động (Đơn của tôi)'!$B$7:$B$500&amp;", ")))+SUMPRODUCT(--ISNUMBER(SEARCH(", "&amp;$B46&amp;", ",", "&amp;'Ghép nối'!$B$7:$B$500&amp;", ")))+SUMPRODUCT(--ISNUMBER(SEARCH(", "&amp;$B46&amp;", ",", "&amp;'Huỷ đơn - Huỷ nhận đơn'!$B$7:$B$500&amp;", ")))+SUMPRODUCT(--ISNUMBER(SEARCH(", "&amp;$B46&amp;", ",", "&amp;'Giao nhận &amp; Theo dõi đơn'!$B$7:$B$500&amp;", ")))+SUMPRODUCT(--ISNUMBER(SEARCH(", "&amp;$B46&amp;", ",", "&amp;'Bảng tin &amp; Chi tiết tin'!$B$7:$B$500&amp;", ")))+SUMPRODUCT(--ISNUMBER(SEARCH(", "&amp;$B46&amp;", ",", "&amp;'Quà cảm ơn'!$B$7:$B$500&amp;", ")))+SUMPRODUCT(--ISNUMBER(SEARCH(", "&amp;$B46&amp;", ",", "&amp;'Trang chủ'!$B$7:$B$500&amp;", ")))+SUMPRODUCT(--ISNUMBER(SEARCH(", "&amp;$B46&amp;", ",", "&amp;'Thông báo'!$B$7:$B$500&amp;", ")))+SUMPRODUCT(--ISNUMBER(SEARCH(", "&amp;$B46&amp;", ",", "&amp;'Đăng tin &amp; Quản lý tin'!$B$7:$B$500&amp;", ")))+SUMPRODUCT(--ISNUMBER(SEARCH(", "&amp;$B46&amp;", ",", "&amp;'Trust &amp; Safety'!$B$7:$B$500&amp;", ")))+SUMPRODUCT(--ISNUMBER(SEARCH(", "&amp;$B46&amp;", ",", "&amp;'Tài khoản &amp; Hồ sơ'!$B$7:$B$500&amp;", ")))</f>
        <v>3</v>
      </c>
      <c r="F46" s="51" t="n">
        <f aca="false">SUMPRODUCT(--ISNUMBER(SEARCH(", "&amp;$B46&amp;", ",", "&amp;'Hoạt động (Đơn của tôi)'!$B$7:$B$500&amp;", ")),--('Hoạt động (Đơn của tôi)'!$AT$7:$AT$500&lt;&gt;""))+SUMPRODUCT(--ISNUMBER(SEARCH(", "&amp;$B46&amp;", ",", "&amp;'Ghép nối'!$B$7:$B$500&amp;", ")),--('Ghép nối'!$AT$7:$AT$500&lt;&gt;""))+SUMPRODUCT(--ISNUMBER(SEARCH(", "&amp;$B46&amp;", ",", "&amp;'Huỷ đơn - Huỷ nhận đơn'!$B$7:$B$500&amp;", ")),--('Huỷ đơn - Huỷ nhận đơn'!$AT$7:$AT$500&lt;&gt;""))+SUMPRODUCT(--ISNUMBER(SEARCH(", "&amp;$B46&amp;", ",", "&amp;'Giao nhận &amp; Theo dõi đơn'!$B$7:$B$500&amp;", ")),--('Giao nhận &amp; Theo dõi đơn'!$AT$7:$AT$500&lt;&gt;""))+SUMPRODUCT(--ISNUMBER(SEARCH(", "&amp;$B46&amp;", ",", "&amp;'Bảng tin &amp; Chi tiết tin'!$B$7:$B$500&amp;", ")),--('Bảng tin &amp; Chi tiết tin'!$AT$7:$AT$500&lt;&gt;""))+SUMPRODUCT(--ISNUMBER(SEARCH(", "&amp;$B46&amp;", ",", "&amp;'Quà cảm ơn'!$B$7:$B$500&amp;", ")),--('Quà cảm ơn'!$AT$7:$AT$500&lt;&gt;""))+SUMPRODUCT(--ISNUMBER(SEARCH(", "&amp;$B46&amp;", ",", "&amp;'Trang chủ'!$B$7:$B$500&amp;", ")),--('Trang chủ'!$AT$7:$AT$500&lt;&gt;""))+SUMPRODUCT(--ISNUMBER(SEARCH(", "&amp;$B46&amp;", ",", "&amp;'Thông báo'!$B$7:$B$500&amp;", ")),--('Thông báo'!$AT$7:$AT$500&lt;&gt;""))+SUMPRODUCT(--ISNUMBER(SEARCH(", "&amp;$B46&amp;", ",", "&amp;'Đăng tin &amp; Quản lý tin'!$B$7:$B$500&amp;", ")),--('Đăng tin &amp; Quản lý tin'!$AT$7:$AT$500&lt;&gt;""))+SUMPRODUCT(--ISNUMBER(SEARCH(", "&amp;$B46&amp;", ",", "&amp;'Trust &amp; Safety'!$B$7:$B$500&amp;", ")),--('Trust &amp; Safety'!$AT$7:$AT$500&lt;&gt;""))+SUMPRODUCT(--ISNUMBER(SEARCH(", "&amp;$B46&amp;", ",", "&amp;'Tài khoản &amp; Hồ sơ'!$B$7:$B$500&amp;", ")),--('Tài khoản &amp; Hồ sơ'!$AT$7:$AT$500&lt;&gt;""))</f>
        <v>0</v>
      </c>
      <c r="G46" s="51" t="n">
        <f aca="false">SUMPRODUCT(--ISNUMBER(SEARCH(", "&amp;$B46&amp;", ",", "&amp;'Hoạt động (Đơn của tôi)'!$B$7:$B$500&amp;", ")),--('Hoạt động (Đơn của tôi)'!$AT$7:$AT$500="Pass"))+SUMPRODUCT(--ISNUMBER(SEARCH(", "&amp;$B46&amp;", ",", "&amp;'Ghép nối'!$B$7:$B$500&amp;", ")),--('Ghép nối'!$AT$7:$AT$500="Pass"))+SUMPRODUCT(--ISNUMBER(SEARCH(", "&amp;$B46&amp;", ",", "&amp;'Huỷ đơn - Huỷ nhận đơn'!$B$7:$B$500&amp;", ")),--('Huỷ đơn - Huỷ nhận đơn'!$AT$7:$AT$500="Pass"))+SUMPRODUCT(--ISNUMBER(SEARCH(", "&amp;$B46&amp;", ",", "&amp;'Giao nhận &amp; Theo dõi đơn'!$B$7:$B$500&amp;", ")),--('Giao nhận &amp; Theo dõi đơn'!$AT$7:$AT$500="Pass"))+SUMPRODUCT(--ISNUMBER(SEARCH(", "&amp;$B46&amp;", ",", "&amp;'Bảng tin &amp; Chi tiết tin'!$B$7:$B$500&amp;", ")),--('Bảng tin &amp; Chi tiết tin'!$AT$7:$AT$500="Pass"))+SUMPRODUCT(--ISNUMBER(SEARCH(", "&amp;$B46&amp;", ",", "&amp;'Quà cảm ơn'!$B$7:$B$500&amp;", ")),--('Quà cảm ơn'!$AT$7:$AT$500="Pass"))+SUMPRODUCT(--ISNUMBER(SEARCH(", "&amp;$B46&amp;", ",", "&amp;'Trang chủ'!$B$7:$B$500&amp;", ")),--('Trang chủ'!$AT$7:$AT$500="Pass"))+SUMPRODUCT(--ISNUMBER(SEARCH(", "&amp;$B46&amp;", ",", "&amp;'Thông báo'!$B$7:$B$500&amp;", ")),--('Thông báo'!$AT$7:$AT$500="Pass"))+SUMPRODUCT(--ISNUMBER(SEARCH(", "&amp;$B46&amp;", ",", "&amp;'Đăng tin &amp; Quản lý tin'!$B$7:$B$500&amp;", ")),--('Đăng tin &amp; Quản lý tin'!$AT$7:$AT$500="Pass"))+SUMPRODUCT(--ISNUMBER(SEARCH(", "&amp;$B46&amp;", ",", "&amp;'Trust &amp; Safety'!$B$7:$B$500&amp;", ")),--('Trust &amp; Safety'!$AT$7:$AT$500="Pass"))+SUMPRODUCT(--ISNUMBER(SEARCH(", "&amp;$B46&amp;", ",", "&amp;'Tài khoản &amp; Hồ sơ'!$B$7:$B$500&amp;", ")),--('Tài khoản &amp; Hồ sơ'!$AT$7:$AT$500="Pass"))</f>
        <v>0</v>
      </c>
      <c r="H46" s="51" t="n">
        <f aca="false">SUMPRODUCT(--ISNUMBER(SEARCH(", "&amp;$B46&amp;", ",", "&amp;'Hoạt động (Đơn của tôi)'!$B$7:$B$500&amp;", ")),--('Hoạt động (Đơn của tôi)'!$AT$7:$AT$500="Fail"))+SUMPRODUCT(--ISNUMBER(SEARCH(", "&amp;$B46&amp;", ",", "&amp;'Ghép nối'!$B$7:$B$500&amp;", ")),--('Ghép nối'!$AT$7:$AT$500="Fail"))+SUMPRODUCT(--ISNUMBER(SEARCH(", "&amp;$B46&amp;", ",", "&amp;'Huỷ đơn - Huỷ nhận đơn'!$B$7:$B$500&amp;", ")),--('Huỷ đơn - Huỷ nhận đơn'!$AT$7:$AT$500="Fail"))+SUMPRODUCT(--ISNUMBER(SEARCH(", "&amp;$B46&amp;", ",", "&amp;'Giao nhận &amp; Theo dõi đơn'!$B$7:$B$500&amp;", ")),--('Giao nhận &amp; Theo dõi đơn'!$AT$7:$AT$500="Fail"))+SUMPRODUCT(--ISNUMBER(SEARCH(", "&amp;$B46&amp;", ",", "&amp;'Bảng tin &amp; Chi tiết tin'!$B$7:$B$500&amp;", ")),--('Bảng tin &amp; Chi tiết tin'!$AT$7:$AT$500="Fail"))+SUMPRODUCT(--ISNUMBER(SEARCH(", "&amp;$B46&amp;", ",", "&amp;'Quà cảm ơn'!$B$7:$B$500&amp;", ")),--('Quà cảm ơn'!$AT$7:$AT$500="Fail"))+SUMPRODUCT(--ISNUMBER(SEARCH(", "&amp;$B46&amp;", ",", "&amp;'Trang chủ'!$B$7:$B$500&amp;", ")),--('Trang chủ'!$AT$7:$AT$500="Fail"))+SUMPRODUCT(--ISNUMBER(SEARCH(", "&amp;$B46&amp;", ",", "&amp;'Thông báo'!$B$7:$B$500&amp;", ")),--('Thông báo'!$AT$7:$AT$500="Fail"))+SUMPRODUCT(--ISNUMBER(SEARCH(", "&amp;$B46&amp;", ",", "&amp;'Đăng tin &amp; Quản lý tin'!$B$7:$B$500&amp;", ")),--('Đăng tin &amp; Quản lý tin'!$AT$7:$AT$500="Fail"))+SUMPRODUCT(--ISNUMBER(SEARCH(", "&amp;$B46&amp;", ",", "&amp;'Trust &amp; Safety'!$B$7:$B$500&amp;", ")),--('Trust &amp; Safety'!$AT$7:$AT$500="Fail"))+SUMPRODUCT(--ISNUMBER(SEARCH(", "&amp;$B46&amp;", ",", "&amp;'Tài khoản &amp; Hồ sơ'!$B$7:$B$500&amp;", ")),--('Tài khoản &amp; Hồ sơ'!$AT$7:$AT$500="Fail"))</f>
        <v>0</v>
      </c>
      <c r="I46" s="51" t="n">
        <f aca="false">SUMPRODUCT(--ISNUMBER(SEARCH(", "&amp;$B46&amp;", ",", "&amp;'Hoạt động (Đơn của tôi)'!$B$7:$B$500&amp;", ")),--('Hoạt động (Đơn của tôi)'!$AT$7:$AT$500="Block"))+SUMPRODUCT(--ISNUMBER(SEARCH(", "&amp;$B46&amp;", ",", "&amp;'Ghép nối'!$B$7:$B$500&amp;", ")),--('Ghép nối'!$AT$7:$AT$500="Block"))+SUMPRODUCT(--ISNUMBER(SEARCH(", "&amp;$B46&amp;", ",", "&amp;'Huỷ đơn - Huỷ nhận đơn'!$B$7:$B$500&amp;", ")),--('Huỷ đơn - Huỷ nhận đơn'!$AT$7:$AT$500="Block"))+SUMPRODUCT(--ISNUMBER(SEARCH(", "&amp;$B46&amp;", ",", "&amp;'Giao nhận &amp; Theo dõi đơn'!$B$7:$B$500&amp;", ")),--('Giao nhận &amp; Theo dõi đơn'!$AT$7:$AT$500="Block"))+SUMPRODUCT(--ISNUMBER(SEARCH(", "&amp;$B46&amp;", ",", "&amp;'Bảng tin &amp; Chi tiết tin'!$B$7:$B$500&amp;", ")),--('Bảng tin &amp; Chi tiết tin'!$AT$7:$AT$500="Block"))+SUMPRODUCT(--ISNUMBER(SEARCH(", "&amp;$B46&amp;", ",", "&amp;'Quà cảm ơn'!$B$7:$B$500&amp;", ")),--('Quà cảm ơn'!$AT$7:$AT$500="Block"))+SUMPRODUCT(--ISNUMBER(SEARCH(", "&amp;$B46&amp;", ",", "&amp;'Trang chủ'!$B$7:$B$500&amp;", ")),--('Trang chủ'!$AT$7:$AT$500="Block"))+SUMPRODUCT(--ISNUMBER(SEARCH(", "&amp;$B46&amp;", ",", "&amp;'Thông báo'!$B$7:$B$500&amp;", ")),--('Thông báo'!$AT$7:$AT$500="Block"))+SUMPRODUCT(--ISNUMBER(SEARCH(", "&amp;$B46&amp;", ",", "&amp;'Đăng tin &amp; Quản lý tin'!$B$7:$B$500&amp;", ")),--('Đăng tin &amp; Quản lý tin'!$AT$7:$AT$500="Block"))+SUMPRODUCT(--ISNUMBER(SEARCH(", "&amp;$B46&amp;", ",", "&amp;'Trust &amp; Safety'!$B$7:$B$500&amp;", ")),--('Trust &amp; Safety'!$AT$7:$AT$500="Block"))+SUMPRODUCT(--ISNUMBER(SEARCH(", "&amp;$B46&amp;", ",", "&amp;'Tài khoản &amp; Hồ sơ'!$B$7:$B$500&amp;", ")),--('Tài khoản &amp; Hồ sơ'!$AT$7:$AT$500="Block"))</f>
        <v>0</v>
      </c>
      <c r="J46" s="51" t="n">
        <f aca="false">SUMPRODUCT(--ISNUMBER(SEARCH(", "&amp;$B46&amp;", ",", "&amp;'Hoạt động (Đơn của tôi)'!$B$7:$B$500&amp;", ")),--('Hoạt động (Đơn của tôi)'!$AT$7:$AT$500="N/A"))+SUMPRODUCT(--ISNUMBER(SEARCH(", "&amp;$B46&amp;", ",", "&amp;'Ghép nối'!$B$7:$B$500&amp;", ")),--('Ghép nối'!$AT$7:$AT$500="N/A"))+SUMPRODUCT(--ISNUMBER(SEARCH(", "&amp;$B46&amp;", ",", "&amp;'Huỷ đơn - Huỷ nhận đơn'!$B$7:$B$500&amp;", ")),--('Huỷ đơn - Huỷ nhận đơn'!$AT$7:$AT$500="N/A"))+SUMPRODUCT(--ISNUMBER(SEARCH(", "&amp;$B46&amp;", ",", "&amp;'Giao nhận &amp; Theo dõi đơn'!$B$7:$B$500&amp;", ")),--('Giao nhận &amp; Theo dõi đơn'!$AT$7:$AT$500="N/A"))+SUMPRODUCT(--ISNUMBER(SEARCH(", "&amp;$B46&amp;", ",", "&amp;'Bảng tin &amp; Chi tiết tin'!$B$7:$B$500&amp;", ")),--('Bảng tin &amp; Chi tiết tin'!$AT$7:$AT$500="N/A"))+SUMPRODUCT(--ISNUMBER(SEARCH(", "&amp;$B46&amp;", ",", "&amp;'Quà cảm ơn'!$B$7:$B$500&amp;", ")),--('Quà cảm ơn'!$AT$7:$AT$500="N/A"))+SUMPRODUCT(--ISNUMBER(SEARCH(", "&amp;$B46&amp;", ",", "&amp;'Trang chủ'!$B$7:$B$500&amp;", ")),--('Trang chủ'!$AT$7:$AT$500="N/A"))+SUMPRODUCT(--ISNUMBER(SEARCH(", "&amp;$B46&amp;", ",", "&amp;'Thông báo'!$B$7:$B$500&amp;", ")),--('Thông báo'!$AT$7:$AT$500="N/A"))+SUMPRODUCT(--ISNUMBER(SEARCH(", "&amp;$B46&amp;", ",", "&amp;'Đăng tin &amp; Quản lý tin'!$B$7:$B$500&amp;", ")),--('Đăng tin &amp; Quản lý tin'!$AT$7:$AT$500="N/A"))+SUMPRODUCT(--ISNUMBER(SEARCH(", "&amp;$B46&amp;", ",", "&amp;'Trust &amp; Safety'!$B$7:$B$500&amp;", ")),--('Trust &amp; Safety'!$AT$7:$AT$500="N/A"))+SUMPRODUCT(--ISNUMBER(SEARCH(", "&amp;$B46&amp;", ",", "&amp;'Tài khoản &amp; Hồ sơ'!$B$7:$B$500&amp;", ")),--('Tài khoản &amp; Hồ sơ'!$AT$7:$AT$500="N/A"))</f>
        <v>0</v>
      </c>
      <c r="K46" s="52" t="n">
        <f aca="false">IFERROR(F46/E46,0)</f>
        <v>0</v>
      </c>
      <c r="L46" s="123" t="str">
        <f aca="false">IF(E46=0,"Chưa có TC (gap)",IF(H46&gt;0,"Có lỗi (Fail)",IF(I46&gt;0,"Bị block",IF(F46&lt;E46,"Đang test",IF(G46=0,"Không áp dụng (N/A)","Đã test xong")))))</f>
        <v>Đang test</v>
      </c>
      <c r="AB46" s="1" t="s">
        <v>436</v>
      </c>
    </row>
    <row r="47" customFormat="false" ht="15.75" hidden="false" customHeight="true" outlineLevel="0" collapsed="false">
      <c r="B47" s="175" t="s">
        <v>537</v>
      </c>
      <c r="C47" s="176" t="s">
        <v>538</v>
      </c>
      <c r="D47" s="123" t="s">
        <v>539</v>
      </c>
      <c r="E47" s="51" t="n">
        <f aca="false">SUMPRODUCT(--ISNUMBER(SEARCH(", "&amp;$B47&amp;", ",", "&amp;'Hoạt động (Đơn của tôi)'!$B$7:$B$500&amp;", ")))+SUMPRODUCT(--ISNUMBER(SEARCH(", "&amp;$B47&amp;", ",", "&amp;'Ghép nối'!$B$7:$B$500&amp;", ")))+SUMPRODUCT(--ISNUMBER(SEARCH(", "&amp;$B47&amp;", ",", "&amp;'Huỷ đơn - Huỷ nhận đơn'!$B$7:$B$500&amp;", ")))+SUMPRODUCT(--ISNUMBER(SEARCH(", "&amp;$B47&amp;", ",", "&amp;'Giao nhận &amp; Theo dõi đơn'!$B$7:$B$500&amp;", ")))+SUMPRODUCT(--ISNUMBER(SEARCH(", "&amp;$B47&amp;", ",", "&amp;'Bảng tin &amp; Chi tiết tin'!$B$7:$B$500&amp;", ")))+SUMPRODUCT(--ISNUMBER(SEARCH(", "&amp;$B47&amp;", ",", "&amp;'Quà cảm ơn'!$B$7:$B$500&amp;", ")))+SUMPRODUCT(--ISNUMBER(SEARCH(", "&amp;$B47&amp;", ",", "&amp;'Trang chủ'!$B$7:$B$500&amp;", ")))+SUMPRODUCT(--ISNUMBER(SEARCH(", "&amp;$B47&amp;", ",", "&amp;'Thông báo'!$B$7:$B$500&amp;", ")))+SUMPRODUCT(--ISNUMBER(SEARCH(", "&amp;$B47&amp;", ",", "&amp;'Đăng tin &amp; Quản lý tin'!$B$7:$B$500&amp;", ")))+SUMPRODUCT(--ISNUMBER(SEARCH(", "&amp;$B47&amp;", ",", "&amp;'Trust &amp; Safety'!$B$7:$B$500&amp;", ")))+SUMPRODUCT(--ISNUMBER(SEARCH(", "&amp;$B47&amp;", ",", "&amp;'Tài khoản &amp; Hồ sơ'!$B$7:$B$500&amp;", ")))</f>
        <v>1</v>
      </c>
      <c r="F47" s="51" t="n">
        <f aca="false">SUMPRODUCT(--ISNUMBER(SEARCH(", "&amp;$B47&amp;", ",", "&amp;'Hoạt động (Đơn của tôi)'!$B$7:$B$500&amp;", ")),--('Hoạt động (Đơn của tôi)'!$AT$7:$AT$500&lt;&gt;""))+SUMPRODUCT(--ISNUMBER(SEARCH(", "&amp;$B47&amp;", ",", "&amp;'Ghép nối'!$B$7:$B$500&amp;", ")),--('Ghép nối'!$AT$7:$AT$500&lt;&gt;""))+SUMPRODUCT(--ISNUMBER(SEARCH(", "&amp;$B47&amp;", ",", "&amp;'Huỷ đơn - Huỷ nhận đơn'!$B$7:$B$500&amp;", ")),--('Huỷ đơn - Huỷ nhận đơn'!$AT$7:$AT$500&lt;&gt;""))+SUMPRODUCT(--ISNUMBER(SEARCH(", "&amp;$B47&amp;", ",", "&amp;'Giao nhận &amp; Theo dõi đơn'!$B$7:$B$500&amp;", ")),--('Giao nhận &amp; Theo dõi đơn'!$AT$7:$AT$500&lt;&gt;""))+SUMPRODUCT(--ISNUMBER(SEARCH(", "&amp;$B47&amp;", ",", "&amp;'Bảng tin &amp; Chi tiết tin'!$B$7:$B$500&amp;", ")),--('Bảng tin &amp; Chi tiết tin'!$AT$7:$AT$500&lt;&gt;""))+SUMPRODUCT(--ISNUMBER(SEARCH(", "&amp;$B47&amp;", ",", "&amp;'Quà cảm ơn'!$B$7:$B$500&amp;", ")),--('Quà cảm ơn'!$AT$7:$AT$500&lt;&gt;""))+SUMPRODUCT(--ISNUMBER(SEARCH(", "&amp;$B47&amp;", ",", "&amp;'Trang chủ'!$B$7:$B$500&amp;", ")),--('Trang chủ'!$AT$7:$AT$500&lt;&gt;""))+SUMPRODUCT(--ISNUMBER(SEARCH(", "&amp;$B47&amp;", ",", "&amp;'Thông báo'!$B$7:$B$500&amp;", ")),--('Thông báo'!$AT$7:$AT$500&lt;&gt;""))+SUMPRODUCT(--ISNUMBER(SEARCH(", "&amp;$B47&amp;", ",", "&amp;'Đăng tin &amp; Quản lý tin'!$B$7:$B$500&amp;", ")),--('Đăng tin &amp; Quản lý tin'!$AT$7:$AT$500&lt;&gt;""))+SUMPRODUCT(--ISNUMBER(SEARCH(", "&amp;$B47&amp;", ",", "&amp;'Trust &amp; Safety'!$B$7:$B$500&amp;", ")),--('Trust &amp; Safety'!$AT$7:$AT$500&lt;&gt;""))+SUMPRODUCT(--ISNUMBER(SEARCH(", "&amp;$B47&amp;", ",", "&amp;'Tài khoản &amp; Hồ sơ'!$B$7:$B$500&amp;", ")),--('Tài khoản &amp; Hồ sơ'!$AT$7:$AT$500&lt;&gt;""))</f>
        <v>0</v>
      </c>
      <c r="G47" s="51" t="n">
        <f aca="false">SUMPRODUCT(--ISNUMBER(SEARCH(", "&amp;$B47&amp;", ",", "&amp;'Hoạt động (Đơn của tôi)'!$B$7:$B$500&amp;", ")),--('Hoạt động (Đơn của tôi)'!$AT$7:$AT$500="Pass"))+SUMPRODUCT(--ISNUMBER(SEARCH(", "&amp;$B47&amp;", ",", "&amp;'Ghép nối'!$B$7:$B$500&amp;", ")),--('Ghép nối'!$AT$7:$AT$500="Pass"))+SUMPRODUCT(--ISNUMBER(SEARCH(", "&amp;$B47&amp;", ",", "&amp;'Huỷ đơn - Huỷ nhận đơn'!$B$7:$B$500&amp;", ")),--('Huỷ đơn - Huỷ nhận đơn'!$AT$7:$AT$500="Pass"))+SUMPRODUCT(--ISNUMBER(SEARCH(", "&amp;$B47&amp;", ",", "&amp;'Giao nhận &amp; Theo dõi đơn'!$B$7:$B$500&amp;", ")),--('Giao nhận &amp; Theo dõi đơn'!$AT$7:$AT$500="Pass"))+SUMPRODUCT(--ISNUMBER(SEARCH(", "&amp;$B47&amp;", ",", "&amp;'Bảng tin &amp; Chi tiết tin'!$B$7:$B$500&amp;", ")),--('Bảng tin &amp; Chi tiết tin'!$AT$7:$AT$500="Pass"))+SUMPRODUCT(--ISNUMBER(SEARCH(", "&amp;$B47&amp;", ",", "&amp;'Quà cảm ơn'!$B$7:$B$500&amp;", ")),--('Quà cảm ơn'!$AT$7:$AT$500="Pass"))+SUMPRODUCT(--ISNUMBER(SEARCH(", "&amp;$B47&amp;", ",", "&amp;'Trang chủ'!$B$7:$B$500&amp;", ")),--('Trang chủ'!$AT$7:$AT$500="Pass"))+SUMPRODUCT(--ISNUMBER(SEARCH(", "&amp;$B47&amp;", ",", "&amp;'Thông báo'!$B$7:$B$500&amp;", ")),--('Thông báo'!$AT$7:$AT$500="Pass"))+SUMPRODUCT(--ISNUMBER(SEARCH(", "&amp;$B47&amp;", ",", "&amp;'Đăng tin &amp; Quản lý tin'!$B$7:$B$500&amp;", ")),--('Đăng tin &amp; Quản lý tin'!$AT$7:$AT$500="Pass"))+SUMPRODUCT(--ISNUMBER(SEARCH(", "&amp;$B47&amp;", ",", "&amp;'Trust &amp; Safety'!$B$7:$B$500&amp;", ")),--('Trust &amp; Safety'!$AT$7:$AT$500="Pass"))+SUMPRODUCT(--ISNUMBER(SEARCH(", "&amp;$B47&amp;", ",", "&amp;'Tài khoản &amp; Hồ sơ'!$B$7:$B$500&amp;", ")),--('Tài khoản &amp; Hồ sơ'!$AT$7:$AT$500="Pass"))</f>
        <v>0</v>
      </c>
      <c r="H47" s="51" t="n">
        <f aca="false">SUMPRODUCT(--ISNUMBER(SEARCH(", "&amp;$B47&amp;", ",", "&amp;'Hoạt động (Đơn của tôi)'!$B$7:$B$500&amp;", ")),--('Hoạt động (Đơn của tôi)'!$AT$7:$AT$500="Fail"))+SUMPRODUCT(--ISNUMBER(SEARCH(", "&amp;$B47&amp;", ",", "&amp;'Ghép nối'!$B$7:$B$500&amp;", ")),--('Ghép nối'!$AT$7:$AT$500="Fail"))+SUMPRODUCT(--ISNUMBER(SEARCH(", "&amp;$B47&amp;", ",", "&amp;'Huỷ đơn - Huỷ nhận đơn'!$B$7:$B$500&amp;", ")),--('Huỷ đơn - Huỷ nhận đơn'!$AT$7:$AT$500="Fail"))+SUMPRODUCT(--ISNUMBER(SEARCH(", "&amp;$B47&amp;", ",", "&amp;'Giao nhận &amp; Theo dõi đơn'!$B$7:$B$500&amp;", ")),--('Giao nhận &amp; Theo dõi đơn'!$AT$7:$AT$500="Fail"))+SUMPRODUCT(--ISNUMBER(SEARCH(", "&amp;$B47&amp;", ",", "&amp;'Bảng tin &amp; Chi tiết tin'!$B$7:$B$500&amp;", ")),--('Bảng tin &amp; Chi tiết tin'!$AT$7:$AT$500="Fail"))+SUMPRODUCT(--ISNUMBER(SEARCH(", "&amp;$B47&amp;", ",", "&amp;'Quà cảm ơn'!$B$7:$B$500&amp;", ")),--('Quà cảm ơn'!$AT$7:$AT$500="Fail"))+SUMPRODUCT(--ISNUMBER(SEARCH(", "&amp;$B47&amp;", ",", "&amp;'Trang chủ'!$B$7:$B$500&amp;", ")),--('Trang chủ'!$AT$7:$AT$500="Fail"))+SUMPRODUCT(--ISNUMBER(SEARCH(", "&amp;$B47&amp;", ",", "&amp;'Thông báo'!$B$7:$B$500&amp;", ")),--('Thông báo'!$AT$7:$AT$500="Fail"))+SUMPRODUCT(--ISNUMBER(SEARCH(", "&amp;$B47&amp;", ",", "&amp;'Đăng tin &amp; Quản lý tin'!$B$7:$B$500&amp;", ")),--('Đăng tin &amp; Quản lý tin'!$AT$7:$AT$500="Fail"))+SUMPRODUCT(--ISNUMBER(SEARCH(", "&amp;$B47&amp;", ",", "&amp;'Trust &amp; Safety'!$B$7:$B$500&amp;", ")),--('Trust &amp; Safety'!$AT$7:$AT$500="Fail"))+SUMPRODUCT(--ISNUMBER(SEARCH(", "&amp;$B47&amp;", ",", "&amp;'Tài khoản &amp; Hồ sơ'!$B$7:$B$500&amp;", ")),--('Tài khoản &amp; Hồ sơ'!$AT$7:$AT$500="Fail"))</f>
        <v>0</v>
      </c>
      <c r="I47" s="51" t="n">
        <f aca="false">SUMPRODUCT(--ISNUMBER(SEARCH(", "&amp;$B47&amp;", ",", "&amp;'Hoạt động (Đơn của tôi)'!$B$7:$B$500&amp;", ")),--('Hoạt động (Đơn của tôi)'!$AT$7:$AT$500="Block"))+SUMPRODUCT(--ISNUMBER(SEARCH(", "&amp;$B47&amp;", ",", "&amp;'Ghép nối'!$B$7:$B$500&amp;", ")),--('Ghép nối'!$AT$7:$AT$500="Block"))+SUMPRODUCT(--ISNUMBER(SEARCH(", "&amp;$B47&amp;", ",", "&amp;'Huỷ đơn - Huỷ nhận đơn'!$B$7:$B$500&amp;", ")),--('Huỷ đơn - Huỷ nhận đơn'!$AT$7:$AT$500="Block"))+SUMPRODUCT(--ISNUMBER(SEARCH(", "&amp;$B47&amp;", ",", "&amp;'Giao nhận &amp; Theo dõi đơn'!$B$7:$B$500&amp;", ")),--('Giao nhận &amp; Theo dõi đơn'!$AT$7:$AT$500="Block"))+SUMPRODUCT(--ISNUMBER(SEARCH(", "&amp;$B47&amp;", ",", "&amp;'Bảng tin &amp; Chi tiết tin'!$B$7:$B$500&amp;", ")),--('Bảng tin &amp; Chi tiết tin'!$AT$7:$AT$500="Block"))+SUMPRODUCT(--ISNUMBER(SEARCH(", "&amp;$B47&amp;", ",", "&amp;'Quà cảm ơn'!$B$7:$B$500&amp;", ")),--('Quà cảm ơn'!$AT$7:$AT$500="Block"))+SUMPRODUCT(--ISNUMBER(SEARCH(", "&amp;$B47&amp;", ",", "&amp;'Trang chủ'!$B$7:$B$500&amp;", ")),--('Trang chủ'!$AT$7:$AT$500="Block"))+SUMPRODUCT(--ISNUMBER(SEARCH(", "&amp;$B47&amp;", ",", "&amp;'Thông báo'!$B$7:$B$500&amp;", ")),--('Thông báo'!$AT$7:$AT$500="Block"))+SUMPRODUCT(--ISNUMBER(SEARCH(", "&amp;$B47&amp;", ",", "&amp;'Đăng tin &amp; Quản lý tin'!$B$7:$B$500&amp;", ")),--('Đăng tin &amp; Quản lý tin'!$AT$7:$AT$500="Block"))+SUMPRODUCT(--ISNUMBER(SEARCH(", "&amp;$B47&amp;", ",", "&amp;'Trust &amp; Safety'!$B$7:$B$500&amp;", ")),--('Trust &amp; Safety'!$AT$7:$AT$500="Block"))+SUMPRODUCT(--ISNUMBER(SEARCH(", "&amp;$B47&amp;", ",", "&amp;'Tài khoản &amp; Hồ sơ'!$B$7:$B$500&amp;", ")),--('Tài khoản &amp; Hồ sơ'!$AT$7:$AT$500="Block"))</f>
        <v>0</v>
      </c>
      <c r="J47" s="51" t="n">
        <f aca="false">SUMPRODUCT(--ISNUMBER(SEARCH(", "&amp;$B47&amp;", ",", "&amp;'Hoạt động (Đơn của tôi)'!$B$7:$B$500&amp;", ")),--('Hoạt động (Đơn của tôi)'!$AT$7:$AT$500="N/A"))+SUMPRODUCT(--ISNUMBER(SEARCH(", "&amp;$B47&amp;", ",", "&amp;'Ghép nối'!$B$7:$B$500&amp;", ")),--('Ghép nối'!$AT$7:$AT$500="N/A"))+SUMPRODUCT(--ISNUMBER(SEARCH(", "&amp;$B47&amp;", ",", "&amp;'Huỷ đơn - Huỷ nhận đơn'!$B$7:$B$500&amp;", ")),--('Huỷ đơn - Huỷ nhận đơn'!$AT$7:$AT$500="N/A"))+SUMPRODUCT(--ISNUMBER(SEARCH(", "&amp;$B47&amp;", ",", "&amp;'Giao nhận &amp; Theo dõi đơn'!$B$7:$B$500&amp;", ")),--('Giao nhận &amp; Theo dõi đơn'!$AT$7:$AT$500="N/A"))+SUMPRODUCT(--ISNUMBER(SEARCH(", "&amp;$B47&amp;", ",", "&amp;'Bảng tin &amp; Chi tiết tin'!$B$7:$B$500&amp;", ")),--('Bảng tin &amp; Chi tiết tin'!$AT$7:$AT$500="N/A"))+SUMPRODUCT(--ISNUMBER(SEARCH(", "&amp;$B47&amp;", ",", "&amp;'Quà cảm ơn'!$B$7:$B$500&amp;", ")),--('Quà cảm ơn'!$AT$7:$AT$500="N/A"))+SUMPRODUCT(--ISNUMBER(SEARCH(", "&amp;$B47&amp;", ",", "&amp;'Trang chủ'!$B$7:$B$500&amp;", ")),--('Trang chủ'!$AT$7:$AT$500="N/A"))+SUMPRODUCT(--ISNUMBER(SEARCH(", "&amp;$B47&amp;", ",", "&amp;'Thông báo'!$B$7:$B$500&amp;", ")),--('Thông báo'!$AT$7:$AT$500="N/A"))+SUMPRODUCT(--ISNUMBER(SEARCH(", "&amp;$B47&amp;", ",", "&amp;'Đăng tin &amp; Quản lý tin'!$B$7:$B$500&amp;", ")),--('Đăng tin &amp; Quản lý tin'!$AT$7:$AT$500="N/A"))+SUMPRODUCT(--ISNUMBER(SEARCH(", "&amp;$B47&amp;", ",", "&amp;'Trust &amp; Safety'!$B$7:$B$500&amp;", ")),--('Trust &amp; Safety'!$AT$7:$AT$500="N/A"))+SUMPRODUCT(--ISNUMBER(SEARCH(", "&amp;$B47&amp;", ",", "&amp;'Tài khoản &amp; Hồ sơ'!$B$7:$B$500&amp;", ")),--('Tài khoản &amp; Hồ sơ'!$AT$7:$AT$500="N/A"))</f>
        <v>0</v>
      </c>
      <c r="K47" s="52" t="n">
        <f aca="false">IFERROR(F47/E47,0)</f>
        <v>0</v>
      </c>
      <c r="L47" s="123" t="str">
        <f aca="false">IF(E47=0,"Chưa có TC (gap)",IF(H47&gt;0,"Có lỗi (Fail)",IF(I47&gt;0,"Bị block",IF(F47&lt;E47,"Đang test",IF(G47=0,"Không áp dụng (N/A)","Đã test xong")))))</f>
        <v>Đang test</v>
      </c>
      <c r="AB47" s="1" t="s">
        <v>436</v>
      </c>
    </row>
    <row r="48" customFormat="false" ht="15.75" hidden="false" customHeight="true" outlineLevel="0" collapsed="false">
      <c r="B48" s="175" t="s">
        <v>540</v>
      </c>
      <c r="C48" s="176" t="s">
        <v>541</v>
      </c>
      <c r="D48" s="123" t="s">
        <v>542</v>
      </c>
      <c r="E48" s="51" t="n">
        <f aca="false">SUMPRODUCT(--ISNUMBER(SEARCH(", "&amp;$B48&amp;", ",", "&amp;'Hoạt động (Đơn của tôi)'!$B$7:$B$500&amp;", ")))+SUMPRODUCT(--ISNUMBER(SEARCH(", "&amp;$B48&amp;", ",", "&amp;'Ghép nối'!$B$7:$B$500&amp;", ")))+SUMPRODUCT(--ISNUMBER(SEARCH(", "&amp;$B48&amp;", ",", "&amp;'Huỷ đơn - Huỷ nhận đơn'!$B$7:$B$500&amp;", ")))+SUMPRODUCT(--ISNUMBER(SEARCH(", "&amp;$B48&amp;", ",", "&amp;'Giao nhận &amp; Theo dõi đơn'!$B$7:$B$500&amp;", ")))+SUMPRODUCT(--ISNUMBER(SEARCH(", "&amp;$B48&amp;", ",", "&amp;'Bảng tin &amp; Chi tiết tin'!$B$7:$B$500&amp;", ")))+SUMPRODUCT(--ISNUMBER(SEARCH(", "&amp;$B48&amp;", ",", "&amp;'Quà cảm ơn'!$B$7:$B$500&amp;", ")))+SUMPRODUCT(--ISNUMBER(SEARCH(", "&amp;$B48&amp;", ",", "&amp;'Trang chủ'!$B$7:$B$500&amp;", ")))+SUMPRODUCT(--ISNUMBER(SEARCH(", "&amp;$B48&amp;", ",", "&amp;'Thông báo'!$B$7:$B$500&amp;", ")))+SUMPRODUCT(--ISNUMBER(SEARCH(", "&amp;$B48&amp;", ",", "&amp;'Đăng tin &amp; Quản lý tin'!$B$7:$B$500&amp;", ")))+SUMPRODUCT(--ISNUMBER(SEARCH(", "&amp;$B48&amp;", ",", "&amp;'Trust &amp; Safety'!$B$7:$B$500&amp;", ")))+SUMPRODUCT(--ISNUMBER(SEARCH(", "&amp;$B48&amp;", ",", "&amp;'Tài khoản &amp; Hồ sơ'!$B$7:$B$500&amp;", ")))</f>
        <v>1</v>
      </c>
      <c r="F48" s="51" t="n">
        <f aca="false">SUMPRODUCT(--ISNUMBER(SEARCH(", "&amp;$B48&amp;", ",", "&amp;'Hoạt động (Đơn của tôi)'!$B$7:$B$500&amp;", ")),--('Hoạt động (Đơn của tôi)'!$AT$7:$AT$500&lt;&gt;""))+SUMPRODUCT(--ISNUMBER(SEARCH(", "&amp;$B48&amp;", ",", "&amp;'Ghép nối'!$B$7:$B$500&amp;", ")),--('Ghép nối'!$AT$7:$AT$500&lt;&gt;""))+SUMPRODUCT(--ISNUMBER(SEARCH(", "&amp;$B48&amp;", ",", "&amp;'Huỷ đơn - Huỷ nhận đơn'!$B$7:$B$500&amp;", ")),--('Huỷ đơn - Huỷ nhận đơn'!$AT$7:$AT$500&lt;&gt;""))+SUMPRODUCT(--ISNUMBER(SEARCH(", "&amp;$B48&amp;", ",", "&amp;'Giao nhận &amp; Theo dõi đơn'!$B$7:$B$500&amp;", ")),--('Giao nhận &amp; Theo dõi đơn'!$AT$7:$AT$500&lt;&gt;""))+SUMPRODUCT(--ISNUMBER(SEARCH(", "&amp;$B48&amp;", ",", "&amp;'Bảng tin &amp; Chi tiết tin'!$B$7:$B$500&amp;", ")),--('Bảng tin &amp; Chi tiết tin'!$AT$7:$AT$500&lt;&gt;""))+SUMPRODUCT(--ISNUMBER(SEARCH(", "&amp;$B48&amp;", ",", "&amp;'Quà cảm ơn'!$B$7:$B$500&amp;", ")),--('Quà cảm ơn'!$AT$7:$AT$500&lt;&gt;""))+SUMPRODUCT(--ISNUMBER(SEARCH(", "&amp;$B48&amp;", ",", "&amp;'Trang chủ'!$B$7:$B$500&amp;", ")),--('Trang chủ'!$AT$7:$AT$500&lt;&gt;""))+SUMPRODUCT(--ISNUMBER(SEARCH(", "&amp;$B48&amp;", ",", "&amp;'Thông báo'!$B$7:$B$500&amp;", ")),--('Thông báo'!$AT$7:$AT$500&lt;&gt;""))+SUMPRODUCT(--ISNUMBER(SEARCH(", "&amp;$B48&amp;", ",", "&amp;'Đăng tin &amp; Quản lý tin'!$B$7:$B$500&amp;", ")),--('Đăng tin &amp; Quản lý tin'!$AT$7:$AT$500&lt;&gt;""))+SUMPRODUCT(--ISNUMBER(SEARCH(", "&amp;$B48&amp;", ",", "&amp;'Trust &amp; Safety'!$B$7:$B$500&amp;", ")),--('Trust &amp; Safety'!$AT$7:$AT$500&lt;&gt;""))+SUMPRODUCT(--ISNUMBER(SEARCH(", "&amp;$B48&amp;", ",", "&amp;'Tài khoản &amp; Hồ sơ'!$B$7:$B$500&amp;", ")),--('Tài khoản &amp; Hồ sơ'!$AT$7:$AT$500&lt;&gt;""))</f>
        <v>0</v>
      </c>
      <c r="G48" s="51" t="n">
        <f aca="false">SUMPRODUCT(--ISNUMBER(SEARCH(", "&amp;$B48&amp;", ",", "&amp;'Hoạt động (Đơn của tôi)'!$B$7:$B$500&amp;", ")),--('Hoạt động (Đơn của tôi)'!$AT$7:$AT$500="Pass"))+SUMPRODUCT(--ISNUMBER(SEARCH(", "&amp;$B48&amp;", ",", "&amp;'Ghép nối'!$B$7:$B$500&amp;", ")),--('Ghép nối'!$AT$7:$AT$500="Pass"))+SUMPRODUCT(--ISNUMBER(SEARCH(", "&amp;$B48&amp;", ",", "&amp;'Huỷ đơn - Huỷ nhận đơn'!$B$7:$B$500&amp;", ")),--('Huỷ đơn - Huỷ nhận đơn'!$AT$7:$AT$500="Pass"))+SUMPRODUCT(--ISNUMBER(SEARCH(", "&amp;$B48&amp;", ",", "&amp;'Giao nhận &amp; Theo dõi đơn'!$B$7:$B$500&amp;", ")),--('Giao nhận &amp; Theo dõi đơn'!$AT$7:$AT$500="Pass"))+SUMPRODUCT(--ISNUMBER(SEARCH(", "&amp;$B48&amp;", ",", "&amp;'Bảng tin &amp; Chi tiết tin'!$B$7:$B$500&amp;", ")),--('Bảng tin &amp; Chi tiết tin'!$AT$7:$AT$500="Pass"))+SUMPRODUCT(--ISNUMBER(SEARCH(", "&amp;$B48&amp;", ",", "&amp;'Quà cảm ơn'!$B$7:$B$500&amp;", ")),--('Quà cảm ơn'!$AT$7:$AT$500="Pass"))+SUMPRODUCT(--ISNUMBER(SEARCH(", "&amp;$B48&amp;", ",", "&amp;'Trang chủ'!$B$7:$B$500&amp;", ")),--('Trang chủ'!$AT$7:$AT$500="Pass"))+SUMPRODUCT(--ISNUMBER(SEARCH(", "&amp;$B48&amp;", ",", "&amp;'Thông báo'!$B$7:$B$500&amp;", ")),--('Thông báo'!$AT$7:$AT$500="Pass"))+SUMPRODUCT(--ISNUMBER(SEARCH(", "&amp;$B48&amp;", ",", "&amp;'Đăng tin &amp; Quản lý tin'!$B$7:$B$500&amp;", ")),--('Đăng tin &amp; Quản lý tin'!$AT$7:$AT$500="Pass"))+SUMPRODUCT(--ISNUMBER(SEARCH(", "&amp;$B48&amp;", ",", "&amp;'Trust &amp; Safety'!$B$7:$B$500&amp;", ")),--('Trust &amp; Safety'!$AT$7:$AT$500="Pass"))+SUMPRODUCT(--ISNUMBER(SEARCH(", "&amp;$B48&amp;", ",", "&amp;'Tài khoản &amp; Hồ sơ'!$B$7:$B$500&amp;", ")),--('Tài khoản &amp; Hồ sơ'!$AT$7:$AT$500="Pass"))</f>
        <v>0</v>
      </c>
      <c r="H48" s="51" t="n">
        <f aca="false">SUMPRODUCT(--ISNUMBER(SEARCH(", "&amp;$B48&amp;", ",", "&amp;'Hoạt động (Đơn của tôi)'!$B$7:$B$500&amp;", ")),--('Hoạt động (Đơn của tôi)'!$AT$7:$AT$500="Fail"))+SUMPRODUCT(--ISNUMBER(SEARCH(", "&amp;$B48&amp;", ",", "&amp;'Ghép nối'!$B$7:$B$500&amp;", ")),--('Ghép nối'!$AT$7:$AT$500="Fail"))+SUMPRODUCT(--ISNUMBER(SEARCH(", "&amp;$B48&amp;", ",", "&amp;'Huỷ đơn - Huỷ nhận đơn'!$B$7:$B$500&amp;", ")),--('Huỷ đơn - Huỷ nhận đơn'!$AT$7:$AT$500="Fail"))+SUMPRODUCT(--ISNUMBER(SEARCH(", "&amp;$B48&amp;", ",", "&amp;'Giao nhận &amp; Theo dõi đơn'!$B$7:$B$500&amp;", ")),--('Giao nhận &amp; Theo dõi đơn'!$AT$7:$AT$500="Fail"))+SUMPRODUCT(--ISNUMBER(SEARCH(", "&amp;$B48&amp;", ",", "&amp;'Bảng tin &amp; Chi tiết tin'!$B$7:$B$500&amp;", ")),--('Bảng tin &amp; Chi tiết tin'!$AT$7:$AT$500="Fail"))+SUMPRODUCT(--ISNUMBER(SEARCH(", "&amp;$B48&amp;", ",", "&amp;'Quà cảm ơn'!$B$7:$B$500&amp;", ")),--('Quà cảm ơn'!$AT$7:$AT$500="Fail"))+SUMPRODUCT(--ISNUMBER(SEARCH(", "&amp;$B48&amp;", ",", "&amp;'Trang chủ'!$B$7:$B$500&amp;", ")),--('Trang chủ'!$AT$7:$AT$500="Fail"))+SUMPRODUCT(--ISNUMBER(SEARCH(", "&amp;$B48&amp;", ",", "&amp;'Thông báo'!$B$7:$B$500&amp;", ")),--('Thông báo'!$AT$7:$AT$500="Fail"))+SUMPRODUCT(--ISNUMBER(SEARCH(", "&amp;$B48&amp;", ",", "&amp;'Đăng tin &amp; Quản lý tin'!$B$7:$B$500&amp;", ")),--('Đăng tin &amp; Quản lý tin'!$AT$7:$AT$500="Fail"))+SUMPRODUCT(--ISNUMBER(SEARCH(", "&amp;$B48&amp;", ",", "&amp;'Trust &amp; Safety'!$B$7:$B$500&amp;", ")),--('Trust &amp; Safety'!$AT$7:$AT$500="Fail"))+SUMPRODUCT(--ISNUMBER(SEARCH(", "&amp;$B48&amp;", ",", "&amp;'Tài khoản &amp; Hồ sơ'!$B$7:$B$500&amp;", ")),--('Tài khoản &amp; Hồ sơ'!$AT$7:$AT$500="Fail"))</f>
        <v>0</v>
      </c>
      <c r="I48" s="51" t="n">
        <f aca="false">SUMPRODUCT(--ISNUMBER(SEARCH(", "&amp;$B48&amp;", ",", "&amp;'Hoạt động (Đơn của tôi)'!$B$7:$B$500&amp;", ")),--('Hoạt động (Đơn của tôi)'!$AT$7:$AT$500="Block"))+SUMPRODUCT(--ISNUMBER(SEARCH(", "&amp;$B48&amp;", ",", "&amp;'Ghép nối'!$B$7:$B$500&amp;", ")),--('Ghép nối'!$AT$7:$AT$500="Block"))+SUMPRODUCT(--ISNUMBER(SEARCH(", "&amp;$B48&amp;", ",", "&amp;'Huỷ đơn - Huỷ nhận đơn'!$B$7:$B$500&amp;", ")),--('Huỷ đơn - Huỷ nhận đơn'!$AT$7:$AT$500="Block"))+SUMPRODUCT(--ISNUMBER(SEARCH(", "&amp;$B48&amp;", ",", "&amp;'Giao nhận &amp; Theo dõi đơn'!$B$7:$B$500&amp;", ")),--('Giao nhận &amp; Theo dõi đơn'!$AT$7:$AT$500="Block"))+SUMPRODUCT(--ISNUMBER(SEARCH(", "&amp;$B48&amp;", ",", "&amp;'Bảng tin &amp; Chi tiết tin'!$B$7:$B$500&amp;", ")),--('Bảng tin &amp; Chi tiết tin'!$AT$7:$AT$500="Block"))+SUMPRODUCT(--ISNUMBER(SEARCH(", "&amp;$B48&amp;", ",", "&amp;'Quà cảm ơn'!$B$7:$B$500&amp;", ")),--('Quà cảm ơn'!$AT$7:$AT$500="Block"))+SUMPRODUCT(--ISNUMBER(SEARCH(", "&amp;$B48&amp;", ",", "&amp;'Trang chủ'!$B$7:$B$500&amp;", ")),--('Trang chủ'!$AT$7:$AT$500="Block"))+SUMPRODUCT(--ISNUMBER(SEARCH(", "&amp;$B48&amp;", ",", "&amp;'Thông báo'!$B$7:$B$500&amp;", ")),--('Thông báo'!$AT$7:$AT$500="Block"))+SUMPRODUCT(--ISNUMBER(SEARCH(", "&amp;$B48&amp;", ",", "&amp;'Đăng tin &amp; Quản lý tin'!$B$7:$B$500&amp;", ")),--('Đăng tin &amp; Quản lý tin'!$AT$7:$AT$500="Block"))+SUMPRODUCT(--ISNUMBER(SEARCH(", "&amp;$B48&amp;", ",", "&amp;'Trust &amp; Safety'!$B$7:$B$500&amp;", ")),--('Trust &amp; Safety'!$AT$7:$AT$500="Block"))+SUMPRODUCT(--ISNUMBER(SEARCH(", "&amp;$B48&amp;", ",", "&amp;'Tài khoản &amp; Hồ sơ'!$B$7:$B$500&amp;", ")),--('Tài khoản &amp; Hồ sơ'!$AT$7:$AT$500="Block"))</f>
        <v>0</v>
      </c>
      <c r="J48" s="51" t="n">
        <f aca="false">SUMPRODUCT(--ISNUMBER(SEARCH(", "&amp;$B48&amp;", ",", "&amp;'Hoạt động (Đơn của tôi)'!$B$7:$B$500&amp;", ")),--('Hoạt động (Đơn của tôi)'!$AT$7:$AT$500="N/A"))+SUMPRODUCT(--ISNUMBER(SEARCH(", "&amp;$B48&amp;", ",", "&amp;'Ghép nối'!$B$7:$B$500&amp;", ")),--('Ghép nối'!$AT$7:$AT$500="N/A"))+SUMPRODUCT(--ISNUMBER(SEARCH(", "&amp;$B48&amp;", ",", "&amp;'Huỷ đơn - Huỷ nhận đơn'!$B$7:$B$500&amp;", ")),--('Huỷ đơn - Huỷ nhận đơn'!$AT$7:$AT$500="N/A"))+SUMPRODUCT(--ISNUMBER(SEARCH(", "&amp;$B48&amp;", ",", "&amp;'Giao nhận &amp; Theo dõi đơn'!$B$7:$B$500&amp;", ")),--('Giao nhận &amp; Theo dõi đơn'!$AT$7:$AT$500="N/A"))+SUMPRODUCT(--ISNUMBER(SEARCH(", "&amp;$B48&amp;", ",", "&amp;'Bảng tin &amp; Chi tiết tin'!$B$7:$B$500&amp;", ")),--('Bảng tin &amp; Chi tiết tin'!$AT$7:$AT$500="N/A"))+SUMPRODUCT(--ISNUMBER(SEARCH(", "&amp;$B48&amp;", ",", "&amp;'Quà cảm ơn'!$B$7:$B$500&amp;", ")),--('Quà cảm ơn'!$AT$7:$AT$500="N/A"))+SUMPRODUCT(--ISNUMBER(SEARCH(", "&amp;$B48&amp;", ",", "&amp;'Trang chủ'!$B$7:$B$500&amp;", ")),--('Trang chủ'!$AT$7:$AT$500="N/A"))+SUMPRODUCT(--ISNUMBER(SEARCH(", "&amp;$B48&amp;", ",", "&amp;'Thông báo'!$B$7:$B$500&amp;", ")),--('Thông báo'!$AT$7:$AT$500="N/A"))+SUMPRODUCT(--ISNUMBER(SEARCH(", "&amp;$B48&amp;", ",", "&amp;'Đăng tin &amp; Quản lý tin'!$B$7:$B$500&amp;", ")),--('Đăng tin &amp; Quản lý tin'!$AT$7:$AT$500="N/A"))+SUMPRODUCT(--ISNUMBER(SEARCH(", "&amp;$B48&amp;", ",", "&amp;'Trust &amp; Safety'!$B$7:$B$500&amp;", ")),--('Trust &amp; Safety'!$AT$7:$AT$500="N/A"))+SUMPRODUCT(--ISNUMBER(SEARCH(", "&amp;$B48&amp;", ",", "&amp;'Tài khoản &amp; Hồ sơ'!$B$7:$B$500&amp;", ")),--('Tài khoản &amp; Hồ sơ'!$AT$7:$AT$500="N/A"))</f>
        <v>0</v>
      </c>
      <c r="K48" s="52" t="n">
        <f aca="false">IFERROR(F48/E48,0)</f>
        <v>0</v>
      </c>
      <c r="L48" s="123" t="str">
        <f aca="false">IF(E48=0,"Chưa có TC (gap)",IF(H48&gt;0,"Có lỗi (Fail)",IF(I48&gt;0,"Bị block",IF(F48&lt;E48,"Đang test",IF(G48=0,"Không áp dụng (N/A)","Đã test xong")))))</f>
        <v>Đang test</v>
      </c>
      <c r="AB48" s="1" t="s">
        <v>440</v>
      </c>
    </row>
    <row r="49" customFormat="false" ht="15.75" hidden="false" customHeight="true" outlineLevel="0" collapsed="false">
      <c r="B49" s="175" t="s">
        <v>543</v>
      </c>
      <c r="C49" s="176" t="s">
        <v>544</v>
      </c>
      <c r="D49" s="123" t="s">
        <v>545</v>
      </c>
      <c r="E49" s="51" t="n">
        <f aca="false">SUMPRODUCT(--ISNUMBER(SEARCH(", "&amp;$B49&amp;", ",", "&amp;'Hoạt động (Đơn của tôi)'!$B$7:$B$500&amp;", ")))+SUMPRODUCT(--ISNUMBER(SEARCH(", "&amp;$B49&amp;", ",", "&amp;'Ghép nối'!$B$7:$B$500&amp;", ")))+SUMPRODUCT(--ISNUMBER(SEARCH(", "&amp;$B49&amp;", ",", "&amp;'Huỷ đơn - Huỷ nhận đơn'!$B$7:$B$500&amp;", ")))+SUMPRODUCT(--ISNUMBER(SEARCH(", "&amp;$B49&amp;", ",", "&amp;'Giao nhận &amp; Theo dõi đơn'!$B$7:$B$500&amp;", ")))+SUMPRODUCT(--ISNUMBER(SEARCH(", "&amp;$B49&amp;", ",", "&amp;'Bảng tin &amp; Chi tiết tin'!$B$7:$B$500&amp;", ")))+SUMPRODUCT(--ISNUMBER(SEARCH(", "&amp;$B49&amp;", ",", "&amp;'Quà cảm ơn'!$B$7:$B$500&amp;", ")))+SUMPRODUCT(--ISNUMBER(SEARCH(", "&amp;$B49&amp;", ",", "&amp;'Trang chủ'!$B$7:$B$500&amp;", ")))+SUMPRODUCT(--ISNUMBER(SEARCH(", "&amp;$B49&amp;", ",", "&amp;'Thông báo'!$B$7:$B$500&amp;", ")))+SUMPRODUCT(--ISNUMBER(SEARCH(", "&amp;$B49&amp;", ",", "&amp;'Đăng tin &amp; Quản lý tin'!$B$7:$B$500&amp;", ")))+SUMPRODUCT(--ISNUMBER(SEARCH(", "&amp;$B49&amp;", ",", "&amp;'Trust &amp; Safety'!$B$7:$B$500&amp;", ")))+SUMPRODUCT(--ISNUMBER(SEARCH(", "&amp;$B49&amp;", ",", "&amp;'Tài khoản &amp; Hồ sơ'!$B$7:$B$500&amp;", ")))</f>
        <v>1</v>
      </c>
      <c r="F49" s="51" t="n">
        <f aca="false">SUMPRODUCT(--ISNUMBER(SEARCH(", "&amp;$B49&amp;", ",", "&amp;'Hoạt động (Đơn của tôi)'!$B$7:$B$500&amp;", ")),--('Hoạt động (Đơn của tôi)'!$AT$7:$AT$500&lt;&gt;""))+SUMPRODUCT(--ISNUMBER(SEARCH(", "&amp;$B49&amp;", ",", "&amp;'Ghép nối'!$B$7:$B$500&amp;", ")),--('Ghép nối'!$AT$7:$AT$500&lt;&gt;""))+SUMPRODUCT(--ISNUMBER(SEARCH(", "&amp;$B49&amp;", ",", "&amp;'Huỷ đơn - Huỷ nhận đơn'!$B$7:$B$500&amp;", ")),--('Huỷ đơn - Huỷ nhận đơn'!$AT$7:$AT$500&lt;&gt;""))+SUMPRODUCT(--ISNUMBER(SEARCH(", "&amp;$B49&amp;", ",", "&amp;'Giao nhận &amp; Theo dõi đơn'!$B$7:$B$500&amp;", ")),--('Giao nhận &amp; Theo dõi đơn'!$AT$7:$AT$500&lt;&gt;""))+SUMPRODUCT(--ISNUMBER(SEARCH(", "&amp;$B49&amp;", ",", "&amp;'Bảng tin &amp; Chi tiết tin'!$B$7:$B$500&amp;", ")),--('Bảng tin &amp; Chi tiết tin'!$AT$7:$AT$500&lt;&gt;""))+SUMPRODUCT(--ISNUMBER(SEARCH(", "&amp;$B49&amp;", ",", "&amp;'Quà cảm ơn'!$B$7:$B$500&amp;", ")),--('Quà cảm ơn'!$AT$7:$AT$500&lt;&gt;""))+SUMPRODUCT(--ISNUMBER(SEARCH(", "&amp;$B49&amp;", ",", "&amp;'Trang chủ'!$B$7:$B$500&amp;", ")),--('Trang chủ'!$AT$7:$AT$500&lt;&gt;""))+SUMPRODUCT(--ISNUMBER(SEARCH(", "&amp;$B49&amp;", ",", "&amp;'Thông báo'!$B$7:$B$500&amp;", ")),--('Thông báo'!$AT$7:$AT$500&lt;&gt;""))+SUMPRODUCT(--ISNUMBER(SEARCH(", "&amp;$B49&amp;", ",", "&amp;'Đăng tin &amp; Quản lý tin'!$B$7:$B$500&amp;", ")),--('Đăng tin &amp; Quản lý tin'!$AT$7:$AT$500&lt;&gt;""))+SUMPRODUCT(--ISNUMBER(SEARCH(", "&amp;$B49&amp;", ",", "&amp;'Trust &amp; Safety'!$B$7:$B$500&amp;", ")),--('Trust &amp; Safety'!$AT$7:$AT$500&lt;&gt;""))+SUMPRODUCT(--ISNUMBER(SEARCH(", "&amp;$B49&amp;", ",", "&amp;'Tài khoản &amp; Hồ sơ'!$B$7:$B$500&amp;", ")),--('Tài khoản &amp; Hồ sơ'!$AT$7:$AT$500&lt;&gt;""))</f>
        <v>0</v>
      </c>
      <c r="G49" s="51" t="n">
        <f aca="false">SUMPRODUCT(--ISNUMBER(SEARCH(", "&amp;$B49&amp;", ",", "&amp;'Hoạt động (Đơn của tôi)'!$B$7:$B$500&amp;", ")),--('Hoạt động (Đơn của tôi)'!$AT$7:$AT$500="Pass"))+SUMPRODUCT(--ISNUMBER(SEARCH(", "&amp;$B49&amp;", ",", "&amp;'Ghép nối'!$B$7:$B$500&amp;", ")),--('Ghép nối'!$AT$7:$AT$500="Pass"))+SUMPRODUCT(--ISNUMBER(SEARCH(", "&amp;$B49&amp;", ",", "&amp;'Huỷ đơn - Huỷ nhận đơn'!$B$7:$B$500&amp;", ")),--('Huỷ đơn - Huỷ nhận đơn'!$AT$7:$AT$500="Pass"))+SUMPRODUCT(--ISNUMBER(SEARCH(", "&amp;$B49&amp;", ",", "&amp;'Giao nhận &amp; Theo dõi đơn'!$B$7:$B$500&amp;", ")),--('Giao nhận &amp; Theo dõi đơn'!$AT$7:$AT$500="Pass"))+SUMPRODUCT(--ISNUMBER(SEARCH(", "&amp;$B49&amp;", ",", "&amp;'Bảng tin &amp; Chi tiết tin'!$B$7:$B$500&amp;", ")),--('Bảng tin &amp; Chi tiết tin'!$AT$7:$AT$500="Pass"))+SUMPRODUCT(--ISNUMBER(SEARCH(", "&amp;$B49&amp;", ",", "&amp;'Quà cảm ơn'!$B$7:$B$500&amp;", ")),--('Quà cảm ơn'!$AT$7:$AT$500="Pass"))+SUMPRODUCT(--ISNUMBER(SEARCH(", "&amp;$B49&amp;", ",", "&amp;'Trang chủ'!$B$7:$B$500&amp;", ")),--('Trang chủ'!$AT$7:$AT$500="Pass"))+SUMPRODUCT(--ISNUMBER(SEARCH(", "&amp;$B49&amp;", ",", "&amp;'Thông báo'!$B$7:$B$500&amp;", ")),--('Thông báo'!$AT$7:$AT$500="Pass"))+SUMPRODUCT(--ISNUMBER(SEARCH(", "&amp;$B49&amp;", ",", "&amp;'Đăng tin &amp; Quản lý tin'!$B$7:$B$500&amp;", ")),--('Đăng tin &amp; Quản lý tin'!$AT$7:$AT$500="Pass"))+SUMPRODUCT(--ISNUMBER(SEARCH(", "&amp;$B49&amp;", ",", "&amp;'Trust &amp; Safety'!$B$7:$B$500&amp;", ")),--('Trust &amp; Safety'!$AT$7:$AT$500="Pass"))+SUMPRODUCT(--ISNUMBER(SEARCH(", "&amp;$B49&amp;", ",", "&amp;'Tài khoản &amp; Hồ sơ'!$B$7:$B$500&amp;", ")),--('Tài khoản &amp; Hồ sơ'!$AT$7:$AT$500="Pass"))</f>
        <v>0</v>
      </c>
      <c r="H49" s="51" t="n">
        <f aca="false">SUMPRODUCT(--ISNUMBER(SEARCH(", "&amp;$B49&amp;", ",", "&amp;'Hoạt động (Đơn của tôi)'!$B$7:$B$500&amp;", ")),--('Hoạt động (Đơn của tôi)'!$AT$7:$AT$500="Fail"))+SUMPRODUCT(--ISNUMBER(SEARCH(", "&amp;$B49&amp;", ",", "&amp;'Ghép nối'!$B$7:$B$500&amp;", ")),--('Ghép nối'!$AT$7:$AT$500="Fail"))+SUMPRODUCT(--ISNUMBER(SEARCH(", "&amp;$B49&amp;", ",", "&amp;'Huỷ đơn - Huỷ nhận đơn'!$B$7:$B$500&amp;", ")),--('Huỷ đơn - Huỷ nhận đơn'!$AT$7:$AT$500="Fail"))+SUMPRODUCT(--ISNUMBER(SEARCH(", "&amp;$B49&amp;", ",", "&amp;'Giao nhận &amp; Theo dõi đơn'!$B$7:$B$500&amp;", ")),--('Giao nhận &amp; Theo dõi đơn'!$AT$7:$AT$500="Fail"))+SUMPRODUCT(--ISNUMBER(SEARCH(", "&amp;$B49&amp;", ",", "&amp;'Bảng tin &amp; Chi tiết tin'!$B$7:$B$500&amp;", ")),--('Bảng tin &amp; Chi tiết tin'!$AT$7:$AT$500="Fail"))+SUMPRODUCT(--ISNUMBER(SEARCH(", "&amp;$B49&amp;", ",", "&amp;'Quà cảm ơn'!$B$7:$B$500&amp;", ")),--('Quà cảm ơn'!$AT$7:$AT$500="Fail"))+SUMPRODUCT(--ISNUMBER(SEARCH(", "&amp;$B49&amp;", ",", "&amp;'Trang chủ'!$B$7:$B$500&amp;", ")),--('Trang chủ'!$AT$7:$AT$500="Fail"))+SUMPRODUCT(--ISNUMBER(SEARCH(", "&amp;$B49&amp;", ",", "&amp;'Thông báo'!$B$7:$B$500&amp;", ")),--('Thông báo'!$AT$7:$AT$500="Fail"))+SUMPRODUCT(--ISNUMBER(SEARCH(", "&amp;$B49&amp;", ",", "&amp;'Đăng tin &amp; Quản lý tin'!$B$7:$B$500&amp;", ")),--('Đăng tin &amp; Quản lý tin'!$AT$7:$AT$500="Fail"))+SUMPRODUCT(--ISNUMBER(SEARCH(", "&amp;$B49&amp;", ",", "&amp;'Trust &amp; Safety'!$B$7:$B$500&amp;", ")),--('Trust &amp; Safety'!$AT$7:$AT$500="Fail"))+SUMPRODUCT(--ISNUMBER(SEARCH(", "&amp;$B49&amp;", ",", "&amp;'Tài khoản &amp; Hồ sơ'!$B$7:$B$500&amp;", ")),--('Tài khoản &amp; Hồ sơ'!$AT$7:$AT$500="Fail"))</f>
        <v>0</v>
      </c>
      <c r="I49" s="51" t="n">
        <f aca="false">SUMPRODUCT(--ISNUMBER(SEARCH(", "&amp;$B49&amp;", ",", "&amp;'Hoạt động (Đơn của tôi)'!$B$7:$B$500&amp;", ")),--('Hoạt động (Đơn của tôi)'!$AT$7:$AT$500="Block"))+SUMPRODUCT(--ISNUMBER(SEARCH(", "&amp;$B49&amp;", ",", "&amp;'Ghép nối'!$B$7:$B$500&amp;", ")),--('Ghép nối'!$AT$7:$AT$500="Block"))+SUMPRODUCT(--ISNUMBER(SEARCH(", "&amp;$B49&amp;", ",", "&amp;'Huỷ đơn - Huỷ nhận đơn'!$B$7:$B$500&amp;", ")),--('Huỷ đơn - Huỷ nhận đơn'!$AT$7:$AT$500="Block"))+SUMPRODUCT(--ISNUMBER(SEARCH(", "&amp;$B49&amp;", ",", "&amp;'Giao nhận &amp; Theo dõi đơn'!$B$7:$B$500&amp;", ")),--('Giao nhận &amp; Theo dõi đơn'!$AT$7:$AT$500="Block"))+SUMPRODUCT(--ISNUMBER(SEARCH(", "&amp;$B49&amp;", ",", "&amp;'Bảng tin &amp; Chi tiết tin'!$B$7:$B$500&amp;", ")),--('Bảng tin &amp; Chi tiết tin'!$AT$7:$AT$500="Block"))+SUMPRODUCT(--ISNUMBER(SEARCH(", "&amp;$B49&amp;", ",", "&amp;'Quà cảm ơn'!$B$7:$B$500&amp;", ")),--('Quà cảm ơn'!$AT$7:$AT$500="Block"))+SUMPRODUCT(--ISNUMBER(SEARCH(", "&amp;$B49&amp;", ",", "&amp;'Trang chủ'!$B$7:$B$500&amp;", ")),--('Trang chủ'!$AT$7:$AT$500="Block"))+SUMPRODUCT(--ISNUMBER(SEARCH(", "&amp;$B49&amp;", ",", "&amp;'Thông báo'!$B$7:$B$500&amp;", ")),--('Thông báo'!$AT$7:$AT$500="Block"))+SUMPRODUCT(--ISNUMBER(SEARCH(", "&amp;$B49&amp;", ",", "&amp;'Đăng tin &amp; Quản lý tin'!$B$7:$B$500&amp;", ")),--('Đăng tin &amp; Quản lý tin'!$AT$7:$AT$500="Block"))+SUMPRODUCT(--ISNUMBER(SEARCH(", "&amp;$B49&amp;", ",", "&amp;'Trust &amp; Safety'!$B$7:$B$500&amp;", ")),--('Trust &amp; Safety'!$AT$7:$AT$500="Block"))+SUMPRODUCT(--ISNUMBER(SEARCH(", "&amp;$B49&amp;", ",", "&amp;'Tài khoản &amp; Hồ sơ'!$B$7:$B$500&amp;", ")),--('Tài khoản &amp; Hồ sơ'!$AT$7:$AT$500="Block"))</f>
        <v>0</v>
      </c>
      <c r="J49" s="51" t="n">
        <f aca="false">SUMPRODUCT(--ISNUMBER(SEARCH(", "&amp;$B49&amp;", ",", "&amp;'Hoạt động (Đơn của tôi)'!$B$7:$B$500&amp;", ")),--('Hoạt động (Đơn của tôi)'!$AT$7:$AT$500="N/A"))+SUMPRODUCT(--ISNUMBER(SEARCH(", "&amp;$B49&amp;", ",", "&amp;'Ghép nối'!$B$7:$B$500&amp;", ")),--('Ghép nối'!$AT$7:$AT$500="N/A"))+SUMPRODUCT(--ISNUMBER(SEARCH(", "&amp;$B49&amp;", ",", "&amp;'Huỷ đơn - Huỷ nhận đơn'!$B$7:$B$500&amp;", ")),--('Huỷ đơn - Huỷ nhận đơn'!$AT$7:$AT$500="N/A"))+SUMPRODUCT(--ISNUMBER(SEARCH(", "&amp;$B49&amp;", ",", "&amp;'Giao nhận &amp; Theo dõi đơn'!$B$7:$B$500&amp;", ")),--('Giao nhận &amp; Theo dõi đơn'!$AT$7:$AT$500="N/A"))+SUMPRODUCT(--ISNUMBER(SEARCH(", "&amp;$B49&amp;", ",", "&amp;'Bảng tin &amp; Chi tiết tin'!$B$7:$B$500&amp;", ")),--('Bảng tin &amp; Chi tiết tin'!$AT$7:$AT$500="N/A"))+SUMPRODUCT(--ISNUMBER(SEARCH(", "&amp;$B49&amp;", ",", "&amp;'Quà cảm ơn'!$B$7:$B$500&amp;", ")),--('Quà cảm ơn'!$AT$7:$AT$500="N/A"))+SUMPRODUCT(--ISNUMBER(SEARCH(", "&amp;$B49&amp;", ",", "&amp;'Trang chủ'!$B$7:$B$500&amp;", ")),--('Trang chủ'!$AT$7:$AT$500="N/A"))+SUMPRODUCT(--ISNUMBER(SEARCH(", "&amp;$B49&amp;", ",", "&amp;'Thông báo'!$B$7:$B$500&amp;", ")),--('Thông báo'!$AT$7:$AT$500="N/A"))+SUMPRODUCT(--ISNUMBER(SEARCH(", "&amp;$B49&amp;", ",", "&amp;'Đăng tin &amp; Quản lý tin'!$B$7:$B$500&amp;", ")),--('Đăng tin &amp; Quản lý tin'!$AT$7:$AT$500="N/A"))+SUMPRODUCT(--ISNUMBER(SEARCH(", "&amp;$B49&amp;", ",", "&amp;'Trust &amp; Safety'!$B$7:$B$500&amp;", ")),--('Trust &amp; Safety'!$AT$7:$AT$500="N/A"))+SUMPRODUCT(--ISNUMBER(SEARCH(", "&amp;$B49&amp;", ",", "&amp;'Tài khoản &amp; Hồ sơ'!$B$7:$B$500&amp;", ")),--('Tài khoản &amp; Hồ sơ'!$AT$7:$AT$500="N/A"))</f>
        <v>0</v>
      </c>
      <c r="K49" s="52" t="n">
        <f aca="false">IFERROR(F49/E49,0)</f>
        <v>0</v>
      </c>
      <c r="L49" s="123" t="str">
        <f aca="false">IF(E49=0,"Chưa có TC (gap)",IF(H49&gt;0,"Có lỗi (Fail)",IF(I49&gt;0,"Bị block",IF(F49&lt;E49,"Đang test",IF(G49=0,"Không áp dụng (N/A)","Đã test xong")))))</f>
        <v>Đang test</v>
      </c>
      <c r="AB49" s="1" t="s">
        <v>440</v>
      </c>
    </row>
    <row r="50" customFormat="false" ht="15.75" hidden="false" customHeight="true" outlineLevel="0" collapsed="false">
      <c r="B50" s="175" t="s">
        <v>546</v>
      </c>
      <c r="C50" s="176" t="s">
        <v>547</v>
      </c>
      <c r="D50" s="123" t="s">
        <v>548</v>
      </c>
      <c r="E50" s="51" t="n">
        <f aca="false">SUMPRODUCT(--ISNUMBER(SEARCH(", "&amp;$B50&amp;", ",", "&amp;'Hoạt động (Đơn của tôi)'!$B$7:$B$500&amp;", ")))+SUMPRODUCT(--ISNUMBER(SEARCH(", "&amp;$B50&amp;", ",", "&amp;'Ghép nối'!$B$7:$B$500&amp;", ")))+SUMPRODUCT(--ISNUMBER(SEARCH(", "&amp;$B50&amp;", ",", "&amp;'Huỷ đơn - Huỷ nhận đơn'!$B$7:$B$500&amp;", ")))+SUMPRODUCT(--ISNUMBER(SEARCH(", "&amp;$B50&amp;", ",", "&amp;'Giao nhận &amp; Theo dõi đơn'!$B$7:$B$500&amp;", ")))+SUMPRODUCT(--ISNUMBER(SEARCH(", "&amp;$B50&amp;", ",", "&amp;'Bảng tin &amp; Chi tiết tin'!$B$7:$B$500&amp;", ")))+SUMPRODUCT(--ISNUMBER(SEARCH(", "&amp;$B50&amp;", ",", "&amp;'Quà cảm ơn'!$B$7:$B$500&amp;", ")))+SUMPRODUCT(--ISNUMBER(SEARCH(", "&amp;$B50&amp;", ",", "&amp;'Trang chủ'!$B$7:$B$500&amp;", ")))+SUMPRODUCT(--ISNUMBER(SEARCH(", "&amp;$B50&amp;", ",", "&amp;'Thông báo'!$B$7:$B$500&amp;", ")))+SUMPRODUCT(--ISNUMBER(SEARCH(", "&amp;$B50&amp;", ",", "&amp;'Đăng tin &amp; Quản lý tin'!$B$7:$B$500&amp;", ")))+SUMPRODUCT(--ISNUMBER(SEARCH(", "&amp;$B50&amp;", ",", "&amp;'Trust &amp; Safety'!$B$7:$B$500&amp;", ")))+SUMPRODUCT(--ISNUMBER(SEARCH(", "&amp;$B50&amp;", ",", "&amp;'Tài khoản &amp; Hồ sơ'!$B$7:$B$500&amp;", ")))</f>
        <v>1</v>
      </c>
      <c r="F50" s="51" t="n">
        <f aca="false">SUMPRODUCT(--ISNUMBER(SEARCH(", "&amp;$B50&amp;", ",", "&amp;'Hoạt động (Đơn của tôi)'!$B$7:$B$500&amp;", ")),--('Hoạt động (Đơn của tôi)'!$AT$7:$AT$500&lt;&gt;""))+SUMPRODUCT(--ISNUMBER(SEARCH(", "&amp;$B50&amp;", ",", "&amp;'Ghép nối'!$B$7:$B$500&amp;", ")),--('Ghép nối'!$AT$7:$AT$500&lt;&gt;""))+SUMPRODUCT(--ISNUMBER(SEARCH(", "&amp;$B50&amp;", ",", "&amp;'Huỷ đơn - Huỷ nhận đơn'!$B$7:$B$500&amp;", ")),--('Huỷ đơn - Huỷ nhận đơn'!$AT$7:$AT$500&lt;&gt;""))+SUMPRODUCT(--ISNUMBER(SEARCH(", "&amp;$B50&amp;", ",", "&amp;'Giao nhận &amp; Theo dõi đơn'!$B$7:$B$500&amp;", ")),--('Giao nhận &amp; Theo dõi đơn'!$AT$7:$AT$500&lt;&gt;""))+SUMPRODUCT(--ISNUMBER(SEARCH(", "&amp;$B50&amp;", ",", "&amp;'Bảng tin &amp; Chi tiết tin'!$B$7:$B$500&amp;", ")),--('Bảng tin &amp; Chi tiết tin'!$AT$7:$AT$500&lt;&gt;""))+SUMPRODUCT(--ISNUMBER(SEARCH(", "&amp;$B50&amp;", ",", "&amp;'Quà cảm ơn'!$B$7:$B$500&amp;", ")),--('Quà cảm ơn'!$AT$7:$AT$500&lt;&gt;""))+SUMPRODUCT(--ISNUMBER(SEARCH(", "&amp;$B50&amp;", ",", "&amp;'Trang chủ'!$B$7:$B$500&amp;", ")),--('Trang chủ'!$AT$7:$AT$500&lt;&gt;""))+SUMPRODUCT(--ISNUMBER(SEARCH(", "&amp;$B50&amp;", ",", "&amp;'Thông báo'!$B$7:$B$500&amp;", ")),--('Thông báo'!$AT$7:$AT$500&lt;&gt;""))+SUMPRODUCT(--ISNUMBER(SEARCH(", "&amp;$B50&amp;", ",", "&amp;'Đăng tin &amp; Quản lý tin'!$B$7:$B$500&amp;", ")),--('Đăng tin &amp; Quản lý tin'!$AT$7:$AT$500&lt;&gt;""))+SUMPRODUCT(--ISNUMBER(SEARCH(", "&amp;$B50&amp;", ",", "&amp;'Trust &amp; Safety'!$B$7:$B$500&amp;", ")),--('Trust &amp; Safety'!$AT$7:$AT$500&lt;&gt;""))+SUMPRODUCT(--ISNUMBER(SEARCH(", "&amp;$B50&amp;", ",", "&amp;'Tài khoản &amp; Hồ sơ'!$B$7:$B$500&amp;", ")),--('Tài khoản &amp; Hồ sơ'!$AT$7:$AT$500&lt;&gt;""))</f>
        <v>0</v>
      </c>
      <c r="G50" s="51" t="n">
        <f aca="false">SUMPRODUCT(--ISNUMBER(SEARCH(", "&amp;$B50&amp;", ",", "&amp;'Hoạt động (Đơn của tôi)'!$B$7:$B$500&amp;", ")),--('Hoạt động (Đơn của tôi)'!$AT$7:$AT$500="Pass"))+SUMPRODUCT(--ISNUMBER(SEARCH(", "&amp;$B50&amp;", ",", "&amp;'Ghép nối'!$B$7:$B$500&amp;", ")),--('Ghép nối'!$AT$7:$AT$500="Pass"))+SUMPRODUCT(--ISNUMBER(SEARCH(", "&amp;$B50&amp;", ",", "&amp;'Huỷ đơn - Huỷ nhận đơn'!$B$7:$B$500&amp;", ")),--('Huỷ đơn - Huỷ nhận đơn'!$AT$7:$AT$500="Pass"))+SUMPRODUCT(--ISNUMBER(SEARCH(", "&amp;$B50&amp;", ",", "&amp;'Giao nhận &amp; Theo dõi đơn'!$B$7:$B$500&amp;", ")),--('Giao nhận &amp; Theo dõi đơn'!$AT$7:$AT$500="Pass"))+SUMPRODUCT(--ISNUMBER(SEARCH(", "&amp;$B50&amp;", ",", "&amp;'Bảng tin &amp; Chi tiết tin'!$B$7:$B$500&amp;", ")),--('Bảng tin &amp; Chi tiết tin'!$AT$7:$AT$500="Pass"))+SUMPRODUCT(--ISNUMBER(SEARCH(", "&amp;$B50&amp;", ",", "&amp;'Quà cảm ơn'!$B$7:$B$500&amp;", ")),--('Quà cảm ơn'!$AT$7:$AT$500="Pass"))+SUMPRODUCT(--ISNUMBER(SEARCH(", "&amp;$B50&amp;", ",", "&amp;'Trang chủ'!$B$7:$B$500&amp;", ")),--('Trang chủ'!$AT$7:$AT$500="Pass"))+SUMPRODUCT(--ISNUMBER(SEARCH(", "&amp;$B50&amp;", ",", "&amp;'Thông báo'!$B$7:$B$500&amp;", ")),--('Thông báo'!$AT$7:$AT$500="Pass"))+SUMPRODUCT(--ISNUMBER(SEARCH(", "&amp;$B50&amp;", ",", "&amp;'Đăng tin &amp; Quản lý tin'!$B$7:$B$500&amp;", ")),--('Đăng tin &amp; Quản lý tin'!$AT$7:$AT$500="Pass"))+SUMPRODUCT(--ISNUMBER(SEARCH(", "&amp;$B50&amp;", ",", "&amp;'Trust &amp; Safety'!$B$7:$B$500&amp;", ")),--('Trust &amp; Safety'!$AT$7:$AT$500="Pass"))+SUMPRODUCT(--ISNUMBER(SEARCH(", "&amp;$B50&amp;", ",", "&amp;'Tài khoản &amp; Hồ sơ'!$B$7:$B$500&amp;", ")),--('Tài khoản &amp; Hồ sơ'!$AT$7:$AT$500="Pass"))</f>
        <v>0</v>
      </c>
      <c r="H50" s="51" t="n">
        <f aca="false">SUMPRODUCT(--ISNUMBER(SEARCH(", "&amp;$B50&amp;", ",", "&amp;'Hoạt động (Đơn của tôi)'!$B$7:$B$500&amp;", ")),--('Hoạt động (Đơn của tôi)'!$AT$7:$AT$500="Fail"))+SUMPRODUCT(--ISNUMBER(SEARCH(", "&amp;$B50&amp;", ",", "&amp;'Ghép nối'!$B$7:$B$500&amp;", ")),--('Ghép nối'!$AT$7:$AT$500="Fail"))+SUMPRODUCT(--ISNUMBER(SEARCH(", "&amp;$B50&amp;", ",", "&amp;'Huỷ đơn - Huỷ nhận đơn'!$B$7:$B$500&amp;", ")),--('Huỷ đơn - Huỷ nhận đơn'!$AT$7:$AT$500="Fail"))+SUMPRODUCT(--ISNUMBER(SEARCH(", "&amp;$B50&amp;", ",", "&amp;'Giao nhận &amp; Theo dõi đơn'!$B$7:$B$500&amp;", ")),--('Giao nhận &amp; Theo dõi đơn'!$AT$7:$AT$500="Fail"))+SUMPRODUCT(--ISNUMBER(SEARCH(", "&amp;$B50&amp;", ",", "&amp;'Bảng tin &amp; Chi tiết tin'!$B$7:$B$500&amp;", ")),--('Bảng tin &amp; Chi tiết tin'!$AT$7:$AT$500="Fail"))+SUMPRODUCT(--ISNUMBER(SEARCH(", "&amp;$B50&amp;", ",", "&amp;'Quà cảm ơn'!$B$7:$B$500&amp;", ")),--('Quà cảm ơn'!$AT$7:$AT$500="Fail"))+SUMPRODUCT(--ISNUMBER(SEARCH(", "&amp;$B50&amp;", ",", "&amp;'Trang chủ'!$B$7:$B$500&amp;", ")),--('Trang chủ'!$AT$7:$AT$500="Fail"))+SUMPRODUCT(--ISNUMBER(SEARCH(", "&amp;$B50&amp;", ",", "&amp;'Thông báo'!$B$7:$B$500&amp;", ")),--('Thông báo'!$AT$7:$AT$500="Fail"))+SUMPRODUCT(--ISNUMBER(SEARCH(", "&amp;$B50&amp;", ",", "&amp;'Đăng tin &amp; Quản lý tin'!$B$7:$B$500&amp;", ")),--('Đăng tin &amp; Quản lý tin'!$AT$7:$AT$500="Fail"))+SUMPRODUCT(--ISNUMBER(SEARCH(", "&amp;$B50&amp;", ",", "&amp;'Trust &amp; Safety'!$B$7:$B$500&amp;", ")),--('Trust &amp; Safety'!$AT$7:$AT$500="Fail"))+SUMPRODUCT(--ISNUMBER(SEARCH(", "&amp;$B50&amp;", ",", "&amp;'Tài khoản &amp; Hồ sơ'!$B$7:$B$500&amp;", ")),--('Tài khoản &amp; Hồ sơ'!$AT$7:$AT$500="Fail"))</f>
        <v>0</v>
      </c>
      <c r="I50" s="51" t="n">
        <f aca="false">SUMPRODUCT(--ISNUMBER(SEARCH(", "&amp;$B50&amp;", ",", "&amp;'Hoạt động (Đơn của tôi)'!$B$7:$B$500&amp;", ")),--('Hoạt động (Đơn của tôi)'!$AT$7:$AT$500="Block"))+SUMPRODUCT(--ISNUMBER(SEARCH(", "&amp;$B50&amp;", ",", "&amp;'Ghép nối'!$B$7:$B$500&amp;", ")),--('Ghép nối'!$AT$7:$AT$500="Block"))+SUMPRODUCT(--ISNUMBER(SEARCH(", "&amp;$B50&amp;", ",", "&amp;'Huỷ đơn - Huỷ nhận đơn'!$B$7:$B$500&amp;", ")),--('Huỷ đơn - Huỷ nhận đơn'!$AT$7:$AT$500="Block"))+SUMPRODUCT(--ISNUMBER(SEARCH(", "&amp;$B50&amp;", ",", "&amp;'Giao nhận &amp; Theo dõi đơn'!$B$7:$B$500&amp;", ")),--('Giao nhận &amp; Theo dõi đơn'!$AT$7:$AT$500="Block"))+SUMPRODUCT(--ISNUMBER(SEARCH(", "&amp;$B50&amp;", ",", "&amp;'Bảng tin &amp; Chi tiết tin'!$B$7:$B$500&amp;", ")),--('Bảng tin &amp; Chi tiết tin'!$AT$7:$AT$500="Block"))+SUMPRODUCT(--ISNUMBER(SEARCH(", "&amp;$B50&amp;", ",", "&amp;'Quà cảm ơn'!$B$7:$B$500&amp;", ")),--('Quà cảm ơn'!$AT$7:$AT$500="Block"))+SUMPRODUCT(--ISNUMBER(SEARCH(", "&amp;$B50&amp;", ",", "&amp;'Trang chủ'!$B$7:$B$500&amp;", ")),--('Trang chủ'!$AT$7:$AT$500="Block"))+SUMPRODUCT(--ISNUMBER(SEARCH(", "&amp;$B50&amp;", ",", "&amp;'Thông báo'!$B$7:$B$500&amp;", ")),--('Thông báo'!$AT$7:$AT$500="Block"))+SUMPRODUCT(--ISNUMBER(SEARCH(", "&amp;$B50&amp;", ",", "&amp;'Đăng tin &amp; Quản lý tin'!$B$7:$B$500&amp;", ")),--('Đăng tin &amp; Quản lý tin'!$AT$7:$AT$500="Block"))+SUMPRODUCT(--ISNUMBER(SEARCH(", "&amp;$B50&amp;", ",", "&amp;'Trust &amp; Safety'!$B$7:$B$500&amp;", ")),--('Trust &amp; Safety'!$AT$7:$AT$500="Block"))+SUMPRODUCT(--ISNUMBER(SEARCH(", "&amp;$B50&amp;", ",", "&amp;'Tài khoản &amp; Hồ sơ'!$B$7:$B$500&amp;", ")),--('Tài khoản &amp; Hồ sơ'!$AT$7:$AT$500="Block"))</f>
        <v>0</v>
      </c>
      <c r="J50" s="51" t="n">
        <f aca="false">SUMPRODUCT(--ISNUMBER(SEARCH(", "&amp;$B50&amp;", ",", "&amp;'Hoạt động (Đơn của tôi)'!$B$7:$B$500&amp;", ")),--('Hoạt động (Đơn của tôi)'!$AT$7:$AT$500="N/A"))+SUMPRODUCT(--ISNUMBER(SEARCH(", "&amp;$B50&amp;", ",", "&amp;'Ghép nối'!$B$7:$B$500&amp;", ")),--('Ghép nối'!$AT$7:$AT$500="N/A"))+SUMPRODUCT(--ISNUMBER(SEARCH(", "&amp;$B50&amp;", ",", "&amp;'Huỷ đơn - Huỷ nhận đơn'!$B$7:$B$500&amp;", ")),--('Huỷ đơn - Huỷ nhận đơn'!$AT$7:$AT$500="N/A"))+SUMPRODUCT(--ISNUMBER(SEARCH(", "&amp;$B50&amp;", ",", "&amp;'Giao nhận &amp; Theo dõi đơn'!$B$7:$B$500&amp;", ")),--('Giao nhận &amp; Theo dõi đơn'!$AT$7:$AT$500="N/A"))+SUMPRODUCT(--ISNUMBER(SEARCH(", "&amp;$B50&amp;", ",", "&amp;'Bảng tin &amp; Chi tiết tin'!$B$7:$B$500&amp;", ")),--('Bảng tin &amp; Chi tiết tin'!$AT$7:$AT$500="N/A"))+SUMPRODUCT(--ISNUMBER(SEARCH(", "&amp;$B50&amp;", ",", "&amp;'Quà cảm ơn'!$B$7:$B$500&amp;", ")),--('Quà cảm ơn'!$AT$7:$AT$500="N/A"))+SUMPRODUCT(--ISNUMBER(SEARCH(", "&amp;$B50&amp;", ",", "&amp;'Trang chủ'!$B$7:$B$500&amp;", ")),--('Trang chủ'!$AT$7:$AT$500="N/A"))+SUMPRODUCT(--ISNUMBER(SEARCH(", "&amp;$B50&amp;", ",", "&amp;'Thông báo'!$B$7:$B$500&amp;", ")),--('Thông báo'!$AT$7:$AT$500="N/A"))+SUMPRODUCT(--ISNUMBER(SEARCH(", "&amp;$B50&amp;", ",", "&amp;'Đăng tin &amp; Quản lý tin'!$B$7:$B$500&amp;", ")),--('Đăng tin &amp; Quản lý tin'!$AT$7:$AT$500="N/A"))+SUMPRODUCT(--ISNUMBER(SEARCH(", "&amp;$B50&amp;", ",", "&amp;'Trust &amp; Safety'!$B$7:$B$500&amp;", ")),--('Trust &amp; Safety'!$AT$7:$AT$500="N/A"))+SUMPRODUCT(--ISNUMBER(SEARCH(", "&amp;$B50&amp;", ",", "&amp;'Tài khoản &amp; Hồ sơ'!$B$7:$B$500&amp;", ")),--('Tài khoản &amp; Hồ sơ'!$AT$7:$AT$500="N/A"))</f>
        <v>0</v>
      </c>
      <c r="K50" s="52" t="n">
        <f aca="false">IFERROR(F50/E50,0)</f>
        <v>0</v>
      </c>
      <c r="L50" s="123" t="str">
        <f aca="false">IF(E50=0,"Chưa có TC (gap)",IF(H50&gt;0,"Có lỗi (Fail)",IF(I50&gt;0,"Bị block",IF(F50&lt;E50,"Đang test",IF(G50=0,"Không áp dụng (N/A)","Đã test xong")))))</f>
        <v>Đang test</v>
      </c>
      <c r="AB50" s="1" t="s">
        <v>440</v>
      </c>
    </row>
    <row r="51" customFormat="false" ht="15.75" hidden="false" customHeight="true" outlineLevel="0" collapsed="false">
      <c r="B51" s="175" t="s">
        <v>549</v>
      </c>
      <c r="C51" s="176" t="s">
        <v>550</v>
      </c>
      <c r="D51" s="123" t="s">
        <v>542</v>
      </c>
      <c r="E51" s="51" t="n">
        <f aca="false">SUMPRODUCT(--ISNUMBER(SEARCH(", "&amp;$B51&amp;", ",", "&amp;'Hoạt động (Đơn của tôi)'!$B$7:$B$500&amp;", ")))+SUMPRODUCT(--ISNUMBER(SEARCH(", "&amp;$B51&amp;", ",", "&amp;'Ghép nối'!$B$7:$B$500&amp;", ")))+SUMPRODUCT(--ISNUMBER(SEARCH(", "&amp;$B51&amp;", ",", "&amp;'Huỷ đơn - Huỷ nhận đơn'!$B$7:$B$500&amp;", ")))+SUMPRODUCT(--ISNUMBER(SEARCH(", "&amp;$B51&amp;", ",", "&amp;'Giao nhận &amp; Theo dõi đơn'!$B$7:$B$500&amp;", ")))+SUMPRODUCT(--ISNUMBER(SEARCH(", "&amp;$B51&amp;", ",", "&amp;'Bảng tin &amp; Chi tiết tin'!$B$7:$B$500&amp;", ")))+SUMPRODUCT(--ISNUMBER(SEARCH(", "&amp;$B51&amp;", ",", "&amp;'Quà cảm ơn'!$B$7:$B$500&amp;", ")))+SUMPRODUCT(--ISNUMBER(SEARCH(", "&amp;$B51&amp;", ",", "&amp;'Trang chủ'!$B$7:$B$500&amp;", ")))+SUMPRODUCT(--ISNUMBER(SEARCH(", "&amp;$B51&amp;", ",", "&amp;'Thông báo'!$B$7:$B$500&amp;", ")))+SUMPRODUCT(--ISNUMBER(SEARCH(", "&amp;$B51&amp;", ",", "&amp;'Đăng tin &amp; Quản lý tin'!$B$7:$B$500&amp;", ")))+SUMPRODUCT(--ISNUMBER(SEARCH(", "&amp;$B51&amp;", ",", "&amp;'Trust &amp; Safety'!$B$7:$B$500&amp;", ")))+SUMPRODUCT(--ISNUMBER(SEARCH(", "&amp;$B51&amp;", ",", "&amp;'Tài khoản &amp; Hồ sơ'!$B$7:$B$500&amp;", ")))</f>
        <v>6</v>
      </c>
      <c r="F51" s="51" t="n">
        <f aca="false">SUMPRODUCT(--ISNUMBER(SEARCH(", "&amp;$B51&amp;", ",", "&amp;'Hoạt động (Đơn của tôi)'!$B$7:$B$500&amp;", ")),--('Hoạt động (Đơn của tôi)'!$AT$7:$AT$500&lt;&gt;""))+SUMPRODUCT(--ISNUMBER(SEARCH(", "&amp;$B51&amp;", ",", "&amp;'Ghép nối'!$B$7:$B$500&amp;", ")),--('Ghép nối'!$AT$7:$AT$500&lt;&gt;""))+SUMPRODUCT(--ISNUMBER(SEARCH(", "&amp;$B51&amp;", ",", "&amp;'Huỷ đơn - Huỷ nhận đơn'!$B$7:$B$500&amp;", ")),--('Huỷ đơn - Huỷ nhận đơn'!$AT$7:$AT$500&lt;&gt;""))+SUMPRODUCT(--ISNUMBER(SEARCH(", "&amp;$B51&amp;", ",", "&amp;'Giao nhận &amp; Theo dõi đơn'!$B$7:$B$500&amp;", ")),--('Giao nhận &amp; Theo dõi đơn'!$AT$7:$AT$500&lt;&gt;""))+SUMPRODUCT(--ISNUMBER(SEARCH(", "&amp;$B51&amp;", ",", "&amp;'Bảng tin &amp; Chi tiết tin'!$B$7:$B$500&amp;", ")),--('Bảng tin &amp; Chi tiết tin'!$AT$7:$AT$500&lt;&gt;""))+SUMPRODUCT(--ISNUMBER(SEARCH(", "&amp;$B51&amp;", ",", "&amp;'Quà cảm ơn'!$B$7:$B$500&amp;", ")),--('Quà cảm ơn'!$AT$7:$AT$500&lt;&gt;""))+SUMPRODUCT(--ISNUMBER(SEARCH(", "&amp;$B51&amp;", ",", "&amp;'Trang chủ'!$B$7:$B$500&amp;", ")),--('Trang chủ'!$AT$7:$AT$500&lt;&gt;""))+SUMPRODUCT(--ISNUMBER(SEARCH(", "&amp;$B51&amp;", ",", "&amp;'Thông báo'!$B$7:$B$500&amp;", ")),--('Thông báo'!$AT$7:$AT$500&lt;&gt;""))+SUMPRODUCT(--ISNUMBER(SEARCH(", "&amp;$B51&amp;", ",", "&amp;'Đăng tin &amp; Quản lý tin'!$B$7:$B$500&amp;", ")),--('Đăng tin &amp; Quản lý tin'!$AT$7:$AT$500&lt;&gt;""))+SUMPRODUCT(--ISNUMBER(SEARCH(", "&amp;$B51&amp;", ",", "&amp;'Trust &amp; Safety'!$B$7:$B$500&amp;", ")),--('Trust &amp; Safety'!$AT$7:$AT$500&lt;&gt;""))+SUMPRODUCT(--ISNUMBER(SEARCH(", "&amp;$B51&amp;", ",", "&amp;'Tài khoản &amp; Hồ sơ'!$B$7:$B$500&amp;", ")),--('Tài khoản &amp; Hồ sơ'!$AT$7:$AT$500&lt;&gt;""))</f>
        <v>0</v>
      </c>
      <c r="G51" s="51" t="n">
        <f aca="false">SUMPRODUCT(--ISNUMBER(SEARCH(", "&amp;$B51&amp;", ",", "&amp;'Hoạt động (Đơn của tôi)'!$B$7:$B$500&amp;", ")),--('Hoạt động (Đơn của tôi)'!$AT$7:$AT$500="Pass"))+SUMPRODUCT(--ISNUMBER(SEARCH(", "&amp;$B51&amp;", ",", "&amp;'Ghép nối'!$B$7:$B$500&amp;", ")),--('Ghép nối'!$AT$7:$AT$500="Pass"))+SUMPRODUCT(--ISNUMBER(SEARCH(", "&amp;$B51&amp;", ",", "&amp;'Huỷ đơn - Huỷ nhận đơn'!$B$7:$B$500&amp;", ")),--('Huỷ đơn - Huỷ nhận đơn'!$AT$7:$AT$500="Pass"))+SUMPRODUCT(--ISNUMBER(SEARCH(", "&amp;$B51&amp;", ",", "&amp;'Giao nhận &amp; Theo dõi đơn'!$B$7:$B$500&amp;", ")),--('Giao nhận &amp; Theo dõi đơn'!$AT$7:$AT$500="Pass"))+SUMPRODUCT(--ISNUMBER(SEARCH(", "&amp;$B51&amp;", ",", "&amp;'Bảng tin &amp; Chi tiết tin'!$B$7:$B$500&amp;", ")),--('Bảng tin &amp; Chi tiết tin'!$AT$7:$AT$500="Pass"))+SUMPRODUCT(--ISNUMBER(SEARCH(", "&amp;$B51&amp;", ",", "&amp;'Quà cảm ơn'!$B$7:$B$500&amp;", ")),--('Quà cảm ơn'!$AT$7:$AT$500="Pass"))+SUMPRODUCT(--ISNUMBER(SEARCH(", "&amp;$B51&amp;", ",", "&amp;'Trang chủ'!$B$7:$B$500&amp;", ")),--('Trang chủ'!$AT$7:$AT$500="Pass"))+SUMPRODUCT(--ISNUMBER(SEARCH(", "&amp;$B51&amp;", ",", "&amp;'Thông báo'!$B$7:$B$500&amp;", ")),--('Thông báo'!$AT$7:$AT$500="Pass"))+SUMPRODUCT(--ISNUMBER(SEARCH(", "&amp;$B51&amp;", ",", "&amp;'Đăng tin &amp; Quản lý tin'!$B$7:$B$500&amp;", ")),--('Đăng tin &amp; Quản lý tin'!$AT$7:$AT$500="Pass"))+SUMPRODUCT(--ISNUMBER(SEARCH(", "&amp;$B51&amp;", ",", "&amp;'Trust &amp; Safety'!$B$7:$B$500&amp;", ")),--('Trust &amp; Safety'!$AT$7:$AT$500="Pass"))+SUMPRODUCT(--ISNUMBER(SEARCH(", "&amp;$B51&amp;", ",", "&amp;'Tài khoản &amp; Hồ sơ'!$B$7:$B$500&amp;", ")),--('Tài khoản &amp; Hồ sơ'!$AT$7:$AT$500="Pass"))</f>
        <v>0</v>
      </c>
      <c r="H51" s="51" t="n">
        <f aca="false">SUMPRODUCT(--ISNUMBER(SEARCH(", "&amp;$B51&amp;", ",", "&amp;'Hoạt động (Đơn của tôi)'!$B$7:$B$500&amp;", ")),--('Hoạt động (Đơn của tôi)'!$AT$7:$AT$500="Fail"))+SUMPRODUCT(--ISNUMBER(SEARCH(", "&amp;$B51&amp;", ",", "&amp;'Ghép nối'!$B$7:$B$500&amp;", ")),--('Ghép nối'!$AT$7:$AT$500="Fail"))+SUMPRODUCT(--ISNUMBER(SEARCH(", "&amp;$B51&amp;", ",", "&amp;'Huỷ đơn - Huỷ nhận đơn'!$B$7:$B$500&amp;", ")),--('Huỷ đơn - Huỷ nhận đơn'!$AT$7:$AT$500="Fail"))+SUMPRODUCT(--ISNUMBER(SEARCH(", "&amp;$B51&amp;", ",", "&amp;'Giao nhận &amp; Theo dõi đơn'!$B$7:$B$500&amp;", ")),--('Giao nhận &amp; Theo dõi đơn'!$AT$7:$AT$500="Fail"))+SUMPRODUCT(--ISNUMBER(SEARCH(", "&amp;$B51&amp;", ",", "&amp;'Bảng tin &amp; Chi tiết tin'!$B$7:$B$500&amp;", ")),--('Bảng tin &amp; Chi tiết tin'!$AT$7:$AT$500="Fail"))+SUMPRODUCT(--ISNUMBER(SEARCH(", "&amp;$B51&amp;", ",", "&amp;'Quà cảm ơn'!$B$7:$B$500&amp;", ")),--('Quà cảm ơn'!$AT$7:$AT$500="Fail"))+SUMPRODUCT(--ISNUMBER(SEARCH(", "&amp;$B51&amp;", ",", "&amp;'Trang chủ'!$B$7:$B$500&amp;", ")),--('Trang chủ'!$AT$7:$AT$500="Fail"))+SUMPRODUCT(--ISNUMBER(SEARCH(", "&amp;$B51&amp;", ",", "&amp;'Thông báo'!$B$7:$B$500&amp;", ")),--('Thông báo'!$AT$7:$AT$500="Fail"))+SUMPRODUCT(--ISNUMBER(SEARCH(", "&amp;$B51&amp;", ",", "&amp;'Đăng tin &amp; Quản lý tin'!$B$7:$B$500&amp;", ")),--('Đăng tin &amp; Quản lý tin'!$AT$7:$AT$500="Fail"))+SUMPRODUCT(--ISNUMBER(SEARCH(", "&amp;$B51&amp;", ",", "&amp;'Trust &amp; Safety'!$B$7:$B$500&amp;", ")),--('Trust &amp; Safety'!$AT$7:$AT$500="Fail"))+SUMPRODUCT(--ISNUMBER(SEARCH(", "&amp;$B51&amp;", ",", "&amp;'Tài khoản &amp; Hồ sơ'!$B$7:$B$500&amp;", ")),--('Tài khoản &amp; Hồ sơ'!$AT$7:$AT$500="Fail"))</f>
        <v>0</v>
      </c>
      <c r="I51" s="51" t="n">
        <f aca="false">SUMPRODUCT(--ISNUMBER(SEARCH(", "&amp;$B51&amp;", ",", "&amp;'Hoạt động (Đơn của tôi)'!$B$7:$B$500&amp;", ")),--('Hoạt động (Đơn của tôi)'!$AT$7:$AT$500="Block"))+SUMPRODUCT(--ISNUMBER(SEARCH(", "&amp;$B51&amp;", ",", "&amp;'Ghép nối'!$B$7:$B$500&amp;", ")),--('Ghép nối'!$AT$7:$AT$500="Block"))+SUMPRODUCT(--ISNUMBER(SEARCH(", "&amp;$B51&amp;", ",", "&amp;'Huỷ đơn - Huỷ nhận đơn'!$B$7:$B$500&amp;", ")),--('Huỷ đơn - Huỷ nhận đơn'!$AT$7:$AT$500="Block"))+SUMPRODUCT(--ISNUMBER(SEARCH(", "&amp;$B51&amp;", ",", "&amp;'Giao nhận &amp; Theo dõi đơn'!$B$7:$B$500&amp;", ")),--('Giao nhận &amp; Theo dõi đơn'!$AT$7:$AT$500="Block"))+SUMPRODUCT(--ISNUMBER(SEARCH(", "&amp;$B51&amp;", ",", "&amp;'Bảng tin &amp; Chi tiết tin'!$B$7:$B$500&amp;", ")),--('Bảng tin &amp; Chi tiết tin'!$AT$7:$AT$500="Block"))+SUMPRODUCT(--ISNUMBER(SEARCH(", "&amp;$B51&amp;", ",", "&amp;'Quà cảm ơn'!$B$7:$B$500&amp;", ")),--('Quà cảm ơn'!$AT$7:$AT$500="Block"))+SUMPRODUCT(--ISNUMBER(SEARCH(", "&amp;$B51&amp;", ",", "&amp;'Trang chủ'!$B$7:$B$500&amp;", ")),--('Trang chủ'!$AT$7:$AT$500="Block"))+SUMPRODUCT(--ISNUMBER(SEARCH(", "&amp;$B51&amp;", ",", "&amp;'Thông báo'!$B$7:$B$500&amp;", ")),--('Thông báo'!$AT$7:$AT$500="Block"))+SUMPRODUCT(--ISNUMBER(SEARCH(", "&amp;$B51&amp;", ",", "&amp;'Đăng tin &amp; Quản lý tin'!$B$7:$B$500&amp;", ")),--('Đăng tin &amp; Quản lý tin'!$AT$7:$AT$500="Block"))+SUMPRODUCT(--ISNUMBER(SEARCH(", "&amp;$B51&amp;", ",", "&amp;'Trust &amp; Safety'!$B$7:$B$500&amp;", ")),--('Trust &amp; Safety'!$AT$7:$AT$500="Block"))+SUMPRODUCT(--ISNUMBER(SEARCH(", "&amp;$B51&amp;", ",", "&amp;'Tài khoản &amp; Hồ sơ'!$B$7:$B$500&amp;", ")),--('Tài khoản &amp; Hồ sơ'!$AT$7:$AT$500="Block"))</f>
        <v>0</v>
      </c>
      <c r="J51" s="51" t="n">
        <f aca="false">SUMPRODUCT(--ISNUMBER(SEARCH(", "&amp;$B51&amp;", ",", "&amp;'Hoạt động (Đơn của tôi)'!$B$7:$B$500&amp;", ")),--('Hoạt động (Đơn của tôi)'!$AT$7:$AT$500="N/A"))+SUMPRODUCT(--ISNUMBER(SEARCH(", "&amp;$B51&amp;", ",", "&amp;'Ghép nối'!$B$7:$B$500&amp;", ")),--('Ghép nối'!$AT$7:$AT$500="N/A"))+SUMPRODUCT(--ISNUMBER(SEARCH(", "&amp;$B51&amp;", ",", "&amp;'Huỷ đơn - Huỷ nhận đơn'!$B$7:$B$500&amp;", ")),--('Huỷ đơn - Huỷ nhận đơn'!$AT$7:$AT$500="N/A"))+SUMPRODUCT(--ISNUMBER(SEARCH(", "&amp;$B51&amp;", ",", "&amp;'Giao nhận &amp; Theo dõi đơn'!$B$7:$B$500&amp;", ")),--('Giao nhận &amp; Theo dõi đơn'!$AT$7:$AT$500="N/A"))+SUMPRODUCT(--ISNUMBER(SEARCH(", "&amp;$B51&amp;", ",", "&amp;'Bảng tin &amp; Chi tiết tin'!$B$7:$B$500&amp;", ")),--('Bảng tin &amp; Chi tiết tin'!$AT$7:$AT$500="N/A"))+SUMPRODUCT(--ISNUMBER(SEARCH(", "&amp;$B51&amp;", ",", "&amp;'Quà cảm ơn'!$B$7:$B$500&amp;", ")),--('Quà cảm ơn'!$AT$7:$AT$500="N/A"))+SUMPRODUCT(--ISNUMBER(SEARCH(", "&amp;$B51&amp;", ",", "&amp;'Trang chủ'!$B$7:$B$500&amp;", ")),--('Trang chủ'!$AT$7:$AT$500="N/A"))+SUMPRODUCT(--ISNUMBER(SEARCH(", "&amp;$B51&amp;", ",", "&amp;'Thông báo'!$B$7:$B$500&amp;", ")),--('Thông báo'!$AT$7:$AT$500="N/A"))+SUMPRODUCT(--ISNUMBER(SEARCH(", "&amp;$B51&amp;", ",", "&amp;'Đăng tin &amp; Quản lý tin'!$B$7:$B$500&amp;", ")),--('Đăng tin &amp; Quản lý tin'!$AT$7:$AT$500="N/A"))+SUMPRODUCT(--ISNUMBER(SEARCH(", "&amp;$B51&amp;", ",", "&amp;'Trust &amp; Safety'!$B$7:$B$500&amp;", ")),--('Trust &amp; Safety'!$AT$7:$AT$500="N/A"))+SUMPRODUCT(--ISNUMBER(SEARCH(", "&amp;$B51&amp;", ",", "&amp;'Tài khoản &amp; Hồ sơ'!$B$7:$B$500&amp;", ")),--('Tài khoản &amp; Hồ sơ'!$AT$7:$AT$500="N/A"))</f>
        <v>0</v>
      </c>
      <c r="K51" s="52" t="n">
        <f aca="false">IFERROR(F51/E51,0)</f>
        <v>0</v>
      </c>
      <c r="L51" s="123" t="str">
        <f aca="false">IF(E51=0,"Chưa có TC (gap)",IF(H51&gt;0,"Có lỗi (Fail)",IF(I51&gt;0,"Bị block",IF(F51&lt;E51,"Đang test",IF(G51=0,"Không áp dụng (N/A)","Đã test xong")))))</f>
        <v>Đang test</v>
      </c>
      <c r="AB51" s="1" t="s">
        <v>440</v>
      </c>
    </row>
    <row r="52" customFormat="false" ht="15.75" hidden="false" customHeight="true" outlineLevel="0" collapsed="false">
      <c r="B52" s="175" t="s">
        <v>551</v>
      </c>
      <c r="C52" s="176" t="s">
        <v>552</v>
      </c>
      <c r="D52" s="123" t="s">
        <v>553</v>
      </c>
      <c r="E52" s="51" t="n">
        <f aca="false">SUMPRODUCT(--ISNUMBER(SEARCH(", "&amp;$B52&amp;", ",", "&amp;'Hoạt động (Đơn của tôi)'!$B$7:$B$500&amp;", ")))+SUMPRODUCT(--ISNUMBER(SEARCH(", "&amp;$B52&amp;", ",", "&amp;'Ghép nối'!$B$7:$B$500&amp;", ")))+SUMPRODUCT(--ISNUMBER(SEARCH(", "&amp;$B52&amp;", ",", "&amp;'Huỷ đơn - Huỷ nhận đơn'!$B$7:$B$500&amp;", ")))+SUMPRODUCT(--ISNUMBER(SEARCH(", "&amp;$B52&amp;", ",", "&amp;'Giao nhận &amp; Theo dõi đơn'!$B$7:$B$500&amp;", ")))+SUMPRODUCT(--ISNUMBER(SEARCH(", "&amp;$B52&amp;", ",", "&amp;'Bảng tin &amp; Chi tiết tin'!$B$7:$B$500&amp;", ")))+SUMPRODUCT(--ISNUMBER(SEARCH(", "&amp;$B52&amp;", ",", "&amp;'Quà cảm ơn'!$B$7:$B$500&amp;", ")))+SUMPRODUCT(--ISNUMBER(SEARCH(", "&amp;$B52&amp;", ",", "&amp;'Trang chủ'!$B$7:$B$500&amp;", ")))+SUMPRODUCT(--ISNUMBER(SEARCH(", "&amp;$B52&amp;", ",", "&amp;'Thông báo'!$B$7:$B$500&amp;", ")))+SUMPRODUCT(--ISNUMBER(SEARCH(", "&amp;$B52&amp;", ",", "&amp;'Đăng tin &amp; Quản lý tin'!$B$7:$B$500&amp;", ")))+SUMPRODUCT(--ISNUMBER(SEARCH(", "&amp;$B52&amp;", ",", "&amp;'Trust &amp; Safety'!$B$7:$B$500&amp;", ")))+SUMPRODUCT(--ISNUMBER(SEARCH(", "&amp;$B52&amp;", ",", "&amp;'Tài khoản &amp; Hồ sơ'!$B$7:$B$500&amp;", ")))</f>
        <v>1</v>
      </c>
      <c r="F52" s="51" t="n">
        <f aca="false">SUMPRODUCT(--ISNUMBER(SEARCH(", "&amp;$B52&amp;", ",", "&amp;'Hoạt động (Đơn của tôi)'!$B$7:$B$500&amp;", ")),--('Hoạt động (Đơn của tôi)'!$AT$7:$AT$500&lt;&gt;""))+SUMPRODUCT(--ISNUMBER(SEARCH(", "&amp;$B52&amp;", ",", "&amp;'Ghép nối'!$B$7:$B$500&amp;", ")),--('Ghép nối'!$AT$7:$AT$500&lt;&gt;""))+SUMPRODUCT(--ISNUMBER(SEARCH(", "&amp;$B52&amp;", ",", "&amp;'Huỷ đơn - Huỷ nhận đơn'!$B$7:$B$500&amp;", ")),--('Huỷ đơn - Huỷ nhận đơn'!$AT$7:$AT$500&lt;&gt;""))+SUMPRODUCT(--ISNUMBER(SEARCH(", "&amp;$B52&amp;", ",", "&amp;'Giao nhận &amp; Theo dõi đơn'!$B$7:$B$500&amp;", ")),--('Giao nhận &amp; Theo dõi đơn'!$AT$7:$AT$500&lt;&gt;""))+SUMPRODUCT(--ISNUMBER(SEARCH(", "&amp;$B52&amp;", ",", "&amp;'Bảng tin &amp; Chi tiết tin'!$B$7:$B$500&amp;", ")),--('Bảng tin &amp; Chi tiết tin'!$AT$7:$AT$500&lt;&gt;""))+SUMPRODUCT(--ISNUMBER(SEARCH(", "&amp;$B52&amp;", ",", "&amp;'Quà cảm ơn'!$B$7:$B$500&amp;", ")),--('Quà cảm ơn'!$AT$7:$AT$500&lt;&gt;""))+SUMPRODUCT(--ISNUMBER(SEARCH(", "&amp;$B52&amp;", ",", "&amp;'Trang chủ'!$B$7:$B$500&amp;", ")),--('Trang chủ'!$AT$7:$AT$500&lt;&gt;""))+SUMPRODUCT(--ISNUMBER(SEARCH(", "&amp;$B52&amp;", ",", "&amp;'Thông báo'!$B$7:$B$500&amp;", ")),--('Thông báo'!$AT$7:$AT$500&lt;&gt;""))+SUMPRODUCT(--ISNUMBER(SEARCH(", "&amp;$B52&amp;", ",", "&amp;'Đăng tin &amp; Quản lý tin'!$B$7:$B$500&amp;", ")),--('Đăng tin &amp; Quản lý tin'!$AT$7:$AT$500&lt;&gt;""))+SUMPRODUCT(--ISNUMBER(SEARCH(", "&amp;$B52&amp;", ",", "&amp;'Trust &amp; Safety'!$B$7:$B$500&amp;", ")),--('Trust &amp; Safety'!$AT$7:$AT$500&lt;&gt;""))+SUMPRODUCT(--ISNUMBER(SEARCH(", "&amp;$B52&amp;", ",", "&amp;'Tài khoản &amp; Hồ sơ'!$B$7:$B$500&amp;", ")),--('Tài khoản &amp; Hồ sơ'!$AT$7:$AT$500&lt;&gt;""))</f>
        <v>0</v>
      </c>
      <c r="G52" s="51" t="n">
        <f aca="false">SUMPRODUCT(--ISNUMBER(SEARCH(", "&amp;$B52&amp;", ",", "&amp;'Hoạt động (Đơn của tôi)'!$B$7:$B$500&amp;", ")),--('Hoạt động (Đơn của tôi)'!$AT$7:$AT$500="Pass"))+SUMPRODUCT(--ISNUMBER(SEARCH(", "&amp;$B52&amp;", ",", "&amp;'Ghép nối'!$B$7:$B$500&amp;", ")),--('Ghép nối'!$AT$7:$AT$500="Pass"))+SUMPRODUCT(--ISNUMBER(SEARCH(", "&amp;$B52&amp;", ",", "&amp;'Huỷ đơn - Huỷ nhận đơn'!$B$7:$B$500&amp;", ")),--('Huỷ đơn - Huỷ nhận đơn'!$AT$7:$AT$500="Pass"))+SUMPRODUCT(--ISNUMBER(SEARCH(", "&amp;$B52&amp;", ",", "&amp;'Giao nhận &amp; Theo dõi đơn'!$B$7:$B$500&amp;", ")),--('Giao nhận &amp; Theo dõi đơn'!$AT$7:$AT$500="Pass"))+SUMPRODUCT(--ISNUMBER(SEARCH(", "&amp;$B52&amp;", ",", "&amp;'Bảng tin &amp; Chi tiết tin'!$B$7:$B$500&amp;", ")),--('Bảng tin &amp; Chi tiết tin'!$AT$7:$AT$500="Pass"))+SUMPRODUCT(--ISNUMBER(SEARCH(", "&amp;$B52&amp;", ",", "&amp;'Quà cảm ơn'!$B$7:$B$500&amp;", ")),--('Quà cảm ơn'!$AT$7:$AT$500="Pass"))+SUMPRODUCT(--ISNUMBER(SEARCH(", "&amp;$B52&amp;", ",", "&amp;'Trang chủ'!$B$7:$B$500&amp;", ")),--('Trang chủ'!$AT$7:$AT$500="Pass"))+SUMPRODUCT(--ISNUMBER(SEARCH(", "&amp;$B52&amp;", ",", "&amp;'Thông báo'!$B$7:$B$500&amp;", ")),--('Thông báo'!$AT$7:$AT$500="Pass"))+SUMPRODUCT(--ISNUMBER(SEARCH(", "&amp;$B52&amp;", ",", "&amp;'Đăng tin &amp; Quản lý tin'!$B$7:$B$500&amp;", ")),--('Đăng tin &amp; Quản lý tin'!$AT$7:$AT$500="Pass"))+SUMPRODUCT(--ISNUMBER(SEARCH(", "&amp;$B52&amp;", ",", "&amp;'Trust &amp; Safety'!$B$7:$B$500&amp;", ")),--('Trust &amp; Safety'!$AT$7:$AT$500="Pass"))+SUMPRODUCT(--ISNUMBER(SEARCH(", "&amp;$B52&amp;", ",", "&amp;'Tài khoản &amp; Hồ sơ'!$B$7:$B$500&amp;", ")),--('Tài khoản &amp; Hồ sơ'!$AT$7:$AT$500="Pass"))</f>
        <v>0</v>
      </c>
      <c r="H52" s="51" t="n">
        <f aca="false">SUMPRODUCT(--ISNUMBER(SEARCH(", "&amp;$B52&amp;", ",", "&amp;'Hoạt động (Đơn của tôi)'!$B$7:$B$500&amp;", ")),--('Hoạt động (Đơn của tôi)'!$AT$7:$AT$500="Fail"))+SUMPRODUCT(--ISNUMBER(SEARCH(", "&amp;$B52&amp;", ",", "&amp;'Ghép nối'!$B$7:$B$500&amp;", ")),--('Ghép nối'!$AT$7:$AT$500="Fail"))+SUMPRODUCT(--ISNUMBER(SEARCH(", "&amp;$B52&amp;", ",", "&amp;'Huỷ đơn - Huỷ nhận đơn'!$B$7:$B$500&amp;", ")),--('Huỷ đơn - Huỷ nhận đơn'!$AT$7:$AT$500="Fail"))+SUMPRODUCT(--ISNUMBER(SEARCH(", "&amp;$B52&amp;", ",", "&amp;'Giao nhận &amp; Theo dõi đơn'!$B$7:$B$500&amp;", ")),--('Giao nhận &amp; Theo dõi đơn'!$AT$7:$AT$500="Fail"))+SUMPRODUCT(--ISNUMBER(SEARCH(", "&amp;$B52&amp;", ",", "&amp;'Bảng tin &amp; Chi tiết tin'!$B$7:$B$500&amp;", ")),--('Bảng tin &amp; Chi tiết tin'!$AT$7:$AT$500="Fail"))+SUMPRODUCT(--ISNUMBER(SEARCH(", "&amp;$B52&amp;", ",", "&amp;'Quà cảm ơn'!$B$7:$B$500&amp;", ")),--('Quà cảm ơn'!$AT$7:$AT$500="Fail"))+SUMPRODUCT(--ISNUMBER(SEARCH(", "&amp;$B52&amp;", ",", "&amp;'Trang chủ'!$B$7:$B$500&amp;", ")),--('Trang chủ'!$AT$7:$AT$500="Fail"))+SUMPRODUCT(--ISNUMBER(SEARCH(", "&amp;$B52&amp;", ",", "&amp;'Thông báo'!$B$7:$B$500&amp;", ")),--('Thông báo'!$AT$7:$AT$500="Fail"))+SUMPRODUCT(--ISNUMBER(SEARCH(", "&amp;$B52&amp;", ",", "&amp;'Đăng tin &amp; Quản lý tin'!$B$7:$B$500&amp;", ")),--('Đăng tin &amp; Quản lý tin'!$AT$7:$AT$500="Fail"))+SUMPRODUCT(--ISNUMBER(SEARCH(", "&amp;$B52&amp;", ",", "&amp;'Trust &amp; Safety'!$B$7:$B$500&amp;", ")),--('Trust &amp; Safety'!$AT$7:$AT$500="Fail"))+SUMPRODUCT(--ISNUMBER(SEARCH(", "&amp;$B52&amp;", ",", "&amp;'Tài khoản &amp; Hồ sơ'!$B$7:$B$500&amp;", ")),--('Tài khoản &amp; Hồ sơ'!$AT$7:$AT$500="Fail"))</f>
        <v>0</v>
      </c>
      <c r="I52" s="51" t="n">
        <f aca="false">SUMPRODUCT(--ISNUMBER(SEARCH(", "&amp;$B52&amp;", ",", "&amp;'Hoạt động (Đơn của tôi)'!$B$7:$B$500&amp;", ")),--('Hoạt động (Đơn của tôi)'!$AT$7:$AT$500="Block"))+SUMPRODUCT(--ISNUMBER(SEARCH(", "&amp;$B52&amp;", ",", "&amp;'Ghép nối'!$B$7:$B$500&amp;", ")),--('Ghép nối'!$AT$7:$AT$500="Block"))+SUMPRODUCT(--ISNUMBER(SEARCH(", "&amp;$B52&amp;", ",", "&amp;'Huỷ đơn - Huỷ nhận đơn'!$B$7:$B$500&amp;", ")),--('Huỷ đơn - Huỷ nhận đơn'!$AT$7:$AT$500="Block"))+SUMPRODUCT(--ISNUMBER(SEARCH(", "&amp;$B52&amp;", ",", "&amp;'Giao nhận &amp; Theo dõi đơn'!$B$7:$B$500&amp;", ")),--('Giao nhận &amp; Theo dõi đơn'!$AT$7:$AT$500="Block"))+SUMPRODUCT(--ISNUMBER(SEARCH(", "&amp;$B52&amp;", ",", "&amp;'Bảng tin &amp; Chi tiết tin'!$B$7:$B$500&amp;", ")),--('Bảng tin &amp; Chi tiết tin'!$AT$7:$AT$500="Block"))+SUMPRODUCT(--ISNUMBER(SEARCH(", "&amp;$B52&amp;", ",", "&amp;'Quà cảm ơn'!$B$7:$B$500&amp;", ")),--('Quà cảm ơn'!$AT$7:$AT$500="Block"))+SUMPRODUCT(--ISNUMBER(SEARCH(", "&amp;$B52&amp;", ",", "&amp;'Trang chủ'!$B$7:$B$500&amp;", ")),--('Trang chủ'!$AT$7:$AT$500="Block"))+SUMPRODUCT(--ISNUMBER(SEARCH(", "&amp;$B52&amp;", ",", "&amp;'Thông báo'!$B$7:$B$500&amp;", ")),--('Thông báo'!$AT$7:$AT$500="Block"))+SUMPRODUCT(--ISNUMBER(SEARCH(", "&amp;$B52&amp;", ",", "&amp;'Đăng tin &amp; Quản lý tin'!$B$7:$B$500&amp;", ")),--('Đăng tin &amp; Quản lý tin'!$AT$7:$AT$500="Block"))+SUMPRODUCT(--ISNUMBER(SEARCH(", "&amp;$B52&amp;", ",", "&amp;'Trust &amp; Safety'!$B$7:$B$500&amp;", ")),--('Trust &amp; Safety'!$AT$7:$AT$500="Block"))+SUMPRODUCT(--ISNUMBER(SEARCH(", "&amp;$B52&amp;", ",", "&amp;'Tài khoản &amp; Hồ sơ'!$B$7:$B$500&amp;", ")),--('Tài khoản &amp; Hồ sơ'!$AT$7:$AT$500="Block"))</f>
        <v>0</v>
      </c>
      <c r="J52" s="51" t="n">
        <f aca="false">SUMPRODUCT(--ISNUMBER(SEARCH(", "&amp;$B52&amp;", ",", "&amp;'Hoạt động (Đơn của tôi)'!$B$7:$B$500&amp;", ")),--('Hoạt động (Đơn của tôi)'!$AT$7:$AT$500="N/A"))+SUMPRODUCT(--ISNUMBER(SEARCH(", "&amp;$B52&amp;", ",", "&amp;'Ghép nối'!$B$7:$B$500&amp;", ")),--('Ghép nối'!$AT$7:$AT$500="N/A"))+SUMPRODUCT(--ISNUMBER(SEARCH(", "&amp;$B52&amp;", ",", "&amp;'Huỷ đơn - Huỷ nhận đơn'!$B$7:$B$500&amp;", ")),--('Huỷ đơn - Huỷ nhận đơn'!$AT$7:$AT$500="N/A"))+SUMPRODUCT(--ISNUMBER(SEARCH(", "&amp;$B52&amp;", ",", "&amp;'Giao nhận &amp; Theo dõi đơn'!$B$7:$B$500&amp;", ")),--('Giao nhận &amp; Theo dõi đơn'!$AT$7:$AT$500="N/A"))+SUMPRODUCT(--ISNUMBER(SEARCH(", "&amp;$B52&amp;", ",", "&amp;'Bảng tin &amp; Chi tiết tin'!$B$7:$B$500&amp;", ")),--('Bảng tin &amp; Chi tiết tin'!$AT$7:$AT$500="N/A"))+SUMPRODUCT(--ISNUMBER(SEARCH(", "&amp;$B52&amp;", ",", "&amp;'Quà cảm ơn'!$B$7:$B$500&amp;", ")),--('Quà cảm ơn'!$AT$7:$AT$500="N/A"))+SUMPRODUCT(--ISNUMBER(SEARCH(", "&amp;$B52&amp;", ",", "&amp;'Trang chủ'!$B$7:$B$500&amp;", ")),--('Trang chủ'!$AT$7:$AT$500="N/A"))+SUMPRODUCT(--ISNUMBER(SEARCH(", "&amp;$B52&amp;", ",", "&amp;'Thông báo'!$B$7:$B$500&amp;", ")),--('Thông báo'!$AT$7:$AT$500="N/A"))+SUMPRODUCT(--ISNUMBER(SEARCH(", "&amp;$B52&amp;", ",", "&amp;'Đăng tin &amp; Quản lý tin'!$B$7:$B$500&amp;", ")),--('Đăng tin &amp; Quản lý tin'!$AT$7:$AT$500="N/A"))+SUMPRODUCT(--ISNUMBER(SEARCH(", "&amp;$B52&amp;", ",", "&amp;'Trust &amp; Safety'!$B$7:$B$500&amp;", ")),--('Trust &amp; Safety'!$AT$7:$AT$500="N/A"))+SUMPRODUCT(--ISNUMBER(SEARCH(", "&amp;$B52&amp;", ",", "&amp;'Tài khoản &amp; Hồ sơ'!$B$7:$B$500&amp;", ")),--('Tài khoản &amp; Hồ sơ'!$AT$7:$AT$500="N/A"))</f>
        <v>0</v>
      </c>
      <c r="K52" s="52" t="n">
        <f aca="false">IFERROR(F52/E52,0)</f>
        <v>0</v>
      </c>
      <c r="L52" s="123" t="str">
        <f aca="false">IF(E52=0,"Chưa có TC (gap)",IF(H52&gt;0,"Có lỗi (Fail)",IF(I52&gt;0,"Bị block",IF(F52&lt;E52,"Đang test",IF(G52=0,"Không áp dụng (N/A)","Đã test xong")))))</f>
        <v>Đang test</v>
      </c>
      <c r="AB52" s="1" t="s">
        <v>444</v>
      </c>
    </row>
    <row r="53" customFormat="false" ht="15.75" hidden="false" customHeight="true" outlineLevel="0" collapsed="false">
      <c r="B53" s="175" t="s">
        <v>554</v>
      </c>
      <c r="C53" s="176" t="s">
        <v>555</v>
      </c>
      <c r="D53" s="123" t="s">
        <v>556</v>
      </c>
      <c r="E53" s="51" t="n">
        <f aca="false">SUMPRODUCT(--ISNUMBER(SEARCH(", "&amp;$B53&amp;", ",", "&amp;'Hoạt động (Đơn của tôi)'!$B$7:$B$500&amp;", ")))+SUMPRODUCT(--ISNUMBER(SEARCH(", "&amp;$B53&amp;", ",", "&amp;'Ghép nối'!$B$7:$B$500&amp;", ")))+SUMPRODUCT(--ISNUMBER(SEARCH(", "&amp;$B53&amp;", ",", "&amp;'Huỷ đơn - Huỷ nhận đơn'!$B$7:$B$500&amp;", ")))+SUMPRODUCT(--ISNUMBER(SEARCH(", "&amp;$B53&amp;", ",", "&amp;'Giao nhận &amp; Theo dõi đơn'!$B$7:$B$500&amp;", ")))+SUMPRODUCT(--ISNUMBER(SEARCH(", "&amp;$B53&amp;", ",", "&amp;'Bảng tin &amp; Chi tiết tin'!$B$7:$B$500&amp;", ")))+SUMPRODUCT(--ISNUMBER(SEARCH(", "&amp;$B53&amp;", ",", "&amp;'Quà cảm ơn'!$B$7:$B$500&amp;", ")))+SUMPRODUCT(--ISNUMBER(SEARCH(", "&amp;$B53&amp;", ",", "&amp;'Trang chủ'!$B$7:$B$500&amp;", ")))+SUMPRODUCT(--ISNUMBER(SEARCH(", "&amp;$B53&amp;", ",", "&amp;'Thông báo'!$B$7:$B$500&amp;", ")))+SUMPRODUCT(--ISNUMBER(SEARCH(", "&amp;$B53&amp;", ",", "&amp;'Đăng tin &amp; Quản lý tin'!$B$7:$B$500&amp;", ")))+SUMPRODUCT(--ISNUMBER(SEARCH(", "&amp;$B53&amp;", ",", "&amp;'Trust &amp; Safety'!$B$7:$B$500&amp;", ")))+SUMPRODUCT(--ISNUMBER(SEARCH(", "&amp;$B53&amp;", ",", "&amp;'Tài khoản &amp; Hồ sơ'!$B$7:$B$500&amp;", ")))</f>
        <v>7</v>
      </c>
      <c r="F53" s="51" t="n">
        <f aca="false">SUMPRODUCT(--ISNUMBER(SEARCH(", "&amp;$B53&amp;", ",", "&amp;'Hoạt động (Đơn của tôi)'!$B$7:$B$500&amp;", ")),--('Hoạt động (Đơn của tôi)'!$AT$7:$AT$500&lt;&gt;""))+SUMPRODUCT(--ISNUMBER(SEARCH(", "&amp;$B53&amp;", ",", "&amp;'Ghép nối'!$B$7:$B$500&amp;", ")),--('Ghép nối'!$AT$7:$AT$500&lt;&gt;""))+SUMPRODUCT(--ISNUMBER(SEARCH(", "&amp;$B53&amp;", ",", "&amp;'Huỷ đơn - Huỷ nhận đơn'!$B$7:$B$500&amp;", ")),--('Huỷ đơn - Huỷ nhận đơn'!$AT$7:$AT$500&lt;&gt;""))+SUMPRODUCT(--ISNUMBER(SEARCH(", "&amp;$B53&amp;", ",", "&amp;'Giao nhận &amp; Theo dõi đơn'!$B$7:$B$500&amp;", ")),--('Giao nhận &amp; Theo dõi đơn'!$AT$7:$AT$500&lt;&gt;""))+SUMPRODUCT(--ISNUMBER(SEARCH(", "&amp;$B53&amp;", ",", "&amp;'Bảng tin &amp; Chi tiết tin'!$B$7:$B$500&amp;", ")),--('Bảng tin &amp; Chi tiết tin'!$AT$7:$AT$500&lt;&gt;""))+SUMPRODUCT(--ISNUMBER(SEARCH(", "&amp;$B53&amp;", ",", "&amp;'Quà cảm ơn'!$B$7:$B$500&amp;", ")),--('Quà cảm ơn'!$AT$7:$AT$500&lt;&gt;""))+SUMPRODUCT(--ISNUMBER(SEARCH(", "&amp;$B53&amp;", ",", "&amp;'Trang chủ'!$B$7:$B$500&amp;", ")),--('Trang chủ'!$AT$7:$AT$500&lt;&gt;""))+SUMPRODUCT(--ISNUMBER(SEARCH(", "&amp;$B53&amp;", ",", "&amp;'Thông báo'!$B$7:$B$500&amp;", ")),--('Thông báo'!$AT$7:$AT$500&lt;&gt;""))+SUMPRODUCT(--ISNUMBER(SEARCH(", "&amp;$B53&amp;", ",", "&amp;'Đăng tin &amp; Quản lý tin'!$B$7:$B$500&amp;", ")),--('Đăng tin &amp; Quản lý tin'!$AT$7:$AT$500&lt;&gt;""))+SUMPRODUCT(--ISNUMBER(SEARCH(", "&amp;$B53&amp;", ",", "&amp;'Trust &amp; Safety'!$B$7:$B$500&amp;", ")),--('Trust &amp; Safety'!$AT$7:$AT$500&lt;&gt;""))+SUMPRODUCT(--ISNUMBER(SEARCH(", "&amp;$B53&amp;", ",", "&amp;'Tài khoản &amp; Hồ sơ'!$B$7:$B$500&amp;", ")),--('Tài khoản &amp; Hồ sơ'!$AT$7:$AT$500&lt;&gt;""))</f>
        <v>0</v>
      </c>
      <c r="G53" s="51" t="n">
        <f aca="false">SUMPRODUCT(--ISNUMBER(SEARCH(", "&amp;$B53&amp;", ",", "&amp;'Hoạt động (Đơn của tôi)'!$B$7:$B$500&amp;", ")),--('Hoạt động (Đơn của tôi)'!$AT$7:$AT$500="Pass"))+SUMPRODUCT(--ISNUMBER(SEARCH(", "&amp;$B53&amp;", ",", "&amp;'Ghép nối'!$B$7:$B$500&amp;", ")),--('Ghép nối'!$AT$7:$AT$500="Pass"))+SUMPRODUCT(--ISNUMBER(SEARCH(", "&amp;$B53&amp;", ",", "&amp;'Huỷ đơn - Huỷ nhận đơn'!$B$7:$B$500&amp;", ")),--('Huỷ đơn - Huỷ nhận đơn'!$AT$7:$AT$500="Pass"))+SUMPRODUCT(--ISNUMBER(SEARCH(", "&amp;$B53&amp;", ",", "&amp;'Giao nhận &amp; Theo dõi đơn'!$B$7:$B$500&amp;", ")),--('Giao nhận &amp; Theo dõi đơn'!$AT$7:$AT$500="Pass"))+SUMPRODUCT(--ISNUMBER(SEARCH(", "&amp;$B53&amp;", ",", "&amp;'Bảng tin &amp; Chi tiết tin'!$B$7:$B$500&amp;", ")),--('Bảng tin &amp; Chi tiết tin'!$AT$7:$AT$500="Pass"))+SUMPRODUCT(--ISNUMBER(SEARCH(", "&amp;$B53&amp;", ",", "&amp;'Quà cảm ơn'!$B$7:$B$500&amp;", ")),--('Quà cảm ơn'!$AT$7:$AT$500="Pass"))+SUMPRODUCT(--ISNUMBER(SEARCH(", "&amp;$B53&amp;", ",", "&amp;'Trang chủ'!$B$7:$B$500&amp;", ")),--('Trang chủ'!$AT$7:$AT$500="Pass"))+SUMPRODUCT(--ISNUMBER(SEARCH(", "&amp;$B53&amp;", ",", "&amp;'Thông báo'!$B$7:$B$500&amp;", ")),--('Thông báo'!$AT$7:$AT$500="Pass"))+SUMPRODUCT(--ISNUMBER(SEARCH(", "&amp;$B53&amp;", ",", "&amp;'Đăng tin &amp; Quản lý tin'!$B$7:$B$500&amp;", ")),--('Đăng tin &amp; Quản lý tin'!$AT$7:$AT$500="Pass"))+SUMPRODUCT(--ISNUMBER(SEARCH(", "&amp;$B53&amp;", ",", "&amp;'Trust &amp; Safety'!$B$7:$B$500&amp;", ")),--('Trust &amp; Safety'!$AT$7:$AT$500="Pass"))+SUMPRODUCT(--ISNUMBER(SEARCH(", "&amp;$B53&amp;", ",", "&amp;'Tài khoản &amp; Hồ sơ'!$B$7:$B$500&amp;", ")),--('Tài khoản &amp; Hồ sơ'!$AT$7:$AT$500="Pass"))</f>
        <v>0</v>
      </c>
      <c r="H53" s="51" t="n">
        <f aca="false">SUMPRODUCT(--ISNUMBER(SEARCH(", "&amp;$B53&amp;", ",", "&amp;'Hoạt động (Đơn của tôi)'!$B$7:$B$500&amp;", ")),--('Hoạt động (Đơn của tôi)'!$AT$7:$AT$500="Fail"))+SUMPRODUCT(--ISNUMBER(SEARCH(", "&amp;$B53&amp;", ",", "&amp;'Ghép nối'!$B$7:$B$500&amp;", ")),--('Ghép nối'!$AT$7:$AT$500="Fail"))+SUMPRODUCT(--ISNUMBER(SEARCH(", "&amp;$B53&amp;", ",", "&amp;'Huỷ đơn - Huỷ nhận đơn'!$B$7:$B$500&amp;", ")),--('Huỷ đơn - Huỷ nhận đơn'!$AT$7:$AT$500="Fail"))+SUMPRODUCT(--ISNUMBER(SEARCH(", "&amp;$B53&amp;", ",", "&amp;'Giao nhận &amp; Theo dõi đơn'!$B$7:$B$500&amp;", ")),--('Giao nhận &amp; Theo dõi đơn'!$AT$7:$AT$500="Fail"))+SUMPRODUCT(--ISNUMBER(SEARCH(", "&amp;$B53&amp;", ",", "&amp;'Bảng tin &amp; Chi tiết tin'!$B$7:$B$500&amp;", ")),--('Bảng tin &amp; Chi tiết tin'!$AT$7:$AT$500="Fail"))+SUMPRODUCT(--ISNUMBER(SEARCH(", "&amp;$B53&amp;", ",", "&amp;'Quà cảm ơn'!$B$7:$B$500&amp;", ")),--('Quà cảm ơn'!$AT$7:$AT$500="Fail"))+SUMPRODUCT(--ISNUMBER(SEARCH(", "&amp;$B53&amp;", ",", "&amp;'Trang chủ'!$B$7:$B$500&amp;", ")),--('Trang chủ'!$AT$7:$AT$500="Fail"))+SUMPRODUCT(--ISNUMBER(SEARCH(", "&amp;$B53&amp;", ",", "&amp;'Thông báo'!$B$7:$B$500&amp;", ")),--('Thông báo'!$AT$7:$AT$500="Fail"))+SUMPRODUCT(--ISNUMBER(SEARCH(", "&amp;$B53&amp;", ",", "&amp;'Đăng tin &amp; Quản lý tin'!$B$7:$B$500&amp;", ")),--('Đăng tin &amp; Quản lý tin'!$AT$7:$AT$500="Fail"))+SUMPRODUCT(--ISNUMBER(SEARCH(", "&amp;$B53&amp;", ",", "&amp;'Trust &amp; Safety'!$B$7:$B$500&amp;", ")),--('Trust &amp; Safety'!$AT$7:$AT$500="Fail"))+SUMPRODUCT(--ISNUMBER(SEARCH(", "&amp;$B53&amp;", ",", "&amp;'Tài khoản &amp; Hồ sơ'!$B$7:$B$500&amp;", ")),--('Tài khoản &amp; Hồ sơ'!$AT$7:$AT$500="Fail"))</f>
        <v>0</v>
      </c>
      <c r="I53" s="51" t="n">
        <f aca="false">SUMPRODUCT(--ISNUMBER(SEARCH(", "&amp;$B53&amp;", ",", "&amp;'Hoạt động (Đơn của tôi)'!$B$7:$B$500&amp;", ")),--('Hoạt động (Đơn của tôi)'!$AT$7:$AT$500="Block"))+SUMPRODUCT(--ISNUMBER(SEARCH(", "&amp;$B53&amp;", ",", "&amp;'Ghép nối'!$B$7:$B$500&amp;", ")),--('Ghép nối'!$AT$7:$AT$500="Block"))+SUMPRODUCT(--ISNUMBER(SEARCH(", "&amp;$B53&amp;", ",", "&amp;'Huỷ đơn - Huỷ nhận đơn'!$B$7:$B$500&amp;", ")),--('Huỷ đơn - Huỷ nhận đơn'!$AT$7:$AT$500="Block"))+SUMPRODUCT(--ISNUMBER(SEARCH(", "&amp;$B53&amp;", ",", "&amp;'Giao nhận &amp; Theo dõi đơn'!$B$7:$B$500&amp;", ")),--('Giao nhận &amp; Theo dõi đơn'!$AT$7:$AT$500="Block"))+SUMPRODUCT(--ISNUMBER(SEARCH(", "&amp;$B53&amp;", ",", "&amp;'Bảng tin &amp; Chi tiết tin'!$B$7:$B$500&amp;", ")),--('Bảng tin &amp; Chi tiết tin'!$AT$7:$AT$500="Block"))+SUMPRODUCT(--ISNUMBER(SEARCH(", "&amp;$B53&amp;", ",", "&amp;'Quà cảm ơn'!$B$7:$B$500&amp;", ")),--('Quà cảm ơn'!$AT$7:$AT$500="Block"))+SUMPRODUCT(--ISNUMBER(SEARCH(", "&amp;$B53&amp;", ",", "&amp;'Trang chủ'!$B$7:$B$500&amp;", ")),--('Trang chủ'!$AT$7:$AT$500="Block"))+SUMPRODUCT(--ISNUMBER(SEARCH(", "&amp;$B53&amp;", ",", "&amp;'Thông báo'!$B$7:$B$500&amp;", ")),--('Thông báo'!$AT$7:$AT$500="Block"))+SUMPRODUCT(--ISNUMBER(SEARCH(", "&amp;$B53&amp;", ",", "&amp;'Đăng tin &amp; Quản lý tin'!$B$7:$B$500&amp;", ")),--('Đăng tin &amp; Quản lý tin'!$AT$7:$AT$500="Block"))+SUMPRODUCT(--ISNUMBER(SEARCH(", "&amp;$B53&amp;", ",", "&amp;'Trust &amp; Safety'!$B$7:$B$500&amp;", ")),--('Trust &amp; Safety'!$AT$7:$AT$500="Block"))+SUMPRODUCT(--ISNUMBER(SEARCH(", "&amp;$B53&amp;", ",", "&amp;'Tài khoản &amp; Hồ sơ'!$B$7:$B$500&amp;", ")),--('Tài khoản &amp; Hồ sơ'!$AT$7:$AT$500="Block"))</f>
        <v>0</v>
      </c>
      <c r="J53" s="51" t="n">
        <f aca="false">SUMPRODUCT(--ISNUMBER(SEARCH(", "&amp;$B53&amp;", ",", "&amp;'Hoạt động (Đơn của tôi)'!$B$7:$B$500&amp;", ")),--('Hoạt động (Đơn của tôi)'!$AT$7:$AT$500="N/A"))+SUMPRODUCT(--ISNUMBER(SEARCH(", "&amp;$B53&amp;", ",", "&amp;'Ghép nối'!$B$7:$B$500&amp;", ")),--('Ghép nối'!$AT$7:$AT$500="N/A"))+SUMPRODUCT(--ISNUMBER(SEARCH(", "&amp;$B53&amp;", ",", "&amp;'Huỷ đơn - Huỷ nhận đơn'!$B$7:$B$500&amp;", ")),--('Huỷ đơn - Huỷ nhận đơn'!$AT$7:$AT$500="N/A"))+SUMPRODUCT(--ISNUMBER(SEARCH(", "&amp;$B53&amp;", ",", "&amp;'Giao nhận &amp; Theo dõi đơn'!$B$7:$B$500&amp;", ")),--('Giao nhận &amp; Theo dõi đơn'!$AT$7:$AT$500="N/A"))+SUMPRODUCT(--ISNUMBER(SEARCH(", "&amp;$B53&amp;", ",", "&amp;'Bảng tin &amp; Chi tiết tin'!$B$7:$B$500&amp;", ")),--('Bảng tin &amp; Chi tiết tin'!$AT$7:$AT$500="N/A"))+SUMPRODUCT(--ISNUMBER(SEARCH(", "&amp;$B53&amp;", ",", "&amp;'Quà cảm ơn'!$B$7:$B$500&amp;", ")),--('Quà cảm ơn'!$AT$7:$AT$500="N/A"))+SUMPRODUCT(--ISNUMBER(SEARCH(", "&amp;$B53&amp;", ",", "&amp;'Trang chủ'!$B$7:$B$500&amp;", ")),--('Trang chủ'!$AT$7:$AT$500="N/A"))+SUMPRODUCT(--ISNUMBER(SEARCH(", "&amp;$B53&amp;", ",", "&amp;'Thông báo'!$B$7:$B$500&amp;", ")),--('Thông báo'!$AT$7:$AT$500="N/A"))+SUMPRODUCT(--ISNUMBER(SEARCH(", "&amp;$B53&amp;", ",", "&amp;'Đăng tin &amp; Quản lý tin'!$B$7:$B$500&amp;", ")),--('Đăng tin &amp; Quản lý tin'!$AT$7:$AT$500="N/A"))+SUMPRODUCT(--ISNUMBER(SEARCH(", "&amp;$B53&amp;", ",", "&amp;'Trust &amp; Safety'!$B$7:$B$500&amp;", ")),--('Trust &amp; Safety'!$AT$7:$AT$500="N/A"))+SUMPRODUCT(--ISNUMBER(SEARCH(", "&amp;$B53&amp;", ",", "&amp;'Tài khoản &amp; Hồ sơ'!$B$7:$B$500&amp;", ")),--('Tài khoản &amp; Hồ sơ'!$AT$7:$AT$500="N/A"))</f>
        <v>0</v>
      </c>
      <c r="K53" s="52" t="n">
        <f aca="false">IFERROR(F53/E53,0)</f>
        <v>0</v>
      </c>
      <c r="L53" s="123" t="str">
        <f aca="false">IF(E53=0,"Chưa có TC (gap)",IF(H53&gt;0,"Có lỗi (Fail)",IF(I53&gt;0,"Bị block",IF(F53&lt;E53,"Đang test",IF(G53=0,"Không áp dụng (N/A)","Đã test xong")))))</f>
        <v>Đang test</v>
      </c>
      <c r="AB53" s="1" t="s">
        <v>444</v>
      </c>
    </row>
    <row r="54" customFormat="false" ht="15.75" hidden="false" customHeight="true" outlineLevel="0" collapsed="false">
      <c r="B54" s="175" t="s">
        <v>557</v>
      </c>
      <c r="C54" s="176" t="s">
        <v>558</v>
      </c>
      <c r="D54" s="123" t="s">
        <v>559</v>
      </c>
      <c r="E54" s="51" t="n">
        <f aca="false">SUMPRODUCT(--ISNUMBER(SEARCH(", "&amp;$B54&amp;", ",", "&amp;'Hoạt động (Đơn của tôi)'!$B$7:$B$500&amp;", ")))+SUMPRODUCT(--ISNUMBER(SEARCH(", "&amp;$B54&amp;", ",", "&amp;'Ghép nối'!$B$7:$B$500&amp;", ")))+SUMPRODUCT(--ISNUMBER(SEARCH(", "&amp;$B54&amp;", ",", "&amp;'Huỷ đơn - Huỷ nhận đơn'!$B$7:$B$500&amp;", ")))+SUMPRODUCT(--ISNUMBER(SEARCH(", "&amp;$B54&amp;", ",", "&amp;'Giao nhận &amp; Theo dõi đơn'!$B$7:$B$500&amp;", ")))+SUMPRODUCT(--ISNUMBER(SEARCH(", "&amp;$B54&amp;", ",", "&amp;'Bảng tin &amp; Chi tiết tin'!$B$7:$B$500&amp;", ")))+SUMPRODUCT(--ISNUMBER(SEARCH(", "&amp;$B54&amp;", ",", "&amp;'Quà cảm ơn'!$B$7:$B$500&amp;", ")))+SUMPRODUCT(--ISNUMBER(SEARCH(", "&amp;$B54&amp;", ",", "&amp;'Trang chủ'!$B$7:$B$500&amp;", ")))+SUMPRODUCT(--ISNUMBER(SEARCH(", "&amp;$B54&amp;", ",", "&amp;'Thông báo'!$B$7:$B$500&amp;", ")))+SUMPRODUCT(--ISNUMBER(SEARCH(", "&amp;$B54&amp;", ",", "&amp;'Đăng tin &amp; Quản lý tin'!$B$7:$B$500&amp;", ")))+SUMPRODUCT(--ISNUMBER(SEARCH(", "&amp;$B54&amp;", ",", "&amp;'Trust &amp; Safety'!$B$7:$B$500&amp;", ")))+SUMPRODUCT(--ISNUMBER(SEARCH(", "&amp;$B54&amp;", ",", "&amp;'Tài khoản &amp; Hồ sơ'!$B$7:$B$500&amp;", ")))</f>
        <v>1</v>
      </c>
      <c r="F54" s="51" t="n">
        <f aca="false">SUMPRODUCT(--ISNUMBER(SEARCH(", "&amp;$B54&amp;", ",", "&amp;'Hoạt động (Đơn của tôi)'!$B$7:$B$500&amp;", ")),--('Hoạt động (Đơn của tôi)'!$AT$7:$AT$500&lt;&gt;""))+SUMPRODUCT(--ISNUMBER(SEARCH(", "&amp;$B54&amp;", ",", "&amp;'Ghép nối'!$B$7:$B$500&amp;", ")),--('Ghép nối'!$AT$7:$AT$500&lt;&gt;""))+SUMPRODUCT(--ISNUMBER(SEARCH(", "&amp;$B54&amp;", ",", "&amp;'Huỷ đơn - Huỷ nhận đơn'!$B$7:$B$500&amp;", ")),--('Huỷ đơn - Huỷ nhận đơn'!$AT$7:$AT$500&lt;&gt;""))+SUMPRODUCT(--ISNUMBER(SEARCH(", "&amp;$B54&amp;", ",", "&amp;'Giao nhận &amp; Theo dõi đơn'!$B$7:$B$500&amp;", ")),--('Giao nhận &amp; Theo dõi đơn'!$AT$7:$AT$500&lt;&gt;""))+SUMPRODUCT(--ISNUMBER(SEARCH(", "&amp;$B54&amp;", ",", "&amp;'Bảng tin &amp; Chi tiết tin'!$B$7:$B$500&amp;", ")),--('Bảng tin &amp; Chi tiết tin'!$AT$7:$AT$500&lt;&gt;""))+SUMPRODUCT(--ISNUMBER(SEARCH(", "&amp;$B54&amp;", ",", "&amp;'Quà cảm ơn'!$B$7:$B$500&amp;", ")),--('Quà cảm ơn'!$AT$7:$AT$500&lt;&gt;""))+SUMPRODUCT(--ISNUMBER(SEARCH(", "&amp;$B54&amp;", ",", "&amp;'Trang chủ'!$B$7:$B$500&amp;", ")),--('Trang chủ'!$AT$7:$AT$500&lt;&gt;""))+SUMPRODUCT(--ISNUMBER(SEARCH(", "&amp;$B54&amp;", ",", "&amp;'Thông báo'!$B$7:$B$500&amp;", ")),--('Thông báo'!$AT$7:$AT$500&lt;&gt;""))+SUMPRODUCT(--ISNUMBER(SEARCH(", "&amp;$B54&amp;", ",", "&amp;'Đăng tin &amp; Quản lý tin'!$B$7:$B$500&amp;", ")),--('Đăng tin &amp; Quản lý tin'!$AT$7:$AT$500&lt;&gt;""))+SUMPRODUCT(--ISNUMBER(SEARCH(", "&amp;$B54&amp;", ",", "&amp;'Trust &amp; Safety'!$B$7:$B$500&amp;", ")),--('Trust &amp; Safety'!$AT$7:$AT$500&lt;&gt;""))+SUMPRODUCT(--ISNUMBER(SEARCH(", "&amp;$B54&amp;", ",", "&amp;'Tài khoản &amp; Hồ sơ'!$B$7:$B$500&amp;", ")),--('Tài khoản &amp; Hồ sơ'!$AT$7:$AT$500&lt;&gt;""))</f>
        <v>0</v>
      </c>
      <c r="G54" s="51" t="n">
        <f aca="false">SUMPRODUCT(--ISNUMBER(SEARCH(", "&amp;$B54&amp;", ",", "&amp;'Hoạt động (Đơn của tôi)'!$B$7:$B$500&amp;", ")),--('Hoạt động (Đơn của tôi)'!$AT$7:$AT$500="Pass"))+SUMPRODUCT(--ISNUMBER(SEARCH(", "&amp;$B54&amp;", ",", "&amp;'Ghép nối'!$B$7:$B$500&amp;", ")),--('Ghép nối'!$AT$7:$AT$500="Pass"))+SUMPRODUCT(--ISNUMBER(SEARCH(", "&amp;$B54&amp;", ",", "&amp;'Huỷ đơn - Huỷ nhận đơn'!$B$7:$B$500&amp;", ")),--('Huỷ đơn - Huỷ nhận đơn'!$AT$7:$AT$500="Pass"))+SUMPRODUCT(--ISNUMBER(SEARCH(", "&amp;$B54&amp;", ",", "&amp;'Giao nhận &amp; Theo dõi đơn'!$B$7:$B$500&amp;", ")),--('Giao nhận &amp; Theo dõi đơn'!$AT$7:$AT$500="Pass"))+SUMPRODUCT(--ISNUMBER(SEARCH(", "&amp;$B54&amp;", ",", "&amp;'Bảng tin &amp; Chi tiết tin'!$B$7:$B$500&amp;", ")),--('Bảng tin &amp; Chi tiết tin'!$AT$7:$AT$500="Pass"))+SUMPRODUCT(--ISNUMBER(SEARCH(", "&amp;$B54&amp;", ",", "&amp;'Quà cảm ơn'!$B$7:$B$500&amp;", ")),--('Quà cảm ơn'!$AT$7:$AT$500="Pass"))+SUMPRODUCT(--ISNUMBER(SEARCH(", "&amp;$B54&amp;", ",", "&amp;'Trang chủ'!$B$7:$B$500&amp;", ")),--('Trang chủ'!$AT$7:$AT$500="Pass"))+SUMPRODUCT(--ISNUMBER(SEARCH(", "&amp;$B54&amp;", ",", "&amp;'Thông báo'!$B$7:$B$500&amp;", ")),--('Thông báo'!$AT$7:$AT$500="Pass"))+SUMPRODUCT(--ISNUMBER(SEARCH(", "&amp;$B54&amp;", ",", "&amp;'Đăng tin &amp; Quản lý tin'!$B$7:$B$500&amp;", ")),--('Đăng tin &amp; Quản lý tin'!$AT$7:$AT$500="Pass"))+SUMPRODUCT(--ISNUMBER(SEARCH(", "&amp;$B54&amp;", ",", "&amp;'Trust &amp; Safety'!$B$7:$B$500&amp;", ")),--('Trust &amp; Safety'!$AT$7:$AT$500="Pass"))+SUMPRODUCT(--ISNUMBER(SEARCH(", "&amp;$B54&amp;", ",", "&amp;'Tài khoản &amp; Hồ sơ'!$B$7:$B$500&amp;", ")),--('Tài khoản &amp; Hồ sơ'!$AT$7:$AT$500="Pass"))</f>
        <v>0</v>
      </c>
      <c r="H54" s="51" t="n">
        <f aca="false">SUMPRODUCT(--ISNUMBER(SEARCH(", "&amp;$B54&amp;", ",", "&amp;'Hoạt động (Đơn của tôi)'!$B$7:$B$500&amp;", ")),--('Hoạt động (Đơn của tôi)'!$AT$7:$AT$500="Fail"))+SUMPRODUCT(--ISNUMBER(SEARCH(", "&amp;$B54&amp;", ",", "&amp;'Ghép nối'!$B$7:$B$500&amp;", ")),--('Ghép nối'!$AT$7:$AT$500="Fail"))+SUMPRODUCT(--ISNUMBER(SEARCH(", "&amp;$B54&amp;", ",", "&amp;'Huỷ đơn - Huỷ nhận đơn'!$B$7:$B$500&amp;", ")),--('Huỷ đơn - Huỷ nhận đơn'!$AT$7:$AT$500="Fail"))+SUMPRODUCT(--ISNUMBER(SEARCH(", "&amp;$B54&amp;", ",", "&amp;'Giao nhận &amp; Theo dõi đơn'!$B$7:$B$500&amp;", ")),--('Giao nhận &amp; Theo dõi đơn'!$AT$7:$AT$500="Fail"))+SUMPRODUCT(--ISNUMBER(SEARCH(", "&amp;$B54&amp;", ",", "&amp;'Bảng tin &amp; Chi tiết tin'!$B$7:$B$500&amp;", ")),--('Bảng tin &amp; Chi tiết tin'!$AT$7:$AT$500="Fail"))+SUMPRODUCT(--ISNUMBER(SEARCH(", "&amp;$B54&amp;", ",", "&amp;'Quà cảm ơn'!$B$7:$B$500&amp;", ")),--('Quà cảm ơn'!$AT$7:$AT$500="Fail"))+SUMPRODUCT(--ISNUMBER(SEARCH(", "&amp;$B54&amp;", ",", "&amp;'Trang chủ'!$B$7:$B$500&amp;", ")),--('Trang chủ'!$AT$7:$AT$500="Fail"))+SUMPRODUCT(--ISNUMBER(SEARCH(", "&amp;$B54&amp;", ",", "&amp;'Thông báo'!$B$7:$B$500&amp;", ")),--('Thông báo'!$AT$7:$AT$500="Fail"))+SUMPRODUCT(--ISNUMBER(SEARCH(", "&amp;$B54&amp;", ",", "&amp;'Đăng tin &amp; Quản lý tin'!$B$7:$B$500&amp;", ")),--('Đăng tin &amp; Quản lý tin'!$AT$7:$AT$500="Fail"))+SUMPRODUCT(--ISNUMBER(SEARCH(", "&amp;$B54&amp;", ",", "&amp;'Trust &amp; Safety'!$B$7:$B$500&amp;", ")),--('Trust &amp; Safety'!$AT$7:$AT$500="Fail"))+SUMPRODUCT(--ISNUMBER(SEARCH(", "&amp;$B54&amp;", ",", "&amp;'Tài khoản &amp; Hồ sơ'!$B$7:$B$500&amp;", ")),--('Tài khoản &amp; Hồ sơ'!$AT$7:$AT$500="Fail"))</f>
        <v>0</v>
      </c>
      <c r="I54" s="51" t="n">
        <f aca="false">SUMPRODUCT(--ISNUMBER(SEARCH(", "&amp;$B54&amp;", ",", "&amp;'Hoạt động (Đơn của tôi)'!$B$7:$B$500&amp;", ")),--('Hoạt động (Đơn của tôi)'!$AT$7:$AT$500="Block"))+SUMPRODUCT(--ISNUMBER(SEARCH(", "&amp;$B54&amp;", ",", "&amp;'Ghép nối'!$B$7:$B$500&amp;", ")),--('Ghép nối'!$AT$7:$AT$500="Block"))+SUMPRODUCT(--ISNUMBER(SEARCH(", "&amp;$B54&amp;", ",", "&amp;'Huỷ đơn - Huỷ nhận đơn'!$B$7:$B$500&amp;", ")),--('Huỷ đơn - Huỷ nhận đơn'!$AT$7:$AT$500="Block"))+SUMPRODUCT(--ISNUMBER(SEARCH(", "&amp;$B54&amp;", ",", "&amp;'Giao nhận &amp; Theo dõi đơn'!$B$7:$B$500&amp;", ")),--('Giao nhận &amp; Theo dõi đơn'!$AT$7:$AT$500="Block"))+SUMPRODUCT(--ISNUMBER(SEARCH(", "&amp;$B54&amp;", ",", "&amp;'Bảng tin &amp; Chi tiết tin'!$B$7:$B$500&amp;", ")),--('Bảng tin &amp; Chi tiết tin'!$AT$7:$AT$500="Block"))+SUMPRODUCT(--ISNUMBER(SEARCH(", "&amp;$B54&amp;", ",", "&amp;'Quà cảm ơn'!$B$7:$B$500&amp;", ")),--('Quà cảm ơn'!$AT$7:$AT$500="Block"))+SUMPRODUCT(--ISNUMBER(SEARCH(", "&amp;$B54&amp;", ",", "&amp;'Trang chủ'!$B$7:$B$500&amp;", ")),--('Trang chủ'!$AT$7:$AT$500="Block"))+SUMPRODUCT(--ISNUMBER(SEARCH(", "&amp;$B54&amp;", ",", "&amp;'Thông báo'!$B$7:$B$500&amp;", ")),--('Thông báo'!$AT$7:$AT$500="Block"))+SUMPRODUCT(--ISNUMBER(SEARCH(", "&amp;$B54&amp;", ",", "&amp;'Đăng tin &amp; Quản lý tin'!$B$7:$B$500&amp;", ")),--('Đăng tin &amp; Quản lý tin'!$AT$7:$AT$500="Block"))+SUMPRODUCT(--ISNUMBER(SEARCH(", "&amp;$B54&amp;", ",", "&amp;'Trust &amp; Safety'!$B$7:$B$500&amp;", ")),--('Trust &amp; Safety'!$AT$7:$AT$500="Block"))+SUMPRODUCT(--ISNUMBER(SEARCH(", "&amp;$B54&amp;", ",", "&amp;'Tài khoản &amp; Hồ sơ'!$B$7:$B$500&amp;", ")),--('Tài khoản &amp; Hồ sơ'!$AT$7:$AT$500="Block"))</f>
        <v>0</v>
      </c>
      <c r="J54" s="51" t="n">
        <f aca="false">SUMPRODUCT(--ISNUMBER(SEARCH(", "&amp;$B54&amp;", ",", "&amp;'Hoạt động (Đơn của tôi)'!$B$7:$B$500&amp;", ")),--('Hoạt động (Đơn của tôi)'!$AT$7:$AT$500="N/A"))+SUMPRODUCT(--ISNUMBER(SEARCH(", "&amp;$B54&amp;", ",", "&amp;'Ghép nối'!$B$7:$B$500&amp;", ")),--('Ghép nối'!$AT$7:$AT$500="N/A"))+SUMPRODUCT(--ISNUMBER(SEARCH(", "&amp;$B54&amp;", ",", "&amp;'Huỷ đơn - Huỷ nhận đơn'!$B$7:$B$500&amp;", ")),--('Huỷ đơn - Huỷ nhận đơn'!$AT$7:$AT$500="N/A"))+SUMPRODUCT(--ISNUMBER(SEARCH(", "&amp;$B54&amp;", ",", "&amp;'Giao nhận &amp; Theo dõi đơn'!$B$7:$B$500&amp;", ")),--('Giao nhận &amp; Theo dõi đơn'!$AT$7:$AT$500="N/A"))+SUMPRODUCT(--ISNUMBER(SEARCH(", "&amp;$B54&amp;", ",", "&amp;'Bảng tin &amp; Chi tiết tin'!$B$7:$B$500&amp;", ")),--('Bảng tin &amp; Chi tiết tin'!$AT$7:$AT$500="N/A"))+SUMPRODUCT(--ISNUMBER(SEARCH(", "&amp;$B54&amp;", ",", "&amp;'Quà cảm ơn'!$B$7:$B$500&amp;", ")),--('Quà cảm ơn'!$AT$7:$AT$500="N/A"))+SUMPRODUCT(--ISNUMBER(SEARCH(", "&amp;$B54&amp;", ",", "&amp;'Trang chủ'!$B$7:$B$500&amp;", ")),--('Trang chủ'!$AT$7:$AT$500="N/A"))+SUMPRODUCT(--ISNUMBER(SEARCH(", "&amp;$B54&amp;", ",", "&amp;'Thông báo'!$B$7:$B$500&amp;", ")),--('Thông báo'!$AT$7:$AT$500="N/A"))+SUMPRODUCT(--ISNUMBER(SEARCH(", "&amp;$B54&amp;", ",", "&amp;'Đăng tin &amp; Quản lý tin'!$B$7:$B$500&amp;", ")),--('Đăng tin &amp; Quản lý tin'!$AT$7:$AT$500="N/A"))+SUMPRODUCT(--ISNUMBER(SEARCH(", "&amp;$B54&amp;", ",", "&amp;'Trust &amp; Safety'!$B$7:$B$500&amp;", ")),--('Trust &amp; Safety'!$AT$7:$AT$500="N/A"))+SUMPRODUCT(--ISNUMBER(SEARCH(", "&amp;$B54&amp;", ",", "&amp;'Tài khoản &amp; Hồ sơ'!$B$7:$B$500&amp;", ")),--('Tài khoản &amp; Hồ sơ'!$AT$7:$AT$500="N/A"))</f>
        <v>0</v>
      </c>
      <c r="K54" s="52" t="n">
        <f aca="false">IFERROR(F54/E54,0)</f>
        <v>0</v>
      </c>
      <c r="L54" s="123" t="str">
        <f aca="false">IF(E54=0,"Chưa có TC (gap)",IF(H54&gt;0,"Có lỗi (Fail)",IF(I54&gt;0,"Bị block",IF(F54&lt;E54,"Đang test",IF(G54=0,"Không áp dụng (N/A)","Đã test xong")))))</f>
        <v>Đang test</v>
      </c>
      <c r="AB54" s="1" t="s">
        <v>444</v>
      </c>
    </row>
    <row r="55" customFormat="false" ht="15.75" hidden="false" customHeight="true" outlineLevel="0" collapsed="false">
      <c r="B55" s="175" t="s">
        <v>560</v>
      </c>
      <c r="C55" s="176" t="s">
        <v>561</v>
      </c>
      <c r="D55" s="123" t="s">
        <v>562</v>
      </c>
      <c r="E55" s="51" t="n">
        <f aca="false">SUMPRODUCT(--ISNUMBER(SEARCH(", "&amp;$B55&amp;", ",", "&amp;'Hoạt động (Đơn của tôi)'!$B$7:$B$500&amp;", ")))+SUMPRODUCT(--ISNUMBER(SEARCH(", "&amp;$B55&amp;", ",", "&amp;'Ghép nối'!$B$7:$B$500&amp;", ")))+SUMPRODUCT(--ISNUMBER(SEARCH(", "&amp;$B55&amp;", ",", "&amp;'Huỷ đơn - Huỷ nhận đơn'!$B$7:$B$500&amp;", ")))+SUMPRODUCT(--ISNUMBER(SEARCH(", "&amp;$B55&amp;", ",", "&amp;'Giao nhận &amp; Theo dõi đơn'!$B$7:$B$500&amp;", ")))+SUMPRODUCT(--ISNUMBER(SEARCH(", "&amp;$B55&amp;", ",", "&amp;'Bảng tin &amp; Chi tiết tin'!$B$7:$B$500&amp;", ")))+SUMPRODUCT(--ISNUMBER(SEARCH(", "&amp;$B55&amp;", ",", "&amp;'Quà cảm ơn'!$B$7:$B$500&amp;", ")))+SUMPRODUCT(--ISNUMBER(SEARCH(", "&amp;$B55&amp;", ",", "&amp;'Trang chủ'!$B$7:$B$500&amp;", ")))+SUMPRODUCT(--ISNUMBER(SEARCH(", "&amp;$B55&amp;", ",", "&amp;'Thông báo'!$B$7:$B$500&amp;", ")))+SUMPRODUCT(--ISNUMBER(SEARCH(", "&amp;$B55&amp;", ",", "&amp;'Đăng tin &amp; Quản lý tin'!$B$7:$B$500&amp;", ")))+SUMPRODUCT(--ISNUMBER(SEARCH(", "&amp;$B55&amp;", ",", "&amp;'Trust &amp; Safety'!$B$7:$B$500&amp;", ")))+SUMPRODUCT(--ISNUMBER(SEARCH(", "&amp;$B55&amp;", ",", "&amp;'Tài khoản &amp; Hồ sơ'!$B$7:$B$500&amp;", ")))</f>
        <v>3</v>
      </c>
      <c r="F55" s="51" t="n">
        <f aca="false">SUMPRODUCT(--ISNUMBER(SEARCH(", "&amp;$B55&amp;", ",", "&amp;'Hoạt động (Đơn của tôi)'!$B$7:$B$500&amp;", ")),--('Hoạt động (Đơn của tôi)'!$AT$7:$AT$500&lt;&gt;""))+SUMPRODUCT(--ISNUMBER(SEARCH(", "&amp;$B55&amp;", ",", "&amp;'Ghép nối'!$B$7:$B$500&amp;", ")),--('Ghép nối'!$AT$7:$AT$500&lt;&gt;""))+SUMPRODUCT(--ISNUMBER(SEARCH(", "&amp;$B55&amp;", ",", "&amp;'Huỷ đơn - Huỷ nhận đơn'!$B$7:$B$500&amp;", ")),--('Huỷ đơn - Huỷ nhận đơn'!$AT$7:$AT$500&lt;&gt;""))+SUMPRODUCT(--ISNUMBER(SEARCH(", "&amp;$B55&amp;", ",", "&amp;'Giao nhận &amp; Theo dõi đơn'!$B$7:$B$500&amp;", ")),--('Giao nhận &amp; Theo dõi đơn'!$AT$7:$AT$500&lt;&gt;""))+SUMPRODUCT(--ISNUMBER(SEARCH(", "&amp;$B55&amp;", ",", "&amp;'Bảng tin &amp; Chi tiết tin'!$B$7:$B$500&amp;", ")),--('Bảng tin &amp; Chi tiết tin'!$AT$7:$AT$500&lt;&gt;""))+SUMPRODUCT(--ISNUMBER(SEARCH(", "&amp;$B55&amp;", ",", "&amp;'Quà cảm ơn'!$B$7:$B$500&amp;", ")),--('Quà cảm ơn'!$AT$7:$AT$500&lt;&gt;""))+SUMPRODUCT(--ISNUMBER(SEARCH(", "&amp;$B55&amp;", ",", "&amp;'Trang chủ'!$B$7:$B$500&amp;", ")),--('Trang chủ'!$AT$7:$AT$500&lt;&gt;""))+SUMPRODUCT(--ISNUMBER(SEARCH(", "&amp;$B55&amp;", ",", "&amp;'Thông báo'!$B$7:$B$500&amp;", ")),--('Thông báo'!$AT$7:$AT$500&lt;&gt;""))+SUMPRODUCT(--ISNUMBER(SEARCH(", "&amp;$B55&amp;", ",", "&amp;'Đăng tin &amp; Quản lý tin'!$B$7:$B$500&amp;", ")),--('Đăng tin &amp; Quản lý tin'!$AT$7:$AT$500&lt;&gt;""))+SUMPRODUCT(--ISNUMBER(SEARCH(", "&amp;$B55&amp;", ",", "&amp;'Trust &amp; Safety'!$B$7:$B$500&amp;", ")),--('Trust &amp; Safety'!$AT$7:$AT$500&lt;&gt;""))+SUMPRODUCT(--ISNUMBER(SEARCH(", "&amp;$B55&amp;", ",", "&amp;'Tài khoản &amp; Hồ sơ'!$B$7:$B$500&amp;", ")),--('Tài khoản &amp; Hồ sơ'!$AT$7:$AT$500&lt;&gt;""))</f>
        <v>0</v>
      </c>
      <c r="G55" s="51" t="n">
        <f aca="false">SUMPRODUCT(--ISNUMBER(SEARCH(", "&amp;$B55&amp;", ",", "&amp;'Hoạt động (Đơn của tôi)'!$B$7:$B$500&amp;", ")),--('Hoạt động (Đơn của tôi)'!$AT$7:$AT$500="Pass"))+SUMPRODUCT(--ISNUMBER(SEARCH(", "&amp;$B55&amp;", ",", "&amp;'Ghép nối'!$B$7:$B$500&amp;", ")),--('Ghép nối'!$AT$7:$AT$500="Pass"))+SUMPRODUCT(--ISNUMBER(SEARCH(", "&amp;$B55&amp;", ",", "&amp;'Huỷ đơn - Huỷ nhận đơn'!$B$7:$B$500&amp;", ")),--('Huỷ đơn - Huỷ nhận đơn'!$AT$7:$AT$500="Pass"))+SUMPRODUCT(--ISNUMBER(SEARCH(", "&amp;$B55&amp;", ",", "&amp;'Giao nhận &amp; Theo dõi đơn'!$B$7:$B$500&amp;", ")),--('Giao nhận &amp; Theo dõi đơn'!$AT$7:$AT$500="Pass"))+SUMPRODUCT(--ISNUMBER(SEARCH(", "&amp;$B55&amp;", ",", "&amp;'Bảng tin &amp; Chi tiết tin'!$B$7:$B$500&amp;", ")),--('Bảng tin &amp; Chi tiết tin'!$AT$7:$AT$500="Pass"))+SUMPRODUCT(--ISNUMBER(SEARCH(", "&amp;$B55&amp;", ",", "&amp;'Quà cảm ơn'!$B$7:$B$500&amp;", ")),--('Quà cảm ơn'!$AT$7:$AT$500="Pass"))+SUMPRODUCT(--ISNUMBER(SEARCH(", "&amp;$B55&amp;", ",", "&amp;'Trang chủ'!$B$7:$B$500&amp;", ")),--('Trang chủ'!$AT$7:$AT$500="Pass"))+SUMPRODUCT(--ISNUMBER(SEARCH(", "&amp;$B55&amp;", ",", "&amp;'Thông báo'!$B$7:$B$500&amp;", ")),--('Thông báo'!$AT$7:$AT$500="Pass"))+SUMPRODUCT(--ISNUMBER(SEARCH(", "&amp;$B55&amp;", ",", "&amp;'Đăng tin &amp; Quản lý tin'!$B$7:$B$500&amp;", ")),--('Đăng tin &amp; Quản lý tin'!$AT$7:$AT$500="Pass"))+SUMPRODUCT(--ISNUMBER(SEARCH(", "&amp;$B55&amp;", ",", "&amp;'Trust &amp; Safety'!$B$7:$B$500&amp;", ")),--('Trust &amp; Safety'!$AT$7:$AT$500="Pass"))+SUMPRODUCT(--ISNUMBER(SEARCH(", "&amp;$B55&amp;", ",", "&amp;'Tài khoản &amp; Hồ sơ'!$B$7:$B$500&amp;", ")),--('Tài khoản &amp; Hồ sơ'!$AT$7:$AT$500="Pass"))</f>
        <v>0</v>
      </c>
      <c r="H55" s="51" t="n">
        <f aca="false">SUMPRODUCT(--ISNUMBER(SEARCH(", "&amp;$B55&amp;", ",", "&amp;'Hoạt động (Đơn của tôi)'!$B$7:$B$500&amp;", ")),--('Hoạt động (Đơn của tôi)'!$AT$7:$AT$500="Fail"))+SUMPRODUCT(--ISNUMBER(SEARCH(", "&amp;$B55&amp;", ",", "&amp;'Ghép nối'!$B$7:$B$500&amp;", ")),--('Ghép nối'!$AT$7:$AT$500="Fail"))+SUMPRODUCT(--ISNUMBER(SEARCH(", "&amp;$B55&amp;", ",", "&amp;'Huỷ đơn - Huỷ nhận đơn'!$B$7:$B$500&amp;", ")),--('Huỷ đơn - Huỷ nhận đơn'!$AT$7:$AT$500="Fail"))+SUMPRODUCT(--ISNUMBER(SEARCH(", "&amp;$B55&amp;", ",", "&amp;'Giao nhận &amp; Theo dõi đơn'!$B$7:$B$500&amp;", ")),--('Giao nhận &amp; Theo dõi đơn'!$AT$7:$AT$500="Fail"))+SUMPRODUCT(--ISNUMBER(SEARCH(", "&amp;$B55&amp;", ",", "&amp;'Bảng tin &amp; Chi tiết tin'!$B$7:$B$500&amp;", ")),--('Bảng tin &amp; Chi tiết tin'!$AT$7:$AT$500="Fail"))+SUMPRODUCT(--ISNUMBER(SEARCH(", "&amp;$B55&amp;", ",", "&amp;'Quà cảm ơn'!$B$7:$B$500&amp;", ")),--('Quà cảm ơn'!$AT$7:$AT$500="Fail"))+SUMPRODUCT(--ISNUMBER(SEARCH(", "&amp;$B55&amp;", ",", "&amp;'Trang chủ'!$B$7:$B$500&amp;", ")),--('Trang chủ'!$AT$7:$AT$500="Fail"))+SUMPRODUCT(--ISNUMBER(SEARCH(", "&amp;$B55&amp;", ",", "&amp;'Thông báo'!$B$7:$B$500&amp;", ")),--('Thông báo'!$AT$7:$AT$500="Fail"))+SUMPRODUCT(--ISNUMBER(SEARCH(", "&amp;$B55&amp;", ",", "&amp;'Đăng tin &amp; Quản lý tin'!$B$7:$B$500&amp;", ")),--('Đăng tin &amp; Quản lý tin'!$AT$7:$AT$500="Fail"))+SUMPRODUCT(--ISNUMBER(SEARCH(", "&amp;$B55&amp;", ",", "&amp;'Trust &amp; Safety'!$B$7:$B$500&amp;", ")),--('Trust &amp; Safety'!$AT$7:$AT$500="Fail"))+SUMPRODUCT(--ISNUMBER(SEARCH(", "&amp;$B55&amp;", ",", "&amp;'Tài khoản &amp; Hồ sơ'!$B$7:$B$500&amp;", ")),--('Tài khoản &amp; Hồ sơ'!$AT$7:$AT$500="Fail"))</f>
        <v>0</v>
      </c>
      <c r="I55" s="51" t="n">
        <f aca="false">SUMPRODUCT(--ISNUMBER(SEARCH(", "&amp;$B55&amp;", ",", "&amp;'Hoạt động (Đơn của tôi)'!$B$7:$B$500&amp;", ")),--('Hoạt động (Đơn của tôi)'!$AT$7:$AT$500="Block"))+SUMPRODUCT(--ISNUMBER(SEARCH(", "&amp;$B55&amp;", ",", "&amp;'Ghép nối'!$B$7:$B$500&amp;", ")),--('Ghép nối'!$AT$7:$AT$500="Block"))+SUMPRODUCT(--ISNUMBER(SEARCH(", "&amp;$B55&amp;", ",", "&amp;'Huỷ đơn - Huỷ nhận đơn'!$B$7:$B$500&amp;", ")),--('Huỷ đơn - Huỷ nhận đơn'!$AT$7:$AT$500="Block"))+SUMPRODUCT(--ISNUMBER(SEARCH(", "&amp;$B55&amp;", ",", "&amp;'Giao nhận &amp; Theo dõi đơn'!$B$7:$B$500&amp;", ")),--('Giao nhận &amp; Theo dõi đơn'!$AT$7:$AT$500="Block"))+SUMPRODUCT(--ISNUMBER(SEARCH(", "&amp;$B55&amp;", ",", "&amp;'Bảng tin &amp; Chi tiết tin'!$B$7:$B$500&amp;", ")),--('Bảng tin &amp; Chi tiết tin'!$AT$7:$AT$500="Block"))+SUMPRODUCT(--ISNUMBER(SEARCH(", "&amp;$B55&amp;", ",", "&amp;'Quà cảm ơn'!$B$7:$B$500&amp;", ")),--('Quà cảm ơn'!$AT$7:$AT$500="Block"))+SUMPRODUCT(--ISNUMBER(SEARCH(", "&amp;$B55&amp;", ",", "&amp;'Trang chủ'!$B$7:$B$500&amp;", ")),--('Trang chủ'!$AT$7:$AT$500="Block"))+SUMPRODUCT(--ISNUMBER(SEARCH(", "&amp;$B55&amp;", ",", "&amp;'Thông báo'!$B$7:$B$500&amp;", ")),--('Thông báo'!$AT$7:$AT$500="Block"))+SUMPRODUCT(--ISNUMBER(SEARCH(", "&amp;$B55&amp;", ",", "&amp;'Đăng tin &amp; Quản lý tin'!$B$7:$B$500&amp;", ")),--('Đăng tin &amp; Quản lý tin'!$AT$7:$AT$500="Block"))+SUMPRODUCT(--ISNUMBER(SEARCH(", "&amp;$B55&amp;", ",", "&amp;'Trust &amp; Safety'!$B$7:$B$500&amp;", ")),--('Trust &amp; Safety'!$AT$7:$AT$500="Block"))+SUMPRODUCT(--ISNUMBER(SEARCH(", "&amp;$B55&amp;", ",", "&amp;'Tài khoản &amp; Hồ sơ'!$B$7:$B$500&amp;", ")),--('Tài khoản &amp; Hồ sơ'!$AT$7:$AT$500="Block"))</f>
        <v>0</v>
      </c>
      <c r="J55" s="51" t="n">
        <f aca="false">SUMPRODUCT(--ISNUMBER(SEARCH(", "&amp;$B55&amp;", ",", "&amp;'Hoạt động (Đơn của tôi)'!$B$7:$B$500&amp;", ")),--('Hoạt động (Đơn của tôi)'!$AT$7:$AT$500="N/A"))+SUMPRODUCT(--ISNUMBER(SEARCH(", "&amp;$B55&amp;", ",", "&amp;'Ghép nối'!$B$7:$B$500&amp;", ")),--('Ghép nối'!$AT$7:$AT$500="N/A"))+SUMPRODUCT(--ISNUMBER(SEARCH(", "&amp;$B55&amp;", ",", "&amp;'Huỷ đơn - Huỷ nhận đơn'!$B$7:$B$500&amp;", ")),--('Huỷ đơn - Huỷ nhận đơn'!$AT$7:$AT$500="N/A"))+SUMPRODUCT(--ISNUMBER(SEARCH(", "&amp;$B55&amp;", ",", "&amp;'Giao nhận &amp; Theo dõi đơn'!$B$7:$B$500&amp;", ")),--('Giao nhận &amp; Theo dõi đơn'!$AT$7:$AT$500="N/A"))+SUMPRODUCT(--ISNUMBER(SEARCH(", "&amp;$B55&amp;", ",", "&amp;'Bảng tin &amp; Chi tiết tin'!$B$7:$B$500&amp;", ")),--('Bảng tin &amp; Chi tiết tin'!$AT$7:$AT$500="N/A"))+SUMPRODUCT(--ISNUMBER(SEARCH(", "&amp;$B55&amp;", ",", "&amp;'Quà cảm ơn'!$B$7:$B$500&amp;", ")),--('Quà cảm ơn'!$AT$7:$AT$500="N/A"))+SUMPRODUCT(--ISNUMBER(SEARCH(", "&amp;$B55&amp;", ",", "&amp;'Trang chủ'!$B$7:$B$500&amp;", ")),--('Trang chủ'!$AT$7:$AT$500="N/A"))+SUMPRODUCT(--ISNUMBER(SEARCH(", "&amp;$B55&amp;", ",", "&amp;'Thông báo'!$B$7:$B$500&amp;", ")),--('Thông báo'!$AT$7:$AT$500="N/A"))+SUMPRODUCT(--ISNUMBER(SEARCH(", "&amp;$B55&amp;", ",", "&amp;'Đăng tin &amp; Quản lý tin'!$B$7:$B$500&amp;", ")),--('Đăng tin &amp; Quản lý tin'!$AT$7:$AT$500="N/A"))+SUMPRODUCT(--ISNUMBER(SEARCH(", "&amp;$B55&amp;", ",", "&amp;'Trust &amp; Safety'!$B$7:$B$500&amp;", ")),--('Trust &amp; Safety'!$AT$7:$AT$500="N/A"))+SUMPRODUCT(--ISNUMBER(SEARCH(", "&amp;$B55&amp;", ",", "&amp;'Tài khoản &amp; Hồ sơ'!$B$7:$B$500&amp;", ")),--('Tài khoản &amp; Hồ sơ'!$AT$7:$AT$500="N/A"))</f>
        <v>0</v>
      </c>
      <c r="K55" s="52" t="n">
        <f aca="false">IFERROR(F55/E55,0)</f>
        <v>0</v>
      </c>
      <c r="L55" s="123" t="str">
        <f aca="false">IF(E55=0,"Chưa có TC (gap)",IF(H55&gt;0,"Có lỗi (Fail)",IF(I55&gt;0,"Bị block",IF(F55&lt;E55,"Đang test",IF(G55=0,"Không áp dụng (N/A)","Đã test xong")))))</f>
        <v>Đang test</v>
      </c>
      <c r="AB55" s="1" t="s">
        <v>444</v>
      </c>
    </row>
    <row r="56" customFormat="false" ht="15.75" hidden="false" customHeight="true" outlineLevel="0" collapsed="false">
      <c r="B56" s="175" t="s">
        <v>563</v>
      </c>
      <c r="C56" s="176" t="s">
        <v>564</v>
      </c>
      <c r="D56" s="123" t="s">
        <v>565</v>
      </c>
      <c r="E56" s="51" t="n">
        <f aca="false">SUMPRODUCT(--ISNUMBER(SEARCH(", "&amp;$B56&amp;", ",", "&amp;'Hoạt động (Đơn của tôi)'!$B$7:$B$500&amp;", ")))+SUMPRODUCT(--ISNUMBER(SEARCH(", "&amp;$B56&amp;", ",", "&amp;'Ghép nối'!$B$7:$B$500&amp;", ")))+SUMPRODUCT(--ISNUMBER(SEARCH(", "&amp;$B56&amp;", ",", "&amp;'Huỷ đơn - Huỷ nhận đơn'!$B$7:$B$500&amp;", ")))+SUMPRODUCT(--ISNUMBER(SEARCH(", "&amp;$B56&amp;", ",", "&amp;'Giao nhận &amp; Theo dõi đơn'!$B$7:$B$500&amp;", ")))+SUMPRODUCT(--ISNUMBER(SEARCH(", "&amp;$B56&amp;", ",", "&amp;'Bảng tin &amp; Chi tiết tin'!$B$7:$B$500&amp;", ")))+SUMPRODUCT(--ISNUMBER(SEARCH(", "&amp;$B56&amp;", ",", "&amp;'Quà cảm ơn'!$B$7:$B$500&amp;", ")))+SUMPRODUCT(--ISNUMBER(SEARCH(", "&amp;$B56&amp;", ",", "&amp;'Trang chủ'!$B$7:$B$500&amp;", ")))+SUMPRODUCT(--ISNUMBER(SEARCH(", "&amp;$B56&amp;", ",", "&amp;'Thông báo'!$B$7:$B$500&amp;", ")))+SUMPRODUCT(--ISNUMBER(SEARCH(", "&amp;$B56&amp;", ",", "&amp;'Đăng tin &amp; Quản lý tin'!$B$7:$B$500&amp;", ")))+SUMPRODUCT(--ISNUMBER(SEARCH(", "&amp;$B56&amp;", ",", "&amp;'Trust &amp; Safety'!$B$7:$B$500&amp;", ")))+SUMPRODUCT(--ISNUMBER(SEARCH(", "&amp;$B56&amp;", ",", "&amp;'Tài khoản &amp; Hồ sơ'!$B$7:$B$500&amp;", ")))</f>
        <v>4</v>
      </c>
      <c r="F56" s="51" t="n">
        <f aca="false">SUMPRODUCT(--ISNUMBER(SEARCH(", "&amp;$B56&amp;", ",", "&amp;'Hoạt động (Đơn của tôi)'!$B$7:$B$500&amp;", ")),--('Hoạt động (Đơn của tôi)'!$AT$7:$AT$500&lt;&gt;""))+SUMPRODUCT(--ISNUMBER(SEARCH(", "&amp;$B56&amp;", ",", "&amp;'Ghép nối'!$B$7:$B$500&amp;", ")),--('Ghép nối'!$AT$7:$AT$500&lt;&gt;""))+SUMPRODUCT(--ISNUMBER(SEARCH(", "&amp;$B56&amp;", ",", "&amp;'Huỷ đơn - Huỷ nhận đơn'!$B$7:$B$500&amp;", ")),--('Huỷ đơn - Huỷ nhận đơn'!$AT$7:$AT$500&lt;&gt;""))+SUMPRODUCT(--ISNUMBER(SEARCH(", "&amp;$B56&amp;", ",", "&amp;'Giao nhận &amp; Theo dõi đơn'!$B$7:$B$500&amp;", ")),--('Giao nhận &amp; Theo dõi đơn'!$AT$7:$AT$500&lt;&gt;""))+SUMPRODUCT(--ISNUMBER(SEARCH(", "&amp;$B56&amp;", ",", "&amp;'Bảng tin &amp; Chi tiết tin'!$B$7:$B$500&amp;", ")),--('Bảng tin &amp; Chi tiết tin'!$AT$7:$AT$500&lt;&gt;""))+SUMPRODUCT(--ISNUMBER(SEARCH(", "&amp;$B56&amp;", ",", "&amp;'Quà cảm ơn'!$B$7:$B$500&amp;", ")),--('Quà cảm ơn'!$AT$7:$AT$500&lt;&gt;""))+SUMPRODUCT(--ISNUMBER(SEARCH(", "&amp;$B56&amp;", ",", "&amp;'Trang chủ'!$B$7:$B$500&amp;", ")),--('Trang chủ'!$AT$7:$AT$500&lt;&gt;""))+SUMPRODUCT(--ISNUMBER(SEARCH(", "&amp;$B56&amp;", ",", "&amp;'Thông báo'!$B$7:$B$500&amp;", ")),--('Thông báo'!$AT$7:$AT$500&lt;&gt;""))+SUMPRODUCT(--ISNUMBER(SEARCH(", "&amp;$B56&amp;", ",", "&amp;'Đăng tin &amp; Quản lý tin'!$B$7:$B$500&amp;", ")),--('Đăng tin &amp; Quản lý tin'!$AT$7:$AT$500&lt;&gt;""))+SUMPRODUCT(--ISNUMBER(SEARCH(", "&amp;$B56&amp;", ",", "&amp;'Trust &amp; Safety'!$B$7:$B$500&amp;", ")),--('Trust &amp; Safety'!$AT$7:$AT$500&lt;&gt;""))+SUMPRODUCT(--ISNUMBER(SEARCH(", "&amp;$B56&amp;", ",", "&amp;'Tài khoản &amp; Hồ sơ'!$B$7:$B$500&amp;", ")),--('Tài khoản &amp; Hồ sơ'!$AT$7:$AT$500&lt;&gt;""))</f>
        <v>0</v>
      </c>
      <c r="G56" s="51" t="n">
        <f aca="false">SUMPRODUCT(--ISNUMBER(SEARCH(", "&amp;$B56&amp;", ",", "&amp;'Hoạt động (Đơn của tôi)'!$B$7:$B$500&amp;", ")),--('Hoạt động (Đơn của tôi)'!$AT$7:$AT$500="Pass"))+SUMPRODUCT(--ISNUMBER(SEARCH(", "&amp;$B56&amp;", ",", "&amp;'Ghép nối'!$B$7:$B$500&amp;", ")),--('Ghép nối'!$AT$7:$AT$500="Pass"))+SUMPRODUCT(--ISNUMBER(SEARCH(", "&amp;$B56&amp;", ",", "&amp;'Huỷ đơn - Huỷ nhận đơn'!$B$7:$B$500&amp;", ")),--('Huỷ đơn - Huỷ nhận đơn'!$AT$7:$AT$500="Pass"))+SUMPRODUCT(--ISNUMBER(SEARCH(", "&amp;$B56&amp;", ",", "&amp;'Giao nhận &amp; Theo dõi đơn'!$B$7:$B$500&amp;", ")),--('Giao nhận &amp; Theo dõi đơn'!$AT$7:$AT$500="Pass"))+SUMPRODUCT(--ISNUMBER(SEARCH(", "&amp;$B56&amp;", ",", "&amp;'Bảng tin &amp; Chi tiết tin'!$B$7:$B$500&amp;", ")),--('Bảng tin &amp; Chi tiết tin'!$AT$7:$AT$500="Pass"))+SUMPRODUCT(--ISNUMBER(SEARCH(", "&amp;$B56&amp;", ",", "&amp;'Quà cảm ơn'!$B$7:$B$500&amp;", ")),--('Quà cảm ơn'!$AT$7:$AT$500="Pass"))+SUMPRODUCT(--ISNUMBER(SEARCH(", "&amp;$B56&amp;", ",", "&amp;'Trang chủ'!$B$7:$B$500&amp;", ")),--('Trang chủ'!$AT$7:$AT$500="Pass"))+SUMPRODUCT(--ISNUMBER(SEARCH(", "&amp;$B56&amp;", ",", "&amp;'Thông báo'!$B$7:$B$500&amp;", ")),--('Thông báo'!$AT$7:$AT$500="Pass"))+SUMPRODUCT(--ISNUMBER(SEARCH(", "&amp;$B56&amp;", ",", "&amp;'Đăng tin &amp; Quản lý tin'!$B$7:$B$500&amp;", ")),--('Đăng tin &amp; Quản lý tin'!$AT$7:$AT$500="Pass"))+SUMPRODUCT(--ISNUMBER(SEARCH(", "&amp;$B56&amp;", ",", "&amp;'Trust &amp; Safety'!$B$7:$B$500&amp;", ")),--('Trust &amp; Safety'!$AT$7:$AT$500="Pass"))+SUMPRODUCT(--ISNUMBER(SEARCH(", "&amp;$B56&amp;", ",", "&amp;'Tài khoản &amp; Hồ sơ'!$B$7:$B$500&amp;", ")),--('Tài khoản &amp; Hồ sơ'!$AT$7:$AT$500="Pass"))</f>
        <v>0</v>
      </c>
      <c r="H56" s="51" t="n">
        <f aca="false">SUMPRODUCT(--ISNUMBER(SEARCH(", "&amp;$B56&amp;", ",", "&amp;'Hoạt động (Đơn của tôi)'!$B$7:$B$500&amp;", ")),--('Hoạt động (Đơn của tôi)'!$AT$7:$AT$500="Fail"))+SUMPRODUCT(--ISNUMBER(SEARCH(", "&amp;$B56&amp;", ",", "&amp;'Ghép nối'!$B$7:$B$500&amp;", ")),--('Ghép nối'!$AT$7:$AT$500="Fail"))+SUMPRODUCT(--ISNUMBER(SEARCH(", "&amp;$B56&amp;", ",", "&amp;'Huỷ đơn - Huỷ nhận đơn'!$B$7:$B$500&amp;", ")),--('Huỷ đơn - Huỷ nhận đơn'!$AT$7:$AT$500="Fail"))+SUMPRODUCT(--ISNUMBER(SEARCH(", "&amp;$B56&amp;", ",", "&amp;'Giao nhận &amp; Theo dõi đơn'!$B$7:$B$500&amp;", ")),--('Giao nhận &amp; Theo dõi đơn'!$AT$7:$AT$500="Fail"))+SUMPRODUCT(--ISNUMBER(SEARCH(", "&amp;$B56&amp;", ",", "&amp;'Bảng tin &amp; Chi tiết tin'!$B$7:$B$500&amp;", ")),--('Bảng tin &amp; Chi tiết tin'!$AT$7:$AT$500="Fail"))+SUMPRODUCT(--ISNUMBER(SEARCH(", "&amp;$B56&amp;", ",", "&amp;'Quà cảm ơn'!$B$7:$B$500&amp;", ")),--('Quà cảm ơn'!$AT$7:$AT$500="Fail"))+SUMPRODUCT(--ISNUMBER(SEARCH(", "&amp;$B56&amp;", ",", "&amp;'Trang chủ'!$B$7:$B$500&amp;", ")),--('Trang chủ'!$AT$7:$AT$500="Fail"))+SUMPRODUCT(--ISNUMBER(SEARCH(", "&amp;$B56&amp;", ",", "&amp;'Thông báo'!$B$7:$B$500&amp;", ")),--('Thông báo'!$AT$7:$AT$500="Fail"))+SUMPRODUCT(--ISNUMBER(SEARCH(", "&amp;$B56&amp;", ",", "&amp;'Đăng tin &amp; Quản lý tin'!$B$7:$B$500&amp;", ")),--('Đăng tin &amp; Quản lý tin'!$AT$7:$AT$500="Fail"))+SUMPRODUCT(--ISNUMBER(SEARCH(", "&amp;$B56&amp;", ",", "&amp;'Trust &amp; Safety'!$B$7:$B$500&amp;", ")),--('Trust &amp; Safety'!$AT$7:$AT$500="Fail"))+SUMPRODUCT(--ISNUMBER(SEARCH(", "&amp;$B56&amp;", ",", "&amp;'Tài khoản &amp; Hồ sơ'!$B$7:$B$500&amp;", ")),--('Tài khoản &amp; Hồ sơ'!$AT$7:$AT$500="Fail"))</f>
        <v>0</v>
      </c>
      <c r="I56" s="51" t="n">
        <f aca="false">SUMPRODUCT(--ISNUMBER(SEARCH(", "&amp;$B56&amp;", ",", "&amp;'Hoạt động (Đơn của tôi)'!$B$7:$B$500&amp;", ")),--('Hoạt động (Đơn của tôi)'!$AT$7:$AT$500="Block"))+SUMPRODUCT(--ISNUMBER(SEARCH(", "&amp;$B56&amp;", ",", "&amp;'Ghép nối'!$B$7:$B$500&amp;", ")),--('Ghép nối'!$AT$7:$AT$500="Block"))+SUMPRODUCT(--ISNUMBER(SEARCH(", "&amp;$B56&amp;", ",", "&amp;'Huỷ đơn - Huỷ nhận đơn'!$B$7:$B$500&amp;", ")),--('Huỷ đơn - Huỷ nhận đơn'!$AT$7:$AT$500="Block"))+SUMPRODUCT(--ISNUMBER(SEARCH(", "&amp;$B56&amp;", ",", "&amp;'Giao nhận &amp; Theo dõi đơn'!$B$7:$B$500&amp;", ")),--('Giao nhận &amp; Theo dõi đơn'!$AT$7:$AT$500="Block"))+SUMPRODUCT(--ISNUMBER(SEARCH(", "&amp;$B56&amp;", ",", "&amp;'Bảng tin &amp; Chi tiết tin'!$B$7:$B$500&amp;", ")),--('Bảng tin &amp; Chi tiết tin'!$AT$7:$AT$500="Block"))+SUMPRODUCT(--ISNUMBER(SEARCH(", "&amp;$B56&amp;", ",", "&amp;'Quà cảm ơn'!$B$7:$B$500&amp;", ")),--('Quà cảm ơn'!$AT$7:$AT$500="Block"))+SUMPRODUCT(--ISNUMBER(SEARCH(", "&amp;$B56&amp;", ",", "&amp;'Trang chủ'!$B$7:$B$500&amp;", ")),--('Trang chủ'!$AT$7:$AT$500="Block"))+SUMPRODUCT(--ISNUMBER(SEARCH(", "&amp;$B56&amp;", ",", "&amp;'Thông báo'!$B$7:$B$500&amp;", ")),--('Thông báo'!$AT$7:$AT$500="Block"))+SUMPRODUCT(--ISNUMBER(SEARCH(", "&amp;$B56&amp;", ",", "&amp;'Đăng tin &amp; Quản lý tin'!$B$7:$B$500&amp;", ")),--('Đăng tin &amp; Quản lý tin'!$AT$7:$AT$500="Block"))+SUMPRODUCT(--ISNUMBER(SEARCH(", "&amp;$B56&amp;", ",", "&amp;'Trust &amp; Safety'!$B$7:$B$500&amp;", ")),--('Trust &amp; Safety'!$AT$7:$AT$500="Block"))+SUMPRODUCT(--ISNUMBER(SEARCH(", "&amp;$B56&amp;", ",", "&amp;'Tài khoản &amp; Hồ sơ'!$B$7:$B$500&amp;", ")),--('Tài khoản &amp; Hồ sơ'!$AT$7:$AT$500="Block"))</f>
        <v>0</v>
      </c>
      <c r="J56" s="51" t="n">
        <f aca="false">SUMPRODUCT(--ISNUMBER(SEARCH(", "&amp;$B56&amp;", ",", "&amp;'Hoạt động (Đơn của tôi)'!$B$7:$B$500&amp;", ")),--('Hoạt động (Đơn của tôi)'!$AT$7:$AT$500="N/A"))+SUMPRODUCT(--ISNUMBER(SEARCH(", "&amp;$B56&amp;", ",", "&amp;'Ghép nối'!$B$7:$B$500&amp;", ")),--('Ghép nối'!$AT$7:$AT$500="N/A"))+SUMPRODUCT(--ISNUMBER(SEARCH(", "&amp;$B56&amp;", ",", "&amp;'Huỷ đơn - Huỷ nhận đơn'!$B$7:$B$500&amp;", ")),--('Huỷ đơn - Huỷ nhận đơn'!$AT$7:$AT$500="N/A"))+SUMPRODUCT(--ISNUMBER(SEARCH(", "&amp;$B56&amp;", ",", "&amp;'Giao nhận &amp; Theo dõi đơn'!$B$7:$B$500&amp;", ")),--('Giao nhận &amp; Theo dõi đơn'!$AT$7:$AT$500="N/A"))+SUMPRODUCT(--ISNUMBER(SEARCH(", "&amp;$B56&amp;", ",", "&amp;'Bảng tin &amp; Chi tiết tin'!$B$7:$B$500&amp;", ")),--('Bảng tin &amp; Chi tiết tin'!$AT$7:$AT$500="N/A"))+SUMPRODUCT(--ISNUMBER(SEARCH(", "&amp;$B56&amp;", ",", "&amp;'Quà cảm ơn'!$B$7:$B$500&amp;", ")),--('Quà cảm ơn'!$AT$7:$AT$500="N/A"))+SUMPRODUCT(--ISNUMBER(SEARCH(", "&amp;$B56&amp;", ",", "&amp;'Trang chủ'!$B$7:$B$500&amp;", ")),--('Trang chủ'!$AT$7:$AT$500="N/A"))+SUMPRODUCT(--ISNUMBER(SEARCH(", "&amp;$B56&amp;", ",", "&amp;'Thông báo'!$B$7:$B$500&amp;", ")),--('Thông báo'!$AT$7:$AT$500="N/A"))+SUMPRODUCT(--ISNUMBER(SEARCH(", "&amp;$B56&amp;", ",", "&amp;'Đăng tin &amp; Quản lý tin'!$B$7:$B$500&amp;", ")),--('Đăng tin &amp; Quản lý tin'!$AT$7:$AT$500="N/A"))+SUMPRODUCT(--ISNUMBER(SEARCH(", "&amp;$B56&amp;", ",", "&amp;'Trust &amp; Safety'!$B$7:$B$500&amp;", ")),--('Trust &amp; Safety'!$AT$7:$AT$500="N/A"))+SUMPRODUCT(--ISNUMBER(SEARCH(", "&amp;$B56&amp;", ",", "&amp;'Tài khoản &amp; Hồ sơ'!$B$7:$B$500&amp;", ")),--('Tài khoản &amp; Hồ sơ'!$AT$7:$AT$500="N/A"))</f>
        <v>0</v>
      </c>
      <c r="K56" s="52" t="n">
        <f aca="false">IFERROR(F56/E56,0)</f>
        <v>0</v>
      </c>
      <c r="L56" s="123" t="str">
        <f aca="false">IF(E56=0,"Chưa có TC (gap)",IF(H56&gt;0,"Có lỗi (Fail)",IF(I56&gt;0,"Bị block",IF(F56&lt;E56,"Đang test",IF(G56=0,"Không áp dụng (N/A)","Đã test xong")))))</f>
        <v>Đang test</v>
      </c>
      <c r="AB56" s="1" t="s">
        <v>444</v>
      </c>
    </row>
    <row r="57" customFormat="false" ht="15.75" hidden="false" customHeight="true" outlineLevel="0" collapsed="false">
      <c r="B57" s="175" t="s">
        <v>566</v>
      </c>
      <c r="C57" s="176" t="s">
        <v>567</v>
      </c>
      <c r="D57" s="123" t="s">
        <v>568</v>
      </c>
      <c r="E57" s="51" t="n">
        <f aca="false">SUMPRODUCT(--ISNUMBER(SEARCH(", "&amp;$B57&amp;", ",", "&amp;'Hoạt động (Đơn của tôi)'!$B$7:$B$500&amp;", ")))+SUMPRODUCT(--ISNUMBER(SEARCH(", "&amp;$B57&amp;", ",", "&amp;'Ghép nối'!$B$7:$B$500&amp;", ")))+SUMPRODUCT(--ISNUMBER(SEARCH(", "&amp;$B57&amp;", ",", "&amp;'Huỷ đơn - Huỷ nhận đơn'!$B$7:$B$500&amp;", ")))+SUMPRODUCT(--ISNUMBER(SEARCH(", "&amp;$B57&amp;", ",", "&amp;'Giao nhận &amp; Theo dõi đơn'!$B$7:$B$500&amp;", ")))+SUMPRODUCT(--ISNUMBER(SEARCH(", "&amp;$B57&amp;", ",", "&amp;'Bảng tin &amp; Chi tiết tin'!$B$7:$B$500&amp;", ")))+SUMPRODUCT(--ISNUMBER(SEARCH(", "&amp;$B57&amp;", ",", "&amp;'Quà cảm ơn'!$B$7:$B$500&amp;", ")))+SUMPRODUCT(--ISNUMBER(SEARCH(", "&amp;$B57&amp;", ",", "&amp;'Trang chủ'!$B$7:$B$500&amp;", ")))+SUMPRODUCT(--ISNUMBER(SEARCH(", "&amp;$B57&amp;", ",", "&amp;'Thông báo'!$B$7:$B$500&amp;", ")))+SUMPRODUCT(--ISNUMBER(SEARCH(", "&amp;$B57&amp;", ",", "&amp;'Đăng tin &amp; Quản lý tin'!$B$7:$B$500&amp;", ")))+SUMPRODUCT(--ISNUMBER(SEARCH(", "&amp;$B57&amp;", ",", "&amp;'Trust &amp; Safety'!$B$7:$B$500&amp;", ")))+SUMPRODUCT(--ISNUMBER(SEARCH(", "&amp;$B57&amp;", ",", "&amp;'Tài khoản &amp; Hồ sơ'!$B$7:$B$500&amp;", ")))</f>
        <v>3</v>
      </c>
      <c r="F57" s="51" t="n">
        <f aca="false">SUMPRODUCT(--ISNUMBER(SEARCH(", "&amp;$B57&amp;", ",", "&amp;'Hoạt động (Đơn của tôi)'!$B$7:$B$500&amp;", ")),--('Hoạt động (Đơn của tôi)'!$AT$7:$AT$500&lt;&gt;""))+SUMPRODUCT(--ISNUMBER(SEARCH(", "&amp;$B57&amp;", ",", "&amp;'Ghép nối'!$B$7:$B$500&amp;", ")),--('Ghép nối'!$AT$7:$AT$500&lt;&gt;""))+SUMPRODUCT(--ISNUMBER(SEARCH(", "&amp;$B57&amp;", ",", "&amp;'Huỷ đơn - Huỷ nhận đơn'!$B$7:$B$500&amp;", ")),--('Huỷ đơn - Huỷ nhận đơn'!$AT$7:$AT$500&lt;&gt;""))+SUMPRODUCT(--ISNUMBER(SEARCH(", "&amp;$B57&amp;", ",", "&amp;'Giao nhận &amp; Theo dõi đơn'!$B$7:$B$500&amp;", ")),--('Giao nhận &amp; Theo dõi đơn'!$AT$7:$AT$500&lt;&gt;""))+SUMPRODUCT(--ISNUMBER(SEARCH(", "&amp;$B57&amp;", ",", "&amp;'Bảng tin &amp; Chi tiết tin'!$B$7:$B$500&amp;", ")),--('Bảng tin &amp; Chi tiết tin'!$AT$7:$AT$500&lt;&gt;""))+SUMPRODUCT(--ISNUMBER(SEARCH(", "&amp;$B57&amp;", ",", "&amp;'Quà cảm ơn'!$B$7:$B$500&amp;", ")),--('Quà cảm ơn'!$AT$7:$AT$500&lt;&gt;""))+SUMPRODUCT(--ISNUMBER(SEARCH(", "&amp;$B57&amp;", ",", "&amp;'Trang chủ'!$B$7:$B$500&amp;", ")),--('Trang chủ'!$AT$7:$AT$500&lt;&gt;""))+SUMPRODUCT(--ISNUMBER(SEARCH(", "&amp;$B57&amp;", ",", "&amp;'Thông báo'!$B$7:$B$500&amp;", ")),--('Thông báo'!$AT$7:$AT$500&lt;&gt;""))+SUMPRODUCT(--ISNUMBER(SEARCH(", "&amp;$B57&amp;", ",", "&amp;'Đăng tin &amp; Quản lý tin'!$B$7:$B$500&amp;", ")),--('Đăng tin &amp; Quản lý tin'!$AT$7:$AT$500&lt;&gt;""))+SUMPRODUCT(--ISNUMBER(SEARCH(", "&amp;$B57&amp;", ",", "&amp;'Trust &amp; Safety'!$B$7:$B$500&amp;", ")),--('Trust &amp; Safety'!$AT$7:$AT$500&lt;&gt;""))+SUMPRODUCT(--ISNUMBER(SEARCH(", "&amp;$B57&amp;", ",", "&amp;'Tài khoản &amp; Hồ sơ'!$B$7:$B$500&amp;", ")),--('Tài khoản &amp; Hồ sơ'!$AT$7:$AT$500&lt;&gt;""))</f>
        <v>0</v>
      </c>
      <c r="G57" s="51" t="n">
        <f aca="false">SUMPRODUCT(--ISNUMBER(SEARCH(", "&amp;$B57&amp;", ",", "&amp;'Hoạt động (Đơn của tôi)'!$B$7:$B$500&amp;", ")),--('Hoạt động (Đơn của tôi)'!$AT$7:$AT$500="Pass"))+SUMPRODUCT(--ISNUMBER(SEARCH(", "&amp;$B57&amp;", ",", "&amp;'Ghép nối'!$B$7:$B$500&amp;", ")),--('Ghép nối'!$AT$7:$AT$500="Pass"))+SUMPRODUCT(--ISNUMBER(SEARCH(", "&amp;$B57&amp;", ",", "&amp;'Huỷ đơn - Huỷ nhận đơn'!$B$7:$B$500&amp;", ")),--('Huỷ đơn - Huỷ nhận đơn'!$AT$7:$AT$500="Pass"))+SUMPRODUCT(--ISNUMBER(SEARCH(", "&amp;$B57&amp;", ",", "&amp;'Giao nhận &amp; Theo dõi đơn'!$B$7:$B$500&amp;", ")),--('Giao nhận &amp; Theo dõi đơn'!$AT$7:$AT$500="Pass"))+SUMPRODUCT(--ISNUMBER(SEARCH(", "&amp;$B57&amp;", ",", "&amp;'Bảng tin &amp; Chi tiết tin'!$B$7:$B$500&amp;", ")),--('Bảng tin &amp; Chi tiết tin'!$AT$7:$AT$500="Pass"))+SUMPRODUCT(--ISNUMBER(SEARCH(", "&amp;$B57&amp;", ",", "&amp;'Quà cảm ơn'!$B$7:$B$500&amp;", ")),--('Quà cảm ơn'!$AT$7:$AT$500="Pass"))+SUMPRODUCT(--ISNUMBER(SEARCH(", "&amp;$B57&amp;", ",", "&amp;'Trang chủ'!$B$7:$B$500&amp;", ")),--('Trang chủ'!$AT$7:$AT$500="Pass"))+SUMPRODUCT(--ISNUMBER(SEARCH(", "&amp;$B57&amp;", ",", "&amp;'Thông báo'!$B$7:$B$500&amp;", ")),--('Thông báo'!$AT$7:$AT$500="Pass"))+SUMPRODUCT(--ISNUMBER(SEARCH(", "&amp;$B57&amp;", ",", "&amp;'Đăng tin &amp; Quản lý tin'!$B$7:$B$500&amp;", ")),--('Đăng tin &amp; Quản lý tin'!$AT$7:$AT$500="Pass"))+SUMPRODUCT(--ISNUMBER(SEARCH(", "&amp;$B57&amp;", ",", "&amp;'Trust &amp; Safety'!$B$7:$B$500&amp;", ")),--('Trust &amp; Safety'!$AT$7:$AT$500="Pass"))+SUMPRODUCT(--ISNUMBER(SEARCH(", "&amp;$B57&amp;", ",", "&amp;'Tài khoản &amp; Hồ sơ'!$B$7:$B$500&amp;", ")),--('Tài khoản &amp; Hồ sơ'!$AT$7:$AT$500="Pass"))</f>
        <v>0</v>
      </c>
      <c r="H57" s="51" t="n">
        <f aca="false">SUMPRODUCT(--ISNUMBER(SEARCH(", "&amp;$B57&amp;", ",", "&amp;'Hoạt động (Đơn của tôi)'!$B$7:$B$500&amp;", ")),--('Hoạt động (Đơn của tôi)'!$AT$7:$AT$500="Fail"))+SUMPRODUCT(--ISNUMBER(SEARCH(", "&amp;$B57&amp;", ",", "&amp;'Ghép nối'!$B$7:$B$500&amp;", ")),--('Ghép nối'!$AT$7:$AT$500="Fail"))+SUMPRODUCT(--ISNUMBER(SEARCH(", "&amp;$B57&amp;", ",", "&amp;'Huỷ đơn - Huỷ nhận đơn'!$B$7:$B$500&amp;", ")),--('Huỷ đơn - Huỷ nhận đơn'!$AT$7:$AT$500="Fail"))+SUMPRODUCT(--ISNUMBER(SEARCH(", "&amp;$B57&amp;", ",", "&amp;'Giao nhận &amp; Theo dõi đơn'!$B$7:$B$500&amp;", ")),--('Giao nhận &amp; Theo dõi đơn'!$AT$7:$AT$500="Fail"))+SUMPRODUCT(--ISNUMBER(SEARCH(", "&amp;$B57&amp;", ",", "&amp;'Bảng tin &amp; Chi tiết tin'!$B$7:$B$500&amp;", ")),--('Bảng tin &amp; Chi tiết tin'!$AT$7:$AT$500="Fail"))+SUMPRODUCT(--ISNUMBER(SEARCH(", "&amp;$B57&amp;", ",", "&amp;'Quà cảm ơn'!$B$7:$B$500&amp;", ")),--('Quà cảm ơn'!$AT$7:$AT$500="Fail"))+SUMPRODUCT(--ISNUMBER(SEARCH(", "&amp;$B57&amp;", ",", "&amp;'Trang chủ'!$B$7:$B$500&amp;", ")),--('Trang chủ'!$AT$7:$AT$500="Fail"))+SUMPRODUCT(--ISNUMBER(SEARCH(", "&amp;$B57&amp;", ",", "&amp;'Thông báo'!$B$7:$B$500&amp;", ")),--('Thông báo'!$AT$7:$AT$500="Fail"))+SUMPRODUCT(--ISNUMBER(SEARCH(", "&amp;$B57&amp;", ",", "&amp;'Đăng tin &amp; Quản lý tin'!$B$7:$B$500&amp;", ")),--('Đăng tin &amp; Quản lý tin'!$AT$7:$AT$500="Fail"))+SUMPRODUCT(--ISNUMBER(SEARCH(", "&amp;$B57&amp;", ",", "&amp;'Trust &amp; Safety'!$B$7:$B$500&amp;", ")),--('Trust &amp; Safety'!$AT$7:$AT$500="Fail"))+SUMPRODUCT(--ISNUMBER(SEARCH(", "&amp;$B57&amp;", ",", "&amp;'Tài khoản &amp; Hồ sơ'!$B$7:$B$500&amp;", ")),--('Tài khoản &amp; Hồ sơ'!$AT$7:$AT$500="Fail"))</f>
        <v>0</v>
      </c>
      <c r="I57" s="51" t="n">
        <f aca="false">SUMPRODUCT(--ISNUMBER(SEARCH(", "&amp;$B57&amp;", ",", "&amp;'Hoạt động (Đơn của tôi)'!$B$7:$B$500&amp;", ")),--('Hoạt động (Đơn của tôi)'!$AT$7:$AT$500="Block"))+SUMPRODUCT(--ISNUMBER(SEARCH(", "&amp;$B57&amp;", ",", "&amp;'Ghép nối'!$B$7:$B$500&amp;", ")),--('Ghép nối'!$AT$7:$AT$500="Block"))+SUMPRODUCT(--ISNUMBER(SEARCH(", "&amp;$B57&amp;", ",", "&amp;'Huỷ đơn - Huỷ nhận đơn'!$B$7:$B$500&amp;", ")),--('Huỷ đơn - Huỷ nhận đơn'!$AT$7:$AT$500="Block"))+SUMPRODUCT(--ISNUMBER(SEARCH(", "&amp;$B57&amp;", ",", "&amp;'Giao nhận &amp; Theo dõi đơn'!$B$7:$B$500&amp;", ")),--('Giao nhận &amp; Theo dõi đơn'!$AT$7:$AT$500="Block"))+SUMPRODUCT(--ISNUMBER(SEARCH(", "&amp;$B57&amp;", ",", "&amp;'Bảng tin &amp; Chi tiết tin'!$B$7:$B$500&amp;", ")),--('Bảng tin &amp; Chi tiết tin'!$AT$7:$AT$500="Block"))+SUMPRODUCT(--ISNUMBER(SEARCH(", "&amp;$B57&amp;", ",", "&amp;'Quà cảm ơn'!$B$7:$B$500&amp;", ")),--('Quà cảm ơn'!$AT$7:$AT$500="Block"))+SUMPRODUCT(--ISNUMBER(SEARCH(", "&amp;$B57&amp;", ",", "&amp;'Trang chủ'!$B$7:$B$500&amp;", ")),--('Trang chủ'!$AT$7:$AT$500="Block"))+SUMPRODUCT(--ISNUMBER(SEARCH(", "&amp;$B57&amp;", ",", "&amp;'Thông báo'!$B$7:$B$500&amp;", ")),--('Thông báo'!$AT$7:$AT$500="Block"))+SUMPRODUCT(--ISNUMBER(SEARCH(", "&amp;$B57&amp;", ",", "&amp;'Đăng tin &amp; Quản lý tin'!$B$7:$B$500&amp;", ")),--('Đăng tin &amp; Quản lý tin'!$AT$7:$AT$500="Block"))+SUMPRODUCT(--ISNUMBER(SEARCH(", "&amp;$B57&amp;", ",", "&amp;'Trust &amp; Safety'!$B$7:$B$500&amp;", ")),--('Trust &amp; Safety'!$AT$7:$AT$500="Block"))+SUMPRODUCT(--ISNUMBER(SEARCH(", "&amp;$B57&amp;", ",", "&amp;'Tài khoản &amp; Hồ sơ'!$B$7:$B$500&amp;", ")),--('Tài khoản &amp; Hồ sơ'!$AT$7:$AT$500="Block"))</f>
        <v>0</v>
      </c>
      <c r="J57" s="51" t="n">
        <f aca="false">SUMPRODUCT(--ISNUMBER(SEARCH(", "&amp;$B57&amp;", ",", "&amp;'Hoạt động (Đơn của tôi)'!$B$7:$B$500&amp;", ")),--('Hoạt động (Đơn của tôi)'!$AT$7:$AT$500="N/A"))+SUMPRODUCT(--ISNUMBER(SEARCH(", "&amp;$B57&amp;", ",", "&amp;'Ghép nối'!$B$7:$B$500&amp;", ")),--('Ghép nối'!$AT$7:$AT$500="N/A"))+SUMPRODUCT(--ISNUMBER(SEARCH(", "&amp;$B57&amp;", ",", "&amp;'Huỷ đơn - Huỷ nhận đơn'!$B$7:$B$500&amp;", ")),--('Huỷ đơn - Huỷ nhận đơn'!$AT$7:$AT$500="N/A"))+SUMPRODUCT(--ISNUMBER(SEARCH(", "&amp;$B57&amp;", ",", "&amp;'Giao nhận &amp; Theo dõi đơn'!$B$7:$B$500&amp;", ")),--('Giao nhận &amp; Theo dõi đơn'!$AT$7:$AT$500="N/A"))+SUMPRODUCT(--ISNUMBER(SEARCH(", "&amp;$B57&amp;", ",", "&amp;'Bảng tin &amp; Chi tiết tin'!$B$7:$B$500&amp;", ")),--('Bảng tin &amp; Chi tiết tin'!$AT$7:$AT$500="N/A"))+SUMPRODUCT(--ISNUMBER(SEARCH(", "&amp;$B57&amp;", ",", "&amp;'Quà cảm ơn'!$B$7:$B$500&amp;", ")),--('Quà cảm ơn'!$AT$7:$AT$500="N/A"))+SUMPRODUCT(--ISNUMBER(SEARCH(", "&amp;$B57&amp;", ",", "&amp;'Trang chủ'!$B$7:$B$500&amp;", ")),--('Trang chủ'!$AT$7:$AT$500="N/A"))+SUMPRODUCT(--ISNUMBER(SEARCH(", "&amp;$B57&amp;", ",", "&amp;'Thông báo'!$B$7:$B$500&amp;", ")),--('Thông báo'!$AT$7:$AT$500="N/A"))+SUMPRODUCT(--ISNUMBER(SEARCH(", "&amp;$B57&amp;", ",", "&amp;'Đăng tin &amp; Quản lý tin'!$B$7:$B$500&amp;", ")),--('Đăng tin &amp; Quản lý tin'!$AT$7:$AT$500="N/A"))+SUMPRODUCT(--ISNUMBER(SEARCH(", "&amp;$B57&amp;", ",", "&amp;'Trust &amp; Safety'!$B$7:$B$500&amp;", ")),--('Trust &amp; Safety'!$AT$7:$AT$500="N/A"))+SUMPRODUCT(--ISNUMBER(SEARCH(", "&amp;$B57&amp;", ",", "&amp;'Tài khoản &amp; Hồ sơ'!$B$7:$B$500&amp;", ")),--('Tài khoản &amp; Hồ sơ'!$AT$7:$AT$500="N/A"))</f>
        <v>0</v>
      </c>
      <c r="K57" s="52" t="n">
        <f aca="false">IFERROR(F57/E57,0)</f>
        <v>0</v>
      </c>
      <c r="L57" s="123" t="str">
        <f aca="false">IF(E57=0,"Chưa có TC (gap)",IF(H57&gt;0,"Có lỗi (Fail)",IF(I57&gt;0,"Bị block",IF(F57&lt;E57,"Đang test",IF(G57=0,"Không áp dụng (N/A)","Đã test xong")))))</f>
        <v>Đang test</v>
      </c>
      <c r="AB57" s="1" t="s">
        <v>444</v>
      </c>
    </row>
    <row r="58" customFormat="false" ht="15.75" hidden="false" customHeight="true" outlineLevel="0" collapsed="false">
      <c r="B58" s="175" t="s">
        <v>569</v>
      </c>
      <c r="C58" s="176" t="s">
        <v>570</v>
      </c>
      <c r="D58" s="123" t="s">
        <v>571</v>
      </c>
      <c r="E58" s="51" t="n">
        <f aca="false">SUMPRODUCT(--ISNUMBER(SEARCH(", "&amp;$B58&amp;", ",", "&amp;'Hoạt động (Đơn của tôi)'!$B$7:$B$500&amp;", ")))+SUMPRODUCT(--ISNUMBER(SEARCH(", "&amp;$B58&amp;", ",", "&amp;'Ghép nối'!$B$7:$B$500&amp;", ")))+SUMPRODUCT(--ISNUMBER(SEARCH(", "&amp;$B58&amp;", ",", "&amp;'Huỷ đơn - Huỷ nhận đơn'!$B$7:$B$500&amp;", ")))+SUMPRODUCT(--ISNUMBER(SEARCH(", "&amp;$B58&amp;", ",", "&amp;'Giao nhận &amp; Theo dõi đơn'!$B$7:$B$500&amp;", ")))+SUMPRODUCT(--ISNUMBER(SEARCH(", "&amp;$B58&amp;", ",", "&amp;'Bảng tin &amp; Chi tiết tin'!$B$7:$B$500&amp;", ")))+SUMPRODUCT(--ISNUMBER(SEARCH(", "&amp;$B58&amp;", ",", "&amp;'Quà cảm ơn'!$B$7:$B$500&amp;", ")))+SUMPRODUCT(--ISNUMBER(SEARCH(", "&amp;$B58&amp;", ",", "&amp;'Trang chủ'!$B$7:$B$500&amp;", ")))+SUMPRODUCT(--ISNUMBER(SEARCH(", "&amp;$B58&amp;", ",", "&amp;'Thông báo'!$B$7:$B$500&amp;", ")))+SUMPRODUCT(--ISNUMBER(SEARCH(", "&amp;$B58&amp;", ",", "&amp;'Đăng tin &amp; Quản lý tin'!$B$7:$B$500&amp;", ")))+SUMPRODUCT(--ISNUMBER(SEARCH(", "&amp;$B58&amp;", ",", "&amp;'Trust &amp; Safety'!$B$7:$B$500&amp;", ")))+SUMPRODUCT(--ISNUMBER(SEARCH(", "&amp;$B58&amp;", ",", "&amp;'Tài khoản &amp; Hồ sơ'!$B$7:$B$500&amp;", ")))</f>
        <v>1</v>
      </c>
      <c r="F58" s="51" t="n">
        <f aca="false">SUMPRODUCT(--ISNUMBER(SEARCH(", "&amp;$B58&amp;", ",", "&amp;'Hoạt động (Đơn của tôi)'!$B$7:$B$500&amp;", ")),--('Hoạt động (Đơn của tôi)'!$AT$7:$AT$500&lt;&gt;""))+SUMPRODUCT(--ISNUMBER(SEARCH(", "&amp;$B58&amp;", ",", "&amp;'Ghép nối'!$B$7:$B$500&amp;", ")),--('Ghép nối'!$AT$7:$AT$500&lt;&gt;""))+SUMPRODUCT(--ISNUMBER(SEARCH(", "&amp;$B58&amp;", ",", "&amp;'Huỷ đơn - Huỷ nhận đơn'!$B$7:$B$500&amp;", ")),--('Huỷ đơn - Huỷ nhận đơn'!$AT$7:$AT$500&lt;&gt;""))+SUMPRODUCT(--ISNUMBER(SEARCH(", "&amp;$B58&amp;", ",", "&amp;'Giao nhận &amp; Theo dõi đơn'!$B$7:$B$500&amp;", ")),--('Giao nhận &amp; Theo dõi đơn'!$AT$7:$AT$500&lt;&gt;""))+SUMPRODUCT(--ISNUMBER(SEARCH(", "&amp;$B58&amp;", ",", "&amp;'Bảng tin &amp; Chi tiết tin'!$B$7:$B$500&amp;", ")),--('Bảng tin &amp; Chi tiết tin'!$AT$7:$AT$500&lt;&gt;""))+SUMPRODUCT(--ISNUMBER(SEARCH(", "&amp;$B58&amp;", ",", "&amp;'Quà cảm ơn'!$B$7:$B$500&amp;", ")),--('Quà cảm ơn'!$AT$7:$AT$500&lt;&gt;""))+SUMPRODUCT(--ISNUMBER(SEARCH(", "&amp;$B58&amp;", ",", "&amp;'Trang chủ'!$B$7:$B$500&amp;", ")),--('Trang chủ'!$AT$7:$AT$500&lt;&gt;""))+SUMPRODUCT(--ISNUMBER(SEARCH(", "&amp;$B58&amp;", ",", "&amp;'Thông báo'!$B$7:$B$500&amp;", ")),--('Thông báo'!$AT$7:$AT$500&lt;&gt;""))+SUMPRODUCT(--ISNUMBER(SEARCH(", "&amp;$B58&amp;", ",", "&amp;'Đăng tin &amp; Quản lý tin'!$B$7:$B$500&amp;", ")),--('Đăng tin &amp; Quản lý tin'!$AT$7:$AT$500&lt;&gt;""))+SUMPRODUCT(--ISNUMBER(SEARCH(", "&amp;$B58&amp;", ",", "&amp;'Trust &amp; Safety'!$B$7:$B$500&amp;", ")),--('Trust &amp; Safety'!$AT$7:$AT$500&lt;&gt;""))+SUMPRODUCT(--ISNUMBER(SEARCH(", "&amp;$B58&amp;", ",", "&amp;'Tài khoản &amp; Hồ sơ'!$B$7:$B$500&amp;", ")),--('Tài khoản &amp; Hồ sơ'!$AT$7:$AT$500&lt;&gt;""))</f>
        <v>0</v>
      </c>
      <c r="G58" s="51" t="n">
        <f aca="false">SUMPRODUCT(--ISNUMBER(SEARCH(", "&amp;$B58&amp;", ",", "&amp;'Hoạt động (Đơn của tôi)'!$B$7:$B$500&amp;", ")),--('Hoạt động (Đơn của tôi)'!$AT$7:$AT$500="Pass"))+SUMPRODUCT(--ISNUMBER(SEARCH(", "&amp;$B58&amp;", ",", "&amp;'Ghép nối'!$B$7:$B$500&amp;", ")),--('Ghép nối'!$AT$7:$AT$500="Pass"))+SUMPRODUCT(--ISNUMBER(SEARCH(", "&amp;$B58&amp;", ",", "&amp;'Huỷ đơn - Huỷ nhận đơn'!$B$7:$B$500&amp;", ")),--('Huỷ đơn - Huỷ nhận đơn'!$AT$7:$AT$500="Pass"))+SUMPRODUCT(--ISNUMBER(SEARCH(", "&amp;$B58&amp;", ",", "&amp;'Giao nhận &amp; Theo dõi đơn'!$B$7:$B$500&amp;", ")),--('Giao nhận &amp; Theo dõi đơn'!$AT$7:$AT$500="Pass"))+SUMPRODUCT(--ISNUMBER(SEARCH(", "&amp;$B58&amp;", ",", "&amp;'Bảng tin &amp; Chi tiết tin'!$B$7:$B$500&amp;", ")),--('Bảng tin &amp; Chi tiết tin'!$AT$7:$AT$500="Pass"))+SUMPRODUCT(--ISNUMBER(SEARCH(", "&amp;$B58&amp;", ",", "&amp;'Quà cảm ơn'!$B$7:$B$500&amp;", ")),--('Quà cảm ơn'!$AT$7:$AT$500="Pass"))+SUMPRODUCT(--ISNUMBER(SEARCH(", "&amp;$B58&amp;", ",", "&amp;'Trang chủ'!$B$7:$B$500&amp;", ")),--('Trang chủ'!$AT$7:$AT$500="Pass"))+SUMPRODUCT(--ISNUMBER(SEARCH(", "&amp;$B58&amp;", ",", "&amp;'Thông báo'!$B$7:$B$500&amp;", ")),--('Thông báo'!$AT$7:$AT$500="Pass"))+SUMPRODUCT(--ISNUMBER(SEARCH(", "&amp;$B58&amp;", ",", "&amp;'Đăng tin &amp; Quản lý tin'!$B$7:$B$500&amp;", ")),--('Đăng tin &amp; Quản lý tin'!$AT$7:$AT$500="Pass"))+SUMPRODUCT(--ISNUMBER(SEARCH(", "&amp;$B58&amp;", ",", "&amp;'Trust &amp; Safety'!$B$7:$B$500&amp;", ")),--('Trust &amp; Safety'!$AT$7:$AT$500="Pass"))+SUMPRODUCT(--ISNUMBER(SEARCH(", "&amp;$B58&amp;", ",", "&amp;'Tài khoản &amp; Hồ sơ'!$B$7:$B$500&amp;", ")),--('Tài khoản &amp; Hồ sơ'!$AT$7:$AT$500="Pass"))</f>
        <v>0</v>
      </c>
      <c r="H58" s="51" t="n">
        <f aca="false">SUMPRODUCT(--ISNUMBER(SEARCH(", "&amp;$B58&amp;", ",", "&amp;'Hoạt động (Đơn của tôi)'!$B$7:$B$500&amp;", ")),--('Hoạt động (Đơn của tôi)'!$AT$7:$AT$500="Fail"))+SUMPRODUCT(--ISNUMBER(SEARCH(", "&amp;$B58&amp;", ",", "&amp;'Ghép nối'!$B$7:$B$500&amp;", ")),--('Ghép nối'!$AT$7:$AT$500="Fail"))+SUMPRODUCT(--ISNUMBER(SEARCH(", "&amp;$B58&amp;", ",", "&amp;'Huỷ đơn - Huỷ nhận đơn'!$B$7:$B$500&amp;", ")),--('Huỷ đơn - Huỷ nhận đơn'!$AT$7:$AT$500="Fail"))+SUMPRODUCT(--ISNUMBER(SEARCH(", "&amp;$B58&amp;", ",", "&amp;'Giao nhận &amp; Theo dõi đơn'!$B$7:$B$500&amp;", ")),--('Giao nhận &amp; Theo dõi đơn'!$AT$7:$AT$500="Fail"))+SUMPRODUCT(--ISNUMBER(SEARCH(", "&amp;$B58&amp;", ",", "&amp;'Bảng tin &amp; Chi tiết tin'!$B$7:$B$500&amp;", ")),--('Bảng tin &amp; Chi tiết tin'!$AT$7:$AT$500="Fail"))+SUMPRODUCT(--ISNUMBER(SEARCH(", "&amp;$B58&amp;", ",", "&amp;'Quà cảm ơn'!$B$7:$B$500&amp;", ")),--('Quà cảm ơn'!$AT$7:$AT$500="Fail"))+SUMPRODUCT(--ISNUMBER(SEARCH(", "&amp;$B58&amp;", ",", "&amp;'Trang chủ'!$B$7:$B$500&amp;", ")),--('Trang chủ'!$AT$7:$AT$500="Fail"))+SUMPRODUCT(--ISNUMBER(SEARCH(", "&amp;$B58&amp;", ",", "&amp;'Thông báo'!$B$7:$B$500&amp;", ")),--('Thông báo'!$AT$7:$AT$500="Fail"))+SUMPRODUCT(--ISNUMBER(SEARCH(", "&amp;$B58&amp;", ",", "&amp;'Đăng tin &amp; Quản lý tin'!$B$7:$B$500&amp;", ")),--('Đăng tin &amp; Quản lý tin'!$AT$7:$AT$500="Fail"))+SUMPRODUCT(--ISNUMBER(SEARCH(", "&amp;$B58&amp;", ",", "&amp;'Trust &amp; Safety'!$B$7:$B$500&amp;", ")),--('Trust &amp; Safety'!$AT$7:$AT$500="Fail"))+SUMPRODUCT(--ISNUMBER(SEARCH(", "&amp;$B58&amp;", ",", "&amp;'Tài khoản &amp; Hồ sơ'!$B$7:$B$500&amp;", ")),--('Tài khoản &amp; Hồ sơ'!$AT$7:$AT$500="Fail"))</f>
        <v>0</v>
      </c>
      <c r="I58" s="51" t="n">
        <f aca="false">SUMPRODUCT(--ISNUMBER(SEARCH(", "&amp;$B58&amp;", ",", "&amp;'Hoạt động (Đơn của tôi)'!$B$7:$B$500&amp;", ")),--('Hoạt động (Đơn của tôi)'!$AT$7:$AT$500="Block"))+SUMPRODUCT(--ISNUMBER(SEARCH(", "&amp;$B58&amp;", ",", "&amp;'Ghép nối'!$B$7:$B$500&amp;", ")),--('Ghép nối'!$AT$7:$AT$500="Block"))+SUMPRODUCT(--ISNUMBER(SEARCH(", "&amp;$B58&amp;", ",", "&amp;'Huỷ đơn - Huỷ nhận đơn'!$B$7:$B$500&amp;", ")),--('Huỷ đơn - Huỷ nhận đơn'!$AT$7:$AT$500="Block"))+SUMPRODUCT(--ISNUMBER(SEARCH(", "&amp;$B58&amp;", ",", "&amp;'Giao nhận &amp; Theo dõi đơn'!$B$7:$B$500&amp;", ")),--('Giao nhận &amp; Theo dõi đơn'!$AT$7:$AT$500="Block"))+SUMPRODUCT(--ISNUMBER(SEARCH(", "&amp;$B58&amp;", ",", "&amp;'Bảng tin &amp; Chi tiết tin'!$B$7:$B$500&amp;", ")),--('Bảng tin &amp; Chi tiết tin'!$AT$7:$AT$500="Block"))+SUMPRODUCT(--ISNUMBER(SEARCH(", "&amp;$B58&amp;", ",", "&amp;'Quà cảm ơn'!$B$7:$B$500&amp;", ")),--('Quà cảm ơn'!$AT$7:$AT$500="Block"))+SUMPRODUCT(--ISNUMBER(SEARCH(", "&amp;$B58&amp;", ",", "&amp;'Trang chủ'!$B$7:$B$500&amp;", ")),--('Trang chủ'!$AT$7:$AT$500="Block"))+SUMPRODUCT(--ISNUMBER(SEARCH(", "&amp;$B58&amp;", ",", "&amp;'Thông báo'!$B$7:$B$500&amp;", ")),--('Thông báo'!$AT$7:$AT$500="Block"))+SUMPRODUCT(--ISNUMBER(SEARCH(", "&amp;$B58&amp;", ",", "&amp;'Đăng tin &amp; Quản lý tin'!$B$7:$B$500&amp;", ")),--('Đăng tin &amp; Quản lý tin'!$AT$7:$AT$500="Block"))+SUMPRODUCT(--ISNUMBER(SEARCH(", "&amp;$B58&amp;", ",", "&amp;'Trust &amp; Safety'!$B$7:$B$500&amp;", ")),--('Trust &amp; Safety'!$AT$7:$AT$500="Block"))+SUMPRODUCT(--ISNUMBER(SEARCH(", "&amp;$B58&amp;", ",", "&amp;'Tài khoản &amp; Hồ sơ'!$B$7:$B$500&amp;", ")),--('Tài khoản &amp; Hồ sơ'!$AT$7:$AT$500="Block"))</f>
        <v>0</v>
      </c>
      <c r="J58" s="51" t="n">
        <f aca="false">SUMPRODUCT(--ISNUMBER(SEARCH(", "&amp;$B58&amp;", ",", "&amp;'Hoạt động (Đơn của tôi)'!$B$7:$B$500&amp;", ")),--('Hoạt động (Đơn của tôi)'!$AT$7:$AT$500="N/A"))+SUMPRODUCT(--ISNUMBER(SEARCH(", "&amp;$B58&amp;", ",", "&amp;'Ghép nối'!$B$7:$B$500&amp;", ")),--('Ghép nối'!$AT$7:$AT$500="N/A"))+SUMPRODUCT(--ISNUMBER(SEARCH(", "&amp;$B58&amp;", ",", "&amp;'Huỷ đơn - Huỷ nhận đơn'!$B$7:$B$500&amp;", ")),--('Huỷ đơn - Huỷ nhận đơn'!$AT$7:$AT$500="N/A"))+SUMPRODUCT(--ISNUMBER(SEARCH(", "&amp;$B58&amp;", ",", "&amp;'Giao nhận &amp; Theo dõi đơn'!$B$7:$B$500&amp;", ")),--('Giao nhận &amp; Theo dõi đơn'!$AT$7:$AT$500="N/A"))+SUMPRODUCT(--ISNUMBER(SEARCH(", "&amp;$B58&amp;", ",", "&amp;'Bảng tin &amp; Chi tiết tin'!$B$7:$B$500&amp;", ")),--('Bảng tin &amp; Chi tiết tin'!$AT$7:$AT$500="N/A"))+SUMPRODUCT(--ISNUMBER(SEARCH(", "&amp;$B58&amp;", ",", "&amp;'Quà cảm ơn'!$B$7:$B$500&amp;", ")),--('Quà cảm ơn'!$AT$7:$AT$500="N/A"))+SUMPRODUCT(--ISNUMBER(SEARCH(", "&amp;$B58&amp;", ",", "&amp;'Trang chủ'!$B$7:$B$500&amp;", ")),--('Trang chủ'!$AT$7:$AT$500="N/A"))+SUMPRODUCT(--ISNUMBER(SEARCH(", "&amp;$B58&amp;", ",", "&amp;'Thông báo'!$B$7:$B$500&amp;", ")),--('Thông báo'!$AT$7:$AT$500="N/A"))+SUMPRODUCT(--ISNUMBER(SEARCH(", "&amp;$B58&amp;", ",", "&amp;'Đăng tin &amp; Quản lý tin'!$B$7:$B$500&amp;", ")),--('Đăng tin &amp; Quản lý tin'!$AT$7:$AT$500="N/A"))+SUMPRODUCT(--ISNUMBER(SEARCH(", "&amp;$B58&amp;", ",", "&amp;'Trust &amp; Safety'!$B$7:$B$500&amp;", ")),--('Trust &amp; Safety'!$AT$7:$AT$500="N/A"))+SUMPRODUCT(--ISNUMBER(SEARCH(", "&amp;$B58&amp;", ",", "&amp;'Tài khoản &amp; Hồ sơ'!$B$7:$B$500&amp;", ")),--('Tài khoản &amp; Hồ sơ'!$AT$7:$AT$500="N/A"))</f>
        <v>0</v>
      </c>
      <c r="K58" s="52" t="n">
        <f aca="false">IFERROR(F58/E58,0)</f>
        <v>0</v>
      </c>
      <c r="L58" s="123" t="str">
        <f aca="false">IF(E58=0,"Chưa có TC (gap)",IF(H58&gt;0,"Có lỗi (Fail)",IF(I58&gt;0,"Bị block",IF(F58&lt;E58,"Đang test",IF(G58=0,"Không áp dụng (N/A)","Đã test xong")))))</f>
        <v>Đang test</v>
      </c>
      <c r="AB58" s="1" t="s">
        <v>444</v>
      </c>
    </row>
    <row r="59" customFormat="false" ht="15.75" hidden="false" customHeight="true" outlineLevel="0" collapsed="false">
      <c r="B59" s="175" t="s">
        <v>572</v>
      </c>
      <c r="C59" s="176" t="s">
        <v>573</v>
      </c>
      <c r="D59" s="123" t="s">
        <v>574</v>
      </c>
      <c r="E59" s="51" t="n">
        <f aca="false">SUMPRODUCT(--ISNUMBER(SEARCH(", "&amp;$B59&amp;", ",", "&amp;'Hoạt động (Đơn của tôi)'!$B$7:$B$500&amp;", ")))+SUMPRODUCT(--ISNUMBER(SEARCH(", "&amp;$B59&amp;", ",", "&amp;'Ghép nối'!$B$7:$B$500&amp;", ")))+SUMPRODUCT(--ISNUMBER(SEARCH(", "&amp;$B59&amp;", ",", "&amp;'Huỷ đơn - Huỷ nhận đơn'!$B$7:$B$500&amp;", ")))+SUMPRODUCT(--ISNUMBER(SEARCH(", "&amp;$B59&amp;", ",", "&amp;'Giao nhận &amp; Theo dõi đơn'!$B$7:$B$500&amp;", ")))+SUMPRODUCT(--ISNUMBER(SEARCH(", "&amp;$B59&amp;", ",", "&amp;'Bảng tin &amp; Chi tiết tin'!$B$7:$B$500&amp;", ")))+SUMPRODUCT(--ISNUMBER(SEARCH(", "&amp;$B59&amp;", ",", "&amp;'Quà cảm ơn'!$B$7:$B$500&amp;", ")))+SUMPRODUCT(--ISNUMBER(SEARCH(", "&amp;$B59&amp;", ",", "&amp;'Trang chủ'!$B$7:$B$500&amp;", ")))+SUMPRODUCT(--ISNUMBER(SEARCH(", "&amp;$B59&amp;", ",", "&amp;'Thông báo'!$B$7:$B$500&amp;", ")))+SUMPRODUCT(--ISNUMBER(SEARCH(", "&amp;$B59&amp;", ",", "&amp;'Đăng tin &amp; Quản lý tin'!$B$7:$B$500&amp;", ")))+SUMPRODUCT(--ISNUMBER(SEARCH(", "&amp;$B59&amp;", ",", "&amp;'Trust &amp; Safety'!$B$7:$B$500&amp;", ")))+SUMPRODUCT(--ISNUMBER(SEARCH(", "&amp;$B59&amp;", ",", "&amp;'Tài khoản &amp; Hồ sơ'!$B$7:$B$500&amp;", ")))</f>
        <v>1</v>
      </c>
      <c r="F59" s="51" t="n">
        <f aca="false">SUMPRODUCT(--ISNUMBER(SEARCH(", "&amp;$B59&amp;", ",", "&amp;'Hoạt động (Đơn của tôi)'!$B$7:$B$500&amp;", ")),--('Hoạt động (Đơn của tôi)'!$AT$7:$AT$500&lt;&gt;""))+SUMPRODUCT(--ISNUMBER(SEARCH(", "&amp;$B59&amp;", ",", "&amp;'Ghép nối'!$B$7:$B$500&amp;", ")),--('Ghép nối'!$AT$7:$AT$500&lt;&gt;""))+SUMPRODUCT(--ISNUMBER(SEARCH(", "&amp;$B59&amp;", ",", "&amp;'Huỷ đơn - Huỷ nhận đơn'!$B$7:$B$500&amp;", ")),--('Huỷ đơn - Huỷ nhận đơn'!$AT$7:$AT$500&lt;&gt;""))+SUMPRODUCT(--ISNUMBER(SEARCH(", "&amp;$B59&amp;", ",", "&amp;'Giao nhận &amp; Theo dõi đơn'!$B$7:$B$500&amp;", ")),--('Giao nhận &amp; Theo dõi đơn'!$AT$7:$AT$500&lt;&gt;""))+SUMPRODUCT(--ISNUMBER(SEARCH(", "&amp;$B59&amp;", ",", "&amp;'Bảng tin &amp; Chi tiết tin'!$B$7:$B$500&amp;", ")),--('Bảng tin &amp; Chi tiết tin'!$AT$7:$AT$500&lt;&gt;""))+SUMPRODUCT(--ISNUMBER(SEARCH(", "&amp;$B59&amp;", ",", "&amp;'Quà cảm ơn'!$B$7:$B$500&amp;", ")),--('Quà cảm ơn'!$AT$7:$AT$500&lt;&gt;""))+SUMPRODUCT(--ISNUMBER(SEARCH(", "&amp;$B59&amp;", ",", "&amp;'Trang chủ'!$B$7:$B$500&amp;", ")),--('Trang chủ'!$AT$7:$AT$500&lt;&gt;""))+SUMPRODUCT(--ISNUMBER(SEARCH(", "&amp;$B59&amp;", ",", "&amp;'Thông báo'!$B$7:$B$500&amp;", ")),--('Thông báo'!$AT$7:$AT$500&lt;&gt;""))+SUMPRODUCT(--ISNUMBER(SEARCH(", "&amp;$B59&amp;", ",", "&amp;'Đăng tin &amp; Quản lý tin'!$B$7:$B$500&amp;", ")),--('Đăng tin &amp; Quản lý tin'!$AT$7:$AT$500&lt;&gt;""))+SUMPRODUCT(--ISNUMBER(SEARCH(", "&amp;$B59&amp;", ",", "&amp;'Trust &amp; Safety'!$B$7:$B$500&amp;", ")),--('Trust &amp; Safety'!$AT$7:$AT$500&lt;&gt;""))+SUMPRODUCT(--ISNUMBER(SEARCH(", "&amp;$B59&amp;", ",", "&amp;'Tài khoản &amp; Hồ sơ'!$B$7:$B$500&amp;", ")),--('Tài khoản &amp; Hồ sơ'!$AT$7:$AT$500&lt;&gt;""))</f>
        <v>0</v>
      </c>
      <c r="G59" s="51" t="n">
        <f aca="false">SUMPRODUCT(--ISNUMBER(SEARCH(", "&amp;$B59&amp;", ",", "&amp;'Hoạt động (Đơn của tôi)'!$B$7:$B$500&amp;", ")),--('Hoạt động (Đơn của tôi)'!$AT$7:$AT$500="Pass"))+SUMPRODUCT(--ISNUMBER(SEARCH(", "&amp;$B59&amp;", ",", "&amp;'Ghép nối'!$B$7:$B$500&amp;", ")),--('Ghép nối'!$AT$7:$AT$500="Pass"))+SUMPRODUCT(--ISNUMBER(SEARCH(", "&amp;$B59&amp;", ",", "&amp;'Huỷ đơn - Huỷ nhận đơn'!$B$7:$B$500&amp;", ")),--('Huỷ đơn - Huỷ nhận đơn'!$AT$7:$AT$500="Pass"))+SUMPRODUCT(--ISNUMBER(SEARCH(", "&amp;$B59&amp;", ",", "&amp;'Giao nhận &amp; Theo dõi đơn'!$B$7:$B$500&amp;", ")),--('Giao nhận &amp; Theo dõi đơn'!$AT$7:$AT$500="Pass"))+SUMPRODUCT(--ISNUMBER(SEARCH(", "&amp;$B59&amp;", ",", "&amp;'Bảng tin &amp; Chi tiết tin'!$B$7:$B$500&amp;", ")),--('Bảng tin &amp; Chi tiết tin'!$AT$7:$AT$500="Pass"))+SUMPRODUCT(--ISNUMBER(SEARCH(", "&amp;$B59&amp;", ",", "&amp;'Quà cảm ơn'!$B$7:$B$500&amp;", ")),--('Quà cảm ơn'!$AT$7:$AT$500="Pass"))+SUMPRODUCT(--ISNUMBER(SEARCH(", "&amp;$B59&amp;", ",", "&amp;'Trang chủ'!$B$7:$B$500&amp;", ")),--('Trang chủ'!$AT$7:$AT$500="Pass"))+SUMPRODUCT(--ISNUMBER(SEARCH(", "&amp;$B59&amp;", ",", "&amp;'Thông báo'!$B$7:$B$500&amp;", ")),--('Thông báo'!$AT$7:$AT$500="Pass"))+SUMPRODUCT(--ISNUMBER(SEARCH(", "&amp;$B59&amp;", ",", "&amp;'Đăng tin &amp; Quản lý tin'!$B$7:$B$500&amp;", ")),--('Đăng tin &amp; Quản lý tin'!$AT$7:$AT$500="Pass"))+SUMPRODUCT(--ISNUMBER(SEARCH(", "&amp;$B59&amp;", ",", "&amp;'Trust &amp; Safety'!$B$7:$B$500&amp;", ")),--('Trust &amp; Safety'!$AT$7:$AT$500="Pass"))+SUMPRODUCT(--ISNUMBER(SEARCH(", "&amp;$B59&amp;", ",", "&amp;'Tài khoản &amp; Hồ sơ'!$B$7:$B$500&amp;", ")),--('Tài khoản &amp; Hồ sơ'!$AT$7:$AT$500="Pass"))</f>
        <v>0</v>
      </c>
      <c r="H59" s="51" t="n">
        <f aca="false">SUMPRODUCT(--ISNUMBER(SEARCH(", "&amp;$B59&amp;", ",", "&amp;'Hoạt động (Đơn của tôi)'!$B$7:$B$500&amp;", ")),--('Hoạt động (Đơn của tôi)'!$AT$7:$AT$500="Fail"))+SUMPRODUCT(--ISNUMBER(SEARCH(", "&amp;$B59&amp;", ",", "&amp;'Ghép nối'!$B$7:$B$500&amp;", ")),--('Ghép nối'!$AT$7:$AT$500="Fail"))+SUMPRODUCT(--ISNUMBER(SEARCH(", "&amp;$B59&amp;", ",", "&amp;'Huỷ đơn - Huỷ nhận đơn'!$B$7:$B$500&amp;", ")),--('Huỷ đơn - Huỷ nhận đơn'!$AT$7:$AT$500="Fail"))+SUMPRODUCT(--ISNUMBER(SEARCH(", "&amp;$B59&amp;", ",", "&amp;'Giao nhận &amp; Theo dõi đơn'!$B$7:$B$500&amp;", ")),--('Giao nhận &amp; Theo dõi đơn'!$AT$7:$AT$500="Fail"))+SUMPRODUCT(--ISNUMBER(SEARCH(", "&amp;$B59&amp;", ",", "&amp;'Bảng tin &amp; Chi tiết tin'!$B$7:$B$500&amp;", ")),--('Bảng tin &amp; Chi tiết tin'!$AT$7:$AT$500="Fail"))+SUMPRODUCT(--ISNUMBER(SEARCH(", "&amp;$B59&amp;", ",", "&amp;'Quà cảm ơn'!$B$7:$B$500&amp;", ")),--('Quà cảm ơn'!$AT$7:$AT$500="Fail"))+SUMPRODUCT(--ISNUMBER(SEARCH(", "&amp;$B59&amp;", ",", "&amp;'Trang chủ'!$B$7:$B$500&amp;", ")),--('Trang chủ'!$AT$7:$AT$500="Fail"))+SUMPRODUCT(--ISNUMBER(SEARCH(", "&amp;$B59&amp;", ",", "&amp;'Thông báo'!$B$7:$B$500&amp;", ")),--('Thông báo'!$AT$7:$AT$500="Fail"))+SUMPRODUCT(--ISNUMBER(SEARCH(", "&amp;$B59&amp;", ",", "&amp;'Đăng tin &amp; Quản lý tin'!$B$7:$B$500&amp;", ")),--('Đăng tin &amp; Quản lý tin'!$AT$7:$AT$500="Fail"))+SUMPRODUCT(--ISNUMBER(SEARCH(", "&amp;$B59&amp;", ",", "&amp;'Trust &amp; Safety'!$B$7:$B$500&amp;", ")),--('Trust &amp; Safety'!$AT$7:$AT$500="Fail"))+SUMPRODUCT(--ISNUMBER(SEARCH(", "&amp;$B59&amp;", ",", "&amp;'Tài khoản &amp; Hồ sơ'!$B$7:$B$500&amp;", ")),--('Tài khoản &amp; Hồ sơ'!$AT$7:$AT$500="Fail"))</f>
        <v>0</v>
      </c>
      <c r="I59" s="51" t="n">
        <f aca="false">SUMPRODUCT(--ISNUMBER(SEARCH(", "&amp;$B59&amp;", ",", "&amp;'Hoạt động (Đơn của tôi)'!$B$7:$B$500&amp;", ")),--('Hoạt động (Đơn của tôi)'!$AT$7:$AT$500="Block"))+SUMPRODUCT(--ISNUMBER(SEARCH(", "&amp;$B59&amp;", ",", "&amp;'Ghép nối'!$B$7:$B$500&amp;", ")),--('Ghép nối'!$AT$7:$AT$500="Block"))+SUMPRODUCT(--ISNUMBER(SEARCH(", "&amp;$B59&amp;", ",", "&amp;'Huỷ đơn - Huỷ nhận đơn'!$B$7:$B$500&amp;", ")),--('Huỷ đơn - Huỷ nhận đơn'!$AT$7:$AT$500="Block"))+SUMPRODUCT(--ISNUMBER(SEARCH(", "&amp;$B59&amp;", ",", "&amp;'Giao nhận &amp; Theo dõi đơn'!$B$7:$B$500&amp;", ")),--('Giao nhận &amp; Theo dõi đơn'!$AT$7:$AT$500="Block"))+SUMPRODUCT(--ISNUMBER(SEARCH(", "&amp;$B59&amp;", ",", "&amp;'Bảng tin &amp; Chi tiết tin'!$B$7:$B$500&amp;", ")),--('Bảng tin &amp; Chi tiết tin'!$AT$7:$AT$500="Block"))+SUMPRODUCT(--ISNUMBER(SEARCH(", "&amp;$B59&amp;", ",", "&amp;'Quà cảm ơn'!$B$7:$B$500&amp;", ")),--('Quà cảm ơn'!$AT$7:$AT$500="Block"))+SUMPRODUCT(--ISNUMBER(SEARCH(", "&amp;$B59&amp;", ",", "&amp;'Trang chủ'!$B$7:$B$500&amp;", ")),--('Trang chủ'!$AT$7:$AT$500="Block"))+SUMPRODUCT(--ISNUMBER(SEARCH(", "&amp;$B59&amp;", ",", "&amp;'Thông báo'!$B$7:$B$500&amp;", ")),--('Thông báo'!$AT$7:$AT$500="Block"))+SUMPRODUCT(--ISNUMBER(SEARCH(", "&amp;$B59&amp;", ",", "&amp;'Đăng tin &amp; Quản lý tin'!$B$7:$B$500&amp;", ")),--('Đăng tin &amp; Quản lý tin'!$AT$7:$AT$500="Block"))+SUMPRODUCT(--ISNUMBER(SEARCH(", "&amp;$B59&amp;", ",", "&amp;'Trust &amp; Safety'!$B$7:$B$500&amp;", ")),--('Trust &amp; Safety'!$AT$7:$AT$500="Block"))+SUMPRODUCT(--ISNUMBER(SEARCH(", "&amp;$B59&amp;", ",", "&amp;'Tài khoản &amp; Hồ sơ'!$B$7:$B$500&amp;", ")),--('Tài khoản &amp; Hồ sơ'!$AT$7:$AT$500="Block"))</f>
        <v>0</v>
      </c>
      <c r="J59" s="51" t="n">
        <f aca="false">SUMPRODUCT(--ISNUMBER(SEARCH(", "&amp;$B59&amp;", ",", "&amp;'Hoạt động (Đơn của tôi)'!$B$7:$B$500&amp;", ")),--('Hoạt động (Đơn của tôi)'!$AT$7:$AT$500="N/A"))+SUMPRODUCT(--ISNUMBER(SEARCH(", "&amp;$B59&amp;", ",", "&amp;'Ghép nối'!$B$7:$B$500&amp;", ")),--('Ghép nối'!$AT$7:$AT$500="N/A"))+SUMPRODUCT(--ISNUMBER(SEARCH(", "&amp;$B59&amp;", ",", "&amp;'Huỷ đơn - Huỷ nhận đơn'!$B$7:$B$500&amp;", ")),--('Huỷ đơn - Huỷ nhận đơn'!$AT$7:$AT$500="N/A"))+SUMPRODUCT(--ISNUMBER(SEARCH(", "&amp;$B59&amp;", ",", "&amp;'Giao nhận &amp; Theo dõi đơn'!$B$7:$B$500&amp;", ")),--('Giao nhận &amp; Theo dõi đơn'!$AT$7:$AT$500="N/A"))+SUMPRODUCT(--ISNUMBER(SEARCH(", "&amp;$B59&amp;", ",", "&amp;'Bảng tin &amp; Chi tiết tin'!$B$7:$B$500&amp;", ")),--('Bảng tin &amp; Chi tiết tin'!$AT$7:$AT$500="N/A"))+SUMPRODUCT(--ISNUMBER(SEARCH(", "&amp;$B59&amp;", ",", "&amp;'Quà cảm ơn'!$B$7:$B$500&amp;", ")),--('Quà cảm ơn'!$AT$7:$AT$500="N/A"))+SUMPRODUCT(--ISNUMBER(SEARCH(", "&amp;$B59&amp;", ",", "&amp;'Trang chủ'!$B$7:$B$500&amp;", ")),--('Trang chủ'!$AT$7:$AT$500="N/A"))+SUMPRODUCT(--ISNUMBER(SEARCH(", "&amp;$B59&amp;", ",", "&amp;'Thông báo'!$B$7:$B$500&amp;", ")),--('Thông báo'!$AT$7:$AT$500="N/A"))+SUMPRODUCT(--ISNUMBER(SEARCH(", "&amp;$B59&amp;", ",", "&amp;'Đăng tin &amp; Quản lý tin'!$B$7:$B$500&amp;", ")),--('Đăng tin &amp; Quản lý tin'!$AT$7:$AT$500="N/A"))+SUMPRODUCT(--ISNUMBER(SEARCH(", "&amp;$B59&amp;", ",", "&amp;'Trust &amp; Safety'!$B$7:$B$500&amp;", ")),--('Trust &amp; Safety'!$AT$7:$AT$500="N/A"))+SUMPRODUCT(--ISNUMBER(SEARCH(", "&amp;$B59&amp;", ",", "&amp;'Tài khoản &amp; Hồ sơ'!$B$7:$B$500&amp;", ")),--('Tài khoản &amp; Hồ sơ'!$AT$7:$AT$500="N/A"))</f>
        <v>0</v>
      </c>
      <c r="K59" s="52" t="n">
        <f aca="false">IFERROR(F59/E59,0)</f>
        <v>0</v>
      </c>
      <c r="L59" s="123" t="str">
        <f aca="false">IF(E59=0,"Chưa có TC (gap)",IF(H59&gt;0,"Có lỗi (Fail)",IF(I59&gt;0,"Bị block",IF(F59&lt;E59,"Đang test",IF(G59=0,"Không áp dụng (N/A)","Đã test xong")))))</f>
        <v>Đang test</v>
      </c>
      <c r="AB59" s="1" t="s">
        <v>444</v>
      </c>
    </row>
    <row r="60" customFormat="false" ht="15.75" hidden="false" customHeight="true" outlineLevel="0" collapsed="false">
      <c r="B60" s="175" t="s">
        <v>575</v>
      </c>
      <c r="C60" s="176" t="s">
        <v>576</v>
      </c>
      <c r="D60" s="123" t="s">
        <v>577</v>
      </c>
      <c r="E60" s="51" t="n">
        <f aca="false">SUMPRODUCT(--ISNUMBER(SEARCH(", "&amp;$B60&amp;", ",", "&amp;'Hoạt động (Đơn của tôi)'!$B$7:$B$500&amp;", ")))+SUMPRODUCT(--ISNUMBER(SEARCH(", "&amp;$B60&amp;", ",", "&amp;'Ghép nối'!$B$7:$B$500&amp;", ")))+SUMPRODUCT(--ISNUMBER(SEARCH(", "&amp;$B60&amp;", ",", "&amp;'Huỷ đơn - Huỷ nhận đơn'!$B$7:$B$500&amp;", ")))+SUMPRODUCT(--ISNUMBER(SEARCH(", "&amp;$B60&amp;", ",", "&amp;'Giao nhận &amp; Theo dõi đơn'!$B$7:$B$500&amp;", ")))+SUMPRODUCT(--ISNUMBER(SEARCH(", "&amp;$B60&amp;", ",", "&amp;'Bảng tin &amp; Chi tiết tin'!$B$7:$B$500&amp;", ")))+SUMPRODUCT(--ISNUMBER(SEARCH(", "&amp;$B60&amp;", ",", "&amp;'Quà cảm ơn'!$B$7:$B$500&amp;", ")))+SUMPRODUCT(--ISNUMBER(SEARCH(", "&amp;$B60&amp;", ",", "&amp;'Trang chủ'!$B$7:$B$500&amp;", ")))+SUMPRODUCT(--ISNUMBER(SEARCH(", "&amp;$B60&amp;", ",", "&amp;'Thông báo'!$B$7:$B$500&amp;", ")))+SUMPRODUCT(--ISNUMBER(SEARCH(", "&amp;$B60&amp;", ",", "&amp;'Đăng tin &amp; Quản lý tin'!$B$7:$B$500&amp;", ")))+SUMPRODUCT(--ISNUMBER(SEARCH(", "&amp;$B60&amp;", ",", "&amp;'Trust &amp; Safety'!$B$7:$B$500&amp;", ")))+SUMPRODUCT(--ISNUMBER(SEARCH(", "&amp;$B60&amp;", ",", "&amp;'Tài khoản &amp; Hồ sơ'!$B$7:$B$500&amp;", ")))</f>
        <v>3</v>
      </c>
      <c r="F60" s="51" t="n">
        <f aca="false">SUMPRODUCT(--ISNUMBER(SEARCH(", "&amp;$B60&amp;", ",", "&amp;'Hoạt động (Đơn của tôi)'!$B$7:$B$500&amp;", ")),--('Hoạt động (Đơn của tôi)'!$AT$7:$AT$500&lt;&gt;""))+SUMPRODUCT(--ISNUMBER(SEARCH(", "&amp;$B60&amp;", ",", "&amp;'Ghép nối'!$B$7:$B$500&amp;", ")),--('Ghép nối'!$AT$7:$AT$500&lt;&gt;""))+SUMPRODUCT(--ISNUMBER(SEARCH(", "&amp;$B60&amp;", ",", "&amp;'Huỷ đơn - Huỷ nhận đơn'!$B$7:$B$500&amp;", ")),--('Huỷ đơn - Huỷ nhận đơn'!$AT$7:$AT$500&lt;&gt;""))+SUMPRODUCT(--ISNUMBER(SEARCH(", "&amp;$B60&amp;", ",", "&amp;'Giao nhận &amp; Theo dõi đơn'!$B$7:$B$500&amp;", ")),--('Giao nhận &amp; Theo dõi đơn'!$AT$7:$AT$500&lt;&gt;""))+SUMPRODUCT(--ISNUMBER(SEARCH(", "&amp;$B60&amp;", ",", "&amp;'Bảng tin &amp; Chi tiết tin'!$B$7:$B$500&amp;", ")),--('Bảng tin &amp; Chi tiết tin'!$AT$7:$AT$500&lt;&gt;""))+SUMPRODUCT(--ISNUMBER(SEARCH(", "&amp;$B60&amp;", ",", "&amp;'Quà cảm ơn'!$B$7:$B$500&amp;", ")),--('Quà cảm ơn'!$AT$7:$AT$500&lt;&gt;""))+SUMPRODUCT(--ISNUMBER(SEARCH(", "&amp;$B60&amp;", ",", "&amp;'Trang chủ'!$B$7:$B$500&amp;", ")),--('Trang chủ'!$AT$7:$AT$500&lt;&gt;""))+SUMPRODUCT(--ISNUMBER(SEARCH(", "&amp;$B60&amp;", ",", "&amp;'Thông báo'!$B$7:$B$500&amp;", ")),--('Thông báo'!$AT$7:$AT$500&lt;&gt;""))+SUMPRODUCT(--ISNUMBER(SEARCH(", "&amp;$B60&amp;", ",", "&amp;'Đăng tin &amp; Quản lý tin'!$B$7:$B$500&amp;", ")),--('Đăng tin &amp; Quản lý tin'!$AT$7:$AT$500&lt;&gt;""))+SUMPRODUCT(--ISNUMBER(SEARCH(", "&amp;$B60&amp;", ",", "&amp;'Trust &amp; Safety'!$B$7:$B$500&amp;", ")),--('Trust &amp; Safety'!$AT$7:$AT$500&lt;&gt;""))+SUMPRODUCT(--ISNUMBER(SEARCH(", "&amp;$B60&amp;", ",", "&amp;'Tài khoản &amp; Hồ sơ'!$B$7:$B$500&amp;", ")),--('Tài khoản &amp; Hồ sơ'!$AT$7:$AT$500&lt;&gt;""))</f>
        <v>0</v>
      </c>
      <c r="G60" s="51" t="n">
        <f aca="false">SUMPRODUCT(--ISNUMBER(SEARCH(", "&amp;$B60&amp;", ",", "&amp;'Hoạt động (Đơn của tôi)'!$B$7:$B$500&amp;", ")),--('Hoạt động (Đơn của tôi)'!$AT$7:$AT$500="Pass"))+SUMPRODUCT(--ISNUMBER(SEARCH(", "&amp;$B60&amp;", ",", "&amp;'Ghép nối'!$B$7:$B$500&amp;", ")),--('Ghép nối'!$AT$7:$AT$500="Pass"))+SUMPRODUCT(--ISNUMBER(SEARCH(", "&amp;$B60&amp;", ",", "&amp;'Huỷ đơn - Huỷ nhận đơn'!$B$7:$B$500&amp;", ")),--('Huỷ đơn - Huỷ nhận đơn'!$AT$7:$AT$500="Pass"))+SUMPRODUCT(--ISNUMBER(SEARCH(", "&amp;$B60&amp;", ",", "&amp;'Giao nhận &amp; Theo dõi đơn'!$B$7:$B$500&amp;", ")),--('Giao nhận &amp; Theo dõi đơn'!$AT$7:$AT$500="Pass"))+SUMPRODUCT(--ISNUMBER(SEARCH(", "&amp;$B60&amp;", ",", "&amp;'Bảng tin &amp; Chi tiết tin'!$B$7:$B$500&amp;", ")),--('Bảng tin &amp; Chi tiết tin'!$AT$7:$AT$500="Pass"))+SUMPRODUCT(--ISNUMBER(SEARCH(", "&amp;$B60&amp;", ",", "&amp;'Quà cảm ơn'!$B$7:$B$500&amp;", ")),--('Quà cảm ơn'!$AT$7:$AT$500="Pass"))+SUMPRODUCT(--ISNUMBER(SEARCH(", "&amp;$B60&amp;", ",", "&amp;'Trang chủ'!$B$7:$B$500&amp;", ")),--('Trang chủ'!$AT$7:$AT$500="Pass"))+SUMPRODUCT(--ISNUMBER(SEARCH(", "&amp;$B60&amp;", ",", "&amp;'Thông báo'!$B$7:$B$500&amp;", ")),--('Thông báo'!$AT$7:$AT$500="Pass"))+SUMPRODUCT(--ISNUMBER(SEARCH(", "&amp;$B60&amp;", ",", "&amp;'Đăng tin &amp; Quản lý tin'!$B$7:$B$500&amp;", ")),--('Đăng tin &amp; Quản lý tin'!$AT$7:$AT$500="Pass"))+SUMPRODUCT(--ISNUMBER(SEARCH(", "&amp;$B60&amp;", ",", "&amp;'Trust &amp; Safety'!$B$7:$B$500&amp;", ")),--('Trust &amp; Safety'!$AT$7:$AT$500="Pass"))+SUMPRODUCT(--ISNUMBER(SEARCH(", "&amp;$B60&amp;", ",", "&amp;'Tài khoản &amp; Hồ sơ'!$B$7:$B$500&amp;", ")),--('Tài khoản &amp; Hồ sơ'!$AT$7:$AT$500="Pass"))</f>
        <v>0</v>
      </c>
      <c r="H60" s="51" t="n">
        <f aca="false">SUMPRODUCT(--ISNUMBER(SEARCH(", "&amp;$B60&amp;", ",", "&amp;'Hoạt động (Đơn của tôi)'!$B$7:$B$500&amp;", ")),--('Hoạt động (Đơn của tôi)'!$AT$7:$AT$500="Fail"))+SUMPRODUCT(--ISNUMBER(SEARCH(", "&amp;$B60&amp;", ",", "&amp;'Ghép nối'!$B$7:$B$500&amp;", ")),--('Ghép nối'!$AT$7:$AT$500="Fail"))+SUMPRODUCT(--ISNUMBER(SEARCH(", "&amp;$B60&amp;", ",", "&amp;'Huỷ đơn - Huỷ nhận đơn'!$B$7:$B$500&amp;", ")),--('Huỷ đơn - Huỷ nhận đơn'!$AT$7:$AT$500="Fail"))+SUMPRODUCT(--ISNUMBER(SEARCH(", "&amp;$B60&amp;", ",", "&amp;'Giao nhận &amp; Theo dõi đơn'!$B$7:$B$500&amp;", ")),--('Giao nhận &amp; Theo dõi đơn'!$AT$7:$AT$500="Fail"))+SUMPRODUCT(--ISNUMBER(SEARCH(", "&amp;$B60&amp;", ",", "&amp;'Bảng tin &amp; Chi tiết tin'!$B$7:$B$500&amp;", ")),--('Bảng tin &amp; Chi tiết tin'!$AT$7:$AT$500="Fail"))+SUMPRODUCT(--ISNUMBER(SEARCH(", "&amp;$B60&amp;", ",", "&amp;'Quà cảm ơn'!$B$7:$B$500&amp;", ")),--('Quà cảm ơn'!$AT$7:$AT$500="Fail"))+SUMPRODUCT(--ISNUMBER(SEARCH(", "&amp;$B60&amp;", ",", "&amp;'Trang chủ'!$B$7:$B$500&amp;", ")),--('Trang chủ'!$AT$7:$AT$500="Fail"))+SUMPRODUCT(--ISNUMBER(SEARCH(", "&amp;$B60&amp;", ",", "&amp;'Thông báo'!$B$7:$B$500&amp;", ")),--('Thông báo'!$AT$7:$AT$500="Fail"))+SUMPRODUCT(--ISNUMBER(SEARCH(", "&amp;$B60&amp;", ",", "&amp;'Đăng tin &amp; Quản lý tin'!$B$7:$B$500&amp;", ")),--('Đăng tin &amp; Quản lý tin'!$AT$7:$AT$500="Fail"))+SUMPRODUCT(--ISNUMBER(SEARCH(", "&amp;$B60&amp;", ",", "&amp;'Trust &amp; Safety'!$B$7:$B$500&amp;", ")),--('Trust &amp; Safety'!$AT$7:$AT$500="Fail"))+SUMPRODUCT(--ISNUMBER(SEARCH(", "&amp;$B60&amp;", ",", "&amp;'Tài khoản &amp; Hồ sơ'!$B$7:$B$500&amp;", ")),--('Tài khoản &amp; Hồ sơ'!$AT$7:$AT$500="Fail"))</f>
        <v>0</v>
      </c>
      <c r="I60" s="51" t="n">
        <f aca="false">SUMPRODUCT(--ISNUMBER(SEARCH(", "&amp;$B60&amp;", ",", "&amp;'Hoạt động (Đơn của tôi)'!$B$7:$B$500&amp;", ")),--('Hoạt động (Đơn của tôi)'!$AT$7:$AT$500="Block"))+SUMPRODUCT(--ISNUMBER(SEARCH(", "&amp;$B60&amp;", ",", "&amp;'Ghép nối'!$B$7:$B$500&amp;", ")),--('Ghép nối'!$AT$7:$AT$500="Block"))+SUMPRODUCT(--ISNUMBER(SEARCH(", "&amp;$B60&amp;", ",", "&amp;'Huỷ đơn - Huỷ nhận đơn'!$B$7:$B$500&amp;", ")),--('Huỷ đơn - Huỷ nhận đơn'!$AT$7:$AT$500="Block"))+SUMPRODUCT(--ISNUMBER(SEARCH(", "&amp;$B60&amp;", ",", "&amp;'Giao nhận &amp; Theo dõi đơn'!$B$7:$B$500&amp;", ")),--('Giao nhận &amp; Theo dõi đơn'!$AT$7:$AT$500="Block"))+SUMPRODUCT(--ISNUMBER(SEARCH(", "&amp;$B60&amp;", ",", "&amp;'Bảng tin &amp; Chi tiết tin'!$B$7:$B$500&amp;", ")),--('Bảng tin &amp; Chi tiết tin'!$AT$7:$AT$500="Block"))+SUMPRODUCT(--ISNUMBER(SEARCH(", "&amp;$B60&amp;", ",", "&amp;'Quà cảm ơn'!$B$7:$B$500&amp;", ")),--('Quà cảm ơn'!$AT$7:$AT$500="Block"))+SUMPRODUCT(--ISNUMBER(SEARCH(", "&amp;$B60&amp;", ",", "&amp;'Trang chủ'!$B$7:$B$500&amp;", ")),--('Trang chủ'!$AT$7:$AT$500="Block"))+SUMPRODUCT(--ISNUMBER(SEARCH(", "&amp;$B60&amp;", ",", "&amp;'Thông báo'!$B$7:$B$500&amp;", ")),--('Thông báo'!$AT$7:$AT$500="Block"))+SUMPRODUCT(--ISNUMBER(SEARCH(", "&amp;$B60&amp;", ",", "&amp;'Đăng tin &amp; Quản lý tin'!$B$7:$B$500&amp;", ")),--('Đăng tin &amp; Quản lý tin'!$AT$7:$AT$500="Block"))+SUMPRODUCT(--ISNUMBER(SEARCH(", "&amp;$B60&amp;", ",", "&amp;'Trust &amp; Safety'!$B$7:$B$500&amp;", ")),--('Trust &amp; Safety'!$AT$7:$AT$500="Block"))+SUMPRODUCT(--ISNUMBER(SEARCH(", "&amp;$B60&amp;", ",", "&amp;'Tài khoản &amp; Hồ sơ'!$B$7:$B$500&amp;", ")),--('Tài khoản &amp; Hồ sơ'!$AT$7:$AT$500="Block"))</f>
        <v>0</v>
      </c>
      <c r="J60" s="51" t="n">
        <f aca="false">SUMPRODUCT(--ISNUMBER(SEARCH(", "&amp;$B60&amp;", ",", "&amp;'Hoạt động (Đơn của tôi)'!$B$7:$B$500&amp;", ")),--('Hoạt động (Đơn của tôi)'!$AT$7:$AT$500="N/A"))+SUMPRODUCT(--ISNUMBER(SEARCH(", "&amp;$B60&amp;", ",", "&amp;'Ghép nối'!$B$7:$B$500&amp;", ")),--('Ghép nối'!$AT$7:$AT$500="N/A"))+SUMPRODUCT(--ISNUMBER(SEARCH(", "&amp;$B60&amp;", ",", "&amp;'Huỷ đơn - Huỷ nhận đơn'!$B$7:$B$500&amp;", ")),--('Huỷ đơn - Huỷ nhận đơn'!$AT$7:$AT$500="N/A"))+SUMPRODUCT(--ISNUMBER(SEARCH(", "&amp;$B60&amp;", ",", "&amp;'Giao nhận &amp; Theo dõi đơn'!$B$7:$B$500&amp;", ")),--('Giao nhận &amp; Theo dõi đơn'!$AT$7:$AT$500="N/A"))+SUMPRODUCT(--ISNUMBER(SEARCH(", "&amp;$B60&amp;", ",", "&amp;'Bảng tin &amp; Chi tiết tin'!$B$7:$B$500&amp;", ")),--('Bảng tin &amp; Chi tiết tin'!$AT$7:$AT$500="N/A"))+SUMPRODUCT(--ISNUMBER(SEARCH(", "&amp;$B60&amp;", ",", "&amp;'Quà cảm ơn'!$B$7:$B$500&amp;", ")),--('Quà cảm ơn'!$AT$7:$AT$500="N/A"))+SUMPRODUCT(--ISNUMBER(SEARCH(", "&amp;$B60&amp;", ",", "&amp;'Trang chủ'!$B$7:$B$500&amp;", ")),--('Trang chủ'!$AT$7:$AT$500="N/A"))+SUMPRODUCT(--ISNUMBER(SEARCH(", "&amp;$B60&amp;", ",", "&amp;'Thông báo'!$B$7:$B$500&amp;", ")),--('Thông báo'!$AT$7:$AT$500="N/A"))+SUMPRODUCT(--ISNUMBER(SEARCH(", "&amp;$B60&amp;", ",", "&amp;'Đăng tin &amp; Quản lý tin'!$B$7:$B$500&amp;", ")),--('Đăng tin &amp; Quản lý tin'!$AT$7:$AT$500="N/A"))+SUMPRODUCT(--ISNUMBER(SEARCH(", "&amp;$B60&amp;", ",", "&amp;'Trust &amp; Safety'!$B$7:$B$500&amp;", ")),--('Trust &amp; Safety'!$AT$7:$AT$500="N/A"))+SUMPRODUCT(--ISNUMBER(SEARCH(", "&amp;$B60&amp;", ",", "&amp;'Tài khoản &amp; Hồ sơ'!$B$7:$B$500&amp;", ")),--('Tài khoản &amp; Hồ sơ'!$AT$7:$AT$500="N/A"))</f>
        <v>0</v>
      </c>
      <c r="K60" s="52" t="n">
        <f aca="false">IFERROR(F60/E60,0)</f>
        <v>0</v>
      </c>
      <c r="L60" s="123" t="str">
        <f aca="false">IF(E60=0,"Chưa có TC (gap)",IF(H60&gt;0,"Có lỗi (Fail)",IF(I60&gt;0,"Bị block",IF(F60&lt;E60,"Đang test",IF(G60=0,"Không áp dụng (N/A)","Đã test xong")))))</f>
        <v>Đang test</v>
      </c>
      <c r="AB60" s="1" t="s">
        <v>444</v>
      </c>
    </row>
    <row r="61" customFormat="false" ht="15.75" hidden="false" customHeight="true" outlineLevel="0" collapsed="false">
      <c r="B61" s="175" t="s">
        <v>578</v>
      </c>
      <c r="C61" s="176" t="s">
        <v>579</v>
      </c>
      <c r="D61" s="123" t="s">
        <v>419</v>
      </c>
      <c r="E61" s="51" t="n">
        <f aca="false">SUMPRODUCT(--ISNUMBER(SEARCH(", "&amp;$B61&amp;", ",", "&amp;'Hoạt động (Đơn của tôi)'!$B$7:$B$500&amp;", ")))+SUMPRODUCT(--ISNUMBER(SEARCH(", "&amp;$B61&amp;", ",", "&amp;'Ghép nối'!$B$7:$B$500&amp;", ")))+SUMPRODUCT(--ISNUMBER(SEARCH(", "&amp;$B61&amp;", ",", "&amp;'Huỷ đơn - Huỷ nhận đơn'!$B$7:$B$500&amp;", ")))+SUMPRODUCT(--ISNUMBER(SEARCH(", "&amp;$B61&amp;", ",", "&amp;'Giao nhận &amp; Theo dõi đơn'!$B$7:$B$500&amp;", ")))+SUMPRODUCT(--ISNUMBER(SEARCH(", "&amp;$B61&amp;", ",", "&amp;'Bảng tin &amp; Chi tiết tin'!$B$7:$B$500&amp;", ")))+SUMPRODUCT(--ISNUMBER(SEARCH(", "&amp;$B61&amp;", ",", "&amp;'Quà cảm ơn'!$B$7:$B$500&amp;", ")))+SUMPRODUCT(--ISNUMBER(SEARCH(", "&amp;$B61&amp;", ",", "&amp;'Trang chủ'!$B$7:$B$500&amp;", ")))+SUMPRODUCT(--ISNUMBER(SEARCH(", "&amp;$B61&amp;", ",", "&amp;'Thông báo'!$B$7:$B$500&amp;", ")))+SUMPRODUCT(--ISNUMBER(SEARCH(", "&amp;$B61&amp;", ",", "&amp;'Đăng tin &amp; Quản lý tin'!$B$7:$B$500&amp;", ")))+SUMPRODUCT(--ISNUMBER(SEARCH(", "&amp;$B61&amp;", ",", "&amp;'Trust &amp; Safety'!$B$7:$B$500&amp;", ")))+SUMPRODUCT(--ISNUMBER(SEARCH(", "&amp;$B61&amp;", ",", "&amp;'Tài khoản &amp; Hồ sơ'!$B$7:$B$500&amp;", ")))</f>
        <v>2</v>
      </c>
      <c r="F61" s="51" t="n">
        <f aca="false">SUMPRODUCT(--ISNUMBER(SEARCH(", "&amp;$B61&amp;", ",", "&amp;'Hoạt động (Đơn của tôi)'!$B$7:$B$500&amp;", ")),--('Hoạt động (Đơn của tôi)'!$AT$7:$AT$500&lt;&gt;""))+SUMPRODUCT(--ISNUMBER(SEARCH(", "&amp;$B61&amp;", ",", "&amp;'Ghép nối'!$B$7:$B$500&amp;", ")),--('Ghép nối'!$AT$7:$AT$500&lt;&gt;""))+SUMPRODUCT(--ISNUMBER(SEARCH(", "&amp;$B61&amp;", ",", "&amp;'Huỷ đơn - Huỷ nhận đơn'!$B$7:$B$500&amp;", ")),--('Huỷ đơn - Huỷ nhận đơn'!$AT$7:$AT$500&lt;&gt;""))+SUMPRODUCT(--ISNUMBER(SEARCH(", "&amp;$B61&amp;", ",", "&amp;'Giao nhận &amp; Theo dõi đơn'!$B$7:$B$500&amp;", ")),--('Giao nhận &amp; Theo dõi đơn'!$AT$7:$AT$500&lt;&gt;""))+SUMPRODUCT(--ISNUMBER(SEARCH(", "&amp;$B61&amp;", ",", "&amp;'Bảng tin &amp; Chi tiết tin'!$B$7:$B$500&amp;", ")),--('Bảng tin &amp; Chi tiết tin'!$AT$7:$AT$500&lt;&gt;""))+SUMPRODUCT(--ISNUMBER(SEARCH(", "&amp;$B61&amp;", ",", "&amp;'Quà cảm ơn'!$B$7:$B$500&amp;", ")),--('Quà cảm ơn'!$AT$7:$AT$500&lt;&gt;""))+SUMPRODUCT(--ISNUMBER(SEARCH(", "&amp;$B61&amp;", ",", "&amp;'Trang chủ'!$B$7:$B$500&amp;", ")),--('Trang chủ'!$AT$7:$AT$500&lt;&gt;""))+SUMPRODUCT(--ISNUMBER(SEARCH(", "&amp;$B61&amp;", ",", "&amp;'Thông báo'!$B$7:$B$500&amp;", ")),--('Thông báo'!$AT$7:$AT$500&lt;&gt;""))+SUMPRODUCT(--ISNUMBER(SEARCH(", "&amp;$B61&amp;", ",", "&amp;'Đăng tin &amp; Quản lý tin'!$B$7:$B$500&amp;", ")),--('Đăng tin &amp; Quản lý tin'!$AT$7:$AT$500&lt;&gt;""))+SUMPRODUCT(--ISNUMBER(SEARCH(", "&amp;$B61&amp;", ",", "&amp;'Trust &amp; Safety'!$B$7:$B$500&amp;", ")),--('Trust &amp; Safety'!$AT$7:$AT$500&lt;&gt;""))+SUMPRODUCT(--ISNUMBER(SEARCH(", "&amp;$B61&amp;", ",", "&amp;'Tài khoản &amp; Hồ sơ'!$B$7:$B$500&amp;", ")),--('Tài khoản &amp; Hồ sơ'!$AT$7:$AT$500&lt;&gt;""))</f>
        <v>0</v>
      </c>
      <c r="G61" s="51" t="n">
        <f aca="false">SUMPRODUCT(--ISNUMBER(SEARCH(", "&amp;$B61&amp;", ",", "&amp;'Hoạt động (Đơn của tôi)'!$B$7:$B$500&amp;", ")),--('Hoạt động (Đơn của tôi)'!$AT$7:$AT$500="Pass"))+SUMPRODUCT(--ISNUMBER(SEARCH(", "&amp;$B61&amp;", ",", "&amp;'Ghép nối'!$B$7:$B$500&amp;", ")),--('Ghép nối'!$AT$7:$AT$500="Pass"))+SUMPRODUCT(--ISNUMBER(SEARCH(", "&amp;$B61&amp;", ",", "&amp;'Huỷ đơn - Huỷ nhận đơn'!$B$7:$B$500&amp;", ")),--('Huỷ đơn - Huỷ nhận đơn'!$AT$7:$AT$500="Pass"))+SUMPRODUCT(--ISNUMBER(SEARCH(", "&amp;$B61&amp;", ",", "&amp;'Giao nhận &amp; Theo dõi đơn'!$B$7:$B$500&amp;", ")),--('Giao nhận &amp; Theo dõi đơn'!$AT$7:$AT$500="Pass"))+SUMPRODUCT(--ISNUMBER(SEARCH(", "&amp;$B61&amp;", ",", "&amp;'Bảng tin &amp; Chi tiết tin'!$B$7:$B$500&amp;", ")),--('Bảng tin &amp; Chi tiết tin'!$AT$7:$AT$500="Pass"))+SUMPRODUCT(--ISNUMBER(SEARCH(", "&amp;$B61&amp;", ",", "&amp;'Quà cảm ơn'!$B$7:$B$500&amp;", ")),--('Quà cảm ơn'!$AT$7:$AT$500="Pass"))+SUMPRODUCT(--ISNUMBER(SEARCH(", "&amp;$B61&amp;", ",", "&amp;'Trang chủ'!$B$7:$B$500&amp;", ")),--('Trang chủ'!$AT$7:$AT$500="Pass"))+SUMPRODUCT(--ISNUMBER(SEARCH(", "&amp;$B61&amp;", ",", "&amp;'Thông báo'!$B$7:$B$500&amp;", ")),--('Thông báo'!$AT$7:$AT$500="Pass"))+SUMPRODUCT(--ISNUMBER(SEARCH(", "&amp;$B61&amp;", ",", "&amp;'Đăng tin &amp; Quản lý tin'!$B$7:$B$500&amp;", ")),--('Đăng tin &amp; Quản lý tin'!$AT$7:$AT$500="Pass"))+SUMPRODUCT(--ISNUMBER(SEARCH(", "&amp;$B61&amp;", ",", "&amp;'Trust &amp; Safety'!$B$7:$B$500&amp;", ")),--('Trust &amp; Safety'!$AT$7:$AT$500="Pass"))+SUMPRODUCT(--ISNUMBER(SEARCH(", "&amp;$B61&amp;", ",", "&amp;'Tài khoản &amp; Hồ sơ'!$B$7:$B$500&amp;", ")),--('Tài khoản &amp; Hồ sơ'!$AT$7:$AT$500="Pass"))</f>
        <v>0</v>
      </c>
      <c r="H61" s="51" t="n">
        <f aca="false">SUMPRODUCT(--ISNUMBER(SEARCH(", "&amp;$B61&amp;", ",", "&amp;'Hoạt động (Đơn của tôi)'!$B$7:$B$500&amp;", ")),--('Hoạt động (Đơn của tôi)'!$AT$7:$AT$500="Fail"))+SUMPRODUCT(--ISNUMBER(SEARCH(", "&amp;$B61&amp;", ",", "&amp;'Ghép nối'!$B$7:$B$500&amp;", ")),--('Ghép nối'!$AT$7:$AT$500="Fail"))+SUMPRODUCT(--ISNUMBER(SEARCH(", "&amp;$B61&amp;", ",", "&amp;'Huỷ đơn - Huỷ nhận đơn'!$B$7:$B$500&amp;", ")),--('Huỷ đơn - Huỷ nhận đơn'!$AT$7:$AT$500="Fail"))+SUMPRODUCT(--ISNUMBER(SEARCH(", "&amp;$B61&amp;", ",", "&amp;'Giao nhận &amp; Theo dõi đơn'!$B$7:$B$500&amp;", ")),--('Giao nhận &amp; Theo dõi đơn'!$AT$7:$AT$500="Fail"))+SUMPRODUCT(--ISNUMBER(SEARCH(", "&amp;$B61&amp;", ",", "&amp;'Bảng tin &amp; Chi tiết tin'!$B$7:$B$500&amp;", ")),--('Bảng tin &amp; Chi tiết tin'!$AT$7:$AT$500="Fail"))+SUMPRODUCT(--ISNUMBER(SEARCH(", "&amp;$B61&amp;", ",", "&amp;'Quà cảm ơn'!$B$7:$B$500&amp;", ")),--('Quà cảm ơn'!$AT$7:$AT$500="Fail"))+SUMPRODUCT(--ISNUMBER(SEARCH(", "&amp;$B61&amp;", ",", "&amp;'Trang chủ'!$B$7:$B$500&amp;", ")),--('Trang chủ'!$AT$7:$AT$500="Fail"))+SUMPRODUCT(--ISNUMBER(SEARCH(", "&amp;$B61&amp;", ",", "&amp;'Thông báo'!$B$7:$B$500&amp;", ")),--('Thông báo'!$AT$7:$AT$500="Fail"))+SUMPRODUCT(--ISNUMBER(SEARCH(", "&amp;$B61&amp;", ",", "&amp;'Đăng tin &amp; Quản lý tin'!$B$7:$B$500&amp;", ")),--('Đăng tin &amp; Quản lý tin'!$AT$7:$AT$500="Fail"))+SUMPRODUCT(--ISNUMBER(SEARCH(", "&amp;$B61&amp;", ",", "&amp;'Trust &amp; Safety'!$B$7:$B$500&amp;", ")),--('Trust &amp; Safety'!$AT$7:$AT$500="Fail"))+SUMPRODUCT(--ISNUMBER(SEARCH(", "&amp;$B61&amp;", ",", "&amp;'Tài khoản &amp; Hồ sơ'!$B$7:$B$500&amp;", ")),--('Tài khoản &amp; Hồ sơ'!$AT$7:$AT$500="Fail"))</f>
        <v>0</v>
      </c>
      <c r="I61" s="51" t="n">
        <f aca="false">SUMPRODUCT(--ISNUMBER(SEARCH(", "&amp;$B61&amp;", ",", "&amp;'Hoạt động (Đơn của tôi)'!$B$7:$B$500&amp;", ")),--('Hoạt động (Đơn của tôi)'!$AT$7:$AT$500="Block"))+SUMPRODUCT(--ISNUMBER(SEARCH(", "&amp;$B61&amp;", ",", "&amp;'Ghép nối'!$B$7:$B$500&amp;", ")),--('Ghép nối'!$AT$7:$AT$500="Block"))+SUMPRODUCT(--ISNUMBER(SEARCH(", "&amp;$B61&amp;", ",", "&amp;'Huỷ đơn - Huỷ nhận đơn'!$B$7:$B$500&amp;", ")),--('Huỷ đơn - Huỷ nhận đơn'!$AT$7:$AT$500="Block"))+SUMPRODUCT(--ISNUMBER(SEARCH(", "&amp;$B61&amp;", ",", "&amp;'Giao nhận &amp; Theo dõi đơn'!$B$7:$B$500&amp;", ")),--('Giao nhận &amp; Theo dõi đơn'!$AT$7:$AT$500="Block"))+SUMPRODUCT(--ISNUMBER(SEARCH(", "&amp;$B61&amp;", ",", "&amp;'Bảng tin &amp; Chi tiết tin'!$B$7:$B$500&amp;", ")),--('Bảng tin &amp; Chi tiết tin'!$AT$7:$AT$500="Block"))+SUMPRODUCT(--ISNUMBER(SEARCH(", "&amp;$B61&amp;", ",", "&amp;'Quà cảm ơn'!$B$7:$B$500&amp;", ")),--('Quà cảm ơn'!$AT$7:$AT$500="Block"))+SUMPRODUCT(--ISNUMBER(SEARCH(", "&amp;$B61&amp;", ",", "&amp;'Trang chủ'!$B$7:$B$500&amp;", ")),--('Trang chủ'!$AT$7:$AT$500="Block"))+SUMPRODUCT(--ISNUMBER(SEARCH(", "&amp;$B61&amp;", ",", "&amp;'Thông báo'!$B$7:$B$500&amp;", ")),--('Thông báo'!$AT$7:$AT$500="Block"))+SUMPRODUCT(--ISNUMBER(SEARCH(", "&amp;$B61&amp;", ",", "&amp;'Đăng tin &amp; Quản lý tin'!$B$7:$B$500&amp;", ")),--('Đăng tin &amp; Quản lý tin'!$AT$7:$AT$500="Block"))+SUMPRODUCT(--ISNUMBER(SEARCH(", "&amp;$B61&amp;", ",", "&amp;'Trust &amp; Safety'!$B$7:$B$500&amp;", ")),--('Trust &amp; Safety'!$AT$7:$AT$500="Block"))+SUMPRODUCT(--ISNUMBER(SEARCH(", "&amp;$B61&amp;", ",", "&amp;'Tài khoản &amp; Hồ sơ'!$B$7:$B$500&amp;", ")),--('Tài khoản &amp; Hồ sơ'!$AT$7:$AT$500="Block"))</f>
        <v>0</v>
      </c>
      <c r="J61" s="51" t="n">
        <f aca="false">SUMPRODUCT(--ISNUMBER(SEARCH(", "&amp;$B61&amp;", ",", "&amp;'Hoạt động (Đơn của tôi)'!$B$7:$B$500&amp;", ")),--('Hoạt động (Đơn của tôi)'!$AT$7:$AT$500="N/A"))+SUMPRODUCT(--ISNUMBER(SEARCH(", "&amp;$B61&amp;", ",", "&amp;'Ghép nối'!$B$7:$B$500&amp;", ")),--('Ghép nối'!$AT$7:$AT$500="N/A"))+SUMPRODUCT(--ISNUMBER(SEARCH(", "&amp;$B61&amp;", ",", "&amp;'Huỷ đơn - Huỷ nhận đơn'!$B$7:$B$500&amp;", ")),--('Huỷ đơn - Huỷ nhận đơn'!$AT$7:$AT$500="N/A"))+SUMPRODUCT(--ISNUMBER(SEARCH(", "&amp;$B61&amp;", ",", "&amp;'Giao nhận &amp; Theo dõi đơn'!$B$7:$B$500&amp;", ")),--('Giao nhận &amp; Theo dõi đơn'!$AT$7:$AT$500="N/A"))+SUMPRODUCT(--ISNUMBER(SEARCH(", "&amp;$B61&amp;", ",", "&amp;'Bảng tin &amp; Chi tiết tin'!$B$7:$B$500&amp;", ")),--('Bảng tin &amp; Chi tiết tin'!$AT$7:$AT$500="N/A"))+SUMPRODUCT(--ISNUMBER(SEARCH(", "&amp;$B61&amp;", ",", "&amp;'Quà cảm ơn'!$B$7:$B$500&amp;", ")),--('Quà cảm ơn'!$AT$7:$AT$500="N/A"))+SUMPRODUCT(--ISNUMBER(SEARCH(", "&amp;$B61&amp;", ",", "&amp;'Trang chủ'!$B$7:$B$500&amp;", ")),--('Trang chủ'!$AT$7:$AT$500="N/A"))+SUMPRODUCT(--ISNUMBER(SEARCH(", "&amp;$B61&amp;", ",", "&amp;'Thông báo'!$B$7:$B$500&amp;", ")),--('Thông báo'!$AT$7:$AT$500="N/A"))+SUMPRODUCT(--ISNUMBER(SEARCH(", "&amp;$B61&amp;", ",", "&amp;'Đăng tin &amp; Quản lý tin'!$B$7:$B$500&amp;", ")),--('Đăng tin &amp; Quản lý tin'!$AT$7:$AT$500="N/A"))+SUMPRODUCT(--ISNUMBER(SEARCH(", "&amp;$B61&amp;", ",", "&amp;'Trust &amp; Safety'!$B$7:$B$500&amp;", ")),--('Trust &amp; Safety'!$AT$7:$AT$500="N/A"))+SUMPRODUCT(--ISNUMBER(SEARCH(", "&amp;$B61&amp;", ",", "&amp;'Tài khoản &amp; Hồ sơ'!$B$7:$B$500&amp;", ")),--('Tài khoản &amp; Hồ sơ'!$AT$7:$AT$500="N/A"))</f>
        <v>0</v>
      </c>
      <c r="K61" s="52" t="n">
        <f aca="false">IFERROR(F61/E61,0)</f>
        <v>0</v>
      </c>
      <c r="L61" s="123" t="str">
        <f aca="false">IF(E61=0,"Chưa có TC (gap)",IF(H61&gt;0,"Có lỗi (Fail)",IF(I61&gt;0,"Bị block",IF(F61&lt;E61,"Đang test",IF(G61=0,"Không áp dụng (N/A)","Đã test xong")))))</f>
        <v>Đang test</v>
      </c>
      <c r="AB61" s="1" t="s">
        <v>444</v>
      </c>
    </row>
    <row r="62" customFormat="false" ht="15.75" hidden="false" customHeight="true" outlineLevel="0" collapsed="false">
      <c r="B62" s="175" t="s">
        <v>580</v>
      </c>
      <c r="C62" s="176" t="s">
        <v>581</v>
      </c>
      <c r="D62" s="123" t="s">
        <v>582</v>
      </c>
      <c r="E62" s="51" t="n">
        <f aca="false">SUMPRODUCT(--ISNUMBER(SEARCH(", "&amp;$B62&amp;", ",", "&amp;'Hoạt động (Đơn của tôi)'!$B$7:$B$500&amp;", ")))+SUMPRODUCT(--ISNUMBER(SEARCH(", "&amp;$B62&amp;", ",", "&amp;'Ghép nối'!$B$7:$B$500&amp;", ")))+SUMPRODUCT(--ISNUMBER(SEARCH(", "&amp;$B62&amp;", ",", "&amp;'Huỷ đơn - Huỷ nhận đơn'!$B$7:$B$500&amp;", ")))+SUMPRODUCT(--ISNUMBER(SEARCH(", "&amp;$B62&amp;", ",", "&amp;'Giao nhận &amp; Theo dõi đơn'!$B$7:$B$500&amp;", ")))+SUMPRODUCT(--ISNUMBER(SEARCH(", "&amp;$B62&amp;", ",", "&amp;'Bảng tin &amp; Chi tiết tin'!$B$7:$B$500&amp;", ")))+SUMPRODUCT(--ISNUMBER(SEARCH(", "&amp;$B62&amp;", ",", "&amp;'Quà cảm ơn'!$B$7:$B$500&amp;", ")))+SUMPRODUCT(--ISNUMBER(SEARCH(", "&amp;$B62&amp;", ",", "&amp;'Trang chủ'!$B$7:$B$500&amp;", ")))+SUMPRODUCT(--ISNUMBER(SEARCH(", "&amp;$B62&amp;", ",", "&amp;'Thông báo'!$B$7:$B$500&amp;", ")))+SUMPRODUCT(--ISNUMBER(SEARCH(", "&amp;$B62&amp;", ",", "&amp;'Đăng tin &amp; Quản lý tin'!$B$7:$B$500&amp;", ")))+SUMPRODUCT(--ISNUMBER(SEARCH(", "&amp;$B62&amp;", ",", "&amp;'Trust &amp; Safety'!$B$7:$B$500&amp;", ")))+SUMPRODUCT(--ISNUMBER(SEARCH(", "&amp;$B62&amp;", ",", "&amp;'Tài khoản &amp; Hồ sơ'!$B$7:$B$500&amp;", ")))</f>
        <v>2</v>
      </c>
      <c r="F62" s="51" t="n">
        <f aca="false">SUMPRODUCT(--ISNUMBER(SEARCH(", "&amp;$B62&amp;", ",", "&amp;'Hoạt động (Đơn của tôi)'!$B$7:$B$500&amp;", ")),--('Hoạt động (Đơn của tôi)'!$AT$7:$AT$500&lt;&gt;""))+SUMPRODUCT(--ISNUMBER(SEARCH(", "&amp;$B62&amp;", ",", "&amp;'Ghép nối'!$B$7:$B$500&amp;", ")),--('Ghép nối'!$AT$7:$AT$500&lt;&gt;""))+SUMPRODUCT(--ISNUMBER(SEARCH(", "&amp;$B62&amp;", ",", "&amp;'Huỷ đơn - Huỷ nhận đơn'!$B$7:$B$500&amp;", ")),--('Huỷ đơn - Huỷ nhận đơn'!$AT$7:$AT$500&lt;&gt;""))+SUMPRODUCT(--ISNUMBER(SEARCH(", "&amp;$B62&amp;", ",", "&amp;'Giao nhận &amp; Theo dõi đơn'!$B$7:$B$500&amp;", ")),--('Giao nhận &amp; Theo dõi đơn'!$AT$7:$AT$500&lt;&gt;""))+SUMPRODUCT(--ISNUMBER(SEARCH(", "&amp;$B62&amp;", ",", "&amp;'Bảng tin &amp; Chi tiết tin'!$B$7:$B$500&amp;", ")),--('Bảng tin &amp; Chi tiết tin'!$AT$7:$AT$500&lt;&gt;""))+SUMPRODUCT(--ISNUMBER(SEARCH(", "&amp;$B62&amp;", ",", "&amp;'Quà cảm ơn'!$B$7:$B$500&amp;", ")),--('Quà cảm ơn'!$AT$7:$AT$500&lt;&gt;""))+SUMPRODUCT(--ISNUMBER(SEARCH(", "&amp;$B62&amp;", ",", "&amp;'Trang chủ'!$B$7:$B$500&amp;", ")),--('Trang chủ'!$AT$7:$AT$500&lt;&gt;""))+SUMPRODUCT(--ISNUMBER(SEARCH(", "&amp;$B62&amp;", ",", "&amp;'Thông báo'!$B$7:$B$500&amp;", ")),--('Thông báo'!$AT$7:$AT$500&lt;&gt;""))+SUMPRODUCT(--ISNUMBER(SEARCH(", "&amp;$B62&amp;", ",", "&amp;'Đăng tin &amp; Quản lý tin'!$B$7:$B$500&amp;", ")),--('Đăng tin &amp; Quản lý tin'!$AT$7:$AT$500&lt;&gt;""))+SUMPRODUCT(--ISNUMBER(SEARCH(", "&amp;$B62&amp;", ",", "&amp;'Trust &amp; Safety'!$B$7:$B$500&amp;", ")),--('Trust &amp; Safety'!$AT$7:$AT$500&lt;&gt;""))+SUMPRODUCT(--ISNUMBER(SEARCH(", "&amp;$B62&amp;", ",", "&amp;'Tài khoản &amp; Hồ sơ'!$B$7:$B$500&amp;", ")),--('Tài khoản &amp; Hồ sơ'!$AT$7:$AT$500&lt;&gt;""))</f>
        <v>0</v>
      </c>
      <c r="G62" s="51" t="n">
        <f aca="false">SUMPRODUCT(--ISNUMBER(SEARCH(", "&amp;$B62&amp;", ",", "&amp;'Hoạt động (Đơn của tôi)'!$B$7:$B$500&amp;", ")),--('Hoạt động (Đơn của tôi)'!$AT$7:$AT$500="Pass"))+SUMPRODUCT(--ISNUMBER(SEARCH(", "&amp;$B62&amp;", ",", "&amp;'Ghép nối'!$B$7:$B$500&amp;", ")),--('Ghép nối'!$AT$7:$AT$500="Pass"))+SUMPRODUCT(--ISNUMBER(SEARCH(", "&amp;$B62&amp;", ",", "&amp;'Huỷ đơn - Huỷ nhận đơn'!$B$7:$B$500&amp;", ")),--('Huỷ đơn - Huỷ nhận đơn'!$AT$7:$AT$500="Pass"))+SUMPRODUCT(--ISNUMBER(SEARCH(", "&amp;$B62&amp;", ",", "&amp;'Giao nhận &amp; Theo dõi đơn'!$B$7:$B$500&amp;", ")),--('Giao nhận &amp; Theo dõi đơn'!$AT$7:$AT$500="Pass"))+SUMPRODUCT(--ISNUMBER(SEARCH(", "&amp;$B62&amp;", ",", "&amp;'Bảng tin &amp; Chi tiết tin'!$B$7:$B$500&amp;", ")),--('Bảng tin &amp; Chi tiết tin'!$AT$7:$AT$500="Pass"))+SUMPRODUCT(--ISNUMBER(SEARCH(", "&amp;$B62&amp;", ",", "&amp;'Quà cảm ơn'!$B$7:$B$500&amp;", ")),--('Quà cảm ơn'!$AT$7:$AT$500="Pass"))+SUMPRODUCT(--ISNUMBER(SEARCH(", "&amp;$B62&amp;", ",", "&amp;'Trang chủ'!$B$7:$B$500&amp;", ")),--('Trang chủ'!$AT$7:$AT$500="Pass"))+SUMPRODUCT(--ISNUMBER(SEARCH(", "&amp;$B62&amp;", ",", "&amp;'Thông báo'!$B$7:$B$500&amp;", ")),--('Thông báo'!$AT$7:$AT$500="Pass"))+SUMPRODUCT(--ISNUMBER(SEARCH(", "&amp;$B62&amp;", ",", "&amp;'Đăng tin &amp; Quản lý tin'!$B$7:$B$500&amp;", ")),--('Đăng tin &amp; Quản lý tin'!$AT$7:$AT$500="Pass"))+SUMPRODUCT(--ISNUMBER(SEARCH(", "&amp;$B62&amp;", ",", "&amp;'Trust &amp; Safety'!$B$7:$B$500&amp;", ")),--('Trust &amp; Safety'!$AT$7:$AT$500="Pass"))+SUMPRODUCT(--ISNUMBER(SEARCH(", "&amp;$B62&amp;", ",", "&amp;'Tài khoản &amp; Hồ sơ'!$B$7:$B$500&amp;", ")),--('Tài khoản &amp; Hồ sơ'!$AT$7:$AT$500="Pass"))</f>
        <v>0</v>
      </c>
      <c r="H62" s="51" t="n">
        <f aca="false">SUMPRODUCT(--ISNUMBER(SEARCH(", "&amp;$B62&amp;", ",", "&amp;'Hoạt động (Đơn của tôi)'!$B$7:$B$500&amp;", ")),--('Hoạt động (Đơn của tôi)'!$AT$7:$AT$500="Fail"))+SUMPRODUCT(--ISNUMBER(SEARCH(", "&amp;$B62&amp;", ",", "&amp;'Ghép nối'!$B$7:$B$500&amp;", ")),--('Ghép nối'!$AT$7:$AT$500="Fail"))+SUMPRODUCT(--ISNUMBER(SEARCH(", "&amp;$B62&amp;", ",", "&amp;'Huỷ đơn - Huỷ nhận đơn'!$B$7:$B$500&amp;", ")),--('Huỷ đơn - Huỷ nhận đơn'!$AT$7:$AT$500="Fail"))+SUMPRODUCT(--ISNUMBER(SEARCH(", "&amp;$B62&amp;", ",", "&amp;'Giao nhận &amp; Theo dõi đơn'!$B$7:$B$500&amp;", ")),--('Giao nhận &amp; Theo dõi đơn'!$AT$7:$AT$500="Fail"))+SUMPRODUCT(--ISNUMBER(SEARCH(", "&amp;$B62&amp;", ",", "&amp;'Bảng tin &amp; Chi tiết tin'!$B$7:$B$500&amp;", ")),--('Bảng tin &amp; Chi tiết tin'!$AT$7:$AT$500="Fail"))+SUMPRODUCT(--ISNUMBER(SEARCH(", "&amp;$B62&amp;", ",", "&amp;'Quà cảm ơn'!$B$7:$B$500&amp;", ")),--('Quà cảm ơn'!$AT$7:$AT$500="Fail"))+SUMPRODUCT(--ISNUMBER(SEARCH(", "&amp;$B62&amp;", ",", "&amp;'Trang chủ'!$B$7:$B$500&amp;", ")),--('Trang chủ'!$AT$7:$AT$500="Fail"))+SUMPRODUCT(--ISNUMBER(SEARCH(", "&amp;$B62&amp;", ",", "&amp;'Thông báo'!$B$7:$B$500&amp;", ")),--('Thông báo'!$AT$7:$AT$500="Fail"))+SUMPRODUCT(--ISNUMBER(SEARCH(", "&amp;$B62&amp;", ",", "&amp;'Đăng tin &amp; Quản lý tin'!$B$7:$B$500&amp;", ")),--('Đăng tin &amp; Quản lý tin'!$AT$7:$AT$500="Fail"))+SUMPRODUCT(--ISNUMBER(SEARCH(", "&amp;$B62&amp;", ",", "&amp;'Trust &amp; Safety'!$B$7:$B$500&amp;", ")),--('Trust &amp; Safety'!$AT$7:$AT$500="Fail"))+SUMPRODUCT(--ISNUMBER(SEARCH(", "&amp;$B62&amp;", ",", "&amp;'Tài khoản &amp; Hồ sơ'!$B$7:$B$500&amp;", ")),--('Tài khoản &amp; Hồ sơ'!$AT$7:$AT$500="Fail"))</f>
        <v>0</v>
      </c>
      <c r="I62" s="51" t="n">
        <f aca="false">SUMPRODUCT(--ISNUMBER(SEARCH(", "&amp;$B62&amp;", ",", "&amp;'Hoạt động (Đơn của tôi)'!$B$7:$B$500&amp;", ")),--('Hoạt động (Đơn của tôi)'!$AT$7:$AT$500="Block"))+SUMPRODUCT(--ISNUMBER(SEARCH(", "&amp;$B62&amp;", ",", "&amp;'Ghép nối'!$B$7:$B$500&amp;", ")),--('Ghép nối'!$AT$7:$AT$500="Block"))+SUMPRODUCT(--ISNUMBER(SEARCH(", "&amp;$B62&amp;", ",", "&amp;'Huỷ đơn - Huỷ nhận đơn'!$B$7:$B$500&amp;", ")),--('Huỷ đơn - Huỷ nhận đơn'!$AT$7:$AT$500="Block"))+SUMPRODUCT(--ISNUMBER(SEARCH(", "&amp;$B62&amp;", ",", "&amp;'Giao nhận &amp; Theo dõi đơn'!$B$7:$B$500&amp;", ")),--('Giao nhận &amp; Theo dõi đơn'!$AT$7:$AT$500="Block"))+SUMPRODUCT(--ISNUMBER(SEARCH(", "&amp;$B62&amp;", ",", "&amp;'Bảng tin &amp; Chi tiết tin'!$B$7:$B$500&amp;", ")),--('Bảng tin &amp; Chi tiết tin'!$AT$7:$AT$500="Block"))+SUMPRODUCT(--ISNUMBER(SEARCH(", "&amp;$B62&amp;", ",", "&amp;'Quà cảm ơn'!$B$7:$B$500&amp;", ")),--('Quà cảm ơn'!$AT$7:$AT$500="Block"))+SUMPRODUCT(--ISNUMBER(SEARCH(", "&amp;$B62&amp;", ",", "&amp;'Trang chủ'!$B$7:$B$500&amp;", ")),--('Trang chủ'!$AT$7:$AT$500="Block"))+SUMPRODUCT(--ISNUMBER(SEARCH(", "&amp;$B62&amp;", ",", "&amp;'Thông báo'!$B$7:$B$500&amp;", ")),--('Thông báo'!$AT$7:$AT$500="Block"))+SUMPRODUCT(--ISNUMBER(SEARCH(", "&amp;$B62&amp;", ",", "&amp;'Đăng tin &amp; Quản lý tin'!$B$7:$B$500&amp;", ")),--('Đăng tin &amp; Quản lý tin'!$AT$7:$AT$500="Block"))+SUMPRODUCT(--ISNUMBER(SEARCH(", "&amp;$B62&amp;", ",", "&amp;'Trust &amp; Safety'!$B$7:$B$500&amp;", ")),--('Trust &amp; Safety'!$AT$7:$AT$500="Block"))+SUMPRODUCT(--ISNUMBER(SEARCH(", "&amp;$B62&amp;", ",", "&amp;'Tài khoản &amp; Hồ sơ'!$B$7:$B$500&amp;", ")),--('Tài khoản &amp; Hồ sơ'!$AT$7:$AT$500="Block"))</f>
        <v>0</v>
      </c>
      <c r="J62" s="51" t="n">
        <f aca="false">SUMPRODUCT(--ISNUMBER(SEARCH(", "&amp;$B62&amp;", ",", "&amp;'Hoạt động (Đơn của tôi)'!$B$7:$B$500&amp;", ")),--('Hoạt động (Đơn của tôi)'!$AT$7:$AT$500="N/A"))+SUMPRODUCT(--ISNUMBER(SEARCH(", "&amp;$B62&amp;", ",", "&amp;'Ghép nối'!$B$7:$B$500&amp;", ")),--('Ghép nối'!$AT$7:$AT$500="N/A"))+SUMPRODUCT(--ISNUMBER(SEARCH(", "&amp;$B62&amp;", ",", "&amp;'Huỷ đơn - Huỷ nhận đơn'!$B$7:$B$500&amp;", ")),--('Huỷ đơn - Huỷ nhận đơn'!$AT$7:$AT$500="N/A"))+SUMPRODUCT(--ISNUMBER(SEARCH(", "&amp;$B62&amp;", ",", "&amp;'Giao nhận &amp; Theo dõi đơn'!$B$7:$B$500&amp;", ")),--('Giao nhận &amp; Theo dõi đơn'!$AT$7:$AT$500="N/A"))+SUMPRODUCT(--ISNUMBER(SEARCH(", "&amp;$B62&amp;", ",", "&amp;'Bảng tin &amp; Chi tiết tin'!$B$7:$B$500&amp;", ")),--('Bảng tin &amp; Chi tiết tin'!$AT$7:$AT$500="N/A"))+SUMPRODUCT(--ISNUMBER(SEARCH(", "&amp;$B62&amp;", ",", "&amp;'Quà cảm ơn'!$B$7:$B$500&amp;", ")),--('Quà cảm ơn'!$AT$7:$AT$500="N/A"))+SUMPRODUCT(--ISNUMBER(SEARCH(", "&amp;$B62&amp;", ",", "&amp;'Trang chủ'!$B$7:$B$500&amp;", ")),--('Trang chủ'!$AT$7:$AT$500="N/A"))+SUMPRODUCT(--ISNUMBER(SEARCH(", "&amp;$B62&amp;", ",", "&amp;'Thông báo'!$B$7:$B$500&amp;", ")),--('Thông báo'!$AT$7:$AT$500="N/A"))+SUMPRODUCT(--ISNUMBER(SEARCH(", "&amp;$B62&amp;", ",", "&amp;'Đăng tin &amp; Quản lý tin'!$B$7:$B$500&amp;", ")),--('Đăng tin &amp; Quản lý tin'!$AT$7:$AT$500="N/A"))+SUMPRODUCT(--ISNUMBER(SEARCH(", "&amp;$B62&amp;", ",", "&amp;'Trust &amp; Safety'!$B$7:$B$500&amp;", ")),--('Trust &amp; Safety'!$AT$7:$AT$500="N/A"))+SUMPRODUCT(--ISNUMBER(SEARCH(", "&amp;$B62&amp;", ",", "&amp;'Tài khoản &amp; Hồ sơ'!$B$7:$B$500&amp;", ")),--('Tài khoản &amp; Hồ sơ'!$AT$7:$AT$500="N/A"))</f>
        <v>0</v>
      </c>
      <c r="K62" s="52" t="n">
        <f aca="false">IFERROR(F62/E62,0)</f>
        <v>0</v>
      </c>
      <c r="L62" s="123" t="str">
        <f aca="false">IF(E62=0,"Chưa có TC (gap)",IF(H62&gt;0,"Có lỗi (Fail)",IF(I62&gt;0,"Bị block",IF(F62&lt;E62,"Đang test",IF(G62=0,"Không áp dụng (N/A)","Đã test xong")))))</f>
        <v>Đang test</v>
      </c>
      <c r="AB62" s="1" t="s">
        <v>444</v>
      </c>
    </row>
    <row r="63" customFormat="false" ht="15.75" hidden="false" customHeight="true" outlineLevel="0" collapsed="false">
      <c r="B63" s="175" t="s">
        <v>583</v>
      </c>
      <c r="C63" s="176" t="s">
        <v>584</v>
      </c>
      <c r="D63" s="123" t="s">
        <v>585</v>
      </c>
      <c r="E63" s="51" t="n">
        <f aca="false">SUMPRODUCT(--ISNUMBER(SEARCH(", "&amp;$B63&amp;", ",", "&amp;'Hoạt động (Đơn của tôi)'!$B$7:$B$500&amp;", ")))+SUMPRODUCT(--ISNUMBER(SEARCH(", "&amp;$B63&amp;", ",", "&amp;'Ghép nối'!$B$7:$B$500&amp;", ")))+SUMPRODUCT(--ISNUMBER(SEARCH(", "&amp;$B63&amp;", ",", "&amp;'Huỷ đơn - Huỷ nhận đơn'!$B$7:$B$500&amp;", ")))+SUMPRODUCT(--ISNUMBER(SEARCH(", "&amp;$B63&amp;", ",", "&amp;'Giao nhận &amp; Theo dõi đơn'!$B$7:$B$500&amp;", ")))+SUMPRODUCT(--ISNUMBER(SEARCH(", "&amp;$B63&amp;", ",", "&amp;'Bảng tin &amp; Chi tiết tin'!$B$7:$B$500&amp;", ")))+SUMPRODUCT(--ISNUMBER(SEARCH(", "&amp;$B63&amp;", ",", "&amp;'Quà cảm ơn'!$B$7:$B$500&amp;", ")))+SUMPRODUCT(--ISNUMBER(SEARCH(", "&amp;$B63&amp;", ",", "&amp;'Trang chủ'!$B$7:$B$500&amp;", ")))+SUMPRODUCT(--ISNUMBER(SEARCH(", "&amp;$B63&amp;", ",", "&amp;'Thông báo'!$B$7:$B$500&amp;", ")))+SUMPRODUCT(--ISNUMBER(SEARCH(", "&amp;$B63&amp;", ",", "&amp;'Đăng tin &amp; Quản lý tin'!$B$7:$B$500&amp;", ")))+SUMPRODUCT(--ISNUMBER(SEARCH(", "&amp;$B63&amp;", ",", "&amp;'Trust &amp; Safety'!$B$7:$B$500&amp;", ")))+SUMPRODUCT(--ISNUMBER(SEARCH(", "&amp;$B63&amp;", ",", "&amp;'Tài khoản &amp; Hồ sơ'!$B$7:$B$500&amp;", ")))</f>
        <v>4</v>
      </c>
      <c r="F63" s="51" t="n">
        <f aca="false">SUMPRODUCT(--ISNUMBER(SEARCH(", "&amp;$B63&amp;", ",", "&amp;'Hoạt động (Đơn của tôi)'!$B$7:$B$500&amp;", ")),--('Hoạt động (Đơn của tôi)'!$AT$7:$AT$500&lt;&gt;""))+SUMPRODUCT(--ISNUMBER(SEARCH(", "&amp;$B63&amp;", ",", "&amp;'Ghép nối'!$B$7:$B$500&amp;", ")),--('Ghép nối'!$AT$7:$AT$500&lt;&gt;""))+SUMPRODUCT(--ISNUMBER(SEARCH(", "&amp;$B63&amp;", ",", "&amp;'Huỷ đơn - Huỷ nhận đơn'!$B$7:$B$500&amp;", ")),--('Huỷ đơn - Huỷ nhận đơn'!$AT$7:$AT$500&lt;&gt;""))+SUMPRODUCT(--ISNUMBER(SEARCH(", "&amp;$B63&amp;", ",", "&amp;'Giao nhận &amp; Theo dõi đơn'!$B$7:$B$500&amp;", ")),--('Giao nhận &amp; Theo dõi đơn'!$AT$7:$AT$500&lt;&gt;""))+SUMPRODUCT(--ISNUMBER(SEARCH(", "&amp;$B63&amp;", ",", "&amp;'Bảng tin &amp; Chi tiết tin'!$B$7:$B$500&amp;", ")),--('Bảng tin &amp; Chi tiết tin'!$AT$7:$AT$500&lt;&gt;""))+SUMPRODUCT(--ISNUMBER(SEARCH(", "&amp;$B63&amp;", ",", "&amp;'Quà cảm ơn'!$B$7:$B$500&amp;", ")),--('Quà cảm ơn'!$AT$7:$AT$500&lt;&gt;""))+SUMPRODUCT(--ISNUMBER(SEARCH(", "&amp;$B63&amp;", ",", "&amp;'Trang chủ'!$B$7:$B$500&amp;", ")),--('Trang chủ'!$AT$7:$AT$500&lt;&gt;""))+SUMPRODUCT(--ISNUMBER(SEARCH(", "&amp;$B63&amp;", ",", "&amp;'Thông báo'!$B$7:$B$500&amp;", ")),--('Thông báo'!$AT$7:$AT$500&lt;&gt;""))+SUMPRODUCT(--ISNUMBER(SEARCH(", "&amp;$B63&amp;", ",", "&amp;'Đăng tin &amp; Quản lý tin'!$B$7:$B$500&amp;", ")),--('Đăng tin &amp; Quản lý tin'!$AT$7:$AT$500&lt;&gt;""))+SUMPRODUCT(--ISNUMBER(SEARCH(", "&amp;$B63&amp;", ",", "&amp;'Trust &amp; Safety'!$B$7:$B$500&amp;", ")),--('Trust &amp; Safety'!$AT$7:$AT$500&lt;&gt;""))+SUMPRODUCT(--ISNUMBER(SEARCH(", "&amp;$B63&amp;", ",", "&amp;'Tài khoản &amp; Hồ sơ'!$B$7:$B$500&amp;", ")),--('Tài khoản &amp; Hồ sơ'!$AT$7:$AT$500&lt;&gt;""))</f>
        <v>0</v>
      </c>
      <c r="G63" s="51" t="n">
        <f aca="false">SUMPRODUCT(--ISNUMBER(SEARCH(", "&amp;$B63&amp;", ",", "&amp;'Hoạt động (Đơn của tôi)'!$B$7:$B$500&amp;", ")),--('Hoạt động (Đơn của tôi)'!$AT$7:$AT$500="Pass"))+SUMPRODUCT(--ISNUMBER(SEARCH(", "&amp;$B63&amp;", ",", "&amp;'Ghép nối'!$B$7:$B$500&amp;", ")),--('Ghép nối'!$AT$7:$AT$500="Pass"))+SUMPRODUCT(--ISNUMBER(SEARCH(", "&amp;$B63&amp;", ",", "&amp;'Huỷ đơn - Huỷ nhận đơn'!$B$7:$B$500&amp;", ")),--('Huỷ đơn - Huỷ nhận đơn'!$AT$7:$AT$500="Pass"))+SUMPRODUCT(--ISNUMBER(SEARCH(", "&amp;$B63&amp;", ",", "&amp;'Giao nhận &amp; Theo dõi đơn'!$B$7:$B$500&amp;", ")),--('Giao nhận &amp; Theo dõi đơn'!$AT$7:$AT$500="Pass"))+SUMPRODUCT(--ISNUMBER(SEARCH(", "&amp;$B63&amp;", ",", "&amp;'Bảng tin &amp; Chi tiết tin'!$B$7:$B$500&amp;", ")),--('Bảng tin &amp; Chi tiết tin'!$AT$7:$AT$500="Pass"))+SUMPRODUCT(--ISNUMBER(SEARCH(", "&amp;$B63&amp;", ",", "&amp;'Quà cảm ơn'!$B$7:$B$500&amp;", ")),--('Quà cảm ơn'!$AT$7:$AT$500="Pass"))+SUMPRODUCT(--ISNUMBER(SEARCH(", "&amp;$B63&amp;", ",", "&amp;'Trang chủ'!$B$7:$B$500&amp;", ")),--('Trang chủ'!$AT$7:$AT$500="Pass"))+SUMPRODUCT(--ISNUMBER(SEARCH(", "&amp;$B63&amp;", ",", "&amp;'Thông báo'!$B$7:$B$500&amp;", ")),--('Thông báo'!$AT$7:$AT$500="Pass"))+SUMPRODUCT(--ISNUMBER(SEARCH(", "&amp;$B63&amp;", ",", "&amp;'Đăng tin &amp; Quản lý tin'!$B$7:$B$500&amp;", ")),--('Đăng tin &amp; Quản lý tin'!$AT$7:$AT$500="Pass"))+SUMPRODUCT(--ISNUMBER(SEARCH(", "&amp;$B63&amp;", ",", "&amp;'Trust &amp; Safety'!$B$7:$B$500&amp;", ")),--('Trust &amp; Safety'!$AT$7:$AT$500="Pass"))+SUMPRODUCT(--ISNUMBER(SEARCH(", "&amp;$B63&amp;", ",", "&amp;'Tài khoản &amp; Hồ sơ'!$B$7:$B$500&amp;", ")),--('Tài khoản &amp; Hồ sơ'!$AT$7:$AT$500="Pass"))</f>
        <v>0</v>
      </c>
      <c r="H63" s="51" t="n">
        <f aca="false">SUMPRODUCT(--ISNUMBER(SEARCH(", "&amp;$B63&amp;", ",", "&amp;'Hoạt động (Đơn của tôi)'!$B$7:$B$500&amp;", ")),--('Hoạt động (Đơn của tôi)'!$AT$7:$AT$500="Fail"))+SUMPRODUCT(--ISNUMBER(SEARCH(", "&amp;$B63&amp;", ",", "&amp;'Ghép nối'!$B$7:$B$500&amp;", ")),--('Ghép nối'!$AT$7:$AT$500="Fail"))+SUMPRODUCT(--ISNUMBER(SEARCH(", "&amp;$B63&amp;", ",", "&amp;'Huỷ đơn - Huỷ nhận đơn'!$B$7:$B$500&amp;", ")),--('Huỷ đơn - Huỷ nhận đơn'!$AT$7:$AT$500="Fail"))+SUMPRODUCT(--ISNUMBER(SEARCH(", "&amp;$B63&amp;", ",", "&amp;'Giao nhận &amp; Theo dõi đơn'!$B$7:$B$500&amp;", ")),--('Giao nhận &amp; Theo dõi đơn'!$AT$7:$AT$500="Fail"))+SUMPRODUCT(--ISNUMBER(SEARCH(", "&amp;$B63&amp;", ",", "&amp;'Bảng tin &amp; Chi tiết tin'!$B$7:$B$500&amp;", ")),--('Bảng tin &amp; Chi tiết tin'!$AT$7:$AT$500="Fail"))+SUMPRODUCT(--ISNUMBER(SEARCH(", "&amp;$B63&amp;", ",", "&amp;'Quà cảm ơn'!$B$7:$B$500&amp;", ")),--('Quà cảm ơn'!$AT$7:$AT$500="Fail"))+SUMPRODUCT(--ISNUMBER(SEARCH(", "&amp;$B63&amp;", ",", "&amp;'Trang chủ'!$B$7:$B$500&amp;", ")),--('Trang chủ'!$AT$7:$AT$500="Fail"))+SUMPRODUCT(--ISNUMBER(SEARCH(", "&amp;$B63&amp;", ",", "&amp;'Thông báo'!$B$7:$B$500&amp;", ")),--('Thông báo'!$AT$7:$AT$500="Fail"))+SUMPRODUCT(--ISNUMBER(SEARCH(", "&amp;$B63&amp;", ",", "&amp;'Đăng tin &amp; Quản lý tin'!$B$7:$B$500&amp;", ")),--('Đăng tin &amp; Quản lý tin'!$AT$7:$AT$500="Fail"))+SUMPRODUCT(--ISNUMBER(SEARCH(", "&amp;$B63&amp;", ",", "&amp;'Trust &amp; Safety'!$B$7:$B$500&amp;", ")),--('Trust &amp; Safety'!$AT$7:$AT$500="Fail"))+SUMPRODUCT(--ISNUMBER(SEARCH(", "&amp;$B63&amp;", ",", "&amp;'Tài khoản &amp; Hồ sơ'!$B$7:$B$500&amp;", ")),--('Tài khoản &amp; Hồ sơ'!$AT$7:$AT$500="Fail"))</f>
        <v>0</v>
      </c>
      <c r="I63" s="51" t="n">
        <f aca="false">SUMPRODUCT(--ISNUMBER(SEARCH(", "&amp;$B63&amp;", ",", "&amp;'Hoạt động (Đơn của tôi)'!$B$7:$B$500&amp;", ")),--('Hoạt động (Đơn của tôi)'!$AT$7:$AT$500="Block"))+SUMPRODUCT(--ISNUMBER(SEARCH(", "&amp;$B63&amp;", ",", "&amp;'Ghép nối'!$B$7:$B$500&amp;", ")),--('Ghép nối'!$AT$7:$AT$500="Block"))+SUMPRODUCT(--ISNUMBER(SEARCH(", "&amp;$B63&amp;", ",", "&amp;'Huỷ đơn - Huỷ nhận đơn'!$B$7:$B$500&amp;", ")),--('Huỷ đơn - Huỷ nhận đơn'!$AT$7:$AT$500="Block"))+SUMPRODUCT(--ISNUMBER(SEARCH(", "&amp;$B63&amp;", ",", "&amp;'Giao nhận &amp; Theo dõi đơn'!$B$7:$B$500&amp;", ")),--('Giao nhận &amp; Theo dõi đơn'!$AT$7:$AT$500="Block"))+SUMPRODUCT(--ISNUMBER(SEARCH(", "&amp;$B63&amp;", ",", "&amp;'Bảng tin &amp; Chi tiết tin'!$B$7:$B$500&amp;", ")),--('Bảng tin &amp; Chi tiết tin'!$AT$7:$AT$500="Block"))+SUMPRODUCT(--ISNUMBER(SEARCH(", "&amp;$B63&amp;", ",", "&amp;'Quà cảm ơn'!$B$7:$B$500&amp;", ")),--('Quà cảm ơn'!$AT$7:$AT$500="Block"))+SUMPRODUCT(--ISNUMBER(SEARCH(", "&amp;$B63&amp;", ",", "&amp;'Trang chủ'!$B$7:$B$500&amp;", ")),--('Trang chủ'!$AT$7:$AT$500="Block"))+SUMPRODUCT(--ISNUMBER(SEARCH(", "&amp;$B63&amp;", ",", "&amp;'Thông báo'!$B$7:$B$500&amp;", ")),--('Thông báo'!$AT$7:$AT$500="Block"))+SUMPRODUCT(--ISNUMBER(SEARCH(", "&amp;$B63&amp;", ",", "&amp;'Đăng tin &amp; Quản lý tin'!$B$7:$B$500&amp;", ")),--('Đăng tin &amp; Quản lý tin'!$AT$7:$AT$500="Block"))+SUMPRODUCT(--ISNUMBER(SEARCH(", "&amp;$B63&amp;", ",", "&amp;'Trust &amp; Safety'!$B$7:$B$500&amp;", ")),--('Trust &amp; Safety'!$AT$7:$AT$500="Block"))+SUMPRODUCT(--ISNUMBER(SEARCH(", "&amp;$B63&amp;", ",", "&amp;'Tài khoản &amp; Hồ sơ'!$B$7:$B$500&amp;", ")),--('Tài khoản &amp; Hồ sơ'!$AT$7:$AT$500="Block"))</f>
        <v>0</v>
      </c>
      <c r="J63" s="51" t="n">
        <f aca="false">SUMPRODUCT(--ISNUMBER(SEARCH(", "&amp;$B63&amp;", ",", "&amp;'Hoạt động (Đơn của tôi)'!$B$7:$B$500&amp;", ")),--('Hoạt động (Đơn của tôi)'!$AT$7:$AT$500="N/A"))+SUMPRODUCT(--ISNUMBER(SEARCH(", "&amp;$B63&amp;", ",", "&amp;'Ghép nối'!$B$7:$B$500&amp;", ")),--('Ghép nối'!$AT$7:$AT$500="N/A"))+SUMPRODUCT(--ISNUMBER(SEARCH(", "&amp;$B63&amp;", ",", "&amp;'Huỷ đơn - Huỷ nhận đơn'!$B$7:$B$500&amp;", ")),--('Huỷ đơn - Huỷ nhận đơn'!$AT$7:$AT$500="N/A"))+SUMPRODUCT(--ISNUMBER(SEARCH(", "&amp;$B63&amp;", ",", "&amp;'Giao nhận &amp; Theo dõi đơn'!$B$7:$B$500&amp;", ")),--('Giao nhận &amp; Theo dõi đơn'!$AT$7:$AT$500="N/A"))+SUMPRODUCT(--ISNUMBER(SEARCH(", "&amp;$B63&amp;", ",", "&amp;'Bảng tin &amp; Chi tiết tin'!$B$7:$B$500&amp;", ")),--('Bảng tin &amp; Chi tiết tin'!$AT$7:$AT$500="N/A"))+SUMPRODUCT(--ISNUMBER(SEARCH(", "&amp;$B63&amp;", ",", "&amp;'Quà cảm ơn'!$B$7:$B$500&amp;", ")),--('Quà cảm ơn'!$AT$7:$AT$500="N/A"))+SUMPRODUCT(--ISNUMBER(SEARCH(", "&amp;$B63&amp;", ",", "&amp;'Trang chủ'!$B$7:$B$500&amp;", ")),--('Trang chủ'!$AT$7:$AT$500="N/A"))+SUMPRODUCT(--ISNUMBER(SEARCH(", "&amp;$B63&amp;", ",", "&amp;'Thông báo'!$B$7:$B$500&amp;", ")),--('Thông báo'!$AT$7:$AT$500="N/A"))+SUMPRODUCT(--ISNUMBER(SEARCH(", "&amp;$B63&amp;", ",", "&amp;'Đăng tin &amp; Quản lý tin'!$B$7:$B$500&amp;", ")),--('Đăng tin &amp; Quản lý tin'!$AT$7:$AT$500="N/A"))+SUMPRODUCT(--ISNUMBER(SEARCH(", "&amp;$B63&amp;", ",", "&amp;'Trust &amp; Safety'!$B$7:$B$500&amp;", ")),--('Trust &amp; Safety'!$AT$7:$AT$500="N/A"))+SUMPRODUCT(--ISNUMBER(SEARCH(", "&amp;$B63&amp;", ",", "&amp;'Tài khoản &amp; Hồ sơ'!$B$7:$B$500&amp;", ")),--('Tài khoản &amp; Hồ sơ'!$AT$7:$AT$500="N/A"))</f>
        <v>0</v>
      </c>
      <c r="K63" s="52" t="n">
        <f aca="false">IFERROR(F63/E63,0)</f>
        <v>0</v>
      </c>
      <c r="L63" s="123" t="str">
        <f aca="false">IF(E63=0,"Chưa có TC (gap)",IF(H63&gt;0,"Có lỗi (Fail)",IF(I63&gt;0,"Bị block",IF(F63&lt;E63,"Đang test",IF(G63=0,"Không áp dụng (N/A)","Đã test xong")))))</f>
        <v>Đang test</v>
      </c>
      <c r="AB63" s="1" t="s">
        <v>444</v>
      </c>
    </row>
    <row r="64" customFormat="false" ht="15.75" hidden="false" customHeight="true" outlineLevel="0" collapsed="false">
      <c r="B64" s="175" t="s">
        <v>586</v>
      </c>
      <c r="C64" s="176" t="s">
        <v>587</v>
      </c>
      <c r="D64" s="123" t="s">
        <v>588</v>
      </c>
      <c r="E64" s="51" t="n">
        <f aca="false">SUMPRODUCT(--ISNUMBER(SEARCH(", "&amp;$B64&amp;", ",", "&amp;'Hoạt động (Đơn của tôi)'!$B$7:$B$500&amp;", ")))+SUMPRODUCT(--ISNUMBER(SEARCH(", "&amp;$B64&amp;", ",", "&amp;'Ghép nối'!$B$7:$B$500&amp;", ")))+SUMPRODUCT(--ISNUMBER(SEARCH(", "&amp;$B64&amp;", ",", "&amp;'Huỷ đơn - Huỷ nhận đơn'!$B$7:$B$500&amp;", ")))+SUMPRODUCT(--ISNUMBER(SEARCH(", "&amp;$B64&amp;", ",", "&amp;'Giao nhận &amp; Theo dõi đơn'!$B$7:$B$500&amp;", ")))+SUMPRODUCT(--ISNUMBER(SEARCH(", "&amp;$B64&amp;", ",", "&amp;'Bảng tin &amp; Chi tiết tin'!$B$7:$B$500&amp;", ")))+SUMPRODUCT(--ISNUMBER(SEARCH(", "&amp;$B64&amp;", ",", "&amp;'Quà cảm ơn'!$B$7:$B$500&amp;", ")))+SUMPRODUCT(--ISNUMBER(SEARCH(", "&amp;$B64&amp;", ",", "&amp;'Trang chủ'!$B$7:$B$500&amp;", ")))+SUMPRODUCT(--ISNUMBER(SEARCH(", "&amp;$B64&amp;", ",", "&amp;'Thông báo'!$B$7:$B$500&amp;", ")))+SUMPRODUCT(--ISNUMBER(SEARCH(", "&amp;$B64&amp;", ",", "&amp;'Đăng tin &amp; Quản lý tin'!$B$7:$B$500&amp;", ")))+SUMPRODUCT(--ISNUMBER(SEARCH(", "&amp;$B64&amp;", ",", "&amp;'Trust &amp; Safety'!$B$7:$B$500&amp;", ")))+SUMPRODUCT(--ISNUMBER(SEARCH(", "&amp;$B64&amp;", ",", "&amp;'Tài khoản &amp; Hồ sơ'!$B$7:$B$500&amp;", ")))</f>
        <v>2</v>
      </c>
      <c r="F64" s="51" t="n">
        <f aca="false">SUMPRODUCT(--ISNUMBER(SEARCH(", "&amp;$B64&amp;", ",", "&amp;'Hoạt động (Đơn của tôi)'!$B$7:$B$500&amp;", ")),--('Hoạt động (Đơn của tôi)'!$AT$7:$AT$500&lt;&gt;""))+SUMPRODUCT(--ISNUMBER(SEARCH(", "&amp;$B64&amp;", ",", "&amp;'Ghép nối'!$B$7:$B$500&amp;", ")),--('Ghép nối'!$AT$7:$AT$500&lt;&gt;""))+SUMPRODUCT(--ISNUMBER(SEARCH(", "&amp;$B64&amp;", ",", "&amp;'Huỷ đơn - Huỷ nhận đơn'!$B$7:$B$500&amp;", ")),--('Huỷ đơn - Huỷ nhận đơn'!$AT$7:$AT$500&lt;&gt;""))+SUMPRODUCT(--ISNUMBER(SEARCH(", "&amp;$B64&amp;", ",", "&amp;'Giao nhận &amp; Theo dõi đơn'!$B$7:$B$500&amp;", ")),--('Giao nhận &amp; Theo dõi đơn'!$AT$7:$AT$500&lt;&gt;""))+SUMPRODUCT(--ISNUMBER(SEARCH(", "&amp;$B64&amp;", ",", "&amp;'Bảng tin &amp; Chi tiết tin'!$B$7:$B$500&amp;", ")),--('Bảng tin &amp; Chi tiết tin'!$AT$7:$AT$500&lt;&gt;""))+SUMPRODUCT(--ISNUMBER(SEARCH(", "&amp;$B64&amp;", ",", "&amp;'Quà cảm ơn'!$B$7:$B$500&amp;", ")),--('Quà cảm ơn'!$AT$7:$AT$500&lt;&gt;""))+SUMPRODUCT(--ISNUMBER(SEARCH(", "&amp;$B64&amp;", ",", "&amp;'Trang chủ'!$B$7:$B$500&amp;", ")),--('Trang chủ'!$AT$7:$AT$500&lt;&gt;""))+SUMPRODUCT(--ISNUMBER(SEARCH(", "&amp;$B64&amp;", ",", "&amp;'Thông báo'!$B$7:$B$500&amp;", ")),--('Thông báo'!$AT$7:$AT$500&lt;&gt;""))+SUMPRODUCT(--ISNUMBER(SEARCH(", "&amp;$B64&amp;", ",", "&amp;'Đăng tin &amp; Quản lý tin'!$B$7:$B$500&amp;", ")),--('Đăng tin &amp; Quản lý tin'!$AT$7:$AT$500&lt;&gt;""))+SUMPRODUCT(--ISNUMBER(SEARCH(", "&amp;$B64&amp;", ",", "&amp;'Trust &amp; Safety'!$B$7:$B$500&amp;", ")),--('Trust &amp; Safety'!$AT$7:$AT$500&lt;&gt;""))+SUMPRODUCT(--ISNUMBER(SEARCH(", "&amp;$B64&amp;", ",", "&amp;'Tài khoản &amp; Hồ sơ'!$B$7:$B$500&amp;", ")),--('Tài khoản &amp; Hồ sơ'!$AT$7:$AT$500&lt;&gt;""))</f>
        <v>0</v>
      </c>
      <c r="G64" s="51" t="n">
        <f aca="false">SUMPRODUCT(--ISNUMBER(SEARCH(", "&amp;$B64&amp;", ",", "&amp;'Hoạt động (Đơn của tôi)'!$B$7:$B$500&amp;", ")),--('Hoạt động (Đơn của tôi)'!$AT$7:$AT$500="Pass"))+SUMPRODUCT(--ISNUMBER(SEARCH(", "&amp;$B64&amp;", ",", "&amp;'Ghép nối'!$B$7:$B$500&amp;", ")),--('Ghép nối'!$AT$7:$AT$500="Pass"))+SUMPRODUCT(--ISNUMBER(SEARCH(", "&amp;$B64&amp;", ",", "&amp;'Huỷ đơn - Huỷ nhận đơn'!$B$7:$B$500&amp;", ")),--('Huỷ đơn - Huỷ nhận đơn'!$AT$7:$AT$500="Pass"))+SUMPRODUCT(--ISNUMBER(SEARCH(", "&amp;$B64&amp;", ",", "&amp;'Giao nhận &amp; Theo dõi đơn'!$B$7:$B$500&amp;", ")),--('Giao nhận &amp; Theo dõi đơn'!$AT$7:$AT$500="Pass"))+SUMPRODUCT(--ISNUMBER(SEARCH(", "&amp;$B64&amp;", ",", "&amp;'Bảng tin &amp; Chi tiết tin'!$B$7:$B$500&amp;", ")),--('Bảng tin &amp; Chi tiết tin'!$AT$7:$AT$500="Pass"))+SUMPRODUCT(--ISNUMBER(SEARCH(", "&amp;$B64&amp;", ",", "&amp;'Quà cảm ơn'!$B$7:$B$500&amp;", ")),--('Quà cảm ơn'!$AT$7:$AT$500="Pass"))+SUMPRODUCT(--ISNUMBER(SEARCH(", "&amp;$B64&amp;", ",", "&amp;'Trang chủ'!$B$7:$B$500&amp;", ")),--('Trang chủ'!$AT$7:$AT$500="Pass"))+SUMPRODUCT(--ISNUMBER(SEARCH(", "&amp;$B64&amp;", ",", "&amp;'Thông báo'!$B$7:$B$500&amp;", ")),--('Thông báo'!$AT$7:$AT$500="Pass"))+SUMPRODUCT(--ISNUMBER(SEARCH(", "&amp;$B64&amp;", ",", "&amp;'Đăng tin &amp; Quản lý tin'!$B$7:$B$500&amp;", ")),--('Đăng tin &amp; Quản lý tin'!$AT$7:$AT$500="Pass"))+SUMPRODUCT(--ISNUMBER(SEARCH(", "&amp;$B64&amp;", ",", "&amp;'Trust &amp; Safety'!$B$7:$B$500&amp;", ")),--('Trust &amp; Safety'!$AT$7:$AT$500="Pass"))+SUMPRODUCT(--ISNUMBER(SEARCH(", "&amp;$B64&amp;", ",", "&amp;'Tài khoản &amp; Hồ sơ'!$B$7:$B$500&amp;", ")),--('Tài khoản &amp; Hồ sơ'!$AT$7:$AT$500="Pass"))</f>
        <v>0</v>
      </c>
      <c r="H64" s="51" t="n">
        <f aca="false">SUMPRODUCT(--ISNUMBER(SEARCH(", "&amp;$B64&amp;", ",", "&amp;'Hoạt động (Đơn của tôi)'!$B$7:$B$500&amp;", ")),--('Hoạt động (Đơn của tôi)'!$AT$7:$AT$500="Fail"))+SUMPRODUCT(--ISNUMBER(SEARCH(", "&amp;$B64&amp;", ",", "&amp;'Ghép nối'!$B$7:$B$500&amp;", ")),--('Ghép nối'!$AT$7:$AT$500="Fail"))+SUMPRODUCT(--ISNUMBER(SEARCH(", "&amp;$B64&amp;", ",", "&amp;'Huỷ đơn - Huỷ nhận đơn'!$B$7:$B$500&amp;", ")),--('Huỷ đơn - Huỷ nhận đơn'!$AT$7:$AT$500="Fail"))+SUMPRODUCT(--ISNUMBER(SEARCH(", "&amp;$B64&amp;", ",", "&amp;'Giao nhận &amp; Theo dõi đơn'!$B$7:$B$500&amp;", ")),--('Giao nhận &amp; Theo dõi đơn'!$AT$7:$AT$500="Fail"))+SUMPRODUCT(--ISNUMBER(SEARCH(", "&amp;$B64&amp;", ",", "&amp;'Bảng tin &amp; Chi tiết tin'!$B$7:$B$500&amp;", ")),--('Bảng tin &amp; Chi tiết tin'!$AT$7:$AT$500="Fail"))+SUMPRODUCT(--ISNUMBER(SEARCH(", "&amp;$B64&amp;", ",", "&amp;'Quà cảm ơn'!$B$7:$B$500&amp;", ")),--('Quà cảm ơn'!$AT$7:$AT$500="Fail"))+SUMPRODUCT(--ISNUMBER(SEARCH(", "&amp;$B64&amp;", ",", "&amp;'Trang chủ'!$B$7:$B$500&amp;", ")),--('Trang chủ'!$AT$7:$AT$500="Fail"))+SUMPRODUCT(--ISNUMBER(SEARCH(", "&amp;$B64&amp;", ",", "&amp;'Thông báo'!$B$7:$B$500&amp;", ")),--('Thông báo'!$AT$7:$AT$500="Fail"))+SUMPRODUCT(--ISNUMBER(SEARCH(", "&amp;$B64&amp;", ",", "&amp;'Đăng tin &amp; Quản lý tin'!$B$7:$B$500&amp;", ")),--('Đăng tin &amp; Quản lý tin'!$AT$7:$AT$500="Fail"))+SUMPRODUCT(--ISNUMBER(SEARCH(", "&amp;$B64&amp;", ",", "&amp;'Trust &amp; Safety'!$B$7:$B$500&amp;", ")),--('Trust &amp; Safety'!$AT$7:$AT$500="Fail"))+SUMPRODUCT(--ISNUMBER(SEARCH(", "&amp;$B64&amp;", ",", "&amp;'Tài khoản &amp; Hồ sơ'!$B$7:$B$500&amp;", ")),--('Tài khoản &amp; Hồ sơ'!$AT$7:$AT$500="Fail"))</f>
        <v>0</v>
      </c>
      <c r="I64" s="51" t="n">
        <f aca="false">SUMPRODUCT(--ISNUMBER(SEARCH(", "&amp;$B64&amp;", ",", "&amp;'Hoạt động (Đơn của tôi)'!$B$7:$B$500&amp;", ")),--('Hoạt động (Đơn của tôi)'!$AT$7:$AT$500="Block"))+SUMPRODUCT(--ISNUMBER(SEARCH(", "&amp;$B64&amp;", ",", "&amp;'Ghép nối'!$B$7:$B$500&amp;", ")),--('Ghép nối'!$AT$7:$AT$500="Block"))+SUMPRODUCT(--ISNUMBER(SEARCH(", "&amp;$B64&amp;", ",", "&amp;'Huỷ đơn - Huỷ nhận đơn'!$B$7:$B$500&amp;", ")),--('Huỷ đơn - Huỷ nhận đơn'!$AT$7:$AT$500="Block"))+SUMPRODUCT(--ISNUMBER(SEARCH(", "&amp;$B64&amp;", ",", "&amp;'Giao nhận &amp; Theo dõi đơn'!$B$7:$B$500&amp;", ")),--('Giao nhận &amp; Theo dõi đơn'!$AT$7:$AT$500="Block"))+SUMPRODUCT(--ISNUMBER(SEARCH(", "&amp;$B64&amp;", ",", "&amp;'Bảng tin &amp; Chi tiết tin'!$B$7:$B$500&amp;", ")),--('Bảng tin &amp; Chi tiết tin'!$AT$7:$AT$500="Block"))+SUMPRODUCT(--ISNUMBER(SEARCH(", "&amp;$B64&amp;", ",", "&amp;'Quà cảm ơn'!$B$7:$B$500&amp;", ")),--('Quà cảm ơn'!$AT$7:$AT$500="Block"))+SUMPRODUCT(--ISNUMBER(SEARCH(", "&amp;$B64&amp;", ",", "&amp;'Trang chủ'!$B$7:$B$500&amp;", ")),--('Trang chủ'!$AT$7:$AT$500="Block"))+SUMPRODUCT(--ISNUMBER(SEARCH(", "&amp;$B64&amp;", ",", "&amp;'Thông báo'!$B$7:$B$500&amp;", ")),--('Thông báo'!$AT$7:$AT$500="Block"))+SUMPRODUCT(--ISNUMBER(SEARCH(", "&amp;$B64&amp;", ",", "&amp;'Đăng tin &amp; Quản lý tin'!$B$7:$B$500&amp;", ")),--('Đăng tin &amp; Quản lý tin'!$AT$7:$AT$500="Block"))+SUMPRODUCT(--ISNUMBER(SEARCH(", "&amp;$B64&amp;", ",", "&amp;'Trust &amp; Safety'!$B$7:$B$500&amp;", ")),--('Trust &amp; Safety'!$AT$7:$AT$500="Block"))+SUMPRODUCT(--ISNUMBER(SEARCH(", "&amp;$B64&amp;", ",", "&amp;'Tài khoản &amp; Hồ sơ'!$B$7:$B$500&amp;", ")),--('Tài khoản &amp; Hồ sơ'!$AT$7:$AT$500="Block"))</f>
        <v>0</v>
      </c>
      <c r="J64" s="51" t="n">
        <f aca="false">SUMPRODUCT(--ISNUMBER(SEARCH(", "&amp;$B64&amp;", ",", "&amp;'Hoạt động (Đơn của tôi)'!$B$7:$B$500&amp;", ")),--('Hoạt động (Đơn của tôi)'!$AT$7:$AT$500="N/A"))+SUMPRODUCT(--ISNUMBER(SEARCH(", "&amp;$B64&amp;", ",", "&amp;'Ghép nối'!$B$7:$B$500&amp;", ")),--('Ghép nối'!$AT$7:$AT$500="N/A"))+SUMPRODUCT(--ISNUMBER(SEARCH(", "&amp;$B64&amp;", ",", "&amp;'Huỷ đơn - Huỷ nhận đơn'!$B$7:$B$500&amp;", ")),--('Huỷ đơn - Huỷ nhận đơn'!$AT$7:$AT$500="N/A"))+SUMPRODUCT(--ISNUMBER(SEARCH(", "&amp;$B64&amp;", ",", "&amp;'Giao nhận &amp; Theo dõi đơn'!$B$7:$B$500&amp;", ")),--('Giao nhận &amp; Theo dõi đơn'!$AT$7:$AT$500="N/A"))+SUMPRODUCT(--ISNUMBER(SEARCH(", "&amp;$B64&amp;", ",", "&amp;'Bảng tin &amp; Chi tiết tin'!$B$7:$B$500&amp;", ")),--('Bảng tin &amp; Chi tiết tin'!$AT$7:$AT$500="N/A"))+SUMPRODUCT(--ISNUMBER(SEARCH(", "&amp;$B64&amp;", ",", "&amp;'Quà cảm ơn'!$B$7:$B$500&amp;", ")),--('Quà cảm ơn'!$AT$7:$AT$500="N/A"))+SUMPRODUCT(--ISNUMBER(SEARCH(", "&amp;$B64&amp;", ",", "&amp;'Trang chủ'!$B$7:$B$500&amp;", ")),--('Trang chủ'!$AT$7:$AT$500="N/A"))+SUMPRODUCT(--ISNUMBER(SEARCH(", "&amp;$B64&amp;", ",", "&amp;'Thông báo'!$B$7:$B$500&amp;", ")),--('Thông báo'!$AT$7:$AT$500="N/A"))+SUMPRODUCT(--ISNUMBER(SEARCH(", "&amp;$B64&amp;", ",", "&amp;'Đăng tin &amp; Quản lý tin'!$B$7:$B$500&amp;", ")),--('Đăng tin &amp; Quản lý tin'!$AT$7:$AT$500="N/A"))+SUMPRODUCT(--ISNUMBER(SEARCH(", "&amp;$B64&amp;", ",", "&amp;'Trust &amp; Safety'!$B$7:$B$500&amp;", ")),--('Trust &amp; Safety'!$AT$7:$AT$500="N/A"))+SUMPRODUCT(--ISNUMBER(SEARCH(", "&amp;$B64&amp;", ",", "&amp;'Tài khoản &amp; Hồ sơ'!$B$7:$B$500&amp;", ")),--('Tài khoản &amp; Hồ sơ'!$AT$7:$AT$500="N/A"))</f>
        <v>0</v>
      </c>
      <c r="K64" s="52" t="n">
        <f aca="false">IFERROR(F64/E64,0)</f>
        <v>0</v>
      </c>
      <c r="L64" s="123" t="str">
        <f aca="false">IF(E64=0,"Chưa có TC (gap)",IF(H64&gt;0,"Có lỗi (Fail)",IF(I64&gt;0,"Bị block",IF(F64&lt;E64,"Đang test",IF(G64=0,"Không áp dụng (N/A)","Đã test xong")))))</f>
        <v>Đang test</v>
      </c>
      <c r="AB64" s="1" t="s">
        <v>444</v>
      </c>
    </row>
    <row r="65" customFormat="false" ht="15.75" hidden="false" customHeight="true" outlineLevel="0" collapsed="false">
      <c r="B65" s="175" t="s">
        <v>589</v>
      </c>
      <c r="C65" s="176" t="s">
        <v>590</v>
      </c>
      <c r="D65" s="123" t="s">
        <v>591</v>
      </c>
      <c r="E65" s="51" t="n">
        <f aca="false">SUMPRODUCT(--ISNUMBER(SEARCH(", "&amp;$B65&amp;", ",", "&amp;'Hoạt động (Đơn của tôi)'!$B$7:$B$500&amp;", ")))+SUMPRODUCT(--ISNUMBER(SEARCH(", "&amp;$B65&amp;", ",", "&amp;'Ghép nối'!$B$7:$B$500&amp;", ")))+SUMPRODUCT(--ISNUMBER(SEARCH(", "&amp;$B65&amp;", ",", "&amp;'Huỷ đơn - Huỷ nhận đơn'!$B$7:$B$500&amp;", ")))+SUMPRODUCT(--ISNUMBER(SEARCH(", "&amp;$B65&amp;", ",", "&amp;'Giao nhận &amp; Theo dõi đơn'!$B$7:$B$500&amp;", ")))+SUMPRODUCT(--ISNUMBER(SEARCH(", "&amp;$B65&amp;", ",", "&amp;'Bảng tin &amp; Chi tiết tin'!$B$7:$B$500&amp;", ")))+SUMPRODUCT(--ISNUMBER(SEARCH(", "&amp;$B65&amp;", ",", "&amp;'Quà cảm ơn'!$B$7:$B$500&amp;", ")))+SUMPRODUCT(--ISNUMBER(SEARCH(", "&amp;$B65&amp;", ",", "&amp;'Trang chủ'!$B$7:$B$500&amp;", ")))+SUMPRODUCT(--ISNUMBER(SEARCH(", "&amp;$B65&amp;", ",", "&amp;'Thông báo'!$B$7:$B$500&amp;", ")))+SUMPRODUCT(--ISNUMBER(SEARCH(", "&amp;$B65&amp;", ",", "&amp;'Đăng tin &amp; Quản lý tin'!$B$7:$B$500&amp;", ")))+SUMPRODUCT(--ISNUMBER(SEARCH(", "&amp;$B65&amp;", ",", "&amp;'Trust &amp; Safety'!$B$7:$B$500&amp;", ")))+SUMPRODUCT(--ISNUMBER(SEARCH(", "&amp;$B65&amp;", ",", "&amp;'Tài khoản &amp; Hồ sơ'!$B$7:$B$500&amp;", ")))</f>
        <v>5</v>
      </c>
      <c r="F65" s="51" t="n">
        <f aca="false">SUMPRODUCT(--ISNUMBER(SEARCH(", "&amp;$B65&amp;", ",", "&amp;'Hoạt động (Đơn của tôi)'!$B$7:$B$500&amp;", ")),--('Hoạt động (Đơn của tôi)'!$AT$7:$AT$500&lt;&gt;""))+SUMPRODUCT(--ISNUMBER(SEARCH(", "&amp;$B65&amp;", ",", "&amp;'Ghép nối'!$B$7:$B$500&amp;", ")),--('Ghép nối'!$AT$7:$AT$500&lt;&gt;""))+SUMPRODUCT(--ISNUMBER(SEARCH(", "&amp;$B65&amp;", ",", "&amp;'Huỷ đơn - Huỷ nhận đơn'!$B$7:$B$500&amp;", ")),--('Huỷ đơn - Huỷ nhận đơn'!$AT$7:$AT$500&lt;&gt;""))+SUMPRODUCT(--ISNUMBER(SEARCH(", "&amp;$B65&amp;", ",", "&amp;'Giao nhận &amp; Theo dõi đơn'!$B$7:$B$500&amp;", ")),--('Giao nhận &amp; Theo dõi đơn'!$AT$7:$AT$500&lt;&gt;""))+SUMPRODUCT(--ISNUMBER(SEARCH(", "&amp;$B65&amp;", ",", "&amp;'Bảng tin &amp; Chi tiết tin'!$B$7:$B$500&amp;", ")),--('Bảng tin &amp; Chi tiết tin'!$AT$7:$AT$500&lt;&gt;""))+SUMPRODUCT(--ISNUMBER(SEARCH(", "&amp;$B65&amp;", ",", "&amp;'Quà cảm ơn'!$B$7:$B$500&amp;", ")),--('Quà cảm ơn'!$AT$7:$AT$500&lt;&gt;""))+SUMPRODUCT(--ISNUMBER(SEARCH(", "&amp;$B65&amp;", ",", "&amp;'Trang chủ'!$B$7:$B$500&amp;", ")),--('Trang chủ'!$AT$7:$AT$500&lt;&gt;""))+SUMPRODUCT(--ISNUMBER(SEARCH(", "&amp;$B65&amp;", ",", "&amp;'Thông báo'!$B$7:$B$500&amp;", ")),--('Thông báo'!$AT$7:$AT$500&lt;&gt;""))+SUMPRODUCT(--ISNUMBER(SEARCH(", "&amp;$B65&amp;", ",", "&amp;'Đăng tin &amp; Quản lý tin'!$B$7:$B$500&amp;", ")),--('Đăng tin &amp; Quản lý tin'!$AT$7:$AT$500&lt;&gt;""))+SUMPRODUCT(--ISNUMBER(SEARCH(", "&amp;$B65&amp;", ",", "&amp;'Trust &amp; Safety'!$B$7:$B$500&amp;", ")),--('Trust &amp; Safety'!$AT$7:$AT$500&lt;&gt;""))+SUMPRODUCT(--ISNUMBER(SEARCH(", "&amp;$B65&amp;", ",", "&amp;'Tài khoản &amp; Hồ sơ'!$B$7:$B$500&amp;", ")),--('Tài khoản &amp; Hồ sơ'!$AT$7:$AT$500&lt;&gt;""))</f>
        <v>0</v>
      </c>
      <c r="G65" s="51" t="n">
        <f aca="false">SUMPRODUCT(--ISNUMBER(SEARCH(", "&amp;$B65&amp;", ",", "&amp;'Hoạt động (Đơn của tôi)'!$B$7:$B$500&amp;", ")),--('Hoạt động (Đơn của tôi)'!$AT$7:$AT$500="Pass"))+SUMPRODUCT(--ISNUMBER(SEARCH(", "&amp;$B65&amp;", ",", "&amp;'Ghép nối'!$B$7:$B$500&amp;", ")),--('Ghép nối'!$AT$7:$AT$500="Pass"))+SUMPRODUCT(--ISNUMBER(SEARCH(", "&amp;$B65&amp;", ",", "&amp;'Huỷ đơn - Huỷ nhận đơn'!$B$7:$B$500&amp;", ")),--('Huỷ đơn - Huỷ nhận đơn'!$AT$7:$AT$500="Pass"))+SUMPRODUCT(--ISNUMBER(SEARCH(", "&amp;$B65&amp;", ",", "&amp;'Giao nhận &amp; Theo dõi đơn'!$B$7:$B$500&amp;", ")),--('Giao nhận &amp; Theo dõi đơn'!$AT$7:$AT$500="Pass"))+SUMPRODUCT(--ISNUMBER(SEARCH(", "&amp;$B65&amp;", ",", "&amp;'Bảng tin &amp; Chi tiết tin'!$B$7:$B$500&amp;", ")),--('Bảng tin &amp; Chi tiết tin'!$AT$7:$AT$500="Pass"))+SUMPRODUCT(--ISNUMBER(SEARCH(", "&amp;$B65&amp;", ",", "&amp;'Quà cảm ơn'!$B$7:$B$500&amp;", ")),--('Quà cảm ơn'!$AT$7:$AT$500="Pass"))+SUMPRODUCT(--ISNUMBER(SEARCH(", "&amp;$B65&amp;", ",", "&amp;'Trang chủ'!$B$7:$B$500&amp;", ")),--('Trang chủ'!$AT$7:$AT$500="Pass"))+SUMPRODUCT(--ISNUMBER(SEARCH(", "&amp;$B65&amp;", ",", "&amp;'Thông báo'!$B$7:$B$500&amp;", ")),--('Thông báo'!$AT$7:$AT$500="Pass"))+SUMPRODUCT(--ISNUMBER(SEARCH(", "&amp;$B65&amp;", ",", "&amp;'Đăng tin &amp; Quản lý tin'!$B$7:$B$500&amp;", ")),--('Đăng tin &amp; Quản lý tin'!$AT$7:$AT$500="Pass"))+SUMPRODUCT(--ISNUMBER(SEARCH(", "&amp;$B65&amp;", ",", "&amp;'Trust &amp; Safety'!$B$7:$B$500&amp;", ")),--('Trust &amp; Safety'!$AT$7:$AT$500="Pass"))+SUMPRODUCT(--ISNUMBER(SEARCH(", "&amp;$B65&amp;", ",", "&amp;'Tài khoản &amp; Hồ sơ'!$B$7:$B$500&amp;", ")),--('Tài khoản &amp; Hồ sơ'!$AT$7:$AT$500="Pass"))</f>
        <v>0</v>
      </c>
      <c r="H65" s="51" t="n">
        <f aca="false">SUMPRODUCT(--ISNUMBER(SEARCH(", "&amp;$B65&amp;", ",", "&amp;'Hoạt động (Đơn của tôi)'!$B$7:$B$500&amp;", ")),--('Hoạt động (Đơn của tôi)'!$AT$7:$AT$500="Fail"))+SUMPRODUCT(--ISNUMBER(SEARCH(", "&amp;$B65&amp;", ",", "&amp;'Ghép nối'!$B$7:$B$500&amp;", ")),--('Ghép nối'!$AT$7:$AT$500="Fail"))+SUMPRODUCT(--ISNUMBER(SEARCH(", "&amp;$B65&amp;", ",", "&amp;'Huỷ đơn - Huỷ nhận đơn'!$B$7:$B$500&amp;", ")),--('Huỷ đơn - Huỷ nhận đơn'!$AT$7:$AT$500="Fail"))+SUMPRODUCT(--ISNUMBER(SEARCH(", "&amp;$B65&amp;", ",", "&amp;'Giao nhận &amp; Theo dõi đơn'!$B$7:$B$500&amp;", ")),--('Giao nhận &amp; Theo dõi đơn'!$AT$7:$AT$500="Fail"))+SUMPRODUCT(--ISNUMBER(SEARCH(", "&amp;$B65&amp;", ",", "&amp;'Bảng tin &amp; Chi tiết tin'!$B$7:$B$500&amp;", ")),--('Bảng tin &amp; Chi tiết tin'!$AT$7:$AT$500="Fail"))+SUMPRODUCT(--ISNUMBER(SEARCH(", "&amp;$B65&amp;", ",", "&amp;'Quà cảm ơn'!$B$7:$B$500&amp;", ")),--('Quà cảm ơn'!$AT$7:$AT$500="Fail"))+SUMPRODUCT(--ISNUMBER(SEARCH(", "&amp;$B65&amp;", ",", "&amp;'Trang chủ'!$B$7:$B$500&amp;", ")),--('Trang chủ'!$AT$7:$AT$500="Fail"))+SUMPRODUCT(--ISNUMBER(SEARCH(", "&amp;$B65&amp;", ",", "&amp;'Thông báo'!$B$7:$B$500&amp;", ")),--('Thông báo'!$AT$7:$AT$500="Fail"))+SUMPRODUCT(--ISNUMBER(SEARCH(", "&amp;$B65&amp;", ",", "&amp;'Đăng tin &amp; Quản lý tin'!$B$7:$B$500&amp;", ")),--('Đăng tin &amp; Quản lý tin'!$AT$7:$AT$500="Fail"))+SUMPRODUCT(--ISNUMBER(SEARCH(", "&amp;$B65&amp;", ",", "&amp;'Trust &amp; Safety'!$B$7:$B$500&amp;", ")),--('Trust &amp; Safety'!$AT$7:$AT$500="Fail"))+SUMPRODUCT(--ISNUMBER(SEARCH(", "&amp;$B65&amp;", ",", "&amp;'Tài khoản &amp; Hồ sơ'!$B$7:$B$500&amp;", ")),--('Tài khoản &amp; Hồ sơ'!$AT$7:$AT$500="Fail"))</f>
        <v>0</v>
      </c>
      <c r="I65" s="51" t="n">
        <f aca="false">SUMPRODUCT(--ISNUMBER(SEARCH(", "&amp;$B65&amp;", ",", "&amp;'Hoạt động (Đơn của tôi)'!$B$7:$B$500&amp;", ")),--('Hoạt động (Đơn của tôi)'!$AT$7:$AT$500="Block"))+SUMPRODUCT(--ISNUMBER(SEARCH(", "&amp;$B65&amp;", ",", "&amp;'Ghép nối'!$B$7:$B$500&amp;", ")),--('Ghép nối'!$AT$7:$AT$500="Block"))+SUMPRODUCT(--ISNUMBER(SEARCH(", "&amp;$B65&amp;", ",", "&amp;'Huỷ đơn - Huỷ nhận đơn'!$B$7:$B$500&amp;", ")),--('Huỷ đơn - Huỷ nhận đơn'!$AT$7:$AT$500="Block"))+SUMPRODUCT(--ISNUMBER(SEARCH(", "&amp;$B65&amp;", ",", "&amp;'Giao nhận &amp; Theo dõi đơn'!$B$7:$B$500&amp;", ")),--('Giao nhận &amp; Theo dõi đơn'!$AT$7:$AT$500="Block"))+SUMPRODUCT(--ISNUMBER(SEARCH(", "&amp;$B65&amp;", ",", "&amp;'Bảng tin &amp; Chi tiết tin'!$B$7:$B$500&amp;", ")),--('Bảng tin &amp; Chi tiết tin'!$AT$7:$AT$500="Block"))+SUMPRODUCT(--ISNUMBER(SEARCH(", "&amp;$B65&amp;", ",", "&amp;'Quà cảm ơn'!$B$7:$B$500&amp;", ")),--('Quà cảm ơn'!$AT$7:$AT$500="Block"))+SUMPRODUCT(--ISNUMBER(SEARCH(", "&amp;$B65&amp;", ",", "&amp;'Trang chủ'!$B$7:$B$500&amp;", ")),--('Trang chủ'!$AT$7:$AT$500="Block"))+SUMPRODUCT(--ISNUMBER(SEARCH(", "&amp;$B65&amp;", ",", "&amp;'Thông báo'!$B$7:$B$500&amp;", ")),--('Thông báo'!$AT$7:$AT$500="Block"))+SUMPRODUCT(--ISNUMBER(SEARCH(", "&amp;$B65&amp;", ",", "&amp;'Đăng tin &amp; Quản lý tin'!$B$7:$B$500&amp;", ")),--('Đăng tin &amp; Quản lý tin'!$AT$7:$AT$500="Block"))+SUMPRODUCT(--ISNUMBER(SEARCH(", "&amp;$B65&amp;", ",", "&amp;'Trust &amp; Safety'!$B$7:$B$500&amp;", ")),--('Trust &amp; Safety'!$AT$7:$AT$500="Block"))+SUMPRODUCT(--ISNUMBER(SEARCH(", "&amp;$B65&amp;", ",", "&amp;'Tài khoản &amp; Hồ sơ'!$B$7:$B$500&amp;", ")),--('Tài khoản &amp; Hồ sơ'!$AT$7:$AT$500="Block"))</f>
        <v>0</v>
      </c>
      <c r="J65" s="51" t="n">
        <f aca="false">SUMPRODUCT(--ISNUMBER(SEARCH(", "&amp;$B65&amp;", ",", "&amp;'Hoạt động (Đơn của tôi)'!$B$7:$B$500&amp;", ")),--('Hoạt động (Đơn của tôi)'!$AT$7:$AT$500="N/A"))+SUMPRODUCT(--ISNUMBER(SEARCH(", "&amp;$B65&amp;", ",", "&amp;'Ghép nối'!$B$7:$B$500&amp;", ")),--('Ghép nối'!$AT$7:$AT$500="N/A"))+SUMPRODUCT(--ISNUMBER(SEARCH(", "&amp;$B65&amp;", ",", "&amp;'Huỷ đơn - Huỷ nhận đơn'!$B$7:$B$500&amp;", ")),--('Huỷ đơn - Huỷ nhận đơn'!$AT$7:$AT$500="N/A"))+SUMPRODUCT(--ISNUMBER(SEARCH(", "&amp;$B65&amp;", ",", "&amp;'Giao nhận &amp; Theo dõi đơn'!$B$7:$B$500&amp;", ")),--('Giao nhận &amp; Theo dõi đơn'!$AT$7:$AT$500="N/A"))+SUMPRODUCT(--ISNUMBER(SEARCH(", "&amp;$B65&amp;", ",", "&amp;'Bảng tin &amp; Chi tiết tin'!$B$7:$B$500&amp;", ")),--('Bảng tin &amp; Chi tiết tin'!$AT$7:$AT$500="N/A"))+SUMPRODUCT(--ISNUMBER(SEARCH(", "&amp;$B65&amp;", ",", "&amp;'Quà cảm ơn'!$B$7:$B$500&amp;", ")),--('Quà cảm ơn'!$AT$7:$AT$500="N/A"))+SUMPRODUCT(--ISNUMBER(SEARCH(", "&amp;$B65&amp;", ",", "&amp;'Trang chủ'!$B$7:$B$500&amp;", ")),--('Trang chủ'!$AT$7:$AT$500="N/A"))+SUMPRODUCT(--ISNUMBER(SEARCH(", "&amp;$B65&amp;", ",", "&amp;'Thông báo'!$B$7:$B$500&amp;", ")),--('Thông báo'!$AT$7:$AT$500="N/A"))+SUMPRODUCT(--ISNUMBER(SEARCH(", "&amp;$B65&amp;", ",", "&amp;'Đăng tin &amp; Quản lý tin'!$B$7:$B$500&amp;", ")),--('Đăng tin &amp; Quản lý tin'!$AT$7:$AT$500="N/A"))+SUMPRODUCT(--ISNUMBER(SEARCH(", "&amp;$B65&amp;", ",", "&amp;'Trust &amp; Safety'!$B$7:$B$500&amp;", ")),--('Trust &amp; Safety'!$AT$7:$AT$500="N/A"))+SUMPRODUCT(--ISNUMBER(SEARCH(", "&amp;$B65&amp;", ",", "&amp;'Tài khoản &amp; Hồ sơ'!$B$7:$B$500&amp;", ")),--('Tài khoản &amp; Hồ sơ'!$AT$7:$AT$500="N/A"))</f>
        <v>0</v>
      </c>
      <c r="K65" s="52" t="n">
        <f aca="false">IFERROR(F65/E65,0)</f>
        <v>0</v>
      </c>
      <c r="L65" s="123" t="str">
        <f aca="false">IF(E65=0,"Chưa có TC (gap)",IF(H65&gt;0,"Có lỗi (Fail)",IF(I65&gt;0,"Bị block",IF(F65&lt;E65,"Đang test",IF(G65=0,"Không áp dụng (N/A)","Đã test xong")))))</f>
        <v>Đang test</v>
      </c>
      <c r="AB65" s="1" t="s">
        <v>444</v>
      </c>
    </row>
    <row r="66" customFormat="false" ht="15.75" hidden="false" customHeight="true" outlineLevel="0" collapsed="false">
      <c r="B66" s="175" t="s">
        <v>592</v>
      </c>
      <c r="C66" s="176" t="s">
        <v>593</v>
      </c>
      <c r="D66" s="123" t="s">
        <v>594</v>
      </c>
      <c r="E66" s="51" t="n">
        <f aca="false">SUMPRODUCT(--ISNUMBER(SEARCH(", "&amp;$B66&amp;", ",", "&amp;'Hoạt động (Đơn của tôi)'!$B$7:$B$500&amp;", ")))+SUMPRODUCT(--ISNUMBER(SEARCH(", "&amp;$B66&amp;", ",", "&amp;'Ghép nối'!$B$7:$B$500&amp;", ")))+SUMPRODUCT(--ISNUMBER(SEARCH(", "&amp;$B66&amp;", ",", "&amp;'Huỷ đơn - Huỷ nhận đơn'!$B$7:$B$500&amp;", ")))+SUMPRODUCT(--ISNUMBER(SEARCH(", "&amp;$B66&amp;", ",", "&amp;'Giao nhận &amp; Theo dõi đơn'!$B$7:$B$500&amp;", ")))+SUMPRODUCT(--ISNUMBER(SEARCH(", "&amp;$B66&amp;", ",", "&amp;'Bảng tin &amp; Chi tiết tin'!$B$7:$B$500&amp;", ")))+SUMPRODUCT(--ISNUMBER(SEARCH(", "&amp;$B66&amp;", ",", "&amp;'Quà cảm ơn'!$B$7:$B$500&amp;", ")))+SUMPRODUCT(--ISNUMBER(SEARCH(", "&amp;$B66&amp;", ",", "&amp;'Trang chủ'!$B$7:$B$500&amp;", ")))+SUMPRODUCT(--ISNUMBER(SEARCH(", "&amp;$B66&amp;", ",", "&amp;'Thông báo'!$B$7:$B$500&amp;", ")))+SUMPRODUCT(--ISNUMBER(SEARCH(", "&amp;$B66&amp;", ",", "&amp;'Đăng tin &amp; Quản lý tin'!$B$7:$B$500&amp;", ")))+SUMPRODUCT(--ISNUMBER(SEARCH(", "&amp;$B66&amp;", ",", "&amp;'Trust &amp; Safety'!$B$7:$B$500&amp;", ")))+SUMPRODUCT(--ISNUMBER(SEARCH(", "&amp;$B66&amp;", ",", "&amp;'Tài khoản &amp; Hồ sơ'!$B$7:$B$500&amp;", ")))</f>
        <v>4</v>
      </c>
      <c r="F66" s="51" t="n">
        <f aca="false">SUMPRODUCT(--ISNUMBER(SEARCH(", "&amp;$B66&amp;", ",", "&amp;'Hoạt động (Đơn của tôi)'!$B$7:$B$500&amp;", ")),--('Hoạt động (Đơn của tôi)'!$AT$7:$AT$500&lt;&gt;""))+SUMPRODUCT(--ISNUMBER(SEARCH(", "&amp;$B66&amp;", ",", "&amp;'Ghép nối'!$B$7:$B$500&amp;", ")),--('Ghép nối'!$AT$7:$AT$500&lt;&gt;""))+SUMPRODUCT(--ISNUMBER(SEARCH(", "&amp;$B66&amp;", ",", "&amp;'Huỷ đơn - Huỷ nhận đơn'!$B$7:$B$500&amp;", ")),--('Huỷ đơn - Huỷ nhận đơn'!$AT$7:$AT$500&lt;&gt;""))+SUMPRODUCT(--ISNUMBER(SEARCH(", "&amp;$B66&amp;", ",", "&amp;'Giao nhận &amp; Theo dõi đơn'!$B$7:$B$500&amp;", ")),--('Giao nhận &amp; Theo dõi đơn'!$AT$7:$AT$500&lt;&gt;""))+SUMPRODUCT(--ISNUMBER(SEARCH(", "&amp;$B66&amp;", ",", "&amp;'Bảng tin &amp; Chi tiết tin'!$B$7:$B$500&amp;", ")),--('Bảng tin &amp; Chi tiết tin'!$AT$7:$AT$500&lt;&gt;""))+SUMPRODUCT(--ISNUMBER(SEARCH(", "&amp;$B66&amp;", ",", "&amp;'Quà cảm ơn'!$B$7:$B$500&amp;", ")),--('Quà cảm ơn'!$AT$7:$AT$500&lt;&gt;""))+SUMPRODUCT(--ISNUMBER(SEARCH(", "&amp;$B66&amp;", ",", "&amp;'Trang chủ'!$B$7:$B$500&amp;", ")),--('Trang chủ'!$AT$7:$AT$500&lt;&gt;""))+SUMPRODUCT(--ISNUMBER(SEARCH(", "&amp;$B66&amp;", ",", "&amp;'Thông báo'!$B$7:$B$500&amp;", ")),--('Thông báo'!$AT$7:$AT$500&lt;&gt;""))+SUMPRODUCT(--ISNUMBER(SEARCH(", "&amp;$B66&amp;", ",", "&amp;'Đăng tin &amp; Quản lý tin'!$B$7:$B$500&amp;", ")),--('Đăng tin &amp; Quản lý tin'!$AT$7:$AT$500&lt;&gt;""))+SUMPRODUCT(--ISNUMBER(SEARCH(", "&amp;$B66&amp;", ",", "&amp;'Trust &amp; Safety'!$B$7:$B$500&amp;", ")),--('Trust &amp; Safety'!$AT$7:$AT$500&lt;&gt;""))+SUMPRODUCT(--ISNUMBER(SEARCH(", "&amp;$B66&amp;", ",", "&amp;'Tài khoản &amp; Hồ sơ'!$B$7:$B$500&amp;", ")),--('Tài khoản &amp; Hồ sơ'!$AT$7:$AT$500&lt;&gt;""))</f>
        <v>0</v>
      </c>
      <c r="G66" s="51" t="n">
        <f aca="false">SUMPRODUCT(--ISNUMBER(SEARCH(", "&amp;$B66&amp;", ",", "&amp;'Hoạt động (Đơn của tôi)'!$B$7:$B$500&amp;", ")),--('Hoạt động (Đơn của tôi)'!$AT$7:$AT$500="Pass"))+SUMPRODUCT(--ISNUMBER(SEARCH(", "&amp;$B66&amp;", ",", "&amp;'Ghép nối'!$B$7:$B$500&amp;", ")),--('Ghép nối'!$AT$7:$AT$500="Pass"))+SUMPRODUCT(--ISNUMBER(SEARCH(", "&amp;$B66&amp;", ",", "&amp;'Huỷ đơn - Huỷ nhận đơn'!$B$7:$B$500&amp;", ")),--('Huỷ đơn - Huỷ nhận đơn'!$AT$7:$AT$500="Pass"))+SUMPRODUCT(--ISNUMBER(SEARCH(", "&amp;$B66&amp;", ",", "&amp;'Giao nhận &amp; Theo dõi đơn'!$B$7:$B$500&amp;", ")),--('Giao nhận &amp; Theo dõi đơn'!$AT$7:$AT$500="Pass"))+SUMPRODUCT(--ISNUMBER(SEARCH(", "&amp;$B66&amp;", ",", "&amp;'Bảng tin &amp; Chi tiết tin'!$B$7:$B$500&amp;", ")),--('Bảng tin &amp; Chi tiết tin'!$AT$7:$AT$500="Pass"))+SUMPRODUCT(--ISNUMBER(SEARCH(", "&amp;$B66&amp;", ",", "&amp;'Quà cảm ơn'!$B$7:$B$500&amp;", ")),--('Quà cảm ơn'!$AT$7:$AT$500="Pass"))+SUMPRODUCT(--ISNUMBER(SEARCH(", "&amp;$B66&amp;", ",", "&amp;'Trang chủ'!$B$7:$B$500&amp;", ")),--('Trang chủ'!$AT$7:$AT$500="Pass"))+SUMPRODUCT(--ISNUMBER(SEARCH(", "&amp;$B66&amp;", ",", "&amp;'Thông báo'!$B$7:$B$500&amp;", ")),--('Thông báo'!$AT$7:$AT$500="Pass"))+SUMPRODUCT(--ISNUMBER(SEARCH(", "&amp;$B66&amp;", ",", "&amp;'Đăng tin &amp; Quản lý tin'!$B$7:$B$500&amp;", ")),--('Đăng tin &amp; Quản lý tin'!$AT$7:$AT$500="Pass"))+SUMPRODUCT(--ISNUMBER(SEARCH(", "&amp;$B66&amp;", ",", "&amp;'Trust &amp; Safety'!$B$7:$B$500&amp;", ")),--('Trust &amp; Safety'!$AT$7:$AT$500="Pass"))+SUMPRODUCT(--ISNUMBER(SEARCH(", "&amp;$B66&amp;", ",", "&amp;'Tài khoản &amp; Hồ sơ'!$B$7:$B$500&amp;", ")),--('Tài khoản &amp; Hồ sơ'!$AT$7:$AT$500="Pass"))</f>
        <v>0</v>
      </c>
      <c r="H66" s="51" t="n">
        <f aca="false">SUMPRODUCT(--ISNUMBER(SEARCH(", "&amp;$B66&amp;", ",", "&amp;'Hoạt động (Đơn của tôi)'!$B$7:$B$500&amp;", ")),--('Hoạt động (Đơn của tôi)'!$AT$7:$AT$500="Fail"))+SUMPRODUCT(--ISNUMBER(SEARCH(", "&amp;$B66&amp;", ",", "&amp;'Ghép nối'!$B$7:$B$500&amp;", ")),--('Ghép nối'!$AT$7:$AT$500="Fail"))+SUMPRODUCT(--ISNUMBER(SEARCH(", "&amp;$B66&amp;", ",", "&amp;'Huỷ đơn - Huỷ nhận đơn'!$B$7:$B$500&amp;", ")),--('Huỷ đơn - Huỷ nhận đơn'!$AT$7:$AT$500="Fail"))+SUMPRODUCT(--ISNUMBER(SEARCH(", "&amp;$B66&amp;", ",", "&amp;'Giao nhận &amp; Theo dõi đơn'!$B$7:$B$500&amp;", ")),--('Giao nhận &amp; Theo dõi đơn'!$AT$7:$AT$500="Fail"))+SUMPRODUCT(--ISNUMBER(SEARCH(", "&amp;$B66&amp;", ",", "&amp;'Bảng tin &amp; Chi tiết tin'!$B$7:$B$500&amp;", ")),--('Bảng tin &amp; Chi tiết tin'!$AT$7:$AT$500="Fail"))+SUMPRODUCT(--ISNUMBER(SEARCH(", "&amp;$B66&amp;", ",", "&amp;'Quà cảm ơn'!$B$7:$B$500&amp;", ")),--('Quà cảm ơn'!$AT$7:$AT$500="Fail"))+SUMPRODUCT(--ISNUMBER(SEARCH(", "&amp;$B66&amp;", ",", "&amp;'Trang chủ'!$B$7:$B$500&amp;", ")),--('Trang chủ'!$AT$7:$AT$500="Fail"))+SUMPRODUCT(--ISNUMBER(SEARCH(", "&amp;$B66&amp;", ",", "&amp;'Thông báo'!$B$7:$B$500&amp;", ")),--('Thông báo'!$AT$7:$AT$500="Fail"))+SUMPRODUCT(--ISNUMBER(SEARCH(", "&amp;$B66&amp;", ",", "&amp;'Đăng tin &amp; Quản lý tin'!$B$7:$B$500&amp;", ")),--('Đăng tin &amp; Quản lý tin'!$AT$7:$AT$500="Fail"))+SUMPRODUCT(--ISNUMBER(SEARCH(", "&amp;$B66&amp;", ",", "&amp;'Trust &amp; Safety'!$B$7:$B$500&amp;", ")),--('Trust &amp; Safety'!$AT$7:$AT$500="Fail"))+SUMPRODUCT(--ISNUMBER(SEARCH(", "&amp;$B66&amp;", ",", "&amp;'Tài khoản &amp; Hồ sơ'!$B$7:$B$500&amp;", ")),--('Tài khoản &amp; Hồ sơ'!$AT$7:$AT$500="Fail"))</f>
        <v>0</v>
      </c>
      <c r="I66" s="51" t="n">
        <f aca="false">SUMPRODUCT(--ISNUMBER(SEARCH(", "&amp;$B66&amp;", ",", "&amp;'Hoạt động (Đơn của tôi)'!$B$7:$B$500&amp;", ")),--('Hoạt động (Đơn của tôi)'!$AT$7:$AT$500="Block"))+SUMPRODUCT(--ISNUMBER(SEARCH(", "&amp;$B66&amp;", ",", "&amp;'Ghép nối'!$B$7:$B$500&amp;", ")),--('Ghép nối'!$AT$7:$AT$500="Block"))+SUMPRODUCT(--ISNUMBER(SEARCH(", "&amp;$B66&amp;", ",", "&amp;'Huỷ đơn - Huỷ nhận đơn'!$B$7:$B$500&amp;", ")),--('Huỷ đơn - Huỷ nhận đơn'!$AT$7:$AT$500="Block"))+SUMPRODUCT(--ISNUMBER(SEARCH(", "&amp;$B66&amp;", ",", "&amp;'Giao nhận &amp; Theo dõi đơn'!$B$7:$B$500&amp;", ")),--('Giao nhận &amp; Theo dõi đơn'!$AT$7:$AT$500="Block"))+SUMPRODUCT(--ISNUMBER(SEARCH(", "&amp;$B66&amp;", ",", "&amp;'Bảng tin &amp; Chi tiết tin'!$B$7:$B$500&amp;", ")),--('Bảng tin &amp; Chi tiết tin'!$AT$7:$AT$500="Block"))+SUMPRODUCT(--ISNUMBER(SEARCH(", "&amp;$B66&amp;", ",", "&amp;'Quà cảm ơn'!$B$7:$B$500&amp;", ")),--('Quà cảm ơn'!$AT$7:$AT$500="Block"))+SUMPRODUCT(--ISNUMBER(SEARCH(", "&amp;$B66&amp;", ",", "&amp;'Trang chủ'!$B$7:$B$500&amp;", ")),--('Trang chủ'!$AT$7:$AT$500="Block"))+SUMPRODUCT(--ISNUMBER(SEARCH(", "&amp;$B66&amp;", ",", "&amp;'Thông báo'!$B$7:$B$500&amp;", ")),--('Thông báo'!$AT$7:$AT$500="Block"))+SUMPRODUCT(--ISNUMBER(SEARCH(", "&amp;$B66&amp;", ",", "&amp;'Đăng tin &amp; Quản lý tin'!$B$7:$B$500&amp;", ")),--('Đăng tin &amp; Quản lý tin'!$AT$7:$AT$500="Block"))+SUMPRODUCT(--ISNUMBER(SEARCH(", "&amp;$B66&amp;", ",", "&amp;'Trust &amp; Safety'!$B$7:$B$500&amp;", ")),--('Trust &amp; Safety'!$AT$7:$AT$500="Block"))+SUMPRODUCT(--ISNUMBER(SEARCH(", "&amp;$B66&amp;", ",", "&amp;'Tài khoản &amp; Hồ sơ'!$B$7:$B$500&amp;", ")),--('Tài khoản &amp; Hồ sơ'!$AT$7:$AT$500="Block"))</f>
        <v>0</v>
      </c>
      <c r="J66" s="51" t="n">
        <f aca="false">SUMPRODUCT(--ISNUMBER(SEARCH(", "&amp;$B66&amp;", ",", "&amp;'Hoạt động (Đơn của tôi)'!$B$7:$B$500&amp;", ")),--('Hoạt động (Đơn của tôi)'!$AT$7:$AT$500="N/A"))+SUMPRODUCT(--ISNUMBER(SEARCH(", "&amp;$B66&amp;", ",", "&amp;'Ghép nối'!$B$7:$B$500&amp;", ")),--('Ghép nối'!$AT$7:$AT$500="N/A"))+SUMPRODUCT(--ISNUMBER(SEARCH(", "&amp;$B66&amp;", ",", "&amp;'Huỷ đơn - Huỷ nhận đơn'!$B$7:$B$500&amp;", ")),--('Huỷ đơn - Huỷ nhận đơn'!$AT$7:$AT$500="N/A"))+SUMPRODUCT(--ISNUMBER(SEARCH(", "&amp;$B66&amp;", ",", "&amp;'Giao nhận &amp; Theo dõi đơn'!$B$7:$B$500&amp;", ")),--('Giao nhận &amp; Theo dõi đơn'!$AT$7:$AT$500="N/A"))+SUMPRODUCT(--ISNUMBER(SEARCH(", "&amp;$B66&amp;", ",", "&amp;'Bảng tin &amp; Chi tiết tin'!$B$7:$B$500&amp;", ")),--('Bảng tin &amp; Chi tiết tin'!$AT$7:$AT$500="N/A"))+SUMPRODUCT(--ISNUMBER(SEARCH(", "&amp;$B66&amp;", ",", "&amp;'Quà cảm ơn'!$B$7:$B$500&amp;", ")),--('Quà cảm ơn'!$AT$7:$AT$500="N/A"))+SUMPRODUCT(--ISNUMBER(SEARCH(", "&amp;$B66&amp;", ",", "&amp;'Trang chủ'!$B$7:$B$500&amp;", ")),--('Trang chủ'!$AT$7:$AT$500="N/A"))+SUMPRODUCT(--ISNUMBER(SEARCH(", "&amp;$B66&amp;", ",", "&amp;'Thông báo'!$B$7:$B$500&amp;", ")),--('Thông báo'!$AT$7:$AT$500="N/A"))+SUMPRODUCT(--ISNUMBER(SEARCH(", "&amp;$B66&amp;", ",", "&amp;'Đăng tin &amp; Quản lý tin'!$B$7:$B$500&amp;", ")),--('Đăng tin &amp; Quản lý tin'!$AT$7:$AT$500="N/A"))+SUMPRODUCT(--ISNUMBER(SEARCH(", "&amp;$B66&amp;", ",", "&amp;'Trust &amp; Safety'!$B$7:$B$500&amp;", ")),--('Trust &amp; Safety'!$AT$7:$AT$500="N/A"))+SUMPRODUCT(--ISNUMBER(SEARCH(", "&amp;$B66&amp;", ",", "&amp;'Tài khoản &amp; Hồ sơ'!$B$7:$B$500&amp;", ")),--('Tài khoản &amp; Hồ sơ'!$AT$7:$AT$500="N/A"))</f>
        <v>0</v>
      </c>
      <c r="K66" s="52" t="n">
        <f aca="false">IFERROR(F66/E66,0)</f>
        <v>0</v>
      </c>
      <c r="L66" s="123" t="str">
        <f aca="false">IF(E66=0,"Chưa có TC (gap)",IF(H66&gt;0,"Có lỗi (Fail)",IF(I66&gt;0,"Bị block",IF(F66&lt;E66,"Đang test",IF(G66=0,"Không áp dụng (N/A)","Đã test xong")))))</f>
        <v>Đang test</v>
      </c>
      <c r="AB66" s="1" t="s">
        <v>444</v>
      </c>
    </row>
    <row r="67" customFormat="false" ht="15.75" hidden="false" customHeight="true" outlineLevel="0" collapsed="false">
      <c r="B67" s="175" t="s">
        <v>595</v>
      </c>
      <c r="C67" s="176" t="s">
        <v>596</v>
      </c>
      <c r="D67" s="123" t="s">
        <v>597</v>
      </c>
      <c r="E67" s="51" t="n">
        <f aca="false">SUMPRODUCT(--ISNUMBER(SEARCH(", "&amp;$B67&amp;", ",", "&amp;'Hoạt động (Đơn của tôi)'!$B$7:$B$500&amp;", ")))+SUMPRODUCT(--ISNUMBER(SEARCH(", "&amp;$B67&amp;", ",", "&amp;'Ghép nối'!$B$7:$B$500&amp;", ")))+SUMPRODUCT(--ISNUMBER(SEARCH(", "&amp;$B67&amp;", ",", "&amp;'Huỷ đơn - Huỷ nhận đơn'!$B$7:$B$500&amp;", ")))+SUMPRODUCT(--ISNUMBER(SEARCH(", "&amp;$B67&amp;", ",", "&amp;'Giao nhận &amp; Theo dõi đơn'!$B$7:$B$500&amp;", ")))+SUMPRODUCT(--ISNUMBER(SEARCH(", "&amp;$B67&amp;", ",", "&amp;'Bảng tin &amp; Chi tiết tin'!$B$7:$B$500&amp;", ")))+SUMPRODUCT(--ISNUMBER(SEARCH(", "&amp;$B67&amp;", ",", "&amp;'Quà cảm ơn'!$B$7:$B$500&amp;", ")))+SUMPRODUCT(--ISNUMBER(SEARCH(", "&amp;$B67&amp;", ",", "&amp;'Trang chủ'!$B$7:$B$500&amp;", ")))+SUMPRODUCT(--ISNUMBER(SEARCH(", "&amp;$B67&amp;", ",", "&amp;'Thông báo'!$B$7:$B$500&amp;", ")))+SUMPRODUCT(--ISNUMBER(SEARCH(", "&amp;$B67&amp;", ",", "&amp;'Đăng tin &amp; Quản lý tin'!$B$7:$B$500&amp;", ")))+SUMPRODUCT(--ISNUMBER(SEARCH(", "&amp;$B67&amp;", ",", "&amp;'Trust &amp; Safety'!$B$7:$B$500&amp;", ")))+SUMPRODUCT(--ISNUMBER(SEARCH(", "&amp;$B67&amp;", ",", "&amp;'Tài khoản &amp; Hồ sơ'!$B$7:$B$500&amp;", ")))</f>
        <v>2</v>
      </c>
      <c r="F67" s="51" t="n">
        <f aca="false">SUMPRODUCT(--ISNUMBER(SEARCH(", "&amp;$B67&amp;", ",", "&amp;'Hoạt động (Đơn của tôi)'!$B$7:$B$500&amp;", ")),--('Hoạt động (Đơn của tôi)'!$AT$7:$AT$500&lt;&gt;""))+SUMPRODUCT(--ISNUMBER(SEARCH(", "&amp;$B67&amp;", ",", "&amp;'Ghép nối'!$B$7:$B$500&amp;", ")),--('Ghép nối'!$AT$7:$AT$500&lt;&gt;""))+SUMPRODUCT(--ISNUMBER(SEARCH(", "&amp;$B67&amp;", ",", "&amp;'Huỷ đơn - Huỷ nhận đơn'!$B$7:$B$500&amp;", ")),--('Huỷ đơn - Huỷ nhận đơn'!$AT$7:$AT$500&lt;&gt;""))+SUMPRODUCT(--ISNUMBER(SEARCH(", "&amp;$B67&amp;", ",", "&amp;'Giao nhận &amp; Theo dõi đơn'!$B$7:$B$500&amp;", ")),--('Giao nhận &amp; Theo dõi đơn'!$AT$7:$AT$500&lt;&gt;""))+SUMPRODUCT(--ISNUMBER(SEARCH(", "&amp;$B67&amp;", ",", "&amp;'Bảng tin &amp; Chi tiết tin'!$B$7:$B$500&amp;", ")),--('Bảng tin &amp; Chi tiết tin'!$AT$7:$AT$500&lt;&gt;""))+SUMPRODUCT(--ISNUMBER(SEARCH(", "&amp;$B67&amp;", ",", "&amp;'Quà cảm ơn'!$B$7:$B$500&amp;", ")),--('Quà cảm ơn'!$AT$7:$AT$500&lt;&gt;""))+SUMPRODUCT(--ISNUMBER(SEARCH(", "&amp;$B67&amp;", ",", "&amp;'Trang chủ'!$B$7:$B$500&amp;", ")),--('Trang chủ'!$AT$7:$AT$500&lt;&gt;""))+SUMPRODUCT(--ISNUMBER(SEARCH(", "&amp;$B67&amp;", ",", "&amp;'Thông báo'!$B$7:$B$500&amp;", ")),--('Thông báo'!$AT$7:$AT$500&lt;&gt;""))+SUMPRODUCT(--ISNUMBER(SEARCH(", "&amp;$B67&amp;", ",", "&amp;'Đăng tin &amp; Quản lý tin'!$B$7:$B$500&amp;", ")),--('Đăng tin &amp; Quản lý tin'!$AT$7:$AT$500&lt;&gt;""))+SUMPRODUCT(--ISNUMBER(SEARCH(", "&amp;$B67&amp;", ",", "&amp;'Trust &amp; Safety'!$B$7:$B$500&amp;", ")),--('Trust &amp; Safety'!$AT$7:$AT$500&lt;&gt;""))+SUMPRODUCT(--ISNUMBER(SEARCH(", "&amp;$B67&amp;", ",", "&amp;'Tài khoản &amp; Hồ sơ'!$B$7:$B$500&amp;", ")),--('Tài khoản &amp; Hồ sơ'!$AT$7:$AT$500&lt;&gt;""))</f>
        <v>0</v>
      </c>
      <c r="G67" s="51" t="n">
        <f aca="false">SUMPRODUCT(--ISNUMBER(SEARCH(", "&amp;$B67&amp;", ",", "&amp;'Hoạt động (Đơn của tôi)'!$B$7:$B$500&amp;", ")),--('Hoạt động (Đơn của tôi)'!$AT$7:$AT$500="Pass"))+SUMPRODUCT(--ISNUMBER(SEARCH(", "&amp;$B67&amp;", ",", "&amp;'Ghép nối'!$B$7:$B$500&amp;", ")),--('Ghép nối'!$AT$7:$AT$500="Pass"))+SUMPRODUCT(--ISNUMBER(SEARCH(", "&amp;$B67&amp;", ",", "&amp;'Huỷ đơn - Huỷ nhận đơn'!$B$7:$B$500&amp;", ")),--('Huỷ đơn - Huỷ nhận đơn'!$AT$7:$AT$500="Pass"))+SUMPRODUCT(--ISNUMBER(SEARCH(", "&amp;$B67&amp;", ",", "&amp;'Giao nhận &amp; Theo dõi đơn'!$B$7:$B$500&amp;", ")),--('Giao nhận &amp; Theo dõi đơn'!$AT$7:$AT$500="Pass"))+SUMPRODUCT(--ISNUMBER(SEARCH(", "&amp;$B67&amp;", ",", "&amp;'Bảng tin &amp; Chi tiết tin'!$B$7:$B$500&amp;", ")),--('Bảng tin &amp; Chi tiết tin'!$AT$7:$AT$500="Pass"))+SUMPRODUCT(--ISNUMBER(SEARCH(", "&amp;$B67&amp;", ",", "&amp;'Quà cảm ơn'!$B$7:$B$500&amp;", ")),--('Quà cảm ơn'!$AT$7:$AT$500="Pass"))+SUMPRODUCT(--ISNUMBER(SEARCH(", "&amp;$B67&amp;", ",", "&amp;'Trang chủ'!$B$7:$B$500&amp;", ")),--('Trang chủ'!$AT$7:$AT$500="Pass"))+SUMPRODUCT(--ISNUMBER(SEARCH(", "&amp;$B67&amp;", ",", "&amp;'Thông báo'!$B$7:$B$500&amp;", ")),--('Thông báo'!$AT$7:$AT$500="Pass"))+SUMPRODUCT(--ISNUMBER(SEARCH(", "&amp;$B67&amp;", ",", "&amp;'Đăng tin &amp; Quản lý tin'!$B$7:$B$500&amp;", ")),--('Đăng tin &amp; Quản lý tin'!$AT$7:$AT$500="Pass"))+SUMPRODUCT(--ISNUMBER(SEARCH(", "&amp;$B67&amp;", ",", "&amp;'Trust &amp; Safety'!$B$7:$B$500&amp;", ")),--('Trust &amp; Safety'!$AT$7:$AT$500="Pass"))+SUMPRODUCT(--ISNUMBER(SEARCH(", "&amp;$B67&amp;", ",", "&amp;'Tài khoản &amp; Hồ sơ'!$B$7:$B$500&amp;", ")),--('Tài khoản &amp; Hồ sơ'!$AT$7:$AT$500="Pass"))</f>
        <v>0</v>
      </c>
      <c r="H67" s="51" t="n">
        <f aca="false">SUMPRODUCT(--ISNUMBER(SEARCH(", "&amp;$B67&amp;", ",", "&amp;'Hoạt động (Đơn của tôi)'!$B$7:$B$500&amp;", ")),--('Hoạt động (Đơn của tôi)'!$AT$7:$AT$500="Fail"))+SUMPRODUCT(--ISNUMBER(SEARCH(", "&amp;$B67&amp;", ",", "&amp;'Ghép nối'!$B$7:$B$500&amp;", ")),--('Ghép nối'!$AT$7:$AT$500="Fail"))+SUMPRODUCT(--ISNUMBER(SEARCH(", "&amp;$B67&amp;", ",", "&amp;'Huỷ đơn - Huỷ nhận đơn'!$B$7:$B$500&amp;", ")),--('Huỷ đơn - Huỷ nhận đơn'!$AT$7:$AT$500="Fail"))+SUMPRODUCT(--ISNUMBER(SEARCH(", "&amp;$B67&amp;", ",", "&amp;'Giao nhận &amp; Theo dõi đơn'!$B$7:$B$500&amp;", ")),--('Giao nhận &amp; Theo dõi đơn'!$AT$7:$AT$500="Fail"))+SUMPRODUCT(--ISNUMBER(SEARCH(", "&amp;$B67&amp;", ",", "&amp;'Bảng tin &amp; Chi tiết tin'!$B$7:$B$500&amp;", ")),--('Bảng tin &amp; Chi tiết tin'!$AT$7:$AT$500="Fail"))+SUMPRODUCT(--ISNUMBER(SEARCH(", "&amp;$B67&amp;", ",", "&amp;'Quà cảm ơn'!$B$7:$B$500&amp;", ")),--('Quà cảm ơn'!$AT$7:$AT$500="Fail"))+SUMPRODUCT(--ISNUMBER(SEARCH(", "&amp;$B67&amp;", ",", "&amp;'Trang chủ'!$B$7:$B$500&amp;", ")),--('Trang chủ'!$AT$7:$AT$500="Fail"))+SUMPRODUCT(--ISNUMBER(SEARCH(", "&amp;$B67&amp;", ",", "&amp;'Thông báo'!$B$7:$B$500&amp;", ")),--('Thông báo'!$AT$7:$AT$500="Fail"))+SUMPRODUCT(--ISNUMBER(SEARCH(", "&amp;$B67&amp;", ",", "&amp;'Đăng tin &amp; Quản lý tin'!$B$7:$B$500&amp;", ")),--('Đăng tin &amp; Quản lý tin'!$AT$7:$AT$500="Fail"))+SUMPRODUCT(--ISNUMBER(SEARCH(", "&amp;$B67&amp;", ",", "&amp;'Trust &amp; Safety'!$B$7:$B$500&amp;", ")),--('Trust &amp; Safety'!$AT$7:$AT$500="Fail"))+SUMPRODUCT(--ISNUMBER(SEARCH(", "&amp;$B67&amp;", ",", "&amp;'Tài khoản &amp; Hồ sơ'!$B$7:$B$500&amp;", ")),--('Tài khoản &amp; Hồ sơ'!$AT$7:$AT$500="Fail"))</f>
        <v>0</v>
      </c>
      <c r="I67" s="51" t="n">
        <f aca="false">SUMPRODUCT(--ISNUMBER(SEARCH(", "&amp;$B67&amp;", ",", "&amp;'Hoạt động (Đơn của tôi)'!$B$7:$B$500&amp;", ")),--('Hoạt động (Đơn của tôi)'!$AT$7:$AT$500="Block"))+SUMPRODUCT(--ISNUMBER(SEARCH(", "&amp;$B67&amp;", ",", "&amp;'Ghép nối'!$B$7:$B$500&amp;", ")),--('Ghép nối'!$AT$7:$AT$500="Block"))+SUMPRODUCT(--ISNUMBER(SEARCH(", "&amp;$B67&amp;", ",", "&amp;'Huỷ đơn - Huỷ nhận đơn'!$B$7:$B$500&amp;", ")),--('Huỷ đơn - Huỷ nhận đơn'!$AT$7:$AT$500="Block"))+SUMPRODUCT(--ISNUMBER(SEARCH(", "&amp;$B67&amp;", ",", "&amp;'Giao nhận &amp; Theo dõi đơn'!$B$7:$B$500&amp;", ")),--('Giao nhận &amp; Theo dõi đơn'!$AT$7:$AT$500="Block"))+SUMPRODUCT(--ISNUMBER(SEARCH(", "&amp;$B67&amp;", ",", "&amp;'Bảng tin &amp; Chi tiết tin'!$B$7:$B$500&amp;", ")),--('Bảng tin &amp; Chi tiết tin'!$AT$7:$AT$500="Block"))+SUMPRODUCT(--ISNUMBER(SEARCH(", "&amp;$B67&amp;", ",", "&amp;'Quà cảm ơn'!$B$7:$B$500&amp;", ")),--('Quà cảm ơn'!$AT$7:$AT$500="Block"))+SUMPRODUCT(--ISNUMBER(SEARCH(", "&amp;$B67&amp;", ",", "&amp;'Trang chủ'!$B$7:$B$500&amp;", ")),--('Trang chủ'!$AT$7:$AT$500="Block"))+SUMPRODUCT(--ISNUMBER(SEARCH(", "&amp;$B67&amp;", ",", "&amp;'Thông báo'!$B$7:$B$500&amp;", ")),--('Thông báo'!$AT$7:$AT$500="Block"))+SUMPRODUCT(--ISNUMBER(SEARCH(", "&amp;$B67&amp;", ",", "&amp;'Đăng tin &amp; Quản lý tin'!$B$7:$B$500&amp;", ")),--('Đăng tin &amp; Quản lý tin'!$AT$7:$AT$500="Block"))+SUMPRODUCT(--ISNUMBER(SEARCH(", "&amp;$B67&amp;", ",", "&amp;'Trust &amp; Safety'!$B$7:$B$500&amp;", ")),--('Trust &amp; Safety'!$AT$7:$AT$500="Block"))+SUMPRODUCT(--ISNUMBER(SEARCH(", "&amp;$B67&amp;", ",", "&amp;'Tài khoản &amp; Hồ sơ'!$B$7:$B$500&amp;", ")),--('Tài khoản &amp; Hồ sơ'!$AT$7:$AT$500="Block"))</f>
        <v>0</v>
      </c>
      <c r="J67" s="51" t="n">
        <f aca="false">SUMPRODUCT(--ISNUMBER(SEARCH(", "&amp;$B67&amp;", ",", "&amp;'Hoạt động (Đơn của tôi)'!$B$7:$B$500&amp;", ")),--('Hoạt động (Đơn của tôi)'!$AT$7:$AT$500="N/A"))+SUMPRODUCT(--ISNUMBER(SEARCH(", "&amp;$B67&amp;", ",", "&amp;'Ghép nối'!$B$7:$B$500&amp;", ")),--('Ghép nối'!$AT$7:$AT$500="N/A"))+SUMPRODUCT(--ISNUMBER(SEARCH(", "&amp;$B67&amp;", ",", "&amp;'Huỷ đơn - Huỷ nhận đơn'!$B$7:$B$500&amp;", ")),--('Huỷ đơn - Huỷ nhận đơn'!$AT$7:$AT$500="N/A"))+SUMPRODUCT(--ISNUMBER(SEARCH(", "&amp;$B67&amp;", ",", "&amp;'Giao nhận &amp; Theo dõi đơn'!$B$7:$B$500&amp;", ")),--('Giao nhận &amp; Theo dõi đơn'!$AT$7:$AT$500="N/A"))+SUMPRODUCT(--ISNUMBER(SEARCH(", "&amp;$B67&amp;", ",", "&amp;'Bảng tin &amp; Chi tiết tin'!$B$7:$B$500&amp;", ")),--('Bảng tin &amp; Chi tiết tin'!$AT$7:$AT$500="N/A"))+SUMPRODUCT(--ISNUMBER(SEARCH(", "&amp;$B67&amp;", ",", "&amp;'Quà cảm ơn'!$B$7:$B$500&amp;", ")),--('Quà cảm ơn'!$AT$7:$AT$500="N/A"))+SUMPRODUCT(--ISNUMBER(SEARCH(", "&amp;$B67&amp;", ",", "&amp;'Trang chủ'!$B$7:$B$500&amp;", ")),--('Trang chủ'!$AT$7:$AT$500="N/A"))+SUMPRODUCT(--ISNUMBER(SEARCH(", "&amp;$B67&amp;", ",", "&amp;'Thông báo'!$B$7:$B$500&amp;", ")),--('Thông báo'!$AT$7:$AT$500="N/A"))+SUMPRODUCT(--ISNUMBER(SEARCH(", "&amp;$B67&amp;", ",", "&amp;'Đăng tin &amp; Quản lý tin'!$B$7:$B$500&amp;", ")),--('Đăng tin &amp; Quản lý tin'!$AT$7:$AT$500="N/A"))+SUMPRODUCT(--ISNUMBER(SEARCH(", "&amp;$B67&amp;", ",", "&amp;'Trust &amp; Safety'!$B$7:$B$500&amp;", ")),--('Trust &amp; Safety'!$AT$7:$AT$500="N/A"))+SUMPRODUCT(--ISNUMBER(SEARCH(", "&amp;$B67&amp;", ",", "&amp;'Tài khoản &amp; Hồ sơ'!$B$7:$B$500&amp;", ")),--('Tài khoản &amp; Hồ sơ'!$AT$7:$AT$500="N/A"))</f>
        <v>0</v>
      </c>
      <c r="K67" s="52" t="n">
        <f aca="false">IFERROR(F67/E67,0)</f>
        <v>0</v>
      </c>
      <c r="L67" s="123" t="str">
        <f aca="false">IF(E67=0,"Chưa có TC (gap)",IF(H67&gt;0,"Có lỗi (Fail)",IF(I67&gt;0,"Bị block",IF(F67&lt;E67,"Đang test",IF(G67=0,"Không áp dụng (N/A)","Đã test xong")))))</f>
        <v>Đang test</v>
      </c>
      <c r="AB67" s="1" t="s">
        <v>444</v>
      </c>
    </row>
    <row r="68" customFormat="false" ht="15.75" hidden="false" customHeight="true" outlineLevel="0" collapsed="false">
      <c r="B68" s="175" t="s">
        <v>598</v>
      </c>
      <c r="C68" s="176" t="s">
        <v>599</v>
      </c>
      <c r="D68" s="123" t="s">
        <v>600</v>
      </c>
      <c r="E68" s="51" t="n">
        <f aca="false">SUMPRODUCT(--ISNUMBER(SEARCH(", "&amp;$B68&amp;", ",", "&amp;'Hoạt động (Đơn của tôi)'!$B$7:$B$500&amp;", ")))+SUMPRODUCT(--ISNUMBER(SEARCH(", "&amp;$B68&amp;", ",", "&amp;'Ghép nối'!$B$7:$B$500&amp;", ")))+SUMPRODUCT(--ISNUMBER(SEARCH(", "&amp;$B68&amp;", ",", "&amp;'Huỷ đơn - Huỷ nhận đơn'!$B$7:$B$500&amp;", ")))+SUMPRODUCT(--ISNUMBER(SEARCH(", "&amp;$B68&amp;", ",", "&amp;'Giao nhận &amp; Theo dõi đơn'!$B$7:$B$500&amp;", ")))+SUMPRODUCT(--ISNUMBER(SEARCH(", "&amp;$B68&amp;", ",", "&amp;'Bảng tin &amp; Chi tiết tin'!$B$7:$B$500&amp;", ")))+SUMPRODUCT(--ISNUMBER(SEARCH(", "&amp;$B68&amp;", ",", "&amp;'Quà cảm ơn'!$B$7:$B$500&amp;", ")))+SUMPRODUCT(--ISNUMBER(SEARCH(", "&amp;$B68&amp;", ",", "&amp;'Trang chủ'!$B$7:$B$500&amp;", ")))+SUMPRODUCT(--ISNUMBER(SEARCH(", "&amp;$B68&amp;", ",", "&amp;'Thông báo'!$B$7:$B$500&amp;", ")))+SUMPRODUCT(--ISNUMBER(SEARCH(", "&amp;$B68&amp;", ",", "&amp;'Đăng tin &amp; Quản lý tin'!$B$7:$B$500&amp;", ")))+SUMPRODUCT(--ISNUMBER(SEARCH(", "&amp;$B68&amp;", ",", "&amp;'Trust &amp; Safety'!$B$7:$B$500&amp;", ")))+SUMPRODUCT(--ISNUMBER(SEARCH(", "&amp;$B68&amp;", ",", "&amp;'Tài khoản &amp; Hồ sơ'!$B$7:$B$500&amp;", ")))</f>
        <v>1</v>
      </c>
      <c r="F68" s="51" t="n">
        <f aca="false">SUMPRODUCT(--ISNUMBER(SEARCH(", "&amp;$B68&amp;", ",", "&amp;'Hoạt động (Đơn của tôi)'!$B$7:$B$500&amp;", ")),--('Hoạt động (Đơn của tôi)'!$AT$7:$AT$500&lt;&gt;""))+SUMPRODUCT(--ISNUMBER(SEARCH(", "&amp;$B68&amp;", ",", "&amp;'Ghép nối'!$B$7:$B$500&amp;", ")),--('Ghép nối'!$AT$7:$AT$500&lt;&gt;""))+SUMPRODUCT(--ISNUMBER(SEARCH(", "&amp;$B68&amp;", ",", "&amp;'Huỷ đơn - Huỷ nhận đơn'!$B$7:$B$500&amp;", ")),--('Huỷ đơn - Huỷ nhận đơn'!$AT$7:$AT$500&lt;&gt;""))+SUMPRODUCT(--ISNUMBER(SEARCH(", "&amp;$B68&amp;", ",", "&amp;'Giao nhận &amp; Theo dõi đơn'!$B$7:$B$500&amp;", ")),--('Giao nhận &amp; Theo dõi đơn'!$AT$7:$AT$500&lt;&gt;""))+SUMPRODUCT(--ISNUMBER(SEARCH(", "&amp;$B68&amp;", ",", "&amp;'Bảng tin &amp; Chi tiết tin'!$B$7:$B$500&amp;", ")),--('Bảng tin &amp; Chi tiết tin'!$AT$7:$AT$500&lt;&gt;""))+SUMPRODUCT(--ISNUMBER(SEARCH(", "&amp;$B68&amp;", ",", "&amp;'Quà cảm ơn'!$B$7:$B$500&amp;", ")),--('Quà cảm ơn'!$AT$7:$AT$500&lt;&gt;""))+SUMPRODUCT(--ISNUMBER(SEARCH(", "&amp;$B68&amp;", ",", "&amp;'Trang chủ'!$B$7:$B$500&amp;", ")),--('Trang chủ'!$AT$7:$AT$500&lt;&gt;""))+SUMPRODUCT(--ISNUMBER(SEARCH(", "&amp;$B68&amp;", ",", "&amp;'Thông báo'!$B$7:$B$500&amp;", ")),--('Thông báo'!$AT$7:$AT$500&lt;&gt;""))+SUMPRODUCT(--ISNUMBER(SEARCH(", "&amp;$B68&amp;", ",", "&amp;'Đăng tin &amp; Quản lý tin'!$B$7:$B$500&amp;", ")),--('Đăng tin &amp; Quản lý tin'!$AT$7:$AT$500&lt;&gt;""))+SUMPRODUCT(--ISNUMBER(SEARCH(", "&amp;$B68&amp;", ",", "&amp;'Trust &amp; Safety'!$B$7:$B$500&amp;", ")),--('Trust &amp; Safety'!$AT$7:$AT$500&lt;&gt;""))+SUMPRODUCT(--ISNUMBER(SEARCH(", "&amp;$B68&amp;", ",", "&amp;'Tài khoản &amp; Hồ sơ'!$B$7:$B$500&amp;", ")),--('Tài khoản &amp; Hồ sơ'!$AT$7:$AT$500&lt;&gt;""))</f>
        <v>0</v>
      </c>
      <c r="G68" s="51" t="n">
        <f aca="false">SUMPRODUCT(--ISNUMBER(SEARCH(", "&amp;$B68&amp;", ",", "&amp;'Hoạt động (Đơn của tôi)'!$B$7:$B$500&amp;", ")),--('Hoạt động (Đơn của tôi)'!$AT$7:$AT$500="Pass"))+SUMPRODUCT(--ISNUMBER(SEARCH(", "&amp;$B68&amp;", ",", "&amp;'Ghép nối'!$B$7:$B$500&amp;", ")),--('Ghép nối'!$AT$7:$AT$500="Pass"))+SUMPRODUCT(--ISNUMBER(SEARCH(", "&amp;$B68&amp;", ",", "&amp;'Huỷ đơn - Huỷ nhận đơn'!$B$7:$B$500&amp;", ")),--('Huỷ đơn - Huỷ nhận đơn'!$AT$7:$AT$500="Pass"))+SUMPRODUCT(--ISNUMBER(SEARCH(", "&amp;$B68&amp;", ",", "&amp;'Giao nhận &amp; Theo dõi đơn'!$B$7:$B$500&amp;", ")),--('Giao nhận &amp; Theo dõi đơn'!$AT$7:$AT$500="Pass"))+SUMPRODUCT(--ISNUMBER(SEARCH(", "&amp;$B68&amp;", ",", "&amp;'Bảng tin &amp; Chi tiết tin'!$B$7:$B$500&amp;", ")),--('Bảng tin &amp; Chi tiết tin'!$AT$7:$AT$500="Pass"))+SUMPRODUCT(--ISNUMBER(SEARCH(", "&amp;$B68&amp;", ",", "&amp;'Quà cảm ơn'!$B$7:$B$500&amp;", ")),--('Quà cảm ơn'!$AT$7:$AT$500="Pass"))+SUMPRODUCT(--ISNUMBER(SEARCH(", "&amp;$B68&amp;", ",", "&amp;'Trang chủ'!$B$7:$B$500&amp;", ")),--('Trang chủ'!$AT$7:$AT$500="Pass"))+SUMPRODUCT(--ISNUMBER(SEARCH(", "&amp;$B68&amp;", ",", "&amp;'Thông báo'!$B$7:$B$500&amp;", ")),--('Thông báo'!$AT$7:$AT$500="Pass"))+SUMPRODUCT(--ISNUMBER(SEARCH(", "&amp;$B68&amp;", ",", "&amp;'Đăng tin &amp; Quản lý tin'!$B$7:$B$500&amp;", ")),--('Đăng tin &amp; Quản lý tin'!$AT$7:$AT$500="Pass"))+SUMPRODUCT(--ISNUMBER(SEARCH(", "&amp;$B68&amp;", ",", "&amp;'Trust &amp; Safety'!$B$7:$B$500&amp;", ")),--('Trust &amp; Safety'!$AT$7:$AT$500="Pass"))+SUMPRODUCT(--ISNUMBER(SEARCH(", "&amp;$B68&amp;", ",", "&amp;'Tài khoản &amp; Hồ sơ'!$B$7:$B$500&amp;", ")),--('Tài khoản &amp; Hồ sơ'!$AT$7:$AT$500="Pass"))</f>
        <v>0</v>
      </c>
      <c r="H68" s="51" t="n">
        <f aca="false">SUMPRODUCT(--ISNUMBER(SEARCH(", "&amp;$B68&amp;", ",", "&amp;'Hoạt động (Đơn của tôi)'!$B$7:$B$500&amp;", ")),--('Hoạt động (Đơn của tôi)'!$AT$7:$AT$500="Fail"))+SUMPRODUCT(--ISNUMBER(SEARCH(", "&amp;$B68&amp;", ",", "&amp;'Ghép nối'!$B$7:$B$500&amp;", ")),--('Ghép nối'!$AT$7:$AT$500="Fail"))+SUMPRODUCT(--ISNUMBER(SEARCH(", "&amp;$B68&amp;", ",", "&amp;'Huỷ đơn - Huỷ nhận đơn'!$B$7:$B$500&amp;", ")),--('Huỷ đơn - Huỷ nhận đơn'!$AT$7:$AT$500="Fail"))+SUMPRODUCT(--ISNUMBER(SEARCH(", "&amp;$B68&amp;", ",", "&amp;'Giao nhận &amp; Theo dõi đơn'!$B$7:$B$500&amp;", ")),--('Giao nhận &amp; Theo dõi đơn'!$AT$7:$AT$500="Fail"))+SUMPRODUCT(--ISNUMBER(SEARCH(", "&amp;$B68&amp;", ",", "&amp;'Bảng tin &amp; Chi tiết tin'!$B$7:$B$500&amp;", ")),--('Bảng tin &amp; Chi tiết tin'!$AT$7:$AT$500="Fail"))+SUMPRODUCT(--ISNUMBER(SEARCH(", "&amp;$B68&amp;", ",", "&amp;'Quà cảm ơn'!$B$7:$B$500&amp;", ")),--('Quà cảm ơn'!$AT$7:$AT$500="Fail"))+SUMPRODUCT(--ISNUMBER(SEARCH(", "&amp;$B68&amp;", ",", "&amp;'Trang chủ'!$B$7:$B$500&amp;", ")),--('Trang chủ'!$AT$7:$AT$500="Fail"))+SUMPRODUCT(--ISNUMBER(SEARCH(", "&amp;$B68&amp;", ",", "&amp;'Thông báo'!$B$7:$B$500&amp;", ")),--('Thông báo'!$AT$7:$AT$500="Fail"))+SUMPRODUCT(--ISNUMBER(SEARCH(", "&amp;$B68&amp;", ",", "&amp;'Đăng tin &amp; Quản lý tin'!$B$7:$B$500&amp;", ")),--('Đăng tin &amp; Quản lý tin'!$AT$7:$AT$500="Fail"))+SUMPRODUCT(--ISNUMBER(SEARCH(", "&amp;$B68&amp;", ",", "&amp;'Trust &amp; Safety'!$B$7:$B$500&amp;", ")),--('Trust &amp; Safety'!$AT$7:$AT$500="Fail"))+SUMPRODUCT(--ISNUMBER(SEARCH(", "&amp;$B68&amp;", ",", "&amp;'Tài khoản &amp; Hồ sơ'!$B$7:$B$500&amp;", ")),--('Tài khoản &amp; Hồ sơ'!$AT$7:$AT$500="Fail"))</f>
        <v>0</v>
      </c>
      <c r="I68" s="51" t="n">
        <f aca="false">SUMPRODUCT(--ISNUMBER(SEARCH(", "&amp;$B68&amp;", ",", "&amp;'Hoạt động (Đơn của tôi)'!$B$7:$B$500&amp;", ")),--('Hoạt động (Đơn của tôi)'!$AT$7:$AT$500="Block"))+SUMPRODUCT(--ISNUMBER(SEARCH(", "&amp;$B68&amp;", ",", "&amp;'Ghép nối'!$B$7:$B$500&amp;", ")),--('Ghép nối'!$AT$7:$AT$500="Block"))+SUMPRODUCT(--ISNUMBER(SEARCH(", "&amp;$B68&amp;", ",", "&amp;'Huỷ đơn - Huỷ nhận đơn'!$B$7:$B$500&amp;", ")),--('Huỷ đơn - Huỷ nhận đơn'!$AT$7:$AT$500="Block"))+SUMPRODUCT(--ISNUMBER(SEARCH(", "&amp;$B68&amp;", ",", "&amp;'Giao nhận &amp; Theo dõi đơn'!$B$7:$B$500&amp;", ")),--('Giao nhận &amp; Theo dõi đơn'!$AT$7:$AT$500="Block"))+SUMPRODUCT(--ISNUMBER(SEARCH(", "&amp;$B68&amp;", ",", "&amp;'Bảng tin &amp; Chi tiết tin'!$B$7:$B$500&amp;", ")),--('Bảng tin &amp; Chi tiết tin'!$AT$7:$AT$500="Block"))+SUMPRODUCT(--ISNUMBER(SEARCH(", "&amp;$B68&amp;", ",", "&amp;'Quà cảm ơn'!$B$7:$B$500&amp;", ")),--('Quà cảm ơn'!$AT$7:$AT$500="Block"))+SUMPRODUCT(--ISNUMBER(SEARCH(", "&amp;$B68&amp;", ",", "&amp;'Trang chủ'!$B$7:$B$500&amp;", ")),--('Trang chủ'!$AT$7:$AT$500="Block"))+SUMPRODUCT(--ISNUMBER(SEARCH(", "&amp;$B68&amp;", ",", "&amp;'Thông báo'!$B$7:$B$500&amp;", ")),--('Thông báo'!$AT$7:$AT$500="Block"))+SUMPRODUCT(--ISNUMBER(SEARCH(", "&amp;$B68&amp;", ",", "&amp;'Đăng tin &amp; Quản lý tin'!$B$7:$B$500&amp;", ")),--('Đăng tin &amp; Quản lý tin'!$AT$7:$AT$500="Block"))+SUMPRODUCT(--ISNUMBER(SEARCH(", "&amp;$B68&amp;", ",", "&amp;'Trust &amp; Safety'!$B$7:$B$500&amp;", ")),--('Trust &amp; Safety'!$AT$7:$AT$500="Block"))+SUMPRODUCT(--ISNUMBER(SEARCH(", "&amp;$B68&amp;", ",", "&amp;'Tài khoản &amp; Hồ sơ'!$B$7:$B$500&amp;", ")),--('Tài khoản &amp; Hồ sơ'!$AT$7:$AT$500="Block"))</f>
        <v>0</v>
      </c>
      <c r="J68" s="51" t="n">
        <f aca="false">SUMPRODUCT(--ISNUMBER(SEARCH(", "&amp;$B68&amp;", ",", "&amp;'Hoạt động (Đơn của tôi)'!$B$7:$B$500&amp;", ")),--('Hoạt động (Đơn của tôi)'!$AT$7:$AT$500="N/A"))+SUMPRODUCT(--ISNUMBER(SEARCH(", "&amp;$B68&amp;", ",", "&amp;'Ghép nối'!$B$7:$B$500&amp;", ")),--('Ghép nối'!$AT$7:$AT$500="N/A"))+SUMPRODUCT(--ISNUMBER(SEARCH(", "&amp;$B68&amp;", ",", "&amp;'Huỷ đơn - Huỷ nhận đơn'!$B$7:$B$500&amp;", ")),--('Huỷ đơn - Huỷ nhận đơn'!$AT$7:$AT$500="N/A"))+SUMPRODUCT(--ISNUMBER(SEARCH(", "&amp;$B68&amp;", ",", "&amp;'Giao nhận &amp; Theo dõi đơn'!$B$7:$B$500&amp;", ")),--('Giao nhận &amp; Theo dõi đơn'!$AT$7:$AT$500="N/A"))+SUMPRODUCT(--ISNUMBER(SEARCH(", "&amp;$B68&amp;", ",", "&amp;'Bảng tin &amp; Chi tiết tin'!$B$7:$B$500&amp;", ")),--('Bảng tin &amp; Chi tiết tin'!$AT$7:$AT$500="N/A"))+SUMPRODUCT(--ISNUMBER(SEARCH(", "&amp;$B68&amp;", ",", "&amp;'Quà cảm ơn'!$B$7:$B$500&amp;", ")),--('Quà cảm ơn'!$AT$7:$AT$500="N/A"))+SUMPRODUCT(--ISNUMBER(SEARCH(", "&amp;$B68&amp;", ",", "&amp;'Trang chủ'!$B$7:$B$500&amp;", ")),--('Trang chủ'!$AT$7:$AT$500="N/A"))+SUMPRODUCT(--ISNUMBER(SEARCH(", "&amp;$B68&amp;", ",", "&amp;'Thông báo'!$B$7:$B$500&amp;", ")),--('Thông báo'!$AT$7:$AT$500="N/A"))+SUMPRODUCT(--ISNUMBER(SEARCH(", "&amp;$B68&amp;", ",", "&amp;'Đăng tin &amp; Quản lý tin'!$B$7:$B$500&amp;", ")),--('Đăng tin &amp; Quản lý tin'!$AT$7:$AT$500="N/A"))+SUMPRODUCT(--ISNUMBER(SEARCH(", "&amp;$B68&amp;", ",", "&amp;'Trust &amp; Safety'!$B$7:$B$500&amp;", ")),--('Trust &amp; Safety'!$AT$7:$AT$500="N/A"))+SUMPRODUCT(--ISNUMBER(SEARCH(", "&amp;$B68&amp;", ",", "&amp;'Tài khoản &amp; Hồ sơ'!$B$7:$B$500&amp;", ")),--('Tài khoản &amp; Hồ sơ'!$AT$7:$AT$500="N/A"))</f>
        <v>0</v>
      </c>
      <c r="K68" s="52" t="n">
        <f aca="false">IFERROR(F68/E68,0)</f>
        <v>0</v>
      </c>
      <c r="L68" s="123" t="str">
        <f aca="false">IF(E68=0,"Chưa có TC (gap)",IF(H68&gt;0,"Có lỗi (Fail)",IF(I68&gt;0,"Bị block",IF(F68&lt;E68,"Đang test",IF(G68=0,"Không áp dụng (N/A)","Đã test xong")))))</f>
        <v>Đang test</v>
      </c>
      <c r="AB68" s="1" t="s">
        <v>444</v>
      </c>
    </row>
    <row r="69" customFormat="false" ht="15.75" hidden="false" customHeight="true" outlineLevel="0" collapsed="false">
      <c r="B69" s="175" t="s">
        <v>601</v>
      </c>
      <c r="C69" s="176" t="s">
        <v>602</v>
      </c>
      <c r="D69" s="123" t="s">
        <v>603</v>
      </c>
      <c r="E69" s="51" t="n">
        <f aca="false">SUMPRODUCT(--ISNUMBER(SEARCH(", "&amp;$B69&amp;", ",", "&amp;'Hoạt động (Đơn của tôi)'!$B$7:$B$500&amp;", ")))+SUMPRODUCT(--ISNUMBER(SEARCH(", "&amp;$B69&amp;", ",", "&amp;'Ghép nối'!$B$7:$B$500&amp;", ")))+SUMPRODUCT(--ISNUMBER(SEARCH(", "&amp;$B69&amp;", ",", "&amp;'Huỷ đơn - Huỷ nhận đơn'!$B$7:$B$500&amp;", ")))+SUMPRODUCT(--ISNUMBER(SEARCH(", "&amp;$B69&amp;", ",", "&amp;'Giao nhận &amp; Theo dõi đơn'!$B$7:$B$500&amp;", ")))+SUMPRODUCT(--ISNUMBER(SEARCH(", "&amp;$B69&amp;", ",", "&amp;'Bảng tin &amp; Chi tiết tin'!$B$7:$B$500&amp;", ")))+SUMPRODUCT(--ISNUMBER(SEARCH(", "&amp;$B69&amp;", ",", "&amp;'Quà cảm ơn'!$B$7:$B$500&amp;", ")))+SUMPRODUCT(--ISNUMBER(SEARCH(", "&amp;$B69&amp;", ",", "&amp;'Trang chủ'!$B$7:$B$500&amp;", ")))+SUMPRODUCT(--ISNUMBER(SEARCH(", "&amp;$B69&amp;", ",", "&amp;'Thông báo'!$B$7:$B$500&amp;", ")))+SUMPRODUCT(--ISNUMBER(SEARCH(", "&amp;$B69&amp;", ",", "&amp;'Đăng tin &amp; Quản lý tin'!$B$7:$B$500&amp;", ")))+SUMPRODUCT(--ISNUMBER(SEARCH(", "&amp;$B69&amp;", ",", "&amp;'Trust &amp; Safety'!$B$7:$B$500&amp;", ")))+SUMPRODUCT(--ISNUMBER(SEARCH(", "&amp;$B69&amp;", ",", "&amp;'Tài khoản &amp; Hồ sơ'!$B$7:$B$500&amp;", ")))</f>
        <v>2</v>
      </c>
      <c r="F69" s="51" t="n">
        <f aca="false">SUMPRODUCT(--ISNUMBER(SEARCH(", "&amp;$B69&amp;", ",", "&amp;'Hoạt động (Đơn của tôi)'!$B$7:$B$500&amp;", ")),--('Hoạt động (Đơn của tôi)'!$AT$7:$AT$500&lt;&gt;""))+SUMPRODUCT(--ISNUMBER(SEARCH(", "&amp;$B69&amp;", ",", "&amp;'Ghép nối'!$B$7:$B$500&amp;", ")),--('Ghép nối'!$AT$7:$AT$500&lt;&gt;""))+SUMPRODUCT(--ISNUMBER(SEARCH(", "&amp;$B69&amp;", ",", "&amp;'Huỷ đơn - Huỷ nhận đơn'!$B$7:$B$500&amp;", ")),--('Huỷ đơn - Huỷ nhận đơn'!$AT$7:$AT$500&lt;&gt;""))+SUMPRODUCT(--ISNUMBER(SEARCH(", "&amp;$B69&amp;", ",", "&amp;'Giao nhận &amp; Theo dõi đơn'!$B$7:$B$500&amp;", ")),--('Giao nhận &amp; Theo dõi đơn'!$AT$7:$AT$500&lt;&gt;""))+SUMPRODUCT(--ISNUMBER(SEARCH(", "&amp;$B69&amp;", ",", "&amp;'Bảng tin &amp; Chi tiết tin'!$B$7:$B$500&amp;", ")),--('Bảng tin &amp; Chi tiết tin'!$AT$7:$AT$500&lt;&gt;""))+SUMPRODUCT(--ISNUMBER(SEARCH(", "&amp;$B69&amp;", ",", "&amp;'Quà cảm ơn'!$B$7:$B$500&amp;", ")),--('Quà cảm ơn'!$AT$7:$AT$500&lt;&gt;""))+SUMPRODUCT(--ISNUMBER(SEARCH(", "&amp;$B69&amp;", ",", "&amp;'Trang chủ'!$B$7:$B$500&amp;", ")),--('Trang chủ'!$AT$7:$AT$500&lt;&gt;""))+SUMPRODUCT(--ISNUMBER(SEARCH(", "&amp;$B69&amp;", ",", "&amp;'Thông báo'!$B$7:$B$500&amp;", ")),--('Thông báo'!$AT$7:$AT$500&lt;&gt;""))+SUMPRODUCT(--ISNUMBER(SEARCH(", "&amp;$B69&amp;", ",", "&amp;'Đăng tin &amp; Quản lý tin'!$B$7:$B$500&amp;", ")),--('Đăng tin &amp; Quản lý tin'!$AT$7:$AT$500&lt;&gt;""))+SUMPRODUCT(--ISNUMBER(SEARCH(", "&amp;$B69&amp;", ",", "&amp;'Trust &amp; Safety'!$B$7:$B$500&amp;", ")),--('Trust &amp; Safety'!$AT$7:$AT$500&lt;&gt;""))+SUMPRODUCT(--ISNUMBER(SEARCH(", "&amp;$B69&amp;", ",", "&amp;'Tài khoản &amp; Hồ sơ'!$B$7:$B$500&amp;", ")),--('Tài khoản &amp; Hồ sơ'!$AT$7:$AT$500&lt;&gt;""))</f>
        <v>0</v>
      </c>
      <c r="G69" s="51" t="n">
        <f aca="false">SUMPRODUCT(--ISNUMBER(SEARCH(", "&amp;$B69&amp;", ",", "&amp;'Hoạt động (Đơn của tôi)'!$B$7:$B$500&amp;", ")),--('Hoạt động (Đơn của tôi)'!$AT$7:$AT$500="Pass"))+SUMPRODUCT(--ISNUMBER(SEARCH(", "&amp;$B69&amp;", ",", "&amp;'Ghép nối'!$B$7:$B$500&amp;", ")),--('Ghép nối'!$AT$7:$AT$500="Pass"))+SUMPRODUCT(--ISNUMBER(SEARCH(", "&amp;$B69&amp;", ",", "&amp;'Huỷ đơn - Huỷ nhận đơn'!$B$7:$B$500&amp;", ")),--('Huỷ đơn - Huỷ nhận đơn'!$AT$7:$AT$500="Pass"))+SUMPRODUCT(--ISNUMBER(SEARCH(", "&amp;$B69&amp;", ",", "&amp;'Giao nhận &amp; Theo dõi đơn'!$B$7:$B$500&amp;", ")),--('Giao nhận &amp; Theo dõi đơn'!$AT$7:$AT$500="Pass"))+SUMPRODUCT(--ISNUMBER(SEARCH(", "&amp;$B69&amp;", ",", "&amp;'Bảng tin &amp; Chi tiết tin'!$B$7:$B$500&amp;", ")),--('Bảng tin &amp; Chi tiết tin'!$AT$7:$AT$500="Pass"))+SUMPRODUCT(--ISNUMBER(SEARCH(", "&amp;$B69&amp;", ",", "&amp;'Quà cảm ơn'!$B$7:$B$500&amp;", ")),--('Quà cảm ơn'!$AT$7:$AT$500="Pass"))+SUMPRODUCT(--ISNUMBER(SEARCH(", "&amp;$B69&amp;", ",", "&amp;'Trang chủ'!$B$7:$B$500&amp;", ")),--('Trang chủ'!$AT$7:$AT$500="Pass"))+SUMPRODUCT(--ISNUMBER(SEARCH(", "&amp;$B69&amp;", ",", "&amp;'Thông báo'!$B$7:$B$500&amp;", ")),--('Thông báo'!$AT$7:$AT$500="Pass"))+SUMPRODUCT(--ISNUMBER(SEARCH(", "&amp;$B69&amp;", ",", "&amp;'Đăng tin &amp; Quản lý tin'!$B$7:$B$500&amp;", ")),--('Đăng tin &amp; Quản lý tin'!$AT$7:$AT$500="Pass"))+SUMPRODUCT(--ISNUMBER(SEARCH(", "&amp;$B69&amp;", ",", "&amp;'Trust &amp; Safety'!$B$7:$B$500&amp;", ")),--('Trust &amp; Safety'!$AT$7:$AT$500="Pass"))+SUMPRODUCT(--ISNUMBER(SEARCH(", "&amp;$B69&amp;", ",", "&amp;'Tài khoản &amp; Hồ sơ'!$B$7:$B$500&amp;", ")),--('Tài khoản &amp; Hồ sơ'!$AT$7:$AT$500="Pass"))</f>
        <v>0</v>
      </c>
      <c r="H69" s="51" t="n">
        <f aca="false">SUMPRODUCT(--ISNUMBER(SEARCH(", "&amp;$B69&amp;", ",", "&amp;'Hoạt động (Đơn của tôi)'!$B$7:$B$500&amp;", ")),--('Hoạt động (Đơn của tôi)'!$AT$7:$AT$500="Fail"))+SUMPRODUCT(--ISNUMBER(SEARCH(", "&amp;$B69&amp;", ",", "&amp;'Ghép nối'!$B$7:$B$500&amp;", ")),--('Ghép nối'!$AT$7:$AT$500="Fail"))+SUMPRODUCT(--ISNUMBER(SEARCH(", "&amp;$B69&amp;", ",", "&amp;'Huỷ đơn - Huỷ nhận đơn'!$B$7:$B$500&amp;", ")),--('Huỷ đơn - Huỷ nhận đơn'!$AT$7:$AT$500="Fail"))+SUMPRODUCT(--ISNUMBER(SEARCH(", "&amp;$B69&amp;", ",", "&amp;'Giao nhận &amp; Theo dõi đơn'!$B$7:$B$500&amp;", ")),--('Giao nhận &amp; Theo dõi đơn'!$AT$7:$AT$500="Fail"))+SUMPRODUCT(--ISNUMBER(SEARCH(", "&amp;$B69&amp;", ",", "&amp;'Bảng tin &amp; Chi tiết tin'!$B$7:$B$500&amp;", ")),--('Bảng tin &amp; Chi tiết tin'!$AT$7:$AT$500="Fail"))+SUMPRODUCT(--ISNUMBER(SEARCH(", "&amp;$B69&amp;", ",", "&amp;'Quà cảm ơn'!$B$7:$B$500&amp;", ")),--('Quà cảm ơn'!$AT$7:$AT$500="Fail"))+SUMPRODUCT(--ISNUMBER(SEARCH(", "&amp;$B69&amp;", ",", "&amp;'Trang chủ'!$B$7:$B$500&amp;", ")),--('Trang chủ'!$AT$7:$AT$500="Fail"))+SUMPRODUCT(--ISNUMBER(SEARCH(", "&amp;$B69&amp;", ",", "&amp;'Thông báo'!$B$7:$B$500&amp;", ")),--('Thông báo'!$AT$7:$AT$500="Fail"))+SUMPRODUCT(--ISNUMBER(SEARCH(", "&amp;$B69&amp;", ",", "&amp;'Đăng tin &amp; Quản lý tin'!$B$7:$B$500&amp;", ")),--('Đăng tin &amp; Quản lý tin'!$AT$7:$AT$500="Fail"))+SUMPRODUCT(--ISNUMBER(SEARCH(", "&amp;$B69&amp;", ",", "&amp;'Trust &amp; Safety'!$B$7:$B$500&amp;", ")),--('Trust &amp; Safety'!$AT$7:$AT$500="Fail"))+SUMPRODUCT(--ISNUMBER(SEARCH(", "&amp;$B69&amp;", ",", "&amp;'Tài khoản &amp; Hồ sơ'!$B$7:$B$500&amp;", ")),--('Tài khoản &amp; Hồ sơ'!$AT$7:$AT$500="Fail"))</f>
        <v>0</v>
      </c>
      <c r="I69" s="51" t="n">
        <f aca="false">SUMPRODUCT(--ISNUMBER(SEARCH(", "&amp;$B69&amp;", ",", "&amp;'Hoạt động (Đơn của tôi)'!$B$7:$B$500&amp;", ")),--('Hoạt động (Đơn của tôi)'!$AT$7:$AT$500="Block"))+SUMPRODUCT(--ISNUMBER(SEARCH(", "&amp;$B69&amp;", ",", "&amp;'Ghép nối'!$B$7:$B$500&amp;", ")),--('Ghép nối'!$AT$7:$AT$500="Block"))+SUMPRODUCT(--ISNUMBER(SEARCH(", "&amp;$B69&amp;", ",", "&amp;'Huỷ đơn - Huỷ nhận đơn'!$B$7:$B$500&amp;", ")),--('Huỷ đơn - Huỷ nhận đơn'!$AT$7:$AT$500="Block"))+SUMPRODUCT(--ISNUMBER(SEARCH(", "&amp;$B69&amp;", ",", "&amp;'Giao nhận &amp; Theo dõi đơn'!$B$7:$B$500&amp;", ")),--('Giao nhận &amp; Theo dõi đơn'!$AT$7:$AT$500="Block"))+SUMPRODUCT(--ISNUMBER(SEARCH(", "&amp;$B69&amp;", ",", "&amp;'Bảng tin &amp; Chi tiết tin'!$B$7:$B$500&amp;", ")),--('Bảng tin &amp; Chi tiết tin'!$AT$7:$AT$500="Block"))+SUMPRODUCT(--ISNUMBER(SEARCH(", "&amp;$B69&amp;", ",", "&amp;'Quà cảm ơn'!$B$7:$B$500&amp;", ")),--('Quà cảm ơn'!$AT$7:$AT$500="Block"))+SUMPRODUCT(--ISNUMBER(SEARCH(", "&amp;$B69&amp;", ",", "&amp;'Trang chủ'!$B$7:$B$500&amp;", ")),--('Trang chủ'!$AT$7:$AT$500="Block"))+SUMPRODUCT(--ISNUMBER(SEARCH(", "&amp;$B69&amp;", ",", "&amp;'Thông báo'!$B$7:$B$500&amp;", ")),--('Thông báo'!$AT$7:$AT$500="Block"))+SUMPRODUCT(--ISNUMBER(SEARCH(", "&amp;$B69&amp;", ",", "&amp;'Đăng tin &amp; Quản lý tin'!$B$7:$B$500&amp;", ")),--('Đăng tin &amp; Quản lý tin'!$AT$7:$AT$500="Block"))+SUMPRODUCT(--ISNUMBER(SEARCH(", "&amp;$B69&amp;", ",", "&amp;'Trust &amp; Safety'!$B$7:$B$500&amp;", ")),--('Trust &amp; Safety'!$AT$7:$AT$500="Block"))+SUMPRODUCT(--ISNUMBER(SEARCH(", "&amp;$B69&amp;", ",", "&amp;'Tài khoản &amp; Hồ sơ'!$B$7:$B$500&amp;", ")),--('Tài khoản &amp; Hồ sơ'!$AT$7:$AT$500="Block"))</f>
        <v>0</v>
      </c>
      <c r="J69" s="51" t="n">
        <f aca="false">SUMPRODUCT(--ISNUMBER(SEARCH(", "&amp;$B69&amp;", ",", "&amp;'Hoạt động (Đơn của tôi)'!$B$7:$B$500&amp;", ")),--('Hoạt động (Đơn của tôi)'!$AT$7:$AT$500="N/A"))+SUMPRODUCT(--ISNUMBER(SEARCH(", "&amp;$B69&amp;", ",", "&amp;'Ghép nối'!$B$7:$B$500&amp;", ")),--('Ghép nối'!$AT$7:$AT$500="N/A"))+SUMPRODUCT(--ISNUMBER(SEARCH(", "&amp;$B69&amp;", ",", "&amp;'Huỷ đơn - Huỷ nhận đơn'!$B$7:$B$500&amp;", ")),--('Huỷ đơn - Huỷ nhận đơn'!$AT$7:$AT$500="N/A"))+SUMPRODUCT(--ISNUMBER(SEARCH(", "&amp;$B69&amp;", ",", "&amp;'Giao nhận &amp; Theo dõi đơn'!$B$7:$B$500&amp;", ")),--('Giao nhận &amp; Theo dõi đơn'!$AT$7:$AT$500="N/A"))+SUMPRODUCT(--ISNUMBER(SEARCH(", "&amp;$B69&amp;", ",", "&amp;'Bảng tin &amp; Chi tiết tin'!$B$7:$B$500&amp;", ")),--('Bảng tin &amp; Chi tiết tin'!$AT$7:$AT$500="N/A"))+SUMPRODUCT(--ISNUMBER(SEARCH(", "&amp;$B69&amp;", ",", "&amp;'Quà cảm ơn'!$B$7:$B$500&amp;", ")),--('Quà cảm ơn'!$AT$7:$AT$500="N/A"))+SUMPRODUCT(--ISNUMBER(SEARCH(", "&amp;$B69&amp;", ",", "&amp;'Trang chủ'!$B$7:$B$500&amp;", ")),--('Trang chủ'!$AT$7:$AT$500="N/A"))+SUMPRODUCT(--ISNUMBER(SEARCH(", "&amp;$B69&amp;", ",", "&amp;'Thông báo'!$B$7:$B$500&amp;", ")),--('Thông báo'!$AT$7:$AT$500="N/A"))+SUMPRODUCT(--ISNUMBER(SEARCH(", "&amp;$B69&amp;", ",", "&amp;'Đăng tin &amp; Quản lý tin'!$B$7:$B$500&amp;", ")),--('Đăng tin &amp; Quản lý tin'!$AT$7:$AT$500="N/A"))+SUMPRODUCT(--ISNUMBER(SEARCH(", "&amp;$B69&amp;", ",", "&amp;'Trust &amp; Safety'!$B$7:$B$500&amp;", ")),--('Trust &amp; Safety'!$AT$7:$AT$500="N/A"))+SUMPRODUCT(--ISNUMBER(SEARCH(", "&amp;$B69&amp;", ",", "&amp;'Tài khoản &amp; Hồ sơ'!$B$7:$B$500&amp;", ")),--('Tài khoản &amp; Hồ sơ'!$AT$7:$AT$500="N/A"))</f>
        <v>0</v>
      </c>
      <c r="K69" s="52" t="n">
        <f aca="false">IFERROR(F69/E69,0)</f>
        <v>0</v>
      </c>
      <c r="L69" s="123" t="str">
        <f aca="false">IF(E69=0,"Chưa có TC (gap)",IF(H69&gt;0,"Có lỗi (Fail)",IF(I69&gt;0,"Bị block",IF(F69&lt;E69,"Đang test",IF(G69=0,"Không áp dụng (N/A)","Đã test xong")))))</f>
        <v>Đang test</v>
      </c>
      <c r="AB69" s="1" t="s">
        <v>444</v>
      </c>
    </row>
    <row r="70" customFormat="false" ht="15.75" hidden="false" customHeight="true" outlineLevel="0" collapsed="false">
      <c r="B70" s="175" t="s">
        <v>604</v>
      </c>
      <c r="C70" s="176" t="s">
        <v>605</v>
      </c>
      <c r="D70" s="123" t="s">
        <v>606</v>
      </c>
      <c r="E70" s="51" t="n">
        <f aca="false">SUMPRODUCT(--ISNUMBER(SEARCH(", "&amp;$B70&amp;", ",", "&amp;'Hoạt động (Đơn của tôi)'!$B$7:$B$500&amp;", ")))+SUMPRODUCT(--ISNUMBER(SEARCH(", "&amp;$B70&amp;", ",", "&amp;'Ghép nối'!$B$7:$B$500&amp;", ")))+SUMPRODUCT(--ISNUMBER(SEARCH(", "&amp;$B70&amp;", ",", "&amp;'Huỷ đơn - Huỷ nhận đơn'!$B$7:$B$500&amp;", ")))+SUMPRODUCT(--ISNUMBER(SEARCH(", "&amp;$B70&amp;", ",", "&amp;'Giao nhận &amp; Theo dõi đơn'!$B$7:$B$500&amp;", ")))+SUMPRODUCT(--ISNUMBER(SEARCH(", "&amp;$B70&amp;", ",", "&amp;'Bảng tin &amp; Chi tiết tin'!$B$7:$B$500&amp;", ")))+SUMPRODUCT(--ISNUMBER(SEARCH(", "&amp;$B70&amp;", ",", "&amp;'Quà cảm ơn'!$B$7:$B$500&amp;", ")))+SUMPRODUCT(--ISNUMBER(SEARCH(", "&amp;$B70&amp;", ",", "&amp;'Trang chủ'!$B$7:$B$500&amp;", ")))+SUMPRODUCT(--ISNUMBER(SEARCH(", "&amp;$B70&amp;", ",", "&amp;'Thông báo'!$B$7:$B$500&amp;", ")))+SUMPRODUCT(--ISNUMBER(SEARCH(", "&amp;$B70&amp;", ",", "&amp;'Đăng tin &amp; Quản lý tin'!$B$7:$B$500&amp;", ")))+SUMPRODUCT(--ISNUMBER(SEARCH(", "&amp;$B70&amp;", ",", "&amp;'Trust &amp; Safety'!$B$7:$B$500&amp;", ")))+SUMPRODUCT(--ISNUMBER(SEARCH(", "&amp;$B70&amp;", ",", "&amp;'Tài khoản &amp; Hồ sơ'!$B$7:$B$500&amp;", ")))</f>
        <v>2</v>
      </c>
      <c r="F70" s="51" t="n">
        <f aca="false">SUMPRODUCT(--ISNUMBER(SEARCH(", "&amp;$B70&amp;", ",", "&amp;'Hoạt động (Đơn của tôi)'!$B$7:$B$500&amp;", ")),--('Hoạt động (Đơn của tôi)'!$AT$7:$AT$500&lt;&gt;""))+SUMPRODUCT(--ISNUMBER(SEARCH(", "&amp;$B70&amp;", ",", "&amp;'Ghép nối'!$B$7:$B$500&amp;", ")),--('Ghép nối'!$AT$7:$AT$500&lt;&gt;""))+SUMPRODUCT(--ISNUMBER(SEARCH(", "&amp;$B70&amp;", ",", "&amp;'Huỷ đơn - Huỷ nhận đơn'!$B$7:$B$500&amp;", ")),--('Huỷ đơn - Huỷ nhận đơn'!$AT$7:$AT$500&lt;&gt;""))+SUMPRODUCT(--ISNUMBER(SEARCH(", "&amp;$B70&amp;", ",", "&amp;'Giao nhận &amp; Theo dõi đơn'!$B$7:$B$500&amp;", ")),--('Giao nhận &amp; Theo dõi đơn'!$AT$7:$AT$500&lt;&gt;""))+SUMPRODUCT(--ISNUMBER(SEARCH(", "&amp;$B70&amp;", ",", "&amp;'Bảng tin &amp; Chi tiết tin'!$B$7:$B$500&amp;", ")),--('Bảng tin &amp; Chi tiết tin'!$AT$7:$AT$500&lt;&gt;""))+SUMPRODUCT(--ISNUMBER(SEARCH(", "&amp;$B70&amp;", ",", "&amp;'Quà cảm ơn'!$B$7:$B$500&amp;", ")),--('Quà cảm ơn'!$AT$7:$AT$500&lt;&gt;""))+SUMPRODUCT(--ISNUMBER(SEARCH(", "&amp;$B70&amp;", ",", "&amp;'Trang chủ'!$B$7:$B$500&amp;", ")),--('Trang chủ'!$AT$7:$AT$500&lt;&gt;""))+SUMPRODUCT(--ISNUMBER(SEARCH(", "&amp;$B70&amp;", ",", "&amp;'Thông báo'!$B$7:$B$500&amp;", ")),--('Thông báo'!$AT$7:$AT$500&lt;&gt;""))+SUMPRODUCT(--ISNUMBER(SEARCH(", "&amp;$B70&amp;", ",", "&amp;'Đăng tin &amp; Quản lý tin'!$B$7:$B$500&amp;", ")),--('Đăng tin &amp; Quản lý tin'!$AT$7:$AT$500&lt;&gt;""))+SUMPRODUCT(--ISNUMBER(SEARCH(", "&amp;$B70&amp;", ",", "&amp;'Trust &amp; Safety'!$B$7:$B$500&amp;", ")),--('Trust &amp; Safety'!$AT$7:$AT$500&lt;&gt;""))+SUMPRODUCT(--ISNUMBER(SEARCH(", "&amp;$B70&amp;", ",", "&amp;'Tài khoản &amp; Hồ sơ'!$B$7:$B$500&amp;", ")),--('Tài khoản &amp; Hồ sơ'!$AT$7:$AT$500&lt;&gt;""))</f>
        <v>0</v>
      </c>
      <c r="G70" s="51" t="n">
        <f aca="false">SUMPRODUCT(--ISNUMBER(SEARCH(", "&amp;$B70&amp;", ",", "&amp;'Hoạt động (Đơn của tôi)'!$B$7:$B$500&amp;", ")),--('Hoạt động (Đơn của tôi)'!$AT$7:$AT$500="Pass"))+SUMPRODUCT(--ISNUMBER(SEARCH(", "&amp;$B70&amp;", ",", "&amp;'Ghép nối'!$B$7:$B$500&amp;", ")),--('Ghép nối'!$AT$7:$AT$500="Pass"))+SUMPRODUCT(--ISNUMBER(SEARCH(", "&amp;$B70&amp;", ",", "&amp;'Huỷ đơn - Huỷ nhận đơn'!$B$7:$B$500&amp;", ")),--('Huỷ đơn - Huỷ nhận đơn'!$AT$7:$AT$500="Pass"))+SUMPRODUCT(--ISNUMBER(SEARCH(", "&amp;$B70&amp;", ",", "&amp;'Giao nhận &amp; Theo dõi đơn'!$B$7:$B$500&amp;", ")),--('Giao nhận &amp; Theo dõi đơn'!$AT$7:$AT$500="Pass"))+SUMPRODUCT(--ISNUMBER(SEARCH(", "&amp;$B70&amp;", ",", "&amp;'Bảng tin &amp; Chi tiết tin'!$B$7:$B$500&amp;", ")),--('Bảng tin &amp; Chi tiết tin'!$AT$7:$AT$500="Pass"))+SUMPRODUCT(--ISNUMBER(SEARCH(", "&amp;$B70&amp;", ",", "&amp;'Quà cảm ơn'!$B$7:$B$500&amp;", ")),--('Quà cảm ơn'!$AT$7:$AT$500="Pass"))+SUMPRODUCT(--ISNUMBER(SEARCH(", "&amp;$B70&amp;", ",", "&amp;'Trang chủ'!$B$7:$B$500&amp;", ")),--('Trang chủ'!$AT$7:$AT$500="Pass"))+SUMPRODUCT(--ISNUMBER(SEARCH(", "&amp;$B70&amp;", ",", "&amp;'Thông báo'!$B$7:$B$500&amp;", ")),--('Thông báo'!$AT$7:$AT$500="Pass"))+SUMPRODUCT(--ISNUMBER(SEARCH(", "&amp;$B70&amp;", ",", "&amp;'Đăng tin &amp; Quản lý tin'!$B$7:$B$500&amp;", ")),--('Đăng tin &amp; Quản lý tin'!$AT$7:$AT$500="Pass"))+SUMPRODUCT(--ISNUMBER(SEARCH(", "&amp;$B70&amp;", ",", "&amp;'Trust &amp; Safety'!$B$7:$B$500&amp;", ")),--('Trust &amp; Safety'!$AT$7:$AT$500="Pass"))+SUMPRODUCT(--ISNUMBER(SEARCH(", "&amp;$B70&amp;", ",", "&amp;'Tài khoản &amp; Hồ sơ'!$B$7:$B$500&amp;", ")),--('Tài khoản &amp; Hồ sơ'!$AT$7:$AT$500="Pass"))</f>
        <v>0</v>
      </c>
      <c r="H70" s="51" t="n">
        <f aca="false">SUMPRODUCT(--ISNUMBER(SEARCH(", "&amp;$B70&amp;", ",", "&amp;'Hoạt động (Đơn của tôi)'!$B$7:$B$500&amp;", ")),--('Hoạt động (Đơn của tôi)'!$AT$7:$AT$500="Fail"))+SUMPRODUCT(--ISNUMBER(SEARCH(", "&amp;$B70&amp;", ",", "&amp;'Ghép nối'!$B$7:$B$500&amp;", ")),--('Ghép nối'!$AT$7:$AT$500="Fail"))+SUMPRODUCT(--ISNUMBER(SEARCH(", "&amp;$B70&amp;", ",", "&amp;'Huỷ đơn - Huỷ nhận đơn'!$B$7:$B$500&amp;", ")),--('Huỷ đơn - Huỷ nhận đơn'!$AT$7:$AT$500="Fail"))+SUMPRODUCT(--ISNUMBER(SEARCH(", "&amp;$B70&amp;", ",", "&amp;'Giao nhận &amp; Theo dõi đơn'!$B$7:$B$500&amp;", ")),--('Giao nhận &amp; Theo dõi đơn'!$AT$7:$AT$500="Fail"))+SUMPRODUCT(--ISNUMBER(SEARCH(", "&amp;$B70&amp;", ",", "&amp;'Bảng tin &amp; Chi tiết tin'!$B$7:$B$500&amp;", ")),--('Bảng tin &amp; Chi tiết tin'!$AT$7:$AT$500="Fail"))+SUMPRODUCT(--ISNUMBER(SEARCH(", "&amp;$B70&amp;", ",", "&amp;'Quà cảm ơn'!$B$7:$B$500&amp;", ")),--('Quà cảm ơn'!$AT$7:$AT$500="Fail"))+SUMPRODUCT(--ISNUMBER(SEARCH(", "&amp;$B70&amp;", ",", "&amp;'Trang chủ'!$B$7:$B$500&amp;", ")),--('Trang chủ'!$AT$7:$AT$500="Fail"))+SUMPRODUCT(--ISNUMBER(SEARCH(", "&amp;$B70&amp;", ",", "&amp;'Thông báo'!$B$7:$B$500&amp;", ")),--('Thông báo'!$AT$7:$AT$500="Fail"))+SUMPRODUCT(--ISNUMBER(SEARCH(", "&amp;$B70&amp;", ",", "&amp;'Đăng tin &amp; Quản lý tin'!$B$7:$B$500&amp;", ")),--('Đăng tin &amp; Quản lý tin'!$AT$7:$AT$500="Fail"))+SUMPRODUCT(--ISNUMBER(SEARCH(", "&amp;$B70&amp;", ",", "&amp;'Trust &amp; Safety'!$B$7:$B$500&amp;", ")),--('Trust &amp; Safety'!$AT$7:$AT$500="Fail"))+SUMPRODUCT(--ISNUMBER(SEARCH(", "&amp;$B70&amp;", ",", "&amp;'Tài khoản &amp; Hồ sơ'!$B$7:$B$500&amp;", ")),--('Tài khoản &amp; Hồ sơ'!$AT$7:$AT$500="Fail"))</f>
        <v>0</v>
      </c>
      <c r="I70" s="51" t="n">
        <f aca="false">SUMPRODUCT(--ISNUMBER(SEARCH(", "&amp;$B70&amp;", ",", "&amp;'Hoạt động (Đơn của tôi)'!$B$7:$B$500&amp;", ")),--('Hoạt động (Đơn của tôi)'!$AT$7:$AT$500="Block"))+SUMPRODUCT(--ISNUMBER(SEARCH(", "&amp;$B70&amp;", ",", "&amp;'Ghép nối'!$B$7:$B$500&amp;", ")),--('Ghép nối'!$AT$7:$AT$500="Block"))+SUMPRODUCT(--ISNUMBER(SEARCH(", "&amp;$B70&amp;", ",", "&amp;'Huỷ đơn - Huỷ nhận đơn'!$B$7:$B$500&amp;", ")),--('Huỷ đơn - Huỷ nhận đơn'!$AT$7:$AT$500="Block"))+SUMPRODUCT(--ISNUMBER(SEARCH(", "&amp;$B70&amp;", ",", "&amp;'Giao nhận &amp; Theo dõi đơn'!$B$7:$B$500&amp;", ")),--('Giao nhận &amp; Theo dõi đơn'!$AT$7:$AT$500="Block"))+SUMPRODUCT(--ISNUMBER(SEARCH(", "&amp;$B70&amp;", ",", "&amp;'Bảng tin &amp; Chi tiết tin'!$B$7:$B$500&amp;", ")),--('Bảng tin &amp; Chi tiết tin'!$AT$7:$AT$500="Block"))+SUMPRODUCT(--ISNUMBER(SEARCH(", "&amp;$B70&amp;", ",", "&amp;'Quà cảm ơn'!$B$7:$B$500&amp;", ")),--('Quà cảm ơn'!$AT$7:$AT$500="Block"))+SUMPRODUCT(--ISNUMBER(SEARCH(", "&amp;$B70&amp;", ",", "&amp;'Trang chủ'!$B$7:$B$500&amp;", ")),--('Trang chủ'!$AT$7:$AT$500="Block"))+SUMPRODUCT(--ISNUMBER(SEARCH(", "&amp;$B70&amp;", ",", "&amp;'Thông báo'!$B$7:$B$500&amp;", ")),--('Thông báo'!$AT$7:$AT$500="Block"))+SUMPRODUCT(--ISNUMBER(SEARCH(", "&amp;$B70&amp;", ",", "&amp;'Đăng tin &amp; Quản lý tin'!$B$7:$B$500&amp;", ")),--('Đăng tin &amp; Quản lý tin'!$AT$7:$AT$500="Block"))+SUMPRODUCT(--ISNUMBER(SEARCH(", "&amp;$B70&amp;", ",", "&amp;'Trust &amp; Safety'!$B$7:$B$500&amp;", ")),--('Trust &amp; Safety'!$AT$7:$AT$500="Block"))+SUMPRODUCT(--ISNUMBER(SEARCH(", "&amp;$B70&amp;", ",", "&amp;'Tài khoản &amp; Hồ sơ'!$B$7:$B$500&amp;", ")),--('Tài khoản &amp; Hồ sơ'!$AT$7:$AT$500="Block"))</f>
        <v>0</v>
      </c>
      <c r="J70" s="51" t="n">
        <f aca="false">SUMPRODUCT(--ISNUMBER(SEARCH(", "&amp;$B70&amp;", ",", "&amp;'Hoạt động (Đơn của tôi)'!$B$7:$B$500&amp;", ")),--('Hoạt động (Đơn của tôi)'!$AT$7:$AT$500="N/A"))+SUMPRODUCT(--ISNUMBER(SEARCH(", "&amp;$B70&amp;", ",", "&amp;'Ghép nối'!$B$7:$B$500&amp;", ")),--('Ghép nối'!$AT$7:$AT$500="N/A"))+SUMPRODUCT(--ISNUMBER(SEARCH(", "&amp;$B70&amp;", ",", "&amp;'Huỷ đơn - Huỷ nhận đơn'!$B$7:$B$500&amp;", ")),--('Huỷ đơn - Huỷ nhận đơn'!$AT$7:$AT$500="N/A"))+SUMPRODUCT(--ISNUMBER(SEARCH(", "&amp;$B70&amp;", ",", "&amp;'Giao nhận &amp; Theo dõi đơn'!$B$7:$B$500&amp;", ")),--('Giao nhận &amp; Theo dõi đơn'!$AT$7:$AT$500="N/A"))+SUMPRODUCT(--ISNUMBER(SEARCH(", "&amp;$B70&amp;", ",", "&amp;'Bảng tin &amp; Chi tiết tin'!$B$7:$B$500&amp;", ")),--('Bảng tin &amp; Chi tiết tin'!$AT$7:$AT$500="N/A"))+SUMPRODUCT(--ISNUMBER(SEARCH(", "&amp;$B70&amp;", ",", "&amp;'Quà cảm ơn'!$B$7:$B$500&amp;", ")),--('Quà cảm ơn'!$AT$7:$AT$500="N/A"))+SUMPRODUCT(--ISNUMBER(SEARCH(", "&amp;$B70&amp;", ",", "&amp;'Trang chủ'!$B$7:$B$500&amp;", ")),--('Trang chủ'!$AT$7:$AT$500="N/A"))+SUMPRODUCT(--ISNUMBER(SEARCH(", "&amp;$B70&amp;", ",", "&amp;'Thông báo'!$B$7:$B$500&amp;", ")),--('Thông báo'!$AT$7:$AT$500="N/A"))+SUMPRODUCT(--ISNUMBER(SEARCH(", "&amp;$B70&amp;", ",", "&amp;'Đăng tin &amp; Quản lý tin'!$B$7:$B$500&amp;", ")),--('Đăng tin &amp; Quản lý tin'!$AT$7:$AT$500="N/A"))+SUMPRODUCT(--ISNUMBER(SEARCH(", "&amp;$B70&amp;", ",", "&amp;'Trust &amp; Safety'!$B$7:$B$500&amp;", ")),--('Trust &amp; Safety'!$AT$7:$AT$500="N/A"))+SUMPRODUCT(--ISNUMBER(SEARCH(", "&amp;$B70&amp;", ",", "&amp;'Tài khoản &amp; Hồ sơ'!$B$7:$B$500&amp;", ")),--('Tài khoản &amp; Hồ sơ'!$AT$7:$AT$500="N/A"))</f>
        <v>0</v>
      </c>
      <c r="K70" s="52" t="n">
        <f aca="false">IFERROR(F70/E70,0)</f>
        <v>0</v>
      </c>
      <c r="L70" s="123" t="str">
        <f aca="false">IF(E70=0,"Chưa có TC (gap)",IF(H70&gt;0,"Có lỗi (Fail)",IF(I70&gt;0,"Bị block",IF(F70&lt;E70,"Đang test",IF(G70=0,"Không áp dụng (N/A)","Đã test xong")))))</f>
        <v>Đang test</v>
      </c>
      <c r="AB70" s="1" t="s">
        <v>444</v>
      </c>
    </row>
    <row r="71" customFormat="false" ht="15.75" hidden="false" customHeight="true" outlineLevel="0" collapsed="false">
      <c r="B71" s="175" t="s">
        <v>607</v>
      </c>
      <c r="C71" s="176" t="s">
        <v>608</v>
      </c>
      <c r="D71" s="123" t="s">
        <v>609</v>
      </c>
      <c r="E71" s="51" t="n">
        <f aca="false">SUMPRODUCT(--ISNUMBER(SEARCH(", "&amp;$B71&amp;", ",", "&amp;'Hoạt động (Đơn của tôi)'!$B$7:$B$500&amp;", ")))+SUMPRODUCT(--ISNUMBER(SEARCH(", "&amp;$B71&amp;", ",", "&amp;'Ghép nối'!$B$7:$B$500&amp;", ")))+SUMPRODUCT(--ISNUMBER(SEARCH(", "&amp;$B71&amp;", ",", "&amp;'Huỷ đơn - Huỷ nhận đơn'!$B$7:$B$500&amp;", ")))+SUMPRODUCT(--ISNUMBER(SEARCH(", "&amp;$B71&amp;", ",", "&amp;'Giao nhận &amp; Theo dõi đơn'!$B$7:$B$500&amp;", ")))+SUMPRODUCT(--ISNUMBER(SEARCH(", "&amp;$B71&amp;", ",", "&amp;'Bảng tin &amp; Chi tiết tin'!$B$7:$B$500&amp;", ")))+SUMPRODUCT(--ISNUMBER(SEARCH(", "&amp;$B71&amp;", ",", "&amp;'Quà cảm ơn'!$B$7:$B$500&amp;", ")))+SUMPRODUCT(--ISNUMBER(SEARCH(", "&amp;$B71&amp;", ",", "&amp;'Trang chủ'!$B$7:$B$500&amp;", ")))+SUMPRODUCT(--ISNUMBER(SEARCH(", "&amp;$B71&amp;", ",", "&amp;'Thông báo'!$B$7:$B$500&amp;", ")))+SUMPRODUCT(--ISNUMBER(SEARCH(", "&amp;$B71&amp;", ",", "&amp;'Đăng tin &amp; Quản lý tin'!$B$7:$B$500&amp;", ")))+SUMPRODUCT(--ISNUMBER(SEARCH(", "&amp;$B71&amp;", ",", "&amp;'Trust &amp; Safety'!$B$7:$B$500&amp;", ")))+SUMPRODUCT(--ISNUMBER(SEARCH(", "&amp;$B71&amp;", ",", "&amp;'Tài khoản &amp; Hồ sơ'!$B$7:$B$500&amp;", ")))</f>
        <v>17</v>
      </c>
      <c r="F71" s="51" t="n">
        <f aca="false">SUMPRODUCT(--ISNUMBER(SEARCH(", "&amp;$B71&amp;", ",", "&amp;'Hoạt động (Đơn của tôi)'!$B$7:$B$500&amp;", ")),--('Hoạt động (Đơn của tôi)'!$AT$7:$AT$500&lt;&gt;""))+SUMPRODUCT(--ISNUMBER(SEARCH(", "&amp;$B71&amp;", ",", "&amp;'Ghép nối'!$B$7:$B$500&amp;", ")),--('Ghép nối'!$AT$7:$AT$500&lt;&gt;""))+SUMPRODUCT(--ISNUMBER(SEARCH(", "&amp;$B71&amp;", ",", "&amp;'Huỷ đơn - Huỷ nhận đơn'!$B$7:$B$500&amp;", ")),--('Huỷ đơn - Huỷ nhận đơn'!$AT$7:$AT$500&lt;&gt;""))+SUMPRODUCT(--ISNUMBER(SEARCH(", "&amp;$B71&amp;", ",", "&amp;'Giao nhận &amp; Theo dõi đơn'!$B$7:$B$500&amp;", ")),--('Giao nhận &amp; Theo dõi đơn'!$AT$7:$AT$500&lt;&gt;""))+SUMPRODUCT(--ISNUMBER(SEARCH(", "&amp;$B71&amp;", ",", "&amp;'Bảng tin &amp; Chi tiết tin'!$B$7:$B$500&amp;", ")),--('Bảng tin &amp; Chi tiết tin'!$AT$7:$AT$500&lt;&gt;""))+SUMPRODUCT(--ISNUMBER(SEARCH(", "&amp;$B71&amp;", ",", "&amp;'Quà cảm ơn'!$B$7:$B$500&amp;", ")),--('Quà cảm ơn'!$AT$7:$AT$500&lt;&gt;""))+SUMPRODUCT(--ISNUMBER(SEARCH(", "&amp;$B71&amp;", ",", "&amp;'Trang chủ'!$B$7:$B$500&amp;", ")),--('Trang chủ'!$AT$7:$AT$500&lt;&gt;""))+SUMPRODUCT(--ISNUMBER(SEARCH(", "&amp;$B71&amp;", ",", "&amp;'Thông báo'!$B$7:$B$500&amp;", ")),--('Thông báo'!$AT$7:$AT$500&lt;&gt;""))+SUMPRODUCT(--ISNUMBER(SEARCH(", "&amp;$B71&amp;", ",", "&amp;'Đăng tin &amp; Quản lý tin'!$B$7:$B$500&amp;", ")),--('Đăng tin &amp; Quản lý tin'!$AT$7:$AT$500&lt;&gt;""))+SUMPRODUCT(--ISNUMBER(SEARCH(", "&amp;$B71&amp;", ",", "&amp;'Trust &amp; Safety'!$B$7:$B$500&amp;", ")),--('Trust &amp; Safety'!$AT$7:$AT$500&lt;&gt;""))+SUMPRODUCT(--ISNUMBER(SEARCH(", "&amp;$B71&amp;", ",", "&amp;'Tài khoản &amp; Hồ sơ'!$B$7:$B$500&amp;", ")),--('Tài khoản &amp; Hồ sơ'!$AT$7:$AT$500&lt;&gt;""))</f>
        <v>0</v>
      </c>
      <c r="G71" s="51" t="n">
        <f aca="false">SUMPRODUCT(--ISNUMBER(SEARCH(", "&amp;$B71&amp;", ",", "&amp;'Hoạt động (Đơn của tôi)'!$B$7:$B$500&amp;", ")),--('Hoạt động (Đơn của tôi)'!$AT$7:$AT$500="Pass"))+SUMPRODUCT(--ISNUMBER(SEARCH(", "&amp;$B71&amp;", ",", "&amp;'Ghép nối'!$B$7:$B$500&amp;", ")),--('Ghép nối'!$AT$7:$AT$500="Pass"))+SUMPRODUCT(--ISNUMBER(SEARCH(", "&amp;$B71&amp;", ",", "&amp;'Huỷ đơn - Huỷ nhận đơn'!$B$7:$B$500&amp;", ")),--('Huỷ đơn - Huỷ nhận đơn'!$AT$7:$AT$500="Pass"))+SUMPRODUCT(--ISNUMBER(SEARCH(", "&amp;$B71&amp;", ",", "&amp;'Giao nhận &amp; Theo dõi đơn'!$B$7:$B$500&amp;", ")),--('Giao nhận &amp; Theo dõi đơn'!$AT$7:$AT$500="Pass"))+SUMPRODUCT(--ISNUMBER(SEARCH(", "&amp;$B71&amp;", ",", "&amp;'Bảng tin &amp; Chi tiết tin'!$B$7:$B$500&amp;", ")),--('Bảng tin &amp; Chi tiết tin'!$AT$7:$AT$500="Pass"))+SUMPRODUCT(--ISNUMBER(SEARCH(", "&amp;$B71&amp;", ",", "&amp;'Quà cảm ơn'!$B$7:$B$500&amp;", ")),--('Quà cảm ơn'!$AT$7:$AT$500="Pass"))+SUMPRODUCT(--ISNUMBER(SEARCH(", "&amp;$B71&amp;", ",", "&amp;'Trang chủ'!$B$7:$B$500&amp;", ")),--('Trang chủ'!$AT$7:$AT$500="Pass"))+SUMPRODUCT(--ISNUMBER(SEARCH(", "&amp;$B71&amp;", ",", "&amp;'Thông báo'!$B$7:$B$500&amp;", ")),--('Thông báo'!$AT$7:$AT$500="Pass"))+SUMPRODUCT(--ISNUMBER(SEARCH(", "&amp;$B71&amp;", ",", "&amp;'Đăng tin &amp; Quản lý tin'!$B$7:$B$500&amp;", ")),--('Đăng tin &amp; Quản lý tin'!$AT$7:$AT$500="Pass"))+SUMPRODUCT(--ISNUMBER(SEARCH(", "&amp;$B71&amp;", ",", "&amp;'Trust &amp; Safety'!$B$7:$B$500&amp;", ")),--('Trust &amp; Safety'!$AT$7:$AT$500="Pass"))+SUMPRODUCT(--ISNUMBER(SEARCH(", "&amp;$B71&amp;", ",", "&amp;'Tài khoản &amp; Hồ sơ'!$B$7:$B$500&amp;", ")),--('Tài khoản &amp; Hồ sơ'!$AT$7:$AT$500="Pass"))</f>
        <v>0</v>
      </c>
      <c r="H71" s="51" t="n">
        <f aca="false">SUMPRODUCT(--ISNUMBER(SEARCH(", "&amp;$B71&amp;", ",", "&amp;'Hoạt động (Đơn của tôi)'!$B$7:$B$500&amp;", ")),--('Hoạt động (Đơn của tôi)'!$AT$7:$AT$500="Fail"))+SUMPRODUCT(--ISNUMBER(SEARCH(", "&amp;$B71&amp;", ",", "&amp;'Ghép nối'!$B$7:$B$500&amp;", ")),--('Ghép nối'!$AT$7:$AT$500="Fail"))+SUMPRODUCT(--ISNUMBER(SEARCH(", "&amp;$B71&amp;", ",", "&amp;'Huỷ đơn - Huỷ nhận đơn'!$B$7:$B$500&amp;", ")),--('Huỷ đơn - Huỷ nhận đơn'!$AT$7:$AT$500="Fail"))+SUMPRODUCT(--ISNUMBER(SEARCH(", "&amp;$B71&amp;", ",", "&amp;'Giao nhận &amp; Theo dõi đơn'!$B$7:$B$500&amp;", ")),--('Giao nhận &amp; Theo dõi đơn'!$AT$7:$AT$500="Fail"))+SUMPRODUCT(--ISNUMBER(SEARCH(", "&amp;$B71&amp;", ",", "&amp;'Bảng tin &amp; Chi tiết tin'!$B$7:$B$500&amp;", ")),--('Bảng tin &amp; Chi tiết tin'!$AT$7:$AT$500="Fail"))+SUMPRODUCT(--ISNUMBER(SEARCH(", "&amp;$B71&amp;", ",", "&amp;'Quà cảm ơn'!$B$7:$B$500&amp;", ")),--('Quà cảm ơn'!$AT$7:$AT$500="Fail"))+SUMPRODUCT(--ISNUMBER(SEARCH(", "&amp;$B71&amp;", ",", "&amp;'Trang chủ'!$B$7:$B$500&amp;", ")),--('Trang chủ'!$AT$7:$AT$500="Fail"))+SUMPRODUCT(--ISNUMBER(SEARCH(", "&amp;$B71&amp;", ",", "&amp;'Thông báo'!$B$7:$B$500&amp;", ")),--('Thông báo'!$AT$7:$AT$500="Fail"))+SUMPRODUCT(--ISNUMBER(SEARCH(", "&amp;$B71&amp;", ",", "&amp;'Đăng tin &amp; Quản lý tin'!$B$7:$B$500&amp;", ")),--('Đăng tin &amp; Quản lý tin'!$AT$7:$AT$500="Fail"))+SUMPRODUCT(--ISNUMBER(SEARCH(", "&amp;$B71&amp;", ",", "&amp;'Trust &amp; Safety'!$B$7:$B$500&amp;", ")),--('Trust &amp; Safety'!$AT$7:$AT$500="Fail"))+SUMPRODUCT(--ISNUMBER(SEARCH(", "&amp;$B71&amp;", ",", "&amp;'Tài khoản &amp; Hồ sơ'!$B$7:$B$500&amp;", ")),--('Tài khoản &amp; Hồ sơ'!$AT$7:$AT$500="Fail"))</f>
        <v>0</v>
      </c>
      <c r="I71" s="51" t="n">
        <f aca="false">SUMPRODUCT(--ISNUMBER(SEARCH(", "&amp;$B71&amp;", ",", "&amp;'Hoạt động (Đơn của tôi)'!$B$7:$B$500&amp;", ")),--('Hoạt động (Đơn của tôi)'!$AT$7:$AT$500="Block"))+SUMPRODUCT(--ISNUMBER(SEARCH(", "&amp;$B71&amp;", ",", "&amp;'Ghép nối'!$B$7:$B$500&amp;", ")),--('Ghép nối'!$AT$7:$AT$500="Block"))+SUMPRODUCT(--ISNUMBER(SEARCH(", "&amp;$B71&amp;", ",", "&amp;'Huỷ đơn - Huỷ nhận đơn'!$B$7:$B$500&amp;", ")),--('Huỷ đơn - Huỷ nhận đơn'!$AT$7:$AT$500="Block"))+SUMPRODUCT(--ISNUMBER(SEARCH(", "&amp;$B71&amp;", ",", "&amp;'Giao nhận &amp; Theo dõi đơn'!$B$7:$B$500&amp;", ")),--('Giao nhận &amp; Theo dõi đơn'!$AT$7:$AT$500="Block"))+SUMPRODUCT(--ISNUMBER(SEARCH(", "&amp;$B71&amp;", ",", "&amp;'Bảng tin &amp; Chi tiết tin'!$B$7:$B$500&amp;", ")),--('Bảng tin &amp; Chi tiết tin'!$AT$7:$AT$500="Block"))+SUMPRODUCT(--ISNUMBER(SEARCH(", "&amp;$B71&amp;", ",", "&amp;'Quà cảm ơn'!$B$7:$B$500&amp;", ")),--('Quà cảm ơn'!$AT$7:$AT$500="Block"))+SUMPRODUCT(--ISNUMBER(SEARCH(", "&amp;$B71&amp;", ",", "&amp;'Trang chủ'!$B$7:$B$500&amp;", ")),--('Trang chủ'!$AT$7:$AT$500="Block"))+SUMPRODUCT(--ISNUMBER(SEARCH(", "&amp;$B71&amp;", ",", "&amp;'Thông báo'!$B$7:$B$500&amp;", ")),--('Thông báo'!$AT$7:$AT$500="Block"))+SUMPRODUCT(--ISNUMBER(SEARCH(", "&amp;$B71&amp;", ",", "&amp;'Đăng tin &amp; Quản lý tin'!$B$7:$B$500&amp;", ")),--('Đăng tin &amp; Quản lý tin'!$AT$7:$AT$500="Block"))+SUMPRODUCT(--ISNUMBER(SEARCH(", "&amp;$B71&amp;", ",", "&amp;'Trust &amp; Safety'!$B$7:$B$500&amp;", ")),--('Trust &amp; Safety'!$AT$7:$AT$500="Block"))+SUMPRODUCT(--ISNUMBER(SEARCH(", "&amp;$B71&amp;", ",", "&amp;'Tài khoản &amp; Hồ sơ'!$B$7:$B$500&amp;", ")),--('Tài khoản &amp; Hồ sơ'!$AT$7:$AT$500="Block"))</f>
        <v>0</v>
      </c>
      <c r="J71" s="51" t="n">
        <f aca="false">SUMPRODUCT(--ISNUMBER(SEARCH(", "&amp;$B71&amp;", ",", "&amp;'Hoạt động (Đơn của tôi)'!$B$7:$B$500&amp;", ")),--('Hoạt động (Đơn của tôi)'!$AT$7:$AT$500="N/A"))+SUMPRODUCT(--ISNUMBER(SEARCH(", "&amp;$B71&amp;", ",", "&amp;'Ghép nối'!$B$7:$B$500&amp;", ")),--('Ghép nối'!$AT$7:$AT$500="N/A"))+SUMPRODUCT(--ISNUMBER(SEARCH(", "&amp;$B71&amp;", ",", "&amp;'Huỷ đơn - Huỷ nhận đơn'!$B$7:$B$500&amp;", ")),--('Huỷ đơn - Huỷ nhận đơn'!$AT$7:$AT$500="N/A"))+SUMPRODUCT(--ISNUMBER(SEARCH(", "&amp;$B71&amp;", ",", "&amp;'Giao nhận &amp; Theo dõi đơn'!$B$7:$B$500&amp;", ")),--('Giao nhận &amp; Theo dõi đơn'!$AT$7:$AT$500="N/A"))+SUMPRODUCT(--ISNUMBER(SEARCH(", "&amp;$B71&amp;", ",", "&amp;'Bảng tin &amp; Chi tiết tin'!$B$7:$B$500&amp;", ")),--('Bảng tin &amp; Chi tiết tin'!$AT$7:$AT$500="N/A"))+SUMPRODUCT(--ISNUMBER(SEARCH(", "&amp;$B71&amp;", ",", "&amp;'Quà cảm ơn'!$B$7:$B$500&amp;", ")),--('Quà cảm ơn'!$AT$7:$AT$500="N/A"))+SUMPRODUCT(--ISNUMBER(SEARCH(", "&amp;$B71&amp;", ",", "&amp;'Trang chủ'!$B$7:$B$500&amp;", ")),--('Trang chủ'!$AT$7:$AT$500="N/A"))+SUMPRODUCT(--ISNUMBER(SEARCH(", "&amp;$B71&amp;", ",", "&amp;'Thông báo'!$B$7:$B$500&amp;", ")),--('Thông báo'!$AT$7:$AT$500="N/A"))+SUMPRODUCT(--ISNUMBER(SEARCH(", "&amp;$B71&amp;", ",", "&amp;'Đăng tin &amp; Quản lý tin'!$B$7:$B$500&amp;", ")),--('Đăng tin &amp; Quản lý tin'!$AT$7:$AT$500="N/A"))+SUMPRODUCT(--ISNUMBER(SEARCH(", "&amp;$B71&amp;", ",", "&amp;'Trust &amp; Safety'!$B$7:$B$500&amp;", ")),--('Trust &amp; Safety'!$AT$7:$AT$500="N/A"))+SUMPRODUCT(--ISNUMBER(SEARCH(", "&amp;$B71&amp;", ",", "&amp;'Tài khoản &amp; Hồ sơ'!$B$7:$B$500&amp;", ")),--('Tài khoản &amp; Hồ sơ'!$AT$7:$AT$500="N/A"))</f>
        <v>0</v>
      </c>
      <c r="K71" s="52" t="n">
        <f aca="false">IFERROR(F71/E71,0)</f>
        <v>0</v>
      </c>
      <c r="L71" s="123" t="str">
        <f aca="false">IF(E71=0,"Chưa có TC (gap)",IF(H71&gt;0,"Có lỗi (Fail)",IF(I71&gt;0,"Bị block",IF(F71&lt;E71,"Đang test",IF(G71=0,"Không áp dụng (N/A)","Đã test xong")))))</f>
        <v>Đang test</v>
      </c>
      <c r="AB71" s="1" t="s">
        <v>448</v>
      </c>
    </row>
    <row r="72" customFormat="false" ht="15.75" hidden="false" customHeight="true" outlineLevel="0" collapsed="false">
      <c r="B72" s="175" t="s">
        <v>610</v>
      </c>
      <c r="C72" s="176" t="s">
        <v>611</v>
      </c>
      <c r="D72" s="123" t="s">
        <v>612</v>
      </c>
      <c r="E72" s="51" t="n">
        <f aca="false">SUMPRODUCT(--ISNUMBER(SEARCH(", "&amp;$B72&amp;", ",", "&amp;'Hoạt động (Đơn của tôi)'!$B$7:$B$500&amp;", ")))+SUMPRODUCT(--ISNUMBER(SEARCH(", "&amp;$B72&amp;", ",", "&amp;'Ghép nối'!$B$7:$B$500&amp;", ")))+SUMPRODUCT(--ISNUMBER(SEARCH(", "&amp;$B72&amp;", ",", "&amp;'Huỷ đơn - Huỷ nhận đơn'!$B$7:$B$500&amp;", ")))+SUMPRODUCT(--ISNUMBER(SEARCH(", "&amp;$B72&amp;", ",", "&amp;'Giao nhận &amp; Theo dõi đơn'!$B$7:$B$500&amp;", ")))+SUMPRODUCT(--ISNUMBER(SEARCH(", "&amp;$B72&amp;", ",", "&amp;'Bảng tin &amp; Chi tiết tin'!$B$7:$B$500&amp;", ")))+SUMPRODUCT(--ISNUMBER(SEARCH(", "&amp;$B72&amp;", ",", "&amp;'Quà cảm ơn'!$B$7:$B$500&amp;", ")))+SUMPRODUCT(--ISNUMBER(SEARCH(", "&amp;$B72&amp;", ",", "&amp;'Trang chủ'!$B$7:$B$500&amp;", ")))+SUMPRODUCT(--ISNUMBER(SEARCH(", "&amp;$B72&amp;", ",", "&amp;'Thông báo'!$B$7:$B$500&amp;", ")))+SUMPRODUCT(--ISNUMBER(SEARCH(", "&amp;$B72&amp;", ",", "&amp;'Đăng tin &amp; Quản lý tin'!$B$7:$B$500&amp;", ")))+SUMPRODUCT(--ISNUMBER(SEARCH(", "&amp;$B72&amp;", ",", "&amp;'Trust &amp; Safety'!$B$7:$B$500&amp;", ")))+SUMPRODUCT(--ISNUMBER(SEARCH(", "&amp;$B72&amp;", ",", "&amp;'Tài khoản &amp; Hồ sơ'!$B$7:$B$500&amp;", ")))</f>
        <v>3</v>
      </c>
      <c r="F72" s="51" t="n">
        <f aca="false">SUMPRODUCT(--ISNUMBER(SEARCH(", "&amp;$B72&amp;", ",", "&amp;'Hoạt động (Đơn của tôi)'!$B$7:$B$500&amp;", ")),--('Hoạt động (Đơn của tôi)'!$AT$7:$AT$500&lt;&gt;""))+SUMPRODUCT(--ISNUMBER(SEARCH(", "&amp;$B72&amp;", ",", "&amp;'Ghép nối'!$B$7:$B$500&amp;", ")),--('Ghép nối'!$AT$7:$AT$500&lt;&gt;""))+SUMPRODUCT(--ISNUMBER(SEARCH(", "&amp;$B72&amp;", ",", "&amp;'Huỷ đơn - Huỷ nhận đơn'!$B$7:$B$500&amp;", ")),--('Huỷ đơn - Huỷ nhận đơn'!$AT$7:$AT$500&lt;&gt;""))+SUMPRODUCT(--ISNUMBER(SEARCH(", "&amp;$B72&amp;", ",", "&amp;'Giao nhận &amp; Theo dõi đơn'!$B$7:$B$500&amp;", ")),--('Giao nhận &amp; Theo dõi đơn'!$AT$7:$AT$500&lt;&gt;""))+SUMPRODUCT(--ISNUMBER(SEARCH(", "&amp;$B72&amp;", ",", "&amp;'Bảng tin &amp; Chi tiết tin'!$B$7:$B$500&amp;", ")),--('Bảng tin &amp; Chi tiết tin'!$AT$7:$AT$500&lt;&gt;""))+SUMPRODUCT(--ISNUMBER(SEARCH(", "&amp;$B72&amp;", ",", "&amp;'Quà cảm ơn'!$B$7:$B$500&amp;", ")),--('Quà cảm ơn'!$AT$7:$AT$500&lt;&gt;""))+SUMPRODUCT(--ISNUMBER(SEARCH(", "&amp;$B72&amp;", ",", "&amp;'Trang chủ'!$B$7:$B$500&amp;", ")),--('Trang chủ'!$AT$7:$AT$500&lt;&gt;""))+SUMPRODUCT(--ISNUMBER(SEARCH(", "&amp;$B72&amp;", ",", "&amp;'Thông báo'!$B$7:$B$500&amp;", ")),--('Thông báo'!$AT$7:$AT$500&lt;&gt;""))+SUMPRODUCT(--ISNUMBER(SEARCH(", "&amp;$B72&amp;", ",", "&amp;'Đăng tin &amp; Quản lý tin'!$B$7:$B$500&amp;", ")),--('Đăng tin &amp; Quản lý tin'!$AT$7:$AT$500&lt;&gt;""))+SUMPRODUCT(--ISNUMBER(SEARCH(", "&amp;$B72&amp;", ",", "&amp;'Trust &amp; Safety'!$B$7:$B$500&amp;", ")),--('Trust &amp; Safety'!$AT$7:$AT$500&lt;&gt;""))+SUMPRODUCT(--ISNUMBER(SEARCH(", "&amp;$B72&amp;", ",", "&amp;'Tài khoản &amp; Hồ sơ'!$B$7:$B$500&amp;", ")),--('Tài khoản &amp; Hồ sơ'!$AT$7:$AT$500&lt;&gt;""))</f>
        <v>0</v>
      </c>
      <c r="G72" s="51" t="n">
        <f aca="false">SUMPRODUCT(--ISNUMBER(SEARCH(", "&amp;$B72&amp;", ",", "&amp;'Hoạt động (Đơn của tôi)'!$B$7:$B$500&amp;", ")),--('Hoạt động (Đơn của tôi)'!$AT$7:$AT$500="Pass"))+SUMPRODUCT(--ISNUMBER(SEARCH(", "&amp;$B72&amp;", ",", "&amp;'Ghép nối'!$B$7:$B$500&amp;", ")),--('Ghép nối'!$AT$7:$AT$500="Pass"))+SUMPRODUCT(--ISNUMBER(SEARCH(", "&amp;$B72&amp;", ",", "&amp;'Huỷ đơn - Huỷ nhận đơn'!$B$7:$B$500&amp;", ")),--('Huỷ đơn - Huỷ nhận đơn'!$AT$7:$AT$500="Pass"))+SUMPRODUCT(--ISNUMBER(SEARCH(", "&amp;$B72&amp;", ",", "&amp;'Giao nhận &amp; Theo dõi đơn'!$B$7:$B$500&amp;", ")),--('Giao nhận &amp; Theo dõi đơn'!$AT$7:$AT$500="Pass"))+SUMPRODUCT(--ISNUMBER(SEARCH(", "&amp;$B72&amp;", ",", "&amp;'Bảng tin &amp; Chi tiết tin'!$B$7:$B$500&amp;", ")),--('Bảng tin &amp; Chi tiết tin'!$AT$7:$AT$500="Pass"))+SUMPRODUCT(--ISNUMBER(SEARCH(", "&amp;$B72&amp;", ",", "&amp;'Quà cảm ơn'!$B$7:$B$500&amp;", ")),--('Quà cảm ơn'!$AT$7:$AT$500="Pass"))+SUMPRODUCT(--ISNUMBER(SEARCH(", "&amp;$B72&amp;", ",", "&amp;'Trang chủ'!$B$7:$B$500&amp;", ")),--('Trang chủ'!$AT$7:$AT$500="Pass"))+SUMPRODUCT(--ISNUMBER(SEARCH(", "&amp;$B72&amp;", ",", "&amp;'Thông báo'!$B$7:$B$500&amp;", ")),--('Thông báo'!$AT$7:$AT$500="Pass"))+SUMPRODUCT(--ISNUMBER(SEARCH(", "&amp;$B72&amp;", ",", "&amp;'Đăng tin &amp; Quản lý tin'!$B$7:$B$500&amp;", ")),--('Đăng tin &amp; Quản lý tin'!$AT$7:$AT$500="Pass"))+SUMPRODUCT(--ISNUMBER(SEARCH(", "&amp;$B72&amp;", ",", "&amp;'Trust &amp; Safety'!$B$7:$B$500&amp;", ")),--('Trust &amp; Safety'!$AT$7:$AT$500="Pass"))+SUMPRODUCT(--ISNUMBER(SEARCH(", "&amp;$B72&amp;", ",", "&amp;'Tài khoản &amp; Hồ sơ'!$B$7:$B$500&amp;", ")),--('Tài khoản &amp; Hồ sơ'!$AT$7:$AT$500="Pass"))</f>
        <v>0</v>
      </c>
      <c r="H72" s="51" t="n">
        <f aca="false">SUMPRODUCT(--ISNUMBER(SEARCH(", "&amp;$B72&amp;", ",", "&amp;'Hoạt động (Đơn của tôi)'!$B$7:$B$500&amp;", ")),--('Hoạt động (Đơn của tôi)'!$AT$7:$AT$500="Fail"))+SUMPRODUCT(--ISNUMBER(SEARCH(", "&amp;$B72&amp;", ",", "&amp;'Ghép nối'!$B$7:$B$500&amp;", ")),--('Ghép nối'!$AT$7:$AT$500="Fail"))+SUMPRODUCT(--ISNUMBER(SEARCH(", "&amp;$B72&amp;", ",", "&amp;'Huỷ đơn - Huỷ nhận đơn'!$B$7:$B$500&amp;", ")),--('Huỷ đơn - Huỷ nhận đơn'!$AT$7:$AT$500="Fail"))+SUMPRODUCT(--ISNUMBER(SEARCH(", "&amp;$B72&amp;", ",", "&amp;'Giao nhận &amp; Theo dõi đơn'!$B$7:$B$500&amp;", ")),--('Giao nhận &amp; Theo dõi đơn'!$AT$7:$AT$500="Fail"))+SUMPRODUCT(--ISNUMBER(SEARCH(", "&amp;$B72&amp;", ",", "&amp;'Bảng tin &amp; Chi tiết tin'!$B$7:$B$500&amp;", ")),--('Bảng tin &amp; Chi tiết tin'!$AT$7:$AT$500="Fail"))+SUMPRODUCT(--ISNUMBER(SEARCH(", "&amp;$B72&amp;", ",", "&amp;'Quà cảm ơn'!$B$7:$B$500&amp;", ")),--('Quà cảm ơn'!$AT$7:$AT$500="Fail"))+SUMPRODUCT(--ISNUMBER(SEARCH(", "&amp;$B72&amp;", ",", "&amp;'Trang chủ'!$B$7:$B$500&amp;", ")),--('Trang chủ'!$AT$7:$AT$500="Fail"))+SUMPRODUCT(--ISNUMBER(SEARCH(", "&amp;$B72&amp;", ",", "&amp;'Thông báo'!$B$7:$B$500&amp;", ")),--('Thông báo'!$AT$7:$AT$500="Fail"))+SUMPRODUCT(--ISNUMBER(SEARCH(", "&amp;$B72&amp;", ",", "&amp;'Đăng tin &amp; Quản lý tin'!$B$7:$B$500&amp;", ")),--('Đăng tin &amp; Quản lý tin'!$AT$7:$AT$500="Fail"))+SUMPRODUCT(--ISNUMBER(SEARCH(", "&amp;$B72&amp;", ",", "&amp;'Trust &amp; Safety'!$B$7:$B$500&amp;", ")),--('Trust &amp; Safety'!$AT$7:$AT$500="Fail"))+SUMPRODUCT(--ISNUMBER(SEARCH(", "&amp;$B72&amp;", ",", "&amp;'Tài khoản &amp; Hồ sơ'!$B$7:$B$500&amp;", ")),--('Tài khoản &amp; Hồ sơ'!$AT$7:$AT$500="Fail"))</f>
        <v>0</v>
      </c>
      <c r="I72" s="51" t="n">
        <f aca="false">SUMPRODUCT(--ISNUMBER(SEARCH(", "&amp;$B72&amp;", ",", "&amp;'Hoạt động (Đơn của tôi)'!$B$7:$B$500&amp;", ")),--('Hoạt động (Đơn của tôi)'!$AT$7:$AT$500="Block"))+SUMPRODUCT(--ISNUMBER(SEARCH(", "&amp;$B72&amp;", ",", "&amp;'Ghép nối'!$B$7:$B$500&amp;", ")),--('Ghép nối'!$AT$7:$AT$500="Block"))+SUMPRODUCT(--ISNUMBER(SEARCH(", "&amp;$B72&amp;", ",", "&amp;'Huỷ đơn - Huỷ nhận đơn'!$B$7:$B$500&amp;", ")),--('Huỷ đơn - Huỷ nhận đơn'!$AT$7:$AT$500="Block"))+SUMPRODUCT(--ISNUMBER(SEARCH(", "&amp;$B72&amp;", ",", "&amp;'Giao nhận &amp; Theo dõi đơn'!$B$7:$B$500&amp;", ")),--('Giao nhận &amp; Theo dõi đơn'!$AT$7:$AT$500="Block"))+SUMPRODUCT(--ISNUMBER(SEARCH(", "&amp;$B72&amp;", ",", "&amp;'Bảng tin &amp; Chi tiết tin'!$B$7:$B$500&amp;", ")),--('Bảng tin &amp; Chi tiết tin'!$AT$7:$AT$500="Block"))+SUMPRODUCT(--ISNUMBER(SEARCH(", "&amp;$B72&amp;", ",", "&amp;'Quà cảm ơn'!$B$7:$B$500&amp;", ")),--('Quà cảm ơn'!$AT$7:$AT$500="Block"))+SUMPRODUCT(--ISNUMBER(SEARCH(", "&amp;$B72&amp;", ",", "&amp;'Trang chủ'!$B$7:$B$500&amp;", ")),--('Trang chủ'!$AT$7:$AT$500="Block"))+SUMPRODUCT(--ISNUMBER(SEARCH(", "&amp;$B72&amp;", ",", "&amp;'Thông báo'!$B$7:$B$500&amp;", ")),--('Thông báo'!$AT$7:$AT$500="Block"))+SUMPRODUCT(--ISNUMBER(SEARCH(", "&amp;$B72&amp;", ",", "&amp;'Đăng tin &amp; Quản lý tin'!$B$7:$B$500&amp;", ")),--('Đăng tin &amp; Quản lý tin'!$AT$7:$AT$500="Block"))+SUMPRODUCT(--ISNUMBER(SEARCH(", "&amp;$B72&amp;", ",", "&amp;'Trust &amp; Safety'!$B$7:$B$500&amp;", ")),--('Trust &amp; Safety'!$AT$7:$AT$500="Block"))+SUMPRODUCT(--ISNUMBER(SEARCH(", "&amp;$B72&amp;", ",", "&amp;'Tài khoản &amp; Hồ sơ'!$B$7:$B$500&amp;", ")),--('Tài khoản &amp; Hồ sơ'!$AT$7:$AT$500="Block"))</f>
        <v>0</v>
      </c>
      <c r="J72" s="51" t="n">
        <f aca="false">SUMPRODUCT(--ISNUMBER(SEARCH(", "&amp;$B72&amp;", ",", "&amp;'Hoạt động (Đơn của tôi)'!$B$7:$B$500&amp;", ")),--('Hoạt động (Đơn của tôi)'!$AT$7:$AT$500="N/A"))+SUMPRODUCT(--ISNUMBER(SEARCH(", "&amp;$B72&amp;", ",", "&amp;'Ghép nối'!$B$7:$B$500&amp;", ")),--('Ghép nối'!$AT$7:$AT$500="N/A"))+SUMPRODUCT(--ISNUMBER(SEARCH(", "&amp;$B72&amp;", ",", "&amp;'Huỷ đơn - Huỷ nhận đơn'!$B$7:$B$500&amp;", ")),--('Huỷ đơn - Huỷ nhận đơn'!$AT$7:$AT$500="N/A"))+SUMPRODUCT(--ISNUMBER(SEARCH(", "&amp;$B72&amp;", ",", "&amp;'Giao nhận &amp; Theo dõi đơn'!$B$7:$B$500&amp;", ")),--('Giao nhận &amp; Theo dõi đơn'!$AT$7:$AT$500="N/A"))+SUMPRODUCT(--ISNUMBER(SEARCH(", "&amp;$B72&amp;", ",", "&amp;'Bảng tin &amp; Chi tiết tin'!$B$7:$B$500&amp;", ")),--('Bảng tin &amp; Chi tiết tin'!$AT$7:$AT$500="N/A"))+SUMPRODUCT(--ISNUMBER(SEARCH(", "&amp;$B72&amp;", ",", "&amp;'Quà cảm ơn'!$B$7:$B$500&amp;", ")),--('Quà cảm ơn'!$AT$7:$AT$500="N/A"))+SUMPRODUCT(--ISNUMBER(SEARCH(", "&amp;$B72&amp;", ",", "&amp;'Trang chủ'!$B$7:$B$500&amp;", ")),--('Trang chủ'!$AT$7:$AT$500="N/A"))+SUMPRODUCT(--ISNUMBER(SEARCH(", "&amp;$B72&amp;", ",", "&amp;'Thông báo'!$B$7:$B$500&amp;", ")),--('Thông báo'!$AT$7:$AT$500="N/A"))+SUMPRODUCT(--ISNUMBER(SEARCH(", "&amp;$B72&amp;", ",", "&amp;'Đăng tin &amp; Quản lý tin'!$B$7:$B$500&amp;", ")),--('Đăng tin &amp; Quản lý tin'!$AT$7:$AT$500="N/A"))+SUMPRODUCT(--ISNUMBER(SEARCH(", "&amp;$B72&amp;", ",", "&amp;'Trust &amp; Safety'!$B$7:$B$500&amp;", ")),--('Trust &amp; Safety'!$AT$7:$AT$500="N/A"))+SUMPRODUCT(--ISNUMBER(SEARCH(", "&amp;$B72&amp;", ",", "&amp;'Tài khoản &amp; Hồ sơ'!$B$7:$B$500&amp;", ")),--('Tài khoản &amp; Hồ sơ'!$AT$7:$AT$500="N/A"))</f>
        <v>0</v>
      </c>
      <c r="K72" s="52" t="n">
        <f aca="false">IFERROR(F72/E72,0)</f>
        <v>0</v>
      </c>
      <c r="L72" s="123" t="str">
        <f aca="false">IF(E72=0,"Chưa có TC (gap)",IF(H72&gt;0,"Có lỗi (Fail)",IF(I72&gt;0,"Bị block",IF(F72&lt;E72,"Đang test",IF(G72=0,"Không áp dụng (N/A)","Đã test xong")))))</f>
        <v>Đang test</v>
      </c>
      <c r="AB72" s="1" t="s">
        <v>452</v>
      </c>
    </row>
    <row r="73" customFormat="false" ht="15.75" hidden="false" customHeight="true" outlineLevel="0" collapsed="false">
      <c r="B73" s="175" t="s">
        <v>613</v>
      </c>
      <c r="C73" s="176" t="s">
        <v>614</v>
      </c>
      <c r="D73" s="123" t="s">
        <v>615</v>
      </c>
      <c r="E73" s="51" t="n">
        <f aca="false">SUMPRODUCT(--ISNUMBER(SEARCH(", "&amp;$B73&amp;", ",", "&amp;'Hoạt động (Đơn của tôi)'!$B$7:$B$500&amp;", ")))+SUMPRODUCT(--ISNUMBER(SEARCH(", "&amp;$B73&amp;", ",", "&amp;'Ghép nối'!$B$7:$B$500&amp;", ")))+SUMPRODUCT(--ISNUMBER(SEARCH(", "&amp;$B73&amp;", ",", "&amp;'Huỷ đơn - Huỷ nhận đơn'!$B$7:$B$500&amp;", ")))+SUMPRODUCT(--ISNUMBER(SEARCH(", "&amp;$B73&amp;", ",", "&amp;'Giao nhận &amp; Theo dõi đơn'!$B$7:$B$500&amp;", ")))+SUMPRODUCT(--ISNUMBER(SEARCH(", "&amp;$B73&amp;", ",", "&amp;'Bảng tin &amp; Chi tiết tin'!$B$7:$B$500&amp;", ")))+SUMPRODUCT(--ISNUMBER(SEARCH(", "&amp;$B73&amp;", ",", "&amp;'Quà cảm ơn'!$B$7:$B$500&amp;", ")))+SUMPRODUCT(--ISNUMBER(SEARCH(", "&amp;$B73&amp;", ",", "&amp;'Trang chủ'!$B$7:$B$500&amp;", ")))+SUMPRODUCT(--ISNUMBER(SEARCH(", "&amp;$B73&amp;", ",", "&amp;'Thông báo'!$B$7:$B$500&amp;", ")))+SUMPRODUCT(--ISNUMBER(SEARCH(", "&amp;$B73&amp;", ",", "&amp;'Đăng tin &amp; Quản lý tin'!$B$7:$B$500&amp;", ")))+SUMPRODUCT(--ISNUMBER(SEARCH(", "&amp;$B73&amp;", ",", "&amp;'Trust &amp; Safety'!$B$7:$B$500&amp;", ")))+SUMPRODUCT(--ISNUMBER(SEARCH(", "&amp;$B73&amp;", ",", "&amp;'Tài khoản &amp; Hồ sơ'!$B$7:$B$500&amp;", ")))</f>
        <v>2</v>
      </c>
      <c r="F73" s="51" t="n">
        <f aca="false">SUMPRODUCT(--ISNUMBER(SEARCH(", "&amp;$B73&amp;", ",", "&amp;'Hoạt động (Đơn của tôi)'!$B$7:$B$500&amp;", ")),--('Hoạt động (Đơn của tôi)'!$AT$7:$AT$500&lt;&gt;""))+SUMPRODUCT(--ISNUMBER(SEARCH(", "&amp;$B73&amp;", ",", "&amp;'Ghép nối'!$B$7:$B$500&amp;", ")),--('Ghép nối'!$AT$7:$AT$500&lt;&gt;""))+SUMPRODUCT(--ISNUMBER(SEARCH(", "&amp;$B73&amp;", ",", "&amp;'Huỷ đơn - Huỷ nhận đơn'!$B$7:$B$500&amp;", ")),--('Huỷ đơn - Huỷ nhận đơn'!$AT$7:$AT$500&lt;&gt;""))+SUMPRODUCT(--ISNUMBER(SEARCH(", "&amp;$B73&amp;", ",", "&amp;'Giao nhận &amp; Theo dõi đơn'!$B$7:$B$500&amp;", ")),--('Giao nhận &amp; Theo dõi đơn'!$AT$7:$AT$500&lt;&gt;""))+SUMPRODUCT(--ISNUMBER(SEARCH(", "&amp;$B73&amp;", ",", "&amp;'Bảng tin &amp; Chi tiết tin'!$B$7:$B$500&amp;", ")),--('Bảng tin &amp; Chi tiết tin'!$AT$7:$AT$500&lt;&gt;""))+SUMPRODUCT(--ISNUMBER(SEARCH(", "&amp;$B73&amp;", ",", "&amp;'Quà cảm ơn'!$B$7:$B$500&amp;", ")),--('Quà cảm ơn'!$AT$7:$AT$500&lt;&gt;""))+SUMPRODUCT(--ISNUMBER(SEARCH(", "&amp;$B73&amp;", ",", "&amp;'Trang chủ'!$B$7:$B$500&amp;", ")),--('Trang chủ'!$AT$7:$AT$500&lt;&gt;""))+SUMPRODUCT(--ISNUMBER(SEARCH(", "&amp;$B73&amp;", ",", "&amp;'Thông báo'!$B$7:$B$500&amp;", ")),--('Thông báo'!$AT$7:$AT$500&lt;&gt;""))+SUMPRODUCT(--ISNUMBER(SEARCH(", "&amp;$B73&amp;", ",", "&amp;'Đăng tin &amp; Quản lý tin'!$B$7:$B$500&amp;", ")),--('Đăng tin &amp; Quản lý tin'!$AT$7:$AT$500&lt;&gt;""))+SUMPRODUCT(--ISNUMBER(SEARCH(", "&amp;$B73&amp;", ",", "&amp;'Trust &amp; Safety'!$B$7:$B$500&amp;", ")),--('Trust &amp; Safety'!$AT$7:$AT$500&lt;&gt;""))+SUMPRODUCT(--ISNUMBER(SEARCH(", "&amp;$B73&amp;", ",", "&amp;'Tài khoản &amp; Hồ sơ'!$B$7:$B$500&amp;", ")),--('Tài khoản &amp; Hồ sơ'!$AT$7:$AT$500&lt;&gt;""))</f>
        <v>0</v>
      </c>
      <c r="G73" s="51" t="n">
        <f aca="false">SUMPRODUCT(--ISNUMBER(SEARCH(", "&amp;$B73&amp;", ",", "&amp;'Hoạt động (Đơn của tôi)'!$B$7:$B$500&amp;", ")),--('Hoạt động (Đơn của tôi)'!$AT$7:$AT$500="Pass"))+SUMPRODUCT(--ISNUMBER(SEARCH(", "&amp;$B73&amp;", ",", "&amp;'Ghép nối'!$B$7:$B$500&amp;", ")),--('Ghép nối'!$AT$7:$AT$500="Pass"))+SUMPRODUCT(--ISNUMBER(SEARCH(", "&amp;$B73&amp;", ",", "&amp;'Huỷ đơn - Huỷ nhận đơn'!$B$7:$B$500&amp;", ")),--('Huỷ đơn - Huỷ nhận đơn'!$AT$7:$AT$500="Pass"))+SUMPRODUCT(--ISNUMBER(SEARCH(", "&amp;$B73&amp;", ",", "&amp;'Giao nhận &amp; Theo dõi đơn'!$B$7:$B$500&amp;", ")),--('Giao nhận &amp; Theo dõi đơn'!$AT$7:$AT$500="Pass"))+SUMPRODUCT(--ISNUMBER(SEARCH(", "&amp;$B73&amp;", ",", "&amp;'Bảng tin &amp; Chi tiết tin'!$B$7:$B$500&amp;", ")),--('Bảng tin &amp; Chi tiết tin'!$AT$7:$AT$500="Pass"))+SUMPRODUCT(--ISNUMBER(SEARCH(", "&amp;$B73&amp;", ",", "&amp;'Quà cảm ơn'!$B$7:$B$500&amp;", ")),--('Quà cảm ơn'!$AT$7:$AT$500="Pass"))+SUMPRODUCT(--ISNUMBER(SEARCH(", "&amp;$B73&amp;", ",", "&amp;'Trang chủ'!$B$7:$B$500&amp;", ")),--('Trang chủ'!$AT$7:$AT$500="Pass"))+SUMPRODUCT(--ISNUMBER(SEARCH(", "&amp;$B73&amp;", ",", "&amp;'Thông báo'!$B$7:$B$500&amp;", ")),--('Thông báo'!$AT$7:$AT$500="Pass"))+SUMPRODUCT(--ISNUMBER(SEARCH(", "&amp;$B73&amp;", ",", "&amp;'Đăng tin &amp; Quản lý tin'!$B$7:$B$500&amp;", ")),--('Đăng tin &amp; Quản lý tin'!$AT$7:$AT$500="Pass"))+SUMPRODUCT(--ISNUMBER(SEARCH(", "&amp;$B73&amp;", ",", "&amp;'Trust &amp; Safety'!$B$7:$B$500&amp;", ")),--('Trust &amp; Safety'!$AT$7:$AT$500="Pass"))+SUMPRODUCT(--ISNUMBER(SEARCH(", "&amp;$B73&amp;", ",", "&amp;'Tài khoản &amp; Hồ sơ'!$B$7:$B$500&amp;", ")),--('Tài khoản &amp; Hồ sơ'!$AT$7:$AT$500="Pass"))</f>
        <v>0</v>
      </c>
      <c r="H73" s="51" t="n">
        <f aca="false">SUMPRODUCT(--ISNUMBER(SEARCH(", "&amp;$B73&amp;", ",", "&amp;'Hoạt động (Đơn của tôi)'!$B$7:$B$500&amp;", ")),--('Hoạt động (Đơn của tôi)'!$AT$7:$AT$500="Fail"))+SUMPRODUCT(--ISNUMBER(SEARCH(", "&amp;$B73&amp;", ",", "&amp;'Ghép nối'!$B$7:$B$500&amp;", ")),--('Ghép nối'!$AT$7:$AT$500="Fail"))+SUMPRODUCT(--ISNUMBER(SEARCH(", "&amp;$B73&amp;", ",", "&amp;'Huỷ đơn - Huỷ nhận đơn'!$B$7:$B$500&amp;", ")),--('Huỷ đơn - Huỷ nhận đơn'!$AT$7:$AT$500="Fail"))+SUMPRODUCT(--ISNUMBER(SEARCH(", "&amp;$B73&amp;", ",", "&amp;'Giao nhận &amp; Theo dõi đơn'!$B$7:$B$500&amp;", ")),--('Giao nhận &amp; Theo dõi đơn'!$AT$7:$AT$500="Fail"))+SUMPRODUCT(--ISNUMBER(SEARCH(", "&amp;$B73&amp;", ",", "&amp;'Bảng tin &amp; Chi tiết tin'!$B$7:$B$500&amp;", ")),--('Bảng tin &amp; Chi tiết tin'!$AT$7:$AT$500="Fail"))+SUMPRODUCT(--ISNUMBER(SEARCH(", "&amp;$B73&amp;", ",", "&amp;'Quà cảm ơn'!$B$7:$B$500&amp;", ")),--('Quà cảm ơn'!$AT$7:$AT$500="Fail"))+SUMPRODUCT(--ISNUMBER(SEARCH(", "&amp;$B73&amp;", ",", "&amp;'Trang chủ'!$B$7:$B$500&amp;", ")),--('Trang chủ'!$AT$7:$AT$500="Fail"))+SUMPRODUCT(--ISNUMBER(SEARCH(", "&amp;$B73&amp;", ",", "&amp;'Thông báo'!$B$7:$B$500&amp;", ")),--('Thông báo'!$AT$7:$AT$500="Fail"))+SUMPRODUCT(--ISNUMBER(SEARCH(", "&amp;$B73&amp;", ",", "&amp;'Đăng tin &amp; Quản lý tin'!$B$7:$B$500&amp;", ")),--('Đăng tin &amp; Quản lý tin'!$AT$7:$AT$500="Fail"))+SUMPRODUCT(--ISNUMBER(SEARCH(", "&amp;$B73&amp;", ",", "&amp;'Trust &amp; Safety'!$B$7:$B$500&amp;", ")),--('Trust &amp; Safety'!$AT$7:$AT$500="Fail"))+SUMPRODUCT(--ISNUMBER(SEARCH(", "&amp;$B73&amp;", ",", "&amp;'Tài khoản &amp; Hồ sơ'!$B$7:$B$500&amp;", ")),--('Tài khoản &amp; Hồ sơ'!$AT$7:$AT$500="Fail"))</f>
        <v>0</v>
      </c>
      <c r="I73" s="51" t="n">
        <f aca="false">SUMPRODUCT(--ISNUMBER(SEARCH(", "&amp;$B73&amp;", ",", "&amp;'Hoạt động (Đơn của tôi)'!$B$7:$B$500&amp;", ")),--('Hoạt động (Đơn của tôi)'!$AT$7:$AT$500="Block"))+SUMPRODUCT(--ISNUMBER(SEARCH(", "&amp;$B73&amp;", ",", "&amp;'Ghép nối'!$B$7:$B$500&amp;", ")),--('Ghép nối'!$AT$7:$AT$500="Block"))+SUMPRODUCT(--ISNUMBER(SEARCH(", "&amp;$B73&amp;", ",", "&amp;'Huỷ đơn - Huỷ nhận đơn'!$B$7:$B$500&amp;", ")),--('Huỷ đơn - Huỷ nhận đơn'!$AT$7:$AT$500="Block"))+SUMPRODUCT(--ISNUMBER(SEARCH(", "&amp;$B73&amp;", ",", "&amp;'Giao nhận &amp; Theo dõi đơn'!$B$7:$B$500&amp;", ")),--('Giao nhận &amp; Theo dõi đơn'!$AT$7:$AT$500="Block"))+SUMPRODUCT(--ISNUMBER(SEARCH(", "&amp;$B73&amp;", ",", "&amp;'Bảng tin &amp; Chi tiết tin'!$B$7:$B$500&amp;", ")),--('Bảng tin &amp; Chi tiết tin'!$AT$7:$AT$500="Block"))+SUMPRODUCT(--ISNUMBER(SEARCH(", "&amp;$B73&amp;", ",", "&amp;'Quà cảm ơn'!$B$7:$B$500&amp;", ")),--('Quà cảm ơn'!$AT$7:$AT$500="Block"))+SUMPRODUCT(--ISNUMBER(SEARCH(", "&amp;$B73&amp;", ",", "&amp;'Trang chủ'!$B$7:$B$500&amp;", ")),--('Trang chủ'!$AT$7:$AT$500="Block"))+SUMPRODUCT(--ISNUMBER(SEARCH(", "&amp;$B73&amp;", ",", "&amp;'Thông báo'!$B$7:$B$500&amp;", ")),--('Thông báo'!$AT$7:$AT$500="Block"))+SUMPRODUCT(--ISNUMBER(SEARCH(", "&amp;$B73&amp;", ",", "&amp;'Đăng tin &amp; Quản lý tin'!$B$7:$B$500&amp;", ")),--('Đăng tin &amp; Quản lý tin'!$AT$7:$AT$500="Block"))+SUMPRODUCT(--ISNUMBER(SEARCH(", "&amp;$B73&amp;", ",", "&amp;'Trust &amp; Safety'!$B$7:$B$500&amp;", ")),--('Trust &amp; Safety'!$AT$7:$AT$500="Block"))+SUMPRODUCT(--ISNUMBER(SEARCH(", "&amp;$B73&amp;", ",", "&amp;'Tài khoản &amp; Hồ sơ'!$B$7:$B$500&amp;", ")),--('Tài khoản &amp; Hồ sơ'!$AT$7:$AT$500="Block"))</f>
        <v>0</v>
      </c>
      <c r="J73" s="51" t="n">
        <f aca="false">SUMPRODUCT(--ISNUMBER(SEARCH(", "&amp;$B73&amp;", ",", "&amp;'Hoạt động (Đơn của tôi)'!$B$7:$B$500&amp;", ")),--('Hoạt động (Đơn của tôi)'!$AT$7:$AT$500="N/A"))+SUMPRODUCT(--ISNUMBER(SEARCH(", "&amp;$B73&amp;", ",", "&amp;'Ghép nối'!$B$7:$B$500&amp;", ")),--('Ghép nối'!$AT$7:$AT$500="N/A"))+SUMPRODUCT(--ISNUMBER(SEARCH(", "&amp;$B73&amp;", ",", "&amp;'Huỷ đơn - Huỷ nhận đơn'!$B$7:$B$500&amp;", ")),--('Huỷ đơn - Huỷ nhận đơn'!$AT$7:$AT$500="N/A"))+SUMPRODUCT(--ISNUMBER(SEARCH(", "&amp;$B73&amp;", ",", "&amp;'Giao nhận &amp; Theo dõi đơn'!$B$7:$B$500&amp;", ")),--('Giao nhận &amp; Theo dõi đơn'!$AT$7:$AT$500="N/A"))+SUMPRODUCT(--ISNUMBER(SEARCH(", "&amp;$B73&amp;", ",", "&amp;'Bảng tin &amp; Chi tiết tin'!$B$7:$B$500&amp;", ")),--('Bảng tin &amp; Chi tiết tin'!$AT$7:$AT$500="N/A"))+SUMPRODUCT(--ISNUMBER(SEARCH(", "&amp;$B73&amp;", ",", "&amp;'Quà cảm ơn'!$B$7:$B$500&amp;", ")),--('Quà cảm ơn'!$AT$7:$AT$500="N/A"))+SUMPRODUCT(--ISNUMBER(SEARCH(", "&amp;$B73&amp;", ",", "&amp;'Trang chủ'!$B$7:$B$500&amp;", ")),--('Trang chủ'!$AT$7:$AT$500="N/A"))+SUMPRODUCT(--ISNUMBER(SEARCH(", "&amp;$B73&amp;", ",", "&amp;'Thông báo'!$B$7:$B$500&amp;", ")),--('Thông báo'!$AT$7:$AT$500="N/A"))+SUMPRODUCT(--ISNUMBER(SEARCH(", "&amp;$B73&amp;", ",", "&amp;'Đăng tin &amp; Quản lý tin'!$B$7:$B$500&amp;", ")),--('Đăng tin &amp; Quản lý tin'!$AT$7:$AT$500="N/A"))+SUMPRODUCT(--ISNUMBER(SEARCH(", "&amp;$B73&amp;", ",", "&amp;'Trust &amp; Safety'!$B$7:$B$500&amp;", ")),--('Trust &amp; Safety'!$AT$7:$AT$500="N/A"))+SUMPRODUCT(--ISNUMBER(SEARCH(", "&amp;$B73&amp;", ",", "&amp;'Tài khoản &amp; Hồ sơ'!$B$7:$B$500&amp;", ")),--('Tài khoản &amp; Hồ sơ'!$AT$7:$AT$500="N/A"))</f>
        <v>0</v>
      </c>
      <c r="K73" s="52" t="n">
        <f aca="false">IFERROR(F73/E73,0)</f>
        <v>0</v>
      </c>
      <c r="L73" s="123" t="str">
        <f aca="false">IF(E73=0,"Chưa có TC (gap)",IF(H73&gt;0,"Có lỗi (Fail)",IF(I73&gt;0,"Bị block",IF(F73&lt;E73,"Đang test",IF(G73=0,"Không áp dụng (N/A)","Đã test xong")))))</f>
        <v>Đang test</v>
      </c>
      <c r="AB73" s="1" t="s">
        <v>452</v>
      </c>
    </row>
    <row r="74" customFormat="false" ht="15.75" hidden="false" customHeight="true" outlineLevel="0" collapsed="false">
      <c r="B74" s="175" t="s">
        <v>616</v>
      </c>
      <c r="C74" s="176" t="s">
        <v>617</v>
      </c>
      <c r="D74" s="123" t="s">
        <v>618</v>
      </c>
      <c r="E74" s="51" t="n">
        <f aca="false">SUMPRODUCT(--ISNUMBER(SEARCH(", "&amp;$B74&amp;", ",", "&amp;'Hoạt động (Đơn của tôi)'!$B$7:$B$500&amp;", ")))+SUMPRODUCT(--ISNUMBER(SEARCH(", "&amp;$B74&amp;", ",", "&amp;'Ghép nối'!$B$7:$B$500&amp;", ")))+SUMPRODUCT(--ISNUMBER(SEARCH(", "&amp;$B74&amp;", ",", "&amp;'Huỷ đơn - Huỷ nhận đơn'!$B$7:$B$500&amp;", ")))+SUMPRODUCT(--ISNUMBER(SEARCH(", "&amp;$B74&amp;", ",", "&amp;'Giao nhận &amp; Theo dõi đơn'!$B$7:$B$500&amp;", ")))+SUMPRODUCT(--ISNUMBER(SEARCH(", "&amp;$B74&amp;", ",", "&amp;'Bảng tin &amp; Chi tiết tin'!$B$7:$B$500&amp;", ")))+SUMPRODUCT(--ISNUMBER(SEARCH(", "&amp;$B74&amp;", ",", "&amp;'Quà cảm ơn'!$B$7:$B$500&amp;", ")))+SUMPRODUCT(--ISNUMBER(SEARCH(", "&amp;$B74&amp;", ",", "&amp;'Trang chủ'!$B$7:$B$500&amp;", ")))+SUMPRODUCT(--ISNUMBER(SEARCH(", "&amp;$B74&amp;", ",", "&amp;'Thông báo'!$B$7:$B$500&amp;", ")))+SUMPRODUCT(--ISNUMBER(SEARCH(", "&amp;$B74&amp;", ",", "&amp;'Đăng tin &amp; Quản lý tin'!$B$7:$B$500&amp;", ")))+SUMPRODUCT(--ISNUMBER(SEARCH(", "&amp;$B74&amp;", ",", "&amp;'Trust &amp; Safety'!$B$7:$B$500&amp;", ")))+SUMPRODUCT(--ISNUMBER(SEARCH(", "&amp;$B74&amp;", ",", "&amp;'Tài khoản &amp; Hồ sơ'!$B$7:$B$500&amp;", ")))</f>
        <v>2</v>
      </c>
      <c r="F74" s="51" t="n">
        <f aca="false">SUMPRODUCT(--ISNUMBER(SEARCH(", "&amp;$B74&amp;", ",", "&amp;'Hoạt động (Đơn của tôi)'!$B$7:$B$500&amp;", ")),--('Hoạt động (Đơn của tôi)'!$AT$7:$AT$500&lt;&gt;""))+SUMPRODUCT(--ISNUMBER(SEARCH(", "&amp;$B74&amp;", ",", "&amp;'Ghép nối'!$B$7:$B$500&amp;", ")),--('Ghép nối'!$AT$7:$AT$500&lt;&gt;""))+SUMPRODUCT(--ISNUMBER(SEARCH(", "&amp;$B74&amp;", ",", "&amp;'Huỷ đơn - Huỷ nhận đơn'!$B$7:$B$500&amp;", ")),--('Huỷ đơn - Huỷ nhận đơn'!$AT$7:$AT$500&lt;&gt;""))+SUMPRODUCT(--ISNUMBER(SEARCH(", "&amp;$B74&amp;", ",", "&amp;'Giao nhận &amp; Theo dõi đơn'!$B$7:$B$500&amp;", ")),--('Giao nhận &amp; Theo dõi đơn'!$AT$7:$AT$500&lt;&gt;""))+SUMPRODUCT(--ISNUMBER(SEARCH(", "&amp;$B74&amp;", ",", "&amp;'Bảng tin &amp; Chi tiết tin'!$B$7:$B$500&amp;", ")),--('Bảng tin &amp; Chi tiết tin'!$AT$7:$AT$500&lt;&gt;""))+SUMPRODUCT(--ISNUMBER(SEARCH(", "&amp;$B74&amp;", ",", "&amp;'Quà cảm ơn'!$B$7:$B$500&amp;", ")),--('Quà cảm ơn'!$AT$7:$AT$500&lt;&gt;""))+SUMPRODUCT(--ISNUMBER(SEARCH(", "&amp;$B74&amp;", ",", "&amp;'Trang chủ'!$B$7:$B$500&amp;", ")),--('Trang chủ'!$AT$7:$AT$500&lt;&gt;""))+SUMPRODUCT(--ISNUMBER(SEARCH(", "&amp;$B74&amp;", ",", "&amp;'Thông báo'!$B$7:$B$500&amp;", ")),--('Thông báo'!$AT$7:$AT$500&lt;&gt;""))+SUMPRODUCT(--ISNUMBER(SEARCH(", "&amp;$B74&amp;", ",", "&amp;'Đăng tin &amp; Quản lý tin'!$B$7:$B$500&amp;", ")),--('Đăng tin &amp; Quản lý tin'!$AT$7:$AT$500&lt;&gt;""))+SUMPRODUCT(--ISNUMBER(SEARCH(", "&amp;$B74&amp;", ",", "&amp;'Trust &amp; Safety'!$B$7:$B$500&amp;", ")),--('Trust &amp; Safety'!$AT$7:$AT$500&lt;&gt;""))+SUMPRODUCT(--ISNUMBER(SEARCH(", "&amp;$B74&amp;", ",", "&amp;'Tài khoản &amp; Hồ sơ'!$B$7:$B$500&amp;", ")),--('Tài khoản &amp; Hồ sơ'!$AT$7:$AT$500&lt;&gt;""))</f>
        <v>0</v>
      </c>
      <c r="G74" s="51" t="n">
        <f aca="false">SUMPRODUCT(--ISNUMBER(SEARCH(", "&amp;$B74&amp;", ",", "&amp;'Hoạt động (Đơn của tôi)'!$B$7:$B$500&amp;", ")),--('Hoạt động (Đơn của tôi)'!$AT$7:$AT$500="Pass"))+SUMPRODUCT(--ISNUMBER(SEARCH(", "&amp;$B74&amp;", ",", "&amp;'Ghép nối'!$B$7:$B$500&amp;", ")),--('Ghép nối'!$AT$7:$AT$500="Pass"))+SUMPRODUCT(--ISNUMBER(SEARCH(", "&amp;$B74&amp;", ",", "&amp;'Huỷ đơn - Huỷ nhận đơn'!$B$7:$B$500&amp;", ")),--('Huỷ đơn - Huỷ nhận đơn'!$AT$7:$AT$500="Pass"))+SUMPRODUCT(--ISNUMBER(SEARCH(", "&amp;$B74&amp;", ",", "&amp;'Giao nhận &amp; Theo dõi đơn'!$B$7:$B$500&amp;", ")),--('Giao nhận &amp; Theo dõi đơn'!$AT$7:$AT$500="Pass"))+SUMPRODUCT(--ISNUMBER(SEARCH(", "&amp;$B74&amp;", ",", "&amp;'Bảng tin &amp; Chi tiết tin'!$B$7:$B$500&amp;", ")),--('Bảng tin &amp; Chi tiết tin'!$AT$7:$AT$500="Pass"))+SUMPRODUCT(--ISNUMBER(SEARCH(", "&amp;$B74&amp;", ",", "&amp;'Quà cảm ơn'!$B$7:$B$500&amp;", ")),--('Quà cảm ơn'!$AT$7:$AT$500="Pass"))+SUMPRODUCT(--ISNUMBER(SEARCH(", "&amp;$B74&amp;", ",", "&amp;'Trang chủ'!$B$7:$B$500&amp;", ")),--('Trang chủ'!$AT$7:$AT$500="Pass"))+SUMPRODUCT(--ISNUMBER(SEARCH(", "&amp;$B74&amp;", ",", "&amp;'Thông báo'!$B$7:$B$500&amp;", ")),--('Thông báo'!$AT$7:$AT$500="Pass"))+SUMPRODUCT(--ISNUMBER(SEARCH(", "&amp;$B74&amp;", ",", "&amp;'Đăng tin &amp; Quản lý tin'!$B$7:$B$500&amp;", ")),--('Đăng tin &amp; Quản lý tin'!$AT$7:$AT$500="Pass"))+SUMPRODUCT(--ISNUMBER(SEARCH(", "&amp;$B74&amp;", ",", "&amp;'Trust &amp; Safety'!$B$7:$B$500&amp;", ")),--('Trust &amp; Safety'!$AT$7:$AT$500="Pass"))+SUMPRODUCT(--ISNUMBER(SEARCH(", "&amp;$B74&amp;", ",", "&amp;'Tài khoản &amp; Hồ sơ'!$B$7:$B$500&amp;", ")),--('Tài khoản &amp; Hồ sơ'!$AT$7:$AT$500="Pass"))</f>
        <v>0</v>
      </c>
      <c r="H74" s="51" t="n">
        <f aca="false">SUMPRODUCT(--ISNUMBER(SEARCH(", "&amp;$B74&amp;", ",", "&amp;'Hoạt động (Đơn của tôi)'!$B$7:$B$500&amp;", ")),--('Hoạt động (Đơn của tôi)'!$AT$7:$AT$500="Fail"))+SUMPRODUCT(--ISNUMBER(SEARCH(", "&amp;$B74&amp;", ",", "&amp;'Ghép nối'!$B$7:$B$500&amp;", ")),--('Ghép nối'!$AT$7:$AT$500="Fail"))+SUMPRODUCT(--ISNUMBER(SEARCH(", "&amp;$B74&amp;", ",", "&amp;'Huỷ đơn - Huỷ nhận đơn'!$B$7:$B$500&amp;", ")),--('Huỷ đơn - Huỷ nhận đơn'!$AT$7:$AT$500="Fail"))+SUMPRODUCT(--ISNUMBER(SEARCH(", "&amp;$B74&amp;", ",", "&amp;'Giao nhận &amp; Theo dõi đơn'!$B$7:$B$500&amp;", ")),--('Giao nhận &amp; Theo dõi đơn'!$AT$7:$AT$500="Fail"))+SUMPRODUCT(--ISNUMBER(SEARCH(", "&amp;$B74&amp;", ",", "&amp;'Bảng tin &amp; Chi tiết tin'!$B$7:$B$500&amp;", ")),--('Bảng tin &amp; Chi tiết tin'!$AT$7:$AT$500="Fail"))+SUMPRODUCT(--ISNUMBER(SEARCH(", "&amp;$B74&amp;", ",", "&amp;'Quà cảm ơn'!$B$7:$B$500&amp;", ")),--('Quà cảm ơn'!$AT$7:$AT$500="Fail"))+SUMPRODUCT(--ISNUMBER(SEARCH(", "&amp;$B74&amp;", ",", "&amp;'Trang chủ'!$B$7:$B$500&amp;", ")),--('Trang chủ'!$AT$7:$AT$500="Fail"))+SUMPRODUCT(--ISNUMBER(SEARCH(", "&amp;$B74&amp;", ",", "&amp;'Thông báo'!$B$7:$B$500&amp;", ")),--('Thông báo'!$AT$7:$AT$500="Fail"))+SUMPRODUCT(--ISNUMBER(SEARCH(", "&amp;$B74&amp;", ",", "&amp;'Đăng tin &amp; Quản lý tin'!$B$7:$B$500&amp;", ")),--('Đăng tin &amp; Quản lý tin'!$AT$7:$AT$500="Fail"))+SUMPRODUCT(--ISNUMBER(SEARCH(", "&amp;$B74&amp;", ",", "&amp;'Trust &amp; Safety'!$B$7:$B$500&amp;", ")),--('Trust &amp; Safety'!$AT$7:$AT$500="Fail"))+SUMPRODUCT(--ISNUMBER(SEARCH(", "&amp;$B74&amp;", ",", "&amp;'Tài khoản &amp; Hồ sơ'!$B$7:$B$500&amp;", ")),--('Tài khoản &amp; Hồ sơ'!$AT$7:$AT$500="Fail"))</f>
        <v>0</v>
      </c>
      <c r="I74" s="51" t="n">
        <f aca="false">SUMPRODUCT(--ISNUMBER(SEARCH(", "&amp;$B74&amp;", ",", "&amp;'Hoạt động (Đơn của tôi)'!$B$7:$B$500&amp;", ")),--('Hoạt động (Đơn của tôi)'!$AT$7:$AT$500="Block"))+SUMPRODUCT(--ISNUMBER(SEARCH(", "&amp;$B74&amp;", ",", "&amp;'Ghép nối'!$B$7:$B$500&amp;", ")),--('Ghép nối'!$AT$7:$AT$500="Block"))+SUMPRODUCT(--ISNUMBER(SEARCH(", "&amp;$B74&amp;", ",", "&amp;'Huỷ đơn - Huỷ nhận đơn'!$B$7:$B$500&amp;", ")),--('Huỷ đơn - Huỷ nhận đơn'!$AT$7:$AT$500="Block"))+SUMPRODUCT(--ISNUMBER(SEARCH(", "&amp;$B74&amp;", ",", "&amp;'Giao nhận &amp; Theo dõi đơn'!$B$7:$B$500&amp;", ")),--('Giao nhận &amp; Theo dõi đơn'!$AT$7:$AT$500="Block"))+SUMPRODUCT(--ISNUMBER(SEARCH(", "&amp;$B74&amp;", ",", "&amp;'Bảng tin &amp; Chi tiết tin'!$B$7:$B$500&amp;", ")),--('Bảng tin &amp; Chi tiết tin'!$AT$7:$AT$500="Block"))+SUMPRODUCT(--ISNUMBER(SEARCH(", "&amp;$B74&amp;", ",", "&amp;'Quà cảm ơn'!$B$7:$B$500&amp;", ")),--('Quà cảm ơn'!$AT$7:$AT$500="Block"))+SUMPRODUCT(--ISNUMBER(SEARCH(", "&amp;$B74&amp;", ",", "&amp;'Trang chủ'!$B$7:$B$500&amp;", ")),--('Trang chủ'!$AT$7:$AT$500="Block"))+SUMPRODUCT(--ISNUMBER(SEARCH(", "&amp;$B74&amp;", ",", "&amp;'Thông báo'!$B$7:$B$500&amp;", ")),--('Thông báo'!$AT$7:$AT$500="Block"))+SUMPRODUCT(--ISNUMBER(SEARCH(", "&amp;$B74&amp;", ",", "&amp;'Đăng tin &amp; Quản lý tin'!$B$7:$B$500&amp;", ")),--('Đăng tin &amp; Quản lý tin'!$AT$7:$AT$500="Block"))+SUMPRODUCT(--ISNUMBER(SEARCH(", "&amp;$B74&amp;", ",", "&amp;'Trust &amp; Safety'!$B$7:$B$500&amp;", ")),--('Trust &amp; Safety'!$AT$7:$AT$500="Block"))+SUMPRODUCT(--ISNUMBER(SEARCH(", "&amp;$B74&amp;", ",", "&amp;'Tài khoản &amp; Hồ sơ'!$B$7:$B$500&amp;", ")),--('Tài khoản &amp; Hồ sơ'!$AT$7:$AT$500="Block"))</f>
        <v>0</v>
      </c>
      <c r="J74" s="51" t="n">
        <f aca="false">SUMPRODUCT(--ISNUMBER(SEARCH(", "&amp;$B74&amp;", ",", "&amp;'Hoạt động (Đơn của tôi)'!$B$7:$B$500&amp;", ")),--('Hoạt động (Đơn của tôi)'!$AT$7:$AT$500="N/A"))+SUMPRODUCT(--ISNUMBER(SEARCH(", "&amp;$B74&amp;", ",", "&amp;'Ghép nối'!$B$7:$B$500&amp;", ")),--('Ghép nối'!$AT$7:$AT$500="N/A"))+SUMPRODUCT(--ISNUMBER(SEARCH(", "&amp;$B74&amp;", ",", "&amp;'Huỷ đơn - Huỷ nhận đơn'!$B$7:$B$500&amp;", ")),--('Huỷ đơn - Huỷ nhận đơn'!$AT$7:$AT$500="N/A"))+SUMPRODUCT(--ISNUMBER(SEARCH(", "&amp;$B74&amp;", ",", "&amp;'Giao nhận &amp; Theo dõi đơn'!$B$7:$B$500&amp;", ")),--('Giao nhận &amp; Theo dõi đơn'!$AT$7:$AT$500="N/A"))+SUMPRODUCT(--ISNUMBER(SEARCH(", "&amp;$B74&amp;", ",", "&amp;'Bảng tin &amp; Chi tiết tin'!$B$7:$B$500&amp;", ")),--('Bảng tin &amp; Chi tiết tin'!$AT$7:$AT$500="N/A"))+SUMPRODUCT(--ISNUMBER(SEARCH(", "&amp;$B74&amp;", ",", "&amp;'Quà cảm ơn'!$B$7:$B$500&amp;", ")),--('Quà cảm ơn'!$AT$7:$AT$500="N/A"))+SUMPRODUCT(--ISNUMBER(SEARCH(", "&amp;$B74&amp;", ",", "&amp;'Trang chủ'!$B$7:$B$500&amp;", ")),--('Trang chủ'!$AT$7:$AT$500="N/A"))+SUMPRODUCT(--ISNUMBER(SEARCH(", "&amp;$B74&amp;", ",", "&amp;'Thông báo'!$B$7:$B$500&amp;", ")),--('Thông báo'!$AT$7:$AT$500="N/A"))+SUMPRODUCT(--ISNUMBER(SEARCH(", "&amp;$B74&amp;", ",", "&amp;'Đăng tin &amp; Quản lý tin'!$B$7:$B$500&amp;", ")),--('Đăng tin &amp; Quản lý tin'!$AT$7:$AT$500="N/A"))+SUMPRODUCT(--ISNUMBER(SEARCH(", "&amp;$B74&amp;", ",", "&amp;'Trust &amp; Safety'!$B$7:$B$500&amp;", ")),--('Trust &amp; Safety'!$AT$7:$AT$500="N/A"))+SUMPRODUCT(--ISNUMBER(SEARCH(", "&amp;$B74&amp;", ",", "&amp;'Tài khoản &amp; Hồ sơ'!$B$7:$B$500&amp;", ")),--('Tài khoản &amp; Hồ sơ'!$AT$7:$AT$500="N/A"))</f>
        <v>0</v>
      </c>
      <c r="K74" s="52" t="n">
        <f aca="false">IFERROR(F74/E74,0)</f>
        <v>0</v>
      </c>
      <c r="L74" s="123" t="str">
        <f aca="false">IF(E74=0,"Chưa có TC (gap)",IF(H74&gt;0,"Có lỗi (Fail)",IF(I74&gt;0,"Bị block",IF(F74&lt;E74,"Đang test",IF(G74=0,"Không áp dụng (N/A)","Đã test xong")))))</f>
        <v>Đang test</v>
      </c>
      <c r="AB74" s="1" t="s">
        <v>452</v>
      </c>
    </row>
    <row r="75" customFormat="false" ht="15.75" hidden="false" customHeight="true" outlineLevel="0" collapsed="false">
      <c r="B75" s="175" t="s">
        <v>619</v>
      </c>
      <c r="C75" s="176" t="s">
        <v>620</v>
      </c>
      <c r="D75" s="123" t="s">
        <v>621</v>
      </c>
      <c r="E75" s="51" t="n">
        <f aca="false">SUMPRODUCT(--ISNUMBER(SEARCH(", "&amp;$B75&amp;", ",", "&amp;'Hoạt động (Đơn của tôi)'!$B$7:$B$500&amp;", ")))+SUMPRODUCT(--ISNUMBER(SEARCH(", "&amp;$B75&amp;", ",", "&amp;'Ghép nối'!$B$7:$B$500&amp;", ")))+SUMPRODUCT(--ISNUMBER(SEARCH(", "&amp;$B75&amp;", ",", "&amp;'Huỷ đơn - Huỷ nhận đơn'!$B$7:$B$500&amp;", ")))+SUMPRODUCT(--ISNUMBER(SEARCH(", "&amp;$B75&amp;", ",", "&amp;'Giao nhận &amp; Theo dõi đơn'!$B$7:$B$500&amp;", ")))+SUMPRODUCT(--ISNUMBER(SEARCH(", "&amp;$B75&amp;", ",", "&amp;'Bảng tin &amp; Chi tiết tin'!$B$7:$B$500&amp;", ")))+SUMPRODUCT(--ISNUMBER(SEARCH(", "&amp;$B75&amp;", ",", "&amp;'Quà cảm ơn'!$B$7:$B$500&amp;", ")))+SUMPRODUCT(--ISNUMBER(SEARCH(", "&amp;$B75&amp;", ",", "&amp;'Trang chủ'!$B$7:$B$500&amp;", ")))+SUMPRODUCT(--ISNUMBER(SEARCH(", "&amp;$B75&amp;", ",", "&amp;'Thông báo'!$B$7:$B$500&amp;", ")))+SUMPRODUCT(--ISNUMBER(SEARCH(", "&amp;$B75&amp;", ",", "&amp;'Đăng tin &amp; Quản lý tin'!$B$7:$B$500&amp;", ")))+SUMPRODUCT(--ISNUMBER(SEARCH(", "&amp;$B75&amp;", ",", "&amp;'Trust &amp; Safety'!$B$7:$B$500&amp;", ")))+SUMPRODUCT(--ISNUMBER(SEARCH(", "&amp;$B75&amp;", ",", "&amp;'Tài khoản &amp; Hồ sơ'!$B$7:$B$500&amp;", ")))</f>
        <v>31</v>
      </c>
      <c r="F75" s="51" t="n">
        <f aca="false">SUMPRODUCT(--ISNUMBER(SEARCH(", "&amp;$B75&amp;", ",", "&amp;'Hoạt động (Đơn của tôi)'!$B$7:$B$500&amp;", ")),--('Hoạt động (Đơn của tôi)'!$AT$7:$AT$500&lt;&gt;""))+SUMPRODUCT(--ISNUMBER(SEARCH(", "&amp;$B75&amp;", ",", "&amp;'Ghép nối'!$B$7:$B$500&amp;", ")),--('Ghép nối'!$AT$7:$AT$500&lt;&gt;""))+SUMPRODUCT(--ISNUMBER(SEARCH(", "&amp;$B75&amp;", ",", "&amp;'Huỷ đơn - Huỷ nhận đơn'!$B$7:$B$500&amp;", ")),--('Huỷ đơn - Huỷ nhận đơn'!$AT$7:$AT$500&lt;&gt;""))+SUMPRODUCT(--ISNUMBER(SEARCH(", "&amp;$B75&amp;", ",", "&amp;'Giao nhận &amp; Theo dõi đơn'!$B$7:$B$500&amp;", ")),--('Giao nhận &amp; Theo dõi đơn'!$AT$7:$AT$500&lt;&gt;""))+SUMPRODUCT(--ISNUMBER(SEARCH(", "&amp;$B75&amp;", ",", "&amp;'Bảng tin &amp; Chi tiết tin'!$B$7:$B$500&amp;", ")),--('Bảng tin &amp; Chi tiết tin'!$AT$7:$AT$500&lt;&gt;""))+SUMPRODUCT(--ISNUMBER(SEARCH(", "&amp;$B75&amp;", ",", "&amp;'Quà cảm ơn'!$B$7:$B$500&amp;", ")),--('Quà cảm ơn'!$AT$7:$AT$500&lt;&gt;""))+SUMPRODUCT(--ISNUMBER(SEARCH(", "&amp;$B75&amp;", ",", "&amp;'Trang chủ'!$B$7:$B$500&amp;", ")),--('Trang chủ'!$AT$7:$AT$500&lt;&gt;""))+SUMPRODUCT(--ISNUMBER(SEARCH(", "&amp;$B75&amp;", ",", "&amp;'Thông báo'!$B$7:$B$500&amp;", ")),--('Thông báo'!$AT$7:$AT$500&lt;&gt;""))+SUMPRODUCT(--ISNUMBER(SEARCH(", "&amp;$B75&amp;", ",", "&amp;'Đăng tin &amp; Quản lý tin'!$B$7:$B$500&amp;", ")),--('Đăng tin &amp; Quản lý tin'!$AT$7:$AT$500&lt;&gt;""))+SUMPRODUCT(--ISNUMBER(SEARCH(", "&amp;$B75&amp;", ",", "&amp;'Trust &amp; Safety'!$B$7:$B$500&amp;", ")),--('Trust &amp; Safety'!$AT$7:$AT$500&lt;&gt;""))+SUMPRODUCT(--ISNUMBER(SEARCH(", "&amp;$B75&amp;", ",", "&amp;'Tài khoản &amp; Hồ sơ'!$B$7:$B$500&amp;", ")),--('Tài khoản &amp; Hồ sơ'!$AT$7:$AT$500&lt;&gt;""))</f>
        <v>0</v>
      </c>
      <c r="G75" s="51" t="n">
        <f aca="false">SUMPRODUCT(--ISNUMBER(SEARCH(", "&amp;$B75&amp;", ",", "&amp;'Hoạt động (Đơn của tôi)'!$B$7:$B$500&amp;", ")),--('Hoạt động (Đơn của tôi)'!$AT$7:$AT$500="Pass"))+SUMPRODUCT(--ISNUMBER(SEARCH(", "&amp;$B75&amp;", ",", "&amp;'Ghép nối'!$B$7:$B$500&amp;", ")),--('Ghép nối'!$AT$7:$AT$500="Pass"))+SUMPRODUCT(--ISNUMBER(SEARCH(", "&amp;$B75&amp;", ",", "&amp;'Huỷ đơn - Huỷ nhận đơn'!$B$7:$B$500&amp;", ")),--('Huỷ đơn - Huỷ nhận đơn'!$AT$7:$AT$500="Pass"))+SUMPRODUCT(--ISNUMBER(SEARCH(", "&amp;$B75&amp;", ",", "&amp;'Giao nhận &amp; Theo dõi đơn'!$B$7:$B$500&amp;", ")),--('Giao nhận &amp; Theo dõi đơn'!$AT$7:$AT$500="Pass"))+SUMPRODUCT(--ISNUMBER(SEARCH(", "&amp;$B75&amp;", ",", "&amp;'Bảng tin &amp; Chi tiết tin'!$B$7:$B$500&amp;", ")),--('Bảng tin &amp; Chi tiết tin'!$AT$7:$AT$500="Pass"))+SUMPRODUCT(--ISNUMBER(SEARCH(", "&amp;$B75&amp;", ",", "&amp;'Quà cảm ơn'!$B$7:$B$500&amp;", ")),--('Quà cảm ơn'!$AT$7:$AT$500="Pass"))+SUMPRODUCT(--ISNUMBER(SEARCH(", "&amp;$B75&amp;", ",", "&amp;'Trang chủ'!$B$7:$B$500&amp;", ")),--('Trang chủ'!$AT$7:$AT$500="Pass"))+SUMPRODUCT(--ISNUMBER(SEARCH(", "&amp;$B75&amp;", ",", "&amp;'Thông báo'!$B$7:$B$500&amp;", ")),--('Thông báo'!$AT$7:$AT$500="Pass"))+SUMPRODUCT(--ISNUMBER(SEARCH(", "&amp;$B75&amp;", ",", "&amp;'Đăng tin &amp; Quản lý tin'!$B$7:$B$500&amp;", ")),--('Đăng tin &amp; Quản lý tin'!$AT$7:$AT$500="Pass"))+SUMPRODUCT(--ISNUMBER(SEARCH(", "&amp;$B75&amp;", ",", "&amp;'Trust &amp; Safety'!$B$7:$B$500&amp;", ")),--('Trust &amp; Safety'!$AT$7:$AT$500="Pass"))+SUMPRODUCT(--ISNUMBER(SEARCH(", "&amp;$B75&amp;", ",", "&amp;'Tài khoản &amp; Hồ sơ'!$B$7:$B$500&amp;", ")),--('Tài khoản &amp; Hồ sơ'!$AT$7:$AT$500="Pass"))</f>
        <v>0</v>
      </c>
      <c r="H75" s="51" t="n">
        <f aca="false">SUMPRODUCT(--ISNUMBER(SEARCH(", "&amp;$B75&amp;", ",", "&amp;'Hoạt động (Đơn của tôi)'!$B$7:$B$500&amp;", ")),--('Hoạt động (Đơn của tôi)'!$AT$7:$AT$500="Fail"))+SUMPRODUCT(--ISNUMBER(SEARCH(", "&amp;$B75&amp;", ",", "&amp;'Ghép nối'!$B$7:$B$500&amp;", ")),--('Ghép nối'!$AT$7:$AT$500="Fail"))+SUMPRODUCT(--ISNUMBER(SEARCH(", "&amp;$B75&amp;", ",", "&amp;'Huỷ đơn - Huỷ nhận đơn'!$B$7:$B$500&amp;", ")),--('Huỷ đơn - Huỷ nhận đơn'!$AT$7:$AT$500="Fail"))+SUMPRODUCT(--ISNUMBER(SEARCH(", "&amp;$B75&amp;", ",", "&amp;'Giao nhận &amp; Theo dõi đơn'!$B$7:$B$500&amp;", ")),--('Giao nhận &amp; Theo dõi đơn'!$AT$7:$AT$500="Fail"))+SUMPRODUCT(--ISNUMBER(SEARCH(", "&amp;$B75&amp;", ",", "&amp;'Bảng tin &amp; Chi tiết tin'!$B$7:$B$500&amp;", ")),--('Bảng tin &amp; Chi tiết tin'!$AT$7:$AT$500="Fail"))+SUMPRODUCT(--ISNUMBER(SEARCH(", "&amp;$B75&amp;", ",", "&amp;'Quà cảm ơn'!$B$7:$B$500&amp;", ")),--('Quà cảm ơn'!$AT$7:$AT$500="Fail"))+SUMPRODUCT(--ISNUMBER(SEARCH(", "&amp;$B75&amp;", ",", "&amp;'Trang chủ'!$B$7:$B$500&amp;", ")),--('Trang chủ'!$AT$7:$AT$500="Fail"))+SUMPRODUCT(--ISNUMBER(SEARCH(", "&amp;$B75&amp;", ",", "&amp;'Thông báo'!$B$7:$B$500&amp;", ")),--('Thông báo'!$AT$7:$AT$500="Fail"))+SUMPRODUCT(--ISNUMBER(SEARCH(", "&amp;$B75&amp;", ",", "&amp;'Đăng tin &amp; Quản lý tin'!$B$7:$B$500&amp;", ")),--('Đăng tin &amp; Quản lý tin'!$AT$7:$AT$500="Fail"))+SUMPRODUCT(--ISNUMBER(SEARCH(", "&amp;$B75&amp;", ",", "&amp;'Trust &amp; Safety'!$B$7:$B$500&amp;", ")),--('Trust &amp; Safety'!$AT$7:$AT$500="Fail"))+SUMPRODUCT(--ISNUMBER(SEARCH(", "&amp;$B75&amp;", ",", "&amp;'Tài khoản &amp; Hồ sơ'!$B$7:$B$500&amp;", ")),--('Tài khoản &amp; Hồ sơ'!$AT$7:$AT$500="Fail"))</f>
        <v>0</v>
      </c>
      <c r="I75" s="51" t="n">
        <f aca="false">SUMPRODUCT(--ISNUMBER(SEARCH(", "&amp;$B75&amp;", ",", "&amp;'Hoạt động (Đơn của tôi)'!$B$7:$B$500&amp;", ")),--('Hoạt động (Đơn của tôi)'!$AT$7:$AT$500="Block"))+SUMPRODUCT(--ISNUMBER(SEARCH(", "&amp;$B75&amp;", ",", "&amp;'Ghép nối'!$B$7:$B$500&amp;", ")),--('Ghép nối'!$AT$7:$AT$500="Block"))+SUMPRODUCT(--ISNUMBER(SEARCH(", "&amp;$B75&amp;", ",", "&amp;'Huỷ đơn - Huỷ nhận đơn'!$B$7:$B$500&amp;", ")),--('Huỷ đơn - Huỷ nhận đơn'!$AT$7:$AT$500="Block"))+SUMPRODUCT(--ISNUMBER(SEARCH(", "&amp;$B75&amp;", ",", "&amp;'Giao nhận &amp; Theo dõi đơn'!$B$7:$B$500&amp;", ")),--('Giao nhận &amp; Theo dõi đơn'!$AT$7:$AT$500="Block"))+SUMPRODUCT(--ISNUMBER(SEARCH(", "&amp;$B75&amp;", ",", "&amp;'Bảng tin &amp; Chi tiết tin'!$B$7:$B$500&amp;", ")),--('Bảng tin &amp; Chi tiết tin'!$AT$7:$AT$500="Block"))+SUMPRODUCT(--ISNUMBER(SEARCH(", "&amp;$B75&amp;", ",", "&amp;'Quà cảm ơn'!$B$7:$B$500&amp;", ")),--('Quà cảm ơn'!$AT$7:$AT$500="Block"))+SUMPRODUCT(--ISNUMBER(SEARCH(", "&amp;$B75&amp;", ",", "&amp;'Trang chủ'!$B$7:$B$500&amp;", ")),--('Trang chủ'!$AT$7:$AT$500="Block"))+SUMPRODUCT(--ISNUMBER(SEARCH(", "&amp;$B75&amp;", ",", "&amp;'Thông báo'!$B$7:$B$500&amp;", ")),--('Thông báo'!$AT$7:$AT$500="Block"))+SUMPRODUCT(--ISNUMBER(SEARCH(", "&amp;$B75&amp;", ",", "&amp;'Đăng tin &amp; Quản lý tin'!$B$7:$B$500&amp;", ")),--('Đăng tin &amp; Quản lý tin'!$AT$7:$AT$500="Block"))+SUMPRODUCT(--ISNUMBER(SEARCH(", "&amp;$B75&amp;", ",", "&amp;'Trust &amp; Safety'!$B$7:$B$500&amp;", ")),--('Trust &amp; Safety'!$AT$7:$AT$500="Block"))+SUMPRODUCT(--ISNUMBER(SEARCH(", "&amp;$B75&amp;", ",", "&amp;'Tài khoản &amp; Hồ sơ'!$B$7:$B$500&amp;", ")),--('Tài khoản &amp; Hồ sơ'!$AT$7:$AT$500="Block"))</f>
        <v>0</v>
      </c>
      <c r="J75" s="51" t="n">
        <f aca="false">SUMPRODUCT(--ISNUMBER(SEARCH(", "&amp;$B75&amp;", ",", "&amp;'Hoạt động (Đơn của tôi)'!$B$7:$B$500&amp;", ")),--('Hoạt động (Đơn của tôi)'!$AT$7:$AT$500="N/A"))+SUMPRODUCT(--ISNUMBER(SEARCH(", "&amp;$B75&amp;", ",", "&amp;'Ghép nối'!$B$7:$B$500&amp;", ")),--('Ghép nối'!$AT$7:$AT$500="N/A"))+SUMPRODUCT(--ISNUMBER(SEARCH(", "&amp;$B75&amp;", ",", "&amp;'Huỷ đơn - Huỷ nhận đơn'!$B$7:$B$500&amp;", ")),--('Huỷ đơn - Huỷ nhận đơn'!$AT$7:$AT$500="N/A"))+SUMPRODUCT(--ISNUMBER(SEARCH(", "&amp;$B75&amp;", ",", "&amp;'Giao nhận &amp; Theo dõi đơn'!$B$7:$B$500&amp;", ")),--('Giao nhận &amp; Theo dõi đơn'!$AT$7:$AT$500="N/A"))+SUMPRODUCT(--ISNUMBER(SEARCH(", "&amp;$B75&amp;", ",", "&amp;'Bảng tin &amp; Chi tiết tin'!$B$7:$B$500&amp;", ")),--('Bảng tin &amp; Chi tiết tin'!$AT$7:$AT$500="N/A"))+SUMPRODUCT(--ISNUMBER(SEARCH(", "&amp;$B75&amp;", ",", "&amp;'Quà cảm ơn'!$B$7:$B$500&amp;", ")),--('Quà cảm ơn'!$AT$7:$AT$500="N/A"))+SUMPRODUCT(--ISNUMBER(SEARCH(", "&amp;$B75&amp;", ",", "&amp;'Trang chủ'!$B$7:$B$500&amp;", ")),--('Trang chủ'!$AT$7:$AT$500="N/A"))+SUMPRODUCT(--ISNUMBER(SEARCH(", "&amp;$B75&amp;", ",", "&amp;'Thông báo'!$B$7:$B$500&amp;", ")),--('Thông báo'!$AT$7:$AT$500="N/A"))+SUMPRODUCT(--ISNUMBER(SEARCH(", "&amp;$B75&amp;", ",", "&amp;'Đăng tin &amp; Quản lý tin'!$B$7:$B$500&amp;", ")),--('Đăng tin &amp; Quản lý tin'!$AT$7:$AT$500="N/A"))+SUMPRODUCT(--ISNUMBER(SEARCH(", "&amp;$B75&amp;", ",", "&amp;'Trust &amp; Safety'!$B$7:$B$500&amp;", ")),--('Trust &amp; Safety'!$AT$7:$AT$500="N/A"))+SUMPRODUCT(--ISNUMBER(SEARCH(", "&amp;$B75&amp;", ",", "&amp;'Tài khoản &amp; Hồ sơ'!$B$7:$B$500&amp;", ")),--('Tài khoản &amp; Hồ sơ'!$AT$7:$AT$500="N/A"))</f>
        <v>0</v>
      </c>
      <c r="K75" s="52" t="n">
        <f aca="false">IFERROR(F75/E75,0)</f>
        <v>0</v>
      </c>
      <c r="L75" s="123" t="str">
        <f aca="false">IF(E75=0,"Chưa có TC (gap)",IF(H75&gt;0,"Có lỗi (Fail)",IF(I75&gt;0,"Bị block",IF(F75&lt;E75,"Đang test",IF(G75=0,"Không áp dụng (N/A)","Đã test xong")))))</f>
        <v>Đang test</v>
      </c>
      <c r="AB75" s="1" t="s">
        <v>452</v>
      </c>
    </row>
    <row r="76" customFormat="false" ht="15.75" hidden="false" customHeight="true" outlineLevel="0" collapsed="false">
      <c r="B76" s="175" t="s">
        <v>622</v>
      </c>
      <c r="C76" s="176" t="s">
        <v>623</v>
      </c>
      <c r="D76" s="123" t="s">
        <v>624</v>
      </c>
      <c r="E76" s="51" t="n">
        <f aca="false">SUMPRODUCT(--ISNUMBER(SEARCH(", "&amp;$B76&amp;", ",", "&amp;'Hoạt động (Đơn của tôi)'!$B$7:$B$500&amp;", ")))+SUMPRODUCT(--ISNUMBER(SEARCH(", "&amp;$B76&amp;", ",", "&amp;'Ghép nối'!$B$7:$B$500&amp;", ")))+SUMPRODUCT(--ISNUMBER(SEARCH(", "&amp;$B76&amp;", ",", "&amp;'Huỷ đơn - Huỷ nhận đơn'!$B$7:$B$500&amp;", ")))+SUMPRODUCT(--ISNUMBER(SEARCH(", "&amp;$B76&amp;", ",", "&amp;'Giao nhận &amp; Theo dõi đơn'!$B$7:$B$500&amp;", ")))+SUMPRODUCT(--ISNUMBER(SEARCH(", "&amp;$B76&amp;", ",", "&amp;'Bảng tin &amp; Chi tiết tin'!$B$7:$B$500&amp;", ")))+SUMPRODUCT(--ISNUMBER(SEARCH(", "&amp;$B76&amp;", ",", "&amp;'Quà cảm ơn'!$B$7:$B$500&amp;", ")))+SUMPRODUCT(--ISNUMBER(SEARCH(", "&amp;$B76&amp;", ",", "&amp;'Trang chủ'!$B$7:$B$500&amp;", ")))+SUMPRODUCT(--ISNUMBER(SEARCH(", "&amp;$B76&amp;", ",", "&amp;'Thông báo'!$B$7:$B$500&amp;", ")))+SUMPRODUCT(--ISNUMBER(SEARCH(", "&amp;$B76&amp;", ",", "&amp;'Đăng tin &amp; Quản lý tin'!$B$7:$B$500&amp;", ")))+SUMPRODUCT(--ISNUMBER(SEARCH(", "&amp;$B76&amp;", ",", "&amp;'Trust &amp; Safety'!$B$7:$B$500&amp;", ")))+SUMPRODUCT(--ISNUMBER(SEARCH(", "&amp;$B76&amp;", ",", "&amp;'Tài khoản &amp; Hồ sơ'!$B$7:$B$500&amp;", ")))</f>
        <v>1</v>
      </c>
      <c r="F76" s="51" t="n">
        <f aca="false">SUMPRODUCT(--ISNUMBER(SEARCH(", "&amp;$B76&amp;", ",", "&amp;'Hoạt động (Đơn của tôi)'!$B$7:$B$500&amp;", ")),--('Hoạt động (Đơn của tôi)'!$AT$7:$AT$500&lt;&gt;""))+SUMPRODUCT(--ISNUMBER(SEARCH(", "&amp;$B76&amp;", ",", "&amp;'Ghép nối'!$B$7:$B$500&amp;", ")),--('Ghép nối'!$AT$7:$AT$500&lt;&gt;""))+SUMPRODUCT(--ISNUMBER(SEARCH(", "&amp;$B76&amp;", ",", "&amp;'Huỷ đơn - Huỷ nhận đơn'!$B$7:$B$500&amp;", ")),--('Huỷ đơn - Huỷ nhận đơn'!$AT$7:$AT$500&lt;&gt;""))+SUMPRODUCT(--ISNUMBER(SEARCH(", "&amp;$B76&amp;", ",", "&amp;'Giao nhận &amp; Theo dõi đơn'!$B$7:$B$500&amp;", ")),--('Giao nhận &amp; Theo dõi đơn'!$AT$7:$AT$500&lt;&gt;""))+SUMPRODUCT(--ISNUMBER(SEARCH(", "&amp;$B76&amp;", ",", "&amp;'Bảng tin &amp; Chi tiết tin'!$B$7:$B$500&amp;", ")),--('Bảng tin &amp; Chi tiết tin'!$AT$7:$AT$500&lt;&gt;""))+SUMPRODUCT(--ISNUMBER(SEARCH(", "&amp;$B76&amp;", ",", "&amp;'Quà cảm ơn'!$B$7:$B$500&amp;", ")),--('Quà cảm ơn'!$AT$7:$AT$500&lt;&gt;""))+SUMPRODUCT(--ISNUMBER(SEARCH(", "&amp;$B76&amp;", ",", "&amp;'Trang chủ'!$B$7:$B$500&amp;", ")),--('Trang chủ'!$AT$7:$AT$500&lt;&gt;""))+SUMPRODUCT(--ISNUMBER(SEARCH(", "&amp;$B76&amp;", ",", "&amp;'Thông báo'!$B$7:$B$500&amp;", ")),--('Thông báo'!$AT$7:$AT$500&lt;&gt;""))+SUMPRODUCT(--ISNUMBER(SEARCH(", "&amp;$B76&amp;", ",", "&amp;'Đăng tin &amp; Quản lý tin'!$B$7:$B$500&amp;", ")),--('Đăng tin &amp; Quản lý tin'!$AT$7:$AT$500&lt;&gt;""))+SUMPRODUCT(--ISNUMBER(SEARCH(", "&amp;$B76&amp;", ",", "&amp;'Trust &amp; Safety'!$B$7:$B$500&amp;", ")),--('Trust &amp; Safety'!$AT$7:$AT$500&lt;&gt;""))+SUMPRODUCT(--ISNUMBER(SEARCH(", "&amp;$B76&amp;", ",", "&amp;'Tài khoản &amp; Hồ sơ'!$B$7:$B$500&amp;", ")),--('Tài khoản &amp; Hồ sơ'!$AT$7:$AT$500&lt;&gt;""))</f>
        <v>0</v>
      </c>
      <c r="G76" s="51" t="n">
        <f aca="false">SUMPRODUCT(--ISNUMBER(SEARCH(", "&amp;$B76&amp;", ",", "&amp;'Hoạt động (Đơn của tôi)'!$B$7:$B$500&amp;", ")),--('Hoạt động (Đơn của tôi)'!$AT$7:$AT$500="Pass"))+SUMPRODUCT(--ISNUMBER(SEARCH(", "&amp;$B76&amp;", ",", "&amp;'Ghép nối'!$B$7:$B$500&amp;", ")),--('Ghép nối'!$AT$7:$AT$500="Pass"))+SUMPRODUCT(--ISNUMBER(SEARCH(", "&amp;$B76&amp;", ",", "&amp;'Huỷ đơn - Huỷ nhận đơn'!$B$7:$B$500&amp;", ")),--('Huỷ đơn - Huỷ nhận đơn'!$AT$7:$AT$500="Pass"))+SUMPRODUCT(--ISNUMBER(SEARCH(", "&amp;$B76&amp;", ",", "&amp;'Giao nhận &amp; Theo dõi đơn'!$B$7:$B$500&amp;", ")),--('Giao nhận &amp; Theo dõi đơn'!$AT$7:$AT$500="Pass"))+SUMPRODUCT(--ISNUMBER(SEARCH(", "&amp;$B76&amp;", ",", "&amp;'Bảng tin &amp; Chi tiết tin'!$B$7:$B$500&amp;", ")),--('Bảng tin &amp; Chi tiết tin'!$AT$7:$AT$500="Pass"))+SUMPRODUCT(--ISNUMBER(SEARCH(", "&amp;$B76&amp;", ",", "&amp;'Quà cảm ơn'!$B$7:$B$500&amp;", ")),--('Quà cảm ơn'!$AT$7:$AT$500="Pass"))+SUMPRODUCT(--ISNUMBER(SEARCH(", "&amp;$B76&amp;", ",", "&amp;'Trang chủ'!$B$7:$B$500&amp;", ")),--('Trang chủ'!$AT$7:$AT$500="Pass"))+SUMPRODUCT(--ISNUMBER(SEARCH(", "&amp;$B76&amp;", ",", "&amp;'Thông báo'!$B$7:$B$500&amp;", ")),--('Thông báo'!$AT$7:$AT$500="Pass"))+SUMPRODUCT(--ISNUMBER(SEARCH(", "&amp;$B76&amp;", ",", "&amp;'Đăng tin &amp; Quản lý tin'!$B$7:$B$500&amp;", ")),--('Đăng tin &amp; Quản lý tin'!$AT$7:$AT$500="Pass"))+SUMPRODUCT(--ISNUMBER(SEARCH(", "&amp;$B76&amp;", ",", "&amp;'Trust &amp; Safety'!$B$7:$B$500&amp;", ")),--('Trust &amp; Safety'!$AT$7:$AT$500="Pass"))+SUMPRODUCT(--ISNUMBER(SEARCH(", "&amp;$B76&amp;", ",", "&amp;'Tài khoản &amp; Hồ sơ'!$B$7:$B$500&amp;", ")),--('Tài khoản &amp; Hồ sơ'!$AT$7:$AT$500="Pass"))</f>
        <v>0</v>
      </c>
      <c r="H76" s="51" t="n">
        <f aca="false">SUMPRODUCT(--ISNUMBER(SEARCH(", "&amp;$B76&amp;", ",", "&amp;'Hoạt động (Đơn của tôi)'!$B$7:$B$500&amp;", ")),--('Hoạt động (Đơn của tôi)'!$AT$7:$AT$500="Fail"))+SUMPRODUCT(--ISNUMBER(SEARCH(", "&amp;$B76&amp;", ",", "&amp;'Ghép nối'!$B$7:$B$500&amp;", ")),--('Ghép nối'!$AT$7:$AT$500="Fail"))+SUMPRODUCT(--ISNUMBER(SEARCH(", "&amp;$B76&amp;", ",", "&amp;'Huỷ đơn - Huỷ nhận đơn'!$B$7:$B$500&amp;", ")),--('Huỷ đơn - Huỷ nhận đơn'!$AT$7:$AT$500="Fail"))+SUMPRODUCT(--ISNUMBER(SEARCH(", "&amp;$B76&amp;", ",", "&amp;'Giao nhận &amp; Theo dõi đơn'!$B$7:$B$500&amp;", ")),--('Giao nhận &amp; Theo dõi đơn'!$AT$7:$AT$500="Fail"))+SUMPRODUCT(--ISNUMBER(SEARCH(", "&amp;$B76&amp;", ",", "&amp;'Bảng tin &amp; Chi tiết tin'!$B$7:$B$500&amp;", ")),--('Bảng tin &amp; Chi tiết tin'!$AT$7:$AT$500="Fail"))+SUMPRODUCT(--ISNUMBER(SEARCH(", "&amp;$B76&amp;", ",", "&amp;'Quà cảm ơn'!$B$7:$B$500&amp;", ")),--('Quà cảm ơn'!$AT$7:$AT$500="Fail"))+SUMPRODUCT(--ISNUMBER(SEARCH(", "&amp;$B76&amp;", ",", "&amp;'Trang chủ'!$B$7:$B$500&amp;", ")),--('Trang chủ'!$AT$7:$AT$500="Fail"))+SUMPRODUCT(--ISNUMBER(SEARCH(", "&amp;$B76&amp;", ",", "&amp;'Thông báo'!$B$7:$B$500&amp;", ")),--('Thông báo'!$AT$7:$AT$500="Fail"))+SUMPRODUCT(--ISNUMBER(SEARCH(", "&amp;$B76&amp;", ",", "&amp;'Đăng tin &amp; Quản lý tin'!$B$7:$B$500&amp;", ")),--('Đăng tin &amp; Quản lý tin'!$AT$7:$AT$500="Fail"))+SUMPRODUCT(--ISNUMBER(SEARCH(", "&amp;$B76&amp;", ",", "&amp;'Trust &amp; Safety'!$B$7:$B$500&amp;", ")),--('Trust &amp; Safety'!$AT$7:$AT$500="Fail"))+SUMPRODUCT(--ISNUMBER(SEARCH(", "&amp;$B76&amp;", ",", "&amp;'Tài khoản &amp; Hồ sơ'!$B$7:$B$500&amp;", ")),--('Tài khoản &amp; Hồ sơ'!$AT$7:$AT$500="Fail"))</f>
        <v>0</v>
      </c>
      <c r="I76" s="51" t="n">
        <f aca="false">SUMPRODUCT(--ISNUMBER(SEARCH(", "&amp;$B76&amp;", ",", "&amp;'Hoạt động (Đơn của tôi)'!$B$7:$B$500&amp;", ")),--('Hoạt động (Đơn của tôi)'!$AT$7:$AT$500="Block"))+SUMPRODUCT(--ISNUMBER(SEARCH(", "&amp;$B76&amp;", ",", "&amp;'Ghép nối'!$B$7:$B$500&amp;", ")),--('Ghép nối'!$AT$7:$AT$500="Block"))+SUMPRODUCT(--ISNUMBER(SEARCH(", "&amp;$B76&amp;", ",", "&amp;'Huỷ đơn - Huỷ nhận đơn'!$B$7:$B$500&amp;", ")),--('Huỷ đơn - Huỷ nhận đơn'!$AT$7:$AT$500="Block"))+SUMPRODUCT(--ISNUMBER(SEARCH(", "&amp;$B76&amp;", ",", "&amp;'Giao nhận &amp; Theo dõi đơn'!$B$7:$B$500&amp;", ")),--('Giao nhận &amp; Theo dõi đơn'!$AT$7:$AT$500="Block"))+SUMPRODUCT(--ISNUMBER(SEARCH(", "&amp;$B76&amp;", ",", "&amp;'Bảng tin &amp; Chi tiết tin'!$B$7:$B$500&amp;", ")),--('Bảng tin &amp; Chi tiết tin'!$AT$7:$AT$500="Block"))+SUMPRODUCT(--ISNUMBER(SEARCH(", "&amp;$B76&amp;", ",", "&amp;'Quà cảm ơn'!$B$7:$B$500&amp;", ")),--('Quà cảm ơn'!$AT$7:$AT$500="Block"))+SUMPRODUCT(--ISNUMBER(SEARCH(", "&amp;$B76&amp;", ",", "&amp;'Trang chủ'!$B$7:$B$500&amp;", ")),--('Trang chủ'!$AT$7:$AT$500="Block"))+SUMPRODUCT(--ISNUMBER(SEARCH(", "&amp;$B76&amp;", ",", "&amp;'Thông báo'!$B$7:$B$500&amp;", ")),--('Thông báo'!$AT$7:$AT$500="Block"))+SUMPRODUCT(--ISNUMBER(SEARCH(", "&amp;$B76&amp;", ",", "&amp;'Đăng tin &amp; Quản lý tin'!$B$7:$B$500&amp;", ")),--('Đăng tin &amp; Quản lý tin'!$AT$7:$AT$500="Block"))+SUMPRODUCT(--ISNUMBER(SEARCH(", "&amp;$B76&amp;", ",", "&amp;'Trust &amp; Safety'!$B$7:$B$500&amp;", ")),--('Trust &amp; Safety'!$AT$7:$AT$500="Block"))+SUMPRODUCT(--ISNUMBER(SEARCH(", "&amp;$B76&amp;", ",", "&amp;'Tài khoản &amp; Hồ sơ'!$B$7:$B$500&amp;", ")),--('Tài khoản &amp; Hồ sơ'!$AT$7:$AT$500="Block"))</f>
        <v>0</v>
      </c>
      <c r="J76" s="51" t="n">
        <f aca="false">SUMPRODUCT(--ISNUMBER(SEARCH(", "&amp;$B76&amp;", ",", "&amp;'Hoạt động (Đơn của tôi)'!$B$7:$B$500&amp;", ")),--('Hoạt động (Đơn của tôi)'!$AT$7:$AT$500="N/A"))+SUMPRODUCT(--ISNUMBER(SEARCH(", "&amp;$B76&amp;", ",", "&amp;'Ghép nối'!$B$7:$B$500&amp;", ")),--('Ghép nối'!$AT$7:$AT$500="N/A"))+SUMPRODUCT(--ISNUMBER(SEARCH(", "&amp;$B76&amp;", ",", "&amp;'Huỷ đơn - Huỷ nhận đơn'!$B$7:$B$500&amp;", ")),--('Huỷ đơn - Huỷ nhận đơn'!$AT$7:$AT$500="N/A"))+SUMPRODUCT(--ISNUMBER(SEARCH(", "&amp;$B76&amp;", ",", "&amp;'Giao nhận &amp; Theo dõi đơn'!$B$7:$B$500&amp;", ")),--('Giao nhận &amp; Theo dõi đơn'!$AT$7:$AT$500="N/A"))+SUMPRODUCT(--ISNUMBER(SEARCH(", "&amp;$B76&amp;", ",", "&amp;'Bảng tin &amp; Chi tiết tin'!$B$7:$B$500&amp;", ")),--('Bảng tin &amp; Chi tiết tin'!$AT$7:$AT$500="N/A"))+SUMPRODUCT(--ISNUMBER(SEARCH(", "&amp;$B76&amp;", ",", "&amp;'Quà cảm ơn'!$B$7:$B$500&amp;", ")),--('Quà cảm ơn'!$AT$7:$AT$500="N/A"))+SUMPRODUCT(--ISNUMBER(SEARCH(", "&amp;$B76&amp;", ",", "&amp;'Trang chủ'!$B$7:$B$500&amp;", ")),--('Trang chủ'!$AT$7:$AT$500="N/A"))+SUMPRODUCT(--ISNUMBER(SEARCH(", "&amp;$B76&amp;", ",", "&amp;'Thông báo'!$B$7:$B$500&amp;", ")),--('Thông báo'!$AT$7:$AT$500="N/A"))+SUMPRODUCT(--ISNUMBER(SEARCH(", "&amp;$B76&amp;", ",", "&amp;'Đăng tin &amp; Quản lý tin'!$B$7:$B$500&amp;", ")),--('Đăng tin &amp; Quản lý tin'!$AT$7:$AT$500="N/A"))+SUMPRODUCT(--ISNUMBER(SEARCH(", "&amp;$B76&amp;", ",", "&amp;'Trust &amp; Safety'!$B$7:$B$500&amp;", ")),--('Trust &amp; Safety'!$AT$7:$AT$500="N/A"))+SUMPRODUCT(--ISNUMBER(SEARCH(", "&amp;$B76&amp;", ",", "&amp;'Tài khoản &amp; Hồ sơ'!$B$7:$B$500&amp;", ")),--('Tài khoản &amp; Hồ sơ'!$AT$7:$AT$500="N/A"))</f>
        <v>0</v>
      </c>
      <c r="K76" s="52" t="n">
        <f aca="false">IFERROR(F76/E76,0)</f>
        <v>0</v>
      </c>
      <c r="L76" s="123" t="str">
        <f aca="false">IF(E76=0,"Chưa có TC (gap)",IF(H76&gt;0,"Có lỗi (Fail)",IF(I76&gt;0,"Bị block",IF(F76&lt;E76,"Đang test",IF(G76=0,"Không áp dụng (N/A)","Đã test xong")))))</f>
        <v>Đang test</v>
      </c>
      <c r="AB76" s="1" t="s">
        <v>452</v>
      </c>
    </row>
    <row r="77" customFormat="false" ht="15.75" hidden="false" customHeight="true" outlineLevel="0" collapsed="false">
      <c r="B77" s="175" t="s">
        <v>625</v>
      </c>
      <c r="C77" s="176" t="s">
        <v>626</v>
      </c>
      <c r="D77" s="123" t="s">
        <v>627</v>
      </c>
      <c r="E77" s="51" t="n">
        <f aca="false">SUMPRODUCT(--ISNUMBER(SEARCH(", "&amp;$B77&amp;", ",", "&amp;'Hoạt động (Đơn của tôi)'!$B$7:$B$500&amp;", ")))+SUMPRODUCT(--ISNUMBER(SEARCH(", "&amp;$B77&amp;", ",", "&amp;'Ghép nối'!$B$7:$B$500&amp;", ")))+SUMPRODUCT(--ISNUMBER(SEARCH(", "&amp;$B77&amp;", ",", "&amp;'Huỷ đơn - Huỷ nhận đơn'!$B$7:$B$500&amp;", ")))+SUMPRODUCT(--ISNUMBER(SEARCH(", "&amp;$B77&amp;", ",", "&amp;'Giao nhận &amp; Theo dõi đơn'!$B$7:$B$500&amp;", ")))+SUMPRODUCT(--ISNUMBER(SEARCH(", "&amp;$B77&amp;", ",", "&amp;'Bảng tin &amp; Chi tiết tin'!$B$7:$B$500&amp;", ")))+SUMPRODUCT(--ISNUMBER(SEARCH(", "&amp;$B77&amp;", ",", "&amp;'Quà cảm ơn'!$B$7:$B$500&amp;", ")))+SUMPRODUCT(--ISNUMBER(SEARCH(", "&amp;$B77&amp;", ",", "&amp;'Trang chủ'!$B$7:$B$500&amp;", ")))+SUMPRODUCT(--ISNUMBER(SEARCH(", "&amp;$B77&amp;", ",", "&amp;'Thông báo'!$B$7:$B$500&amp;", ")))+SUMPRODUCT(--ISNUMBER(SEARCH(", "&amp;$B77&amp;", ",", "&amp;'Đăng tin &amp; Quản lý tin'!$B$7:$B$500&amp;", ")))+SUMPRODUCT(--ISNUMBER(SEARCH(", "&amp;$B77&amp;", ",", "&amp;'Trust &amp; Safety'!$B$7:$B$500&amp;", ")))+SUMPRODUCT(--ISNUMBER(SEARCH(", "&amp;$B77&amp;", ",", "&amp;'Tài khoản &amp; Hồ sơ'!$B$7:$B$500&amp;", ")))</f>
        <v>1</v>
      </c>
      <c r="F77" s="51" t="n">
        <f aca="false">SUMPRODUCT(--ISNUMBER(SEARCH(", "&amp;$B77&amp;", ",", "&amp;'Hoạt động (Đơn của tôi)'!$B$7:$B$500&amp;", ")),--('Hoạt động (Đơn của tôi)'!$AT$7:$AT$500&lt;&gt;""))+SUMPRODUCT(--ISNUMBER(SEARCH(", "&amp;$B77&amp;", ",", "&amp;'Ghép nối'!$B$7:$B$500&amp;", ")),--('Ghép nối'!$AT$7:$AT$500&lt;&gt;""))+SUMPRODUCT(--ISNUMBER(SEARCH(", "&amp;$B77&amp;", ",", "&amp;'Huỷ đơn - Huỷ nhận đơn'!$B$7:$B$500&amp;", ")),--('Huỷ đơn - Huỷ nhận đơn'!$AT$7:$AT$500&lt;&gt;""))+SUMPRODUCT(--ISNUMBER(SEARCH(", "&amp;$B77&amp;", ",", "&amp;'Giao nhận &amp; Theo dõi đơn'!$B$7:$B$500&amp;", ")),--('Giao nhận &amp; Theo dõi đơn'!$AT$7:$AT$500&lt;&gt;""))+SUMPRODUCT(--ISNUMBER(SEARCH(", "&amp;$B77&amp;", ",", "&amp;'Bảng tin &amp; Chi tiết tin'!$B$7:$B$500&amp;", ")),--('Bảng tin &amp; Chi tiết tin'!$AT$7:$AT$500&lt;&gt;""))+SUMPRODUCT(--ISNUMBER(SEARCH(", "&amp;$B77&amp;", ",", "&amp;'Quà cảm ơn'!$B$7:$B$500&amp;", ")),--('Quà cảm ơn'!$AT$7:$AT$500&lt;&gt;""))+SUMPRODUCT(--ISNUMBER(SEARCH(", "&amp;$B77&amp;", ",", "&amp;'Trang chủ'!$B$7:$B$500&amp;", ")),--('Trang chủ'!$AT$7:$AT$500&lt;&gt;""))+SUMPRODUCT(--ISNUMBER(SEARCH(", "&amp;$B77&amp;", ",", "&amp;'Thông báo'!$B$7:$B$500&amp;", ")),--('Thông báo'!$AT$7:$AT$500&lt;&gt;""))+SUMPRODUCT(--ISNUMBER(SEARCH(", "&amp;$B77&amp;", ",", "&amp;'Đăng tin &amp; Quản lý tin'!$B$7:$B$500&amp;", ")),--('Đăng tin &amp; Quản lý tin'!$AT$7:$AT$500&lt;&gt;""))+SUMPRODUCT(--ISNUMBER(SEARCH(", "&amp;$B77&amp;", ",", "&amp;'Trust &amp; Safety'!$B$7:$B$500&amp;", ")),--('Trust &amp; Safety'!$AT$7:$AT$500&lt;&gt;""))+SUMPRODUCT(--ISNUMBER(SEARCH(", "&amp;$B77&amp;", ",", "&amp;'Tài khoản &amp; Hồ sơ'!$B$7:$B$500&amp;", ")),--('Tài khoản &amp; Hồ sơ'!$AT$7:$AT$500&lt;&gt;""))</f>
        <v>0</v>
      </c>
      <c r="G77" s="51" t="n">
        <f aca="false">SUMPRODUCT(--ISNUMBER(SEARCH(", "&amp;$B77&amp;", ",", "&amp;'Hoạt động (Đơn của tôi)'!$B$7:$B$500&amp;", ")),--('Hoạt động (Đơn của tôi)'!$AT$7:$AT$500="Pass"))+SUMPRODUCT(--ISNUMBER(SEARCH(", "&amp;$B77&amp;", ",", "&amp;'Ghép nối'!$B$7:$B$500&amp;", ")),--('Ghép nối'!$AT$7:$AT$500="Pass"))+SUMPRODUCT(--ISNUMBER(SEARCH(", "&amp;$B77&amp;", ",", "&amp;'Huỷ đơn - Huỷ nhận đơn'!$B$7:$B$500&amp;", ")),--('Huỷ đơn - Huỷ nhận đơn'!$AT$7:$AT$500="Pass"))+SUMPRODUCT(--ISNUMBER(SEARCH(", "&amp;$B77&amp;", ",", "&amp;'Giao nhận &amp; Theo dõi đơn'!$B$7:$B$500&amp;", ")),--('Giao nhận &amp; Theo dõi đơn'!$AT$7:$AT$500="Pass"))+SUMPRODUCT(--ISNUMBER(SEARCH(", "&amp;$B77&amp;", ",", "&amp;'Bảng tin &amp; Chi tiết tin'!$B$7:$B$500&amp;", ")),--('Bảng tin &amp; Chi tiết tin'!$AT$7:$AT$500="Pass"))+SUMPRODUCT(--ISNUMBER(SEARCH(", "&amp;$B77&amp;", ",", "&amp;'Quà cảm ơn'!$B$7:$B$500&amp;", ")),--('Quà cảm ơn'!$AT$7:$AT$500="Pass"))+SUMPRODUCT(--ISNUMBER(SEARCH(", "&amp;$B77&amp;", ",", "&amp;'Trang chủ'!$B$7:$B$500&amp;", ")),--('Trang chủ'!$AT$7:$AT$500="Pass"))+SUMPRODUCT(--ISNUMBER(SEARCH(", "&amp;$B77&amp;", ",", "&amp;'Thông báo'!$B$7:$B$500&amp;", ")),--('Thông báo'!$AT$7:$AT$500="Pass"))+SUMPRODUCT(--ISNUMBER(SEARCH(", "&amp;$B77&amp;", ",", "&amp;'Đăng tin &amp; Quản lý tin'!$B$7:$B$500&amp;", ")),--('Đăng tin &amp; Quản lý tin'!$AT$7:$AT$500="Pass"))+SUMPRODUCT(--ISNUMBER(SEARCH(", "&amp;$B77&amp;", ",", "&amp;'Trust &amp; Safety'!$B$7:$B$500&amp;", ")),--('Trust &amp; Safety'!$AT$7:$AT$500="Pass"))+SUMPRODUCT(--ISNUMBER(SEARCH(", "&amp;$B77&amp;", ",", "&amp;'Tài khoản &amp; Hồ sơ'!$B$7:$B$500&amp;", ")),--('Tài khoản &amp; Hồ sơ'!$AT$7:$AT$500="Pass"))</f>
        <v>0</v>
      </c>
      <c r="H77" s="51" t="n">
        <f aca="false">SUMPRODUCT(--ISNUMBER(SEARCH(", "&amp;$B77&amp;", ",", "&amp;'Hoạt động (Đơn của tôi)'!$B$7:$B$500&amp;", ")),--('Hoạt động (Đơn của tôi)'!$AT$7:$AT$500="Fail"))+SUMPRODUCT(--ISNUMBER(SEARCH(", "&amp;$B77&amp;", ",", "&amp;'Ghép nối'!$B$7:$B$500&amp;", ")),--('Ghép nối'!$AT$7:$AT$500="Fail"))+SUMPRODUCT(--ISNUMBER(SEARCH(", "&amp;$B77&amp;", ",", "&amp;'Huỷ đơn - Huỷ nhận đơn'!$B$7:$B$500&amp;", ")),--('Huỷ đơn - Huỷ nhận đơn'!$AT$7:$AT$500="Fail"))+SUMPRODUCT(--ISNUMBER(SEARCH(", "&amp;$B77&amp;", ",", "&amp;'Giao nhận &amp; Theo dõi đơn'!$B$7:$B$500&amp;", ")),--('Giao nhận &amp; Theo dõi đơn'!$AT$7:$AT$500="Fail"))+SUMPRODUCT(--ISNUMBER(SEARCH(", "&amp;$B77&amp;", ",", "&amp;'Bảng tin &amp; Chi tiết tin'!$B$7:$B$500&amp;", ")),--('Bảng tin &amp; Chi tiết tin'!$AT$7:$AT$500="Fail"))+SUMPRODUCT(--ISNUMBER(SEARCH(", "&amp;$B77&amp;", ",", "&amp;'Quà cảm ơn'!$B$7:$B$500&amp;", ")),--('Quà cảm ơn'!$AT$7:$AT$500="Fail"))+SUMPRODUCT(--ISNUMBER(SEARCH(", "&amp;$B77&amp;", ",", "&amp;'Trang chủ'!$B$7:$B$500&amp;", ")),--('Trang chủ'!$AT$7:$AT$500="Fail"))+SUMPRODUCT(--ISNUMBER(SEARCH(", "&amp;$B77&amp;", ",", "&amp;'Thông báo'!$B$7:$B$500&amp;", ")),--('Thông báo'!$AT$7:$AT$500="Fail"))+SUMPRODUCT(--ISNUMBER(SEARCH(", "&amp;$B77&amp;", ",", "&amp;'Đăng tin &amp; Quản lý tin'!$B$7:$B$500&amp;", ")),--('Đăng tin &amp; Quản lý tin'!$AT$7:$AT$500="Fail"))+SUMPRODUCT(--ISNUMBER(SEARCH(", "&amp;$B77&amp;", ",", "&amp;'Trust &amp; Safety'!$B$7:$B$500&amp;", ")),--('Trust &amp; Safety'!$AT$7:$AT$500="Fail"))+SUMPRODUCT(--ISNUMBER(SEARCH(", "&amp;$B77&amp;", ",", "&amp;'Tài khoản &amp; Hồ sơ'!$B$7:$B$500&amp;", ")),--('Tài khoản &amp; Hồ sơ'!$AT$7:$AT$500="Fail"))</f>
        <v>0</v>
      </c>
      <c r="I77" s="51" t="n">
        <f aca="false">SUMPRODUCT(--ISNUMBER(SEARCH(", "&amp;$B77&amp;", ",", "&amp;'Hoạt động (Đơn của tôi)'!$B$7:$B$500&amp;", ")),--('Hoạt động (Đơn của tôi)'!$AT$7:$AT$500="Block"))+SUMPRODUCT(--ISNUMBER(SEARCH(", "&amp;$B77&amp;", ",", "&amp;'Ghép nối'!$B$7:$B$500&amp;", ")),--('Ghép nối'!$AT$7:$AT$500="Block"))+SUMPRODUCT(--ISNUMBER(SEARCH(", "&amp;$B77&amp;", ",", "&amp;'Huỷ đơn - Huỷ nhận đơn'!$B$7:$B$500&amp;", ")),--('Huỷ đơn - Huỷ nhận đơn'!$AT$7:$AT$500="Block"))+SUMPRODUCT(--ISNUMBER(SEARCH(", "&amp;$B77&amp;", ",", "&amp;'Giao nhận &amp; Theo dõi đơn'!$B$7:$B$500&amp;", ")),--('Giao nhận &amp; Theo dõi đơn'!$AT$7:$AT$500="Block"))+SUMPRODUCT(--ISNUMBER(SEARCH(", "&amp;$B77&amp;", ",", "&amp;'Bảng tin &amp; Chi tiết tin'!$B$7:$B$500&amp;", ")),--('Bảng tin &amp; Chi tiết tin'!$AT$7:$AT$500="Block"))+SUMPRODUCT(--ISNUMBER(SEARCH(", "&amp;$B77&amp;", ",", "&amp;'Quà cảm ơn'!$B$7:$B$500&amp;", ")),--('Quà cảm ơn'!$AT$7:$AT$500="Block"))+SUMPRODUCT(--ISNUMBER(SEARCH(", "&amp;$B77&amp;", ",", "&amp;'Trang chủ'!$B$7:$B$500&amp;", ")),--('Trang chủ'!$AT$7:$AT$500="Block"))+SUMPRODUCT(--ISNUMBER(SEARCH(", "&amp;$B77&amp;", ",", "&amp;'Thông báo'!$B$7:$B$500&amp;", ")),--('Thông báo'!$AT$7:$AT$500="Block"))+SUMPRODUCT(--ISNUMBER(SEARCH(", "&amp;$B77&amp;", ",", "&amp;'Đăng tin &amp; Quản lý tin'!$B$7:$B$500&amp;", ")),--('Đăng tin &amp; Quản lý tin'!$AT$7:$AT$500="Block"))+SUMPRODUCT(--ISNUMBER(SEARCH(", "&amp;$B77&amp;", ",", "&amp;'Trust &amp; Safety'!$B$7:$B$500&amp;", ")),--('Trust &amp; Safety'!$AT$7:$AT$500="Block"))+SUMPRODUCT(--ISNUMBER(SEARCH(", "&amp;$B77&amp;", ",", "&amp;'Tài khoản &amp; Hồ sơ'!$B$7:$B$500&amp;", ")),--('Tài khoản &amp; Hồ sơ'!$AT$7:$AT$500="Block"))</f>
        <v>0</v>
      </c>
      <c r="J77" s="51" t="n">
        <f aca="false">SUMPRODUCT(--ISNUMBER(SEARCH(", "&amp;$B77&amp;", ",", "&amp;'Hoạt động (Đơn của tôi)'!$B$7:$B$500&amp;", ")),--('Hoạt động (Đơn của tôi)'!$AT$7:$AT$500="N/A"))+SUMPRODUCT(--ISNUMBER(SEARCH(", "&amp;$B77&amp;", ",", "&amp;'Ghép nối'!$B$7:$B$500&amp;", ")),--('Ghép nối'!$AT$7:$AT$500="N/A"))+SUMPRODUCT(--ISNUMBER(SEARCH(", "&amp;$B77&amp;", ",", "&amp;'Huỷ đơn - Huỷ nhận đơn'!$B$7:$B$500&amp;", ")),--('Huỷ đơn - Huỷ nhận đơn'!$AT$7:$AT$500="N/A"))+SUMPRODUCT(--ISNUMBER(SEARCH(", "&amp;$B77&amp;", ",", "&amp;'Giao nhận &amp; Theo dõi đơn'!$B$7:$B$500&amp;", ")),--('Giao nhận &amp; Theo dõi đơn'!$AT$7:$AT$500="N/A"))+SUMPRODUCT(--ISNUMBER(SEARCH(", "&amp;$B77&amp;", ",", "&amp;'Bảng tin &amp; Chi tiết tin'!$B$7:$B$500&amp;", ")),--('Bảng tin &amp; Chi tiết tin'!$AT$7:$AT$500="N/A"))+SUMPRODUCT(--ISNUMBER(SEARCH(", "&amp;$B77&amp;", ",", "&amp;'Quà cảm ơn'!$B$7:$B$500&amp;", ")),--('Quà cảm ơn'!$AT$7:$AT$500="N/A"))+SUMPRODUCT(--ISNUMBER(SEARCH(", "&amp;$B77&amp;", ",", "&amp;'Trang chủ'!$B$7:$B$500&amp;", ")),--('Trang chủ'!$AT$7:$AT$500="N/A"))+SUMPRODUCT(--ISNUMBER(SEARCH(", "&amp;$B77&amp;", ",", "&amp;'Thông báo'!$B$7:$B$500&amp;", ")),--('Thông báo'!$AT$7:$AT$500="N/A"))+SUMPRODUCT(--ISNUMBER(SEARCH(", "&amp;$B77&amp;", ",", "&amp;'Đăng tin &amp; Quản lý tin'!$B$7:$B$500&amp;", ")),--('Đăng tin &amp; Quản lý tin'!$AT$7:$AT$500="N/A"))+SUMPRODUCT(--ISNUMBER(SEARCH(", "&amp;$B77&amp;", ",", "&amp;'Trust &amp; Safety'!$B$7:$B$500&amp;", ")),--('Trust &amp; Safety'!$AT$7:$AT$500="N/A"))+SUMPRODUCT(--ISNUMBER(SEARCH(", "&amp;$B77&amp;", ",", "&amp;'Tài khoản &amp; Hồ sơ'!$B$7:$B$500&amp;", ")),--('Tài khoản &amp; Hồ sơ'!$AT$7:$AT$500="N/A"))</f>
        <v>0</v>
      </c>
      <c r="K77" s="52" t="n">
        <f aca="false">IFERROR(F77/E77,0)</f>
        <v>0</v>
      </c>
      <c r="L77" s="123" t="str">
        <f aca="false">IF(E77=0,"Chưa có TC (gap)",IF(H77&gt;0,"Có lỗi (Fail)",IF(I77&gt;0,"Bị block",IF(F77&lt;E77,"Đang test",IF(G77=0,"Không áp dụng (N/A)","Đã test xong")))))</f>
        <v>Đang test</v>
      </c>
      <c r="AB77" s="1" t="s">
        <v>452</v>
      </c>
    </row>
    <row r="78" customFormat="false" ht="15.75" hidden="false" customHeight="true" outlineLevel="0" collapsed="false">
      <c r="B78" s="125" t="s">
        <v>116</v>
      </c>
      <c r="C78" s="177"/>
      <c r="D78" s="178"/>
      <c r="E78" s="42" t="n">
        <f aca="false">SUM(E6:E77)</f>
        <v>231</v>
      </c>
      <c r="F78" s="42" t="n">
        <f aca="false">SUM(F6:F77)</f>
        <v>10</v>
      </c>
      <c r="G78" s="42" t="n">
        <f aca="false">SUM(G6:G77)</f>
        <v>10</v>
      </c>
      <c r="H78" s="42" t="n">
        <f aca="false">SUM(H6:H77)</f>
        <v>0</v>
      </c>
      <c r="I78" s="42" t="n">
        <f aca="false">SUM(I6:I77)</f>
        <v>0</v>
      </c>
      <c r="J78" s="42" t="n">
        <f aca="false">SUM(J6:J77)</f>
        <v>0</v>
      </c>
      <c r="K78" s="55" t="n">
        <f aca="false">IFERROR(F78/E78,0)</f>
        <v>0.0432900432900433</v>
      </c>
      <c r="L78" s="126"/>
    </row>
    <row r="79" customFormat="false" ht="15.75" hidden="false" customHeight="true" outlineLevel="0" collapsed="false">
      <c r="B79" s="179" t="s">
        <v>628</v>
      </c>
      <c r="C79" s="179"/>
      <c r="D79" s="179"/>
      <c r="E79" s="179"/>
      <c r="F79" s="179"/>
      <c r="G79" s="179"/>
      <c r="H79" s="179"/>
      <c r="I79" s="179"/>
      <c r="J79" s="179"/>
      <c r="K79" s="179"/>
      <c r="L79" s="179"/>
    </row>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3:L3"/>
    <mergeCell ref="B79:L79"/>
  </mergeCells>
  <conditionalFormatting sqref="B6:L77">
    <cfRule type="expression" priority="2" aboveAverage="0" equalAverage="0" bottom="0" percent="0" rank="0" text="" dxfId="4">
      <formula>$E6=0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B16" activePane="bottomRight" state="frozen"/>
      <selection pane="topLeft" activeCell="A1" activeCellId="0" sqref="A1"/>
      <selection pane="topRight" activeCell="B1" activeCellId="0" sqref="B1"/>
      <selection pane="bottomLeft" activeCell="A16" activeCellId="0" sqref="A16"/>
      <selection pane="bottomRight" activeCell="M22" activeCellId="0" sqref="M22"/>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195</v>
      </c>
      <c r="D2" s="181"/>
      <c r="E2" s="181"/>
    </row>
    <row r="3" customFormat="false" ht="15" hidden="false" customHeight="true" outlineLevel="0" collapsed="false">
      <c r="A3" s="180" t="s">
        <v>630</v>
      </c>
      <c r="B3" s="180"/>
      <c r="C3" s="181" t="s">
        <v>196</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652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57.45" hidden="false" customHeight="false" outlineLevel="0" collapsed="false">
      <c r="A8" s="191" t="str">
        <f aca="false">IF($F8="","",$C$2&amp;"."&amp;COUNTA($F$7:$F8)&amp;"")</f>
        <v>TC_01.1</v>
      </c>
      <c r="B8" s="191" t="s">
        <v>409</v>
      </c>
      <c r="C8" s="191" t="s">
        <v>653</v>
      </c>
      <c r="D8" s="191" t="s">
        <v>43</v>
      </c>
      <c r="E8" s="191" t="s">
        <v>159</v>
      </c>
      <c r="F8" s="13" t="s">
        <v>654</v>
      </c>
      <c r="G8" s="13" t="s">
        <v>655</v>
      </c>
      <c r="H8" s="13" t="s">
        <v>656</v>
      </c>
      <c r="I8" s="13" t="s">
        <v>657</v>
      </c>
      <c r="J8" s="191" t="s">
        <v>658</v>
      </c>
      <c r="K8" s="191" t="s">
        <v>245</v>
      </c>
      <c r="L8" s="191"/>
      <c r="M8" s="191"/>
      <c r="N8" s="192"/>
      <c r="O8" s="192"/>
      <c r="P8" s="192" t="s">
        <v>23</v>
      </c>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Pass</v>
      </c>
      <c r="AU8" s="194"/>
    </row>
    <row r="9" customFormat="false" ht="15" hidden="false" customHeight="false" outlineLevel="0" collapsed="false">
      <c r="A9" s="189"/>
      <c r="B9" s="189"/>
      <c r="C9" s="190" t="s">
        <v>659</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57.45" hidden="false" customHeight="false" outlineLevel="0" collapsed="false">
      <c r="A10" s="191" t="str">
        <f aca="false">IF($F10="","",$C$2&amp;"."&amp;COUNTA($F$7:$F10)&amp;"")</f>
        <v>TC_01.2</v>
      </c>
      <c r="B10" s="191" t="s">
        <v>413</v>
      </c>
      <c r="C10" s="191" t="s">
        <v>530</v>
      </c>
      <c r="D10" s="191" t="s">
        <v>41</v>
      </c>
      <c r="E10" s="191" t="s">
        <v>159</v>
      </c>
      <c r="F10" s="13" t="s">
        <v>660</v>
      </c>
      <c r="G10" s="13" t="s">
        <v>661</v>
      </c>
      <c r="H10" s="13" t="s">
        <v>662</v>
      </c>
      <c r="I10" s="13" t="s">
        <v>663</v>
      </c>
      <c r="J10" s="191" t="s">
        <v>658</v>
      </c>
      <c r="K10" s="191" t="s">
        <v>245</v>
      </c>
      <c r="L10" s="191"/>
      <c r="M10" s="191"/>
      <c r="N10" s="192"/>
      <c r="O10" s="192"/>
      <c r="P10" s="192" t="s">
        <v>23</v>
      </c>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Pass</v>
      </c>
      <c r="AU10" s="194"/>
    </row>
    <row r="11" customFormat="false" ht="91" hidden="false" customHeight="false" outlineLevel="0" collapsed="false">
      <c r="A11" s="191" t="str">
        <f aca="false">IF($F11="","",$C$2&amp;"."&amp;COUNTA($F$7:$F11)&amp;"")</f>
        <v>TC_01.3</v>
      </c>
      <c r="B11" s="191" t="s">
        <v>413</v>
      </c>
      <c r="C11" s="191" t="s">
        <v>530</v>
      </c>
      <c r="D11" s="191" t="s">
        <v>41</v>
      </c>
      <c r="E11" s="191" t="s">
        <v>159</v>
      </c>
      <c r="F11" s="13" t="s">
        <v>664</v>
      </c>
      <c r="G11" s="13" t="s">
        <v>665</v>
      </c>
      <c r="H11" s="13" t="s">
        <v>666</v>
      </c>
      <c r="I11" s="13" t="s">
        <v>667</v>
      </c>
      <c r="J11" s="191" t="s">
        <v>658</v>
      </c>
      <c r="K11" s="191" t="s">
        <v>245</v>
      </c>
      <c r="L11" s="191"/>
      <c r="M11" s="191"/>
      <c r="N11" s="192"/>
      <c r="O11" s="192"/>
      <c r="P11" s="192" t="s">
        <v>23</v>
      </c>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Pass</v>
      </c>
      <c r="AU11" s="194"/>
    </row>
    <row r="12" customFormat="false" ht="15" hidden="false" customHeight="false" outlineLevel="0" collapsed="false">
      <c r="A12" s="189"/>
      <c r="B12" s="189"/>
      <c r="C12" s="190" t="s">
        <v>668</v>
      </c>
      <c r="D12" s="190"/>
      <c r="E12" s="190"/>
      <c r="F12" s="190"/>
      <c r="G12" s="190"/>
      <c r="H12" s="190"/>
      <c r="I12" s="190"/>
      <c r="J12" s="190"/>
      <c r="K12" s="190"/>
      <c r="L12" s="190"/>
      <c r="M12" s="190"/>
      <c r="N12" s="190"/>
      <c r="O12" s="190"/>
      <c r="P12" s="190"/>
      <c r="Q12" s="190"/>
      <c r="R12" s="190"/>
      <c r="S12" s="190"/>
      <c r="T12" s="190"/>
      <c r="U12" s="190"/>
      <c r="V12" s="190"/>
      <c r="W12" s="190"/>
      <c r="X12" s="190"/>
      <c r="Y12" s="190"/>
      <c r="Z12" s="190"/>
      <c r="AA12" s="190"/>
      <c r="AB12" s="190"/>
      <c r="AC12" s="190"/>
      <c r="AD12" s="190"/>
      <c r="AE12" s="190"/>
      <c r="AF12" s="190"/>
      <c r="AG12" s="190"/>
      <c r="AH12" s="190"/>
      <c r="AI12" s="190"/>
      <c r="AJ12" s="190"/>
      <c r="AK12" s="190"/>
      <c r="AL12" s="190"/>
      <c r="AM12" s="190"/>
      <c r="AN12" s="190"/>
      <c r="AO12" s="190"/>
      <c r="AP12" s="190"/>
      <c r="AQ12" s="190"/>
      <c r="AR12" s="190"/>
      <c r="AS12" s="190"/>
      <c r="AT12" s="190"/>
      <c r="AU12" s="190"/>
    </row>
    <row r="13" customFormat="false" ht="91" hidden="false" customHeight="false" outlineLevel="0" collapsed="false">
      <c r="A13" s="191" t="str">
        <f aca="false">IF($F13="","",$C$2&amp;"."&amp;COUNTA($F$7:$F13)&amp;"")</f>
        <v>TC_01.4</v>
      </c>
      <c r="B13" s="191" t="s">
        <v>417</v>
      </c>
      <c r="C13" s="191" t="s">
        <v>530</v>
      </c>
      <c r="D13" s="191" t="s">
        <v>43</v>
      </c>
      <c r="E13" s="191" t="s">
        <v>160</v>
      </c>
      <c r="F13" s="13" t="s">
        <v>669</v>
      </c>
      <c r="G13" s="13" t="s">
        <v>670</v>
      </c>
      <c r="H13" s="13" t="s">
        <v>671</v>
      </c>
      <c r="I13" s="13" t="s">
        <v>672</v>
      </c>
      <c r="J13" s="191" t="s">
        <v>658</v>
      </c>
      <c r="K13" s="191" t="s">
        <v>245</v>
      </c>
      <c r="L13" s="191"/>
      <c r="M13" s="191"/>
      <c r="N13" s="192"/>
      <c r="O13" s="192"/>
      <c r="P13" s="192" t="s">
        <v>23</v>
      </c>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Pass</v>
      </c>
      <c r="AU13" s="194"/>
    </row>
    <row r="14" customFormat="false" ht="15" hidden="false" customHeight="false" outlineLevel="0" collapsed="false">
      <c r="A14" s="189"/>
      <c r="B14" s="189"/>
      <c r="C14" s="190" t="s">
        <v>673</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02.2" hidden="false" customHeight="false" outlineLevel="0" collapsed="false">
      <c r="A15" s="191" t="str">
        <f aca="false">IF($F15="","",$C$2&amp;"."&amp;COUNTA($F$7:$F15)&amp;"")</f>
        <v>TC_01.5</v>
      </c>
      <c r="B15" s="191" t="s">
        <v>421</v>
      </c>
      <c r="C15" s="191" t="s">
        <v>530</v>
      </c>
      <c r="D15" s="191" t="s">
        <v>43</v>
      </c>
      <c r="E15" s="191" t="s">
        <v>159</v>
      </c>
      <c r="F15" s="13" t="s">
        <v>674</v>
      </c>
      <c r="G15" s="13" t="s">
        <v>675</v>
      </c>
      <c r="H15" s="13" t="s">
        <v>676</v>
      </c>
      <c r="I15" s="13" t="s">
        <v>677</v>
      </c>
      <c r="J15" s="191" t="s">
        <v>658</v>
      </c>
      <c r="K15" s="191" t="s">
        <v>245</v>
      </c>
      <c r="L15" s="191"/>
      <c r="M15" s="191"/>
      <c r="N15" s="192"/>
      <c r="O15" s="192"/>
      <c r="P15" s="192" t="s">
        <v>23</v>
      </c>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Pass</v>
      </c>
      <c r="AU15" s="194"/>
    </row>
    <row r="16" customFormat="false" ht="96.55" hidden="false" customHeight="false" outlineLevel="0" collapsed="false">
      <c r="A16" s="191" t="str">
        <f aca="false">IF($F16="","",$C$2&amp;"."&amp;COUNTA($F$7:$F16)&amp;"")</f>
        <v>TC_01.6</v>
      </c>
      <c r="B16" s="191" t="s">
        <v>421</v>
      </c>
      <c r="C16" s="191" t="s">
        <v>530</v>
      </c>
      <c r="D16" s="191" t="s">
        <v>43</v>
      </c>
      <c r="E16" s="191" t="s">
        <v>159</v>
      </c>
      <c r="F16" s="13" t="s">
        <v>678</v>
      </c>
      <c r="G16" s="13" t="s">
        <v>679</v>
      </c>
      <c r="H16" s="13" t="s">
        <v>680</v>
      </c>
      <c r="I16" s="13" t="s">
        <v>681</v>
      </c>
      <c r="J16" s="191" t="s">
        <v>658</v>
      </c>
      <c r="K16" s="191" t="s">
        <v>245</v>
      </c>
      <c r="L16" s="191"/>
      <c r="M16" s="191"/>
      <c r="N16" s="192"/>
      <c r="O16" s="192"/>
      <c r="P16" s="192" t="s">
        <v>23</v>
      </c>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Pass</v>
      </c>
      <c r="AU16" s="194"/>
    </row>
    <row r="17" customFormat="false" ht="15" hidden="false" customHeight="false" outlineLevel="0" collapsed="false">
      <c r="A17" s="189"/>
      <c r="B17" s="189"/>
      <c r="C17" s="190" t="s">
        <v>682</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54.4" hidden="false" customHeight="false" outlineLevel="0" collapsed="false">
      <c r="A18" s="191" t="str">
        <f aca="false">IF($F18="","",$C$2&amp;"."&amp;COUNTA($F$7:$F18)&amp;"")</f>
        <v>TC_01.7</v>
      </c>
      <c r="B18" s="191" t="s">
        <v>425</v>
      </c>
      <c r="C18" s="191" t="s">
        <v>530</v>
      </c>
      <c r="D18" s="191" t="s">
        <v>41</v>
      </c>
      <c r="E18" s="191" t="s">
        <v>159</v>
      </c>
      <c r="F18" s="13" t="s">
        <v>683</v>
      </c>
      <c r="G18" s="13" t="s">
        <v>661</v>
      </c>
      <c r="H18" s="13" t="s">
        <v>684</v>
      </c>
      <c r="I18" s="13" t="s">
        <v>685</v>
      </c>
      <c r="J18" s="191" t="s">
        <v>658</v>
      </c>
      <c r="K18" s="191" t="s">
        <v>245</v>
      </c>
      <c r="L18" s="191"/>
      <c r="M18" s="191"/>
      <c r="N18" s="192"/>
      <c r="O18" s="192"/>
      <c r="P18" s="192" t="s">
        <v>23</v>
      </c>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Pass</v>
      </c>
      <c r="AU18" s="194"/>
    </row>
    <row r="19" customFormat="false" ht="15" hidden="false" customHeight="false" outlineLevel="0" collapsed="false">
      <c r="A19" s="189"/>
      <c r="B19" s="189"/>
      <c r="C19" s="190" t="s">
        <v>686</v>
      </c>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0"/>
      <c r="AM19" s="190"/>
      <c r="AN19" s="190"/>
      <c r="AO19" s="190"/>
      <c r="AP19" s="190"/>
      <c r="AQ19" s="190"/>
      <c r="AR19" s="190"/>
      <c r="AS19" s="190"/>
      <c r="AT19" s="190"/>
      <c r="AU19" s="190"/>
    </row>
    <row r="20" customFormat="false" ht="96.55" hidden="false" customHeight="false" outlineLevel="0" collapsed="false">
      <c r="A20" s="191" t="str">
        <f aca="false">IF($F20="","",$C$2&amp;"."&amp;COUNTA($F$7:$F20)&amp;"")</f>
        <v>TC_01.8</v>
      </c>
      <c r="B20" s="191" t="s">
        <v>429</v>
      </c>
      <c r="C20" s="191" t="s">
        <v>530</v>
      </c>
      <c r="D20" s="191" t="s">
        <v>43</v>
      </c>
      <c r="E20" s="191" t="s">
        <v>160</v>
      </c>
      <c r="F20" s="13" t="s">
        <v>687</v>
      </c>
      <c r="G20" s="13" t="s">
        <v>688</v>
      </c>
      <c r="H20" s="13" t="s">
        <v>689</v>
      </c>
      <c r="I20" s="13" t="s">
        <v>690</v>
      </c>
      <c r="J20" s="191" t="s">
        <v>658</v>
      </c>
      <c r="K20" s="191" t="s">
        <v>245</v>
      </c>
      <c r="L20" s="191"/>
      <c r="M20" s="191"/>
      <c r="N20" s="192"/>
      <c r="O20" s="192"/>
      <c r="P20" s="192" t="s">
        <v>23</v>
      </c>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Pass</v>
      </c>
      <c r="AU20" s="194"/>
    </row>
    <row r="21" customFormat="false" ht="96.55" hidden="false" customHeight="false" outlineLevel="0" collapsed="false">
      <c r="A21" s="191" t="str">
        <f aca="false">IF($F21="","",$C$2&amp;"."&amp;COUNTA($F$7:$F21)&amp;"")</f>
        <v>TC_01.9</v>
      </c>
      <c r="B21" s="191" t="s">
        <v>429</v>
      </c>
      <c r="C21" s="191" t="s">
        <v>530</v>
      </c>
      <c r="D21" s="191" t="s">
        <v>43</v>
      </c>
      <c r="E21" s="191" t="s">
        <v>160</v>
      </c>
      <c r="F21" s="13" t="s">
        <v>691</v>
      </c>
      <c r="G21" s="13" t="s">
        <v>692</v>
      </c>
      <c r="H21" s="13" t="s">
        <v>693</v>
      </c>
      <c r="I21" s="13" t="s">
        <v>694</v>
      </c>
      <c r="J21" s="191" t="s">
        <v>658</v>
      </c>
      <c r="K21" s="191" t="s">
        <v>245</v>
      </c>
      <c r="L21" s="191"/>
      <c r="M21" s="191"/>
      <c r="N21" s="192"/>
      <c r="O21" s="192"/>
      <c r="P21" s="192" t="s">
        <v>23</v>
      </c>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Pass</v>
      </c>
      <c r="AU21" s="194"/>
    </row>
    <row r="22" customFormat="false" ht="117.6" hidden="false" customHeight="false" outlineLevel="0" collapsed="false">
      <c r="A22" s="191" t="str">
        <f aca="false">IF($F22="","",$C$2&amp;"."&amp;COUNTA($F$7:$F22)&amp;"")</f>
        <v>TC_01.10</v>
      </c>
      <c r="B22" s="191" t="s">
        <v>429</v>
      </c>
      <c r="C22" s="191" t="s">
        <v>530</v>
      </c>
      <c r="D22" s="191" t="s">
        <v>43</v>
      </c>
      <c r="E22" s="191" t="s">
        <v>160</v>
      </c>
      <c r="F22" s="13" t="s">
        <v>695</v>
      </c>
      <c r="G22" s="13" t="s">
        <v>696</v>
      </c>
      <c r="H22" s="13" t="s">
        <v>697</v>
      </c>
      <c r="I22" s="13" t="s">
        <v>698</v>
      </c>
      <c r="J22" s="191" t="s">
        <v>658</v>
      </c>
      <c r="K22" s="191" t="s">
        <v>245</v>
      </c>
      <c r="L22" s="191"/>
      <c r="M22" s="191"/>
      <c r="N22" s="192"/>
      <c r="O22" s="192"/>
      <c r="P22" s="192" t="s">
        <v>23</v>
      </c>
      <c r="Q22" s="192"/>
      <c r="R22" s="192"/>
      <c r="S22" s="192"/>
      <c r="T22" s="192"/>
      <c r="U22" s="192"/>
      <c r="V22" s="192"/>
      <c r="W22" s="192"/>
      <c r="X22" s="192"/>
      <c r="Y22" s="192"/>
      <c r="Z22" s="192"/>
      <c r="AA22" s="192"/>
      <c r="AB22" s="192"/>
      <c r="AC22" s="192"/>
      <c r="AD22" s="192"/>
      <c r="AE22" s="192"/>
      <c r="AF22" s="192"/>
      <c r="AG22" s="192"/>
      <c r="AH22" s="192"/>
      <c r="AI22" s="192"/>
      <c r="AJ22" s="192"/>
      <c r="AK22" s="192"/>
      <c r="AL22" s="192"/>
      <c r="AM22" s="192"/>
      <c r="AN22" s="192"/>
      <c r="AO22" s="192"/>
      <c r="AP22" s="192"/>
      <c r="AQ22" s="192"/>
      <c r="AR22" s="193" t="str">
        <f aca="false">IF($A22="","",IF(OR($N22="Yes",$T22="Yes",$Z22="Yes",$AF22="Yes",$AL22="Yes"),"Yes","No"))</f>
        <v>No</v>
      </c>
      <c r="AS22" s="193" t="str">
        <f aca="false">IF($A22="","",IFERROR(IF($AM22&lt;&gt;"",$AM22,IF($AG22&lt;&gt;"",$AG22,IF($AA22&lt;&gt;"",$AA22,IF($U22&lt;&gt;"",$U22,IF($O22&lt;&gt;"",$O22,""))))),""))</f>
        <v/>
      </c>
      <c r="AT22" s="193" t="str">
        <f aca="false">IFERROR(IF($AN22&lt;&gt;"",$AN22,IF($AH22&lt;&gt;"",$AH22,IF($AB22&lt;&gt;"",$AB22,IF($V22&lt;&gt;"",$V22,IF($P22&lt;&gt;"",$P22,""))))),"")</f>
        <v>Pass</v>
      </c>
      <c r="AU22" s="194"/>
    </row>
    <row r="23" customFormat="false" ht="15" hidden="false" customHeight="fals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 hidden="false" customHeight="fals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 hidden="false" customHeight="fals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 hidden="false" customHeight="fals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fals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fals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fals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fals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fals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fals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fals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fals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fals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fals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fals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fals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fals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fals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fals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fals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fals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fals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fals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fals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fals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fals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fals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fals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fals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fals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fals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fals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fals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fals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fals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2:AU12"/>
    <mergeCell ref="C14:AU14"/>
    <mergeCell ref="C17:AU17"/>
    <mergeCell ref="C19:AU19"/>
  </mergeCells>
  <conditionalFormatting sqref="O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U7" activePane="bottomRight" state="frozen"/>
      <selection pane="topLeft" activeCell="A1" activeCellId="0" sqref="A1"/>
      <selection pane="topRight" activeCell="U1" activeCellId="0" sqref="U1"/>
      <selection pane="bottomLeft" activeCell="A7" activeCellId="0" sqref="A7"/>
      <selection pane="bottomRight" activeCell="AX13" activeCellId="0" sqref="AX13"/>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197</v>
      </c>
      <c r="D2" s="181"/>
      <c r="E2" s="181"/>
    </row>
    <row r="3" customFormat="false" ht="15" hidden="false" customHeight="true" outlineLevel="0" collapsed="false">
      <c r="A3" s="180" t="s">
        <v>630</v>
      </c>
      <c r="B3" s="180"/>
      <c r="C3" s="181" t="s">
        <v>198</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60" hidden="false" customHeight="true" outlineLevel="0" collapsed="false">
      <c r="A7" s="189"/>
      <c r="B7" s="189"/>
      <c r="C7" s="190" t="s">
        <v>699</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IF($F8="","",$C$2&amp;"."&amp;COUNTA($F$7:$F8)&amp;"")</f>
        <v>TC_02.1</v>
      </c>
      <c r="B8" s="191" t="s">
        <v>433</v>
      </c>
      <c r="C8" s="191" t="s">
        <v>530</v>
      </c>
      <c r="D8" s="191" t="s">
        <v>41</v>
      </c>
      <c r="E8" s="191" t="s">
        <v>158</v>
      </c>
      <c r="F8" s="13" t="s">
        <v>700</v>
      </c>
      <c r="G8" s="13" t="s">
        <v>701</v>
      </c>
      <c r="H8" s="13" t="s">
        <v>702</v>
      </c>
      <c r="I8" s="13" t="s">
        <v>703</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TC_02.2</v>
      </c>
      <c r="B9" s="191" t="s">
        <v>433</v>
      </c>
      <c r="C9" s="191" t="s">
        <v>530</v>
      </c>
      <c r="D9" s="191" t="s">
        <v>41</v>
      </c>
      <c r="E9" s="191" t="s">
        <v>158</v>
      </c>
      <c r="F9" s="13" t="s">
        <v>704</v>
      </c>
      <c r="G9" s="13" t="s">
        <v>705</v>
      </c>
      <c r="H9" s="13" t="s">
        <v>706</v>
      </c>
      <c r="I9" s="13" t="s">
        <v>707</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708</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24.5" hidden="false" customHeight="true" outlineLevel="0" collapsed="false">
      <c r="A11" s="191" t="str">
        <f aca="false">IF($F11="","",$C$2&amp;"."&amp;COUNTA($F$7:$F11)&amp;"")</f>
        <v>TC_02.3</v>
      </c>
      <c r="B11" s="191" t="s">
        <v>437</v>
      </c>
      <c r="C11" s="191" t="s">
        <v>530</v>
      </c>
      <c r="D11" s="191" t="s">
        <v>41</v>
      </c>
      <c r="E11" s="191" t="s">
        <v>159</v>
      </c>
      <c r="F11" s="13" t="s">
        <v>709</v>
      </c>
      <c r="G11" s="13" t="s">
        <v>710</v>
      </c>
      <c r="H11" s="13" t="s">
        <v>711</v>
      </c>
      <c r="I11" s="13" t="s">
        <v>712</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5" hidden="false" customHeight="true" outlineLevel="0" collapsed="false">
      <c r="A12" s="189"/>
      <c r="B12" s="189"/>
      <c r="C12" s="190" t="s">
        <v>713</v>
      </c>
      <c r="D12" s="190"/>
      <c r="E12" s="190"/>
      <c r="F12" s="190"/>
      <c r="G12" s="190"/>
      <c r="H12" s="190"/>
      <c r="I12" s="190"/>
      <c r="J12" s="190"/>
      <c r="K12" s="190"/>
      <c r="L12" s="190"/>
      <c r="M12" s="190"/>
      <c r="N12" s="190"/>
      <c r="O12" s="190"/>
      <c r="P12" s="190"/>
      <c r="Q12" s="190"/>
      <c r="R12" s="190"/>
      <c r="S12" s="190"/>
      <c r="T12" s="190"/>
      <c r="U12" s="190"/>
      <c r="V12" s="190"/>
      <c r="W12" s="190"/>
      <c r="X12" s="190"/>
      <c r="Y12" s="190"/>
      <c r="Z12" s="190"/>
      <c r="AA12" s="190"/>
      <c r="AB12" s="190"/>
      <c r="AC12" s="190"/>
      <c r="AD12" s="190"/>
      <c r="AE12" s="190"/>
      <c r="AF12" s="190"/>
      <c r="AG12" s="190"/>
      <c r="AH12" s="190"/>
      <c r="AI12" s="190"/>
      <c r="AJ12" s="190"/>
      <c r="AK12" s="190"/>
      <c r="AL12" s="190"/>
      <c r="AM12" s="190"/>
      <c r="AN12" s="190"/>
      <c r="AO12" s="190"/>
      <c r="AP12" s="190"/>
      <c r="AQ12" s="190"/>
      <c r="AR12" s="190"/>
      <c r="AS12" s="190"/>
      <c r="AT12" s="190"/>
      <c r="AU12" s="190"/>
    </row>
    <row r="13" customFormat="false" ht="168.75" hidden="false" customHeight="true" outlineLevel="0" collapsed="false">
      <c r="A13" s="191" t="str">
        <f aca="false">IF($F13="","",$C$2&amp;"."&amp;COUNTA($F$7:$F13)&amp;"")</f>
        <v>TC_02.4</v>
      </c>
      <c r="B13" s="191" t="s">
        <v>441</v>
      </c>
      <c r="C13" s="191" t="s">
        <v>530</v>
      </c>
      <c r="D13" s="191" t="s">
        <v>41</v>
      </c>
      <c r="E13" s="191" t="s">
        <v>159</v>
      </c>
      <c r="F13" s="13" t="s">
        <v>714</v>
      </c>
      <c r="G13" s="13" t="s">
        <v>715</v>
      </c>
      <c r="H13" s="13" t="s">
        <v>716</v>
      </c>
      <c r="I13" s="13" t="s">
        <v>717</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80" hidden="false" customHeight="true" outlineLevel="0" collapsed="false">
      <c r="A14" s="191" t="str">
        <f aca="false">IF($F14="","",$C$2&amp;"."&amp;COUNTA($F$7:$F14)&amp;"")</f>
        <v>TC_02.5</v>
      </c>
      <c r="B14" s="191" t="s">
        <v>441</v>
      </c>
      <c r="C14" s="191" t="s">
        <v>530</v>
      </c>
      <c r="D14" s="191" t="s">
        <v>41</v>
      </c>
      <c r="E14" s="191" t="s">
        <v>159</v>
      </c>
      <c r="F14" s="13" t="s">
        <v>718</v>
      </c>
      <c r="G14" s="13" t="s">
        <v>719</v>
      </c>
      <c r="H14" s="13" t="s">
        <v>720</v>
      </c>
      <c r="I14" s="13" t="s">
        <v>717</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147" hidden="false" customHeight="true" outlineLevel="0" collapsed="false">
      <c r="A15" s="191" t="str">
        <f aca="false">IF($F15="","",$C$2&amp;"."&amp;COUNTA($F$7:$F15)&amp;"")</f>
        <v>TC_02.6</v>
      </c>
      <c r="B15" s="191" t="s">
        <v>441</v>
      </c>
      <c r="C15" s="191" t="s">
        <v>530</v>
      </c>
      <c r="D15" s="191" t="s">
        <v>41</v>
      </c>
      <c r="E15" s="191" t="s">
        <v>159</v>
      </c>
      <c r="F15" s="13" t="s">
        <v>721</v>
      </c>
      <c r="G15" s="13" t="s">
        <v>722</v>
      </c>
      <c r="H15" s="13" t="s">
        <v>723</v>
      </c>
      <c r="I15" s="13" t="s">
        <v>717</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91.25" hidden="false" customHeight="true" outlineLevel="0" collapsed="false">
      <c r="A16" s="191" t="str">
        <f aca="false">IF($F16="","",$C$2&amp;"."&amp;COUNTA($F$7:$F16)&amp;"")</f>
        <v>TC_02.7</v>
      </c>
      <c r="B16" s="191" t="s">
        <v>441</v>
      </c>
      <c r="C16" s="191" t="s">
        <v>530</v>
      </c>
      <c r="D16" s="191" t="s">
        <v>41</v>
      </c>
      <c r="E16" s="191" t="s">
        <v>159</v>
      </c>
      <c r="F16" s="13" t="s">
        <v>724</v>
      </c>
      <c r="G16" s="13" t="s">
        <v>722</v>
      </c>
      <c r="H16" s="13" t="s">
        <v>725</v>
      </c>
      <c r="I16" s="13" t="s">
        <v>726</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727</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68.75" hidden="false" customHeight="true" outlineLevel="0" collapsed="false">
      <c r="A18" s="191" t="str">
        <f aca="false">IF($F18="","",$C$2&amp;"."&amp;COUNTA($F$7:$F18)&amp;"")</f>
        <v>TC_02.8</v>
      </c>
      <c r="B18" s="191" t="s">
        <v>445</v>
      </c>
      <c r="C18" s="191" t="s">
        <v>530</v>
      </c>
      <c r="D18" s="191" t="s">
        <v>41</v>
      </c>
      <c r="E18" s="191" t="s">
        <v>159</v>
      </c>
      <c r="F18" s="13" t="s">
        <v>728</v>
      </c>
      <c r="G18" s="13" t="s">
        <v>729</v>
      </c>
      <c r="H18" s="13" t="s">
        <v>730</v>
      </c>
      <c r="I18" s="13" t="s">
        <v>731</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13.25" hidden="false" customHeight="true" outlineLevel="0" collapsed="false">
      <c r="A19" s="191" t="str">
        <f aca="false">IF($F19="","",$C$2&amp;"."&amp;COUNTA($F$7:$F19)&amp;"")</f>
        <v>TC_02.9</v>
      </c>
      <c r="B19" s="191" t="s">
        <v>445</v>
      </c>
      <c r="C19" s="191" t="s">
        <v>530</v>
      </c>
      <c r="D19" s="191" t="s">
        <v>41</v>
      </c>
      <c r="E19" s="191" t="s">
        <v>159</v>
      </c>
      <c r="F19" s="13" t="s">
        <v>732</v>
      </c>
      <c r="G19" s="13" t="s">
        <v>729</v>
      </c>
      <c r="H19" s="13" t="s">
        <v>733</v>
      </c>
      <c r="I19" s="13" t="s">
        <v>734</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68.75" hidden="false" customHeight="true" outlineLevel="0" collapsed="false">
      <c r="A20" s="191" t="str">
        <f aca="false">IF($F20="","",$C$2&amp;"."&amp;COUNTA($F$7:$F20)&amp;"")</f>
        <v>TC_02.10</v>
      </c>
      <c r="B20" s="191" t="s">
        <v>445</v>
      </c>
      <c r="C20" s="191" t="s">
        <v>530</v>
      </c>
      <c r="D20" s="191" t="s">
        <v>41</v>
      </c>
      <c r="E20" s="191" t="s">
        <v>159</v>
      </c>
      <c r="F20" s="13" t="s">
        <v>735</v>
      </c>
      <c r="G20" s="13" t="s">
        <v>729</v>
      </c>
      <c r="H20" s="13" t="s">
        <v>736</v>
      </c>
      <c r="I20" s="13" t="s">
        <v>737</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5.75" hidden="false" customHeight="true" outlineLevel="0" collapsed="false">
      <c r="A21" s="191" t="str">
        <f aca="false">IF($F21="","",$C$2&amp;"."&amp;COUNTA($F$7:$F21)&amp;"")</f>
        <v>TC_02.11</v>
      </c>
      <c r="B21" s="191" t="s">
        <v>445</v>
      </c>
      <c r="C21" s="191" t="s">
        <v>530</v>
      </c>
      <c r="D21" s="191" t="s">
        <v>41</v>
      </c>
      <c r="E21" s="191" t="s">
        <v>159</v>
      </c>
      <c r="F21" s="13" t="s">
        <v>738</v>
      </c>
      <c r="G21" s="13" t="s">
        <v>739</v>
      </c>
      <c r="H21" s="13" t="s">
        <v>740</v>
      </c>
      <c r="I21" s="13" t="s">
        <v>741</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89"/>
      <c r="B22" s="189"/>
      <c r="C22" s="190" t="s">
        <v>742</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15.75" hidden="false" customHeight="true" outlineLevel="0" collapsed="false">
      <c r="A23" s="191" t="str">
        <f aca="false">IF($F23="","",$C$2&amp;"."&amp;COUNTA($F$7:$F23)&amp;"")</f>
        <v>TC_02.12</v>
      </c>
      <c r="B23" s="191" t="s">
        <v>449</v>
      </c>
      <c r="C23" s="191" t="s">
        <v>530</v>
      </c>
      <c r="D23" s="191" t="s">
        <v>41</v>
      </c>
      <c r="E23" s="191" t="s">
        <v>160</v>
      </c>
      <c r="F23" s="13" t="s">
        <v>743</v>
      </c>
      <c r="G23" s="13" t="s">
        <v>744</v>
      </c>
      <c r="H23" s="13" t="s">
        <v>745</v>
      </c>
      <c r="I23" s="13" t="s">
        <v>746</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89"/>
      <c r="B24" s="189"/>
      <c r="C24" s="190" t="s">
        <v>747</v>
      </c>
      <c r="D24" s="190"/>
      <c r="E24" s="190"/>
      <c r="F24" s="190"/>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row>
    <row r="25" customFormat="false" ht="15.75" hidden="false" customHeight="true" outlineLevel="0" collapsed="false">
      <c r="A25" s="191" t="str">
        <f aca="false">IF($F25="","",$C$2&amp;"."&amp;COUNTA($F$7:$F25)&amp;"")</f>
        <v>TC_02.13</v>
      </c>
      <c r="B25" s="191" t="s">
        <v>453</v>
      </c>
      <c r="C25" s="191" t="s">
        <v>530</v>
      </c>
      <c r="D25" s="191" t="s">
        <v>41</v>
      </c>
      <c r="E25" s="191" t="s">
        <v>159</v>
      </c>
      <c r="F25" s="13" t="s">
        <v>748</v>
      </c>
      <c r="G25" s="13" t="s">
        <v>749</v>
      </c>
      <c r="H25" s="13" t="s">
        <v>750</v>
      </c>
      <c r="I25" s="13" t="s">
        <v>751</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7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7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7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7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7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2:AU12"/>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22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B19" activePane="bottomRight" state="frozen"/>
      <selection pane="topLeft" activeCell="A1" activeCellId="0" sqref="A1"/>
      <selection pane="topRight" activeCell="B1" activeCellId="0" sqref="B1"/>
      <selection pane="bottomLeft" activeCell="A19" activeCellId="0" sqref="A19"/>
      <selection pane="bottomRight" activeCell="M21" activeCellId="0" sqref="M21"/>
    </sheetView>
  </sheetViews>
  <sheetFormatPr defaultColWidth="14.43359375" defaultRowHeight="15" customHeight="fals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199</v>
      </c>
      <c r="D2" s="181"/>
      <c r="E2" s="181"/>
    </row>
    <row r="3" customFormat="false" ht="15" hidden="false" customHeight="true" outlineLevel="0" collapsed="false">
      <c r="A3" s="180" t="s">
        <v>630</v>
      </c>
      <c r="B3" s="180"/>
      <c r="C3" s="181" t="s">
        <v>200</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752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79.5" hidden="false" customHeight="true" outlineLevel="0" collapsed="false">
      <c r="A8" s="191" t="str">
        <f aca="false">IF($F8="","",$C$2&amp;"."&amp;COUNTA($F$7:$F8)&amp;"")</f>
        <v>TC_03.1</v>
      </c>
      <c r="B8" s="191" t="s">
        <v>456</v>
      </c>
      <c r="C8" s="191" t="s">
        <v>530</v>
      </c>
      <c r="D8" s="191" t="s">
        <v>41</v>
      </c>
      <c r="E8" s="191" t="s">
        <v>159</v>
      </c>
      <c r="F8" s="13" t="s">
        <v>753</v>
      </c>
      <c r="G8" s="13" t="s">
        <v>655</v>
      </c>
      <c r="H8" s="13" t="s">
        <v>754</v>
      </c>
      <c r="I8" s="13" t="s">
        <v>755</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79.5" hidden="false" customHeight="true" outlineLevel="0" collapsed="false">
      <c r="A9" s="191" t="str">
        <f aca="false">IF($F9="","",$C$2&amp;"."&amp;COUNTA($F$7:$F9)&amp;"")</f>
        <v>TC_03.2</v>
      </c>
      <c r="B9" s="191" t="s">
        <v>456</v>
      </c>
      <c r="C9" s="191" t="s">
        <v>530</v>
      </c>
      <c r="D9" s="191" t="s">
        <v>41</v>
      </c>
      <c r="E9" s="191" t="s">
        <v>160</v>
      </c>
      <c r="F9" s="13" t="s">
        <v>756</v>
      </c>
      <c r="G9" s="13" t="s">
        <v>655</v>
      </c>
      <c r="H9" s="13" t="s">
        <v>757</v>
      </c>
      <c r="I9" s="13" t="s">
        <v>758</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759</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13.25" hidden="false" customHeight="true" outlineLevel="0" collapsed="false">
      <c r="A11" s="191" t="str">
        <f aca="false">IF($F11="","",$C$2&amp;"."&amp;COUNTA($F$7:$F11)&amp;"")</f>
        <v>TC_03.3</v>
      </c>
      <c r="B11" s="191" t="s">
        <v>760</v>
      </c>
      <c r="C11" s="191" t="s">
        <v>530</v>
      </c>
      <c r="D11" s="191" t="s">
        <v>41</v>
      </c>
      <c r="E11" s="191" t="s">
        <v>159</v>
      </c>
      <c r="F11" s="13" t="s">
        <v>761</v>
      </c>
      <c r="G11" s="13" t="s">
        <v>762</v>
      </c>
      <c r="H11" s="13" t="s">
        <v>763</v>
      </c>
      <c r="I11" s="13" t="s">
        <v>764</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13.25" hidden="false" customHeight="true" outlineLevel="0" collapsed="false">
      <c r="A12" s="191" t="str">
        <f aca="false">IF($F12="","",$C$2&amp;"."&amp;COUNTA($F$7:$F12)&amp;"")</f>
        <v>TC_03.4</v>
      </c>
      <c r="B12" s="191" t="s">
        <v>760</v>
      </c>
      <c r="C12" s="191" t="s">
        <v>530</v>
      </c>
      <c r="D12" s="191" t="s">
        <v>41</v>
      </c>
      <c r="E12" s="191" t="s">
        <v>159</v>
      </c>
      <c r="F12" s="13" t="s">
        <v>765</v>
      </c>
      <c r="G12" s="13" t="s">
        <v>762</v>
      </c>
      <c r="H12" s="13" t="s">
        <v>766</v>
      </c>
      <c r="I12" s="13" t="s">
        <v>764</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13.25" hidden="false" customHeight="true" outlineLevel="0" collapsed="false">
      <c r="A13" s="191" t="str">
        <f aca="false">IF($F13="","",$C$2&amp;"."&amp;COUNTA($F$7:$F13)&amp;"")</f>
        <v>TC_03.5</v>
      </c>
      <c r="B13" s="191" t="s">
        <v>760</v>
      </c>
      <c r="C13" s="191" t="s">
        <v>530</v>
      </c>
      <c r="D13" s="191" t="s">
        <v>41</v>
      </c>
      <c r="E13" s="191" t="s">
        <v>159</v>
      </c>
      <c r="F13" s="13" t="s">
        <v>767</v>
      </c>
      <c r="G13" s="13" t="s">
        <v>762</v>
      </c>
      <c r="H13" s="13" t="s">
        <v>768</v>
      </c>
      <c r="I13" s="13" t="s">
        <v>764</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769</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51.5" hidden="false" customHeight="true" outlineLevel="0" collapsed="false">
      <c r="A15" s="191" t="str">
        <f aca="false">IF($F15="","",$C$2&amp;"."&amp;COUNTA($F$7:$F15)&amp;"")</f>
        <v>TC_03.6</v>
      </c>
      <c r="B15" s="191" t="s">
        <v>465</v>
      </c>
      <c r="C15" s="191" t="s">
        <v>530</v>
      </c>
      <c r="D15" s="191" t="s">
        <v>41</v>
      </c>
      <c r="E15" s="191" t="s">
        <v>159</v>
      </c>
      <c r="F15" s="13" t="s">
        <v>770</v>
      </c>
      <c r="G15" s="13" t="s">
        <v>729</v>
      </c>
      <c r="H15" s="13" t="s">
        <v>771</v>
      </c>
      <c r="I15" s="13" t="s">
        <v>772</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255.75" hidden="false" customHeight="true" outlineLevel="0" collapsed="false">
      <c r="A16" s="191" t="str">
        <f aca="false">IF($F16="","",$C$2&amp;"."&amp;COUNTA($F$7:$F16)&amp;"")</f>
        <v>TC_03.7</v>
      </c>
      <c r="B16" s="191" t="s">
        <v>465</v>
      </c>
      <c r="C16" s="191" t="s">
        <v>530</v>
      </c>
      <c r="D16" s="191" t="s">
        <v>41</v>
      </c>
      <c r="E16" s="191" t="s">
        <v>158</v>
      </c>
      <c r="F16" s="13" t="s">
        <v>773</v>
      </c>
      <c r="G16" s="13" t="s">
        <v>729</v>
      </c>
      <c r="H16" s="13" t="s">
        <v>774</v>
      </c>
      <c r="I16" s="13" t="s">
        <v>775</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776</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13.25" hidden="false" customHeight="true" outlineLevel="0" collapsed="false">
      <c r="A18" s="191" t="str">
        <f aca="false">IF($F18="","",$C$2&amp;"."&amp;COUNTA($F$7:$F18)&amp;"")</f>
        <v>TC_03.8</v>
      </c>
      <c r="B18" s="191" t="s">
        <v>468</v>
      </c>
      <c r="C18" s="191" t="s">
        <v>530</v>
      </c>
      <c r="D18" s="191" t="s">
        <v>41</v>
      </c>
      <c r="E18" s="191" t="s">
        <v>158</v>
      </c>
      <c r="F18" s="13" t="s">
        <v>777</v>
      </c>
      <c r="G18" s="13" t="s">
        <v>762</v>
      </c>
      <c r="H18" s="13" t="s">
        <v>778</v>
      </c>
      <c r="I18" s="13" t="s">
        <v>779</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13.25" hidden="false" customHeight="true" outlineLevel="0" collapsed="false">
      <c r="A19" s="191" t="str">
        <f aca="false">IF($F19="","",$C$2&amp;"."&amp;COUNTA($F$7:$F19)&amp;"")</f>
        <v>TC_03.9</v>
      </c>
      <c r="B19" s="191" t="s">
        <v>468</v>
      </c>
      <c r="C19" s="191" t="s">
        <v>530</v>
      </c>
      <c r="D19" s="191" t="s">
        <v>41</v>
      </c>
      <c r="E19" s="191" t="s">
        <v>158</v>
      </c>
      <c r="F19" s="13" t="s">
        <v>780</v>
      </c>
      <c r="G19" s="13" t="s">
        <v>762</v>
      </c>
      <c r="H19" s="13" t="s">
        <v>781</v>
      </c>
      <c r="I19" s="13" t="s">
        <v>779</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13.25" hidden="false" customHeight="true" outlineLevel="0" collapsed="false">
      <c r="A20" s="191" t="str">
        <f aca="false">IF($F20="","",$C$2&amp;"."&amp;COUNTA($F$7:$F20)&amp;"")</f>
        <v>TC_03.10</v>
      </c>
      <c r="B20" s="191" t="s">
        <v>468</v>
      </c>
      <c r="C20" s="191" t="s">
        <v>530</v>
      </c>
      <c r="D20" s="191" t="s">
        <v>41</v>
      </c>
      <c r="E20" s="191" t="s">
        <v>158</v>
      </c>
      <c r="F20" s="13" t="s">
        <v>782</v>
      </c>
      <c r="G20" s="13" t="s">
        <v>762</v>
      </c>
      <c r="H20" s="13" t="s">
        <v>783</v>
      </c>
      <c r="I20" s="13" t="s">
        <v>779</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41.75" hidden="false" customHeight="true" outlineLevel="0" collapsed="false">
      <c r="A21" s="191" t="str">
        <f aca="false">IF($F21="","",$C$2&amp;"."&amp;COUNTA($F$7:$F21)&amp;"")</f>
        <v>TC_03.11</v>
      </c>
      <c r="B21" s="191" t="s">
        <v>468</v>
      </c>
      <c r="C21" s="191" t="s">
        <v>530</v>
      </c>
      <c r="D21" s="191" t="s">
        <v>41</v>
      </c>
      <c r="E21" s="191" t="s">
        <v>159</v>
      </c>
      <c r="F21" s="13" t="s">
        <v>784</v>
      </c>
      <c r="G21" s="13" t="s">
        <v>785</v>
      </c>
      <c r="H21" s="13" t="s">
        <v>786</v>
      </c>
      <c r="I21" s="13" t="s">
        <v>787</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89"/>
      <c r="B22" s="189"/>
      <c r="C22" s="190" t="s">
        <v>788</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151.5" hidden="false" customHeight="true" outlineLevel="0" collapsed="false">
      <c r="A23" s="191" t="str">
        <f aca="false">IF($F23="","",$C$2&amp;"."&amp;COUNTA($F$7:$F23)&amp;"")</f>
        <v>TC_03.12</v>
      </c>
      <c r="B23" s="191" t="s">
        <v>459</v>
      </c>
      <c r="C23" s="191" t="s">
        <v>530</v>
      </c>
      <c r="D23" s="191" t="s">
        <v>41</v>
      </c>
      <c r="E23" s="191" t="s">
        <v>159</v>
      </c>
      <c r="F23" s="13" t="s">
        <v>789</v>
      </c>
      <c r="G23" s="13" t="s">
        <v>790</v>
      </c>
      <c r="H23" s="13" t="s">
        <v>791</v>
      </c>
      <c r="I23" s="13" t="s">
        <v>792</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89"/>
      <c r="B24" s="189"/>
      <c r="C24" s="190" t="s">
        <v>793</v>
      </c>
      <c r="D24" s="190"/>
      <c r="E24" s="190"/>
      <c r="F24" s="190"/>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row>
    <row r="25" customFormat="false" ht="141.75" hidden="false" customHeight="true" outlineLevel="0" collapsed="false">
      <c r="A25" s="191" t="str">
        <f aca="false">IF($F25="","",$C$2&amp;"."&amp;COUNTA($F$7:$F25)&amp;"")</f>
        <v>TC_03.13</v>
      </c>
      <c r="B25" s="191" t="s">
        <v>471</v>
      </c>
      <c r="C25" s="191" t="s">
        <v>530</v>
      </c>
      <c r="D25" s="191" t="s">
        <v>41</v>
      </c>
      <c r="E25" s="191" t="s">
        <v>160</v>
      </c>
      <c r="F25" s="13" t="s">
        <v>794</v>
      </c>
      <c r="G25" s="13" t="s">
        <v>795</v>
      </c>
      <c r="H25" s="13" t="s">
        <v>796</v>
      </c>
      <c r="I25" s="13" t="s">
        <v>797</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 hidden="false" customHeight="true" outlineLevel="0" collapsed="false">
      <c r="AV61" s="1"/>
    </row>
    <row r="62" customFormat="false" ht="15" hidden="false" customHeight="true" outlineLevel="0" collapsed="false">
      <c r="AV62" s="1"/>
    </row>
    <row r="63" customFormat="false" ht="15" hidden="false" customHeight="true" outlineLevel="0" collapsed="false">
      <c r="AV63" s="1"/>
    </row>
    <row r="64" customFormat="false" ht="15" hidden="false" customHeight="true" outlineLevel="0" collapsed="false">
      <c r="AV64" s="1"/>
    </row>
    <row r="65" customFormat="false" ht="15" hidden="false" customHeight="true" outlineLevel="0" collapsed="false">
      <c r="AV65" s="1"/>
    </row>
    <row r="66" customFormat="false" ht="15" hidden="false" customHeight="true" outlineLevel="0" collapsed="false">
      <c r="AV66" s="1"/>
    </row>
    <row r="67" customFormat="false" ht="15" hidden="false" customHeight="true" outlineLevel="0" collapsed="false">
      <c r="AV67" s="1"/>
    </row>
    <row r="68" customFormat="false" ht="15" hidden="false" customHeight="true" outlineLevel="0" collapsed="false">
      <c r="AV68" s="1"/>
    </row>
    <row r="69" customFormat="false" ht="15" hidden="false" customHeight="true" outlineLevel="0" collapsed="false">
      <c r="AV69" s="1"/>
    </row>
    <row r="70" customFormat="false" ht="15" hidden="false" customHeight="true" outlineLevel="0" collapsed="false">
      <c r="AV70" s="1"/>
    </row>
    <row r="71" customFormat="false" ht="15" hidden="false" customHeight="true" outlineLevel="0" collapsed="false">
      <c r="AV71" s="1"/>
    </row>
    <row r="72" customFormat="false" ht="15" hidden="false" customHeight="true" outlineLevel="0" collapsed="false">
      <c r="AV72" s="1"/>
    </row>
    <row r="73" customFormat="false" ht="15" hidden="false" customHeight="true" outlineLevel="0" collapsed="false">
      <c r="AV73" s="1"/>
    </row>
    <row r="74" customFormat="false" ht="15" hidden="false" customHeight="true" outlineLevel="0" collapsed="false">
      <c r="AV74" s="1"/>
    </row>
    <row r="75" customFormat="false" ht="15" hidden="false" customHeight="true" outlineLevel="0" collapsed="false">
      <c r="AV75" s="1"/>
    </row>
    <row r="76" customFormat="false" ht="15" hidden="false" customHeight="true" outlineLevel="0" collapsed="false">
      <c r="AV76" s="1"/>
    </row>
    <row r="77" customFormat="false" ht="15" hidden="false" customHeight="true" outlineLevel="0" collapsed="false">
      <c r="AV77" s="1"/>
    </row>
    <row r="78" customFormat="false" ht="15" hidden="false" customHeight="true" outlineLevel="0" collapsed="false">
      <c r="AV78" s="1"/>
    </row>
    <row r="79" customFormat="false" ht="15" hidden="false" customHeight="true" outlineLevel="0" collapsed="false">
      <c r="AV79" s="1"/>
    </row>
    <row r="80" customFormat="false" ht="15" hidden="false" customHeight="true" outlineLevel="0" collapsed="false">
      <c r="AV80" s="1"/>
    </row>
    <row r="81" customFormat="false" ht="15" hidden="false" customHeight="true" outlineLevel="0" collapsed="false">
      <c r="AV81" s="1"/>
    </row>
    <row r="82" customFormat="false" ht="15" hidden="false" customHeight="true" outlineLevel="0" collapsed="false">
      <c r="AV82" s="1"/>
    </row>
    <row r="83" customFormat="false" ht="15" hidden="false" customHeight="true" outlineLevel="0" collapsed="false">
      <c r="AV83" s="1"/>
    </row>
    <row r="84" customFormat="false" ht="15" hidden="false" customHeight="true" outlineLevel="0" collapsed="false">
      <c r="AV84" s="1"/>
    </row>
    <row r="85" customFormat="false" ht="15" hidden="false" customHeight="true" outlineLevel="0" collapsed="false">
      <c r="AV85" s="1"/>
    </row>
    <row r="86" customFormat="false" ht="15" hidden="false" customHeight="true" outlineLevel="0" collapsed="false">
      <c r="AV86" s="1"/>
    </row>
    <row r="87" customFormat="false" ht="15" hidden="false" customHeight="true" outlineLevel="0" collapsed="false">
      <c r="AV87" s="1"/>
    </row>
    <row r="88" customFormat="false" ht="15" hidden="false" customHeight="true" outlineLevel="0" collapsed="false">
      <c r="AV88" s="1"/>
    </row>
    <row r="89" customFormat="false" ht="15" hidden="false" customHeight="true" outlineLevel="0" collapsed="false">
      <c r="AV89" s="1"/>
    </row>
    <row r="90" customFormat="false" ht="15" hidden="false" customHeight="true" outlineLevel="0" collapsed="false">
      <c r="AV90" s="1"/>
    </row>
    <row r="91" customFormat="false" ht="15" hidden="false" customHeight="true" outlineLevel="0" collapsed="false">
      <c r="AV91" s="1"/>
    </row>
    <row r="92" customFormat="false" ht="15" hidden="false" customHeight="true" outlineLevel="0" collapsed="false">
      <c r="AV92" s="1"/>
    </row>
    <row r="93" customFormat="false" ht="15" hidden="false" customHeight="true" outlineLevel="0" collapsed="false">
      <c r="AV93" s="1"/>
    </row>
    <row r="94" customFormat="false" ht="15" hidden="false" customHeight="true" outlineLevel="0" collapsed="false">
      <c r="AV94" s="1"/>
    </row>
    <row r="95" customFormat="false" ht="15" hidden="false" customHeight="true" outlineLevel="0" collapsed="false">
      <c r="AV95" s="1"/>
    </row>
    <row r="96" customFormat="false" ht="15" hidden="false" customHeight="true" outlineLevel="0" collapsed="false">
      <c r="AV96" s="1"/>
    </row>
    <row r="97" customFormat="false" ht="15" hidden="false" customHeight="true" outlineLevel="0" collapsed="false">
      <c r="AV97" s="1"/>
    </row>
    <row r="98" customFormat="false" ht="15" hidden="false" customHeight="true" outlineLevel="0" collapsed="false">
      <c r="AV98" s="1"/>
    </row>
    <row r="99" customFormat="false" ht="15" hidden="false" customHeight="true" outlineLevel="0" collapsed="false">
      <c r="AV99" s="1"/>
    </row>
    <row r="100" customFormat="false" ht="15" hidden="false" customHeight="true" outlineLevel="0" collapsed="false">
      <c r="AV100" s="1"/>
    </row>
    <row r="101" customFormat="false" ht="15" hidden="false" customHeight="true" outlineLevel="0" collapsed="false">
      <c r="AV101" s="1"/>
    </row>
    <row r="102" customFormat="false" ht="15" hidden="false" customHeight="true" outlineLevel="0" collapsed="false">
      <c r="AV102" s="1"/>
    </row>
    <row r="103" customFormat="false" ht="15" hidden="false" customHeight="true" outlineLevel="0" collapsed="false">
      <c r="AV103" s="1"/>
    </row>
    <row r="104" customFormat="false" ht="15" hidden="false" customHeight="true" outlineLevel="0" collapsed="false">
      <c r="AV104" s="1"/>
    </row>
    <row r="105" customFormat="false" ht="15" hidden="false" customHeight="true" outlineLevel="0" collapsed="false">
      <c r="AV105" s="1"/>
    </row>
    <row r="106" customFormat="false" ht="15" hidden="false" customHeight="true" outlineLevel="0" collapsed="false">
      <c r="AV106" s="1"/>
    </row>
    <row r="107" customFormat="false" ht="15" hidden="false" customHeight="true" outlineLevel="0" collapsed="false">
      <c r="AV107" s="1"/>
    </row>
    <row r="108" customFormat="false" ht="15" hidden="false" customHeight="true" outlineLevel="0" collapsed="false">
      <c r="AV108" s="1"/>
    </row>
    <row r="109" customFormat="false" ht="15" hidden="false" customHeight="true" outlineLevel="0" collapsed="false">
      <c r="AV109" s="1"/>
    </row>
    <row r="110" customFormat="false" ht="15" hidden="false" customHeight="true" outlineLevel="0" collapsed="false">
      <c r="AV110" s="1"/>
    </row>
    <row r="111" customFormat="false" ht="15" hidden="false" customHeight="true" outlineLevel="0" collapsed="false">
      <c r="AV111" s="1"/>
    </row>
    <row r="112" customFormat="false" ht="15" hidden="false" customHeight="true" outlineLevel="0" collapsed="false">
      <c r="AV112" s="1"/>
    </row>
    <row r="113" customFormat="false" ht="15" hidden="false" customHeight="true" outlineLevel="0" collapsed="false">
      <c r="AV113" s="1"/>
    </row>
    <row r="114" customFormat="false" ht="15" hidden="false" customHeight="true" outlineLevel="0" collapsed="false">
      <c r="AV114" s="1"/>
    </row>
    <row r="115" customFormat="false" ht="15" hidden="false" customHeight="true" outlineLevel="0" collapsed="false">
      <c r="AV115" s="1"/>
    </row>
    <row r="116" customFormat="false" ht="15" hidden="false" customHeight="true" outlineLevel="0" collapsed="false">
      <c r="AV116" s="1"/>
    </row>
    <row r="117" customFormat="false" ht="15" hidden="false" customHeight="true" outlineLevel="0" collapsed="false">
      <c r="AV117" s="1"/>
    </row>
    <row r="118" customFormat="false" ht="15" hidden="false" customHeight="true" outlineLevel="0" collapsed="false">
      <c r="AV118" s="1"/>
    </row>
    <row r="119" customFormat="false" ht="15" hidden="false" customHeight="true" outlineLevel="0" collapsed="false">
      <c r="AV119" s="1"/>
    </row>
    <row r="120" customFormat="false" ht="15" hidden="false" customHeight="true" outlineLevel="0" collapsed="false">
      <c r="AV120" s="1"/>
    </row>
    <row r="121" customFormat="false" ht="15" hidden="false" customHeight="true" outlineLevel="0" collapsed="false">
      <c r="AV121" s="1"/>
    </row>
    <row r="122" customFormat="false" ht="15" hidden="false" customHeight="true" outlineLevel="0" collapsed="false">
      <c r="AV122" s="1"/>
    </row>
    <row r="123" customFormat="false" ht="15" hidden="false" customHeight="true" outlineLevel="0" collapsed="false">
      <c r="AV123" s="1"/>
    </row>
    <row r="124" customFormat="false" ht="15" hidden="false" customHeight="true" outlineLevel="0" collapsed="false">
      <c r="AV124" s="1"/>
    </row>
    <row r="125" customFormat="false" ht="15" hidden="false" customHeight="true" outlineLevel="0" collapsed="false">
      <c r="AV125" s="1"/>
    </row>
    <row r="126" customFormat="false" ht="15" hidden="false" customHeight="true" outlineLevel="0" collapsed="false">
      <c r="AV126" s="1"/>
    </row>
    <row r="127" customFormat="false" ht="15" hidden="false" customHeight="true" outlineLevel="0" collapsed="false">
      <c r="AV127" s="1"/>
    </row>
    <row r="128" customFormat="false" ht="15" hidden="false" customHeight="true" outlineLevel="0" collapsed="false">
      <c r="AV128" s="1"/>
    </row>
    <row r="129" customFormat="false" ht="15" hidden="false" customHeight="true" outlineLevel="0" collapsed="false">
      <c r="AV129" s="1"/>
    </row>
    <row r="130" customFormat="false" ht="15" hidden="false" customHeight="true" outlineLevel="0" collapsed="false">
      <c r="AV130" s="1"/>
    </row>
    <row r="131" customFormat="false" ht="15" hidden="false" customHeight="true" outlineLevel="0" collapsed="false">
      <c r="AV131" s="1"/>
    </row>
    <row r="132" customFormat="false" ht="15" hidden="false" customHeight="true" outlineLevel="0" collapsed="false">
      <c r="AV132" s="1"/>
    </row>
    <row r="133" customFormat="false" ht="15" hidden="false" customHeight="true" outlineLevel="0" collapsed="false">
      <c r="AV133" s="1"/>
    </row>
    <row r="134" customFormat="false" ht="15" hidden="false" customHeight="true" outlineLevel="0" collapsed="false">
      <c r="AV134" s="1"/>
    </row>
    <row r="135" customFormat="false" ht="15" hidden="false" customHeight="true" outlineLevel="0" collapsed="false">
      <c r="AV135" s="1"/>
    </row>
    <row r="136" customFormat="false" ht="15" hidden="false" customHeight="true" outlineLevel="0" collapsed="false">
      <c r="AV136" s="1"/>
    </row>
    <row r="137" customFormat="false" ht="15" hidden="false" customHeight="true" outlineLevel="0" collapsed="false">
      <c r="AV137" s="1"/>
    </row>
    <row r="138" customFormat="false" ht="15" hidden="false" customHeight="true" outlineLevel="0" collapsed="false">
      <c r="AV138" s="1"/>
    </row>
    <row r="139" customFormat="false" ht="15" hidden="false" customHeight="true" outlineLevel="0" collapsed="false">
      <c r="AV139" s="1"/>
    </row>
    <row r="140" customFormat="false" ht="15" hidden="false" customHeight="true" outlineLevel="0" collapsed="false">
      <c r="AV140" s="1"/>
    </row>
    <row r="141" customFormat="false" ht="15" hidden="false" customHeight="true" outlineLevel="0" collapsed="false">
      <c r="AV141" s="1"/>
    </row>
    <row r="142" customFormat="false" ht="15" hidden="false" customHeight="true" outlineLevel="0" collapsed="false">
      <c r="AV142" s="1"/>
    </row>
    <row r="143" customFormat="false" ht="15" hidden="false" customHeight="true" outlineLevel="0" collapsed="false">
      <c r="AV143" s="1"/>
    </row>
    <row r="144" customFormat="false" ht="15" hidden="false" customHeight="true" outlineLevel="0" collapsed="false">
      <c r="AV144" s="1"/>
    </row>
    <row r="145" customFormat="false" ht="15" hidden="false" customHeight="true" outlineLevel="0" collapsed="false">
      <c r="AV145" s="1"/>
    </row>
    <row r="146" customFormat="false" ht="15" hidden="false" customHeight="true" outlineLevel="0" collapsed="false">
      <c r="AV146" s="1"/>
    </row>
    <row r="147" customFormat="false" ht="15" hidden="false" customHeight="true" outlineLevel="0" collapsed="false">
      <c r="AV147" s="1"/>
    </row>
    <row r="148" customFormat="false" ht="15" hidden="false" customHeight="true" outlineLevel="0" collapsed="false">
      <c r="AV148" s="1"/>
    </row>
    <row r="149" customFormat="false" ht="15" hidden="false" customHeight="true" outlineLevel="0" collapsed="false">
      <c r="AV149" s="1"/>
    </row>
    <row r="150" customFormat="false" ht="15" hidden="false" customHeight="true" outlineLevel="0" collapsed="false">
      <c r="AV150" s="1"/>
    </row>
    <row r="151" customFormat="false" ht="15" hidden="false" customHeight="true" outlineLevel="0" collapsed="false">
      <c r="AV151" s="1"/>
    </row>
    <row r="152" customFormat="false" ht="15" hidden="false" customHeight="true" outlineLevel="0" collapsed="false">
      <c r="AV152" s="1"/>
    </row>
    <row r="153" customFormat="false" ht="15" hidden="false" customHeight="true" outlineLevel="0" collapsed="false">
      <c r="AV153" s="1"/>
    </row>
    <row r="154" customFormat="false" ht="15" hidden="false" customHeight="true" outlineLevel="0" collapsed="false">
      <c r="AV154" s="1"/>
    </row>
    <row r="155" customFormat="false" ht="15" hidden="false" customHeight="true" outlineLevel="0" collapsed="false">
      <c r="AV155" s="1"/>
    </row>
    <row r="156" customFormat="false" ht="15" hidden="false" customHeight="true" outlineLevel="0" collapsed="false">
      <c r="AV156" s="1"/>
    </row>
    <row r="157" customFormat="false" ht="15" hidden="false" customHeight="true" outlineLevel="0" collapsed="false">
      <c r="AV157" s="1"/>
    </row>
    <row r="158" customFormat="false" ht="15" hidden="false" customHeight="true" outlineLevel="0" collapsed="false">
      <c r="AV158" s="1"/>
    </row>
    <row r="159" customFormat="false" ht="15" hidden="false" customHeight="true" outlineLevel="0" collapsed="false">
      <c r="AV159" s="1"/>
    </row>
    <row r="160" customFormat="false" ht="15" hidden="false" customHeight="true" outlineLevel="0" collapsed="false">
      <c r="AV160" s="1"/>
    </row>
    <row r="161" customFormat="false" ht="15" hidden="false" customHeight="true" outlineLevel="0" collapsed="false">
      <c r="AV161" s="1"/>
    </row>
    <row r="162" customFormat="false" ht="15" hidden="false" customHeight="true" outlineLevel="0" collapsed="false">
      <c r="AV162" s="1"/>
    </row>
    <row r="163" customFormat="false" ht="15" hidden="false" customHeight="true" outlineLevel="0" collapsed="false">
      <c r="AV163" s="1"/>
    </row>
    <row r="164" customFormat="false" ht="15" hidden="false" customHeight="true" outlineLevel="0" collapsed="false">
      <c r="AV164" s="1"/>
    </row>
    <row r="165" customFormat="false" ht="15" hidden="false" customHeight="true" outlineLevel="0" collapsed="false">
      <c r="AV165" s="1"/>
    </row>
    <row r="166" customFormat="false" ht="15" hidden="false" customHeight="true" outlineLevel="0" collapsed="false">
      <c r="AV166" s="1"/>
    </row>
    <row r="167" customFormat="false" ht="15" hidden="false" customHeight="true" outlineLevel="0" collapsed="false">
      <c r="AV167" s="1"/>
    </row>
    <row r="168" customFormat="false" ht="15" hidden="false" customHeight="true" outlineLevel="0" collapsed="false">
      <c r="AV168" s="1"/>
    </row>
    <row r="169" customFormat="false" ht="15" hidden="false" customHeight="true" outlineLevel="0" collapsed="false">
      <c r="AV169" s="1"/>
    </row>
    <row r="170" customFormat="false" ht="15" hidden="false" customHeight="true" outlineLevel="0" collapsed="false">
      <c r="AV170" s="1"/>
    </row>
    <row r="171" customFormat="false" ht="15" hidden="false" customHeight="true" outlineLevel="0" collapsed="false">
      <c r="AV171" s="1"/>
    </row>
    <row r="172" customFormat="false" ht="15" hidden="false" customHeight="true" outlineLevel="0" collapsed="false">
      <c r="AV172" s="1"/>
    </row>
    <row r="173" customFormat="false" ht="15" hidden="false" customHeight="true" outlineLevel="0" collapsed="false">
      <c r="AV173" s="1"/>
    </row>
    <row r="174" customFormat="false" ht="15" hidden="false" customHeight="true" outlineLevel="0" collapsed="false">
      <c r="AV174" s="1"/>
    </row>
    <row r="175" customFormat="false" ht="15" hidden="false" customHeight="true" outlineLevel="0" collapsed="false">
      <c r="AV175" s="1"/>
    </row>
    <row r="176" customFormat="false" ht="15" hidden="false" customHeight="true" outlineLevel="0" collapsed="false">
      <c r="AV176" s="1"/>
    </row>
    <row r="177" customFormat="false" ht="15" hidden="false" customHeight="true" outlineLevel="0" collapsed="false">
      <c r="AV177" s="1"/>
    </row>
    <row r="178" customFormat="false" ht="15" hidden="false" customHeight="true" outlineLevel="0" collapsed="false">
      <c r="AV178" s="1"/>
    </row>
    <row r="179" customFormat="false" ht="15" hidden="false" customHeight="true" outlineLevel="0" collapsed="false">
      <c r="AV179" s="1"/>
    </row>
    <row r="180" customFormat="false" ht="15" hidden="false" customHeight="true" outlineLevel="0" collapsed="false">
      <c r="AV180" s="1"/>
    </row>
    <row r="181" customFormat="false" ht="15" hidden="false" customHeight="true" outlineLevel="0" collapsed="false">
      <c r="AV181" s="1"/>
    </row>
    <row r="182" customFormat="false" ht="15" hidden="false" customHeight="true" outlineLevel="0" collapsed="false">
      <c r="AV182" s="1"/>
    </row>
    <row r="183" customFormat="false" ht="15" hidden="false" customHeight="true" outlineLevel="0" collapsed="false">
      <c r="AV183" s="1"/>
    </row>
    <row r="184" customFormat="false" ht="15" hidden="false" customHeight="true" outlineLevel="0" collapsed="false">
      <c r="AV184" s="1"/>
    </row>
    <row r="185" customFormat="false" ht="15" hidden="false" customHeight="true" outlineLevel="0" collapsed="false">
      <c r="AV185" s="1"/>
    </row>
    <row r="186" customFormat="false" ht="15" hidden="false" customHeight="true" outlineLevel="0" collapsed="false">
      <c r="AV186" s="1"/>
    </row>
    <row r="187" customFormat="false" ht="15" hidden="false" customHeight="true" outlineLevel="0" collapsed="false">
      <c r="AV187" s="1"/>
    </row>
    <row r="188" customFormat="false" ht="15" hidden="false" customHeight="true" outlineLevel="0" collapsed="false">
      <c r="AV188" s="1"/>
    </row>
    <row r="189" customFormat="false" ht="15" hidden="false" customHeight="true" outlineLevel="0" collapsed="false">
      <c r="AV189" s="1"/>
    </row>
    <row r="190" customFormat="false" ht="15" hidden="false" customHeight="true" outlineLevel="0" collapsed="false">
      <c r="AV190" s="1"/>
    </row>
    <row r="191" customFormat="false" ht="15" hidden="false" customHeight="true" outlineLevel="0" collapsed="false">
      <c r="AV191" s="1"/>
    </row>
    <row r="192" customFormat="false" ht="15" hidden="false" customHeight="true" outlineLevel="0" collapsed="false">
      <c r="AV192" s="1"/>
    </row>
    <row r="193" customFormat="false" ht="15" hidden="false" customHeight="true" outlineLevel="0" collapsed="false">
      <c r="AV193" s="1"/>
    </row>
    <row r="194" customFormat="false" ht="15" hidden="false" customHeight="true" outlineLevel="0" collapsed="false">
      <c r="AV194" s="1"/>
    </row>
    <row r="195" customFormat="false" ht="15" hidden="false" customHeight="true" outlineLevel="0" collapsed="false">
      <c r="AV195" s="1"/>
    </row>
    <row r="196" customFormat="false" ht="15" hidden="false" customHeight="true" outlineLevel="0" collapsed="false">
      <c r="AV196" s="1"/>
    </row>
    <row r="197" customFormat="false" ht="15" hidden="false" customHeight="true" outlineLevel="0" collapsed="false">
      <c r="AV197" s="1"/>
    </row>
    <row r="198" customFormat="false" ht="15" hidden="false" customHeight="true" outlineLevel="0" collapsed="false">
      <c r="AV198" s="1"/>
    </row>
    <row r="199" customFormat="false" ht="15" hidden="false" customHeight="true" outlineLevel="0" collapsed="false">
      <c r="AV199" s="1"/>
    </row>
    <row r="200" customFormat="false" ht="15" hidden="false" customHeight="true" outlineLevel="0" collapsed="false">
      <c r="AV200" s="1"/>
    </row>
    <row r="201" customFormat="false" ht="15" hidden="false" customHeight="true" outlineLevel="0" collapsed="false">
      <c r="AV201" s="1"/>
    </row>
    <row r="202" customFormat="false" ht="15" hidden="false" customHeight="true" outlineLevel="0" collapsed="false">
      <c r="AV202" s="1"/>
    </row>
    <row r="203" customFormat="false" ht="15" hidden="false" customHeight="true" outlineLevel="0" collapsed="false">
      <c r="AV203" s="1"/>
    </row>
    <row r="204" customFormat="false" ht="15" hidden="false" customHeight="true" outlineLevel="0" collapsed="false">
      <c r="AV204" s="1"/>
    </row>
    <row r="205" customFormat="false" ht="15" hidden="false" customHeight="true" outlineLevel="0" collapsed="false">
      <c r="AV205" s="1"/>
    </row>
    <row r="206" customFormat="false" ht="15" hidden="false" customHeight="true" outlineLevel="0" collapsed="false">
      <c r="AV206" s="1"/>
    </row>
    <row r="207" customFormat="false" ht="15" hidden="false" customHeight="true" outlineLevel="0" collapsed="false">
      <c r="AV207" s="1"/>
    </row>
    <row r="208" customFormat="false" ht="15" hidden="false" customHeight="true" outlineLevel="0" collapsed="false">
      <c r="AV208" s="1"/>
    </row>
    <row r="209" customFormat="false" ht="15" hidden="false" customHeight="true" outlineLevel="0" collapsed="false">
      <c r="AV209" s="1"/>
    </row>
    <row r="210" customFormat="false" ht="15" hidden="false" customHeight="true" outlineLevel="0" collapsed="false">
      <c r="AV210" s="1"/>
    </row>
    <row r="211" customFormat="false" ht="15" hidden="false" customHeight="true" outlineLevel="0" collapsed="false">
      <c r="AV211" s="1"/>
    </row>
    <row r="212" customFormat="false" ht="15" hidden="false" customHeight="true" outlineLevel="0" collapsed="false">
      <c r="AV212" s="1"/>
    </row>
    <row r="213" customFormat="false" ht="15" hidden="false" customHeight="true" outlineLevel="0" collapsed="false">
      <c r="AV213" s="1"/>
    </row>
    <row r="214" customFormat="false" ht="15" hidden="false" customHeight="true" outlineLevel="0" collapsed="false">
      <c r="AV214" s="1"/>
    </row>
    <row r="215" customFormat="false" ht="15" hidden="false" customHeight="true" outlineLevel="0" collapsed="false">
      <c r="AV215" s="1"/>
    </row>
    <row r="216" customFormat="false" ht="15" hidden="false" customHeight="true" outlineLevel="0" collapsed="false">
      <c r="AV216" s="1"/>
    </row>
    <row r="217" customFormat="false" ht="15" hidden="false" customHeight="true" outlineLevel="0" collapsed="false">
      <c r="AV217" s="1"/>
    </row>
    <row r="218" customFormat="false" ht="15" hidden="false" customHeight="true" outlineLevel="0" collapsed="false">
      <c r="AV218" s="1"/>
    </row>
    <row r="219" customFormat="false" ht="15" hidden="false" customHeight="true" outlineLevel="0" collapsed="false">
      <c r="AV219" s="1"/>
    </row>
    <row r="220" customFormat="false" ht="15" hidden="false" customHeight="true" outlineLevel="0" collapsed="false">
      <c r="AV220" s="1"/>
    </row>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22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C64" activePane="bottomRight" state="frozen"/>
      <selection pane="topLeft" activeCell="A1" activeCellId="0" sqref="A1"/>
      <selection pane="topRight" activeCell="C1" activeCellId="0" sqref="C1"/>
      <selection pane="bottomLeft" activeCell="A64" activeCellId="0" sqref="A64"/>
      <selection pane="bottomRight" activeCell="AX21" activeCellId="0" sqref="AX21"/>
    </sheetView>
  </sheetViews>
  <sheetFormatPr defaultColWidth="14.43359375" defaultRowHeight="15" customHeight="fals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201</v>
      </c>
      <c r="D2" s="181"/>
      <c r="E2" s="181"/>
    </row>
    <row r="3" customFormat="false" ht="15" hidden="false" customHeight="true" outlineLevel="0" collapsed="false">
      <c r="A3" s="180" t="s">
        <v>630</v>
      </c>
      <c r="B3" s="180"/>
      <c r="C3" s="181" t="s">
        <v>202</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798</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47" hidden="false" customHeight="true" outlineLevel="0" collapsed="false">
      <c r="A8" s="191" t="str">
        <f aca="false">IF($F8="","",$C$2&amp;"."&amp;COUNTA($F$7:$F8)&amp;"")</f>
        <v>TC_04.1</v>
      </c>
      <c r="B8" s="191" t="s">
        <v>474</v>
      </c>
      <c r="C8" s="191" t="s">
        <v>530</v>
      </c>
      <c r="D8" s="191" t="s">
        <v>43</v>
      </c>
      <c r="E8" s="191" t="s">
        <v>159</v>
      </c>
      <c r="F8" s="13" t="s">
        <v>799</v>
      </c>
      <c r="G8" s="13" t="s">
        <v>800</v>
      </c>
      <c r="H8" s="13" t="s">
        <v>801</v>
      </c>
      <c r="I8" s="13" t="s">
        <v>802</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47" hidden="false" customHeight="true" outlineLevel="0" collapsed="false">
      <c r="A9" s="191" t="str">
        <f aca="false">IF($F9="","",$C$2&amp;"."&amp;COUNTA($F$7:$F9)&amp;"")</f>
        <v>TC_04.2</v>
      </c>
      <c r="B9" s="191" t="s">
        <v>474</v>
      </c>
      <c r="C9" s="191" t="s">
        <v>530</v>
      </c>
      <c r="D9" s="191" t="s">
        <v>43</v>
      </c>
      <c r="E9" s="191" t="s">
        <v>159</v>
      </c>
      <c r="F9" s="13" t="s">
        <v>803</v>
      </c>
      <c r="G9" s="13" t="s">
        <v>800</v>
      </c>
      <c r="H9" s="13" t="s">
        <v>804</v>
      </c>
      <c r="I9" s="13" t="s">
        <v>805</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47" hidden="false" customHeight="true" outlineLevel="0" collapsed="false">
      <c r="A10" s="191" t="str">
        <f aca="false">IF($F10="","",$C$2&amp;"."&amp;COUNTA($F$7:$F10)&amp;"")</f>
        <v>TC_04.3</v>
      </c>
      <c r="B10" s="191" t="s">
        <v>474</v>
      </c>
      <c r="C10" s="191" t="s">
        <v>530</v>
      </c>
      <c r="D10" s="191" t="s">
        <v>43</v>
      </c>
      <c r="E10" s="191" t="s">
        <v>159</v>
      </c>
      <c r="F10" s="13" t="s">
        <v>806</v>
      </c>
      <c r="G10" s="13" t="s">
        <v>800</v>
      </c>
      <c r="H10" s="13" t="s">
        <v>807</v>
      </c>
      <c r="I10" s="13" t="s">
        <v>808</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7.5" hidden="false" customHeight="true" outlineLevel="0" collapsed="false">
      <c r="A11" s="191" t="str">
        <f aca="false">IF($F11="","",$C$2&amp;"."&amp;COUNTA($F$7:$F11)&amp;"")</f>
        <v>TC_04.4</v>
      </c>
      <c r="B11" s="191" t="s">
        <v>474</v>
      </c>
      <c r="C11" s="191" t="s">
        <v>530</v>
      </c>
      <c r="D11" s="191" t="s">
        <v>43</v>
      </c>
      <c r="E11" s="191" t="s">
        <v>159</v>
      </c>
      <c r="F11" s="13" t="s">
        <v>809</v>
      </c>
      <c r="G11" s="13" t="s">
        <v>800</v>
      </c>
      <c r="H11" s="13" t="s">
        <v>810</v>
      </c>
      <c r="I11" s="13" t="s">
        <v>811</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47" hidden="false" customHeight="true" outlineLevel="0" collapsed="false">
      <c r="A12" s="191" t="str">
        <f aca="false">IF($F12="","",$C$2&amp;"."&amp;COUNTA($F$7:$F12)&amp;"")</f>
        <v>TC_04.5</v>
      </c>
      <c r="B12" s="191" t="s">
        <v>474</v>
      </c>
      <c r="C12" s="191" t="s">
        <v>530</v>
      </c>
      <c r="D12" s="191" t="s">
        <v>43</v>
      </c>
      <c r="E12" s="191" t="s">
        <v>159</v>
      </c>
      <c r="F12" s="13" t="s">
        <v>812</v>
      </c>
      <c r="G12" s="13" t="s">
        <v>800</v>
      </c>
      <c r="H12" s="13" t="s">
        <v>813</v>
      </c>
      <c r="I12" s="13" t="s">
        <v>814</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7.5" hidden="false" customHeight="true" outlineLevel="0" collapsed="false">
      <c r="A13" s="191" t="str">
        <f aca="false">IF($F13="","",$C$2&amp;"."&amp;COUNTA($F$7:$F13)&amp;"")</f>
        <v>TC_04.6</v>
      </c>
      <c r="B13" s="191" t="s">
        <v>474</v>
      </c>
      <c r="C13" s="191" t="s">
        <v>530</v>
      </c>
      <c r="D13" s="191" t="s">
        <v>43</v>
      </c>
      <c r="E13" s="191" t="s">
        <v>159</v>
      </c>
      <c r="F13" s="13" t="s">
        <v>815</v>
      </c>
      <c r="G13" s="13" t="s">
        <v>800</v>
      </c>
      <c r="H13" s="13" t="s">
        <v>816</v>
      </c>
      <c r="I13" s="13" t="s">
        <v>817</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202.5" hidden="false" customHeight="true" outlineLevel="0" collapsed="false">
      <c r="A14" s="191" t="str">
        <f aca="false">IF($F14="","",$C$2&amp;"."&amp;COUNTA($F$7:$F14)&amp;"")</f>
        <v>TC_04.7</v>
      </c>
      <c r="B14" s="191" t="s">
        <v>474</v>
      </c>
      <c r="C14" s="191" t="s">
        <v>530</v>
      </c>
      <c r="D14" s="191" t="s">
        <v>43</v>
      </c>
      <c r="E14" s="191" t="s">
        <v>160</v>
      </c>
      <c r="F14" s="13" t="s">
        <v>818</v>
      </c>
      <c r="G14" s="13" t="s">
        <v>800</v>
      </c>
      <c r="H14" s="13" t="s">
        <v>819</v>
      </c>
      <c r="I14" s="13" t="s">
        <v>820</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191.25" hidden="false" customHeight="true" outlineLevel="0" collapsed="false">
      <c r="A15" s="191" t="str">
        <f aca="false">IF($F15="","",$C$2&amp;"."&amp;COUNTA($F$7:$F15)&amp;"")</f>
        <v>TC_04.8</v>
      </c>
      <c r="B15" s="191" t="s">
        <v>474</v>
      </c>
      <c r="C15" s="191" t="s">
        <v>530</v>
      </c>
      <c r="D15" s="191" t="s">
        <v>43</v>
      </c>
      <c r="E15" s="191" t="s">
        <v>160</v>
      </c>
      <c r="F15" s="13" t="s">
        <v>821</v>
      </c>
      <c r="G15" s="13" t="s">
        <v>800</v>
      </c>
      <c r="H15" s="13" t="s">
        <v>822</v>
      </c>
      <c r="I15" s="13" t="s">
        <v>823</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202.5" hidden="false" customHeight="true" outlineLevel="0" collapsed="false">
      <c r="A16" s="191" t="str">
        <f aca="false">IF($F16="","",$C$2&amp;"."&amp;COUNTA($F$7:$F16)&amp;"")</f>
        <v>TC_04.9</v>
      </c>
      <c r="B16" s="191" t="s">
        <v>474</v>
      </c>
      <c r="C16" s="191" t="s">
        <v>530</v>
      </c>
      <c r="D16" s="191" t="s">
        <v>43</v>
      </c>
      <c r="E16" s="191" t="s">
        <v>160</v>
      </c>
      <c r="F16" s="13" t="s">
        <v>824</v>
      </c>
      <c r="G16" s="13" t="s">
        <v>800</v>
      </c>
      <c r="H16" s="13" t="s">
        <v>825</v>
      </c>
      <c r="I16" s="13" t="s">
        <v>823</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826</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35.75" hidden="false" customHeight="true" outlineLevel="0" collapsed="false">
      <c r="A18" s="191" t="str">
        <f aca="false">IF($F18="","",$C$2&amp;"."&amp;COUNTA($F$7:$F18)&amp;"")</f>
        <v>TC_04.10</v>
      </c>
      <c r="B18" s="191" t="s">
        <v>477</v>
      </c>
      <c r="C18" s="191" t="s">
        <v>530</v>
      </c>
      <c r="D18" s="191" t="s">
        <v>41</v>
      </c>
      <c r="E18" s="191" t="s">
        <v>159</v>
      </c>
      <c r="F18" s="13" t="s">
        <v>827</v>
      </c>
      <c r="G18" s="13" t="s">
        <v>828</v>
      </c>
      <c r="H18" s="13" t="s">
        <v>829</v>
      </c>
      <c r="I18" s="13" t="s">
        <v>830</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5" hidden="false" customHeight="true" outlineLevel="0" collapsed="false">
      <c r="A19" s="189"/>
      <c r="B19" s="189"/>
      <c r="C19" s="190" t="s">
        <v>831</v>
      </c>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0"/>
      <c r="AM19" s="190"/>
      <c r="AN19" s="190"/>
      <c r="AO19" s="190"/>
      <c r="AP19" s="190"/>
      <c r="AQ19" s="190"/>
      <c r="AR19" s="190"/>
      <c r="AS19" s="190"/>
      <c r="AT19" s="190"/>
      <c r="AU19" s="190"/>
    </row>
    <row r="20" customFormat="false" ht="113.25" hidden="false" customHeight="true" outlineLevel="0" collapsed="false">
      <c r="A20" s="191" t="str">
        <f aca="false">IF($F20="","",$C$2&amp;"."&amp;COUNTA($F$7:$F20)&amp;"")</f>
        <v>TC_04.11</v>
      </c>
      <c r="B20" s="191" t="s">
        <v>480</v>
      </c>
      <c r="C20" s="191" t="s">
        <v>530</v>
      </c>
      <c r="D20" s="191" t="s">
        <v>41</v>
      </c>
      <c r="E20" s="191" t="s">
        <v>160</v>
      </c>
      <c r="F20" s="13" t="s">
        <v>832</v>
      </c>
      <c r="G20" s="13" t="s">
        <v>833</v>
      </c>
      <c r="H20" s="13" t="s">
        <v>834</v>
      </c>
      <c r="I20" s="13" t="s">
        <v>835</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90.75" hidden="false" customHeight="true" outlineLevel="0" collapsed="false">
      <c r="A21" s="191" t="str">
        <f aca="false">IF($F21="","",$C$2&amp;"."&amp;COUNTA($F$7:$F21)&amp;"")</f>
        <v>TC_04.12</v>
      </c>
      <c r="B21" s="191" t="s">
        <v>480</v>
      </c>
      <c r="C21" s="191" t="s">
        <v>530</v>
      </c>
      <c r="D21" s="191" t="s">
        <v>41</v>
      </c>
      <c r="E21" s="191" t="s">
        <v>160</v>
      </c>
      <c r="F21" s="13" t="s">
        <v>836</v>
      </c>
      <c r="G21" s="13" t="s">
        <v>800</v>
      </c>
      <c r="H21" s="13" t="s">
        <v>837</v>
      </c>
      <c r="I21" s="13" t="s">
        <v>838</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89"/>
      <c r="B22" s="189"/>
      <c r="C22" s="190" t="s">
        <v>839</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135.75" hidden="false" customHeight="true" outlineLevel="0" collapsed="false">
      <c r="A23" s="191" t="str">
        <f aca="false">IF($F23="","",$C$2&amp;"."&amp;COUNTA($F$7:$F23)&amp;"")</f>
        <v>TC_04.13</v>
      </c>
      <c r="B23" s="191" t="s">
        <v>483</v>
      </c>
      <c r="C23" s="191" t="s">
        <v>840</v>
      </c>
      <c r="D23" s="191" t="s">
        <v>41</v>
      </c>
      <c r="E23" s="191" t="s">
        <v>158</v>
      </c>
      <c r="F23" s="13" t="s">
        <v>841</v>
      </c>
      <c r="G23" s="13" t="s">
        <v>833</v>
      </c>
      <c r="H23" s="13" t="s">
        <v>842</v>
      </c>
      <c r="I23" s="13" t="s">
        <v>843</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91.25" hidden="false" customHeight="true" outlineLevel="0" collapsed="false">
      <c r="A24" s="191" t="str">
        <f aca="false">IF($F24="","",$C$2&amp;"."&amp;COUNTA($F$7:$F24)&amp;"")</f>
        <v>TC_04.14</v>
      </c>
      <c r="B24" s="191" t="s">
        <v>483</v>
      </c>
      <c r="C24" s="191" t="s">
        <v>840</v>
      </c>
      <c r="D24" s="191" t="s">
        <v>41</v>
      </c>
      <c r="E24" s="191" t="s">
        <v>158</v>
      </c>
      <c r="F24" s="13" t="s">
        <v>844</v>
      </c>
      <c r="G24" s="13" t="s">
        <v>833</v>
      </c>
      <c r="H24" s="13" t="s">
        <v>845</v>
      </c>
      <c r="I24" s="13" t="s">
        <v>846</v>
      </c>
      <c r="J24" s="191" t="s">
        <v>658</v>
      </c>
      <c r="K24" s="191" t="s">
        <v>245</v>
      </c>
      <c r="L24" s="191"/>
      <c r="M24" s="191"/>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2"/>
      <c r="AM24" s="192"/>
      <c r="AN24" s="192"/>
      <c r="AO24" s="192"/>
      <c r="AP24" s="192"/>
      <c r="AQ24" s="192"/>
      <c r="AR24" s="193" t="str">
        <f aca="false">IF($A24="","",IF(OR($N24="Yes",$T24="Yes",$Z24="Yes",$AF24="Yes",$AL24="Yes"),"Yes","No"))</f>
        <v>No</v>
      </c>
      <c r="AS24" s="193" t="str">
        <f aca="false">IF($A24="","",IFERROR(IF($AM24&lt;&gt;"",$AM24,IF($AG24&lt;&gt;"",$AG24,IF($AA24&lt;&gt;"",$AA24,IF($U24&lt;&gt;"",$U24,IF($O24&lt;&gt;"",$O24,""))))),""))</f>
        <v/>
      </c>
      <c r="AT24" s="193" t="str">
        <f aca="false">IFERROR(IF($AN24&lt;&gt;"",$AN24,IF($AH24&lt;&gt;"",$AH24,IF($AB24&lt;&gt;"",$AB24,IF($V24&lt;&gt;"",$V24,IF($P24&lt;&gt;"",$P24,""))))),"")</f>
        <v/>
      </c>
      <c r="AU24" s="194"/>
    </row>
    <row r="25" customFormat="false" ht="191.25" hidden="false" customHeight="true" outlineLevel="0" collapsed="false">
      <c r="A25" s="191" t="str">
        <f aca="false">IF($F25="","",$C$2&amp;"."&amp;COUNTA($F$7:$F25)&amp;"")</f>
        <v>TC_04.15</v>
      </c>
      <c r="B25" s="191" t="s">
        <v>483</v>
      </c>
      <c r="C25" s="191" t="s">
        <v>840</v>
      </c>
      <c r="D25" s="191" t="s">
        <v>41</v>
      </c>
      <c r="E25" s="191" t="s">
        <v>159</v>
      </c>
      <c r="F25" s="13" t="s">
        <v>847</v>
      </c>
      <c r="G25" s="13" t="s">
        <v>833</v>
      </c>
      <c r="H25" s="13" t="s">
        <v>848</v>
      </c>
      <c r="I25" s="13" t="s">
        <v>849</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91" t="str">
        <f aca="false">IF($F26="","",$C$2&amp;"."&amp;COUNTA($F$7:$F26)&amp;"")</f>
        <v>TC_04.16</v>
      </c>
      <c r="B26" s="191" t="s">
        <v>483</v>
      </c>
      <c r="C26" s="191" t="s">
        <v>840</v>
      </c>
      <c r="D26" s="191" t="s">
        <v>41</v>
      </c>
      <c r="E26" s="191" t="s">
        <v>159</v>
      </c>
      <c r="F26" s="13" t="s">
        <v>850</v>
      </c>
      <c r="G26" s="13" t="s">
        <v>833</v>
      </c>
      <c r="H26" s="13" t="s">
        <v>851</v>
      </c>
      <c r="I26" s="13" t="s">
        <v>852</v>
      </c>
      <c r="J26" s="191" t="s">
        <v>658</v>
      </c>
      <c r="K26" s="191" t="s">
        <v>245</v>
      </c>
      <c r="L26" s="191"/>
      <c r="M26" s="191"/>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2"/>
      <c r="AM26" s="192"/>
      <c r="AN26" s="192"/>
      <c r="AO26" s="192"/>
      <c r="AP26" s="192"/>
      <c r="AQ26" s="192"/>
      <c r="AR26" s="193" t="str">
        <f aca="false">IF($A26="","",IF(OR($N26="Yes",$T26="Yes",$Z26="Yes",$AF26="Yes",$AL26="Yes"),"Yes","No"))</f>
        <v>No</v>
      </c>
      <c r="AS26" s="193" t="str">
        <f aca="false">IF($A26="","",IFERROR(IF($AM26&lt;&gt;"",$AM26,IF($AG26&lt;&gt;"",$AG26,IF($AA26&lt;&gt;"",$AA26,IF($U26&lt;&gt;"",$U26,IF($O26&lt;&gt;"",$O26,""))))),""))</f>
        <v/>
      </c>
      <c r="AT26" s="193" t="str">
        <f aca="false">IFERROR(IF($AN26&lt;&gt;"",$AN26,IF($AH26&lt;&gt;"",$AH26,IF($AB26&lt;&gt;"",$AB26,IF($V26&lt;&gt;"",$V26,IF($P26&lt;&gt;"",$P26,""))))),"")</f>
        <v/>
      </c>
      <c r="AU26" s="194"/>
    </row>
    <row r="27" customFormat="false" ht="135.75" hidden="false" customHeight="true" outlineLevel="0" collapsed="false">
      <c r="A27" s="191" t="str">
        <f aca="false">IF($F27="","",$C$2&amp;"."&amp;COUNTA($F$7:$F27)&amp;"")</f>
        <v>TC_04.17</v>
      </c>
      <c r="B27" s="191" t="s">
        <v>483</v>
      </c>
      <c r="C27" s="191" t="s">
        <v>530</v>
      </c>
      <c r="D27" s="191" t="s">
        <v>41</v>
      </c>
      <c r="E27" s="191" t="s">
        <v>159</v>
      </c>
      <c r="F27" s="13" t="s">
        <v>853</v>
      </c>
      <c r="G27" s="13" t="s">
        <v>833</v>
      </c>
      <c r="H27" s="13" t="s">
        <v>854</v>
      </c>
      <c r="I27" s="13" t="s">
        <v>855</v>
      </c>
      <c r="J27" s="191" t="s">
        <v>658</v>
      </c>
      <c r="K27" s="191" t="s">
        <v>245</v>
      </c>
      <c r="L27" s="191"/>
      <c r="M27" s="191"/>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2"/>
      <c r="AM27" s="192"/>
      <c r="AN27" s="192"/>
      <c r="AO27" s="192"/>
      <c r="AP27" s="192"/>
      <c r="AQ27" s="192"/>
      <c r="AR27" s="193" t="str">
        <f aca="false">IF($A27="","",IF(OR($N27="Yes",$T27="Yes",$Z27="Yes",$AF27="Yes",$AL27="Yes"),"Yes","No"))</f>
        <v>No</v>
      </c>
      <c r="AS27" s="193" t="str">
        <f aca="false">IF($A27="","",IFERROR(IF($AM27&lt;&gt;"",$AM27,IF($AG27&lt;&gt;"",$AG27,IF($AA27&lt;&gt;"",$AA27,IF($U27&lt;&gt;"",$U27,IF($O27&lt;&gt;"",$O27,""))))),""))</f>
        <v/>
      </c>
      <c r="AT27" s="193" t="str">
        <f aca="false">IFERROR(IF($AN27&lt;&gt;"",$AN27,IF($AH27&lt;&gt;"",$AH27,IF($AB27&lt;&gt;"",$AB27,IF($V27&lt;&gt;"",$V27,IF($P27&lt;&gt;"",$P27,""))))),"")</f>
        <v/>
      </c>
      <c r="AU27" s="194"/>
    </row>
    <row r="28" customFormat="false" ht="147" hidden="false" customHeight="true" outlineLevel="0" collapsed="false">
      <c r="A28" s="191" t="str">
        <f aca="false">IF($F28="","",$C$2&amp;"."&amp;COUNTA($F$7:$F28)&amp;"")</f>
        <v>TC_04.18</v>
      </c>
      <c r="B28" s="191" t="s">
        <v>483</v>
      </c>
      <c r="C28" s="191" t="s">
        <v>530</v>
      </c>
      <c r="D28" s="191" t="s">
        <v>41</v>
      </c>
      <c r="E28" s="191" t="s">
        <v>159</v>
      </c>
      <c r="F28" s="13" t="s">
        <v>856</v>
      </c>
      <c r="G28" s="13" t="s">
        <v>833</v>
      </c>
      <c r="H28" s="13" t="s">
        <v>857</v>
      </c>
      <c r="I28" s="13" t="s">
        <v>858</v>
      </c>
      <c r="J28" s="191" t="s">
        <v>658</v>
      </c>
      <c r="K28" s="191" t="s">
        <v>245</v>
      </c>
      <c r="L28" s="191"/>
      <c r="M28" s="191"/>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2"/>
      <c r="AM28" s="192"/>
      <c r="AN28" s="192"/>
      <c r="AO28" s="192"/>
      <c r="AP28" s="192"/>
      <c r="AQ28" s="192"/>
      <c r="AR28" s="193" t="str">
        <f aca="false">IF($A28="","",IF(OR($N28="Yes",$T28="Yes",$Z28="Yes",$AF28="Yes",$AL28="Yes"),"Yes","No"))</f>
        <v>No</v>
      </c>
      <c r="AS28" s="193" t="str">
        <f aca="false">IF($A28="","",IFERROR(IF($AM28&lt;&gt;"",$AM28,IF($AG28&lt;&gt;"",$AG28,IF($AA28&lt;&gt;"",$AA28,IF($U28&lt;&gt;"",$U28,IF($O28&lt;&gt;"",$O28,""))))),""))</f>
        <v/>
      </c>
      <c r="AT28" s="193" t="str">
        <f aca="false">IFERROR(IF($AN28&lt;&gt;"",$AN28,IF($AH28&lt;&gt;"",$AH28,IF($AB28&lt;&gt;"",$AB28,IF($V28&lt;&gt;"",$V28,IF($P28&lt;&gt;"",$P28,""))))),"")</f>
        <v/>
      </c>
      <c r="AU28" s="194"/>
    </row>
    <row r="29" customFormat="false" ht="135.75" hidden="false" customHeight="true" outlineLevel="0" collapsed="false">
      <c r="A29" s="191" t="str">
        <f aca="false">IF($F29="","",$C$2&amp;"."&amp;COUNTA($F$7:$F29)&amp;"")</f>
        <v>TC_04.19</v>
      </c>
      <c r="B29" s="191" t="s">
        <v>483</v>
      </c>
      <c r="C29" s="191" t="s">
        <v>530</v>
      </c>
      <c r="D29" s="191" t="s">
        <v>41</v>
      </c>
      <c r="E29" s="191" t="s">
        <v>159</v>
      </c>
      <c r="F29" s="13" t="s">
        <v>859</v>
      </c>
      <c r="G29" s="13" t="s">
        <v>833</v>
      </c>
      <c r="H29" s="13" t="s">
        <v>860</v>
      </c>
      <c r="I29" s="13" t="s">
        <v>861</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15.75" hidden="false" customHeight="true" outlineLevel="0" collapsed="false">
      <c r="A30" s="189"/>
      <c r="B30" s="189"/>
      <c r="C30" s="190" t="s">
        <v>862</v>
      </c>
      <c r="D30" s="190"/>
      <c r="E30" s="190"/>
      <c r="F30" s="190"/>
      <c r="G30" s="190"/>
      <c r="H30" s="190"/>
      <c r="I30" s="190"/>
      <c r="J30" s="190"/>
      <c r="K30" s="190"/>
      <c r="L30" s="190"/>
      <c r="M30" s="190"/>
      <c r="N30" s="190"/>
      <c r="O30" s="190"/>
      <c r="P30" s="190"/>
      <c r="Q30" s="190"/>
      <c r="R30" s="190"/>
      <c r="S30" s="190"/>
      <c r="T30" s="190"/>
      <c r="U30" s="190"/>
      <c r="V30" s="190"/>
      <c r="W30" s="190"/>
      <c r="X30" s="190"/>
      <c r="Y30" s="190"/>
      <c r="Z30" s="190"/>
      <c r="AA30" s="190"/>
      <c r="AB30" s="190"/>
      <c r="AC30" s="190"/>
      <c r="AD30" s="190"/>
      <c r="AE30" s="190"/>
      <c r="AF30" s="190"/>
      <c r="AG30" s="190"/>
      <c r="AH30" s="190"/>
      <c r="AI30" s="190"/>
      <c r="AJ30" s="190"/>
      <c r="AK30" s="190"/>
      <c r="AL30" s="190"/>
      <c r="AM30" s="190"/>
      <c r="AN30" s="190"/>
      <c r="AO30" s="190"/>
      <c r="AP30" s="190"/>
      <c r="AQ30" s="190"/>
      <c r="AR30" s="190"/>
      <c r="AS30" s="190"/>
      <c r="AT30" s="190"/>
      <c r="AU30" s="190"/>
    </row>
    <row r="31" customFormat="false" ht="180" hidden="false" customHeight="true" outlineLevel="0" collapsed="false">
      <c r="A31" s="191" t="str">
        <f aca="false">IF($F31="","",$C$2&amp;"."&amp;COUNTA($F$7:$F31)&amp;"")</f>
        <v>TC_04.20</v>
      </c>
      <c r="B31" s="191" t="s">
        <v>486</v>
      </c>
      <c r="C31" s="191" t="s">
        <v>840</v>
      </c>
      <c r="D31" s="191" t="s">
        <v>43</v>
      </c>
      <c r="E31" s="191" t="s">
        <v>159</v>
      </c>
      <c r="F31" s="13" t="s">
        <v>863</v>
      </c>
      <c r="G31" s="13" t="s">
        <v>800</v>
      </c>
      <c r="H31" s="13" t="s">
        <v>864</v>
      </c>
      <c r="I31" s="13" t="s">
        <v>865</v>
      </c>
      <c r="J31" s="191" t="s">
        <v>658</v>
      </c>
      <c r="K31" s="191" t="s">
        <v>245</v>
      </c>
      <c r="L31" s="191"/>
      <c r="M31" s="191"/>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2"/>
      <c r="AM31" s="192"/>
      <c r="AN31" s="192"/>
      <c r="AO31" s="192"/>
      <c r="AP31" s="192"/>
      <c r="AQ31" s="192"/>
      <c r="AR31" s="193" t="str">
        <f aca="false">IF($A31="","",IF(OR($N31="Yes",$T31="Yes",$Z31="Yes",$AF31="Yes",$AL31="Yes"),"Yes","No"))</f>
        <v>No</v>
      </c>
      <c r="AS31" s="193" t="str">
        <f aca="false">IF($A31="","",IFERROR(IF($AM31&lt;&gt;"",$AM31,IF($AG31&lt;&gt;"",$AG31,IF($AA31&lt;&gt;"",$AA31,IF($U31&lt;&gt;"",$U31,IF($O31&lt;&gt;"",$O31,""))))),""))</f>
        <v/>
      </c>
      <c r="AT31" s="193" t="str">
        <f aca="false">IFERROR(IF($AN31&lt;&gt;"",$AN31,IF($AH31&lt;&gt;"",$AH31,IF($AB31&lt;&gt;"",$AB31,IF($V31&lt;&gt;"",$V31,IF($P31&lt;&gt;"",$P31,""))))),"")</f>
        <v/>
      </c>
      <c r="AU31" s="194"/>
    </row>
    <row r="32" customFormat="false" ht="135.75" hidden="false" customHeight="true" outlineLevel="0" collapsed="false">
      <c r="A32" s="191" t="str">
        <f aca="false">IF($F32="","",$C$2&amp;"."&amp;COUNTA($F$7:$F32)&amp;"")</f>
        <v>TC_04.21</v>
      </c>
      <c r="B32" s="191" t="s">
        <v>486</v>
      </c>
      <c r="C32" s="191" t="s">
        <v>840</v>
      </c>
      <c r="D32" s="191" t="s">
        <v>41</v>
      </c>
      <c r="E32" s="191" t="s">
        <v>159</v>
      </c>
      <c r="F32" s="13" t="s">
        <v>866</v>
      </c>
      <c r="G32" s="13" t="s">
        <v>800</v>
      </c>
      <c r="H32" s="13" t="s">
        <v>867</v>
      </c>
      <c r="I32" s="13" t="s">
        <v>868</v>
      </c>
      <c r="J32" s="191" t="s">
        <v>658</v>
      </c>
      <c r="K32" s="191" t="s">
        <v>245</v>
      </c>
      <c r="L32" s="191"/>
      <c r="M32" s="191"/>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2"/>
      <c r="AM32" s="192"/>
      <c r="AN32" s="192"/>
      <c r="AO32" s="192"/>
      <c r="AP32" s="192"/>
      <c r="AQ32" s="192"/>
      <c r="AR32" s="193" t="str">
        <f aca="false">IF($A32="","",IF(OR($N32="Yes",$T32="Yes",$Z32="Yes",$AF32="Yes",$AL32="Yes"),"Yes","No"))</f>
        <v>No</v>
      </c>
      <c r="AS32" s="193" t="str">
        <f aca="false">IF($A32="","",IFERROR(IF($AM32&lt;&gt;"",$AM32,IF($AG32&lt;&gt;"",$AG32,IF($AA32&lt;&gt;"",$AA32,IF($U32&lt;&gt;"",$U32,IF($O32&lt;&gt;"",$O32,""))))),""))</f>
        <v/>
      </c>
      <c r="AT32" s="193" t="str">
        <f aca="false">IFERROR(IF($AN32&lt;&gt;"",$AN32,IF($AH32&lt;&gt;"",$AH32,IF($AB32&lt;&gt;"",$AB32,IF($V32&lt;&gt;"",$V32,IF($P32&lt;&gt;"",$P32,""))))),"")</f>
        <v/>
      </c>
      <c r="AU32" s="194"/>
    </row>
    <row r="33" customFormat="false" ht="202.5" hidden="false" customHeight="true" outlineLevel="0" collapsed="false">
      <c r="A33" s="191" t="str">
        <f aca="false">IF($F33="","",$C$2&amp;"."&amp;COUNTA($F$7:$F33)&amp;"")</f>
        <v>TC_04.22</v>
      </c>
      <c r="B33" s="191" t="s">
        <v>486</v>
      </c>
      <c r="C33" s="191" t="s">
        <v>530</v>
      </c>
      <c r="D33" s="191" t="s">
        <v>41</v>
      </c>
      <c r="E33" s="191" t="s">
        <v>159</v>
      </c>
      <c r="F33" s="13" t="s">
        <v>869</v>
      </c>
      <c r="G33" s="13" t="s">
        <v>833</v>
      </c>
      <c r="H33" s="13" t="s">
        <v>870</v>
      </c>
      <c r="I33" s="13" t="s">
        <v>871</v>
      </c>
      <c r="J33" s="191" t="s">
        <v>658</v>
      </c>
      <c r="K33" s="191" t="s">
        <v>245</v>
      </c>
      <c r="L33" s="191"/>
      <c r="M33" s="191"/>
      <c r="N33" s="192"/>
      <c r="O33" s="192"/>
      <c r="P33" s="192"/>
      <c r="Q33" s="192"/>
      <c r="R33" s="192"/>
      <c r="S33" s="192"/>
      <c r="T33" s="192"/>
      <c r="U33" s="192"/>
      <c r="V33" s="192"/>
      <c r="W33" s="192"/>
      <c r="X33" s="192"/>
      <c r="Y33" s="192"/>
      <c r="Z33" s="192"/>
      <c r="AA33" s="192"/>
      <c r="AB33" s="192"/>
      <c r="AC33" s="192"/>
      <c r="AD33" s="192"/>
      <c r="AE33" s="192"/>
      <c r="AF33" s="192"/>
      <c r="AG33" s="192"/>
      <c r="AH33" s="192"/>
      <c r="AI33" s="192"/>
      <c r="AJ33" s="192"/>
      <c r="AK33" s="192"/>
      <c r="AL33" s="192"/>
      <c r="AM33" s="192"/>
      <c r="AN33" s="192"/>
      <c r="AO33" s="192"/>
      <c r="AP33" s="192"/>
      <c r="AQ33" s="192"/>
      <c r="AR33" s="193" t="str">
        <f aca="false">IF($A33="","",IF(OR($N33="Yes",$T33="Yes",$Z33="Yes",$AF33="Yes",$AL33="Yes"),"Yes","No"))</f>
        <v>No</v>
      </c>
      <c r="AS33" s="193" t="str">
        <f aca="false">IF($A33="","",IFERROR(IF($AM33&lt;&gt;"",$AM33,IF($AG33&lt;&gt;"",$AG33,IF($AA33&lt;&gt;"",$AA33,IF($U33&lt;&gt;"",$U33,IF($O33&lt;&gt;"",$O33,""))))),""))</f>
        <v/>
      </c>
      <c r="AT33" s="193" t="str">
        <f aca="false">IFERROR(IF($AN33&lt;&gt;"",$AN33,IF($AH33&lt;&gt;"",$AH33,IF($AB33&lt;&gt;"",$AB33,IF($V33&lt;&gt;"",$V33,IF($P33&lt;&gt;"",$P33,""))))),"")</f>
        <v/>
      </c>
      <c r="AU33" s="194"/>
    </row>
    <row r="34" customFormat="false" ht="168.75" hidden="false" customHeight="true" outlineLevel="0" collapsed="false">
      <c r="A34" s="191" t="str">
        <f aca="false">IF($F34="","",$C$2&amp;"."&amp;COUNTA($F$7:$F34)&amp;"")</f>
        <v>TC_04.23</v>
      </c>
      <c r="B34" s="191" t="s">
        <v>486</v>
      </c>
      <c r="C34" s="191" t="s">
        <v>530</v>
      </c>
      <c r="D34" s="191" t="s">
        <v>41</v>
      </c>
      <c r="E34" s="191" t="s">
        <v>160</v>
      </c>
      <c r="F34" s="13" t="s">
        <v>872</v>
      </c>
      <c r="G34" s="13" t="s">
        <v>833</v>
      </c>
      <c r="H34" s="13" t="s">
        <v>873</v>
      </c>
      <c r="I34" s="13" t="s">
        <v>874</v>
      </c>
      <c r="J34" s="191" t="s">
        <v>658</v>
      </c>
      <c r="K34" s="191" t="s">
        <v>245</v>
      </c>
      <c r="L34" s="191"/>
      <c r="M34" s="191"/>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2"/>
      <c r="AM34" s="192"/>
      <c r="AN34" s="192"/>
      <c r="AO34" s="192"/>
      <c r="AP34" s="192"/>
      <c r="AQ34" s="192"/>
      <c r="AR34" s="193" t="str">
        <f aca="false">IF($A34="","",IF(OR($N34="Yes",$T34="Yes",$Z34="Yes",$AF34="Yes",$AL34="Yes"),"Yes","No"))</f>
        <v>No</v>
      </c>
      <c r="AS34" s="193" t="str">
        <f aca="false">IF($A34="","",IFERROR(IF($AM34&lt;&gt;"",$AM34,IF($AG34&lt;&gt;"",$AG34,IF($AA34&lt;&gt;"",$AA34,IF($U34&lt;&gt;"",$U34,IF($O34&lt;&gt;"",$O34,""))))),""))</f>
        <v/>
      </c>
      <c r="AT34" s="193" t="str">
        <f aca="false">IFERROR(IF($AN34&lt;&gt;"",$AN34,IF($AH34&lt;&gt;"",$AH34,IF($AB34&lt;&gt;"",$AB34,IF($V34&lt;&gt;"",$V34,IF($P34&lt;&gt;"",$P34,""))))),"")</f>
        <v/>
      </c>
      <c r="AU34" s="194"/>
    </row>
    <row r="35" customFormat="false" ht="157.5" hidden="false" customHeight="true" outlineLevel="0" collapsed="false">
      <c r="A35" s="191" t="str">
        <f aca="false">IF($F35="","",$C$2&amp;"."&amp;COUNTA($F$7:$F35)&amp;"")</f>
        <v>TC_04.24</v>
      </c>
      <c r="B35" s="191" t="s">
        <v>486</v>
      </c>
      <c r="C35" s="191" t="s">
        <v>530</v>
      </c>
      <c r="D35" s="191" t="s">
        <v>41</v>
      </c>
      <c r="E35" s="191" t="s">
        <v>160</v>
      </c>
      <c r="F35" s="13" t="s">
        <v>875</v>
      </c>
      <c r="G35" s="13" t="s">
        <v>833</v>
      </c>
      <c r="H35" s="13" t="s">
        <v>876</v>
      </c>
      <c r="I35" s="13" t="s">
        <v>877</v>
      </c>
      <c r="J35" s="191" t="s">
        <v>658</v>
      </c>
      <c r="K35" s="191" t="s">
        <v>245</v>
      </c>
      <c r="L35" s="191"/>
      <c r="M35" s="191"/>
      <c r="N35" s="192"/>
      <c r="O35" s="192"/>
      <c r="P35" s="192"/>
      <c r="Q35" s="192"/>
      <c r="R35" s="192"/>
      <c r="S35" s="192"/>
      <c r="T35" s="192"/>
      <c r="U35" s="192"/>
      <c r="V35" s="192"/>
      <c r="W35" s="192"/>
      <c r="X35" s="192"/>
      <c r="Y35" s="192"/>
      <c r="Z35" s="192"/>
      <c r="AA35" s="192"/>
      <c r="AB35" s="192"/>
      <c r="AC35" s="192"/>
      <c r="AD35" s="192"/>
      <c r="AE35" s="192"/>
      <c r="AF35" s="192"/>
      <c r="AG35" s="192"/>
      <c r="AH35" s="192"/>
      <c r="AI35" s="192"/>
      <c r="AJ35" s="192"/>
      <c r="AK35" s="192"/>
      <c r="AL35" s="192"/>
      <c r="AM35" s="192"/>
      <c r="AN35" s="192"/>
      <c r="AO35" s="192"/>
      <c r="AP35" s="192"/>
      <c r="AQ35" s="192"/>
      <c r="AR35" s="193" t="str">
        <f aca="false">IF($A35="","",IF(OR($N35="Yes",$T35="Yes",$Z35="Yes",$AF35="Yes",$AL35="Yes"),"Yes","No"))</f>
        <v>No</v>
      </c>
      <c r="AS35" s="193" t="str">
        <f aca="false">IF($A35="","",IFERROR(IF($AM35&lt;&gt;"",$AM35,IF($AG35&lt;&gt;"",$AG35,IF($AA35&lt;&gt;"",$AA35,IF($U35&lt;&gt;"",$U35,IF($O35&lt;&gt;"",$O35,""))))),""))</f>
        <v/>
      </c>
      <c r="AT35" s="193" t="str">
        <f aca="false">IFERROR(IF($AN35&lt;&gt;"",$AN35,IF($AH35&lt;&gt;"",$AH35,IF($AB35&lt;&gt;"",$AB35,IF($V35&lt;&gt;"",$V35,IF($P35&lt;&gt;"",$P35,""))))),"")</f>
        <v/>
      </c>
      <c r="AU35" s="194"/>
    </row>
    <row r="36" customFormat="false" ht="157.5" hidden="false" customHeight="true" outlineLevel="0" collapsed="false">
      <c r="A36" s="191" t="str">
        <f aca="false">IF($F36="","",$C$2&amp;"."&amp;COUNTA($F$7:$F36)&amp;"")</f>
        <v>TC_04.25</v>
      </c>
      <c r="B36" s="191" t="s">
        <v>486</v>
      </c>
      <c r="C36" s="191" t="s">
        <v>530</v>
      </c>
      <c r="D36" s="191" t="s">
        <v>41</v>
      </c>
      <c r="E36" s="191" t="s">
        <v>160</v>
      </c>
      <c r="F36" s="13" t="s">
        <v>878</v>
      </c>
      <c r="G36" s="13" t="s">
        <v>833</v>
      </c>
      <c r="H36" s="13" t="s">
        <v>879</v>
      </c>
      <c r="I36" s="13" t="s">
        <v>877</v>
      </c>
      <c r="J36" s="191" t="s">
        <v>658</v>
      </c>
      <c r="K36" s="191" t="s">
        <v>245</v>
      </c>
      <c r="L36" s="191"/>
      <c r="M36" s="191"/>
      <c r="N36" s="192"/>
      <c r="O36" s="192"/>
      <c r="P36" s="192"/>
      <c r="Q36" s="192"/>
      <c r="R36" s="192"/>
      <c r="S36" s="192"/>
      <c r="T36" s="192"/>
      <c r="U36" s="192"/>
      <c r="V36" s="192"/>
      <c r="W36" s="192"/>
      <c r="X36" s="192"/>
      <c r="Y36" s="192"/>
      <c r="Z36" s="192"/>
      <c r="AA36" s="192"/>
      <c r="AB36" s="192"/>
      <c r="AC36" s="192"/>
      <c r="AD36" s="192"/>
      <c r="AE36" s="192"/>
      <c r="AF36" s="192"/>
      <c r="AG36" s="192"/>
      <c r="AH36" s="192"/>
      <c r="AI36" s="192"/>
      <c r="AJ36" s="192"/>
      <c r="AK36" s="192"/>
      <c r="AL36" s="192"/>
      <c r="AM36" s="192"/>
      <c r="AN36" s="192"/>
      <c r="AO36" s="192"/>
      <c r="AP36" s="192"/>
      <c r="AQ36" s="192"/>
      <c r="AR36" s="193" t="str">
        <f aca="false">IF($A36="","",IF(OR($N36="Yes",$T36="Yes",$Z36="Yes",$AF36="Yes",$AL36="Yes"),"Yes","No"))</f>
        <v>No</v>
      </c>
      <c r="AS36" s="193" t="str">
        <f aca="false">IF($A36="","",IFERROR(IF($AM36&lt;&gt;"",$AM36,IF($AG36&lt;&gt;"",$AG36,IF($AA36&lt;&gt;"",$AA36,IF($U36&lt;&gt;"",$U36,IF($O36&lt;&gt;"",$O36,""))))),""))</f>
        <v/>
      </c>
      <c r="AT36" s="193" t="str">
        <f aca="false">IFERROR(IF($AN36&lt;&gt;"",$AN36,IF($AH36&lt;&gt;"",$AH36,IF($AB36&lt;&gt;"",$AB36,IF($V36&lt;&gt;"",$V36,IF($P36&lt;&gt;"",$P36,""))))),"")</f>
        <v/>
      </c>
      <c r="AU36" s="194"/>
    </row>
    <row r="37" customFormat="false" ht="157.5" hidden="false" customHeight="true" outlineLevel="0" collapsed="false">
      <c r="A37" s="191" t="str">
        <f aca="false">IF($F37="","",$C$2&amp;"."&amp;COUNTA($F$7:$F37)&amp;"")</f>
        <v>TC_04.26</v>
      </c>
      <c r="B37" s="191" t="s">
        <v>486</v>
      </c>
      <c r="C37" s="191" t="s">
        <v>530</v>
      </c>
      <c r="D37" s="191" t="s">
        <v>41</v>
      </c>
      <c r="E37" s="191" t="s">
        <v>160</v>
      </c>
      <c r="F37" s="13" t="s">
        <v>880</v>
      </c>
      <c r="G37" s="13" t="s">
        <v>833</v>
      </c>
      <c r="H37" s="13" t="s">
        <v>881</v>
      </c>
      <c r="I37" s="13" t="s">
        <v>877</v>
      </c>
      <c r="J37" s="191" t="s">
        <v>658</v>
      </c>
      <c r="K37" s="191" t="s">
        <v>245</v>
      </c>
      <c r="L37" s="191"/>
      <c r="M37" s="191"/>
      <c r="N37" s="192"/>
      <c r="O37" s="192"/>
      <c r="P37" s="192"/>
      <c r="Q37" s="192"/>
      <c r="R37" s="192"/>
      <c r="S37" s="192"/>
      <c r="T37" s="192"/>
      <c r="U37" s="192"/>
      <c r="V37" s="192"/>
      <c r="W37" s="192"/>
      <c r="X37" s="192"/>
      <c r="Y37" s="192"/>
      <c r="Z37" s="192"/>
      <c r="AA37" s="192"/>
      <c r="AB37" s="192"/>
      <c r="AC37" s="192"/>
      <c r="AD37" s="192"/>
      <c r="AE37" s="192"/>
      <c r="AF37" s="192"/>
      <c r="AG37" s="192"/>
      <c r="AH37" s="192"/>
      <c r="AI37" s="192"/>
      <c r="AJ37" s="192"/>
      <c r="AK37" s="192"/>
      <c r="AL37" s="192"/>
      <c r="AM37" s="192"/>
      <c r="AN37" s="192"/>
      <c r="AO37" s="192"/>
      <c r="AP37" s="192"/>
      <c r="AQ37" s="192"/>
      <c r="AR37" s="193" t="str">
        <f aca="false">IF($A37="","",IF(OR($N37="Yes",$T37="Yes",$Z37="Yes",$AF37="Yes",$AL37="Yes"),"Yes","No"))</f>
        <v>No</v>
      </c>
      <c r="AS37" s="193" t="str">
        <f aca="false">IF($A37="","",IFERROR(IF($AM37&lt;&gt;"",$AM37,IF($AG37&lt;&gt;"",$AG37,IF($AA37&lt;&gt;"",$AA37,IF($U37&lt;&gt;"",$U37,IF($O37&lt;&gt;"",$O37,""))))),""))</f>
        <v/>
      </c>
      <c r="AT37" s="193" t="str">
        <f aca="false">IFERROR(IF($AN37&lt;&gt;"",$AN37,IF($AH37&lt;&gt;"",$AH37,IF($AB37&lt;&gt;"",$AB37,IF($V37&lt;&gt;"",$V37,IF($P37&lt;&gt;"",$P37,""))))),"")</f>
        <v/>
      </c>
      <c r="AU37" s="194"/>
    </row>
    <row r="38" customFormat="false" ht="170.25" hidden="false" customHeight="true" outlineLevel="0" collapsed="false">
      <c r="A38" s="191" t="str">
        <f aca="false">IF($F38="","",$C$2&amp;"."&amp;COUNTA($F$7:$F38)&amp;"")</f>
        <v>TC_04.27</v>
      </c>
      <c r="B38" s="191" t="s">
        <v>486</v>
      </c>
      <c r="C38" s="191" t="s">
        <v>530</v>
      </c>
      <c r="D38" s="191" t="s">
        <v>41</v>
      </c>
      <c r="E38" s="191" t="s">
        <v>160</v>
      </c>
      <c r="F38" s="13" t="s">
        <v>882</v>
      </c>
      <c r="G38" s="13" t="s">
        <v>883</v>
      </c>
      <c r="H38" s="13" t="s">
        <v>884</v>
      </c>
      <c r="I38" s="13" t="s">
        <v>885</v>
      </c>
      <c r="J38" s="191" t="s">
        <v>658</v>
      </c>
      <c r="K38" s="191" t="s">
        <v>245</v>
      </c>
      <c r="L38" s="191"/>
      <c r="M38" s="191"/>
      <c r="N38" s="192"/>
      <c r="O38" s="192"/>
      <c r="P38" s="192"/>
      <c r="Q38" s="192"/>
      <c r="R38" s="192"/>
      <c r="S38" s="192"/>
      <c r="T38" s="192"/>
      <c r="U38" s="192"/>
      <c r="V38" s="192"/>
      <c r="W38" s="192"/>
      <c r="X38" s="192"/>
      <c r="Y38" s="192"/>
      <c r="Z38" s="192"/>
      <c r="AA38" s="192"/>
      <c r="AB38" s="192"/>
      <c r="AC38" s="192"/>
      <c r="AD38" s="192"/>
      <c r="AE38" s="192"/>
      <c r="AF38" s="192"/>
      <c r="AG38" s="192"/>
      <c r="AH38" s="192"/>
      <c r="AI38" s="192"/>
      <c r="AJ38" s="192"/>
      <c r="AK38" s="192"/>
      <c r="AL38" s="192"/>
      <c r="AM38" s="192"/>
      <c r="AN38" s="192"/>
      <c r="AO38" s="192"/>
      <c r="AP38" s="192"/>
      <c r="AQ38" s="192"/>
      <c r="AR38" s="193" t="str">
        <f aca="false">IF($A38="","",IF(OR($N38="Yes",$T38="Yes",$Z38="Yes",$AF38="Yes",$AL38="Yes"),"Yes","No"))</f>
        <v>No</v>
      </c>
      <c r="AS38" s="193" t="str">
        <f aca="false">IF($A38="","",IFERROR(IF($AM38&lt;&gt;"",$AM38,IF($AG38&lt;&gt;"",$AG38,IF($AA38&lt;&gt;"",$AA38,IF($U38&lt;&gt;"",$U38,IF($O38&lt;&gt;"",$O38,""))))),""))</f>
        <v/>
      </c>
      <c r="AT38" s="193" t="str">
        <f aca="false">IFERROR(IF($AN38&lt;&gt;"",$AN38,IF($AH38&lt;&gt;"",$AH38,IF($AB38&lt;&gt;"",$AB38,IF($V38&lt;&gt;"",$V38,IF($P38&lt;&gt;"",$P38,""))))),"")</f>
        <v/>
      </c>
      <c r="AU38" s="194"/>
    </row>
    <row r="39" customFormat="false" ht="15.75" hidden="false" customHeight="true" outlineLevel="0" collapsed="false">
      <c r="A39" s="189"/>
      <c r="B39" s="189"/>
      <c r="C39" s="190" t="s">
        <v>886</v>
      </c>
      <c r="D39" s="190"/>
      <c r="E39" s="190"/>
      <c r="F39" s="190"/>
      <c r="G39" s="190"/>
      <c r="H39" s="190"/>
      <c r="I39" s="190"/>
      <c r="J39" s="190"/>
      <c r="K39" s="190"/>
      <c r="L39" s="190"/>
      <c r="M39" s="190"/>
      <c r="N39" s="190"/>
      <c r="O39" s="190"/>
      <c r="P39" s="190"/>
      <c r="Q39" s="190"/>
      <c r="R39" s="190"/>
      <c r="S39" s="190"/>
      <c r="T39" s="190"/>
      <c r="U39" s="190"/>
      <c r="V39" s="190"/>
      <c r="W39" s="190"/>
      <c r="X39" s="190"/>
      <c r="Y39" s="190"/>
      <c r="Z39" s="190"/>
      <c r="AA39" s="190"/>
      <c r="AB39" s="190"/>
      <c r="AC39" s="190"/>
      <c r="AD39" s="190"/>
      <c r="AE39" s="190"/>
      <c r="AF39" s="190"/>
      <c r="AG39" s="190"/>
      <c r="AH39" s="190"/>
      <c r="AI39" s="190"/>
      <c r="AJ39" s="190"/>
      <c r="AK39" s="190"/>
      <c r="AL39" s="190"/>
      <c r="AM39" s="190"/>
      <c r="AN39" s="190"/>
      <c r="AO39" s="190"/>
      <c r="AP39" s="190"/>
      <c r="AQ39" s="190"/>
      <c r="AR39" s="190"/>
      <c r="AS39" s="190"/>
      <c r="AT39" s="190"/>
      <c r="AU39" s="190"/>
    </row>
    <row r="40" customFormat="false" ht="124.5" hidden="false" customHeight="true" outlineLevel="0" collapsed="false">
      <c r="A40" s="191" t="str">
        <f aca="false">IF($F40="","",$C$2&amp;"."&amp;COUNTA($F$7:$F40)&amp;"")</f>
        <v>TC_04.28</v>
      </c>
      <c r="B40" s="191" t="s">
        <v>489</v>
      </c>
      <c r="C40" s="191" t="s">
        <v>840</v>
      </c>
      <c r="D40" s="191" t="s">
        <v>41</v>
      </c>
      <c r="E40" s="191" t="s">
        <v>159</v>
      </c>
      <c r="F40" s="13" t="s">
        <v>887</v>
      </c>
      <c r="G40" s="13" t="s">
        <v>800</v>
      </c>
      <c r="H40" s="13" t="s">
        <v>888</v>
      </c>
      <c r="I40" s="13" t="s">
        <v>889</v>
      </c>
      <c r="J40" s="191" t="s">
        <v>658</v>
      </c>
      <c r="K40" s="191" t="s">
        <v>245</v>
      </c>
      <c r="L40" s="191"/>
      <c r="M40" s="191"/>
      <c r="N40" s="192"/>
      <c r="O40" s="192"/>
      <c r="P40" s="192"/>
      <c r="Q40" s="192"/>
      <c r="R40" s="192"/>
      <c r="S40" s="192"/>
      <c r="T40" s="192"/>
      <c r="U40" s="192"/>
      <c r="V40" s="192"/>
      <c r="W40" s="192"/>
      <c r="X40" s="192"/>
      <c r="Y40" s="192"/>
      <c r="Z40" s="192"/>
      <c r="AA40" s="192"/>
      <c r="AB40" s="192"/>
      <c r="AC40" s="192"/>
      <c r="AD40" s="192"/>
      <c r="AE40" s="192"/>
      <c r="AF40" s="192"/>
      <c r="AG40" s="192"/>
      <c r="AH40" s="192"/>
      <c r="AI40" s="192"/>
      <c r="AJ40" s="192"/>
      <c r="AK40" s="192"/>
      <c r="AL40" s="192"/>
      <c r="AM40" s="192"/>
      <c r="AN40" s="192"/>
      <c r="AO40" s="192"/>
      <c r="AP40" s="192"/>
      <c r="AQ40" s="192"/>
      <c r="AR40" s="193" t="str">
        <f aca="false">IF($A40="","",IF(OR($N40="Yes",$T40="Yes",$Z40="Yes",$AF40="Yes",$AL40="Yes"),"Yes","No"))</f>
        <v>No</v>
      </c>
      <c r="AS40" s="193" t="str">
        <f aca="false">IF($A40="","",IFERROR(IF($AM40&lt;&gt;"",$AM40,IF($AG40&lt;&gt;"",$AG40,IF($AA40&lt;&gt;"",$AA40,IF($U40&lt;&gt;"",$U40,IF($O40&lt;&gt;"",$O40,""))))),""))</f>
        <v/>
      </c>
      <c r="AT40" s="193" t="str">
        <f aca="false">IFERROR(IF($AN40&lt;&gt;"",$AN40,IF($AH40&lt;&gt;"",$AH40,IF($AB40&lt;&gt;"",$AB40,IF($V40&lt;&gt;"",$V40,IF($P40&lt;&gt;"",$P40,""))))),"")</f>
        <v/>
      </c>
      <c r="AU40" s="194"/>
    </row>
    <row r="41" customFormat="false" ht="124.5" hidden="false" customHeight="true" outlineLevel="0" collapsed="false">
      <c r="A41" s="191" t="str">
        <f aca="false">IF($F41="","",$C$2&amp;"."&amp;COUNTA($F$7:$F41)&amp;"")</f>
        <v>TC_04.29</v>
      </c>
      <c r="B41" s="191" t="s">
        <v>489</v>
      </c>
      <c r="C41" s="191" t="s">
        <v>840</v>
      </c>
      <c r="D41" s="191" t="s">
        <v>41</v>
      </c>
      <c r="E41" s="191" t="s">
        <v>159</v>
      </c>
      <c r="F41" s="13" t="s">
        <v>890</v>
      </c>
      <c r="G41" s="13" t="s">
        <v>800</v>
      </c>
      <c r="H41" s="13" t="s">
        <v>891</v>
      </c>
      <c r="I41" s="13" t="s">
        <v>892</v>
      </c>
      <c r="J41" s="191" t="s">
        <v>658</v>
      </c>
      <c r="K41" s="191" t="s">
        <v>245</v>
      </c>
      <c r="L41" s="191"/>
      <c r="M41" s="191"/>
      <c r="N41" s="192"/>
      <c r="O41" s="192"/>
      <c r="P41" s="192"/>
      <c r="Q41" s="192"/>
      <c r="R41" s="192"/>
      <c r="S41" s="192"/>
      <c r="T41" s="192"/>
      <c r="U41" s="192"/>
      <c r="V41" s="192"/>
      <c r="W41" s="192"/>
      <c r="X41" s="192"/>
      <c r="Y41" s="192"/>
      <c r="Z41" s="192"/>
      <c r="AA41" s="192"/>
      <c r="AB41" s="192"/>
      <c r="AC41" s="192"/>
      <c r="AD41" s="192"/>
      <c r="AE41" s="192"/>
      <c r="AF41" s="192"/>
      <c r="AG41" s="192"/>
      <c r="AH41" s="192"/>
      <c r="AI41" s="192"/>
      <c r="AJ41" s="192"/>
      <c r="AK41" s="192"/>
      <c r="AL41" s="192"/>
      <c r="AM41" s="192"/>
      <c r="AN41" s="192"/>
      <c r="AO41" s="192"/>
      <c r="AP41" s="192"/>
      <c r="AQ41" s="192"/>
      <c r="AR41" s="193" t="str">
        <f aca="false">IF($A41="","",IF(OR($N41="Yes",$T41="Yes",$Z41="Yes",$AF41="Yes",$AL41="Yes"),"Yes","No"))</f>
        <v>No</v>
      </c>
      <c r="AS41" s="193" t="str">
        <f aca="false">IF($A41="","",IFERROR(IF($AM41&lt;&gt;"",$AM41,IF($AG41&lt;&gt;"",$AG41,IF($AA41&lt;&gt;"",$AA41,IF($U41&lt;&gt;"",$U41,IF($O41&lt;&gt;"",$O41,""))))),""))</f>
        <v/>
      </c>
      <c r="AT41" s="193" t="str">
        <f aca="false">IFERROR(IF($AN41&lt;&gt;"",$AN41,IF($AH41&lt;&gt;"",$AH41,IF($AB41&lt;&gt;"",$AB41,IF($V41&lt;&gt;"",$V41,IF($P41&lt;&gt;"",$P41,""))))),"")</f>
        <v/>
      </c>
      <c r="AU41" s="194"/>
    </row>
    <row r="42" customFormat="false" ht="157.5" hidden="false" customHeight="true" outlineLevel="0" collapsed="false">
      <c r="A42" s="191" t="str">
        <f aca="false">IF($F42="","",$C$2&amp;"."&amp;COUNTA($F$7:$F42)&amp;"")</f>
        <v>TC_04.30</v>
      </c>
      <c r="B42" s="191" t="s">
        <v>489</v>
      </c>
      <c r="C42" s="191" t="s">
        <v>530</v>
      </c>
      <c r="D42" s="191" t="s">
        <v>41</v>
      </c>
      <c r="E42" s="191" t="s">
        <v>159</v>
      </c>
      <c r="F42" s="13" t="s">
        <v>893</v>
      </c>
      <c r="G42" s="13" t="s">
        <v>800</v>
      </c>
      <c r="H42" s="13" t="s">
        <v>894</v>
      </c>
      <c r="I42" s="13" t="s">
        <v>895</v>
      </c>
      <c r="J42" s="191" t="s">
        <v>658</v>
      </c>
      <c r="K42" s="191" t="s">
        <v>245</v>
      </c>
      <c r="L42" s="191"/>
      <c r="M42" s="191"/>
      <c r="N42" s="192"/>
      <c r="O42" s="192"/>
      <c r="P42" s="192"/>
      <c r="Q42" s="192"/>
      <c r="R42" s="192"/>
      <c r="S42" s="192"/>
      <c r="T42" s="192"/>
      <c r="U42" s="192"/>
      <c r="V42" s="192"/>
      <c r="W42" s="192"/>
      <c r="X42" s="192"/>
      <c r="Y42" s="192"/>
      <c r="Z42" s="192"/>
      <c r="AA42" s="192"/>
      <c r="AB42" s="192"/>
      <c r="AC42" s="192"/>
      <c r="AD42" s="192"/>
      <c r="AE42" s="192"/>
      <c r="AF42" s="192"/>
      <c r="AG42" s="192"/>
      <c r="AH42" s="192"/>
      <c r="AI42" s="192"/>
      <c r="AJ42" s="192"/>
      <c r="AK42" s="192"/>
      <c r="AL42" s="192"/>
      <c r="AM42" s="192"/>
      <c r="AN42" s="192"/>
      <c r="AO42" s="192"/>
      <c r="AP42" s="192"/>
      <c r="AQ42" s="192"/>
      <c r="AR42" s="193" t="str">
        <f aca="false">IF($A42="","",IF(OR($N42="Yes",$T42="Yes",$Z42="Yes",$AF42="Yes",$AL42="Yes"),"Yes","No"))</f>
        <v>No</v>
      </c>
      <c r="AS42" s="193" t="str">
        <f aca="false">IF($A42="","",IFERROR(IF($AM42&lt;&gt;"",$AM42,IF($AG42&lt;&gt;"",$AG42,IF($AA42&lt;&gt;"",$AA42,IF($U42&lt;&gt;"",$U42,IF($O42&lt;&gt;"",$O42,""))))),""))</f>
        <v/>
      </c>
      <c r="AT42" s="193" t="str">
        <f aca="false">IFERROR(IF($AN42&lt;&gt;"",$AN42,IF($AH42&lt;&gt;"",$AH42,IF($AB42&lt;&gt;"",$AB42,IF($V42&lt;&gt;"",$V42,IF($P42&lt;&gt;"",$P42,""))))),"")</f>
        <v/>
      </c>
      <c r="AU42" s="194"/>
    </row>
    <row r="43" customFormat="false" ht="157.5" hidden="false" customHeight="true" outlineLevel="0" collapsed="false">
      <c r="A43" s="191" t="str">
        <f aca="false">IF($F43="","",$C$2&amp;"."&amp;COUNTA($F$7:$F43)&amp;"")</f>
        <v>TC_04.31</v>
      </c>
      <c r="B43" s="191" t="s">
        <v>489</v>
      </c>
      <c r="C43" s="191" t="s">
        <v>530</v>
      </c>
      <c r="D43" s="191" t="s">
        <v>41</v>
      </c>
      <c r="E43" s="191" t="s">
        <v>159</v>
      </c>
      <c r="F43" s="13" t="s">
        <v>896</v>
      </c>
      <c r="G43" s="13" t="s">
        <v>800</v>
      </c>
      <c r="H43" s="13" t="s">
        <v>897</v>
      </c>
      <c r="I43" s="13" t="s">
        <v>898</v>
      </c>
      <c r="J43" s="191" t="s">
        <v>658</v>
      </c>
      <c r="K43" s="191" t="s">
        <v>245</v>
      </c>
      <c r="L43" s="191"/>
      <c r="M43" s="191"/>
      <c r="N43" s="192"/>
      <c r="O43" s="192"/>
      <c r="P43" s="192"/>
      <c r="Q43" s="192"/>
      <c r="R43" s="192"/>
      <c r="S43" s="192"/>
      <c r="T43" s="192"/>
      <c r="U43" s="192"/>
      <c r="V43" s="192"/>
      <c r="W43" s="192"/>
      <c r="X43" s="192"/>
      <c r="Y43" s="192"/>
      <c r="Z43" s="192"/>
      <c r="AA43" s="192"/>
      <c r="AB43" s="192"/>
      <c r="AC43" s="192"/>
      <c r="AD43" s="192"/>
      <c r="AE43" s="192"/>
      <c r="AF43" s="192"/>
      <c r="AG43" s="192"/>
      <c r="AH43" s="192"/>
      <c r="AI43" s="192"/>
      <c r="AJ43" s="192"/>
      <c r="AK43" s="192"/>
      <c r="AL43" s="192"/>
      <c r="AM43" s="192"/>
      <c r="AN43" s="192"/>
      <c r="AO43" s="192"/>
      <c r="AP43" s="192"/>
      <c r="AQ43" s="192"/>
      <c r="AR43" s="193" t="str">
        <f aca="false">IF($A43="","",IF(OR($N43="Yes",$T43="Yes",$Z43="Yes",$AF43="Yes",$AL43="Yes"),"Yes","No"))</f>
        <v>No</v>
      </c>
      <c r="AS43" s="193" t="str">
        <f aca="false">IF($A43="","",IFERROR(IF($AM43&lt;&gt;"",$AM43,IF($AG43&lt;&gt;"",$AG43,IF($AA43&lt;&gt;"",$AA43,IF($U43&lt;&gt;"",$U43,IF($O43&lt;&gt;"",$O43,""))))),""))</f>
        <v/>
      </c>
      <c r="AT43" s="193" t="str">
        <f aca="false">IFERROR(IF($AN43&lt;&gt;"",$AN43,IF($AH43&lt;&gt;"",$AH43,IF($AB43&lt;&gt;"",$AB43,IF($V43&lt;&gt;"",$V43,IF($P43&lt;&gt;"",$P43,""))))),"")</f>
        <v/>
      </c>
      <c r="AU43" s="194"/>
    </row>
    <row r="44" customFormat="false" ht="147" hidden="false" customHeight="true" outlineLevel="0" collapsed="false">
      <c r="A44" s="191" t="str">
        <f aca="false">IF($F44="","",$C$2&amp;"."&amp;COUNTA($F$7:$F44)&amp;"")</f>
        <v>TC_04.32</v>
      </c>
      <c r="B44" s="191" t="s">
        <v>489</v>
      </c>
      <c r="C44" s="191" t="s">
        <v>530</v>
      </c>
      <c r="D44" s="191" t="s">
        <v>41</v>
      </c>
      <c r="E44" s="191" t="s">
        <v>159</v>
      </c>
      <c r="F44" s="13" t="s">
        <v>899</v>
      </c>
      <c r="G44" s="13" t="s">
        <v>800</v>
      </c>
      <c r="H44" s="13" t="s">
        <v>900</v>
      </c>
      <c r="I44" s="13" t="s">
        <v>901</v>
      </c>
      <c r="J44" s="191" t="s">
        <v>658</v>
      </c>
      <c r="K44" s="191" t="s">
        <v>245</v>
      </c>
      <c r="L44" s="191"/>
      <c r="M44" s="191"/>
      <c r="N44" s="192"/>
      <c r="O44" s="192"/>
      <c r="P44" s="192"/>
      <c r="Q44" s="192"/>
      <c r="R44" s="192"/>
      <c r="S44" s="192"/>
      <c r="T44" s="192"/>
      <c r="U44" s="192"/>
      <c r="V44" s="192"/>
      <c r="W44" s="192"/>
      <c r="X44" s="192"/>
      <c r="Y44" s="192"/>
      <c r="Z44" s="192"/>
      <c r="AA44" s="192"/>
      <c r="AB44" s="192"/>
      <c r="AC44" s="192"/>
      <c r="AD44" s="192"/>
      <c r="AE44" s="192"/>
      <c r="AF44" s="192"/>
      <c r="AG44" s="192"/>
      <c r="AH44" s="192"/>
      <c r="AI44" s="192"/>
      <c r="AJ44" s="192"/>
      <c r="AK44" s="192"/>
      <c r="AL44" s="192"/>
      <c r="AM44" s="192"/>
      <c r="AN44" s="192"/>
      <c r="AO44" s="192"/>
      <c r="AP44" s="192"/>
      <c r="AQ44" s="192"/>
      <c r="AR44" s="193" t="str">
        <f aca="false">IF($A44="","",IF(OR($N44="Yes",$T44="Yes",$Z44="Yes",$AF44="Yes",$AL44="Yes"),"Yes","No"))</f>
        <v>No</v>
      </c>
      <c r="AS44" s="193" t="str">
        <f aca="false">IF($A44="","",IFERROR(IF($AM44&lt;&gt;"",$AM44,IF($AG44&lt;&gt;"",$AG44,IF($AA44&lt;&gt;"",$AA44,IF($U44&lt;&gt;"",$U44,IF($O44&lt;&gt;"",$O44,""))))),""))</f>
        <v/>
      </c>
      <c r="AT44" s="193" t="str">
        <f aca="false">IFERROR(IF($AN44&lt;&gt;"",$AN44,IF($AH44&lt;&gt;"",$AH44,IF($AB44&lt;&gt;"",$AB44,IF($V44&lt;&gt;"",$V44,IF($P44&lt;&gt;"",$P44,""))))),"")</f>
        <v/>
      </c>
      <c r="AU44" s="194"/>
    </row>
    <row r="45" customFormat="false" ht="168.75" hidden="false" customHeight="true" outlineLevel="0" collapsed="false">
      <c r="A45" s="191" t="str">
        <f aca="false">IF($F45="","",$C$2&amp;"."&amp;COUNTA($F$7:$F45)&amp;"")</f>
        <v>TC_04.33</v>
      </c>
      <c r="B45" s="191" t="s">
        <v>489</v>
      </c>
      <c r="C45" s="191" t="s">
        <v>530</v>
      </c>
      <c r="D45" s="191" t="s">
        <v>41</v>
      </c>
      <c r="E45" s="191" t="s">
        <v>159</v>
      </c>
      <c r="F45" s="13" t="s">
        <v>902</v>
      </c>
      <c r="G45" s="13" t="s">
        <v>800</v>
      </c>
      <c r="H45" s="13" t="s">
        <v>903</v>
      </c>
      <c r="I45" s="13" t="s">
        <v>904</v>
      </c>
      <c r="J45" s="191" t="s">
        <v>658</v>
      </c>
      <c r="K45" s="191" t="s">
        <v>245</v>
      </c>
      <c r="L45" s="191"/>
      <c r="M45" s="191"/>
      <c r="N45" s="192"/>
      <c r="O45" s="192"/>
      <c r="P45" s="192"/>
      <c r="Q45" s="192"/>
      <c r="R45" s="192"/>
      <c r="S45" s="192"/>
      <c r="T45" s="192"/>
      <c r="U45" s="192"/>
      <c r="V45" s="192"/>
      <c r="W45" s="192"/>
      <c r="X45" s="192"/>
      <c r="Y45" s="192"/>
      <c r="Z45" s="192"/>
      <c r="AA45" s="192"/>
      <c r="AB45" s="192"/>
      <c r="AC45" s="192"/>
      <c r="AD45" s="192"/>
      <c r="AE45" s="192"/>
      <c r="AF45" s="192"/>
      <c r="AG45" s="192"/>
      <c r="AH45" s="192"/>
      <c r="AI45" s="192"/>
      <c r="AJ45" s="192"/>
      <c r="AK45" s="192"/>
      <c r="AL45" s="192"/>
      <c r="AM45" s="192"/>
      <c r="AN45" s="192"/>
      <c r="AO45" s="192"/>
      <c r="AP45" s="192"/>
      <c r="AQ45" s="192"/>
      <c r="AR45" s="193" t="str">
        <f aca="false">IF($A45="","",IF(OR($N45="Yes",$T45="Yes",$Z45="Yes",$AF45="Yes",$AL45="Yes"),"Yes","No"))</f>
        <v>No</v>
      </c>
      <c r="AS45" s="193" t="str">
        <f aca="false">IF($A45="","",IFERROR(IF($AM45&lt;&gt;"",$AM45,IF($AG45&lt;&gt;"",$AG45,IF($AA45&lt;&gt;"",$AA45,IF($U45&lt;&gt;"",$U45,IF($O45&lt;&gt;"",$O45,""))))),""))</f>
        <v/>
      </c>
      <c r="AT45" s="193" t="str">
        <f aca="false">IFERROR(IF($AN45&lt;&gt;"",$AN45,IF($AH45&lt;&gt;"",$AH45,IF($AB45&lt;&gt;"",$AB45,IF($V45&lt;&gt;"",$V45,IF($P45&lt;&gt;"",$P45,""))))),"")</f>
        <v/>
      </c>
      <c r="AU45" s="194"/>
    </row>
    <row r="46" customFormat="false" ht="157.5" hidden="false" customHeight="true" outlineLevel="0" collapsed="false">
      <c r="A46" s="191" t="str">
        <f aca="false">IF($F46="","",$C$2&amp;"."&amp;COUNTA($F$7:$F46)&amp;"")</f>
        <v>TC_04.34</v>
      </c>
      <c r="B46" s="191" t="s">
        <v>489</v>
      </c>
      <c r="C46" s="191" t="s">
        <v>530</v>
      </c>
      <c r="D46" s="191" t="s">
        <v>41</v>
      </c>
      <c r="E46" s="191" t="s">
        <v>158</v>
      </c>
      <c r="F46" s="13" t="s">
        <v>905</v>
      </c>
      <c r="G46" s="13" t="s">
        <v>800</v>
      </c>
      <c r="H46" s="13" t="s">
        <v>906</v>
      </c>
      <c r="I46" s="13" t="s">
        <v>907</v>
      </c>
      <c r="J46" s="191" t="s">
        <v>658</v>
      </c>
      <c r="K46" s="191" t="s">
        <v>245</v>
      </c>
      <c r="L46" s="191"/>
      <c r="M46" s="191"/>
      <c r="N46" s="192"/>
      <c r="O46" s="192"/>
      <c r="P46" s="192"/>
      <c r="Q46" s="192"/>
      <c r="R46" s="192"/>
      <c r="S46" s="192"/>
      <c r="T46" s="192"/>
      <c r="U46" s="192"/>
      <c r="V46" s="192"/>
      <c r="W46" s="192"/>
      <c r="X46" s="192"/>
      <c r="Y46" s="192"/>
      <c r="Z46" s="192"/>
      <c r="AA46" s="192"/>
      <c r="AB46" s="192"/>
      <c r="AC46" s="192"/>
      <c r="AD46" s="192"/>
      <c r="AE46" s="192"/>
      <c r="AF46" s="192"/>
      <c r="AG46" s="192"/>
      <c r="AH46" s="192"/>
      <c r="AI46" s="192"/>
      <c r="AJ46" s="192"/>
      <c r="AK46" s="192"/>
      <c r="AL46" s="192"/>
      <c r="AM46" s="192"/>
      <c r="AN46" s="192"/>
      <c r="AO46" s="192"/>
      <c r="AP46" s="192"/>
      <c r="AQ46" s="192"/>
      <c r="AR46" s="193" t="str">
        <f aca="false">IF($A46="","",IF(OR($N46="Yes",$T46="Yes",$Z46="Yes",$AF46="Yes",$AL46="Yes"),"Yes","No"))</f>
        <v>No</v>
      </c>
      <c r="AS46" s="193" t="str">
        <f aca="false">IF($A46="","",IFERROR(IF($AM46&lt;&gt;"",$AM46,IF($AG46&lt;&gt;"",$AG46,IF($AA46&lt;&gt;"",$AA46,IF($U46&lt;&gt;"",$U46,IF($O46&lt;&gt;"",$O46,""))))),""))</f>
        <v/>
      </c>
      <c r="AT46" s="193" t="str">
        <f aca="false">IFERROR(IF($AN46&lt;&gt;"",$AN46,IF($AH46&lt;&gt;"",$AH46,IF($AB46&lt;&gt;"",$AB46,IF($V46&lt;&gt;"",$V46,IF($P46&lt;&gt;"",$P46,""))))),"")</f>
        <v/>
      </c>
      <c r="AU46" s="194"/>
    </row>
    <row r="47" customFormat="false" ht="202.5" hidden="false" customHeight="true" outlineLevel="0" collapsed="false">
      <c r="A47" s="191" t="str">
        <f aca="false">IF($F47="","",$C$2&amp;"."&amp;COUNTA($F$7:$F47)&amp;"")</f>
        <v>TC_04.35</v>
      </c>
      <c r="B47" s="191" t="s">
        <v>489</v>
      </c>
      <c r="C47" s="191" t="s">
        <v>530</v>
      </c>
      <c r="D47" s="191" t="s">
        <v>41</v>
      </c>
      <c r="E47" s="191" t="s">
        <v>158</v>
      </c>
      <c r="F47" s="13" t="s">
        <v>908</v>
      </c>
      <c r="G47" s="13" t="s">
        <v>800</v>
      </c>
      <c r="H47" s="13" t="s">
        <v>909</v>
      </c>
      <c r="I47" s="13" t="s">
        <v>910</v>
      </c>
      <c r="J47" s="191" t="s">
        <v>658</v>
      </c>
      <c r="K47" s="191" t="s">
        <v>245</v>
      </c>
      <c r="L47" s="191"/>
      <c r="M47" s="191"/>
      <c r="N47" s="192"/>
      <c r="O47" s="192"/>
      <c r="P47" s="192"/>
      <c r="Q47" s="192"/>
      <c r="R47" s="192"/>
      <c r="S47" s="192"/>
      <c r="T47" s="192"/>
      <c r="U47" s="192"/>
      <c r="V47" s="192"/>
      <c r="W47" s="192"/>
      <c r="X47" s="192"/>
      <c r="Y47" s="192"/>
      <c r="Z47" s="192"/>
      <c r="AA47" s="192"/>
      <c r="AB47" s="192"/>
      <c r="AC47" s="192"/>
      <c r="AD47" s="192"/>
      <c r="AE47" s="192"/>
      <c r="AF47" s="192"/>
      <c r="AG47" s="192"/>
      <c r="AH47" s="192"/>
      <c r="AI47" s="192"/>
      <c r="AJ47" s="192"/>
      <c r="AK47" s="192"/>
      <c r="AL47" s="192"/>
      <c r="AM47" s="192"/>
      <c r="AN47" s="192"/>
      <c r="AO47" s="192"/>
      <c r="AP47" s="192"/>
      <c r="AQ47" s="192"/>
      <c r="AR47" s="193" t="str">
        <f aca="false">IF($A47="","",IF(OR($N47="Yes",$T47="Yes",$Z47="Yes",$AF47="Yes",$AL47="Yes"),"Yes","No"))</f>
        <v>No</v>
      </c>
      <c r="AS47" s="193" t="str">
        <f aca="false">IF($A47="","",IFERROR(IF($AM47&lt;&gt;"",$AM47,IF($AG47&lt;&gt;"",$AG47,IF($AA47&lt;&gt;"",$AA47,IF($U47&lt;&gt;"",$U47,IF($O47&lt;&gt;"",$O47,""))))),""))</f>
        <v/>
      </c>
      <c r="AT47" s="193" t="str">
        <f aca="false">IFERROR(IF($AN47&lt;&gt;"",$AN47,IF($AH47&lt;&gt;"",$AH47,IF($AB47&lt;&gt;"",$AB47,IF($V47&lt;&gt;"",$V47,IF($P47&lt;&gt;"",$P47,""))))),"")</f>
        <v/>
      </c>
      <c r="AU47" s="194"/>
    </row>
    <row r="48" customFormat="false" ht="157.5" hidden="false" customHeight="true" outlineLevel="0" collapsed="false">
      <c r="A48" s="191" t="str">
        <f aca="false">IF($F48="","",$C$2&amp;"."&amp;COUNTA($F$7:$F48)&amp;"")</f>
        <v>TC_04.36</v>
      </c>
      <c r="B48" s="191" t="s">
        <v>489</v>
      </c>
      <c r="C48" s="191" t="s">
        <v>530</v>
      </c>
      <c r="D48" s="191" t="s">
        <v>41</v>
      </c>
      <c r="E48" s="191" t="s">
        <v>159</v>
      </c>
      <c r="F48" s="13" t="s">
        <v>911</v>
      </c>
      <c r="G48" s="13" t="s">
        <v>800</v>
      </c>
      <c r="H48" s="13" t="s">
        <v>912</v>
      </c>
      <c r="I48" s="13" t="s">
        <v>913</v>
      </c>
      <c r="J48" s="191" t="s">
        <v>658</v>
      </c>
      <c r="K48" s="191" t="s">
        <v>245</v>
      </c>
      <c r="L48" s="191"/>
      <c r="M48" s="191"/>
      <c r="N48" s="192"/>
      <c r="O48" s="192"/>
      <c r="P48" s="192"/>
      <c r="Q48" s="192"/>
      <c r="R48" s="192"/>
      <c r="S48" s="192"/>
      <c r="T48" s="192"/>
      <c r="U48" s="192"/>
      <c r="V48" s="192"/>
      <c r="W48" s="192"/>
      <c r="X48" s="192"/>
      <c r="Y48" s="192"/>
      <c r="Z48" s="192"/>
      <c r="AA48" s="192"/>
      <c r="AB48" s="192"/>
      <c r="AC48" s="192"/>
      <c r="AD48" s="192"/>
      <c r="AE48" s="192"/>
      <c r="AF48" s="192"/>
      <c r="AG48" s="192"/>
      <c r="AH48" s="192"/>
      <c r="AI48" s="192"/>
      <c r="AJ48" s="192"/>
      <c r="AK48" s="192"/>
      <c r="AL48" s="192"/>
      <c r="AM48" s="192"/>
      <c r="AN48" s="192"/>
      <c r="AO48" s="192"/>
      <c r="AP48" s="192"/>
      <c r="AQ48" s="192"/>
      <c r="AR48" s="193" t="str">
        <f aca="false">IF($A48="","",IF(OR($N48="Yes",$T48="Yes",$Z48="Yes",$AF48="Yes",$AL48="Yes"),"Yes","No"))</f>
        <v>No</v>
      </c>
      <c r="AS48" s="193" t="str">
        <f aca="false">IF($A48="","",IFERROR(IF($AM48&lt;&gt;"",$AM48,IF($AG48&lt;&gt;"",$AG48,IF($AA48&lt;&gt;"",$AA48,IF($U48&lt;&gt;"",$U48,IF($O48&lt;&gt;"",$O48,""))))),""))</f>
        <v/>
      </c>
      <c r="AT48" s="193" t="str">
        <f aca="false">IFERROR(IF($AN48&lt;&gt;"",$AN48,IF($AH48&lt;&gt;"",$AH48,IF($AB48&lt;&gt;"",$AB48,IF($V48&lt;&gt;"",$V48,IF($P48&lt;&gt;"",$P48,""))))),"")</f>
        <v/>
      </c>
      <c r="AU48" s="194"/>
    </row>
    <row r="49" customFormat="false" ht="180" hidden="false" customHeight="true" outlineLevel="0" collapsed="false">
      <c r="A49" s="191" t="str">
        <f aca="false">IF($F49="","",$C$2&amp;"."&amp;COUNTA($F$7:$F49)&amp;"")</f>
        <v>TC_04.37</v>
      </c>
      <c r="B49" s="191" t="s">
        <v>489</v>
      </c>
      <c r="C49" s="191" t="s">
        <v>530</v>
      </c>
      <c r="D49" s="191" t="s">
        <v>41</v>
      </c>
      <c r="E49" s="191" t="s">
        <v>160</v>
      </c>
      <c r="F49" s="13" t="s">
        <v>914</v>
      </c>
      <c r="G49" s="13" t="s">
        <v>915</v>
      </c>
      <c r="H49" s="13" t="s">
        <v>916</v>
      </c>
      <c r="I49" s="13" t="s">
        <v>917</v>
      </c>
      <c r="J49" s="191" t="s">
        <v>658</v>
      </c>
      <c r="K49" s="191" t="s">
        <v>245</v>
      </c>
      <c r="L49" s="191"/>
      <c r="M49" s="191"/>
      <c r="N49" s="192"/>
      <c r="O49" s="192"/>
      <c r="P49" s="192"/>
      <c r="Q49" s="192"/>
      <c r="R49" s="192"/>
      <c r="S49" s="192"/>
      <c r="T49" s="192"/>
      <c r="U49" s="192"/>
      <c r="V49" s="192"/>
      <c r="W49" s="192"/>
      <c r="X49" s="192"/>
      <c r="Y49" s="192"/>
      <c r="Z49" s="192"/>
      <c r="AA49" s="192"/>
      <c r="AB49" s="192"/>
      <c r="AC49" s="192"/>
      <c r="AD49" s="192"/>
      <c r="AE49" s="192"/>
      <c r="AF49" s="192"/>
      <c r="AG49" s="192"/>
      <c r="AH49" s="192"/>
      <c r="AI49" s="192"/>
      <c r="AJ49" s="192"/>
      <c r="AK49" s="192"/>
      <c r="AL49" s="192"/>
      <c r="AM49" s="192"/>
      <c r="AN49" s="192"/>
      <c r="AO49" s="192"/>
      <c r="AP49" s="192"/>
      <c r="AQ49" s="192"/>
      <c r="AR49" s="193" t="str">
        <f aca="false">IF($A49="","",IF(OR($N49="Yes",$T49="Yes",$Z49="Yes",$AF49="Yes",$AL49="Yes"),"Yes","No"))</f>
        <v>No</v>
      </c>
      <c r="AS49" s="193" t="str">
        <f aca="false">IF($A49="","",IFERROR(IF($AM49&lt;&gt;"",$AM49,IF($AG49&lt;&gt;"",$AG49,IF($AA49&lt;&gt;"",$AA49,IF($U49&lt;&gt;"",$U49,IF($O49&lt;&gt;"",$O49,""))))),""))</f>
        <v/>
      </c>
      <c r="AT49" s="193" t="str">
        <f aca="false">IFERROR(IF($AN49&lt;&gt;"",$AN49,IF($AH49&lt;&gt;"",$AH49,IF($AB49&lt;&gt;"",$AB49,IF($V49&lt;&gt;"",$V49,IF($P49&lt;&gt;"",$P49,""))))),"")</f>
        <v/>
      </c>
      <c r="AU49" s="194"/>
    </row>
    <row r="50" customFormat="false" ht="15.75" hidden="false" customHeight="true" outlineLevel="0" collapsed="false">
      <c r="A50" s="189"/>
      <c r="B50" s="189"/>
      <c r="C50" s="190" t="s">
        <v>918</v>
      </c>
      <c r="D50" s="190"/>
      <c r="E50" s="190"/>
      <c r="F50" s="190"/>
      <c r="G50" s="190"/>
      <c r="H50" s="190"/>
      <c r="I50" s="190"/>
      <c r="J50" s="190"/>
      <c r="K50" s="190"/>
      <c r="L50" s="190"/>
      <c r="M50" s="190"/>
      <c r="N50" s="190"/>
      <c r="O50" s="190"/>
      <c r="P50" s="190"/>
      <c r="Q50" s="190"/>
      <c r="R50" s="190"/>
      <c r="S50" s="190"/>
      <c r="T50" s="190"/>
      <c r="U50" s="190"/>
      <c r="V50" s="190"/>
      <c r="W50" s="190"/>
      <c r="X50" s="190"/>
      <c r="Y50" s="190"/>
      <c r="Z50" s="190"/>
      <c r="AA50" s="190"/>
      <c r="AB50" s="190"/>
      <c r="AC50" s="190"/>
      <c r="AD50" s="190"/>
      <c r="AE50" s="190"/>
      <c r="AF50" s="190"/>
      <c r="AG50" s="190"/>
      <c r="AH50" s="190"/>
      <c r="AI50" s="190"/>
      <c r="AJ50" s="190"/>
      <c r="AK50" s="190"/>
      <c r="AL50" s="190"/>
      <c r="AM50" s="190"/>
      <c r="AN50" s="190"/>
      <c r="AO50" s="190"/>
      <c r="AP50" s="190"/>
      <c r="AQ50" s="190"/>
      <c r="AR50" s="190"/>
      <c r="AS50" s="190"/>
      <c r="AT50" s="190"/>
      <c r="AU50" s="190"/>
    </row>
    <row r="51" customFormat="false" ht="113.25" hidden="false" customHeight="true" outlineLevel="0" collapsed="false">
      <c r="A51" s="191" t="str">
        <f aca="false">IF($F51="","",$C$2&amp;"."&amp;COUNTA($F$7:$F51)&amp;"")</f>
        <v>TC_04.38</v>
      </c>
      <c r="B51" s="191" t="s">
        <v>492</v>
      </c>
      <c r="C51" s="191" t="s">
        <v>530</v>
      </c>
      <c r="D51" s="191" t="s">
        <v>41</v>
      </c>
      <c r="E51" s="191" t="s">
        <v>159</v>
      </c>
      <c r="F51" s="13" t="s">
        <v>919</v>
      </c>
      <c r="G51" s="13" t="s">
        <v>833</v>
      </c>
      <c r="H51" s="13" t="s">
        <v>920</v>
      </c>
      <c r="I51" s="13" t="s">
        <v>921</v>
      </c>
      <c r="J51" s="191" t="s">
        <v>658</v>
      </c>
      <c r="K51" s="191" t="s">
        <v>245</v>
      </c>
      <c r="L51" s="191"/>
      <c r="M51" s="191"/>
      <c r="N51" s="192"/>
      <c r="O51" s="192"/>
      <c r="P51" s="192"/>
      <c r="Q51" s="192"/>
      <c r="R51" s="192"/>
      <c r="S51" s="192"/>
      <c r="T51" s="192"/>
      <c r="U51" s="192"/>
      <c r="V51" s="192"/>
      <c r="W51" s="192"/>
      <c r="X51" s="192"/>
      <c r="Y51" s="192"/>
      <c r="Z51" s="192"/>
      <c r="AA51" s="192"/>
      <c r="AB51" s="192"/>
      <c r="AC51" s="192"/>
      <c r="AD51" s="192"/>
      <c r="AE51" s="192"/>
      <c r="AF51" s="192"/>
      <c r="AG51" s="192"/>
      <c r="AH51" s="192"/>
      <c r="AI51" s="192"/>
      <c r="AJ51" s="192"/>
      <c r="AK51" s="192"/>
      <c r="AL51" s="192"/>
      <c r="AM51" s="192"/>
      <c r="AN51" s="192"/>
      <c r="AO51" s="192"/>
      <c r="AP51" s="192"/>
      <c r="AQ51" s="192"/>
      <c r="AR51" s="193" t="str">
        <f aca="false">IF($A51="","",IF(OR($N51="Yes",$T51="Yes",$Z51="Yes",$AF51="Yes",$AL51="Yes"),"Yes","No"))</f>
        <v>No</v>
      </c>
      <c r="AS51" s="193" t="str">
        <f aca="false">IF($A51="","",IFERROR(IF($AM51&lt;&gt;"",$AM51,IF($AG51&lt;&gt;"",$AG51,IF($AA51&lt;&gt;"",$AA51,IF($U51&lt;&gt;"",$U51,IF($O51&lt;&gt;"",$O51,""))))),""))</f>
        <v/>
      </c>
      <c r="AT51" s="193" t="str">
        <f aca="false">IFERROR(IF($AN51&lt;&gt;"",$AN51,IF($AH51&lt;&gt;"",$AH51,IF($AB51&lt;&gt;"",$AB51,IF($V51&lt;&gt;"",$V51,IF($P51&lt;&gt;"",$P51,""))))),"")</f>
        <v/>
      </c>
      <c r="AU51" s="194"/>
    </row>
    <row r="52" customFormat="false" ht="135.75" hidden="false" customHeight="true" outlineLevel="0" collapsed="false">
      <c r="A52" s="191" t="str">
        <f aca="false">IF($F52="","",$C$2&amp;"."&amp;COUNTA($F$7:$F52)&amp;"")</f>
        <v>TC_04.39</v>
      </c>
      <c r="B52" s="191" t="s">
        <v>492</v>
      </c>
      <c r="C52" s="191" t="s">
        <v>530</v>
      </c>
      <c r="D52" s="191" t="s">
        <v>41</v>
      </c>
      <c r="E52" s="191" t="s">
        <v>159</v>
      </c>
      <c r="F52" s="13" t="s">
        <v>922</v>
      </c>
      <c r="G52" s="13" t="s">
        <v>833</v>
      </c>
      <c r="H52" s="13" t="s">
        <v>923</v>
      </c>
      <c r="I52" s="13" t="s">
        <v>924</v>
      </c>
      <c r="J52" s="191" t="s">
        <v>658</v>
      </c>
      <c r="K52" s="191" t="s">
        <v>245</v>
      </c>
      <c r="L52" s="191"/>
      <c r="M52" s="191"/>
      <c r="N52" s="192"/>
      <c r="O52" s="192"/>
      <c r="P52" s="192"/>
      <c r="Q52" s="192"/>
      <c r="R52" s="192"/>
      <c r="S52" s="192"/>
      <c r="T52" s="192"/>
      <c r="U52" s="192"/>
      <c r="V52" s="192"/>
      <c r="W52" s="192"/>
      <c r="X52" s="192"/>
      <c r="Y52" s="192"/>
      <c r="Z52" s="192"/>
      <c r="AA52" s="192"/>
      <c r="AB52" s="192"/>
      <c r="AC52" s="192"/>
      <c r="AD52" s="192"/>
      <c r="AE52" s="192"/>
      <c r="AF52" s="192"/>
      <c r="AG52" s="192"/>
      <c r="AH52" s="192"/>
      <c r="AI52" s="192"/>
      <c r="AJ52" s="192"/>
      <c r="AK52" s="192"/>
      <c r="AL52" s="192"/>
      <c r="AM52" s="192"/>
      <c r="AN52" s="192"/>
      <c r="AO52" s="192"/>
      <c r="AP52" s="192"/>
      <c r="AQ52" s="192"/>
      <c r="AR52" s="193" t="str">
        <f aca="false">IF($A52="","",IF(OR($N52="Yes",$T52="Yes",$Z52="Yes",$AF52="Yes",$AL52="Yes"),"Yes","No"))</f>
        <v>No</v>
      </c>
      <c r="AS52" s="193" t="str">
        <f aca="false">IF($A52="","",IFERROR(IF($AM52&lt;&gt;"",$AM52,IF($AG52&lt;&gt;"",$AG52,IF($AA52&lt;&gt;"",$AA52,IF($U52&lt;&gt;"",$U52,IF($O52&lt;&gt;"",$O52,""))))),""))</f>
        <v/>
      </c>
      <c r="AT52" s="193" t="str">
        <f aca="false">IFERROR(IF($AN52&lt;&gt;"",$AN52,IF($AH52&lt;&gt;"",$AH52,IF($AB52&lt;&gt;"",$AB52,IF($V52&lt;&gt;"",$V52,IF($P52&lt;&gt;"",$P52,""))))),"")</f>
        <v/>
      </c>
      <c r="AU52" s="194"/>
    </row>
    <row r="53" customFormat="false" ht="124.5" hidden="false" customHeight="true" outlineLevel="0" collapsed="false">
      <c r="A53" s="191" t="str">
        <f aca="false">IF($F53="","",$C$2&amp;"."&amp;COUNTA($F$7:$F53)&amp;"")</f>
        <v>TC_04.40</v>
      </c>
      <c r="B53" s="191" t="s">
        <v>492</v>
      </c>
      <c r="C53" s="191" t="s">
        <v>530</v>
      </c>
      <c r="D53" s="191" t="s">
        <v>41</v>
      </c>
      <c r="E53" s="191" t="s">
        <v>159</v>
      </c>
      <c r="F53" s="13" t="s">
        <v>925</v>
      </c>
      <c r="G53" s="13" t="s">
        <v>833</v>
      </c>
      <c r="H53" s="13" t="s">
        <v>926</v>
      </c>
      <c r="I53" s="13" t="s">
        <v>927</v>
      </c>
      <c r="J53" s="191" t="s">
        <v>658</v>
      </c>
      <c r="K53" s="191" t="s">
        <v>245</v>
      </c>
      <c r="L53" s="191"/>
      <c r="M53" s="191"/>
      <c r="N53" s="192"/>
      <c r="O53" s="192"/>
      <c r="P53" s="192"/>
      <c r="Q53" s="192"/>
      <c r="R53" s="192"/>
      <c r="S53" s="192"/>
      <c r="T53" s="192"/>
      <c r="U53" s="192"/>
      <c r="V53" s="192"/>
      <c r="W53" s="192"/>
      <c r="X53" s="192"/>
      <c r="Y53" s="192"/>
      <c r="Z53" s="192"/>
      <c r="AA53" s="192"/>
      <c r="AB53" s="192"/>
      <c r="AC53" s="192"/>
      <c r="AD53" s="192"/>
      <c r="AE53" s="192"/>
      <c r="AF53" s="192"/>
      <c r="AG53" s="192"/>
      <c r="AH53" s="192"/>
      <c r="AI53" s="192"/>
      <c r="AJ53" s="192"/>
      <c r="AK53" s="192"/>
      <c r="AL53" s="192"/>
      <c r="AM53" s="192"/>
      <c r="AN53" s="192"/>
      <c r="AO53" s="192"/>
      <c r="AP53" s="192"/>
      <c r="AQ53" s="192"/>
      <c r="AR53" s="193" t="str">
        <f aca="false">IF($A53="","",IF(OR($N53="Yes",$T53="Yes",$Z53="Yes",$AF53="Yes",$AL53="Yes"),"Yes","No"))</f>
        <v>No</v>
      </c>
      <c r="AS53" s="193" t="str">
        <f aca="false">IF($A53="","",IFERROR(IF($AM53&lt;&gt;"",$AM53,IF($AG53&lt;&gt;"",$AG53,IF($AA53&lt;&gt;"",$AA53,IF($U53&lt;&gt;"",$U53,IF($O53&lt;&gt;"",$O53,""))))),""))</f>
        <v/>
      </c>
      <c r="AT53" s="193" t="str">
        <f aca="false">IFERROR(IF($AN53&lt;&gt;"",$AN53,IF($AH53&lt;&gt;"",$AH53,IF($AB53&lt;&gt;"",$AB53,IF($V53&lt;&gt;"",$V53,IF($P53&lt;&gt;"",$P53,""))))),"")</f>
        <v/>
      </c>
      <c r="AU53" s="194"/>
    </row>
    <row r="54" customFormat="false" ht="124.5" hidden="false" customHeight="true" outlineLevel="0" collapsed="false">
      <c r="A54" s="191" t="str">
        <f aca="false">IF($F54="","",$C$2&amp;"."&amp;COUNTA($F$7:$F54)&amp;"")</f>
        <v>TC_04.41</v>
      </c>
      <c r="B54" s="191" t="s">
        <v>492</v>
      </c>
      <c r="C54" s="191" t="s">
        <v>530</v>
      </c>
      <c r="D54" s="191" t="s">
        <v>41</v>
      </c>
      <c r="E54" s="191" t="s">
        <v>159</v>
      </c>
      <c r="F54" s="13" t="s">
        <v>928</v>
      </c>
      <c r="G54" s="13" t="s">
        <v>833</v>
      </c>
      <c r="H54" s="13" t="s">
        <v>929</v>
      </c>
      <c r="I54" s="13" t="s">
        <v>930</v>
      </c>
      <c r="J54" s="191" t="s">
        <v>658</v>
      </c>
      <c r="K54" s="191" t="s">
        <v>245</v>
      </c>
      <c r="L54" s="191"/>
      <c r="M54" s="191"/>
      <c r="N54" s="192"/>
      <c r="O54" s="192"/>
      <c r="P54" s="192"/>
      <c r="Q54" s="192"/>
      <c r="R54" s="192"/>
      <c r="S54" s="192"/>
      <c r="T54" s="192"/>
      <c r="U54" s="192"/>
      <c r="V54" s="192"/>
      <c r="W54" s="192"/>
      <c r="X54" s="192"/>
      <c r="Y54" s="192"/>
      <c r="Z54" s="192"/>
      <c r="AA54" s="192"/>
      <c r="AB54" s="192"/>
      <c r="AC54" s="192"/>
      <c r="AD54" s="192"/>
      <c r="AE54" s="192"/>
      <c r="AF54" s="192"/>
      <c r="AG54" s="192"/>
      <c r="AH54" s="192"/>
      <c r="AI54" s="192"/>
      <c r="AJ54" s="192"/>
      <c r="AK54" s="192"/>
      <c r="AL54" s="192"/>
      <c r="AM54" s="192"/>
      <c r="AN54" s="192"/>
      <c r="AO54" s="192"/>
      <c r="AP54" s="192"/>
      <c r="AQ54" s="192"/>
      <c r="AR54" s="193" t="str">
        <f aca="false">IF($A54="","",IF(OR($N54="Yes",$T54="Yes",$Z54="Yes",$AF54="Yes",$AL54="Yes"),"Yes","No"))</f>
        <v>No</v>
      </c>
      <c r="AS54" s="193" t="str">
        <f aca="false">IF($A54="","",IFERROR(IF($AM54&lt;&gt;"",$AM54,IF($AG54&lt;&gt;"",$AG54,IF($AA54&lt;&gt;"",$AA54,IF($U54&lt;&gt;"",$U54,IF($O54&lt;&gt;"",$O54,""))))),""))</f>
        <v/>
      </c>
      <c r="AT54" s="193" t="str">
        <f aca="false">IFERROR(IF($AN54&lt;&gt;"",$AN54,IF($AH54&lt;&gt;"",$AH54,IF($AB54&lt;&gt;"",$AB54,IF($V54&lt;&gt;"",$V54,IF($P54&lt;&gt;"",$P54,""))))),"")</f>
        <v/>
      </c>
      <c r="AU54" s="194"/>
    </row>
    <row r="55" customFormat="false" ht="147" hidden="false" customHeight="true" outlineLevel="0" collapsed="false">
      <c r="A55" s="191" t="str">
        <f aca="false">IF($F55="","",$C$2&amp;"."&amp;COUNTA($F$7:$F55)&amp;"")</f>
        <v>TC_04.42</v>
      </c>
      <c r="B55" s="191" t="s">
        <v>492</v>
      </c>
      <c r="C55" s="191" t="s">
        <v>530</v>
      </c>
      <c r="D55" s="191" t="s">
        <v>41</v>
      </c>
      <c r="E55" s="191" t="s">
        <v>159</v>
      </c>
      <c r="F55" s="13" t="s">
        <v>931</v>
      </c>
      <c r="G55" s="13" t="s">
        <v>800</v>
      </c>
      <c r="H55" s="13" t="s">
        <v>932</v>
      </c>
      <c r="I55" s="13" t="s">
        <v>933</v>
      </c>
      <c r="J55" s="191" t="s">
        <v>658</v>
      </c>
      <c r="K55" s="191" t="s">
        <v>245</v>
      </c>
      <c r="L55" s="191"/>
      <c r="M55" s="191"/>
      <c r="N55" s="192"/>
      <c r="O55" s="192"/>
      <c r="P55" s="192"/>
      <c r="Q55" s="192"/>
      <c r="R55" s="192"/>
      <c r="S55" s="192"/>
      <c r="T55" s="192"/>
      <c r="U55" s="192"/>
      <c r="V55" s="192"/>
      <c r="W55" s="192"/>
      <c r="X55" s="192"/>
      <c r="Y55" s="192"/>
      <c r="Z55" s="192"/>
      <c r="AA55" s="192"/>
      <c r="AB55" s="192"/>
      <c r="AC55" s="192"/>
      <c r="AD55" s="192"/>
      <c r="AE55" s="192"/>
      <c r="AF55" s="192"/>
      <c r="AG55" s="192"/>
      <c r="AH55" s="192"/>
      <c r="AI55" s="192"/>
      <c r="AJ55" s="192"/>
      <c r="AK55" s="192"/>
      <c r="AL55" s="192"/>
      <c r="AM55" s="192"/>
      <c r="AN55" s="192"/>
      <c r="AO55" s="192"/>
      <c r="AP55" s="192"/>
      <c r="AQ55" s="192"/>
      <c r="AR55" s="193" t="str">
        <f aca="false">IF($A55="","",IF(OR($N55="Yes",$T55="Yes",$Z55="Yes",$AF55="Yes",$AL55="Yes"),"Yes","No"))</f>
        <v>No</v>
      </c>
      <c r="AS55" s="193" t="str">
        <f aca="false">IF($A55="","",IFERROR(IF($AM55&lt;&gt;"",$AM55,IF($AG55&lt;&gt;"",$AG55,IF($AA55&lt;&gt;"",$AA55,IF($U55&lt;&gt;"",$U55,IF($O55&lt;&gt;"",$O55,""))))),""))</f>
        <v/>
      </c>
      <c r="AT55" s="193" t="str">
        <f aca="false">IFERROR(IF($AN55&lt;&gt;"",$AN55,IF($AH55&lt;&gt;"",$AH55,IF($AB55&lt;&gt;"",$AB55,IF($V55&lt;&gt;"",$V55,IF($P55&lt;&gt;"",$P55,""))))),"")</f>
        <v/>
      </c>
      <c r="AU55" s="194"/>
    </row>
    <row r="56" customFormat="false" ht="157.5" hidden="false" customHeight="true" outlineLevel="0" collapsed="false">
      <c r="A56" s="191" t="str">
        <f aca="false">IF($F56="","",$C$2&amp;"."&amp;COUNTA($F$7:$F56)&amp;"")</f>
        <v>TC_04.43</v>
      </c>
      <c r="B56" s="191" t="s">
        <v>492</v>
      </c>
      <c r="C56" s="191" t="s">
        <v>530</v>
      </c>
      <c r="D56" s="191" t="s">
        <v>41</v>
      </c>
      <c r="E56" s="191" t="s">
        <v>159</v>
      </c>
      <c r="F56" s="13" t="s">
        <v>934</v>
      </c>
      <c r="G56" s="13" t="s">
        <v>800</v>
      </c>
      <c r="H56" s="13" t="s">
        <v>935</v>
      </c>
      <c r="I56" s="13" t="s">
        <v>936</v>
      </c>
      <c r="J56" s="191" t="s">
        <v>658</v>
      </c>
      <c r="K56" s="191" t="s">
        <v>245</v>
      </c>
      <c r="L56" s="191"/>
      <c r="M56" s="191"/>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92"/>
      <c r="AR56" s="193" t="str">
        <f aca="false">IF($A56="","",IF(OR($N56="Yes",$T56="Yes",$Z56="Yes",$AF56="Yes",$AL56="Yes"),"Yes","No"))</f>
        <v>No</v>
      </c>
      <c r="AS56" s="193" t="str">
        <f aca="false">IF($A56="","",IFERROR(IF($AM56&lt;&gt;"",$AM56,IF($AG56&lt;&gt;"",$AG56,IF($AA56&lt;&gt;"",$AA56,IF($U56&lt;&gt;"",$U56,IF($O56&lt;&gt;"",$O56,""))))),""))</f>
        <v/>
      </c>
      <c r="AT56" s="193" t="str">
        <f aca="false">IFERROR(IF($AN56&lt;&gt;"",$AN56,IF($AH56&lt;&gt;"",$AH56,IF($AB56&lt;&gt;"",$AB56,IF($V56&lt;&gt;"",$V56,IF($P56&lt;&gt;"",$P56,""))))),"")</f>
        <v/>
      </c>
      <c r="AU56" s="194"/>
    </row>
    <row r="57" customFormat="false" ht="15.75" hidden="false" customHeight="true" outlineLevel="0" collapsed="false">
      <c r="A57" s="189"/>
      <c r="B57" s="189"/>
      <c r="C57" s="190" t="s">
        <v>937</v>
      </c>
      <c r="D57" s="190"/>
      <c r="E57" s="190"/>
      <c r="F57" s="190"/>
      <c r="G57" s="190"/>
      <c r="H57" s="190"/>
      <c r="I57" s="190"/>
      <c r="J57" s="190"/>
      <c r="K57" s="190"/>
      <c r="L57" s="190"/>
      <c r="M57" s="190"/>
      <c r="N57" s="190"/>
      <c r="O57" s="190"/>
      <c r="P57" s="190"/>
      <c r="Q57" s="190"/>
      <c r="R57" s="190"/>
      <c r="S57" s="190"/>
      <c r="T57" s="190"/>
      <c r="U57" s="190"/>
      <c r="V57" s="190"/>
      <c r="W57" s="190"/>
      <c r="X57" s="190"/>
      <c r="Y57" s="190"/>
      <c r="Z57" s="190"/>
      <c r="AA57" s="190"/>
      <c r="AB57" s="190"/>
      <c r="AC57" s="190"/>
      <c r="AD57" s="190"/>
      <c r="AE57" s="190"/>
      <c r="AF57" s="190"/>
      <c r="AG57" s="190"/>
      <c r="AH57" s="190"/>
      <c r="AI57" s="190"/>
      <c r="AJ57" s="190"/>
      <c r="AK57" s="190"/>
      <c r="AL57" s="190"/>
      <c r="AM57" s="190"/>
      <c r="AN57" s="190"/>
      <c r="AO57" s="190"/>
      <c r="AP57" s="190"/>
      <c r="AQ57" s="190"/>
      <c r="AR57" s="190"/>
      <c r="AS57" s="190"/>
      <c r="AT57" s="190"/>
      <c r="AU57" s="190"/>
    </row>
    <row r="58" customFormat="false" ht="135.75" hidden="false" customHeight="true" outlineLevel="0" collapsed="false">
      <c r="A58" s="191" t="str">
        <f aca="false">IF($F58="","",$C$2&amp;"."&amp;COUNTA($F$7:$F58)&amp;"")</f>
        <v>TC_04.44</v>
      </c>
      <c r="B58" s="191" t="s">
        <v>495</v>
      </c>
      <c r="C58" s="191" t="s">
        <v>530</v>
      </c>
      <c r="D58" s="191" t="s">
        <v>41</v>
      </c>
      <c r="E58" s="191" t="s">
        <v>158</v>
      </c>
      <c r="F58" s="13" t="s">
        <v>938</v>
      </c>
      <c r="G58" s="13" t="s">
        <v>939</v>
      </c>
      <c r="H58" s="13" t="s">
        <v>940</v>
      </c>
      <c r="I58" s="13" t="s">
        <v>941</v>
      </c>
      <c r="J58" s="191" t="s">
        <v>658</v>
      </c>
      <c r="K58" s="191" t="s">
        <v>245</v>
      </c>
      <c r="L58" s="191"/>
      <c r="M58" s="191"/>
      <c r="N58" s="192"/>
      <c r="O58" s="192"/>
      <c r="P58" s="192"/>
      <c r="Q58" s="192"/>
      <c r="R58" s="192"/>
      <c r="S58" s="192"/>
      <c r="T58" s="192"/>
      <c r="U58" s="192"/>
      <c r="V58" s="192"/>
      <c r="W58" s="192"/>
      <c r="X58" s="192"/>
      <c r="Y58" s="192"/>
      <c r="Z58" s="192"/>
      <c r="AA58" s="192"/>
      <c r="AB58" s="192"/>
      <c r="AC58" s="192"/>
      <c r="AD58" s="192"/>
      <c r="AE58" s="192"/>
      <c r="AF58" s="192"/>
      <c r="AG58" s="192"/>
      <c r="AH58" s="192"/>
      <c r="AI58" s="192"/>
      <c r="AJ58" s="192"/>
      <c r="AK58" s="192"/>
      <c r="AL58" s="192"/>
      <c r="AM58" s="192"/>
      <c r="AN58" s="192"/>
      <c r="AO58" s="192"/>
      <c r="AP58" s="192"/>
      <c r="AQ58" s="192"/>
      <c r="AR58" s="193" t="str">
        <f aca="false">IF($A58="","",IF(OR($N58="Yes",$T58="Yes",$Z58="Yes",$AF58="Yes",$AL58="Yes"),"Yes","No"))</f>
        <v>No</v>
      </c>
      <c r="AS58" s="193" t="str">
        <f aca="false">IF($A58="","",IFERROR(IF($AM58&lt;&gt;"",$AM58,IF($AG58&lt;&gt;"",$AG58,IF($AA58&lt;&gt;"",$AA58,IF($U58&lt;&gt;"",$U58,IF($O58&lt;&gt;"",$O58,""))))),""))</f>
        <v/>
      </c>
      <c r="AT58" s="193" t="str">
        <f aca="false">IFERROR(IF($AN58&lt;&gt;"",$AN58,IF($AH58&lt;&gt;"",$AH58,IF($AB58&lt;&gt;"",$AB58,IF($V58&lt;&gt;"",$V58,IF($P58&lt;&gt;"",$P58,""))))),"")</f>
        <v/>
      </c>
      <c r="AU58" s="194"/>
    </row>
    <row r="59" customFormat="false" ht="157.5" hidden="false" customHeight="true" outlineLevel="0" collapsed="false">
      <c r="A59" s="191" t="str">
        <f aca="false">IF($F59="","",$C$2&amp;"."&amp;COUNTA($F$7:$F59)&amp;"")</f>
        <v>TC_04.45</v>
      </c>
      <c r="B59" s="191" t="s">
        <v>495</v>
      </c>
      <c r="C59" s="191" t="s">
        <v>530</v>
      </c>
      <c r="D59" s="191" t="s">
        <v>41</v>
      </c>
      <c r="E59" s="191" t="s">
        <v>158</v>
      </c>
      <c r="F59" s="13" t="s">
        <v>942</v>
      </c>
      <c r="G59" s="13" t="s">
        <v>939</v>
      </c>
      <c r="H59" s="13" t="s">
        <v>943</v>
      </c>
      <c r="I59" s="13" t="s">
        <v>944</v>
      </c>
      <c r="J59" s="191" t="s">
        <v>658</v>
      </c>
      <c r="K59" s="191" t="s">
        <v>245</v>
      </c>
      <c r="L59" s="191"/>
      <c r="M59" s="191"/>
      <c r="N59" s="192"/>
      <c r="O59" s="192"/>
      <c r="P59" s="192"/>
      <c r="Q59" s="192"/>
      <c r="R59" s="192"/>
      <c r="S59" s="192"/>
      <c r="T59" s="192"/>
      <c r="U59" s="192"/>
      <c r="V59" s="192"/>
      <c r="W59" s="192"/>
      <c r="X59" s="192"/>
      <c r="Y59" s="192"/>
      <c r="Z59" s="192"/>
      <c r="AA59" s="192"/>
      <c r="AB59" s="192"/>
      <c r="AC59" s="192"/>
      <c r="AD59" s="192"/>
      <c r="AE59" s="192"/>
      <c r="AF59" s="192"/>
      <c r="AG59" s="192"/>
      <c r="AH59" s="192"/>
      <c r="AI59" s="192"/>
      <c r="AJ59" s="192"/>
      <c r="AK59" s="192"/>
      <c r="AL59" s="192"/>
      <c r="AM59" s="192"/>
      <c r="AN59" s="192"/>
      <c r="AO59" s="192"/>
      <c r="AP59" s="192"/>
      <c r="AQ59" s="192"/>
      <c r="AR59" s="193" t="str">
        <f aca="false">IF($A59="","",IF(OR($N59="Yes",$T59="Yes",$Z59="Yes",$AF59="Yes",$AL59="Yes"),"Yes","No"))</f>
        <v>No</v>
      </c>
      <c r="AS59" s="193" t="str">
        <f aca="false">IF($A59="","",IFERROR(IF($AM59&lt;&gt;"",$AM59,IF($AG59&lt;&gt;"",$AG59,IF($AA59&lt;&gt;"",$AA59,IF($U59&lt;&gt;"",$U59,IF($O59&lt;&gt;"",$O59,""))))),""))</f>
        <v/>
      </c>
      <c r="AT59" s="193" t="str">
        <f aca="false">IFERROR(IF($AN59&lt;&gt;"",$AN59,IF($AH59&lt;&gt;"",$AH59,IF($AB59&lt;&gt;"",$AB59,IF($V59&lt;&gt;"",$V59,IF($P59&lt;&gt;"",$P59,""))))),"")</f>
        <v/>
      </c>
      <c r="AU59" s="194"/>
    </row>
    <row r="60" customFormat="false" ht="147" hidden="false" customHeight="true" outlineLevel="0" collapsed="false">
      <c r="A60" s="191" t="str">
        <f aca="false">IF($F60="","",$C$2&amp;"."&amp;COUNTA($F$7:$F60)&amp;"")</f>
        <v>TC_04.46</v>
      </c>
      <c r="B60" s="191" t="s">
        <v>495</v>
      </c>
      <c r="C60" s="191" t="s">
        <v>530</v>
      </c>
      <c r="D60" s="191" t="s">
        <v>41</v>
      </c>
      <c r="E60" s="191" t="s">
        <v>158</v>
      </c>
      <c r="F60" s="13" t="s">
        <v>945</v>
      </c>
      <c r="G60" s="13" t="s">
        <v>939</v>
      </c>
      <c r="H60" s="13" t="s">
        <v>946</v>
      </c>
      <c r="I60" s="13" t="s">
        <v>944</v>
      </c>
      <c r="J60" s="191" t="s">
        <v>658</v>
      </c>
      <c r="K60" s="191" t="s">
        <v>245</v>
      </c>
      <c r="L60" s="191"/>
      <c r="M60" s="191"/>
      <c r="N60" s="192"/>
      <c r="O60" s="192"/>
      <c r="P60" s="192"/>
      <c r="Q60" s="192"/>
      <c r="R60" s="192"/>
      <c r="S60" s="192"/>
      <c r="T60" s="192"/>
      <c r="U60" s="192"/>
      <c r="V60" s="192"/>
      <c r="W60" s="192"/>
      <c r="X60" s="192"/>
      <c r="Y60" s="192"/>
      <c r="Z60" s="192"/>
      <c r="AA60" s="192"/>
      <c r="AB60" s="192"/>
      <c r="AC60" s="192"/>
      <c r="AD60" s="192"/>
      <c r="AE60" s="192"/>
      <c r="AF60" s="192"/>
      <c r="AG60" s="192"/>
      <c r="AH60" s="192"/>
      <c r="AI60" s="192"/>
      <c r="AJ60" s="192"/>
      <c r="AK60" s="192"/>
      <c r="AL60" s="192"/>
      <c r="AM60" s="192"/>
      <c r="AN60" s="192"/>
      <c r="AO60" s="192"/>
      <c r="AP60" s="192"/>
      <c r="AQ60" s="192"/>
      <c r="AR60" s="193" t="str">
        <f aca="false">IF($A60="","",IF(OR($N60="Yes",$T60="Yes",$Z60="Yes",$AF60="Yes",$AL60="Yes"),"Yes","No"))</f>
        <v>No</v>
      </c>
      <c r="AS60" s="193" t="str">
        <f aca="false">IF($A60="","",IFERROR(IF($AM60&lt;&gt;"",$AM60,IF($AG60&lt;&gt;"",$AG60,IF($AA60&lt;&gt;"",$AA60,IF($U60&lt;&gt;"",$U60,IF($O60&lt;&gt;"",$O60,""))))),""))</f>
        <v/>
      </c>
      <c r="AT60" s="193" t="str">
        <f aca="false">IFERROR(IF($AN60&lt;&gt;"",$AN60,IF($AH60&lt;&gt;"",$AH60,IF($AB60&lt;&gt;"",$AB60,IF($V60&lt;&gt;"",$V60,IF($P60&lt;&gt;"",$P60,""))))),"")</f>
        <v/>
      </c>
      <c r="AU60" s="194"/>
    </row>
    <row r="61" customFormat="false" ht="15.75" hidden="false" customHeight="true" outlineLevel="0" collapsed="false">
      <c r="A61" s="196"/>
      <c r="B61" s="196"/>
      <c r="C61" s="197" t="s">
        <v>947</v>
      </c>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
    </row>
    <row r="62" customFormat="false" ht="168.75" hidden="false" customHeight="true" outlineLevel="0" collapsed="false">
      <c r="A62" s="191" t="str">
        <f aca="false">IF($F62="","",$C$2&amp;"."&amp;COUNTA($F$7:$F62)&amp;"")</f>
        <v>TC_04.47</v>
      </c>
      <c r="B62" s="191" t="s">
        <v>498</v>
      </c>
      <c r="C62" s="191" t="s">
        <v>530</v>
      </c>
      <c r="D62" s="191" t="s">
        <v>41</v>
      </c>
      <c r="E62" s="191" t="s">
        <v>160</v>
      </c>
      <c r="F62" s="13" t="s">
        <v>948</v>
      </c>
      <c r="G62" s="13" t="s">
        <v>949</v>
      </c>
      <c r="H62" s="13" t="s">
        <v>950</v>
      </c>
      <c r="I62" s="13" t="s">
        <v>951</v>
      </c>
      <c r="J62" s="191" t="s">
        <v>658</v>
      </c>
      <c r="K62" s="191" t="s">
        <v>245</v>
      </c>
      <c r="L62" s="191"/>
      <c r="M62" s="191"/>
      <c r="N62" s="192"/>
      <c r="O62" s="192"/>
      <c r="P62" s="192"/>
      <c r="Q62" s="192"/>
      <c r="R62" s="192"/>
      <c r="S62" s="192"/>
      <c r="T62" s="192"/>
      <c r="U62" s="192"/>
      <c r="V62" s="192"/>
      <c r="W62" s="192"/>
      <c r="X62" s="192"/>
      <c r="Y62" s="192"/>
      <c r="Z62" s="192"/>
      <c r="AA62" s="192"/>
      <c r="AB62" s="192"/>
      <c r="AC62" s="192"/>
      <c r="AD62" s="192"/>
      <c r="AE62" s="192"/>
      <c r="AF62" s="192"/>
      <c r="AG62" s="192"/>
      <c r="AH62" s="192"/>
      <c r="AI62" s="192"/>
      <c r="AJ62" s="192"/>
      <c r="AK62" s="192"/>
      <c r="AL62" s="192"/>
      <c r="AM62" s="192"/>
      <c r="AN62" s="192"/>
      <c r="AO62" s="192"/>
      <c r="AP62" s="192"/>
      <c r="AQ62" s="192"/>
      <c r="AR62" s="193" t="str">
        <f aca="false">IF($A62="","",IF(OR($N62="Yes",$T62="Yes",$Z62="Yes",$AF62="Yes",$AL62="Yes"),"Yes","No"))</f>
        <v>No</v>
      </c>
      <c r="AS62" s="193" t="str">
        <f aca="false">IF($A62="","",IFERROR(IF($AM62&lt;&gt;"",$AM62,IF($AG62&lt;&gt;"",$AG62,IF($AA62&lt;&gt;"",$AA62,IF($U62&lt;&gt;"",$U62,IF($O62&lt;&gt;"",$O62,""))))),""))</f>
        <v/>
      </c>
      <c r="AT62" s="193" t="str">
        <f aca="false">IFERROR(IF($AN62&lt;&gt;"",$AN62,IF($AH62&lt;&gt;"",$AH62,IF($AB62&lt;&gt;"",$AB62,IF($V62&lt;&gt;"",$V62,IF($P62&lt;&gt;"",$P62,""))))),"")</f>
        <v/>
      </c>
      <c r="AU62" s="194"/>
      <c r="AV62" s="1"/>
    </row>
    <row r="63" customFormat="false" ht="157.5" hidden="false" customHeight="true" outlineLevel="0" collapsed="false">
      <c r="A63" s="191" t="str">
        <f aca="false">IF($F63="","",$C$2&amp;"."&amp;COUNTA($F$7:$F63)&amp;"")</f>
        <v>TC_04.48</v>
      </c>
      <c r="B63" s="191" t="s">
        <v>498</v>
      </c>
      <c r="C63" s="191" t="s">
        <v>530</v>
      </c>
      <c r="D63" s="191" t="s">
        <v>41</v>
      </c>
      <c r="E63" s="191" t="s">
        <v>158</v>
      </c>
      <c r="F63" s="13" t="s">
        <v>952</v>
      </c>
      <c r="G63" s="13" t="s">
        <v>939</v>
      </c>
      <c r="H63" s="13" t="s">
        <v>953</v>
      </c>
      <c r="I63" s="13" t="s">
        <v>954</v>
      </c>
      <c r="J63" s="191" t="s">
        <v>658</v>
      </c>
      <c r="K63" s="191" t="s">
        <v>245</v>
      </c>
      <c r="L63" s="191"/>
      <c r="M63" s="191"/>
      <c r="N63" s="192"/>
      <c r="O63" s="192"/>
      <c r="P63" s="192"/>
      <c r="Q63" s="192"/>
      <c r="R63" s="192"/>
      <c r="S63" s="192"/>
      <c r="T63" s="192"/>
      <c r="U63" s="192"/>
      <c r="V63" s="192"/>
      <c r="W63" s="192"/>
      <c r="X63" s="192"/>
      <c r="Y63" s="192"/>
      <c r="Z63" s="192"/>
      <c r="AA63" s="192"/>
      <c r="AB63" s="192"/>
      <c r="AC63" s="192"/>
      <c r="AD63" s="192"/>
      <c r="AE63" s="192"/>
      <c r="AF63" s="192"/>
      <c r="AG63" s="192"/>
      <c r="AH63" s="192"/>
      <c r="AI63" s="192"/>
      <c r="AJ63" s="192"/>
      <c r="AK63" s="192"/>
      <c r="AL63" s="192"/>
      <c r="AM63" s="192"/>
      <c r="AN63" s="192"/>
      <c r="AO63" s="192"/>
      <c r="AP63" s="192"/>
      <c r="AQ63" s="192"/>
      <c r="AR63" s="193" t="str">
        <f aca="false">IF($A63="","",IF(OR($N63="Yes",$T63="Yes",$Z63="Yes",$AF63="Yes",$AL63="Yes"),"Yes","No"))</f>
        <v>No</v>
      </c>
      <c r="AS63" s="193" t="str">
        <f aca="false">IF($A63="","",IFERROR(IF($AM63&lt;&gt;"",$AM63,IF($AG63&lt;&gt;"",$AG63,IF($AA63&lt;&gt;"",$AA63,IF($U63&lt;&gt;"",$U63,IF($O63&lt;&gt;"",$O63,""))))),""))</f>
        <v/>
      </c>
      <c r="AT63" s="193" t="str">
        <f aca="false">IFERROR(IF($AN63&lt;&gt;"",$AN63,IF($AH63&lt;&gt;"",$AH63,IF($AB63&lt;&gt;"",$AB63,IF($V63&lt;&gt;"",$V63,IF($P63&lt;&gt;"",$P63,""))))),"")</f>
        <v/>
      </c>
      <c r="AU63" s="194"/>
      <c r="AV63" s="1"/>
    </row>
    <row r="64" customFormat="false" ht="180" hidden="false" customHeight="true" outlineLevel="0" collapsed="false">
      <c r="A64" s="191" t="str">
        <f aca="false">IF($F64="","",$C$2&amp;"."&amp;COUNTA($F$7:$F64)&amp;"")</f>
        <v>TC_04.49</v>
      </c>
      <c r="B64" s="191" t="s">
        <v>498</v>
      </c>
      <c r="C64" s="191" t="s">
        <v>530</v>
      </c>
      <c r="D64" s="191" t="s">
        <v>41</v>
      </c>
      <c r="E64" s="191" t="s">
        <v>160</v>
      </c>
      <c r="F64" s="13" t="s">
        <v>955</v>
      </c>
      <c r="G64" s="13" t="s">
        <v>833</v>
      </c>
      <c r="H64" s="13" t="s">
        <v>956</v>
      </c>
      <c r="I64" s="13" t="s">
        <v>957</v>
      </c>
      <c r="J64" s="191" t="s">
        <v>658</v>
      </c>
      <c r="K64" s="191" t="s">
        <v>245</v>
      </c>
      <c r="L64" s="191"/>
      <c r="M64" s="191"/>
      <c r="N64" s="192"/>
      <c r="O64" s="192"/>
      <c r="P64" s="192"/>
      <c r="Q64" s="192"/>
      <c r="R64" s="192"/>
      <c r="S64" s="192"/>
      <c r="T64" s="192"/>
      <c r="U64" s="192"/>
      <c r="V64" s="192"/>
      <c r="W64" s="192"/>
      <c r="X64" s="192"/>
      <c r="Y64" s="192"/>
      <c r="Z64" s="192"/>
      <c r="AA64" s="192"/>
      <c r="AB64" s="192"/>
      <c r="AC64" s="192"/>
      <c r="AD64" s="192"/>
      <c r="AE64" s="192"/>
      <c r="AF64" s="192"/>
      <c r="AG64" s="192"/>
      <c r="AH64" s="192"/>
      <c r="AI64" s="192"/>
      <c r="AJ64" s="192"/>
      <c r="AK64" s="192"/>
      <c r="AL64" s="192"/>
      <c r="AM64" s="192"/>
      <c r="AN64" s="192"/>
      <c r="AO64" s="192"/>
      <c r="AP64" s="192"/>
      <c r="AQ64" s="192"/>
      <c r="AR64" s="193" t="str">
        <f aca="false">IF($A64="","",IF(OR($N64="Yes",$T64="Yes",$Z64="Yes",$AF64="Yes",$AL64="Yes"),"Yes","No"))</f>
        <v>No</v>
      </c>
      <c r="AS64" s="193" t="str">
        <f aca="false">IF($A64="","",IFERROR(IF($AM64&lt;&gt;"",$AM64,IF($AG64&lt;&gt;"",$AG64,IF($AA64&lt;&gt;"",$AA64,IF($U64&lt;&gt;"",$U64,IF($O64&lt;&gt;"",$O64,""))))),""))</f>
        <v/>
      </c>
      <c r="AT64" s="193" t="str">
        <f aca="false">IFERROR(IF($AN64&lt;&gt;"",$AN64,IF($AH64&lt;&gt;"",$AH64,IF($AB64&lt;&gt;"",$AB64,IF($V64&lt;&gt;"",$V64,IF($P64&lt;&gt;"",$P64,""))))),"")</f>
        <v/>
      </c>
      <c r="AU64" s="194"/>
      <c r="AV64" s="1"/>
    </row>
    <row r="65" customFormat="false" ht="15.75" hidden="false" customHeight="true" outlineLevel="0" collapsed="false">
      <c r="A65" s="196"/>
      <c r="B65" s="196"/>
      <c r="C65" s="197" t="s">
        <v>958</v>
      </c>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
    </row>
    <row r="66" customFormat="false" ht="135.75" hidden="false" customHeight="true" outlineLevel="0" collapsed="false">
      <c r="A66" s="191" t="str">
        <f aca="false">IF($F66="","",$C$2&amp;"."&amp;COUNTA($F$7:$F66)&amp;"")</f>
        <v>TC_04.50</v>
      </c>
      <c r="B66" s="191" t="s">
        <v>501</v>
      </c>
      <c r="C66" s="191" t="s">
        <v>530</v>
      </c>
      <c r="D66" s="191" t="s">
        <v>43</v>
      </c>
      <c r="E66" s="191" t="s">
        <v>160</v>
      </c>
      <c r="F66" s="13" t="s">
        <v>959</v>
      </c>
      <c r="G66" s="13" t="s">
        <v>800</v>
      </c>
      <c r="H66" s="13" t="s">
        <v>960</v>
      </c>
      <c r="I66" s="13" t="s">
        <v>961</v>
      </c>
      <c r="J66" s="191" t="s">
        <v>658</v>
      </c>
      <c r="K66" s="191" t="s">
        <v>245</v>
      </c>
      <c r="L66" s="191"/>
      <c r="M66" s="191"/>
      <c r="N66" s="192"/>
      <c r="O66" s="192"/>
      <c r="P66" s="192"/>
      <c r="Q66" s="192"/>
      <c r="R66" s="192"/>
      <c r="S66" s="192"/>
      <c r="T66" s="192"/>
      <c r="U66" s="192"/>
      <c r="V66" s="192"/>
      <c r="W66" s="192"/>
      <c r="X66" s="192"/>
      <c r="Y66" s="192"/>
      <c r="Z66" s="192"/>
      <c r="AA66" s="192"/>
      <c r="AB66" s="192"/>
      <c r="AC66" s="192"/>
      <c r="AD66" s="192"/>
      <c r="AE66" s="192"/>
      <c r="AF66" s="192"/>
      <c r="AG66" s="192"/>
      <c r="AH66" s="192"/>
      <c r="AI66" s="192"/>
      <c r="AJ66" s="192"/>
      <c r="AK66" s="192"/>
      <c r="AL66" s="192"/>
      <c r="AM66" s="192"/>
      <c r="AN66" s="192"/>
      <c r="AO66" s="192"/>
      <c r="AP66" s="192"/>
      <c r="AQ66" s="192"/>
      <c r="AR66" s="193" t="str">
        <f aca="false">IF($A66="","",IF(OR($N66="Yes",$T66="Yes",$Z66="Yes",$AF66="Yes",$AL66="Yes"),"Yes","No"))</f>
        <v>No</v>
      </c>
      <c r="AS66" s="193" t="str">
        <f aca="false">IF($A66="","",IFERROR(IF($AM66&lt;&gt;"",$AM66,IF($AG66&lt;&gt;"",$AG66,IF($AA66&lt;&gt;"",$AA66,IF($U66&lt;&gt;"",$U66,IF($O66&lt;&gt;"",$O66,""))))),""))</f>
        <v/>
      </c>
      <c r="AT66" s="193" t="str">
        <f aca="false">IFERROR(IF($AN66&lt;&gt;"",$AN66,IF($AH66&lt;&gt;"",$AH66,IF($AB66&lt;&gt;"",$AB66,IF($V66&lt;&gt;"",$V66,IF($P66&lt;&gt;"",$P66,""))))),"")</f>
        <v/>
      </c>
      <c r="AU66" s="194"/>
      <c r="AV66" s="1"/>
    </row>
    <row r="67" customFormat="false" ht="135.75" hidden="false" customHeight="true" outlineLevel="0" collapsed="false">
      <c r="A67" s="191" t="str">
        <f aca="false">IF($F67="","",$C$2&amp;"."&amp;COUNTA($F$7:$F67)&amp;"")</f>
        <v>TC_04.51</v>
      </c>
      <c r="B67" s="191" t="s">
        <v>501</v>
      </c>
      <c r="C67" s="191" t="s">
        <v>530</v>
      </c>
      <c r="D67" s="191" t="s">
        <v>43</v>
      </c>
      <c r="E67" s="191" t="s">
        <v>160</v>
      </c>
      <c r="F67" s="13" t="s">
        <v>962</v>
      </c>
      <c r="G67" s="13" t="s">
        <v>800</v>
      </c>
      <c r="H67" s="13" t="s">
        <v>963</v>
      </c>
      <c r="I67" s="13" t="s">
        <v>964</v>
      </c>
      <c r="J67" s="191" t="s">
        <v>658</v>
      </c>
      <c r="K67" s="191" t="s">
        <v>245</v>
      </c>
      <c r="L67" s="191"/>
      <c r="M67" s="191"/>
      <c r="N67" s="192"/>
      <c r="O67" s="192"/>
      <c r="P67" s="192"/>
      <c r="Q67" s="192"/>
      <c r="R67" s="192"/>
      <c r="S67" s="192"/>
      <c r="T67" s="192"/>
      <c r="U67" s="192"/>
      <c r="V67" s="192"/>
      <c r="W67" s="192"/>
      <c r="X67" s="192"/>
      <c r="Y67" s="192"/>
      <c r="Z67" s="192"/>
      <c r="AA67" s="192"/>
      <c r="AB67" s="192"/>
      <c r="AC67" s="192"/>
      <c r="AD67" s="192"/>
      <c r="AE67" s="192"/>
      <c r="AF67" s="192"/>
      <c r="AG67" s="192"/>
      <c r="AH67" s="192"/>
      <c r="AI67" s="192"/>
      <c r="AJ67" s="192"/>
      <c r="AK67" s="192"/>
      <c r="AL67" s="192"/>
      <c r="AM67" s="192"/>
      <c r="AN67" s="192"/>
      <c r="AO67" s="192"/>
      <c r="AP67" s="192"/>
      <c r="AQ67" s="192"/>
      <c r="AR67" s="193" t="str">
        <f aca="false">IF($A67="","",IF(OR($N67="Yes",$T67="Yes",$Z67="Yes",$AF67="Yes",$AL67="Yes"),"Yes","No"))</f>
        <v>No</v>
      </c>
      <c r="AS67" s="193" t="str">
        <f aca="false">IF($A67="","",IFERROR(IF($AM67&lt;&gt;"",$AM67,IF($AG67&lt;&gt;"",$AG67,IF($AA67&lt;&gt;"",$AA67,IF($U67&lt;&gt;"",$U67,IF($O67&lt;&gt;"",$O67,""))))),""))</f>
        <v/>
      </c>
      <c r="AT67" s="193" t="str">
        <f aca="false">IFERROR(IF($AN67&lt;&gt;"",$AN67,IF($AH67&lt;&gt;"",$AH67,IF($AB67&lt;&gt;"",$AB67,IF($V67&lt;&gt;"",$V67,IF($P67&lt;&gt;"",$P67,""))))),"")</f>
        <v/>
      </c>
      <c r="AU67" s="194"/>
      <c r="AV67" s="1"/>
    </row>
    <row r="68" customFormat="false" ht="15" hidden="false" customHeight="true" outlineLevel="0" collapsed="false">
      <c r="AV68" s="1"/>
    </row>
    <row r="69" customFormat="false" ht="15" hidden="false" customHeight="true" outlineLevel="0" collapsed="false">
      <c r="AV69" s="1"/>
    </row>
    <row r="70" customFormat="false" ht="15" hidden="false" customHeight="true" outlineLevel="0" collapsed="false">
      <c r="AV70" s="1"/>
    </row>
    <row r="71" customFormat="false" ht="15" hidden="false" customHeight="true" outlineLevel="0" collapsed="false">
      <c r="AV71" s="1"/>
    </row>
    <row r="72" customFormat="false" ht="15" hidden="false" customHeight="true" outlineLevel="0" collapsed="false">
      <c r="AV72" s="1"/>
    </row>
    <row r="73" customFormat="false" ht="15" hidden="false" customHeight="true" outlineLevel="0" collapsed="false">
      <c r="AV73" s="1"/>
    </row>
    <row r="74" customFormat="false" ht="15" hidden="false" customHeight="true" outlineLevel="0" collapsed="false">
      <c r="AV74" s="1"/>
    </row>
    <row r="75" customFormat="false" ht="15" hidden="false" customHeight="true" outlineLevel="0" collapsed="false">
      <c r="AV75" s="1"/>
    </row>
    <row r="76" customFormat="false" ht="15" hidden="false" customHeight="true" outlineLevel="0" collapsed="false">
      <c r="AV76" s="1"/>
    </row>
    <row r="77" customFormat="false" ht="15" hidden="false" customHeight="true" outlineLevel="0" collapsed="false">
      <c r="AV77" s="1"/>
    </row>
    <row r="78" customFormat="false" ht="15" hidden="false" customHeight="true" outlineLevel="0" collapsed="false">
      <c r="AV78" s="1"/>
    </row>
    <row r="79" customFormat="false" ht="15" hidden="false" customHeight="true" outlineLevel="0" collapsed="false">
      <c r="AV79" s="1"/>
    </row>
    <row r="80" customFormat="false" ht="15" hidden="false" customHeight="true" outlineLevel="0" collapsed="false">
      <c r="AV80" s="1"/>
    </row>
    <row r="81" customFormat="false" ht="15" hidden="false" customHeight="true" outlineLevel="0" collapsed="false">
      <c r="AV81" s="1"/>
    </row>
    <row r="82" customFormat="false" ht="15" hidden="false" customHeight="true" outlineLevel="0" collapsed="false">
      <c r="AV82" s="1"/>
    </row>
    <row r="83" customFormat="false" ht="15" hidden="false" customHeight="true" outlineLevel="0" collapsed="false">
      <c r="AV83" s="1"/>
    </row>
    <row r="84" customFormat="false" ht="15" hidden="false" customHeight="true" outlineLevel="0" collapsed="false">
      <c r="AV84" s="1"/>
    </row>
    <row r="85" customFormat="false" ht="15" hidden="false" customHeight="true" outlineLevel="0" collapsed="false">
      <c r="AV85" s="1"/>
    </row>
    <row r="86" customFormat="false" ht="15" hidden="false" customHeight="true" outlineLevel="0" collapsed="false">
      <c r="AV86" s="1"/>
    </row>
    <row r="87" customFormat="false" ht="15" hidden="false" customHeight="true" outlineLevel="0" collapsed="false">
      <c r="AV87" s="1"/>
    </row>
    <row r="88" customFormat="false" ht="15" hidden="false" customHeight="true" outlineLevel="0" collapsed="false">
      <c r="AV88" s="1"/>
    </row>
    <row r="89" customFormat="false" ht="15" hidden="false" customHeight="true" outlineLevel="0" collapsed="false">
      <c r="AV89" s="1"/>
    </row>
    <row r="90" customFormat="false" ht="15" hidden="false" customHeight="true" outlineLevel="0" collapsed="false">
      <c r="AV90" s="1"/>
    </row>
    <row r="91" customFormat="false" ht="15" hidden="false" customHeight="true" outlineLevel="0" collapsed="false">
      <c r="AV91" s="1"/>
    </row>
    <row r="92" customFormat="false" ht="15" hidden="false" customHeight="true" outlineLevel="0" collapsed="false">
      <c r="AV92" s="1"/>
    </row>
    <row r="93" customFormat="false" ht="15" hidden="false" customHeight="true" outlineLevel="0" collapsed="false">
      <c r="AV93" s="1"/>
    </row>
    <row r="94" customFormat="false" ht="15" hidden="false" customHeight="true" outlineLevel="0" collapsed="false">
      <c r="AV94" s="1"/>
    </row>
    <row r="95" customFormat="false" ht="15" hidden="false" customHeight="true" outlineLevel="0" collapsed="false">
      <c r="AV95" s="1"/>
    </row>
    <row r="96" customFormat="false" ht="15" hidden="false" customHeight="true" outlineLevel="0" collapsed="false">
      <c r="AV96" s="1"/>
    </row>
    <row r="97" customFormat="false" ht="15" hidden="false" customHeight="true" outlineLevel="0" collapsed="false">
      <c r="AV97" s="1"/>
    </row>
    <row r="98" customFormat="false" ht="15" hidden="false" customHeight="true" outlineLevel="0" collapsed="false">
      <c r="AV98" s="1"/>
    </row>
    <row r="99" customFormat="false" ht="15" hidden="false" customHeight="true" outlineLevel="0" collapsed="false">
      <c r="AV99" s="1"/>
    </row>
    <row r="100" customFormat="false" ht="15" hidden="false" customHeight="true" outlineLevel="0" collapsed="false">
      <c r="AV100" s="1"/>
    </row>
    <row r="101" customFormat="false" ht="15" hidden="false" customHeight="true" outlineLevel="0" collapsed="false">
      <c r="AV101" s="1"/>
    </row>
    <row r="102" customFormat="false" ht="15" hidden="false" customHeight="true" outlineLevel="0" collapsed="false">
      <c r="AV102" s="1"/>
    </row>
    <row r="103" customFormat="false" ht="15" hidden="false" customHeight="true" outlineLevel="0" collapsed="false">
      <c r="AV103" s="1"/>
    </row>
    <row r="104" customFormat="false" ht="15" hidden="false" customHeight="true" outlineLevel="0" collapsed="false">
      <c r="AV104" s="1"/>
    </row>
    <row r="105" customFormat="false" ht="15" hidden="false" customHeight="true" outlineLevel="0" collapsed="false">
      <c r="AV105" s="1"/>
    </row>
    <row r="106" customFormat="false" ht="15" hidden="false" customHeight="true" outlineLevel="0" collapsed="false">
      <c r="AV106" s="1"/>
    </row>
    <row r="107" customFormat="false" ht="15" hidden="false" customHeight="true" outlineLevel="0" collapsed="false">
      <c r="AV107" s="1"/>
    </row>
    <row r="108" customFormat="false" ht="15" hidden="false" customHeight="true" outlineLevel="0" collapsed="false">
      <c r="AV108" s="1"/>
    </row>
    <row r="109" customFormat="false" ht="15" hidden="false" customHeight="true" outlineLevel="0" collapsed="false">
      <c r="AV109" s="1"/>
    </row>
    <row r="110" customFormat="false" ht="15" hidden="false" customHeight="true" outlineLevel="0" collapsed="false">
      <c r="AV110" s="1"/>
    </row>
    <row r="111" customFormat="false" ht="15" hidden="false" customHeight="true" outlineLevel="0" collapsed="false">
      <c r="AV111" s="1"/>
    </row>
    <row r="112" customFormat="false" ht="15" hidden="false" customHeight="true" outlineLevel="0" collapsed="false">
      <c r="AV112" s="1"/>
    </row>
    <row r="113" customFormat="false" ht="15" hidden="false" customHeight="true" outlineLevel="0" collapsed="false">
      <c r="AV113" s="1"/>
    </row>
    <row r="114" customFormat="false" ht="15" hidden="false" customHeight="true" outlineLevel="0" collapsed="false">
      <c r="AV114" s="1"/>
    </row>
    <row r="115" customFormat="false" ht="15" hidden="false" customHeight="true" outlineLevel="0" collapsed="false">
      <c r="AV115" s="1"/>
    </row>
    <row r="116" customFormat="false" ht="15" hidden="false" customHeight="true" outlineLevel="0" collapsed="false">
      <c r="AV116" s="1"/>
    </row>
    <row r="117" customFormat="false" ht="15" hidden="false" customHeight="true" outlineLevel="0" collapsed="false">
      <c r="AV117" s="1"/>
    </row>
    <row r="118" customFormat="false" ht="15" hidden="false" customHeight="true" outlineLevel="0" collapsed="false">
      <c r="AV118" s="1"/>
    </row>
    <row r="119" customFormat="false" ht="15" hidden="false" customHeight="true" outlineLevel="0" collapsed="false">
      <c r="AV119" s="1"/>
    </row>
    <row r="120" customFormat="false" ht="15" hidden="false" customHeight="true" outlineLevel="0" collapsed="false">
      <c r="AV120" s="1"/>
    </row>
    <row r="121" customFormat="false" ht="15" hidden="false" customHeight="true" outlineLevel="0" collapsed="false">
      <c r="AV121" s="1"/>
    </row>
    <row r="122" customFormat="false" ht="15" hidden="false" customHeight="true" outlineLevel="0" collapsed="false">
      <c r="AV122" s="1"/>
    </row>
    <row r="123" customFormat="false" ht="15" hidden="false" customHeight="true" outlineLevel="0" collapsed="false">
      <c r="AV123" s="1"/>
    </row>
    <row r="124" customFormat="false" ht="15" hidden="false" customHeight="true" outlineLevel="0" collapsed="false">
      <c r="AV124" s="1"/>
    </row>
    <row r="125" customFormat="false" ht="15" hidden="false" customHeight="true" outlineLevel="0" collapsed="false">
      <c r="AV125" s="1"/>
    </row>
    <row r="126" customFormat="false" ht="15" hidden="false" customHeight="true" outlineLevel="0" collapsed="false">
      <c r="AV126" s="1"/>
    </row>
    <row r="127" customFormat="false" ht="15" hidden="false" customHeight="true" outlineLevel="0" collapsed="false">
      <c r="AV127" s="1"/>
    </row>
    <row r="128" customFormat="false" ht="15" hidden="false" customHeight="true" outlineLevel="0" collapsed="false">
      <c r="AV128" s="1"/>
    </row>
    <row r="129" customFormat="false" ht="15" hidden="false" customHeight="true" outlineLevel="0" collapsed="false">
      <c r="AV129" s="1"/>
    </row>
    <row r="130" customFormat="false" ht="15" hidden="false" customHeight="true" outlineLevel="0" collapsed="false">
      <c r="AV130" s="1"/>
    </row>
    <row r="131" customFormat="false" ht="15" hidden="false" customHeight="true" outlineLevel="0" collapsed="false">
      <c r="AV131" s="1"/>
    </row>
    <row r="132" customFormat="false" ht="15" hidden="false" customHeight="true" outlineLevel="0" collapsed="false">
      <c r="AV132" s="1"/>
    </row>
    <row r="133" customFormat="false" ht="15" hidden="false" customHeight="true" outlineLevel="0" collapsed="false">
      <c r="AV133" s="1"/>
    </row>
    <row r="134" customFormat="false" ht="15" hidden="false" customHeight="true" outlineLevel="0" collapsed="false">
      <c r="AV134" s="1"/>
    </row>
    <row r="135" customFormat="false" ht="15" hidden="false" customHeight="true" outlineLevel="0" collapsed="false">
      <c r="AV135" s="1"/>
    </row>
    <row r="136" customFormat="false" ht="15" hidden="false" customHeight="true" outlineLevel="0" collapsed="false">
      <c r="AV136" s="1"/>
    </row>
    <row r="137" customFormat="false" ht="15" hidden="false" customHeight="true" outlineLevel="0" collapsed="false">
      <c r="AV137" s="1"/>
    </row>
    <row r="138" customFormat="false" ht="15" hidden="false" customHeight="true" outlineLevel="0" collapsed="false">
      <c r="AV138" s="1"/>
    </row>
    <row r="139" customFormat="false" ht="15" hidden="false" customHeight="true" outlineLevel="0" collapsed="false">
      <c r="AV139" s="1"/>
    </row>
    <row r="140" customFormat="false" ht="15" hidden="false" customHeight="true" outlineLevel="0" collapsed="false">
      <c r="AV140" s="1"/>
    </row>
    <row r="141" customFormat="false" ht="15" hidden="false" customHeight="true" outlineLevel="0" collapsed="false">
      <c r="AV141" s="1"/>
    </row>
    <row r="142" customFormat="false" ht="15" hidden="false" customHeight="true" outlineLevel="0" collapsed="false">
      <c r="AV142" s="1"/>
    </row>
    <row r="143" customFormat="false" ht="15" hidden="false" customHeight="true" outlineLevel="0" collapsed="false">
      <c r="AV143" s="1"/>
    </row>
    <row r="144" customFormat="false" ht="15" hidden="false" customHeight="true" outlineLevel="0" collapsed="false">
      <c r="AV144" s="1"/>
    </row>
    <row r="145" customFormat="false" ht="15" hidden="false" customHeight="true" outlineLevel="0" collapsed="false">
      <c r="AV145" s="1"/>
    </row>
    <row r="146" customFormat="false" ht="15" hidden="false" customHeight="true" outlineLevel="0" collapsed="false">
      <c r="AV146" s="1"/>
    </row>
    <row r="147" customFormat="false" ht="15" hidden="false" customHeight="true" outlineLevel="0" collapsed="false">
      <c r="AV147" s="1"/>
    </row>
    <row r="148" customFormat="false" ht="15" hidden="false" customHeight="true" outlineLevel="0" collapsed="false">
      <c r="AV148" s="1"/>
    </row>
    <row r="149" customFormat="false" ht="15" hidden="false" customHeight="true" outlineLevel="0" collapsed="false">
      <c r="AV149" s="1"/>
    </row>
    <row r="150" customFormat="false" ht="15" hidden="false" customHeight="true" outlineLevel="0" collapsed="false">
      <c r="AV150" s="1"/>
    </row>
    <row r="151" customFormat="false" ht="15" hidden="false" customHeight="true" outlineLevel="0" collapsed="false">
      <c r="AV151" s="1"/>
    </row>
    <row r="152" customFormat="false" ht="15" hidden="false" customHeight="true" outlineLevel="0" collapsed="false">
      <c r="AV152" s="1"/>
    </row>
    <row r="153" customFormat="false" ht="15" hidden="false" customHeight="true" outlineLevel="0" collapsed="false">
      <c r="AV153" s="1"/>
    </row>
    <row r="154" customFormat="false" ht="15" hidden="false" customHeight="true" outlineLevel="0" collapsed="false">
      <c r="AV154" s="1"/>
    </row>
    <row r="155" customFormat="false" ht="15" hidden="false" customHeight="true" outlineLevel="0" collapsed="false">
      <c r="AV155" s="1"/>
    </row>
    <row r="156" customFormat="false" ht="15" hidden="false" customHeight="true" outlineLevel="0" collapsed="false">
      <c r="AV156" s="1"/>
    </row>
    <row r="157" customFormat="false" ht="15" hidden="false" customHeight="true" outlineLevel="0" collapsed="false">
      <c r="AV157" s="1"/>
    </row>
    <row r="158" customFormat="false" ht="15" hidden="false" customHeight="true" outlineLevel="0" collapsed="false">
      <c r="AV158" s="1"/>
    </row>
    <row r="159" customFormat="false" ht="15" hidden="false" customHeight="true" outlineLevel="0" collapsed="false">
      <c r="AV159" s="1"/>
    </row>
    <row r="160" customFormat="false" ht="15" hidden="false" customHeight="true" outlineLevel="0" collapsed="false">
      <c r="AV160" s="1"/>
    </row>
    <row r="161" customFormat="false" ht="15" hidden="false" customHeight="true" outlineLevel="0" collapsed="false">
      <c r="AV161" s="1"/>
    </row>
    <row r="162" customFormat="false" ht="15" hidden="false" customHeight="true" outlineLevel="0" collapsed="false">
      <c r="AV162" s="1"/>
    </row>
    <row r="163" customFormat="false" ht="15" hidden="false" customHeight="true" outlineLevel="0" collapsed="false">
      <c r="AV163" s="1"/>
    </row>
    <row r="164" customFormat="false" ht="15" hidden="false" customHeight="true" outlineLevel="0" collapsed="false">
      <c r="AV164" s="1"/>
    </row>
    <row r="165" customFormat="false" ht="15" hidden="false" customHeight="true" outlineLevel="0" collapsed="false">
      <c r="AV165" s="1"/>
    </row>
    <row r="166" customFormat="false" ht="15" hidden="false" customHeight="true" outlineLevel="0" collapsed="false">
      <c r="AV166" s="1"/>
    </row>
    <row r="167" customFormat="false" ht="15" hidden="false" customHeight="true" outlineLevel="0" collapsed="false">
      <c r="AV167" s="1"/>
    </row>
    <row r="168" customFormat="false" ht="15" hidden="false" customHeight="true" outlineLevel="0" collapsed="false">
      <c r="AV168" s="1"/>
    </row>
    <row r="169" customFormat="false" ht="15" hidden="false" customHeight="true" outlineLevel="0" collapsed="false">
      <c r="AV169" s="1"/>
    </row>
    <row r="170" customFormat="false" ht="15" hidden="false" customHeight="true" outlineLevel="0" collapsed="false">
      <c r="AV170" s="1"/>
    </row>
    <row r="171" customFormat="false" ht="15" hidden="false" customHeight="true" outlineLevel="0" collapsed="false">
      <c r="AV171" s="1"/>
    </row>
    <row r="172" customFormat="false" ht="15" hidden="false" customHeight="true" outlineLevel="0" collapsed="false">
      <c r="AV172" s="1"/>
    </row>
    <row r="173" customFormat="false" ht="15" hidden="false" customHeight="true" outlineLevel="0" collapsed="false">
      <c r="AV173" s="1"/>
    </row>
    <row r="174" customFormat="false" ht="15" hidden="false" customHeight="true" outlineLevel="0" collapsed="false">
      <c r="AV174" s="1"/>
    </row>
    <row r="175" customFormat="false" ht="15" hidden="false" customHeight="true" outlineLevel="0" collapsed="false">
      <c r="AV175" s="1"/>
    </row>
    <row r="176" customFormat="false" ht="15" hidden="false" customHeight="true" outlineLevel="0" collapsed="false">
      <c r="AV176" s="1"/>
    </row>
    <row r="177" customFormat="false" ht="15" hidden="false" customHeight="true" outlineLevel="0" collapsed="false">
      <c r="AV177" s="1"/>
    </row>
    <row r="178" customFormat="false" ht="15" hidden="false" customHeight="true" outlineLevel="0" collapsed="false">
      <c r="AV178" s="1"/>
    </row>
    <row r="179" customFormat="false" ht="15" hidden="false" customHeight="true" outlineLevel="0" collapsed="false">
      <c r="AV179" s="1"/>
    </row>
    <row r="180" customFormat="false" ht="15" hidden="false" customHeight="true" outlineLevel="0" collapsed="false">
      <c r="AV180" s="1"/>
    </row>
    <row r="181" customFormat="false" ht="15" hidden="false" customHeight="true" outlineLevel="0" collapsed="false">
      <c r="AV181" s="1"/>
    </row>
    <row r="182" customFormat="false" ht="15" hidden="false" customHeight="true" outlineLevel="0" collapsed="false">
      <c r="AV182" s="1"/>
    </row>
    <row r="183" customFormat="false" ht="15" hidden="false" customHeight="true" outlineLevel="0" collapsed="false">
      <c r="AV183" s="1"/>
    </row>
    <row r="184" customFormat="false" ht="15" hidden="false" customHeight="true" outlineLevel="0" collapsed="false">
      <c r="AV184" s="1"/>
    </row>
    <row r="185" customFormat="false" ht="15" hidden="false" customHeight="true" outlineLevel="0" collapsed="false">
      <c r="AV185" s="1"/>
    </row>
    <row r="186" customFormat="false" ht="15" hidden="false" customHeight="true" outlineLevel="0" collapsed="false">
      <c r="AV186" s="1"/>
    </row>
    <row r="187" customFormat="false" ht="15" hidden="false" customHeight="true" outlineLevel="0" collapsed="false">
      <c r="AV187" s="1"/>
    </row>
    <row r="188" customFormat="false" ht="15" hidden="false" customHeight="true" outlineLevel="0" collapsed="false">
      <c r="AV188" s="1"/>
    </row>
    <row r="189" customFormat="false" ht="15" hidden="false" customHeight="true" outlineLevel="0" collapsed="false">
      <c r="AV189" s="1"/>
    </row>
    <row r="190" customFormat="false" ht="15" hidden="false" customHeight="true" outlineLevel="0" collapsed="false">
      <c r="AV190" s="1"/>
    </row>
    <row r="191" customFormat="false" ht="15" hidden="false" customHeight="true" outlineLevel="0" collapsed="false">
      <c r="AV191" s="1"/>
    </row>
    <row r="192" customFormat="false" ht="15" hidden="false" customHeight="true" outlineLevel="0" collapsed="false">
      <c r="AV192" s="1"/>
    </row>
    <row r="193" customFormat="false" ht="15" hidden="false" customHeight="true" outlineLevel="0" collapsed="false">
      <c r="AV193" s="1"/>
    </row>
    <row r="194" customFormat="false" ht="15" hidden="false" customHeight="true" outlineLevel="0" collapsed="false">
      <c r="AV194" s="1"/>
    </row>
    <row r="195" customFormat="false" ht="15" hidden="false" customHeight="true" outlineLevel="0" collapsed="false">
      <c r="AV195" s="1"/>
    </row>
    <row r="196" customFormat="false" ht="15" hidden="false" customHeight="true" outlineLevel="0" collapsed="false">
      <c r="AV196" s="1"/>
    </row>
    <row r="197" customFormat="false" ht="15" hidden="false" customHeight="true" outlineLevel="0" collapsed="false">
      <c r="AV197" s="1"/>
    </row>
    <row r="198" customFormat="false" ht="15" hidden="false" customHeight="true" outlineLevel="0" collapsed="false">
      <c r="AV198" s="1"/>
    </row>
    <row r="199" customFormat="false" ht="15" hidden="false" customHeight="true" outlineLevel="0" collapsed="false">
      <c r="AV199" s="1"/>
    </row>
    <row r="200" customFormat="false" ht="15" hidden="false" customHeight="true" outlineLevel="0" collapsed="false">
      <c r="AV200" s="1"/>
    </row>
    <row r="201" customFormat="false" ht="15" hidden="false" customHeight="true" outlineLevel="0" collapsed="false">
      <c r="AV201" s="1"/>
    </row>
    <row r="202" customFormat="false" ht="15" hidden="false" customHeight="true" outlineLevel="0" collapsed="false">
      <c r="AV202" s="1"/>
    </row>
    <row r="203" customFormat="false" ht="15" hidden="false" customHeight="true" outlineLevel="0" collapsed="false">
      <c r="AV203" s="1"/>
    </row>
    <row r="204" customFormat="false" ht="15" hidden="false" customHeight="true" outlineLevel="0" collapsed="false">
      <c r="AV204" s="1"/>
    </row>
    <row r="205" customFormat="false" ht="15" hidden="false" customHeight="true" outlineLevel="0" collapsed="false">
      <c r="AV205" s="1"/>
    </row>
    <row r="206" customFormat="false" ht="15" hidden="false" customHeight="true" outlineLevel="0" collapsed="false">
      <c r="AV206" s="1"/>
    </row>
    <row r="207" customFormat="false" ht="15" hidden="false" customHeight="true" outlineLevel="0" collapsed="false">
      <c r="AV207" s="1"/>
    </row>
    <row r="208" customFormat="false" ht="15" hidden="false" customHeight="true" outlineLevel="0" collapsed="false">
      <c r="AV208" s="1"/>
    </row>
    <row r="209" customFormat="false" ht="15" hidden="false" customHeight="true" outlineLevel="0" collapsed="false">
      <c r="AV209" s="1"/>
    </row>
    <row r="210" customFormat="false" ht="15" hidden="false" customHeight="true" outlineLevel="0" collapsed="false">
      <c r="AV210" s="1"/>
    </row>
    <row r="211" customFormat="false" ht="15" hidden="false" customHeight="true" outlineLevel="0" collapsed="false">
      <c r="AV211" s="1"/>
    </row>
    <row r="212" customFormat="false" ht="15" hidden="false" customHeight="true" outlineLevel="0" collapsed="false">
      <c r="AV212" s="1"/>
    </row>
    <row r="213" customFormat="false" ht="15" hidden="false" customHeight="true" outlineLevel="0" collapsed="false">
      <c r="AV213" s="1"/>
    </row>
    <row r="214" customFormat="false" ht="15" hidden="false" customHeight="true" outlineLevel="0" collapsed="false">
      <c r="AV214" s="1"/>
    </row>
    <row r="215" customFormat="false" ht="15" hidden="false" customHeight="true" outlineLevel="0" collapsed="false">
      <c r="AV215" s="1"/>
    </row>
    <row r="216" customFormat="false" ht="15" hidden="false" customHeight="true" outlineLevel="0" collapsed="false">
      <c r="AV216" s="1"/>
    </row>
    <row r="217" customFormat="false" ht="15" hidden="false" customHeight="true" outlineLevel="0" collapsed="false">
      <c r="AV217" s="1"/>
    </row>
    <row r="218" customFormat="false" ht="15" hidden="false" customHeight="true" outlineLevel="0" collapsed="false">
      <c r="AV218" s="1"/>
    </row>
    <row r="219" customFormat="false" ht="15" hidden="false" customHeight="true" outlineLevel="0" collapsed="false">
      <c r="AV219" s="1"/>
    </row>
    <row r="220" customFormat="false" ht="15" hidden="false" customHeight="true" outlineLevel="0" collapsed="false">
      <c r="AV220" s="1"/>
    </row>
  </sheetData>
  <autoFilter ref="A6:AU6"/>
  <mergeCells count="29">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7:AU17"/>
    <mergeCell ref="C19:AU19"/>
    <mergeCell ref="C22:AU22"/>
    <mergeCell ref="C30:AU30"/>
    <mergeCell ref="C39:AU39"/>
    <mergeCell ref="C50:AU50"/>
    <mergeCell ref="C57:AU57"/>
    <mergeCell ref="C61:AU61"/>
    <mergeCell ref="C65:AU65"/>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AH13" activePane="bottomRight" state="frozen"/>
      <selection pane="topLeft" activeCell="A1" activeCellId="0" sqref="A1"/>
      <selection pane="topRight" activeCell="AH1" activeCellId="0" sqref="AH1"/>
      <selection pane="bottomLeft" activeCell="A13" activeCellId="0" sqref="A13"/>
      <selection pane="bottomRight" activeCell="AX8" activeCellId="0" sqref="AX8"/>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203</v>
      </c>
      <c r="D2" s="181"/>
      <c r="E2" s="181"/>
    </row>
    <row r="3" customFormat="false" ht="15" hidden="false" customHeight="true" outlineLevel="0" collapsed="false">
      <c r="A3" s="180" t="s">
        <v>630</v>
      </c>
      <c r="B3" s="180"/>
      <c r="C3" s="181" t="s">
        <v>204</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965</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32.75" hidden="false" customHeight="true" outlineLevel="0" collapsed="false">
      <c r="A8" s="191" t="str">
        <f aca="false">IF($F8="","",$C$2&amp;"."&amp;COUNTA($F$7:$F8)&amp;"")</f>
        <v>TC_05.1</v>
      </c>
      <c r="B8" s="191" t="s">
        <v>504</v>
      </c>
      <c r="C8" s="191" t="s">
        <v>505</v>
      </c>
      <c r="D8" s="191" t="s">
        <v>43</v>
      </c>
      <c r="E8" s="191" t="s">
        <v>159</v>
      </c>
      <c r="F8" s="13" t="s">
        <v>966</v>
      </c>
      <c r="G8" s="13" t="s">
        <v>967</v>
      </c>
      <c r="H8" s="13" t="s">
        <v>968</v>
      </c>
      <c r="I8" s="13" t="s">
        <v>969</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5" hidden="false" customHeight="true" outlineLevel="0" collapsed="false">
      <c r="A9" s="189"/>
      <c r="B9" s="189"/>
      <c r="C9" s="190" t="s">
        <v>970</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161.25" hidden="false" customHeight="true" outlineLevel="0" collapsed="false">
      <c r="A10" s="191" t="str">
        <f aca="false">IF($F10="","",$C$2&amp;"."&amp;COUNTA($F$7:$F10)&amp;"")</f>
        <v>TC_05.2</v>
      </c>
      <c r="B10" s="191" t="s">
        <v>506</v>
      </c>
      <c r="C10" s="191" t="s">
        <v>507</v>
      </c>
      <c r="D10" s="191" t="s">
        <v>43</v>
      </c>
      <c r="E10" s="191" t="s">
        <v>159</v>
      </c>
      <c r="F10" s="13" t="s">
        <v>971</v>
      </c>
      <c r="G10" s="13" t="s">
        <v>967</v>
      </c>
      <c r="H10" s="13" t="s">
        <v>972</v>
      </c>
      <c r="I10" s="13" t="s">
        <v>973</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 hidden="false" customHeight="true" outlineLevel="0" collapsed="false">
      <c r="A11" s="189"/>
      <c r="B11" s="189"/>
      <c r="C11" s="190" t="s">
        <v>974</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161.25" hidden="false" customHeight="true" outlineLevel="0" collapsed="false">
      <c r="A12" s="191" t="str">
        <f aca="false">IF($F12="","",$C$2&amp;"."&amp;COUNTA($F$7:$F12)&amp;"")</f>
        <v>TC_05.3</v>
      </c>
      <c r="B12" s="191" t="s">
        <v>508</v>
      </c>
      <c r="C12" s="191" t="s">
        <v>505</v>
      </c>
      <c r="D12" s="191" t="s">
        <v>43</v>
      </c>
      <c r="E12" s="191" t="s">
        <v>160</v>
      </c>
      <c r="F12" s="13" t="s">
        <v>975</v>
      </c>
      <c r="G12" s="13" t="s">
        <v>976</v>
      </c>
      <c r="H12" s="13" t="s">
        <v>977</v>
      </c>
      <c r="I12" s="13" t="s">
        <v>978</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70.25" hidden="false" customHeight="true" outlineLevel="0" collapsed="false">
      <c r="A13" s="191" t="str">
        <f aca="false">IF($F13="","",$C$2&amp;"."&amp;COUNTA($F$7:$F13)&amp;"")</f>
        <v>TC_05.4</v>
      </c>
      <c r="B13" s="191" t="s">
        <v>508</v>
      </c>
      <c r="C13" s="191" t="s">
        <v>979</v>
      </c>
      <c r="D13" s="191" t="s">
        <v>43</v>
      </c>
      <c r="E13" s="191" t="s">
        <v>160</v>
      </c>
      <c r="F13" s="13" t="s">
        <v>980</v>
      </c>
      <c r="G13" s="13" t="s">
        <v>981</v>
      </c>
      <c r="H13" s="13" t="s">
        <v>982</v>
      </c>
      <c r="I13" s="13" t="s">
        <v>983</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984</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255.75" hidden="false" customHeight="true" outlineLevel="0" collapsed="false">
      <c r="A15" s="191" t="str">
        <f aca="false">IF($F15="","",$C$2&amp;"."&amp;COUNTA($F$7:$F15)&amp;"")</f>
        <v>TC_05.5</v>
      </c>
      <c r="B15" s="191" t="s">
        <v>509</v>
      </c>
      <c r="C15" s="191" t="s">
        <v>510</v>
      </c>
      <c r="D15" s="191" t="s">
        <v>43</v>
      </c>
      <c r="E15" s="191" t="s">
        <v>160</v>
      </c>
      <c r="F15" s="13" t="s">
        <v>985</v>
      </c>
      <c r="G15" s="13" t="s">
        <v>986</v>
      </c>
      <c r="H15" s="13" t="s">
        <v>987</v>
      </c>
      <c r="I15" s="13" t="s">
        <v>988</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5" hidden="false" customHeight="true" outlineLevel="0" collapsed="false">
      <c r="A16" s="191"/>
      <c r="B16" s="191"/>
      <c r="C16" s="191"/>
      <c r="D16" s="191"/>
      <c r="E16" s="191"/>
      <c r="F16" s="191"/>
      <c r="G16" s="191"/>
      <c r="H16" s="191"/>
      <c r="I16" s="191"/>
      <c r="J16" s="191"/>
      <c r="K16" s="191"/>
      <c r="L16" s="191"/>
      <c r="M16" s="191"/>
      <c r="N16" s="191"/>
      <c r="O16" s="191"/>
      <c r="P16" s="191"/>
      <c r="Q16" s="191"/>
      <c r="AR16" s="195"/>
      <c r="AS16" s="195"/>
    </row>
    <row r="17" customFormat="false" ht="15" hidden="false" customHeight="true" outlineLevel="0" collapsed="false">
      <c r="A17" s="191"/>
      <c r="B17" s="191"/>
      <c r="C17" s="191"/>
      <c r="D17" s="191"/>
      <c r="E17" s="191"/>
      <c r="F17" s="191"/>
      <c r="G17" s="191"/>
      <c r="H17" s="191"/>
      <c r="I17" s="191"/>
      <c r="J17" s="191"/>
      <c r="K17" s="191"/>
      <c r="L17" s="191"/>
      <c r="M17" s="191"/>
      <c r="N17" s="191"/>
      <c r="O17" s="191"/>
      <c r="P17" s="191"/>
      <c r="Q17" s="191"/>
      <c r="AR17" s="195"/>
      <c r="AS17" s="195"/>
    </row>
    <row r="18" customFormat="false" ht="15" hidden="false" customHeight="true" outlineLevel="0" collapsed="false">
      <c r="A18" s="191"/>
      <c r="B18" s="191"/>
      <c r="C18" s="191"/>
      <c r="D18" s="191"/>
      <c r="E18" s="191"/>
      <c r="F18" s="191"/>
      <c r="G18" s="191"/>
      <c r="H18" s="191"/>
      <c r="I18" s="191"/>
      <c r="J18" s="191"/>
      <c r="K18" s="191"/>
      <c r="L18" s="191"/>
      <c r="M18" s="191"/>
      <c r="N18" s="191"/>
      <c r="O18" s="191"/>
      <c r="P18" s="191"/>
      <c r="Q18" s="191"/>
      <c r="AR18" s="195"/>
      <c r="AS18" s="195"/>
    </row>
    <row r="19" customFormat="false" ht="15" hidden="false" customHeight="true" outlineLevel="0" collapsed="false">
      <c r="A19" s="191"/>
      <c r="B19" s="191"/>
      <c r="C19" s="191"/>
      <c r="D19" s="191"/>
      <c r="E19" s="191"/>
      <c r="F19" s="191"/>
      <c r="G19" s="191"/>
      <c r="H19" s="191"/>
      <c r="I19" s="191"/>
      <c r="J19" s="191"/>
      <c r="K19" s="191"/>
      <c r="L19" s="191"/>
      <c r="M19" s="191"/>
      <c r="N19" s="191"/>
      <c r="O19" s="191"/>
      <c r="P19" s="191"/>
      <c r="Q19" s="191"/>
      <c r="AR19" s="195"/>
      <c r="AS19" s="195"/>
    </row>
    <row r="20" customFormat="false" ht="15" hidden="false" customHeight="true" outlineLevel="0" collapsed="false">
      <c r="A20" s="191"/>
      <c r="B20" s="191"/>
      <c r="C20" s="191"/>
      <c r="D20" s="191"/>
      <c r="E20" s="191"/>
      <c r="F20" s="191"/>
      <c r="G20" s="191"/>
      <c r="H20" s="191"/>
      <c r="I20" s="191"/>
      <c r="J20" s="191"/>
      <c r="K20" s="191"/>
      <c r="L20" s="191"/>
      <c r="M20" s="191"/>
      <c r="N20" s="191"/>
      <c r="O20" s="191"/>
      <c r="P20" s="191"/>
      <c r="Q20" s="191"/>
      <c r="AR20" s="195"/>
      <c r="AS20" s="195"/>
    </row>
    <row r="21" customFormat="false" ht="15" hidden="false" customHeight="true" outlineLevel="0" collapsed="false">
      <c r="A21" s="191"/>
      <c r="B21" s="191"/>
      <c r="C21" s="191"/>
      <c r="D21" s="191"/>
      <c r="E21" s="191"/>
      <c r="F21" s="191"/>
      <c r="G21" s="191"/>
      <c r="H21" s="191"/>
      <c r="I21" s="191"/>
      <c r="J21" s="191"/>
      <c r="K21" s="191"/>
      <c r="L21" s="191"/>
      <c r="M21" s="191"/>
      <c r="N21" s="191"/>
      <c r="O21" s="191"/>
      <c r="P21" s="191"/>
      <c r="Q21" s="191"/>
      <c r="AR21" s="195"/>
      <c r="AS21" s="195"/>
    </row>
    <row r="22" customFormat="false" ht="1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 hidden="false" customHeight="true" outlineLevel="0" collapsed="false">
      <c r="AV61" s="1"/>
    </row>
    <row r="62" customFormat="false" ht="15" hidden="false" customHeight="true" outlineLevel="0" collapsed="false">
      <c r="AV62" s="1"/>
    </row>
    <row r="63" customFormat="false" ht="15" hidden="false" customHeight="true" outlineLevel="0" collapsed="false">
      <c r="AV63" s="1"/>
    </row>
    <row r="64" customFormat="false" ht="15" hidden="false" customHeight="true" outlineLevel="0" collapsed="false">
      <c r="AV64" s="1"/>
    </row>
    <row r="65" customFormat="false" ht="15" hidden="false" customHeight="true" outlineLevel="0" collapsed="false">
      <c r="AV65" s="1"/>
    </row>
    <row r="66" customFormat="false" ht="15" hidden="false" customHeight="true" outlineLevel="0" collapsed="false">
      <c r="AV66" s="1"/>
    </row>
    <row r="67" customFormat="false" ht="15" hidden="false" customHeight="true" outlineLevel="0" collapsed="false">
      <c r="AV67" s="1"/>
    </row>
    <row r="68" customFormat="false" ht="15" hidden="false" customHeight="true" outlineLevel="0" collapsed="false">
      <c r="AV68" s="1"/>
    </row>
    <row r="69" customFormat="false" ht="15" hidden="false" customHeight="true" outlineLevel="0" collapsed="false">
      <c r="AV69" s="1"/>
    </row>
    <row r="70" customFormat="false" ht="15" hidden="false" customHeight="true" outlineLevel="0" collapsed="false">
      <c r="AV70" s="1"/>
    </row>
    <row r="71" customFormat="false" ht="15" hidden="false" customHeight="true" outlineLevel="0" collapsed="false">
      <c r="AV71" s="1"/>
    </row>
    <row r="72" customFormat="false" ht="15" hidden="false" customHeight="true" outlineLevel="0" collapsed="false">
      <c r="AV72" s="1"/>
    </row>
    <row r="73" customFormat="false" ht="15" hidden="false" customHeight="true" outlineLevel="0" collapsed="false">
      <c r="AV73" s="1"/>
    </row>
    <row r="74" customFormat="false" ht="15" hidden="false" customHeight="true" outlineLevel="0" collapsed="false">
      <c r="AV74" s="1"/>
    </row>
    <row r="75" customFormat="false" ht="15" hidden="false" customHeight="true" outlineLevel="0" collapsed="false">
      <c r="AV75" s="1"/>
    </row>
    <row r="76" customFormat="false" ht="15" hidden="false" customHeight="true" outlineLevel="0" collapsed="false">
      <c r="AV76" s="1"/>
    </row>
    <row r="77" customFormat="false" ht="15" hidden="false" customHeight="true" outlineLevel="0" collapsed="false">
      <c r="AV77" s="1"/>
    </row>
    <row r="78" customFormat="false" ht="15" hidden="false" customHeight="true" outlineLevel="0" collapsed="false">
      <c r="AV78" s="1"/>
    </row>
    <row r="79" customFormat="false" ht="15" hidden="false" customHeight="true" outlineLevel="0" collapsed="false">
      <c r="AV79" s="1"/>
    </row>
    <row r="80" customFormat="false" ht="15" hidden="false" customHeight="true" outlineLevel="0" collapsed="false">
      <c r="AV80" s="1"/>
    </row>
    <row r="81" customFormat="false" ht="15" hidden="false" customHeight="true" outlineLevel="0" collapsed="false">
      <c r="AV81" s="1"/>
    </row>
    <row r="82" customFormat="false" ht="15" hidden="false" customHeight="true" outlineLevel="0" collapsed="false">
      <c r="AV82" s="1"/>
    </row>
    <row r="83" customFormat="false" ht="15" hidden="false" customHeight="true" outlineLevel="0" collapsed="false">
      <c r="AV83" s="1"/>
    </row>
    <row r="84" customFormat="false" ht="15" hidden="false" customHeight="true" outlineLevel="0" collapsed="false">
      <c r="AV84" s="1"/>
    </row>
    <row r="85" customFormat="false" ht="15" hidden="false" customHeight="true" outlineLevel="0" collapsed="false">
      <c r="AV85" s="1"/>
    </row>
    <row r="86" customFormat="false" ht="15" hidden="false" customHeight="true" outlineLevel="0" collapsed="false">
      <c r="AV86" s="1"/>
    </row>
    <row r="87" customFormat="false" ht="15" hidden="false" customHeight="true" outlineLevel="0" collapsed="false">
      <c r="AV87" s="1"/>
    </row>
    <row r="88" customFormat="false" ht="15" hidden="false" customHeight="true" outlineLevel="0" collapsed="false">
      <c r="AV88" s="1"/>
    </row>
    <row r="89" customFormat="false" ht="15" hidden="false" customHeight="true" outlineLevel="0" collapsed="false">
      <c r="AV89" s="1"/>
    </row>
    <row r="90" customFormat="false" ht="15" hidden="false" customHeight="true" outlineLevel="0" collapsed="false">
      <c r="AV90" s="1"/>
    </row>
    <row r="91" customFormat="false" ht="15" hidden="false" customHeight="true" outlineLevel="0" collapsed="false">
      <c r="AV91" s="1"/>
    </row>
    <row r="92" customFormat="false" ht="15" hidden="false" customHeight="true" outlineLevel="0" collapsed="false">
      <c r="AV92" s="1"/>
    </row>
    <row r="93" customFormat="false" ht="15" hidden="false" customHeight="true" outlineLevel="0" collapsed="false">
      <c r="AV93" s="1"/>
    </row>
    <row r="94" customFormat="false" ht="15" hidden="false" customHeight="true" outlineLevel="0" collapsed="false">
      <c r="AV94" s="1"/>
    </row>
    <row r="95" customFormat="false" ht="15" hidden="false" customHeight="true" outlineLevel="0" collapsed="false">
      <c r="AV95" s="1"/>
    </row>
    <row r="96" customFormat="false" ht="15" hidden="false" customHeight="true" outlineLevel="0" collapsed="false">
      <c r="AV96" s="1"/>
    </row>
    <row r="97" customFormat="false" ht="15" hidden="false" customHeight="true" outlineLevel="0" collapsed="false">
      <c r="AV97" s="1"/>
    </row>
    <row r="98" customFormat="false" ht="15" hidden="false" customHeight="true" outlineLevel="0" collapsed="false">
      <c r="AV98" s="1"/>
    </row>
    <row r="99" customFormat="false" ht="15" hidden="false" customHeight="true" outlineLevel="0" collapsed="false">
      <c r="AV99" s="1"/>
    </row>
    <row r="100" customFormat="false" ht="15" hidden="false" customHeight="true" outlineLevel="0" collapsed="false">
      <c r="AV100" s="1"/>
    </row>
    <row r="101" customFormat="false" ht="15" hidden="false" customHeight="true" outlineLevel="0" collapsed="false">
      <c r="AV101" s="1"/>
    </row>
    <row r="102" customFormat="false" ht="15" hidden="false" customHeight="true" outlineLevel="0" collapsed="false">
      <c r="AV102" s="1"/>
    </row>
    <row r="103" customFormat="false" ht="15" hidden="false" customHeight="true" outlineLevel="0" collapsed="false">
      <c r="AV103" s="1"/>
    </row>
    <row r="104" customFormat="false" ht="15" hidden="false" customHeight="true" outlineLevel="0" collapsed="false">
      <c r="AV104" s="1"/>
    </row>
    <row r="105" customFormat="false" ht="15" hidden="false" customHeight="true" outlineLevel="0" collapsed="false">
      <c r="AV105" s="1"/>
    </row>
    <row r="106" customFormat="false" ht="15" hidden="false" customHeight="true" outlineLevel="0" collapsed="false">
      <c r="AV106" s="1"/>
    </row>
    <row r="107" customFormat="false" ht="15" hidden="false" customHeight="true" outlineLevel="0" collapsed="false">
      <c r="AV107" s="1"/>
    </row>
    <row r="108" customFormat="false" ht="15" hidden="false" customHeight="true" outlineLevel="0" collapsed="false">
      <c r="AV108" s="1"/>
    </row>
    <row r="109" customFormat="false" ht="15" hidden="false" customHeight="true" outlineLevel="0" collapsed="false">
      <c r="AV109" s="1"/>
    </row>
    <row r="110" customFormat="false" ht="15" hidden="false" customHeight="true" outlineLevel="0" collapsed="false">
      <c r="AV110" s="1"/>
    </row>
    <row r="111" customFormat="false" ht="15" hidden="false" customHeight="true" outlineLevel="0" collapsed="false">
      <c r="AV111" s="1"/>
    </row>
    <row r="112" customFormat="false" ht="15" hidden="false" customHeight="true" outlineLevel="0" collapsed="false">
      <c r="AV112" s="1"/>
    </row>
    <row r="113" customFormat="false" ht="15" hidden="false" customHeight="true" outlineLevel="0" collapsed="false">
      <c r="AV113" s="1"/>
    </row>
    <row r="114" customFormat="false" ht="15" hidden="false" customHeight="true" outlineLevel="0" collapsed="false">
      <c r="AV114" s="1"/>
    </row>
    <row r="115" customFormat="false" ht="15" hidden="false" customHeight="true" outlineLevel="0" collapsed="false">
      <c r="AV115" s="1"/>
    </row>
    <row r="116" customFormat="false" ht="15" hidden="false" customHeight="true" outlineLevel="0" collapsed="false">
      <c r="AV116" s="1"/>
    </row>
    <row r="117" customFormat="false" ht="15" hidden="false" customHeight="true" outlineLevel="0" collapsed="false">
      <c r="AV117" s="1"/>
    </row>
    <row r="118" customFormat="false" ht="15" hidden="false" customHeight="true" outlineLevel="0" collapsed="false">
      <c r="AV118" s="1"/>
    </row>
    <row r="119" customFormat="false" ht="15" hidden="false" customHeight="true" outlineLevel="0" collapsed="false">
      <c r="AV119" s="1"/>
    </row>
    <row r="120" customFormat="false" ht="15" hidden="false" customHeight="true" outlineLevel="0" collapsed="false">
      <c r="AV120" s="1"/>
    </row>
    <row r="121" customFormat="false" ht="15" hidden="false" customHeight="true" outlineLevel="0" collapsed="false">
      <c r="AV121" s="1"/>
    </row>
    <row r="122" customFormat="false" ht="15" hidden="false" customHeight="true" outlineLevel="0" collapsed="false">
      <c r="AV122" s="1"/>
    </row>
    <row r="123" customFormat="false" ht="15" hidden="false" customHeight="true" outlineLevel="0" collapsed="false">
      <c r="AV123" s="1"/>
    </row>
    <row r="124" customFormat="false" ht="15" hidden="false" customHeight="true" outlineLevel="0" collapsed="false">
      <c r="AV124" s="1"/>
    </row>
    <row r="125" customFormat="false" ht="15" hidden="false" customHeight="true" outlineLevel="0" collapsed="false">
      <c r="AV125" s="1"/>
    </row>
    <row r="126" customFormat="false" ht="15" hidden="false" customHeight="true" outlineLevel="0" collapsed="false">
      <c r="AV126" s="1"/>
    </row>
    <row r="127" customFormat="false" ht="15" hidden="false" customHeight="true" outlineLevel="0" collapsed="false">
      <c r="AV127" s="1"/>
    </row>
    <row r="128" customFormat="false" ht="15" hidden="false" customHeight="true" outlineLevel="0" collapsed="false">
      <c r="AV128" s="1"/>
    </row>
    <row r="129" customFormat="false" ht="15" hidden="false" customHeight="true" outlineLevel="0" collapsed="false">
      <c r="AV129" s="1"/>
    </row>
    <row r="130" customFormat="false" ht="15" hidden="false" customHeight="true" outlineLevel="0" collapsed="false">
      <c r="AV130" s="1"/>
    </row>
    <row r="131" customFormat="false" ht="15" hidden="false" customHeight="true" outlineLevel="0" collapsed="false">
      <c r="AV131" s="1"/>
    </row>
    <row r="132" customFormat="false" ht="15" hidden="false" customHeight="true" outlineLevel="0" collapsed="false">
      <c r="AV132" s="1"/>
    </row>
    <row r="133" customFormat="false" ht="15" hidden="false" customHeight="true" outlineLevel="0" collapsed="false">
      <c r="AV133" s="1"/>
    </row>
    <row r="134" customFormat="false" ht="15" hidden="false" customHeight="true" outlineLevel="0" collapsed="false">
      <c r="AV134" s="1"/>
    </row>
    <row r="135" customFormat="false" ht="15" hidden="false" customHeight="true" outlineLevel="0" collapsed="false">
      <c r="AV135" s="1"/>
    </row>
    <row r="136" customFormat="false" ht="15" hidden="false" customHeight="true" outlineLevel="0" collapsed="false">
      <c r="AV136" s="1"/>
    </row>
    <row r="137" customFormat="false" ht="15" hidden="false" customHeight="true" outlineLevel="0" collapsed="false">
      <c r="AV137" s="1"/>
    </row>
    <row r="138" customFormat="false" ht="15" hidden="false" customHeight="true" outlineLevel="0" collapsed="false">
      <c r="AV138" s="1"/>
    </row>
    <row r="139" customFormat="false" ht="15" hidden="false" customHeight="true" outlineLevel="0" collapsed="false">
      <c r="AV139" s="1"/>
    </row>
    <row r="140" customFormat="false" ht="1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C7" activeCellId="0" sqref="C7"/>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205</v>
      </c>
      <c r="D2" s="181"/>
      <c r="E2" s="181"/>
    </row>
    <row r="3" customFormat="false" ht="15" hidden="false" customHeight="true" outlineLevel="0" collapsed="false">
      <c r="A3" s="180" t="s">
        <v>630</v>
      </c>
      <c r="B3" s="180"/>
      <c r="C3" s="181" t="s">
        <v>206</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989</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13.25" hidden="false" customHeight="true" outlineLevel="0" collapsed="false">
      <c r="A8" s="191" t="str">
        <f aca="false">IF($F8="","",$C$2&amp;"."&amp;COUNTA($F$7:$F8)&amp;"")</f>
        <v>TC_06.1</v>
      </c>
      <c r="B8" s="191" t="s">
        <v>511</v>
      </c>
      <c r="C8" s="191" t="s">
        <v>530</v>
      </c>
      <c r="D8" s="191" t="s">
        <v>43</v>
      </c>
      <c r="E8" s="191" t="s">
        <v>159</v>
      </c>
      <c r="F8" s="13" t="s">
        <v>990</v>
      </c>
      <c r="G8" s="13" t="s">
        <v>991</v>
      </c>
      <c r="H8" s="13" t="s">
        <v>992</v>
      </c>
      <c r="I8" s="13" t="s">
        <v>993</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5" hidden="false" customHeight="true" outlineLevel="0" collapsed="false">
      <c r="A9" s="189"/>
      <c r="B9" s="189"/>
      <c r="C9" s="190" t="s">
        <v>994</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141.75" hidden="false" customHeight="true" outlineLevel="0" collapsed="false">
      <c r="A10" s="191" t="str">
        <f aca="false">IF($F10="","",$C$2&amp;"."&amp;COUNTA($F$7:$F10)&amp;"")</f>
        <v>TC_06.2</v>
      </c>
      <c r="B10" s="191" t="s">
        <v>514</v>
      </c>
      <c r="C10" s="191" t="s">
        <v>530</v>
      </c>
      <c r="D10" s="191" t="s">
        <v>41</v>
      </c>
      <c r="E10" s="191" t="s">
        <v>159</v>
      </c>
      <c r="F10" s="13" t="s">
        <v>995</v>
      </c>
      <c r="G10" s="13" t="s">
        <v>996</v>
      </c>
      <c r="H10" s="13" t="s">
        <v>997</v>
      </c>
      <c r="I10" s="13" t="s">
        <v>998</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 hidden="false" customHeight="true" outlineLevel="0" collapsed="false">
      <c r="A11" s="189"/>
      <c r="B11" s="189"/>
      <c r="C11" s="190" t="s">
        <v>999</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135.75" hidden="false" customHeight="true" outlineLevel="0" collapsed="false">
      <c r="A12" s="191" t="str">
        <f aca="false">IF($F12="","",$C$2&amp;"."&amp;COUNTA($F$7:$F12)&amp;"")</f>
        <v>TC_06.3</v>
      </c>
      <c r="B12" s="191" t="s">
        <v>517</v>
      </c>
      <c r="C12" s="191" t="s">
        <v>530</v>
      </c>
      <c r="D12" s="191" t="s">
        <v>41</v>
      </c>
      <c r="E12" s="191" t="s">
        <v>159</v>
      </c>
      <c r="F12" s="13" t="s">
        <v>1000</v>
      </c>
      <c r="G12" s="13" t="s">
        <v>1001</v>
      </c>
      <c r="H12" s="13" t="s">
        <v>1002</v>
      </c>
      <c r="I12" s="13" t="s">
        <v>1003</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1.5" hidden="false" customHeight="true" outlineLevel="0" collapsed="false">
      <c r="A13" s="191" t="str">
        <f aca="false">IF($F13="","",$C$2&amp;"."&amp;COUNTA($F$7:$F13)&amp;"")</f>
        <v>TC_06.4</v>
      </c>
      <c r="B13" s="191" t="s">
        <v>517</v>
      </c>
      <c r="C13" s="191" t="s">
        <v>530</v>
      </c>
      <c r="D13" s="191" t="s">
        <v>43</v>
      </c>
      <c r="E13" s="191" t="s">
        <v>159</v>
      </c>
      <c r="F13" s="13" t="s">
        <v>1004</v>
      </c>
      <c r="G13" s="13" t="s">
        <v>1005</v>
      </c>
      <c r="H13" s="13" t="s">
        <v>1006</v>
      </c>
      <c r="I13" s="13" t="s">
        <v>1007</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1008</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70.25" hidden="false" customHeight="true" outlineLevel="0" collapsed="false">
      <c r="A15" s="191" t="str">
        <f aca="false">IF($F15="","",$C$2&amp;"."&amp;COUNTA($F$7:$F15)&amp;"")</f>
        <v>TC_06.5</v>
      </c>
      <c r="B15" s="191" t="s">
        <v>520</v>
      </c>
      <c r="C15" s="191" t="s">
        <v>530</v>
      </c>
      <c r="D15" s="191" t="s">
        <v>43</v>
      </c>
      <c r="E15" s="191" t="s">
        <v>160</v>
      </c>
      <c r="F15" s="13" t="s">
        <v>1009</v>
      </c>
      <c r="G15" s="13" t="s">
        <v>1010</v>
      </c>
      <c r="H15" s="13" t="s">
        <v>1011</v>
      </c>
      <c r="I15" s="13" t="s">
        <v>1012</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5" hidden="false" customHeight="true" outlineLevel="0" collapsed="false">
      <c r="A16" s="189"/>
      <c r="B16" s="189"/>
      <c r="C16" s="190" t="s">
        <v>1013</v>
      </c>
      <c r="D16" s="190"/>
      <c r="E16" s="190"/>
      <c r="F16" s="190"/>
      <c r="G16" s="190"/>
      <c r="H16" s="190"/>
      <c r="I16" s="190"/>
      <c r="J16" s="190"/>
      <c r="K16" s="190"/>
      <c r="L16" s="190"/>
      <c r="M16" s="190"/>
      <c r="N16" s="190"/>
      <c r="O16" s="190"/>
      <c r="P16" s="190"/>
      <c r="Q16" s="190"/>
      <c r="R16" s="190"/>
      <c r="S16" s="190"/>
      <c r="T16" s="190"/>
      <c r="U16" s="190"/>
      <c r="V16" s="190"/>
      <c r="W16" s="190"/>
      <c r="X16" s="190"/>
      <c r="Y16" s="190"/>
      <c r="Z16" s="190"/>
      <c r="AA16" s="190"/>
      <c r="AB16" s="190"/>
      <c r="AC16" s="190"/>
      <c r="AD16" s="190"/>
      <c r="AE16" s="190"/>
      <c r="AF16" s="190"/>
      <c r="AG16" s="190"/>
      <c r="AH16" s="190"/>
      <c r="AI16" s="190"/>
      <c r="AJ16" s="190"/>
      <c r="AK16" s="190"/>
      <c r="AL16" s="190"/>
      <c r="AM16" s="190"/>
      <c r="AN16" s="190"/>
      <c r="AO16" s="190"/>
      <c r="AP16" s="190"/>
      <c r="AQ16" s="190"/>
      <c r="AR16" s="190"/>
      <c r="AS16" s="190"/>
      <c r="AT16" s="190"/>
      <c r="AU16" s="190"/>
    </row>
    <row r="17" customFormat="false" ht="246.75" hidden="false" customHeight="true" outlineLevel="0" collapsed="false">
      <c r="A17" s="191" t="str">
        <f aca="false">IF($F17="","",$C$2&amp;"."&amp;COUNTA($F$7:$F17)&amp;"")</f>
        <v>TC_06.6</v>
      </c>
      <c r="B17" s="191" t="s">
        <v>523</v>
      </c>
      <c r="C17" s="191" t="s">
        <v>530</v>
      </c>
      <c r="D17" s="191" t="s">
        <v>41</v>
      </c>
      <c r="E17" s="191" t="s">
        <v>160</v>
      </c>
      <c r="F17" s="13" t="s">
        <v>1014</v>
      </c>
      <c r="G17" s="13" t="s">
        <v>1015</v>
      </c>
      <c r="H17" s="13" t="s">
        <v>1016</v>
      </c>
      <c r="I17" s="13" t="s">
        <v>1017</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15" hidden="false" customHeight="true" outlineLevel="0" collapsed="false">
      <c r="A18" s="189"/>
      <c r="B18" s="189"/>
      <c r="C18" s="190" t="s">
        <v>1018</v>
      </c>
      <c r="D18" s="190"/>
      <c r="E18" s="190"/>
      <c r="F18" s="190"/>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c r="AR18" s="190"/>
      <c r="AS18" s="190"/>
      <c r="AT18" s="190"/>
      <c r="AU18" s="190"/>
    </row>
    <row r="19" customFormat="false" ht="275.25" hidden="false" customHeight="true" outlineLevel="0" collapsed="false">
      <c r="A19" s="191" t="str">
        <f aca="false">IF($F19="","",$C$2&amp;"."&amp;COUNTA($F$7:$F19)&amp;"")</f>
        <v>TC_06.7</v>
      </c>
      <c r="B19" s="191" t="s">
        <v>525</v>
      </c>
      <c r="C19" s="191" t="s">
        <v>530</v>
      </c>
      <c r="D19" s="191" t="s">
        <v>41</v>
      </c>
      <c r="E19" s="191" t="s">
        <v>159</v>
      </c>
      <c r="F19" s="13" t="s">
        <v>1019</v>
      </c>
      <c r="G19" s="13" t="s">
        <v>1020</v>
      </c>
      <c r="H19" s="13" t="s">
        <v>1021</v>
      </c>
      <c r="I19" s="13" t="s">
        <v>1022</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70.25" hidden="false" customHeight="true" outlineLevel="0" collapsed="false">
      <c r="A20" s="191" t="str">
        <f aca="false">IF($F20="","",$C$2&amp;"."&amp;COUNTA($F$7:$F20)&amp;"")</f>
        <v>TC_06.8</v>
      </c>
      <c r="B20" s="191" t="s">
        <v>525</v>
      </c>
      <c r="C20" s="191" t="s">
        <v>530</v>
      </c>
      <c r="D20" s="191" t="s">
        <v>41</v>
      </c>
      <c r="E20" s="191" t="s">
        <v>159</v>
      </c>
      <c r="F20" s="13" t="s">
        <v>1023</v>
      </c>
      <c r="G20" s="13" t="s">
        <v>1024</v>
      </c>
      <c r="H20" s="13" t="s">
        <v>1025</v>
      </c>
      <c r="I20" s="13" t="s">
        <v>1026</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5" hidden="false" customHeight="true" outlineLevel="0" collapsed="false">
      <c r="A21" s="191"/>
      <c r="B21" s="191"/>
      <c r="C21" s="191"/>
      <c r="D21" s="191"/>
      <c r="E21" s="191"/>
      <c r="F21" s="191"/>
      <c r="G21" s="191"/>
      <c r="H21" s="191"/>
      <c r="I21" s="191"/>
      <c r="J21" s="191"/>
      <c r="K21" s="191"/>
      <c r="L21" s="191"/>
      <c r="M21" s="191"/>
      <c r="N21" s="191"/>
      <c r="O21" s="191"/>
      <c r="P21" s="191"/>
      <c r="Q21" s="191"/>
      <c r="AR21" s="195"/>
      <c r="AS21" s="195"/>
    </row>
    <row r="22" customFormat="false" ht="1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 hidden="false" customHeight="true" outlineLevel="0" collapsed="false">
      <c r="AV61" s="1"/>
    </row>
    <row r="62" customFormat="false" ht="15" hidden="false" customHeight="true" outlineLevel="0" collapsed="false">
      <c r="AV62" s="1"/>
    </row>
    <row r="63" customFormat="false" ht="15" hidden="false" customHeight="true" outlineLevel="0" collapsed="false">
      <c r="AV63" s="1"/>
    </row>
    <row r="64" customFormat="false" ht="15" hidden="false" customHeight="true" outlineLevel="0" collapsed="false">
      <c r="AV64" s="1"/>
    </row>
    <row r="65" customFormat="false" ht="15" hidden="false" customHeight="true" outlineLevel="0" collapsed="false">
      <c r="AV65" s="1"/>
    </row>
    <row r="66" customFormat="false" ht="15" hidden="false" customHeight="true" outlineLevel="0" collapsed="false">
      <c r="AV66" s="1"/>
    </row>
    <row r="67" customFormat="false" ht="15" hidden="false" customHeight="true" outlineLevel="0" collapsed="false">
      <c r="AV67" s="1"/>
    </row>
    <row r="68" customFormat="false" ht="1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 ref="C16:AU16"/>
    <mergeCell ref="C18:AU18"/>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1" ySplit="6" topLeftCell="Y9" activePane="bottomRight" state="frozen"/>
      <selection pane="topLeft" activeCell="A1" activeCellId="0" sqref="A1"/>
      <selection pane="topRight" activeCell="Y1" activeCellId="0" sqref="Y1"/>
      <selection pane="bottomLeft" activeCell="A9" activeCellId="0" sqref="A9"/>
      <selection pane="bottomRight" activeCell="A8" activeCellId="0" sqref="A8"/>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c r="AU1" s="198"/>
    </row>
    <row r="2" customFormat="false" ht="15" hidden="false" customHeight="true" outlineLevel="0" collapsed="false">
      <c r="A2" s="180" t="s">
        <v>629</v>
      </c>
      <c r="B2" s="180"/>
      <c r="C2" s="181" t="s">
        <v>207</v>
      </c>
      <c r="D2" s="181"/>
      <c r="E2" s="181"/>
    </row>
    <row r="3" customFormat="false" ht="15" hidden="false" customHeight="true" outlineLevel="0" collapsed="false">
      <c r="A3" s="180" t="s">
        <v>630</v>
      </c>
      <c r="B3" s="180"/>
      <c r="C3" s="181" t="s">
        <v>208</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1027</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IF($F8="","",$C$2&amp;"."&amp;COUNTA($f$ai13:$F8:AJ137)&amp;"")</f>
        <v>TC_07.1</v>
      </c>
      <c r="B8" s="191" t="s">
        <v>528</v>
      </c>
      <c r="C8" s="191" t="s">
        <v>530</v>
      </c>
      <c r="D8" s="191" t="s">
        <v>41</v>
      </c>
      <c r="E8" s="191" t="s">
        <v>159</v>
      </c>
      <c r="F8" s="13" t="s">
        <v>1028</v>
      </c>
      <c r="G8" s="13" t="s">
        <v>800</v>
      </c>
      <c r="H8" s="13" t="s">
        <v>1029</v>
      </c>
      <c r="I8" s="13" t="s">
        <v>1030</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TC_07.2</v>
      </c>
      <c r="B9" s="191" t="s">
        <v>528</v>
      </c>
      <c r="C9" s="191" t="s">
        <v>530</v>
      </c>
      <c r="D9" s="191" t="s">
        <v>41</v>
      </c>
      <c r="E9" s="191" t="s">
        <v>160</v>
      </c>
      <c r="F9" s="13" t="s">
        <v>1031</v>
      </c>
      <c r="G9" s="13" t="s">
        <v>1032</v>
      </c>
      <c r="H9" s="13" t="s">
        <v>1033</v>
      </c>
      <c r="I9" s="13" t="s">
        <v>1034</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7.5" hidden="false" customHeight="true" outlineLevel="0" collapsed="false">
      <c r="A10" s="191" t="str">
        <f aca="false">IF($F10="","",$C$2&amp;"."&amp;COUNTA($F$7:$F10)&amp;"")</f>
        <v>TC_07.3</v>
      </c>
      <c r="B10" s="191" t="s">
        <v>528</v>
      </c>
      <c r="C10" s="191" t="s">
        <v>530</v>
      </c>
      <c r="D10" s="191" t="s">
        <v>41</v>
      </c>
      <c r="E10" s="191" t="s">
        <v>159</v>
      </c>
      <c r="F10" s="13" t="s">
        <v>1035</v>
      </c>
      <c r="G10" s="13" t="s">
        <v>800</v>
      </c>
      <c r="H10" s="13" t="s">
        <v>1036</v>
      </c>
      <c r="I10" s="13" t="s">
        <v>1037</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 hidden="false" customHeight="true" outlineLevel="0" collapsed="false">
      <c r="A11" s="189"/>
      <c r="B11" s="189"/>
      <c r="C11" s="190" t="s">
        <v>1038</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168.75" hidden="false" customHeight="true" outlineLevel="0" collapsed="false">
      <c r="A12" s="191" t="str">
        <f aca="false">IF($F12="","",$C$2&amp;"."&amp;COUNTA($F$7:$F12)&amp;"")</f>
        <v>TC_07.4</v>
      </c>
      <c r="B12" s="191" t="s">
        <v>531</v>
      </c>
      <c r="C12" s="191" t="s">
        <v>530</v>
      </c>
      <c r="D12" s="191" t="s">
        <v>41</v>
      </c>
      <c r="E12" s="191" t="s">
        <v>160</v>
      </c>
      <c r="F12" s="13" t="s">
        <v>1039</v>
      </c>
      <c r="G12" s="13" t="s">
        <v>729</v>
      </c>
      <c r="H12" s="13" t="s">
        <v>1040</v>
      </c>
      <c r="I12" s="13" t="s">
        <v>1041</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13.25" hidden="false" customHeight="true" outlineLevel="0" collapsed="false">
      <c r="A13" s="191" t="str">
        <f aca="false">IF($F13="","",$C$2&amp;"."&amp;COUNTA($F$7:$F13)&amp;"")</f>
        <v>TC_07.5</v>
      </c>
      <c r="B13" s="191" t="s">
        <v>531</v>
      </c>
      <c r="C13" s="191" t="s">
        <v>530</v>
      </c>
      <c r="D13" s="191" t="s">
        <v>41</v>
      </c>
      <c r="E13" s="191" t="s">
        <v>160</v>
      </c>
      <c r="F13" s="13" t="s">
        <v>1042</v>
      </c>
      <c r="G13" s="13" t="s">
        <v>729</v>
      </c>
      <c r="H13" s="13" t="s">
        <v>1043</v>
      </c>
      <c r="I13" s="13" t="s">
        <v>1044</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91.25" hidden="false" customHeight="true" outlineLevel="0" collapsed="false">
      <c r="A14" s="191" t="str">
        <f aca="false">IF($F14="","",$C$2&amp;"."&amp;COUNTA($F$7:$F14)&amp;"")</f>
        <v>TC_07.6</v>
      </c>
      <c r="B14" s="191" t="s">
        <v>531</v>
      </c>
      <c r="C14" s="191" t="s">
        <v>530</v>
      </c>
      <c r="D14" s="191" t="s">
        <v>41</v>
      </c>
      <c r="E14" s="191" t="s">
        <v>160</v>
      </c>
      <c r="F14" s="13" t="s">
        <v>1045</v>
      </c>
      <c r="G14" s="13" t="s">
        <v>1046</v>
      </c>
      <c r="H14" s="13" t="s">
        <v>1047</v>
      </c>
      <c r="I14" s="13" t="s">
        <v>1048</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180" hidden="false" customHeight="true" outlineLevel="0" collapsed="false">
      <c r="A15" s="191" t="str">
        <f aca="false">IF($F15="","",$C$2&amp;"."&amp;COUNTA($F$7:$F15)&amp;"")</f>
        <v>TC_07.7</v>
      </c>
      <c r="B15" s="191" t="s">
        <v>1049</v>
      </c>
      <c r="C15" s="191" t="s">
        <v>530</v>
      </c>
      <c r="D15" s="191" t="s">
        <v>43</v>
      </c>
      <c r="E15" s="191" t="s">
        <v>160</v>
      </c>
      <c r="F15" s="13" t="s">
        <v>1050</v>
      </c>
      <c r="G15" s="13" t="s">
        <v>1051</v>
      </c>
      <c r="H15" s="13" t="s">
        <v>1052</v>
      </c>
      <c r="I15" s="13" t="s">
        <v>1053</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68.75" hidden="false" customHeight="true" outlineLevel="0" collapsed="false">
      <c r="A16" s="191" t="str">
        <f aca="false">IF($F16="","",$C$2&amp;"."&amp;COUNTA($F$7:$F16)&amp;"")</f>
        <v>TC_07.8</v>
      </c>
      <c r="B16" s="191" t="s">
        <v>531</v>
      </c>
      <c r="C16" s="191" t="s">
        <v>530</v>
      </c>
      <c r="D16" s="191" t="s">
        <v>41</v>
      </c>
      <c r="E16" s="191" t="s">
        <v>160</v>
      </c>
      <c r="F16" s="13" t="s">
        <v>1054</v>
      </c>
      <c r="G16" s="13" t="s">
        <v>1055</v>
      </c>
      <c r="H16" s="13" t="s">
        <v>1056</v>
      </c>
      <c r="I16" s="13" t="s">
        <v>1057</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1058</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91.25" hidden="false" customHeight="true" outlineLevel="0" collapsed="false">
      <c r="A18" s="191" t="str">
        <f aca="false">IF($F18="","",$C$2&amp;"."&amp;COUNTA($F$7:$F18)&amp;"")</f>
        <v>TC_07.9</v>
      </c>
      <c r="B18" s="191" t="s">
        <v>534</v>
      </c>
      <c r="C18" s="191" t="s">
        <v>530</v>
      </c>
      <c r="D18" s="191" t="s">
        <v>43</v>
      </c>
      <c r="E18" s="191" t="s">
        <v>160</v>
      </c>
      <c r="F18" s="13" t="s">
        <v>1059</v>
      </c>
      <c r="G18" s="13" t="s">
        <v>1060</v>
      </c>
      <c r="H18" s="13" t="s">
        <v>1061</v>
      </c>
      <c r="I18" s="13" t="s">
        <v>1062</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68.75" hidden="false" customHeight="true" outlineLevel="0" collapsed="false">
      <c r="A19" s="191" t="str">
        <f aca="false">IF($F19="","",$C$2&amp;"."&amp;COUNTA($F$7:$F19)&amp;"")</f>
        <v>TC_07.10</v>
      </c>
      <c r="B19" s="191" t="s">
        <v>534</v>
      </c>
      <c r="C19" s="191" t="s">
        <v>530</v>
      </c>
      <c r="D19" s="191" t="s">
        <v>43</v>
      </c>
      <c r="E19" s="191" t="s">
        <v>160</v>
      </c>
      <c r="F19" s="13" t="s">
        <v>1063</v>
      </c>
      <c r="G19" s="13" t="s">
        <v>1064</v>
      </c>
      <c r="H19" s="13" t="s">
        <v>1065</v>
      </c>
      <c r="I19" s="13" t="s">
        <v>1066</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5" hidden="false" customHeight="true" outlineLevel="0" collapsed="false">
      <c r="A20" s="189"/>
      <c r="B20" s="189"/>
      <c r="C20" s="190" t="s">
        <v>1067</v>
      </c>
      <c r="D20" s="190"/>
      <c r="E20" s="190"/>
      <c r="F20" s="190"/>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c r="AR20" s="190"/>
      <c r="AS20" s="190"/>
      <c r="AT20" s="190"/>
      <c r="AU20" s="190"/>
    </row>
    <row r="21" customFormat="false" ht="135.75" hidden="false" customHeight="true" outlineLevel="0" collapsed="false">
      <c r="A21" s="191" t="str">
        <f aca="false">IF($F21="","",$C$2&amp;"."&amp;COUNTA($F$7:$F21)&amp;"")</f>
        <v>TC_07.11</v>
      </c>
      <c r="B21" s="191" t="s">
        <v>537</v>
      </c>
      <c r="C21" s="191" t="s">
        <v>530</v>
      </c>
      <c r="D21" s="191" t="s">
        <v>41</v>
      </c>
      <c r="E21" s="191" t="s">
        <v>159</v>
      </c>
      <c r="F21" s="13" t="s">
        <v>1068</v>
      </c>
      <c r="G21" s="13" t="s">
        <v>1069</v>
      </c>
      <c r="H21" s="13" t="s">
        <v>1070</v>
      </c>
      <c r="I21" s="13" t="s">
        <v>1071</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7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7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7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7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7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7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7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7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7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1:AU11"/>
    <mergeCell ref="C17:AU17"/>
    <mergeCell ref="C20:AU20"/>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B10" activePane="bottomRight" state="frozen"/>
      <selection pane="topLeft" activeCell="A1" activeCellId="0" sqref="A1"/>
      <selection pane="topRight" activeCell="B1" activeCellId="0" sqref="B1"/>
      <selection pane="bottomLeft" activeCell="A10" activeCellId="0" sqref="A10"/>
      <selection pane="bottomRight" activeCell="AX8" activeCellId="0" sqref="AX8"/>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209</v>
      </c>
      <c r="D2" s="181"/>
      <c r="E2" s="181"/>
    </row>
    <row r="3" customFormat="false" ht="15" hidden="false" customHeight="true" outlineLevel="0" collapsed="false">
      <c r="A3" s="180" t="s">
        <v>630</v>
      </c>
      <c r="B3" s="180"/>
      <c r="C3" s="181" t="s">
        <v>210</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1072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78.5" hidden="false" customHeight="true" outlineLevel="0" collapsed="false">
      <c r="A8" s="191" t="str">
        <f aca="false">IF($F8="","",$C$2&amp;"."&amp;COUNTA($F$7:$F8)&amp;"")</f>
        <v>TC_08.1</v>
      </c>
      <c r="B8" s="191" t="s">
        <v>540</v>
      </c>
      <c r="C8" s="191" t="s">
        <v>530</v>
      </c>
      <c r="D8" s="191" t="s">
        <v>41</v>
      </c>
      <c r="E8" s="191" t="s">
        <v>159</v>
      </c>
      <c r="F8" s="13" t="s">
        <v>1073</v>
      </c>
      <c r="G8" s="13" t="s">
        <v>1074</v>
      </c>
      <c r="H8" s="13" t="s">
        <v>1075</v>
      </c>
      <c r="I8" s="13" t="s">
        <v>1076</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5" hidden="false" customHeight="true" outlineLevel="0" collapsed="false">
      <c r="A9" s="189"/>
      <c r="B9" s="189"/>
      <c r="C9" s="190" t="s">
        <v>1077</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191.25" hidden="false" customHeight="true" outlineLevel="0" collapsed="false">
      <c r="A10" s="191" t="str">
        <f aca="false">IF($F10="","",$C$2&amp;"."&amp;COUNTA($F$7:$F10)&amp;"")</f>
        <v>TC_08.2</v>
      </c>
      <c r="B10" s="191" t="s">
        <v>543</v>
      </c>
      <c r="C10" s="191" t="s">
        <v>530</v>
      </c>
      <c r="D10" s="191" t="s">
        <v>41</v>
      </c>
      <c r="E10" s="191" t="s">
        <v>158</v>
      </c>
      <c r="F10" s="13" t="s">
        <v>1078</v>
      </c>
      <c r="G10" s="13" t="s">
        <v>1079</v>
      </c>
      <c r="H10" s="13" t="s">
        <v>1080</v>
      </c>
      <c r="I10" s="13" t="s">
        <v>1081</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 hidden="false" customHeight="true" outlineLevel="0" collapsed="false">
      <c r="A11" s="189"/>
      <c r="B11" s="189"/>
      <c r="C11" s="190" t="s">
        <v>1082</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247.5" hidden="false" customHeight="true" outlineLevel="0" collapsed="false">
      <c r="A12" s="191" t="str">
        <f aca="false">IF($F12="","",$C$2&amp;"."&amp;COUNTA($F$7:$F12)&amp;"")</f>
        <v>TC_08.3</v>
      </c>
      <c r="B12" s="191" t="s">
        <v>546</v>
      </c>
      <c r="C12" s="191" t="s">
        <v>530</v>
      </c>
      <c r="D12" s="191" t="s">
        <v>41</v>
      </c>
      <c r="E12" s="191" t="s">
        <v>159</v>
      </c>
      <c r="F12" s="13" t="s">
        <v>1083</v>
      </c>
      <c r="G12" s="13" t="s">
        <v>1084</v>
      </c>
      <c r="H12" s="13" t="s">
        <v>1085</v>
      </c>
      <c r="I12" s="13" t="s">
        <v>1086</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 hidden="false" customHeight="true" outlineLevel="0" collapsed="false">
      <c r="A13" s="189"/>
      <c r="B13" s="189"/>
      <c r="C13" s="190" t="s">
        <v>1087</v>
      </c>
      <c r="D13" s="190"/>
      <c r="E13" s="190"/>
      <c r="F13" s="190"/>
      <c r="G13" s="190"/>
      <c r="H13" s="190"/>
      <c r="I13" s="190"/>
      <c r="J13" s="190"/>
      <c r="K13" s="190"/>
      <c r="L13" s="190"/>
      <c r="M13" s="190"/>
      <c r="N13" s="190"/>
      <c r="O13" s="190"/>
      <c r="P13" s="190"/>
      <c r="Q13" s="190"/>
      <c r="R13" s="190"/>
      <c r="S13" s="190"/>
      <c r="T13" s="190"/>
      <c r="U13" s="190"/>
      <c r="V13" s="190"/>
      <c r="W13" s="190"/>
      <c r="X13" s="190"/>
      <c r="Y13" s="190"/>
      <c r="Z13" s="190"/>
      <c r="AA13" s="190"/>
      <c r="AB13" s="190"/>
      <c r="AC13" s="190"/>
      <c r="AD13" s="190"/>
      <c r="AE13" s="190"/>
      <c r="AF13" s="190"/>
      <c r="AG13" s="190"/>
      <c r="AH13" s="190"/>
      <c r="AI13" s="190"/>
      <c r="AJ13" s="190"/>
      <c r="AK13" s="190"/>
      <c r="AL13" s="190"/>
      <c r="AM13" s="190"/>
      <c r="AN13" s="190"/>
      <c r="AO13" s="190"/>
      <c r="AP13" s="190"/>
      <c r="AQ13" s="190"/>
      <c r="AR13" s="190"/>
      <c r="AS13" s="190"/>
      <c r="AT13" s="190"/>
      <c r="AU13" s="190"/>
    </row>
    <row r="14" customFormat="false" ht="157.5" hidden="false" customHeight="true" outlineLevel="0" collapsed="false">
      <c r="A14" s="191" t="str">
        <f aca="false">IF($F14="","",$C$2&amp;"."&amp;COUNTA($F$7:$F14)&amp;"")</f>
        <v>TC_08.4</v>
      </c>
      <c r="B14" s="191" t="s">
        <v>549</v>
      </c>
      <c r="C14" s="191" t="s">
        <v>530</v>
      </c>
      <c r="D14" s="191" t="s">
        <v>41</v>
      </c>
      <c r="E14" s="191" t="s">
        <v>159</v>
      </c>
      <c r="F14" s="13" t="s">
        <v>1088</v>
      </c>
      <c r="G14" s="13" t="s">
        <v>1089</v>
      </c>
      <c r="H14" s="13" t="s">
        <v>1090</v>
      </c>
      <c r="I14" s="13" t="s">
        <v>1091</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147" hidden="false" customHeight="true" outlineLevel="0" collapsed="false">
      <c r="A15" s="191" t="str">
        <f aca="false">IF($F15="","",$C$2&amp;"."&amp;COUNTA($F$7:$F15)&amp;"")</f>
        <v>TC_08.5</v>
      </c>
      <c r="B15" s="191" t="s">
        <v>549</v>
      </c>
      <c r="C15" s="191" t="s">
        <v>530</v>
      </c>
      <c r="D15" s="191" t="s">
        <v>41</v>
      </c>
      <c r="E15" s="191" t="s">
        <v>159</v>
      </c>
      <c r="F15" s="13" t="s">
        <v>1092</v>
      </c>
      <c r="G15" s="13" t="s">
        <v>1093</v>
      </c>
      <c r="H15" s="13" t="s">
        <v>1090</v>
      </c>
      <c r="I15" s="13" t="s">
        <v>1094</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47" hidden="false" customHeight="true" outlineLevel="0" collapsed="false">
      <c r="A16" s="191" t="str">
        <f aca="false">IF($F16="","",$C$2&amp;"."&amp;COUNTA($F$7:$F16)&amp;"")</f>
        <v>TC_08.6</v>
      </c>
      <c r="B16" s="191" t="s">
        <v>549</v>
      </c>
      <c r="C16" s="191" t="s">
        <v>530</v>
      </c>
      <c r="D16" s="191" t="s">
        <v>41</v>
      </c>
      <c r="E16" s="191" t="s">
        <v>159</v>
      </c>
      <c r="F16" s="13" t="s">
        <v>1095</v>
      </c>
      <c r="G16" s="13" t="s">
        <v>1096</v>
      </c>
      <c r="H16" s="13" t="s">
        <v>1097</v>
      </c>
      <c r="I16" s="13" t="s">
        <v>1098</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7.5" hidden="false" customHeight="true" outlineLevel="0" collapsed="false">
      <c r="A17" s="191" t="str">
        <f aca="false">IF($F17="","",$C$2&amp;"."&amp;COUNTA($F$7:$F17)&amp;"")</f>
        <v>TC_08.7</v>
      </c>
      <c r="B17" s="191" t="s">
        <v>549</v>
      </c>
      <c r="C17" s="191" t="s">
        <v>530</v>
      </c>
      <c r="D17" s="191" t="s">
        <v>41</v>
      </c>
      <c r="E17" s="191" t="s">
        <v>159</v>
      </c>
      <c r="F17" s="13" t="s">
        <v>1099</v>
      </c>
      <c r="G17" s="13" t="s">
        <v>1100</v>
      </c>
      <c r="H17" s="13" t="s">
        <v>1090</v>
      </c>
      <c r="I17" s="13" t="s">
        <v>1101</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168.75" hidden="false" customHeight="true" outlineLevel="0" collapsed="false">
      <c r="A18" s="191" t="str">
        <f aca="false">IF($F18="","",$C$2&amp;"."&amp;COUNTA($F$7:$F18)&amp;"")</f>
        <v>TC_08.8</v>
      </c>
      <c r="B18" s="191" t="s">
        <v>549</v>
      </c>
      <c r="C18" s="191" t="s">
        <v>530</v>
      </c>
      <c r="D18" s="191" t="s">
        <v>41</v>
      </c>
      <c r="E18" s="191" t="s">
        <v>159</v>
      </c>
      <c r="F18" s="13" t="s">
        <v>1102</v>
      </c>
      <c r="G18" s="13" t="s">
        <v>1103</v>
      </c>
      <c r="H18" s="13" t="s">
        <v>1104</v>
      </c>
      <c r="I18" s="13" t="s">
        <v>1105</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02" hidden="false" customHeight="true" outlineLevel="0" collapsed="false">
      <c r="A19" s="191" t="str">
        <f aca="false">IF($F19="","",$C$2&amp;"."&amp;COUNTA($F$7:$F19)&amp;"")</f>
        <v>TC_08.9</v>
      </c>
      <c r="B19" s="191" t="s">
        <v>549</v>
      </c>
      <c r="C19" s="191" t="s">
        <v>530</v>
      </c>
      <c r="D19" s="191" t="s">
        <v>41</v>
      </c>
      <c r="E19" s="191" t="s">
        <v>160</v>
      </c>
      <c r="F19" s="13" t="s">
        <v>1106</v>
      </c>
      <c r="G19" s="13" t="s">
        <v>1107</v>
      </c>
      <c r="H19" s="13" t="s">
        <v>1108</v>
      </c>
      <c r="I19" s="13" t="s">
        <v>1109</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5" hidden="false" customHeight="true" outlineLevel="0" collapsed="false">
      <c r="A20" s="191"/>
      <c r="B20" s="191"/>
      <c r="C20" s="191"/>
      <c r="D20" s="191"/>
      <c r="E20" s="191"/>
      <c r="F20" s="191"/>
      <c r="G20" s="191"/>
      <c r="H20" s="191"/>
      <c r="I20" s="191"/>
      <c r="J20" s="191"/>
      <c r="K20" s="191"/>
      <c r="L20" s="191"/>
      <c r="M20" s="191"/>
      <c r="N20" s="191"/>
      <c r="O20" s="191"/>
      <c r="P20" s="191"/>
      <c r="Q20" s="191"/>
      <c r="AR20" s="195"/>
      <c r="AS20" s="195"/>
    </row>
    <row r="21" customFormat="false" ht="15.75" hidden="false" customHeight="true" outlineLevel="0" collapsed="false">
      <c r="A21" s="191"/>
      <c r="B21" s="191"/>
      <c r="C21" s="191"/>
      <c r="D21" s="191"/>
      <c r="E21" s="191"/>
      <c r="F21" s="191"/>
      <c r="G21" s="191"/>
      <c r="H21" s="191"/>
      <c r="I21" s="191"/>
      <c r="J21" s="191"/>
      <c r="K21" s="191"/>
      <c r="L21" s="191"/>
      <c r="M21" s="191"/>
      <c r="N21" s="191"/>
      <c r="O21" s="191"/>
      <c r="P21" s="191"/>
      <c r="Q21" s="191"/>
      <c r="AR21" s="195"/>
      <c r="AS21" s="195"/>
    </row>
    <row r="22" customFormat="false" ht="15.7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7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7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7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7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7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7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7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7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7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3:AU13"/>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C70" activePane="bottomRight" state="frozen"/>
      <selection pane="topLeft" activeCell="A1" activeCellId="0" sqref="A1"/>
      <selection pane="topRight" activeCell="C1" activeCellId="0" sqref="C1"/>
      <selection pane="bottomLeft" activeCell="A70" activeCellId="0" sqref="A70"/>
      <selection pane="bottomRight" activeCell="C172" activeCellId="0" sqref="C172"/>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211</v>
      </c>
      <c r="D2" s="181"/>
      <c r="E2" s="181"/>
    </row>
    <row r="3" customFormat="false" ht="15" hidden="false" customHeight="true" outlineLevel="0" collapsed="false">
      <c r="A3" s="180" t="s">
        <v>630</v>
      </c>
      <c r="B3" s="180"/>
      <c r="C3" s="181" t="s">
        <v>212</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false" outlineLevel="0" collapsed="false">
      <c r="A7" s="189"/>
      <c r="B7" s="189"/>
      <c r="C7" s="190" t="s">
        <v>1110</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57.45" hidden="false" customHeight="false" outlineLevel="0" collapsed="false">
      <c r="A8" s="191" t="str">
        <f aca="false">IF($F8="","",$C$2&amp;"."&amp;COUNTA($F$7:$F8)&amp;"")</f>
        <v>TC_09.1</v>
      </c>
      <c r="B8" s="191" t="s">
        <v>551</v>
      </c>
      <c r="C8" s="191" t="s">
        <v>530</v>
      </c>
      <c r="D8" s="191" t="s">
        <v>43</v>
      </c>
      <c r="E8" s="191" t="s">
        <v>159</v>
      </c>
      <c r="F8" s="13" t="s">
        <v>1111</v>
      </c>
      <c r="G8" s="13" t="s">
        <v>655</v>
      </c>
      <c r="H8" s="13" t="s">
        <v>1112</v>
      </c>
      <c r="I8" s="13" t="s">
        <v>1113</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5" hidden="false" customHeight="false" outlineLevel="0" collapsed="false">
      <c r="A9" s="189"/>
      <c r="B9" s="189"/>
      <c r="C9" s="190" t="s">
        <v>1114</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79.85" hidden="false" customHeight="false" outlineLevel="0" collapsed="false">
      <c r="A10" s="191" t="str">
        <f aca="false">IF($F10="","",$C$2&amp;"."&amp;COUNTA($F$7:$F10)&amp;"")</f>
        <v>TC_09.2</v>
      </c>
      <c r="B10" s="191" t="s">
        <v>554</v>
      </c>
      <c r="C10" s="191" t="s">
        <v>530</v>
      </c>
      <c r="D10" s="191" t="s">
        <v>41</v>
      </c>
      <c r="E10" s="191" t="s">
        <v>159</v>
      </c>
      <c r="F10" s="13" t="s">
        <v>1115</v>
      </c>
      <c r="G10" s="13" t="s">
        <v>1116</v>
      </c>
      <c r="H10" s="13" t="s">
        <v>1117</v>
      </c>
      <c r="I10" s="13" t="s">
        <v>1118</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57.45" hidden="false" customHeight="false" outlineLevel="0" collapsed="false">
      <c r="A11" s="191" t="str">
        <f aca="false">IF($F11="","",$C$2&amp;"."&amp;COUNTA($F$7:$F11)&amp;"")</f>
        <v>TC_09.3</v>
      </c>
      <c r="B11" s="191" t="s">
        <v>554</v>
      </c>
      <c r="C11" s="191" t="s">
        <v>530</v>
      </c>
      <c r="D11" s="191" t="s">
        <v>43</v>
      </c>
      <c r="E11" s="191" t="s">
        <v>159</v>
      </c>
      <c r="F11" s="13" t="s">
        <v>1119</v>
      </c>
      <c r="G11" s="13" t="s">
        <v>655</v>
      </c>
      <c r="H11" s="13" t="s">
        <v>1120</v>
      </c>
      <c r="I11" s="13" t="s">
        <v>1121</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24.6" hidden="false" customHeight="false" outlineLevel="0" collapsed="false">
      <c r="A12" s="191" t="str">
        <f aca="false">IF($F12="","",$C$2&amp;"."&amp;COUNTA($F$7:$F12)&amp;"")</f>
        <v>TC_09.4</v>
      </c>
      <c r="B12" s="191" t="s">
        <v>554</v>
      </c>
      <c r="C12" s="191" t="s">
        <v>840</v>
      </c>
      <c r="D12" s="191" t="s">
        <v>41</v>
      </c>
      <c r="E12" s="191" t="s">
        <v>158</v>
      </c>
      <c r="F12" s="13" t="s">
        <v>1122</v>
      </c>
      <c r="G12" s="13" t="s">
        <v>655</v>
      </c>
      <c r="H12" s="13" t="s">
        <v>1123</v>
      </c>
      <c r="I12" s="13" t="s">
        <v>1124</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91" hidden="false" customHeight="false" outlineLevel="0" collapsed="false">
      <c r="A13" s="191" t="str">
        <f aca="false">IF($F13="","",$C$2&amp;"."&amp;COUNTA($F$7:$F13)&amp;"")</f>
        <v>TC_09.5</v>
      </c>
      <c r="B13" s="191" t="s">
        <v>554</v>
      </c>
      <c r="C13" s="191" t="s">
        <v>530</v>
      </c>
      <c r="D13" s="191" t="s">
        <v>41</v>
      </c>
      <c r="E13" s="191" t="s">
        <v>159</v>
      </c>
      <c r="F13" s="13" t="s">
        <v>1125</v>
      </c>
      <c r="G13" s="13" t="s">
        <v>1126</v>
      </c>
      <c r="H13" s="13" t="s">
        <v>1127</v>
      </c>
      <c r="I13" s="13" t="s">
        <v>1128</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79.85" hidden="false" customHeight="false" outlineLevel="0" collapsed="false">
      <c r="A14" s="191" t="str">
        <f aca="false">IF($F14="","",$C$2&amp;"."&amp;COUNTA($F$7:$F14)&amp;"")</f>
        <v>TC_09.6</v>
      </c>
      <c r="B14" s="191" t="s">
        <v>554</v>
      </c>
      <c r="C14" s="191" t="s">
        <v>530</v>
      </c>
      <c r="D14" s="191" t="s">
        <v>41</v>
      </c>
      <c r="E14" s="191" t="s">
        <v>159</v>
      </c>
      <c r="F14" s="13" t="s">
        <v>1129</v>
      </c>
      <c r="G14" s="13" t="s">
        <v>1130</v>
      </c>
      <c r="H14" s="13" t="s">
        <v>1131</v>
      </c>
      <c r="I14" s="13" t="s">
        <v>1132</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91" hidden="false" customHeight="false" outlineLevel="0" collapsed="false">
      <c r="A15" s="191" t="str">
        <f aca="false">IF($F15="","",$C$2&amp;"."&amp;COUNTA($F$7:$F15)&amp;"")</f>
        <v>TC_09.7</v>
      </c>
      <c r="B15" s="191" t="s">
        <v>554</v>
      </c>
      <c r="C15" s="191" t="s">
        <v>530</v>
      </c>
      <c r="D15" s="191" t="s">
        <v>41</v>
      </c>
      <c r="E15" s="191" t="s">
        <v>159</v>
      </c>
      <c r="F15" s="13" t="s">
        <v>1133</v>
      </c>
      <c r="G15" s="13" t="s">
        <v>1134</v>
      </c>
      <c r="H15" s="13" t="s">
        <v>1135</v>
      </c>
      <c r="I15" s="13" t="s">
        <v>1136</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79.85" hidden="false" customHeight="false" outlineLevel="0" collapsed="false">
      <c r="A16" s="191" t="str">
        <f aca="false">IF($F16="","",$C$2&amp;"."&amp;COUNTA($F$7:$F16)&amp;"")</f>
        <v>TC_09.8</v>
      </c>
      <c r="B16" s="191" t="s">
        <v>554</v>
      </c>
      <c r="C16" s="191" t="s">
        <v>530</v>
      </c>
      <c r="D16" s="191" t="s">
        <v>41</v>
      </c>
      <c r="E16" s="191" t="s">
        <v>159</v>
      </c>
      <c r="F16" s="13" t="s">
        <v>1137</v>
      </c>
      <c r="G16" s="13" t="s">
        <v>1116</v>
      </c>
      <c r="H16" s="13" t="s">
        <v>1138</v>
      </c>
      <c r="I16" s="13" t="s">
        <v>1139</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false" outlineLevel="0" collapsed="false">
      <c r="A17" s="189"/>
      <c r="B17" s="189"/>
      <c r="C17" s="190" t="s">
        <v>1140</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13.4" hidden="false" customHeight="false" outlineLevel="0" collapsed="false">
      <c r="A18" s="191" t="str">
        <f aca="false">IF($F18="","",$C$2&amp;"."&amp;COUNTA($F$7:$F18)&amp;"")</f>
        <v>TC_09.9</v>
      </c>
      <c r="B18" s="191" t="s">
        <v>1141</v>
      </c>
      <c r="C18" s="191" t="s">
        <v>530</v>
      </c>
      <c r="D18" s="191" t="s">
        <v>41</v>
      </c>
      <c r="E18" s="191" t="s">
        <v>159</v>
      </c>
      <c r="F18" s="13" t="s">
        <v>1142</v>
      </c>
      <c r="G18" s="13" t="s">
        <v>1143</v>
      </c>
      <c r="H18" s="13" t="s">
        <v>1144</v>
      </c>
      <c r="I18" s="13" t="s">
        <v>1145</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5" hidden="false" customHeight="false" outlineLevel="0" collapsed="false">
      <c r="A19" s="189"/>
      <c r="B19" s="189"/>
      <c r="C19" s="190" t="s">
        <v>1146</v>
      </c>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0"/>
      <c r="AM19" s="190"/>
      <c r="AN19" s="190"/>
      <c r="AO19" s="190"/>
      <c r="AP19" s="190"/>
      <c r="AQ19" s="190"/>
      <c r="AR19" s="190"/>
      <c r="AS19" s="190"/>
      <c r="AT19" s="190"/>
      <c r="AU19" s="190"/>
    </row>
    <row r="20" customFormat="false" ht="79.85" hidden="false" customHeight="false" outlineLevel="0" collapsed="false">
      <c r="A20" s="191" t="str">
        <f aca="false">IF($F20="","",$C$2&amp;"."&amp;COUNTA($F$7:$F20)&amp;"")</f>
        <v>TC_09.10</v>
      </c>
      <c r="B20" s="191" t="s">
        <v>560</v>
      </c>
      <c r="C20" s="191" t="s">
        <v>530</v>
      </c>
      <c r="D20" s="191" t="s">
        <v>43</v>
      </c>
      <c r="E20" s="191" t="s">
        <v>160</v>
      </c>
      <c r="F20" s="13" t="s">
        <v>1147</v>
      </c>
      <c r="G20" s="13" t="s">
        <v>655</v>
      </c>
      <c r="H20" s="13" t="s">
        <v>1148</v>
      </c>
      <c r="I20" s="13" t="s">
        <v>1149</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79.85" hidden="false" customHeight="false" outlineLevel="0" collapsed="false">
      <c r="A21" s="191" t="str">
        <f aca="false">IF($F21="","",$C$2&amp;"."&amp;COUNTA($F$7:$F21)&amp;"")</f>
        <v>TC_09.11</v>
      </c>
      <c r="B21" s="191" t="s">
        <v>560</v>
      </c>
      <c r="C21" s="191" t="s">
        <v>530</v>
      </c>
      <c r="D21" s="191" t="s">
        <v>43</v>
      </c>
      <c r="E21" s="191" t="s">
        <v>160</v>
      </c>
      <c r="F21" s="13" t="s">
        <v>1150</v>
      </c>
      <c r="G21" s="13" t="s">
        <v>655</v>
      </c>
      <c r="H21" s="13" t="s">
        <v>1151</v>
      </c>
      <c r="I21" s="13" t="s">
        <v>1152</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 hidden="false" customHeight="false" outlineLevel="0" collapsed="false">
      <c r="A22" s="189"/>
      <c r="B22" s="189"/>
      <c r="C22" s="190" t="s">
        <v>1153</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79.85" hidden="false" customHeight="false" outlineLevel="0" collapsed="false">
      <c r="A23" s="191" t="str">
        <f aca="false">IF($F23="","",$C$2&amp;"."&amp;COUNTA($F$7:$F23)&amp;"")</f>
        <v>TC_09.12</v>
      </c>
      <c r="B23" s="191" t="s">
        <v>563</v>
      </c>
      <c r="C23" s="191" t="s">
        <v>530</v>
      </c>
      <c r="D23" s="191" t="s">
        <v>41</v>
      </c>
      <c r="E23" s="191" t="s">
        <v>159</v>
      </c>
      <c r="F23" s="13" t="s">
        <v>1154</v>
      </c>
      <c r="G23" s="13" t="s">
        <v>655</v>
      </c>
      <c r="H23" s="13" t="s">
        <v>1155</v>
      </c>
      <c r="I23" s="13" t="s">
        <v>1156</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02.2" hidden="false" customHeight="false" outlineLevel="0" collapsed="false">
      <c r="A24" s="191" t="str">
        <f aca="false">IF($F24="","",$C$2&amp;"."&amp;COUNTA($F$7:$F24)&amp;"")</f>
        <v>TC_09.13</v>
      </c>
      <c r="B24" s="191" t="s">
        <v>563</v>
      </c>
      <c r="C24" s="191" t="s">
        <v>530</v>
      </c>
      <c r="D24" s="191" t="s">
        <v>41</v>
      </c>
      <c r="E24" s="191" t="s">
        <v>159</v>
      </c>
      <c r="F24" s="13" t="s">
        <v>1157</v>
      </c>
      <c r="G24" s="13" t="s">
        <v>655</v>
      </c>
      <c r="H24" s="13" t="s">
        <v>1158</v>
      </c>
      <c r="I24" s="13" t="s">
        <v>1159</v>
      </c>
      <c r="J24" s="191" t="s">
        <v>658</v>
      </c>
      <c r="K24" s="191" t="s">
        <v>245</v>
      </c>
      <c r="L24" s="191"/>
      <c r="M24" s="191"/>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2"/>
      <c r="AM24" s="192"/>
      <c r="AN24" s="192"/>
      <c r="AO24" s="192"/>
      <c r="AP24" s="192"/>
      <c r="AQ24" s="192"/>
      <c r="AR24" s="193" t="str">
        <f aca="false">IF($A24="","",IF(OR($N24="Yes",$T24="Yes",$Z24="Yes",$AF24="Yes",$AL24="Yes"),"Yes","No"))</f>
        <v>No</v>
      </c>
      <c r="AS24" s="193" t="str">
        <f aca="false">IF($A24="","",IFERROR(IF($AM24&lt;&gt;"",$AM24,IF($AG24&lt;&gt;"",$AG24,IF($AA24&lt;&gt;"",$AA24,IF($U24&lt;&gt;"",$U24,IF($O24&lt;&gt;"",$O24,""))))),""))</f>
        <v/>
      </c>
      <c r="AT24" s="193" t="str">
        <f aca="false">IFERROR(IF($AN24&lt;&gt;"",$AN24,IF($AH24&lt;&gt;"",$AH24,IF($AB24&lt;&gt;"",$AB24,IF($V24&lt;&gt;"",$V24,IF($P24&lt;&gt;"",$P24,""))))),"")</f>
        <v/>
      </c>
      <c r="AU24" s="194"/>
    </row>
    <row r="25" customFormat="false" ht="79.85" hidden="false" customHeight="false" outlineLevel="0" collapsed="false">
      <c r="A25" s="191" t="str">
        <f aca="false">IF($F25="","",$C$2&amp;"."&amp;COUNTA($F$7:$F25)&amp;"")</f>
        <v>TC_09.14</v>
      </c>
      <c r="B25" s="191" t="s">
        <v>563</v>
      </c>
      <c r="C25" s="191" t="s">
        <v>530</v>
      </c>
      <c r="D25" s="191" t="s">
        <v>41</v>
      </c>
      <c r="E25" s="191" t="s">
        <v>159</v>
      </c>
      <c r="F25" s="13" t="s">
        <v>1160</v>
      </c>
      <c r="G25" s="13" t="s">
        <v>655</v>
      </c>
      <c r="H25" s="13" t="s">
        <v>1161</v>
      </c>
      <c r="I25" s="13" t="s">
        <v>1162</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79.85" hidden="false" customHeight="false" outlineLevel="0" collapsed="false">
      <c r="A26" s="191" t="str">
        <f aca="false">IF($F26="","",$C$2&amp;"."&amp;COUNTA($F$7:$F26)&amp;"")</f>
        <v>TC_09.15</v>
      </c>
      <c r="B26" s="191" t="s">
        <v>563</v>
      </c>
      <c r="C26" s="191" t="s">
        <v>530</v>
      </c>
      <c r="D26" s="191" t="s">
        <v>41</v>
      </c>
      <c r="E26" s="191" t="s">
        <v>159</v>
      </c>
      <c r="F26" s="13" t="s">
        <v>1163</v>
      </c>
      <c r="G26" s="13" t="s">
        <v>655</v>
      </c>
      <c r="H26" s="13" t="s">
        <v>1164</v>
      </c>
      <c r="I26" s="13" t="s">
        <v>1165</v>
      </c>
      <c r="J26" s="191" t="s">
        <v>658</v>
      </c>
      <c r="K26" s="191" t="s">
        <v>245</v>
      </c>
      <c r="L26" s="191"/>
      <c r="M26" s="191"/>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2"/>
      <c r="AM26" s="192"/>
      <c r="AN26" s="192"/>
      <c r="AO26" s="192"/>
      <c r="AP26" s="192"/>
      <c r="AQ26" s="192"/>
      <c r="AR26" s="193" t="str">
        <f aca="false">IF($A26="","",IF(OR($N26="Yes",$T26="Yes",$Z26="Yes",$AF26="Yes",$AL26="Yes"),"Yes","No"))</f>
        <v>No</v>
      </c>
      <c r="AS26" s="193" t="str">
        <f aca="false">IF($A26="","",IFERROR(IF($AM26&lt;&gt;"",$AM26,IF($AG26&lt;&gt;"",$AG26,IF($AA26&lt;&gt;"",$AA26,IF($U26&lt;&gt;"",$U26,IF($O26&lt;&gt;"",$O26,""))))),""))</f>
        <v/>
      </c>
      <c r="AT26" s="193" t="str">
        <f aca="false">IFERROR(IF($AN26&lt;&gt;"",$AN26,IF($AH26&lt;&gt;"",$AH26,IF($AB26&lt;&gt;"",$AB26,IF($V26&lt;&gt;"",$V26,IF($P26&lt;&gt;"",$P26,""))))),"")</f>
        <v/>
      </c>
      <c r="AU26" s="194"/>
    </row>
    <row r="27" customFormat="false" ht="15" hidden="false" customHeight="false" outlineLevel="0" collapsed="false">
      <c r="A27" s="189"/>
      <c r="B27" s="189"/>
      <c r="C27" s="190" t="s">
        <v>1166</v>
      </c>
      <c r="D27" s="190"/>
      <c r="E27" s="190"/>
      <c r="F27" s="190"/>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c r="AR27" s="190"/>
      <c r="AS27" s="190"/>
      <c r="AT27" s="190"/>
      <c r="AU27" s="190"/>
    </row>
    <row r="28" customFormat="false" ht="79.85" hidden="false" customHeight="false" outlineLevel="0" collapsed="false">
      <c r="A28" s="191" t="str">
        <f aca="false">IF($F28="","",$C$2&amp;"."&amp;COUNTA($F$7:$F28)&amp;"")</f>
        <v>TC_09.16</v>
      </c>
      <c r="B28" s="191" t="s">
        <v>566</v>
      </c>
      <c r="C28" s="191" t="s">
        <v>530</v>
      </c>
      <c r="D28" s="191" t="s">
        <v>41</v>
      </c>
      <c r="E28" s="191" t="s">
        <v>159</v>
      </c>
      <c r="F28" s="13" t="s">
        <v>1167</v>
      </c>
      <c r="G28" s="13" t="s">
        <v>655</v>
      </c>
      <c r="H28" s="13" t="s">
        <v>1168</v>
      </c>
      <c r="I28" s="13" t="s">
        <v>1169</v>
      </c>
      <c r="J28" s="191" t="s">
        <v>658</v>
      </c>
      <c r="K28" s="191" t="s">
        <v>245</v>
      </c>
      <c r="L28" s="191"/>
      <c r="M28" s="191"/>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2"/>
      <c r="AM28" s="192"/>
      <c r="AN28" s="192"/>
      <c r="AO28" s="192"/>
      <c r="AP28" s="192"/>
      <c r="AQ28" s="192"/>
      <c r="AR28" s="193" t="str">
        <f aca="false">IF($A28="","",IF(OR($N28="Yes",$T28="Yes",$Z28="Yes",$AF28="Yes",$AL28="Yes"),"Yes","No"))</f>
        <v>No</v>
      </c>
      <c r="AS28" s="193" t="str">
        <f aca="false">IF($A28="","",IFERROR(IF($AM28&lt;&gt;"",$AM28,IF($AG28&lt;&gt;"",$AG28,IF($AA28&lt;&gt;"",$AA28,IF($U28&lt;&gt;"",$U28,IF($O28&lt;&gt;"",$O28,""))))),""))</f>
        <v/>
      </c>
      <c r="AT28" s="193" t="str">
        <f aca="false">IFERROR(IF($AN28&lt;&gt;"",$AN28,IF($AH28&lt;&gt;"",$AH28,IF($AB28&lt;&gt;"",$AB28,IF($V28&lt;&gt;"",$V28,IF($P28&lt;&gt;"",$P28,""))))),"")</f>
        <v/>
      </c>
      <c r="AU28" s="194"/>
    </row>
    <row r="29" customFormat="false" ht="57.45" hidden="false" customHeight="false" outlineLevel="0" collapsed="false">
      <c r="A29" s="191" t="str">
        <f aca="false">IF($F29="","",$C$2&amp;"."&amp;COUNTA($F$7:$F29)&amp;"")</f>
        <v>TC_09.17</v>
      </c>
      <c r="B29" s="191" t="s">
        <v>566</v>
      </c>
      <c r="C29" s="191" t="s">
        <v>530</v>
      </c>
      <c r="D29" s="191" t="s">
        <v>43</v>
      </c>
      <c r="E29" s="191" t="s">
        <v>159</v>
      </c>
      <c r="F29" s="13" t="s">
        <v>1170</v>
      </c>
      <c r="G29" s="13" t="s">
        <v>655</v>
      </c>
      <c r="H29" s="13" t="s">
        <v>1171</v>
      </c>
      <c r="I29" s="13" t="s">
        <v>1172</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79.85" hidden="false" customHeight="false" outlineLevel="0" collapsed="false">
      <c r="A30" s="191" t="str">
        <f aca="false">IF($F30="","",$C$2&amp;"."&amp;COUNTA($F$7:$F30)&amp;"")</f>
        <v>TC_09.18</v>
      </c>
      <c r="B30" s="191" t="s">
        <v>566</v>
      </c>
      <c r="C30" s="191" t="s">
        <v>530</v>
      </c>
      <c r="D30" s="191" t="s">
        <v>41</v>
      </c>
      <c r="E30" s="191" t="s">
        <v>159</v>
      </c>
      <c r="F30" s="13" t="s">
        <v>1173</v>
      </c>
      <c r="G30" s="13" t="s">
        <v>1174</v>
      </c>
      <c r="H30" s="13" t="s">
        <v>1175</v>
      </c>
      <c r="I30" s="13" t="s">
        <v>1176</v>
      </c>
      <c r="J30" s="191" t="s">
        <v>658</v>
      </c>
      <c r="K30" s="191" t="s">
        <v>245</v>
      </c>
      <c r="L30" s="191"/>
      <c r="M30" s="191"/>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2"/>
      <c r="AM30" s="192"/>
      <c r="AN30" s="192"/>
      <c r="AO30" s="192"/>
      <c r="AP30" s="192"/>
      <c r="AQ30" s="192"/>
      <c r="AR30" s="193" t="str">
        <f aca="false">IF($A30="","",IF(OR($N30="Yes",$T30="Yes",$Z30="Yes",$AF30="Yes",$AL30="Yes"),"Yes","No"))</f>
        <v>No</v>
      </c>
      <c r="AS30" s="193" t="str">
        <f aca="false">IF($A30="","",IFERROR(IF($AM30&lt;&gt;"",$AM30,IF($AG30&lt;&gt;"",$AG30,IF($AA30&lt;&gt;"",$AA30,IF($U30&lt;&gt;"",$U30,IF($O30&lt;&gt;"",$O30,""))))),""))</f>
        <v/>
      </c>
      <c r="AT30" s="193" t="str">
        <f aca="false">IFERROR(IF($AN30&lt;&gt;"",$AN30,IF($AH30&lt;&gt;"",$AH30,IF($AB30&lt;&gt;"",$AB30,IF($V30&lt;&gt;"",$V30,IF($P30&lt;&gt;"",$P30,""))))),"")</f>
        <v/>
      </c>
      <c r="AU30" s="194"/>
    </row>
    <row r="31" customFormat="false" ht="15" hidden="false" customHeight="false" outlineLevel="0" collapsed="false">
      <c r="A31" s="189"/>
      <c r="B31" s="189"/>
      <c r="C31" s="190" t="s">
        <v>1177</v>
      </c>
      <c r="D31" s="190"/>
      <c r="E31" s="190"/>
      <c r="F31" s="190"/>
      <c r="G31" s="190"/>
      <c r="H31" s="190"/>
      <c r="I31" s="190"/>
      <c r="J31" s="190"/>
      <c r="K31" s="190"/>
      <c r="L31" s="190"/>
      <c r="M31" s="190"/>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row>
    <row r="32" customFormat="false" ht="79.85" hidden="false" customHeight="false" outlineLevel="0" collapsed="false">
      <c r="A32" s="191" t="str">
        <f aca="false">IF($F32="","",$C$2&amp;"."&amp;COUNTA($F$7:$F32)&amp;"")</f>
        <v>TC_09.19</v>
      </c>
      <c r="B32" s="191" t="s">
        <v>569</v>
      </c>
      <c r="C32" s="191" t="s">
        <v>530</v>
      </c>
      <c r="D32" s="191" t="s">
        <v>43</v>
      </c>
      <c r="E32" s="191" t="s">
        <v>159</v>
      </c>
      <c r="F32" s="13" t="s">
        <v>1178</v>
      </c>
      <c r="G32" s="13" t="s">
        <v>1116</v>
      </c>
      <c r="H32" s="13" t="s">
        <v>1179</v>
      </c>
      <c r="I32" s="13" t="s">
        <v>1180</v>
      </c>
      <c r="J32" s="191" t="s">
        <v>658</v>
      </c>
      <c r="K32" s="191" t="s">
        <v>245</v>
      </c>
      <c r="L32" s="191"/>
      <c r="M32" s="191"/>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2"/>
      <c r="AM32" s="192"/>
      <c r="AN32" s="192"/>
      <c r="AO32" s="192"/>
      <c r="AP32" s="192"/>
      <c r="AQ32" s="192"/>
      <c r="AR32" s="193" t="str">
        <f aca="false">IF($A32="","",IF(OR($N32="Yes",$T32="Yes",$Z32="Yes",$AF32="Yes",$AL32="Yes"),"Yes","No"))</f>
        <v>No</v>
      </c>
      <c r="AS32" s="193" t="str">
        <f aca="false">IF($A32="","",IFERROR(IF($AM32&lt;&gt;"",$AM32,IF($AG32&lt;&gt;"",$AG32,IF($AA32&lt;&gt;"",$AA32,IF($U32&lt;&gt;"",$U32,IF($O32&lt;&gt;"",$O32,""))))),""))</f>
        <v/>
      </c>
      <c r="AT32" s="193" t="str">
        <f aca="false">IFERROR(IF($AN32&lt;&gt;"",$AN32,IF($AH32&lt;&gt;"",$AH32,IF($AB32&lt;&gt;"",$AB32,IF($V32&lt;&gt;"",$V32,IF($P32&lt;&gt;"",$P32,""))))),"")</f>
        <v/>
      </c>
      <c r="AU32" s="194"/>
    </row>
    <row r="33" customFormat="false" ht="15" hidden="false" customHeight="false" outlineLevel="0" collapsed="false">
      <c r="A33" s="189"/>
      <c r="B33" s="189"/>
      <c r="C33" s="190" t="s">
        <v>1181</v>
      </c>
      <c r="D33" s="190"/>
      <c r="E33" s="190"/>
      <c r="F33" s="190"/>
      <c r="G33" s="190"/>
      <c r="H33" s="190"/>
      <c r="I33" s="190"/>
      <c r="J33" s="190"/>
      <c r="K33" s="190"/>
      <c r="L33" s="190"/>
      <c r="M33" s="190"/>
      <c r="N33" s="190"/>
      <c r="O33" s="190"/>
      <c r="P33" s="190"/>
      <c r="Q33" s="190"/>
      <c r="R33" s="190"/>
      <c r="S33" s="190"/>
      <c r="T33" s="190"/>
      <c r="U33" s="190"/>
      <c r="V33" s="190"/>
      <c r="W33" s="190"/>
      <c r="X33" s="190"/>
      <c r="Y33" s="190"/>
      <c r="Z33" s="190"/>
      <c r="AA33" s="190"/>
      <c r="AB33" s="190"/>
      <c r="AC33" s="190"/>
      <c r="AD33" s="190"/>
      <c r="AE33" s="190"/>
      <c r="AF33" s="190"/>
      <c r="AG33" s="190"/>
      <c r="AH33" s="190"/>
      <c r="AI33" s="190"/>
      <c r="AJ33" s="190"/>
      <c r="AK33" s="190"/>
      <c r="AL33" s="190"/>
      <c r="AM33" s="190"/>
      <c r="AN33" s="190"/>
      <c r="AO33" s="190"/>
      <c r="AP33" s="190"/>
      <c r="AQ33" s="190"/>
      <c r="AR33" s="190"/>
      <c r="AS33" s="190"/>
      <c r="AT33" s="190"/>
      <c r="AU33" s="190"/>
    </row>
    <row r="34" customFormat="false" ht="102.2" hidden="false" customHeight="false" outlineLevel="0" collapsed="false">
      <c r="A34" s="191" t="str">
        <f aca="false">IF($F34="","",$C$2&amp;"."&amp;COUNTA($F$7:$F34)&amp;"")</f>
        <v>TC_09.20</v>
      </c>
      <c r="B34" s="191" t="s">
        <v>572</v>
      </c>
      <c r="C34" s="191" t="s">
        <v>530</v>
      </c>
      <c r="D34" s="191" t="s">
        <v>41</v>
      </c>
      <c r="E34" s="191" t="s">
        <v>159</v>
      </c>
      <c r="F34" s="13" t="s">
        <v>1182</v>
      </c>
      <c r="G34" s="13" t="s">
        <v>729</v>
      </c>
      <c r="H34" s="13" t="s">
        <v>1183</v>
      </c>
      <c r="I34" s="13" t="s">
        <v>1184</v>
      </c>
      <c r="J34" s="191" t="s">
        <v>658</v>
      </c>
      <c r="K34" s="191" t="s">
        <v>245</v>
      </c>
      <c r="L34" s="191"/>
      <c r="M34" s="191"/>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2"/>
      <c r="AM34" s="192"/>
      <c r="AN34" s="192"/>
      <c r="AO34" s="192"/>
      <c r="AP34" s="192"/>
      <c r="AQ34" s="192"/>
      <c r="AR34" s="193" t="str">
        <f aca="false">IF($A34="","",IF(OR($N34="Yes",$T34="Yes",$Z34="Yes",$AF34="Yes",$AL34="Yes"),"Yes","No"))</f>
        <v>No</v>
      </c>
      <c r="AS34" s="193" t="str">
        <f aca="false">IF($A34="","",IFERROR(IF($AM34&lt;&gt;"",$AM34,IF($AG34&lt;&gt;"",$AG34,IF($AA34&lt;&gt;"",$AA34,IF($U34&lt;&gt;"",$U34,IF($O34&lt;&gt;"",$O34,""))))),""))</f>
        <v/>
      </c>
      <c r="AT34" s="193" t="str">
        <f aca="false">IFERROR(IF($AN34&lt;&gt;"",$AN34,IF($AH34&lt;&gt;"",$AH34,IF($AB34&lt;&gt;"",$AB34,IF($V34&lt;&gt;"",$V34,IF($P34&lt;&gt;"",$P34,""))))),"")</f>
        <v/>
      </c>
      <c r="AU34" s="194"/>
    </row>
    <row r="35" customFormat="false" ht="15" hidden="false" customHeight="false" outlineLevel="0" collapsed="false">
      <c r="A35" s="189"/>
      <c r="B35" s="189"/>
      <c r="C35" s="190" t="s">
        <v>1185</v>
      </c>
      <c r="D35" s="190"/>
      <c r="E35" s="190"/>
      <c r="F35" s="190"/>
      <c r="G35" s="190"/>
      <c r="H35" s="190"/>
      <c r="I35" s="190"/>
      <c r="J35" s="190"/>
      <c r="K35" s="190"/>
      <c r="L35" s="190"/>
      <c r="M35" s="190"/>
      <c r="N35" s="190"/>
      <c r="O35" s="190"/>
      <c r="P35" s="190"/>
      <c r="Q35" s="190"/>
      <c r="R35" s="190"/>
      <c r="S35" s="190"/>
      <c r="T35" s="190"/>
      <c r="U35" s="190"/>
      <c r="V35" s="190"/>
      <c r="W35" s="190"/>
      <c r="X35" s="190"/>
      <c r="Y35" s="190"/>
      <c r="Z35" s="190"/>
      <c r="AA35" s="190"/>
      <c r="AB35" s="190"/>
      <c r="AC35" s="190"/>
      <c r="AD35" s="190"/>
      <c r="AE35" s="190"/>
      <c r="AF35" s="190"/>
      <c r="AG35" s="190"/>
      <c r="AH35" s="190"/>
      <c r="AI35" s="190"/>
      <c r="AJ35" s="190"/>
      <c r="AK35" s="190"/>
      <c r="AL35" s="190"/>
      <c r="AM35" s="190"/>
      <c r="AN35" s="190"/>
      <c r="AO35" s="190"/>
      <c r="AP35" s="190"/>
      <c r="AQ35" s="190"/>
      <c r="AR35" s="190"/>
      <c r="AS35" s="190"/>
      <c r="AT35" s="190"/>
      <c r="AU35" s="190"/>
    </row>
    <row r="36" customFormat="false" ht="102.2" hidden="false" customHeight="false" outlineLevel="0" collapsed="false">
      <c r="A36" s="191" t="str">
        <f aca="false">IF($F36="","",$C$2&amp;"."&amp;COUNTA($F$7:$F36)&amp;"")</f>
        <v>TC_09.21</v>
      </c>
      <c r="B36" s="191" t="s">
        <v>575</v>
      </c>
      <c r="C36" s="191" t="s">
        <v>530</v>
      </c>
      <c r="D36" s="191" t="s">
        <v>41</v>
      </c>
      <c r="E36" s="191" t="s">
        <v>159</v>
      </c>
      <c r="F36" s="13" t="s">
        <v>1186</v>
      </c>
      <c r="G36" s="13" t="s">
        <v>655</v>
      </c>
      <c r="H36" s="13" t="s">
        <v>1187</v>
      </c>
      <c r="I36" s="13" t="s">
        <v>1188</v>
      </c>
      <c r="J36" s="191" t="s">
        <v>658</v>
      </c>
      <c r="K36" s="191" t="s">
        <v>245</v>
      </c>
      <c r="L36" s="191"/>
      <c r="M36" s="191"/>
      <c r="N36" s="192"/>
      <c r="O36" s="192"/>
      <c r="P36" s="192"/>
      <c r="Q36" s="192"/>
      <c r="R36" s="192"/>
      <c r="S36" s="192"/>
      <c r="T36" s="192"/>
      <c r="U36" s="192"/>
      <c r="V36" s="192"/>
      <c r="W36" s="192"/>
      <c r="X36" s="192"/>
      <c r="Y36" s="192"/>
      <c r="Z36" s="192"/>
      <c r="AA36" s="192"/>
      <c r="AB36" s="192"/>
      <c r="AC36" s="192"/>
      <c r="AD36" s="192"/>
      <c r="AE36" s="192"/>
      <c r="AF36" s="192"/>
      <c r="AG36" s="192"/>
      <c r="AH36" s="192"/>
      <c r="AI36" s="192"/>
      <c r="AJ36" s="192"/>
      <c r="AK36" s="192"/>
      <c r="AL36" s="192"/>
      <c r="AM36" s="192"/>
      <c r="AN36" s="192"/>
      <c r="AO36" s="192"/>
      <c r="AP36" s="192"/>
      <c r="AQ36" s="192"/>
      <c r="AR36" s="193" t="str">
        <f aca="false">IF($A36="","",IF(OR($N36="Yes",$T36="Yes",$Z36="Yes",$AF36="Yes",$AL36="Yes"),"Yes","No"))</f>
        <v>No</v>
      </c>
      <c r="AS36" s="193" t="str">
        <f aca="false">IF($A36="","",IFERROR(IF($AM36&lt;&gt;"",$AM36,IF($AG36&lt;&gt;"",$AG36,IF($AA36&lt;&gt;"",$AA36,IF($U36&lt;&gt;"",$U36,IF($O36&lt;&gt;"",$O36,""))))),""))</f>
        <v/>
      </c>
      <c r="AT36" s="193" t="str">
        <f aca="false">IFERROR(IF($AN36&lt;&gt;"",$AN36,IF($AH36&lt;&gt;"",$AH36,IF($AB36&lt;&gt;"",$AB36,IF($V36&lt;&gt;"",$V36,IF($P36&lt;&gt;"",$P36,""))))),"")</f>
        <v/>
      </c>
      <c r="AU36" s="194"/>
    </row>
    <row r="37" customFormat="false" ht="91" hidden="false" customHeight="false" outlineLevel="0" collapsed="false">
      <c r="A37" s="191" t="str">
        <f aca="false">IF($F37="","",$C$2&amp;"."&amp;COUNTA($F$7:$F37)&amp;"")</f>
        <v>TC_09.22</v>
      </c>
      <c r="B37" s="191" t="s">
        <v>575</v>
      </c>
      <c r="C37" s="191" t="s">
        <v>530</v>
      </c>
      <c r="D37" s="191" t="s">
        <v>41</v>
      </c>
      <c r="E37" s="191" t="s">
        <v>159</v>
      </c>
      <c r="F37" s="13" t="s">
        <v>1189</v>
      </c>
      <c r="G37" s="13" t="s">
        <v>729</v>
      </c>
      <c r="H37" s="13" t="s">
        <v>1190</v>
      </c>
      <c r="I37" s="13" t="s">
        <v>1191</v>
      </c>
      <c r="J37" s="191" t="s">
        <v>658</v>
      </c>
      <c r="K37" s="191" t="s">
        <v>245</v>
      </c>
      <c r="L37" s="191"/>
      <c r="M37" s="191"/>
      <c r="N37" s="192"/>
      <c r="O37" s="192"/>
      <c r="P37" s="192"/>
      <c r="Q37" s="192"/>
      <c r="R37" s="192"/>
      <c r="S37" s="192"/>
      <c r="T37" s="192"/>
      <c r="U37" s="192"/>
      <c r="V37" s="192"/>
      <c r="W37" s="192"/>
      <c r="X37" s="192"/>
      <c r="Y37" s="192"/>
      <c r="Z37" s="192"/>
      <c r="AA37" s="192"/>
      <c r="AB37" s="192"/>
      <c r="AC37" s="192"/>
      <c r="AD37" s="192"/>
      <c r="AE37" s="192"/>
      <c r="AF37" s="192"/>
      <c r="AG37" s="192"/>
      <c r="AH37" s="192"/>
      <c r="AI37" s="192"/>
      <c r="AJ37" s="192"/>
      <c r="AK37" s="192"/>
      <c r="AL37" s="192"/>
      <c r="AM37" s="192"/>
      <c r="AN37" s="192"/>
      <c r="AO37" s="192"/>
      <c r="AP37" s="192"/>
      <c r="AQ37" s="192"/>
      <c r="AR37" s="193" t="str">
        <f aca="false">IF($A37="","",IF(OR($N37="Yes",$T37="Yes",$Z37="Yes",$AF37="Yes",$AL37="Yes"),"Yes","No"))</f>
        <v>No</v>
      </c>
      <c r="AS37" s="193" t="str">
        <f aca="false">IF($A37="","",IFERROR(IF($AM37&lt;&gt;"",$AM37,IF($AG37&lt;&gt;"",$AG37,IF($AA37&lt;&gt;"",$AA37,IF($U37&lt;&gt;"",$U37,IF($O37&lt;&gt;"",$O37,""))))),""))</f>
        <v/>
      </c>
      <c r="AT37" s="193" t="str">
        <f aca="false">IFERROR(IF($AN37&lt;&gt;"",$AN37,IF($AH37&lt;&gt;"",$AH37,IF($AB37&lt;&gt;"",$AB37,IF($V37&lt;&gt;"",$V37,IF($P37&lt;&gt;"",$P37,""))))),"")</f>
        <v/>
      </c>
      <c r="AU37" s="194"/>
    </row>
    <row r="38" customFormat="false" ht="113.4" hidden="false" customHeight="false" outlineLevel="0" collapsed="false">
      <c r="A38" s="191" t="str">
        <f aca="false">IF($F38="","",$C$2&amp;"."&amp;COUNTA($F$7:$F38)&amp;"")</f>
        <v>TC_09.23</v>
      </c>
      <c r="B38" s="191" t="s">
        <v>575</v>
      </c>
      <c r="C38" s="191" t="s">
        <v>530</v>
      </c>
      <c r="D38" s="191" t="s">
        <v>41</v>
      </c>
      <c r="E38" s="191" t="s">
        <v>159</v>
      </c>
      <c r="F38" s="13" t="s">
        <v>1192</v>
      </c>
      <c r="G38" s="13" t="s">
        <v>655</v>
      </c>
      <c r="H38" s="13" t="s">
        <v>1193</v>
      </c>
      <c r="I38" s="13" t="s">
        <v>1194</v>
      </c>
      <c r="J38" s="191" t="s">
        <v>658</v>
      </c>
      <c r="K38" s="191" t="s">
        <v>245</v>
      </c>
      <c r="L38" s="191"/>
      <c r="M38" s="191"/>
      <c r="N38" s="192"/>
      <c r="O38" s="192"/>
      <c r="P38" s="192"/>
      <c r="Q38" s="192"/>
      <c r="R38" s="192"/>
      <c r="S38" s="192"/>
      <c r="T38" s="192"/>
      <c r="U38" s="192"/>
      <c r="V38" s="192"/>
      <c r="W38" s="192"/>
      <c r="X38" s="192"/>
      <c r="Y38" s="192"/>
      <c r="Z38" s="192"/>
      <c r="AA38" s="192"/>
      <c r="AB38" s="192"/>
      <c r="AC38" s="192"/>
      <c r="AD38" s="192"/>
      <c r="AE38" s="192"/>
      <c r="AF38" s="192"/>
      <c r="AG38" s="192"/>
      <c r="AH38" s="192"/>
      <c r="AI38" s="192"/>
      <c r="AJ38" s="192"/>
      <c r="AK38" s="192"/>
      <c r="AL38" s="192"/>
      <c r="AM38" s="192"/>
      <c r="AN38" s="192"/>
      <c r="AO38" s="192"/>
      <c r="AP38" s="192"/>
      <c r="AQ38" s="192"/>
      <c r="AR38" s="193" t="str">
        <f aca="false">IF($A38="","",IF(OR($N38="Yes",$T38="Yes",$Z38="Yes",$AF38="Yes",$AL38="Yes"),"Yes","No"))</f>
        <v>No</v>
      </c>
      <c r="AS38" s="193" t="str">
        <f aca="false">IF($A38="","",IFERROR(IF($AM38&lt;&gt;"",$AM38,IF($AG38&lt;&gt;"",$AG38,IF($AA38&lt;&gt;"",$AA38,IF($U38&lt;&gt;"",$U38,IF($O38&lt;&gt;"",$O38,""))))),""))</f>
        <v/>
      </c>
      <c r="AT38" s="193" t="str">
        <f aca="false">IFERROR(IF($AN38&lt;&gt;"",$AN38,IF($AH38&lt;&gt;"",$AH38,IF($AB38&lt;&gt;"",$AB38,IF($V38&lt;&gt;"",$V38,IF($P38&lt;&gt;"",$P38,""))))),"")</f>
        <v/>
      </c>
      <c r="AU38" s="194"/>
    </row>
    <row r="39" customFormat="false" ht="15" hidden="false" customHeight="false" outlineLevel="0" collapsed="false">
      <c r="A39" s="189"/>
      <c r="B39" s="189"/>
      <c r="C39" s="190" t="s">
        <v>1195</v>
      </c>
      <c r="D39" s="190"/>
      <c r="E39" s="190"/>
      <c r="F39" s="190"/>
      <c r="G39" s="190"/>
      <c r="H39" s="190"/>
      <c r="I39" s="190"/>
      <c r="J39" s="190"/>
      <c r="K39" s="190"/>
      <c r="L39" s="190"/>
      <c r="M39" s="190"/>
      <c r="N39" s="190"/>
      <c r="O39" s="190"/>
      <c r="P39" s="190"/>
      <c r="Q39" s="190"/>
      <c r="R39" s="190"/>
      <c r="S39" s="190"/>
      <c r="T39" s="190"/>
      <c r="U39" s="190"/>
      <c r="V39" s="190"/>
      <c r="W39" s="190"/>
      <c r="X39" s="190"/>
      <c r="Y39" s="190"/>
      <c r="Z39" s="190"/>
      <c r="AA39" s="190"/>
      <c r="AB39" s="190"/>
      <c r="AC39" s="190"/>
      <c r="AD39" s="190"/>
      <c r="AE39" s="190"/>
      <c r="AF39" s="190"/>
      <c r="AG39" s="190"/>
      <c r="AH39" s="190"/>
      <c r="AI39" s="190"/>
      <c r="AJ39" s="190"/>
      <c r="AK39" s="190"/>
      <c r="AL39" s="190"/>
      <c r="AM39" s="190"/>
      <c r="AN39" s="190"/>
      <c r="AO39" s="190"/>
      <c r="AP39" s="190"/>
      <c r="AQ39" s="190"/>
      <c r="AR39" s="190"/>
      <c r="AS39" s="190"/>
      <c r="AT39" s="190"/>
      <c r="AU39" s="190"/>
    </row>
    <row r="40" customFormat="false" ht="147" hidden="false" customHeight="false" outlineLevel="0" collapsed="false">
      <c r="A40" s="191" t="str">
        <f aca="false">IF($F40="","",$C$2&amp;"."&amp;COUNTA($F$7:$F40)&amp;"")</f>
        <v>TC_09.24</v>
      </c>
      <c r="B40" s="191" t="s">
        <v>578</v>
      </c>
      <c r="C40" s="191" t="s">
        <v>530</v>
      </c>
      <c r="D40" s="191" t="s">
        <v>41</v>
      </c>
      <c r="E40" s="191" t="s">
        <v>159</v>
      </c>
      <c r="F40" s="13" t="s">
        <v>1196</v>
      </c>
      <c r="G40" s="13" t="s">
        <v>1197</v>
      </c>
      <c r="H40" s="13" t="s">
        <v>1198</v>
      </c>
      <c r="I40" s="13" t="s">
        <v>1199</v>
      </c>
      <c r="J40" s="191" t="s">
        <v>658</v>
      </c>
      <c r="K40" s="191" t="s">
        <v>245</v>
      </c>
      <c r="L40" s="191"/>
      <c r="M40" s="191"/>
      <c r="N40" s="192"/>
      <c r="O40" s="192"/>
      <c r="P40" s="192"/>
      <c r="Q40" s="192"/>
      <c r="R40" s="192"/>
      <c r="S40" s="192"/>
      <c r="T40" s="192"/>
      <c r="U40" s="192"/>
      <c r="V40" s="192"/>
      <c r="W40" s="192"/>
      <c r="X40" s="192"/>
      <c r="Y40" s="192"/>
      <c r="Z40" s="192"/>
      <c r="AA40" s="192"/>
      <c r="AB40" s="192"/>
      <c r="AC40" s="192"/>
      <c r="AD40" s="192"/>
      <c r="AE40" s="192"/>
      <c r="AF40" s="192"/>
      <c r="AG40" s="192"/>
      <c r="AH40" s="192"/>
      <c r="AI40" s="192"/>
      <c r="AJ40" s="192"/>
      <c r="AK40" s="192"/>
      <c r="AL40" s="192"/>
      <c r="AM40" s="192"/>
      <c r="AN40" s="192"/>
      <c r="AO40" s="192"/>
      <c r="AP40" s="192"/>
      <c r="AQ40" s="192"/>
      <c r="AR40" s="193" t="str">
        <f aca="false">IF($A40="","",IF(OR($N40="Yes",$T40="Yes",$Z40="Yes",$AF40="Yes",$AL40="Yes"),"Yes","No"))</f>
        <v>No</v>
      </c>
      <c r="AS40" s="193" t="str">
        <f aca="false">IF($A40="","",IFERROR(IF($AM40&lt;&gt;"",$AM40,IF($AG40&lt;&gt;"",$AG40,IF($AA40&lt;&gt;"",$AA40,IF($U40&lt;&gt;"",$U40,IF($O40&lt;&gt;"",$O40,""))))),""))</f>
        <v/>
      </c>
      <c r="AT40" s="193" t="str">
        <f aca="false">IFERROR(IF($AN40&lt;&gt;"",$AN40,IF($AH40&lt;&gt;"",$AH40,IF($AB40&lt;&gt;"",$AB40,IF($V40&lt;&gt;"",$V40,IF($P40&lt;&gt;"",$P40,""))))),"")</f>
        <v/>
      </c>
      <c r="AU40" s="194"/>
    </row>
    <row r="41" customFormat="false" ht="124.6" hidden="false" customHeight="false" outlineLevel="0" collapsed="false">
      <c r="A41" s="191" t="str">
        <f aca="false">IF($F41="","",$C$2&amp;"."&amp;COUNTA($F$7:$F41)&amp;"")</f>
        <v>TC_09.25</v>
      </c>
      <c r="B41" s="191" t="s">
        <v>578</v>
      </c>
      <c r="C41" s="191" t="s">
        <v>530</v>
      </c>
      <c r="D41" s="191" t="s">
        <v>41</v>
      </c>
      <c r="E41" s="191" t="s">
        <v>159</v>
      </c>
      <c r="F41" s="13" t="s">
        <v>1200</v>
      </c>
      <c r="G41" s="13" t="s">
        <v>1197</v>
      </c>
      <c r="H41" s="13" t="s">
        <v>1201</v>
      </c>
      <c r="I41" s="13" t="s">
        <v>1202</v>
      </c>
      <c r="J41" s="191" t="s">
        <v>658</v>
      </c>
      <c r="K41" s="191" t="s">
        <v>245</v>
      </c>
      <c r="L41" s="191"/>
      <c r="M41" s="191"/>
      <c r="N41" s="192"/>
      <c r="O41" s="192"/>
      <c r="P41" s="192"/>
      <c r="Q41" s="192"/>
      <c r="R41" s="192"/>
      <c r="S41" s="192"/>
      <c r="T41" s="192"/>
      <c r="U41" s="192"/>
      <c r="V41" s="192"/>
      <c r="W41" s="192"/>
      <c r="X41" s="192"/>
      <c r="Y41" s="192"/>
      <c r="Z41" s="192"/>
      <c r="AA41" s="192"/>
      <c r="AB41" s="192"/>
      <c r="AC41" s="192"/>
      <c r="AD41" s="192"/>
      <c r="AE41" s="192"/>
      <c r="AF41" s="192"/>
      <c r="AG41" s="192"/>
      <c r="AH41" s="192"/>
      <c r="AI41" s="192"/>
      <c r="AJ41" s="192"/>
      <c r="AK41" s="192"/>
      <c r="AL41" s="192"/>
      <c r="AM41" s="192"/>
      <c r="AN41" s="192"/>
      <c r="AO41" s="192"/>
      <c r="AP41" s="192"/>
      <c r="AQ41" s="192"/>
      <c r="AR41" s="193" t="str">
        <f aca="false">IF($A41="","",IF(OR($N41="Yes",$T41="Yes",$Z41="Yes",$AF41="Yes",$AL41="Yes"),"Yes","No"))</f>
        <v>No</v>
      </c>
      <c r="AS41" s="193" t="str">
        <f aca="false">IF($A41="","",IFERROR(IF($AM41&lt;&gt;"",$AM41,IF($AG41&lt;&gt;"",$AG41,IF($AA41&lt;&gt;"",$AA41,IF($U41&lt;&gt;"",$U41,IF($O41&lt;&gt;"",$O41,""))))),""))</f>
        <v/>
      </c>
      <c r="AT41" s="193" t="str">
        <f aca="false">IFERROR(IF($AN41&lt;&gt;"",$AN41,IF($AH41&lt;&gt;"",$AH41,IF($AB41&lt;&gt;"",$AB41,IF($V41&lt;&gt;"",$V41,IF($P41&lt;&gt;"",$P41,""))))),"")</f>
        <v/>
      </c>
      <c r="AU41" s="194"/>
    </row>
    <row r="42" customFormat="false" ht="15" hidden="false" customHeight="false" outlineLevel="0" collapsed="false">
      <c r="A42" s="189"/>
      <c r="B42" s="189"/>
      <c r="C42" s="190" t="s">
        <v>1203</v>
      </c>
      <c r="D42" s="190"/>
      <c r="E42" s="190"/>
      <c r="F42" s="190"/>
      <c r="G42" s="190"/>
      <c r="H42" s="190"/>
      <c r="I42" s="190"/>
      <c r="J42" s="190"/>
      <c r="K42" s="190"/>
      <c r="L42" s="190"/>
      <c r="M42" s="190"/>
      <c r="N42" s="190"/>
      <c r="O42" s="190"/>
      <c r="P42" s="190"/>
      <c r="Q42" s="190"/>
      <c r="R42" s="190"/>
      <c r="S42" s="190"/>
      <c r="T42" s="190"/>
      <c r="U42" s="190"/>
      <c r="V42" s="190"/>
      <c r="W42" s="190"/>
      <c r="X42" s="190"/>
      <c r="Y42" s="190"/>
      <c r="Z42" s="190"/>
      <c r="AA42" s="190"/>
      <c r="AB42" s="190"/>
      <c r="AC42" s="190"/>
      <c r="AD42" s="190"/>
      <c r="AE42" s="190"/>
      <c r="AF42" s="190"/>
      <c r="AG42" s="190"/>
      <c r="AH42" s="190"/>
      <c r="AI42" s="190"/>
      <c r="AJ42" s="190"/>
      <c r="AK42" s="190"/>
      <c r="AL42" s="190"/>
      <c r="AM42" s="190"/>
      <c r="AN42" s="190"/>
      <c r="AO42" s="190"/>
      <c r="AP42" s="190"/>
      <c r="AQ42" s="190"/>
      <c r="AR42" s="190"/>
      <c r="AS42" s="190"/>
      <c r="AT42" s="190"/>
      <c r="AU42" s="190"/>
    </row>
    <row r="43" customFormat="false" ht="102.2" hidden="false" customHeight="false" outlineLevel="0" collapsed="false">
      <c r="A43" s="191" t="str">
        <f aca="false">IF($F43="","",$C$2&amp;"."&amp;COUNTA($F$7:$F43)&amp;"")</f>
        <v>TC_09.26</v>
      </c>
      <c r="B43" s="191" t="s">
        <v>580</v>
      </c>
      <c r="C43" s="191" t="s">
        <v>530</v>
      </c>
      <c r="D43" s="191" t="s">
        <v>41</v>
      </c>
      <c r="E43" s="191" t="s">
        <v>159</v>
      </c>
      <c r="F43" s="13" t="s">
        <v>1204</v>
      </c>
      <c r="G43" s="13" t="s">
        <v>655</v>
      </c>
      <c r="H43" s="13" t="s">
        <v>1205</v>
      </c>
      <c r="I43" s="13" t="s">
        <v>1206</v>
      </c>
      <c r="J43" s="191" t="s">
        <v>658</v>
      </c>
      <c r="K43" s="191" t="s">
        <v>245</v>
      </c>
      <c r="L43" s="191"/>
      <c r="M43" s="191"/>
      <c r="N43" s="192"/>
      <c r="O43" s="192"/>
      <c r="P43" s="192"/>
      <c r="Q43" s="192"/>
      <c r="R43" s="192"/>
      <c r="S43" s="192"/>
      <c r="T43" s="192"/>
      <c r="U43" s="192"/>
      <c r="V43" s="192"/>
      <c r="W43" s="192"/>
      <c r="X43" s="192"/>
      <c r="Y43" s="192"/>
      <c r="Z43" s="192"/>
      <c r="AA43" s="192"/>
      <c r="AB43" s="192"/>
      <c r="AC43" s="192"/>
      <c r="AD43" s="192"/>
      <c r="AE43" s="192"/>
      <c r="AF43" s="192"/>
      <c r="AG43" s="192"/>
      <c r="AH43" s="192"/>
      <c r="AI43" s="192"/>
      <c r="AJ43" s="192"/>
      <c r="AK43" s="192"/>
      <c r="AL43" s="192"/>
      <c r="AM43" s="192"/>
      <c r="AN43" s="192"/>
      <c r="AO43" s="192"/>
      <c r="AP43" s="192"/>
      <c r="AQ43" s="192"/>
      <c r="AR43" s="193" t="str">
        <f aca="false">IF($A43="","",IF(OR($N43="Yes",$T43="Yes",$Z43="Yes",$AF43="Yes",$AL43="Yes"),"Yes","No"))</f>
        <v>No</v>
      </c>
      <c r="AS43" s="193" t="str">
        <f aca="false">IF($A43="","",IFERROR(IF($AM43&lt;&gt;"",$AM43,IF($AG43&lt;&gt;"",$AG43,IF($AA43&lt;&gt;"",$AA43,IF($U43&lt;&gt;"",$U43,IF($O43&lt;&gt;"",$O43,""))))),""))</f>
        <v/>
      </c>
      <c r="AT43" s="193" t="str">
        <f aca="false">IFERROR(IF($AN43&lt;&gt;"",$AN43,IF($AH43&lt;&gt;"",$AH43,IF($AB43&lt;&gt;"",$AB43,IF($V43&lt;&gt;"",$V43,IF($P43&lt;&gt;"",$P43,""))))),"")</f>
        <v/>
      </c>
      <c r="AU43" s="194"/>
    </row>
    <row r="44" customFormat="false" ht="135.8" hidden="false" customHeight="false" outlineLevel="0" collapsed="false">
      <c r="A44" s="191" t="str">
        <f aca="false">IF($F44="","",$C$2&amp;"."&amp;COUNTA($F$7:$F44)&amp;"")</f>
        <v>TC_09.27</v>
      </c>
      <c r="B44" s="191" t="s">
        <v>580</v>
      </c>
      <c r="C44" s="191" t="s">
        <v>530</v>
      </c>
      <c r="D44" s="191" t="s">
        <v>41</v>
      </c>
      <c r="E44" s="191" t="s">
        <v>159</v>
      </c>
      <c r="F44" s="13" t="s">
        <v>1207</v>
      </c>
      <c r="G44" s="13" t="s">
        <v>655</v>
      </c>
      <c r="H44" s="13" t="s">
        <v>1208</v>
      </c>
      <c r="I44" s="13" t="s">
        <v>1209</v>
      </c>
      <c r="J44" s="191" t="s">
        <v>658</v>
      </c>
      <c r="K44" s="191" t="s">
        <v>245</v>
      </c>
      <c r="L44" s="191"/>
      <c r="M44" s="191"/>
      <c r="N44" s="192"/>
      <c r="O44" s="192"/>
      <c r="P44" s="192"/>
      <c r="Q44" s="192"/>
      <c r="R44" s="192"/>
      <c r="S44" s="192"/>
      <c r="T44" s="192"/>
      <c r="U44" s="192"/>
      <c r="V44" s="192"/>
      <c r="W44" s="192"/>
      <c r="X44" s="192"/>
      <c r="Y44" s="192"/>
      <c r="Z44" s="192"/>
      <c r="AA44" s="192"/>
      <c r="AB44" s="192"/>
      <c r="AC44" s="192"/>
      <c r="AD44" s="192"/>
      <c r="AE44" s="192"/>
      <c r="AF44" s="192"/>
      <c r="AG44" s="192"/>
      <c r="AH44" s="192"/>
      <c r="AI44" s="192"/>
      <c r="AJ44" s="192"/>
      <c r="AK44" s="192"/>
      <c r="AL44" s="192"/>
      <c r="AM44" s="192"/>
      <c r="AN44" s="192"/>
      <c r="AO44" s="192"/>
      <c r="AP44" s="192"/>
      <c r="AQ44" s="192"/>
      <c r="AR44" s="193" t="str">
        <f aca="false">IF($A44="","",IF(OR($N44="Yes",$T44="Yes",$Z44="Yes",$AF44="Yes",$AL44="Yes"),"Yes","No"))</f>
        <v>No</v>
      </c>
      <c r="AS44" s="193" t="str">
        <f aca="false">IF($A44="","",IFERROR(IF($AM44&lt;&gt;"",$AM44,IF($AG44&lt;&gt;"",$AG44,IF($AA44&lt;&gt;"",$AA44,IF($U44&lt;&gt;"",$U44,IF($O44&lt;&gt;"",$O44,""))))),""))</f>
        <v/>
      </c>
      <c r="AT44" s="193" t="str">
        <f aca="false">IFERROR(IF($AN44&lt;&gt;"",$AN44,IF($AH44&lt;&gt;"",$AH44,IF($AB44&lt;&gt;"",$AB44,IF($V44&lt;&gt;"",$V44,IF($P44&lt;&gt;"",$P44,""))))),"")</f>
        <v/>
      </c>
      <c r="AU44" s="194"/>
    </row>
    <row r="45" customFormat="false" ht="15" hidden="false" customHeight="false" outlineLevel="0" collapsed="false">
      <c r="A45" s="189"/>
      <c r="B45" s="189"/>
      <c r="C45" s="190" t="s">
        <v>1210</v>
      </c>
      <c r="D45" s="190"/>
      <c r="E45" s="190"/>
      <c r="F45" s="190"/>
      <c r="G45" s="190"/>
      <c r="H45" s="190"/>
      <c r="I45" s="190"/>
      <c r="J45" s="190"/>
      <c r="K45" s="190"/>
      <c r="L45" s="190"/>
      <c r="M45" s="190"/>
      <c r="N45" s="190"/>
      <c r="O45" s="190"/>
      <c r="P45" s="190"/>
      <c r="Q45" s="190"/>
      <c r="R45" s="190"/>
      <c r="S45" s="190"/>
      <c r="T45" s="190"/>
      <c r="U45" s="190"/>
      <c r="V45" s="190"/>
      <c r="W45" s="190"/>
      <c r="X45" s="190"/>
      <c r="Y45" s="190"/>
      <c r="Z45" s="190"/>
      <c r="AA45" s="190"/>
      <c r="AB45" s="190"/>
      <c r="AC45" s="190"/>
      <c r="AD45" s="190"/>
      <c r="AE45" s="190"/>
      <c r="AF45" s="190"/>
      <c r="AG45" s="190"/>
      <c r="AH45" s="190"/>
      <c r="AI45" s="190"/>
      <c r="AJ45" s="190"/>
      <c r="AK45" s="190"/>
      <c r="AL45" s="190"/>
      <c r="AM45" s="190"/>
      <c r="AN45" s="190"/>
      <c r="AO45" s="190"/>
      <c r="AP45" s="190"/>
      <c r="AQ45" s="190"/>
      <c r="AR45" s="190"/>
      <c r="AS45" s="190"/>
      <c r="AT45" s="190"/>
      <c r="AU45" s="190"/>
    </row>
    <row r="46" customFormat="false" ht="124.6" hidden="false" customHeight="false" outlineLevel="0" collapsed="false">
      <c r="A46" s="191" t="str">
        <f aca="false">IF($F46="","",$C$2&amp;"."&amp;COUNTA($F$7:$F46)&amp;"")</f>
        <v>TC_09.28</v>
      </c>
      <c r="B46" s="191" t="s">
        <v>583</v>
      </c>
      <c r="C46" s="191" t="s">
        <v>840</v>
      </c>
      <c r="D46" s="191" t="s">
        <v>41</v>
      </c>
      <c r="E46" s="191" t="s">
        <v>159</v>
      </c>
      <c r="F46" s="13" t="s">
        <v>1211</v>
      </c>
      <c r="G46" s="13" t="s">
        <v>1116</v>
      </c>
      <c r="H46" s="13" t="s">
        <v>1212</v>
      </c>
      <c r="I46" s="13" t="s">
        <v>1213</v>
      </c>
      <c r="J46" s="191" t="s">
        <v>658</v>
      </c>
      <c r="K46" s="191" t="s">
        <v>245</v>
      </c>
      <c r="L46" s="191"/>
      <c r="M46" s="191"/>
      <c r="N46" s="192"/>
      <c r="O46" s="192"/>
      <c r="P46" s="192"/>
      <c r="Q46" s="192"/>
      <c r="R46" s="192"/>
      <c r="S46" s="192"/>
      <c r="T46" s="192"/>
      <c r="U46" s="192"/>
      <c r="V46" s="192"/>
      <c r="W46" s="192"/>
      <c r="X46" s="192"/>
      <c r="Y46" s="192"/>
      <c r="Z46" s="192"/>
      <c r="AA46" s="192"/>
      <c r="AB46" s="192"/>
      <c r="AC46" s="192"/>
      <c r="AD46" s="192"/>
      <c r="AE46" s="192"/>
      <c r="AF46" s="192"/>
      <c r="AG46" s="192"/>
      <c r="AH46" s="192"/>
      <c r="AI46" s="192"/>
      <c r="AJ46" s="192"/>
      <c r="AK46" s="192"/>
      <c r="AL46" s="192"/>
      <c r="AM46" s="192"/>
      <c r="AN46" s="192"/>
      <c r="AO46" s="192"/>
      <c r="AP46" s="192"/>
      <c r="AQ46" s="192"/>
      <c r="AR46" s="193" t="str">
        <f aca="false">IF($A46="","",IF(OR($N46="Yes",$T46="Yes",$Z46="Yes",$AF46="Yes",$AL46="Yes"),"Yes","No"))</f>
        <v>No</v>
      </c>
      <c r="AS46" s="193" t="str">
        <f aca="false">IF($A46="","",IFERROR(IF($AM46&lt;&gt;"",$AM46,IF($AG46&lt;&gt;"",$AG46,IF($AA46&lt;&gt;"",$AA46,IF($U46&lt;&gt;"",$U46,IF($O46&lt;&gt;"",$O46,""))))),""))</f>
        <v/>
      </c>
      <c r="AT46" s="193" t="str">
        <f aca="false">IFERROR(IF($AN46&lt;&gt;"",$AN46,IF($AH46&lt;&gt;"",$AH46,IF($AB46&lt;&gt;"",$AB46,IF($V46&lt;&gt;"",$V46,IF($P46&lt;&gt;"",$P46,""))))),"")</f>
        <v/>
      </c>
      <c r="AU46" s="194"/>
    </row>
    <row r="47" customFormat="false" ht="102.2" hidden="false" customHeight="false" outlineLevel="0" collapsed="false">
      <c r="A47" s="191" t="str">
        <f aca="false">IF($F47="","",$C$2&amp;"."&amp;COUNTA($F$7:$F47)&amp;"")</f>
        <v>TC_09.29</v>
      </c>
      <c r="B47" s="191" t="s">
        <v>583</v>
      </c>
      <c r="C47" s="191" t="s">
        <v>530</v>
      </c>
      <c r="D47" s="191" t="s">
        <v>41</v>
      </c>
      <c r="E47" s="191" t="s">
        <v>159</v>
      </c>
      <c r="F47" s="13" t="s">
        <v>1214</v>
      </c>
      <c r="G47" s="13" t="s">
        <v>1116</v>
      </c>
      <c r="H47" s="13" t="s">
        <v>1215</v>
      </c>
      <c r="I47" s="13" t="s">
        <v>1216</v>
      </c>
      <c r="J47" s="191" t="s">
        <v>658</v>
      </c>
      <c r="K47" s="191" t="s">
        <v>245</v>
      </c>
      <c r="L47" s="191"/>
      <c r="M47" s="191"/>
      <c r="N47" s="192"/>
      <c r="O47" s="192"/>
      <c r="P47" s="192"/>
      <c r="Q47" s="192"/>
      <c r="R47" s="192"/>
      <c r="S47" s="192"/>
      <c r="T47" s="192"/>
      <c r="U47" s="192"/>
      <c r="V47" s="192"/>
      <c r="W47" s="192"/>
      <c r="X47" s="192"/>
      <c r="Y47" s="192"/>
      <c r="Z47" s="192"/>
      <c r="AA47" s="192"/>
      <c r="AB47" s="192"/>
      <c r="AC47" s="192"/>
      <c r="AD47" s="192"/>
      <c r="AE47" s="192"/>
      <c r="AF47" s="192"/>
      <c r="AG47" s="192"/>
      <c r="AH47" s="192"/>
      <c r="AI47" s="192"/>
      <c r="AJ47" s="192"/>
      <c r="AK47" s="192"/>
      <c r="AL47" s="192"/>
      <c r="AM47" s="192"/>
      <c r="AN47" s="192"/>
      <c r="AO47" s="192"/>
      <c r="AP47" s="192"/>
      <c r="AQ47" s="192"/>
      <c r="AR47" s="193" t="str">
        <f aca="false">IF($A47="","",IF(OR($N47="Yes",$T47="Yes",$Z47="Yes",$AF47="Yes",$AL47="Yes"),"Yes","No"))</f>
        <v>No</v>
      </c>
      <c r="AS47" s="193" t="str">
        <f aca="false">IF($A47="","",IFERROR(IF($AM47&lt;&gt;"",$AM47,IF($AG47&lt;&gt;"",$AG47,IF($AA47&lt;&gt;"",$AA47,IF($U47&lt;&gt;"",$U47,IF($O47&lt;&gt;"",$O47,""))))),""))</f>
        <v/>
      </c>
      <c r="AT47" s="193" t="str">
        <f aca="false">IFERROR(IF($AN47&lt;&gt;"",$AN47,IF($AH47&lt;&gt;"",$AH47,IF($AB47&lt;&gt;"",$AB47,IF($V47&lt;&gt;"",$V47,IF($P47&lt;&gt;"",$P47,""))))),"")</f>
        <v/>
      </c>
      <c r="AU47" s="194"/>
    </row>
    <row r="48" customFormat="false" ht="113.4" hidden="false" customHeight="false" outlineLevel="0" collapsed="false">
      <c r="A48" s="191" t="str">
        <f aca="false">IF($F48="","",$C$2&amp;"."&amp;COUNTA($F$7:$F48)&amp;"")</f>
        <v>TC_09.30</v>
      </c>
      <c r="B48" s="191" t="s">
        <v>583</v>
      </c>
      <c r="C48" s="191" t="s">
        <v>840</v>
      </c>
      <c r="D48" s="191" t="s">
        <v>41</v>
      </c>
      <c r="E48" s="191" t="s">
        <v>159</v>
      </c>
      <c r="F48" s="13" t="s">
        <v>1217</v>
      </c>
      <c r="G48" s="13" t="s">
        <v>1116</v>
      </c>
      <c r="H48" s="13" t="s">
        <v>1218</v>
      </c>
      <c r="I48" s="13" t="s">
        <v>1219</v>
      </c>
      <c r="J48" s="191" t="s">
        <v>658</v>
      </c>
      <c r="K48" s="191" t="s">
        <v>245</v>
      </c>
      <c r="L48" s="191"/>
      <c r="M48" s="191"/>
      <c r="N48" s="192"/>
      <c r="O48" s="192"/>
      <c r="P48" s="192"/>
      <c r="Q48" s="192"/>
      <c r="R48" s="192"/>
      <c r="S48" s="192"/>
      <c r="T48" s="192"/>
      <c r="U48" s="192"/>
      <c r="V48" s="192"/>
      <c r="W48" s="192"/>
      <c r="X48" s="192"/>
      <c r="Y48" s="192"/>
      <c r="Z48" s="192"/>
      <c r="AA48" s="192"/>
      <c r="AB48" s="192"/>
      <c r="AC48" s="192"/>
      <c r="AD48" s="192"/>
      <c r="AE48" s="192"/>
      <c r="AF48" s="192"/>
      <c r="AG48" s="192"/>
      <c r="AH48" s="192"/>
      <c r="AI48" s="192"/>
      <c r="AJ48" s="192"/>
      <c r="AK48" s="192"/>
      <c r="AL48" s="192"/>
      <c r="AM48" s="192"/>
      <c r="AN48" s="192"/>
      <c r="AO48" s="192"/>
      <c r="AP48" s="192"/>
      <c r="AQ48" s="192"/>
      <c r="AR48" s="193" t="str">
        <f aca="false">IF($A48="","",IF(OR($N48="Yes",$T48="Yes",$Z48="Yes",$AF48="Yes",$AL48="Yes"),"Yes","No"))</f>
        <v>No</v>
      </c>
      <c r="AS48" s="193" t="str">
        <f aca="false">IF($A48="","",IFERROR(IF($AM48&lt;&gt;"",$AM48,IF($AG48&lt;&gt;"",$AG48,IF($AA48&lt;&gt;"",$AA48,IF($U48&lt;&gt;"",$U48,IF($O48&lt;&gt;"",$O48,""))))),""))</f>
        <v/>
      </c>
      <c r="AT48" s="193" t="str">
        <f aca="false">IFERROR(IF($AN48&lt;&gt;"",$AN48,IF($AH48&lt;&gt;"",$AH48,IF($AB48&lt;&gt;"",$AB48,IF($V48&lt;&gt;"",$V48,IF($P48&lt;&gt;"",$P48,""))))),"")</f>
        <v/>
      </c>
      <c r="AU48" s="194"/>
    </row>
    <row r="49" customFormat="false" ht="102.2" hidden="false" customHeight="false" outlineLevel="0" collapsed="false">
      <c r="A49" s="191" t="str">
        <f aca="false">IF($F49="","",$C$2&amp;"."&amp;COUNTA($F$7:$F49)&amp;"")</f>
        <v>TC_09.31</v>
      </c>
      <c r="B49" s="191" t="s">
        <v>583</v>
      </c>
      <c r="C49" s="191" t="s">
        <v>530</v>
      </c>
      <c r="D49" s="191" t="s">
        <v>41</v>
      </c>
      <c r="E49" s="191" t="s">
        <v>159</v>
      </c>
      <c r="F49" s="13" t="s">
        <v>1220</v>
      </c>
      <c r="G49" s="13" t="s">
        <v>1116</v>
      </c>
      <c r="H49" s="13" t="s">
        <v>1221</v>
      </c>
      <c r="I49" s="13" t="s">
        <v>1222</v>
      </c>
      <c r="J49" s="191" t="s">
        <v>658</v>
      </c>
      <c r="K49" s="191" t="s">
        <v>245</v>
      </c>
      <c r="L49" s="191"/>
      <c r="M49" s="191"/>
      <c r="N49" s="192"/>
      <c r="O49" s="192"/>
      <c r="P49" s="192"/>
      <c r="Q49" s="192"/>
      <c r="R49" s="192"/>
      <c r="S49" s="192"/>
      <c r="T49" s="192"/>
      <c r="U49" s="192"/>
      <c r="V49" s="192"/>
      <c r="W49" s="192"/>
      <c r="X49" s="192"/>
      <c r="Y49" s="192"/>
      <c r="Z49" s="192"/>
      <c r="AA49" s="192"/>
      <c r="AB49" s="192"/>
      <c r="AC49" s="192"/>
      <c r="AD49" s="192"/>
      <c r="AE49" s="192"/>
      <c r="AF49" s="192"/>
      <c r="AG49" s="192"/>
      <c r="AH49" s="192"/>
      <c r="AI49" s="192"/>
      <c r="AJ49" s="192"/>
      <c r="AK49" s="192"/>
      <c r="AL49" s="192"/>
      <c r="AM49" s="192"/>
      <c r="AN49" s="192"/>
      <c r="AO49" s="192"/>
      <c r="AP49" s="192"/>
      <c r="AQ49" s="192"/>
      <c r="AR49" s="193" t="str">
        <f aca="false">IF($A49="","",IF(OR($N49="Yes",$T49="Yes",$Z49="Yes",$AF49="Yes",$AL49="Yes"),"Yes","No"))</f>
        <v>No</v>
      </c>
      <c r="AS49" s="193" t="str">
        <f aca="false">IF($A49="","",IFERROR(IF($AM49&lt;&gt;"",$AM49,IF($AG49&lt;&gt;"",$AG49,IF($AA49&lt;&gt;"",$AA49,IF($U49&lt;&gt;"",$U49,IF($O49&lt;&gt;"",$O49,""))))),""))</f>
        <v/>
      </c>
      <c r="AT49" s="193" t="str">
        <f aca="false">IFERROR(IF($AN49&lt;&gt;"",$AN49,IF($AH49&lt;&gt;"",$AH49,IF($AB49&lt;&gt;"",$AB49,IF($V49&lt;&gt;"",$V49,IF($P49&lt;&gt;"",$P49,""))))),"")</f>
        <v/>
      </c>
      <c r="AU49" s="194"/>
    </row>
    <row r="50" customFormat="false" ht="15" hidden="false" customHeight="false" outlineLevel="0" collapsed="false">
      <c r="A50" s="189"/>
      <c r="B50" s="189"/>
      <c r="C50" s="190" t="s">
        <v>1223</v>
      </c>
      <c r="D50" s="190"/>
      <c r="E50" s="190"/>
      <c r="F50" s="190"/>
      <c r="G50" s="190"/>
      <c r="H50" s="190"/>
      <c r="I50" s="190"/>
      <c r="J50" s="190"/>
      <c r="K50" s="190"/>
      <c r="L50" s="190"/>
      <c r="M50" s="190"/>
      <c r="N50" s="190"/>
      <c r="O50" s="190"/>
      <c r="P50" s="190"/>
      <c r="Q50" s="190"/>
      <c r="R50" s="190"/>
      <c r="S50" s="190"/>
      <c r="T50" s="190"/>
      <c r="U50" s="190"/>
      <c r="V50" s="190"/>
      <c r="W50" s="190"/>
      <c r="X50" s="190"/>
      <c r="Y50" s="190"/>
      <c r="Z50" s="190"/>
      <c r="AA50" s="190"/>
      <c r="AB50" s="190"/>
      <c r="AC50" s="190"/>
      <c r="AD50" s="190"/>
      <c r="AE50" s="190"/>
      <c r="AF50" s="190"/>
      <c r="AG50" s="190"/>
      <c r="AH50" s="190"/>
      <c r="AI50" s="190"/>
      <c r="AJ50" s="190"/>
      <c r="AK50" s="190"/>
      <c r="AL50" s="190"/>
      <c r="AM50" s="190"/>
      <c r="AN50" s="190"/>
      <c r="AO50" s="190"/>
      <c r="AP50" s="190"/>
      <c r="AQ50" s="190"/>
      <c r="AR50" s="190"/>
      <c r="AS50" s="190"/>
      <c r="AT50" s="190"/>
      <c r="AU50" s="190"/>
    </row>
    <row r="51" customFormat="false" ht="79.85" hidden="false" customHeight="false" outlineLevel="0" collapsed="false">
      <c r="A51" s="191" t="str">
        <f aca="false">IF($F51="","",$C$2&amp;"."&amp;COUNTA($F$7:$F51)&amp;"")</f>
        <v>TC_09.32</v>
      </c>
      <c r="B51" s="191" t="s">
        <v>586</v>
      </c>
      <c r="C51" s="191" t="s">
        <v>530</v>
      </c>
      <c r="D51" s="191" t="s">
        <v>43</v>
      </c>
      <c r="E51" s="191" t="s">
        <v>160</v>
      </c>
      <c r="F51" s="13" t="s">
        <v>1224</v>
      </c>
      <c r="G51" s="13" t="s">
        <v>655</v>
      </c>
      <c r="H51" s="13" t="s">
        <v>1225</v>
      </c>
      <c r="I51" s="13" t="s">
        <v>1226</v>
      </c>
      <c r="J51" s="191" t="s">
        <v>658</v>
      </c>
      <c r="K51" s="191" t="s">
        <v>245</v>
      </c>
      <c r="L51" s="191"/>
      <c r="M51" s="191"/>
      <c r="N51" s="192"/>
      <c r="O51" s="192"/>
      <c r="P51" s="192"/>
      <c r="Q51" s="192"/>
      <c r="R51" s="192"/>
      <c r="S51" s="192"/>
      <c r="T51" s="192"/>
      <c r="U51" s="192"/>
      <c r="V51" s="192"/>
      <c r="W51" s="192"/>
      <c r="X51" s="192"/>
      <c r="Y51" s="192"/>
      <c r="Z51" s="192"/>
      <c r="AA51" s="192"/>
      <c r="AB51" s="192"/>
      <c r="AC51" s="192"/>
      <c r="AD51" s="192"/>
      <c r="AE51" s="192"/>
      <c r="AF51" s="192"/>
      <c r="AG51" s="192"/>
      <c r="AH51" s="192"/>
      <c r="AI51" s="192"/>
      <c r="AJ51" s="192"/>
      <c r="AK51" s="192"/>
      <c r="AL51" s="192"/>
      <c r="AM51" s="192"/>
      <c r="AN51" s="192"/>
      <c r="AO51" s="192"/>
      <c r="AP51" s="192"/>
      <c r="AQ51" s="192"/>
      <c r="AR51" s="193" t="str">
        <f aca="false">IF($A51="","",IF(OR($N51="Yes",$T51="Yes",$Z51="Yes",$AF51="Yes",$AL51="Yes"),"Yes","No"))</f>
        <v>No</v>
      </c>
      <c r="AS51" s="193" t="str">
        <f aca="false">IF($A51="","",IFERROR(IF($AM51&lt;&gt;"",$AM51,IF($AG51&lt;&gt;"",$AG51,IF($AA51&lt;&gt;"",$AA51,IF($U51&lt;&gt;"",$U51,IF($O51&lt;&gt;"",$O51,""))))),""))</f>
        <v/>
      </c>
      <c r="AT51" s="193" t="str">
        <f aca="false">IFERROR(IF($AN51&lt;&gt;"",$AN51,IF($AH51&lt;&gt;"",$AH51,IF($AB51&lt;&gt;"",$AB51,IF($V51&lt;&gt;"",$V51,IF($P51&lt;&gt;"",$P51,""))))),"")</f>
        <v/>
      </c>
      <c r="AU51" s="194"/>
    </row>
    <row r="52" customFormat="false" ht="102.2" hidden="false" customHeight="false" outlineLevel="0" collapsed="false">
      <c r="A52" s="191" t="str">
        <f aca="false">IF($F52="","",$C$2&amp;"."&amp;COUNTA($F$7:$F52)&amp;"")</f>
        <v>TC_09.33</v>
      </c>
      <c r="B52" s="191" t="s">
        <v>586</v>
      </c>
      <c r="C52" s="191" t="s">
        <v>530</v>
      </c>
      <c r="D52" s="191" t="s">
        <v>43</v>
      </c>
      <c r="E52" s="191" t="s">
        <v>160</v>
      </c>
      <c r="F52" s="13" t="s">
        <v>1227</v>
      </c>
      <c r="G52" s="13" t="s">
        <v>655</v>
      </c>
      <c r="H52" s="13" t="s">
        <v>1228</v>
      </c>
      <c r="I52" s="13" t="s">
        <v>1229</v>
      </c>
      <c r="J52" s="191" t="s">
        <v>658</v>
      </c>
      <c r="K52" s="191" t="s">
        <v>245</v>
      </c>
      <c r="L52" s="191"/>
      <c r="M52" s="191"/>
      <c r="N52" s="192"/>
      <c r="O52" s="192"/>
      <c r="P52" s="192"/>
      <c r="Q52" s="192"/>
      <c r="R52" s="192"/>
      <c r="S52" s="192"/>
      <c r="T52" s="192"/>
      <c r="U52" s="192"/>
      <c r="V52" s="192"/>
      <c r="W52" s="192"/>
      <c r="X52" s="192"/>
      <c r="Y52" s="192"/>
      <c r="Z52" s="192"/>
      <c r="AA52" s="192"/>
      <c r="AB52" s="192"/>
      <c r="AC52" s="192"/>
      <c r="AD52" s="192"/>
      <c r="AE52" s="192"/>
      <c r="AF52" s="192"/>
      <c r="AG52" s="192"/>
      <c r="AH52" s="192"/>
      <c r="AI52" s="192"/>
      <c r="AJ52" s="192"/>
      <c r="AK52" s="192"/>
      <c r="AL52" s="192"/>
      <c r="AM52" s="192"/>
      <c r="AN52" s="192"/>
      <c r="AO52" s="192"/>
      <c r="AP52" s="192"/>
      <c r="AQ52" s="192"/>
      <c r="AR52" s="193" t="str">
        <f aca="false">IF($A52="","",IF(OR($N52="Yes",$T52="Yes",$Z52="Yes",$AF52="Yes",$AL52="Yes"),"Yes","No"))</f>
        <v>No</v>
      </c>
      <c r="AS52" s="193" t="str">
        <f aca="false">IF($A52="","",IFERROR(IF($AM52&lt;&gt;"",$AM52,IF($AG52&lt;&gt;"",$AG52,IF($AA52&lt;&gt;"",$AA52,IF($U52&lt;&gt;"",$U52,IF($O52&lt;&gt;"",$O52,""))))),""))</f>
        <v/>
      </c>
      <c r="AT52" s="193" t="str">
        <f aca="false">IFERROR(IF($AN52&lt;&gt;"",$AN52,IF($AH52&lt;&gt;"",$AH52,IF($AB52&lt;&gt;"",$AB52,IF($V52&lt;&gt;"",$V52,IF($P52&lt;&gt;"",$P52,""))))),"")</f>
        <v/>
      </c>
      <c r="AU52" s="194"/>
    </row>
    <row r="53" customFormat="false" ht="15" hidden="false" customHeight="false" outlineLevel="0" collapsed="false">
      <c r="A53" s="189"/>
      <c r="B53" s="189"/>
      <c r="C53" s="190" t="s">
        <v>1230</v>
      </c>
      <c r="D53" s="190"/>
      <c r="E53" s="190"/>
      <c r="F53" s="190"/>
      <c r="G53" s="190"/>
      <c r="H53" s="190"/>
      <c r="I53" s="190"/>
      <c r="J53" s="190"/>
      <c r="K53" s="190"/>
      <c r="L53" s="190"/>
      <c r="M53" s="190"/>
      <c r="N53" s="190"/>
      <c r="O53" s="190"/>
      <c r="P53" s="190"/>
      <c r="Q53" s="190"/>
      <c r="R53" s="190"/>
      <c r="S53" s="190"/>
      <c r="T53" s="190"/>
      <c r="U53" s="190"/>
      <c r="V53" s="190"/>
      <c r="W53" s="190"/>
      <c r="X53" s="190"/>
      <c r="Y53" s="190"/>
      <c r="Z53" s="190"/>
      <c r="AA53" s="190"/>
      <c r="AB53" s="190"/>
      <c r="AC53" s="190"/>
      <c r="AD53" s="190"/>
      <c r="AE53" s="190"/>
      <c r="AF53" s="190"/>
      <c r="AG53" s="190"/>
      <c r="AH53" s="190"/>
      <c r="AI53" s="190"/>
      <c r="AJ53" s="190"/>
      <c r="AK53" s="190"/>
      <c r="AL53" s="190"/>
      <c r="AM53" s="190"/>
      <c r="AN53" s="190"/>
      <c r="AO53" s="190"/>
      <c r="AP53" s="190"/>
      <c r="AQ53" s="190"/>
      <c r="AR53" s="190"/>
      <c r="AS53" s="190"/>
      <c r="AT53" s="190"/>
      <c r="AU53" s="190"/>
    </row>
    <row r="54" customFormat="false" ht="113.4" hidden="false" customHeight="false" outlineLevel="0" collapsed="false">
      <c r="A54" s="191" t="str">
        <f aca="false">IF($F54="","",$C$2&amp;"."&amp;COUNTA($F$7:$F54)&amp;"")</f>
        <v>TC_09.34</v>
      </c>
      <c r="B54" s="191" t="s">
        <v>589</v>
      </c>
      <c r="C54" s="191" t="s">
        <v>530</v>
      </c>
      <c r="D54" s="191" t="s">
        <v>41</v>
      </c>
      <c r="E54" s="191" t="s">
        <v>158</v>
      </c>
      <c r="F54" s="13" t="s">
        <v>1231</v>
      </c>
      <c r="G54" s="13" t="s">
        <v>1232</v>
      </c>
      <c r="H54" s="13" t="s">
        <v>1233</v>
      </c>
      <c r="I54" s="13" t="s">
        <v>1234</v>
      </c>
      <c r="J54" s="191" t="s">
        <v>658</v>
      </c>
      <c r="K54" s="191" t="s">
        <v>245</v>
      </c>
      <c r="L54" s="191"/>
      <c r="M54" s="191"/>
      <c r="N54" s="192"/>
      <c r="O54" s="192"/>
      <c r="P54" s="192"/>
      <c r="Q54" s="192"/>
      <c r="R54" s="192"/>
      <c r="S54" s="192"/>
      <c r="T54" s="192"/>
      <c r="U54" s="192"/>
      <c r="V54" s="192"/>
      <c r="W54" s="192"/>
      <c r="X54" s="192"/>
      <c r="Y54" s="192"/>
      <c r="Z54" s="192"/>
      <c r="AA54" s="192"/>
      <c r="AB54" s="192"/>
      <c r="AC54" s="192"/>
      <c r="AD54" s="192"/>
      <c r="AE54" s="192"/>
      <c r="AF54" s="192"/>
      <c r="AG54" s="192"/>
      <c r="AH54" s="192"/>
      <c r="AI54" s="192"/>
      <c r="AJ54" s="192"/>
      <c r="AK54" s="192"/>
      <c r="AL54" s="192"/>
      <c r="AM54" s="192"/>
      <c r="AN54" s="192"/>
      <c r="AO54" s="192"/>
      <c r="AP54" s="192"/>
      <c r="AQ54" s="192"/>
      <c r="AR54" s="193" t="str">
        <f aca="false">IF($A54="","",IF(OR($N54="Yes",$T54="Yes",$Z54="Yes",$AF54="Yes",$AL54="Yes"),"Yes","No"))</f>
        <v>No</v>
      </c>
      <c r="AS54" s="193" t="str">
        <f aca="false">IF($A54="","",IFERROR(IF($AM54&lt;&gt;"",$AM54,IF($AG54&lt;&gt;"",$AG54,IF($AA54&lt;&gt;"",$AA54,IF($U54&lt;&gt;"",$U54,IF($O54&lt;&gt;"",$O54,""))))),""))</f>
        <v/>
      </c>
      <c r="AT54" s="193" t="str">
        <f aca="false">IFERROR(IF($AN54&lt;&gt;"",$AN54,IF($AH54&lt;&gt;"",$AH54,IF($AB54&lt;&gt;"",$AB54,IF($V54&lt;&gt;"",$V54,IF($P54&lt;&gt;"",$P54,""))))),"")</f>
        <v/>
      </c>
      <c r="AU54" s="194"/>
    </row>
    <row r="55" customFormat="false" ht="91" hidden="false" customHeight="false" outlineLevel="0" collapsed="false">
      <c r="A55" s="191" t="str">
        <f aca="false">IF($F55="","",$C$2&amp;"."&amp;COUNTA($F$7:$F55)&amp;"")</f>
        <v>TC_09.35</v>
      </c>
      <c r="B55" s="191" t="s">
        <v>589</v>
      </c>
      <c r="C55" s="191" t="s">
        <v>530</v>
      </c>
      <c r="D55" s="191" t="s">
        <v>41</v>
      </c>
      <c r="E55" s="191" t="s">
        <v>159</v>
      </c>
      <c r="F55" s="13" t="s">
        <v>1235</v>
      </c>
      <c r="G55" s="13" t="s">
        <v>655</v>
      </c>
      <c r="H55" s="13" t="s">
        <v>1236</v>
      </c>
      <c r="I55" s="13" t="s">
        <v>1237</v>
      </c>
      <c r="J55" s="191" t="s">
        <v>658</v>
      </c>
      <c r="K55" s="191" t="s">
        <v>245</v>
      </c>
      <c r="L55" s="191"/>
      <c r="M55" s="191"/>
      <c r="N55" s="192"/>
      <c r="O55" s="192"/>
      <c r="P55" s="192"/>
      <c r="Q55" s="192"/>
      <c r="R55" s="192"/>
      <c r="S55" s="192"/>
      <c r="T55" s="192"/>
      <c r="U55" s="192"/>
      <c r="V55" s="192"/>
      <c r="W55" s="192"/>
      <c r="X55" s="192"/>
      <c r="Y55" s="192"/>
      <c r="Z55" s="192"/>
      <c r="AA55" s="192"/>
      <c r="AB55" s="192"/>
      <c r="AC55" s="192"/>
      <c r="AD55" s="192"/>
      <c r="AE55" s="192"/>
      <c r="AF55" s="192"/>
      <c r="AG55" s="192"/>
      <c r="AH55" s="192"/>
      <c r="AI55" s="192"/>
      <c r="AJ55" s="192"/>
      <c r="AK55" s="192"/>
      <c r="AL55" s="192"/>
      <c r="AM55" s="192"/>
      <c r="AN55" s="192"/>
      <c r="AO55" s="192"/>
      <c r="AP55" s="192"/>
      <c r="AQ55" s="192"/>
      <c r="AR55" s="193" t="str">
        <f aca="false">IF($A55="","",IF(OR($N55="Yes",$T55="Yes",$Z55="Yes",$AF55="Yes",$AL55="Yes"),"Yes","No"))</f>
        <v>No</v>
      </c>
      <c r="AS55" s="193" t="str">
        <f aca="false">IF($A55="","",IFERROR(IF($AM55&lt;&gt;"",$AM55,IF($AG55&lt;&gt;"",$AG55,IF($AA55&lt;&gt;"",$AA55,IF($U55&lt;&gt;"",$U55,IF($O55&lt;&gt;"",$O55,""))))),""))</f>
        <v/>
      </c>
      <c r="AT55" s="193" t="str">
        <f aca="false">IFERROR(IF($AN55&lt;&gt;"",$AN55,IF($AH55&lt;&gt;"",$AH55,IF($AB55&lt;&gt;"",$AB55,IF($V55&lt;&gt;"",$V55,IF($P55&lt;&gt;"",$P55,""))))),"")</f>
        <v/>
      </c>
      <c r="AU55" s="194"/>
    </row>
    <row r="56" customFormat="false" ht="91" hidden="false" customHeight="false" outlineLevel="0" collapsed="false">
      <c r="A56" s="191" t="str">
        <f aca="false">IF($F56="","",$C$2&amp;"."&amp;COUNTA($F$7:$F56)&amp;"")</f>
        <v>TC_09.36</v>
      </c>
      <c r="B56" s="191" t="s">
        <v>589</v>
      </c>
      <c r="C56" s="191" t="s">
        <v>530</v>
      </c>
      <c r="D56" s="191" t="s">
        <v>41</v>
      </c>
      <c r="E56" s="191" t="s">
        <v>159</v>
      </c>
      <c r="F56" s="13" t="s">
        <v>1238</v>
      </c>
      <c r="G56" s="13" t="s">
        <v>1239</v>
      </c>
      <c r="H56" s="13" t="s">
        <v>1240</v>
      </c>
      <c r="I56" s="13" t="s">
        <v>1237</v>
      </c>
      <c r="J56" s="191" t="s">
        <v>658</v>
      </c>
      <c r="K56" s="191" t="s">
        <v>245</v>
      </c>
      <c r="L56" s="191"/>
      <c r="M56" s="191"/>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92"/>
      <c r="AR56" s="193" t="str">
        <f aca="false">IF($A56="","",IF(OR($N56="Yes",$T56="Yes",$Z56="Yes",$AF56="Yes",$AL56="Yes"),"Yes","No"))</f>
        <v>No</v>
      </c>
      <c r="AS56" s="193" t="str">
        <f aca="false">IF($A56="","",IFERROR(IF($AM56&lt;&gt;"",$AM56,IF($AG56&lt;&gt;"",$AG56,IF($AA56&lt;&gt;"",$AA56,IF($U56&lt;&gt;"",$U56,IF($O56&lt;&gt;"",$O56,""))))),""))</f>
        <v/>
      </c>
      <c r="AT56" s="193" t="str">
        <f aca="false">IFERROR(IF($AN56&lt;&gt;"",$AN56,IF($AH56&lt;&gt;"",$AH56,IF($AB56&lt;&gt;"",$AB56,IF($V56&lt;&gt;"",$V56,IF($P56&lt;&gt;"",$P56,""))))),"")</f>
        <v/>
      </c>
      <c r="AU56" s="194"/>
    </row>
    <row r="57" customFormat="false" ht="91" hidden="false" customHeight="false" outlineLevel="0" collapsed="false">
      <c r="A57" s="191" t="str">
        <f aca="false">IF($F57="","",$C$2&amp;"."&amp;COUNTA($F$7:$F57)&amp;"")</f>
        <v>TC_09.37</v>
      </c>
      <c r="B57" s="191" t="s">
        <v>589</v>
      </c>
      <c r="C57" s="191" t="s">
        <v>530</v>
      </c>
      <c r="D57" s="191" t="s">
        <v>41</v>
      </c>
      <c r="E57" s="191" t="s">
        <v>159</v>
      </c>
      <c r="F57" s="13" t="s">
        <v>1241</v>
      </c>
      <c r="G57" s="13" t="s">
        <v>655</v>
      </c>
      <c r="H57" s="13" t="s">
        <v>1242</v>
      </c>
      <c r="I57" s="13" t="s">
        <v>1243</v>
      </c>
      <c r="J57" s="191" t="s">
        <v>658</v>
      </c>
      <c r="K57" s="191" t="s">
        <v>245</v>
      </c>
      <c r="L57" s="191"/>
      <c r="M57" s="191"/>
      <c r="N57" s="192"/>
      <c r="O57" s="192"/>
      <c r="P57" s="192"/>
      <c r="Q57" s="192"/>
      <c r="R57" s="192"/>
      <c r="S57" s="192"/>
      <c r="T57" s="192"/>
      <c r="U57" s="192"/>
      <c r="V57" s="192"/>
      <c r="W57" s="192"/>
      <c r="X57" s="192"/>
      <c r="Y57" s="192"/>
      <c r="Z57" s="192"/>
      <c r="AA57" s="192"/>
      <c r="AB57" s="192"/>
      <c r="AC57" s="192"/>
      <c r="AD57" s="192"/>
      <c r="AE57" s="192"/>
      <c r="AF57" s="192"/>
      <c r="AG57" s="192"/>
      <c r="AH57" s="192"/>
      <c r="AI57" s="192"/>
      <c r="AJ57" s="192"/>
      <c r="AK57" s="192"/>
      <c r="AL57" s="192"/>
      <c r="AM57" s="192"/>
      <c r="AN57" s="192"/>
      <c r="AO57" s="192"/>
      <c r="AP57" s="192"/>
      <c r="AQ57" s="192"/>
      <c r="AR57" s="193" t="str">
        <f aca="false">IF($A57="","",IF(OR($N57="Yes",$T57="Yes",$Z57="Yes",$AF57="Yes",$AL57="Yes"),"Yes","No"))</f>
        <v>No</v>
      </c>
      <c r="AS57" s="193" t="str">
        <f aca="false">IF($A57="","",IFERROR(IF($AM57&lt;&gt;"",$AM57,IF($AG57&lt;&gt;"",$AG57,IF($AA57&lt;&gt;"",$AA57,IF($U57&lt;&gt;"",$U57,IF($O57&lt;&gt;"",$O57,""))))),""))</f>
        <v/>
      </c>
      <c r="AT57" s="193" t="str">
        <f aca="false">IFERROR(IF($AN57&lt;&gt;"",$AN57,IF($AH57&lt;&gt;"",$AH57,IF($AB57&lt;&gt;"",$AB57,IF($V57&lt;&gt;"",$V57,IF($P57&lt;&gt;"",$P57,""))))),"")</f>
        <v/>
      </c>
      <c r="AU57" s="194"/>
    </row>
    <row r="58" customFormat="false" ht="91" hidden="false" customHeight="false" outlineLevel="0" collapsed="false">
      <c r="A58" s="191" t="str">
        <f aca="false">IF($F58="","",$C$2&amp;"."&amp;COUNTA($F$7:$F58)&amp;"")</f>
        <v>TC_09.38</v>
      </c>
      <c r="B58" s="191" t="s">
        <v>589</v>
      </c>
      <c r="C58" s="191" t="s">
        <v>530</v>
      </c>
      <c r="D58" s="191" t="s">
        <v>41</v>
      </c>
      <c r="E58" s="191" t="s">
        <v>159</v>
      </c>
      <c r="F58" s="13" t="s">
        <v>1244</v>
      </c>
      <c r="G58" s="13" t="s">
        <v>655</v>
      </c>
      <c r="H58" s="13" t="s">
        <v>1245</v>
      </c>
      <c r="I58" s="13" t="s">
        <v>1246</v>
      </c>
      <c r="J58" s="191" t="s">
        <v>658</v>
      </c>
      <c r="K58" s="191" t="s">
        <v>245</v>
      </c>
      <c r="L58" s="191"/>
      <c r="M58" s="191"/>
      <c r="N58" s="192"/>
      <c r="O58" s="192"/>
      <c r="P58" s="192"/>
      <c r="Q58" s="192"/>
      <c r="R58" s="192"/>
      <c r="S58" s="192"/>
      <c r="T58" s="192"/>
      <c r="U58" s="192"/>
      <c r="V58" s="192"/>
      <c r="W58" s="192"/>
      <c r="X58" s="192"/>
      <c r="Y58" s="192"/>
      <c r="Z58" s="192"/>
      <c r="AA58" s="192"/>
      <c r="AB58" s="192"/>
      <c r="AC58" s="192"/>
      <c r="AD58" s="192"/>
      <c r="AE58" s="192"/>
      <c r="AF58" s="192"/>
      <c r="AG58" s="192"/>
      <c r="AH58" s="192"/>
      <c r="AI58" s="192"/>
      <c r="AJ58" s="192"/>
      <c r="AK58" s="192"/>
      <c r="AL58" s="192"/>
      <c r="AM58" s="192"/>
      <c r="AN58" s="192"/>
      <c r="AO58" s="192"/>
      <c r="AP58" s="192"/>
      <c r="AQ58" s="192"/>
      <c r="AR58" s="193" t="str">
        <f aca="false">IF($A58="","",IF(OR($N58="Yes",$T58="Yes",$Z58="Yes",$AF58="Yes",$AL58="Yes"),"Yes","No"))</f>
        <v>No</v>
      </c>
      <c r="AS58" s="193" t="str">
        <f aca="false">IF($A58="","",IFERROR(IF($AM58&lt;&gt;"",$AM58,IF($AG58&lt;&gt;"",$AG58,IF($AA58&lt;&gt;"",$AA58,IF($U58&lt;&gt;"",$U58,IF($O58&lt;&gt;"",$O58,""))))),""))</f>
        <v/>
      </c>
      <c r="AT58" s="193" t="str">
        <f aca="false">IFERROR(IF($AN58&lt;&gt;"",$AN58,IF($AH58&lt;&gt;"",$AH58,IF($AB58&lt;&gt;"",$AB58,IF($V58&lt;&gt;"",$V58,IF($P58&lt;&gt;"",$P58,""))))),"")</f>
        <v/>
      </c>
      <c r="AU58" s="194"/>
    </row>
    <row r="59" customFormat="false" ht="15" hidden="false" customHeight="false" outlineLevel="0" collapsed="false">
      <c r="A59" s="189"/>
      <c r="B59" s="189"/>
      <c r="C59" s="190" t="s">
        <v>1247</v>
      </c>
      <c r="D59" s="190"/>
      <c r="E59" s="190"/>
      <c r="F59" s="190"/>
      <c r="G59" s="190"/>
      <c r="H59" s="190"/>
      <c r="I59" s="190"/>
      <c r="J59" s="190"/>
      <c r="K59" s="190"/>
      <c r="L59" s="190"/>
      <c r="M59" s="190"/>
      <c r="N59" s="190"/>
      <c r="O59" s="190"/>
      <c r="P59" s="190"/>
      <c r="Q59" s="190"/>
      <c r="R59" s="190"/>
      <c r="S59" s="190"/>
      <c r="T59" s="190"/>
      <c r="U59" s="190"/>
      <c r="V59" s="190"/>
      <c r="W59" s="190"/>
      <c r="X59" s="190"/>
      <c r="Y59" s="190"/>
      <c r="Z59" s="190"/>
      <c r="AA59" s="190"/>
      <c r="AB59" s="190"/>
      <c r="AC59" s="190"/>
      <c r="AD59" s="190"/>
      <c r="AE59" s="190"/>
      <c r="AF59" s="190"/>
      <c r="AG59" s="190"/>
      <c r="AH59" s="190"/>
      <c r="AI59" s="190"/>
      <c r="AJ59" s="190"/>
      <c r="AK59" s="190"/>
      <c r="AL59" s="190"/>
      <c r="AM59" s="190"/>
      <c r="AN59" s="190"/>
      <c r="AO59" s="190"/>
      <c r="AP59" s="190"/>
      <c r="AQ59" s="190"/>
      <c r="AR59" s="190"/>
      <c r="AS59" s="190"/>
      <c r="AT59" s="190"/>
      <c r="AU59" s="190"/>
    </row>
    <row r="60" customFormat="false" ht="135.8" hidden="false" customHeight="false" outlineLevel="0" collapsed="false">
      <c r="A60" s="191" t="str">
        <f aca="false">IF($F60="","",$C$2&amp;"."&amp;COUNTA($F$7:$F60)&amp;"")</f>
        <v>TC_09.39</v>
      </c>
      <c r="B60" s="191" t="s">
        <v>592</v>
      </c>
      <c r="C60" s="191" t="s">
        <v>530</v>
      </c>
      <c r="D60" s="191" t="s">
        <v>41</v>
      </c>
      <c r="E60" s="191" t="s">
        <v>159</v>
      </c>
      <c r="F60" s="13" t="s">
        <v>1248</v>
      </c>
      <c r="G60" s="13" t="s">
        <v>655</v>
      </c>
      <c r="H60" s="13" t="s">
        <v>1249</v>
      </c>
      <c r="I60" s="13" t="s">
        <v>1250</v>
      </c>
      <c r="J60" s="191" t="s">
        <v>658</v>
      </c>
      <c r="K60" s="191" t="s">
        <v>245</v>
      </c>
      <c r="L60" s="191"/>
      <c r="M60" s="191"/>
      <c r="N60" s="192"/>
      <c r="O60" s="192"/>
      <c r="P60" s="192"/>
      <c r="Q60" s="192"/>
      <c r="R60" s="192"/>
      <c r="S60" s="192"/>
      <c r="T60" s="192"/>
      <c r="U60" s="192"/>
      <c r="V60" s="192"/>
      <c r="W60" s="192"/>
      <c r="X60" s="192"/>
      <c r="Y60" s="192"/>
      <c r="Z60" s="192"/>
      <c r="AA60" s="192"/>
      <c r="AB60" s="192"/>
      <c r="AC60" s="192"/>
      <c r="AD60" s="192"/>
      <c r="AE60" s="192"/>
      <c r="AF60" s="192"/>
      <c r="AG60" s="192"/>
      <c r="AH60" s="192"/>
      <c r="AI60" s="192"/>
      <c r="AJ60" s="192"/>
      <c r="AK60" s="192"/>
      <c r="AL60" s="192"/>
      <c r="AM60" s="192"/>
      <c r="AN60" s="192"/>
      <c r="AO60" s="192"/>
      <c r="AP60" s="192"/>
      <c r="AQ60" s="192"/>
      <c r="AR60" s="193" t="str">
        <f aca="false">IF($A60="","",IF(OR($N60="Yes",$T60="Yes",$Z60="Yes",$AF60="Yes",$AL60="Yes"),"Yes","No"))</f>
        <v>No</v>
      </c>
      <c r="AS60" s="193" t="str">
        <f aca="false">IF($A60="","",IFERROR(IF($AM60&lt;&gt;"",$AM60,IF($AG60&lt;&gt;"",$AG60,IF($AA60&lt;&gt;"",$AA60,IF($U60&lt;&gt;"",$U60,IF($O60&lt;&gt;"",$O60,""))))),""))</f>
        <v/>
      </c>
      <c r="AT60" s="193" t="str">
        <f aca="false">IFERROR(IF($AN60&lt;&gt;"",$AN60,IF($AH60&lt;&gt;"",$AH60,IF($AB60&lt;&gt;"",$AB60,IF($V60&lt;&gt;"",$V60,IF($P60&lt;&gt;"",$P60,""))))),"")</f>
        <v/>
      </c>
      <c r="AU60" s="194"/>
    </row>
    <row r="61" customFormat="false" ht="135.8" hidden="false" customHeight="false" outlineLevel="0" collapsed="false">
      <c r="A61" s="191" t="str">
        <f aca="false">IF($F61="","",$C$2&amp;"."&amp;COUNTA($F$7:$F61)&amp;"")</f>
        <v>TC_09.40</v>
      </c>
      <c r="B61" s="191" t="s">
        <v>592</v>
      </c>
      <c r="C61" s="191" t="s">
        <v>530</v>
      </c>
      <c r="D61" s="191" t="s">
        <v>41</v>
      </c>
      <c r="E61" s="191" t="s">
        <v>159</v>
      </c>
      <c r="F61" s="13" t="s">
        <v>1251</v>
      </c>
      <c r="G61" s="13" t="s">
        <v>1116</v>
      </c>
      <c r="H61" s="13" t="s">
        <v>1252</v>
      </c>
      <c r="I61" s="13" t="s">
        <v>1253</v>
      </c>
      <c r="J61" s="191" t="s">
        <v>658</v>
      </c>
      <c r="K61" s="191" t="s">
        <v>245</v>
      </c>
      <c r="L61" s="191"/>
      <c r="M61" s="191"/>
      <c r="N61" s="192"/>
      <c r="O61" s="192"/>
      <c r="P61" s="192"/>
      <c r="Q61" s="192"/>
      <c r="R61" s="192"/>
      <c r="S61" s="192"/>
      <c r="T61" s="192"/>
      <c r="U61" s="192"/>
      <c r="V61" s="192"/>
      <c r="W61" s="192"/>
      <c r="X61" s="192"/>
      <c r="Y61" s="192"/>
      <c r="Z61" s="192"/>
      <c r="AA61" s="192"/>
      <c r="AB61" s="192"/>
      <c r="AC61" s="192"/>
      <c r="AD61" s="192"/>
      <c r="AE61" s="192"/>
      <c r="AF61" s="192"/>
      <c r="AG61" s="192"/>
      <c r="AH61" s="192"/>
      <c r="AI61" s="192"/>
      <c r="AJ61" s="192"/>
      <c r="AK61" s="192"/>
      <c r="AL61" s="192"/>
      <c r="AM61" s="192"/>
      <c r="AN61" s="192"/>
      <c r="AO61" s="192"/>
      <c r="AP61" s="192"/>
      <c r="AQ61" s="192"/>
      <c r="AR61" s="193" t="str">
        <f aca="false">IF($A61="","",IF(OR($N61="Yes",$T61="Yes",$Z61="Yes",$AF61="Yes",$AL61="Yes"),"Yes","No"))</f>
        <v>No</v>
      </c>
      <c r="AS61" s="193" t="str">
        <f aca="false">IF($A61="","",IFERROR(IF($AM61&lt;&gt;"",$AM61,IF($AG61&lt;&gt;"",$AG61,IF($AA61&lt;&gt;"",$AA61,IF($U61&lt;&gt;"",$U61,IF($O61&lt;&gt;"",$O61,""))))),""))</f>
        <v/>
      </c>
      <c r="AT61" s="193" t="str">
        <f aca="false">IFERROR(IF($AN61&lt;&gt;"",$AN61,IF($AH61&lt;&gt;"",$AH61,IF($AB61&lt;&gt;"",$AB61,IF($V61&lt;&gt;"",$V61,IF($P61&lt;&gt;"",$P61,""))))),"")</f>
        <v/>
      </c>
      <c r="AU61" s="194"/>
      <c r="AV61" s="1"/>
    </row>
    <row r="62" customFormat="false" ht="158.2" hidden="false" customHeight="false" outlineLevel="0" collapsed="false">
      <c r="A62" s="191" t="str">
        <f aca="false">IF($F62="","",$C$2&amp;"."&amp;COUNTA($F$7:$F62)&amp;"")</f>
        <v>TC_09.41</v>
      </c>
      <c r="B62" s="191" t="s">
        <v>592</v>
      </c>
      <c r="C62" s="191" t="s">
        <v>530</v>
      </c>
      <c r="D62" s="191" t="s">
        <v>41</v>
      </c>
      <c r="E62" s="191" t="s">
        <v>159</v>
      </c>
      <c r="F62" s="13" t="s">
        <v>1254</v>
      </c>
      <c r="G62" s="13" t="s">
        <v>655</v>
      </c>
      <c r="H62" s="13" t="s">
        <v>1255</v>
      </c>
      <c r="I62" s="13" t="s">
        <v>1256</v>
      </c>
      <c r="J62" s="191" t="s">
        <v>658</v>
      </c>
      <c r="K62" s="191" t="s">
        <v>245</v>
      </c>
      <c r="L62" s="191"/>
      <c r="M62" s="191"/>
      <c r="N62" s="192"/>
      <c r="O62" s="192"/>
      <c r="P62" s="192"/>
      <c r="Q62" s="192"/>
      <c r="R62" s="192"/>
      <c r="S62" s="192"/>
      <c r="T62" s="192"/>
      <c r="U62" s="192"/>
      <c r="V62" s="192"/>
      <c r="W62" s="192"/>
      <c r="X62" s="192"/>
      <c r="Y62" s="192"/>
      <c r="Z62" s="192"/>
      <c r="AA62" s="192"/>
      <c r="AB62" s="192"/>
      <c r="AC62" s="192"/>
      <c r="AD62" s="192"/>
      <c r="AE62" s="192"/>
      <c r="AF62" s="192"/>
      <c r="AG62" s="192"/>
      <c r="AH62" s="192"/>
      <c r="AI62" s="192"/>
      <c r="AJ62" s="192"/>
      <c r="AK62" s="192"/>
      <c r="AL62" s="192"/>
      <c r="AM62" s="192"/>
      <c r="AN62" s="192"/>
      <c r="AO62" s="192"/>
      <c r="AP62" s="192"/>
      <c r="AQ62" s="192"/>
      <c r="AR62" s="193" t="str">
        <f aca="false">IF($A62="","",IF(OR($N62="Yes",$T62="Yes",$Z62="Yes",$AF62="Yes",$AL62="Yes"),"Yes","No"))</f>
        <v>No</v>
      </c>
      <c r="AS62" s="193" t="str">
        <f aca="false">IF($A62="","",IFERROR(IF($AM62&lt;&gt;"",$AM62,IF($AG62&lt;&gt;"",$AG62,IF($AA62&lt;&gt;"",$AA62,IF($U62&lt;&gt;"",$U62,IF($O62&lt;&gt;"",$O62,""))))),""))</f>
        <v/>
      </c>
      <c r="AT62" s="193" t="str">
        <f aca="false">IFERROR(IF($AN62&lt;&gt;"",$AN62,IF($AH62&lt;&gt;"",$AH62,IF($AB62&lt;&gt;"",$AB62,IF($V62&lt;&gt;"",$V62,IF($P62&lt;&gt;"",$P62,""))))),"")</f>
        <v/>
      </c>
      <c r="AU62" s="194"/>
      <c r="AV62" s="1"/>
    </row>
    <row r="63" customFormat="false" ht="124.6" hidden="false" customHeight="false" outlineLevel="0" collapsed="false">
      <c r="A63" s="191" t="str">
        <f aca="false">IF($F63="","",$C$2&amp;"."&amp;COUNTA($F$7:$F63)&amp;"")</f>
        <v>TC_09.42</v>
      </c>
      <c r="B63" s="191" t="s">
        <v>592</v>
      </c>
      <c r="C63" s="191" t="s">
        <v>530</v>
      </c>
      <c r="D63" s="191" t="s">
        <v>41</v>
      </c>
      <c r="E63" s="191" t="s">
        <v>160</v>
      </c>
      <c r="F63" s="13" t="s">
        <v>1257</v>
      </c>
      <c r="G63" s="13" t="s">
        <v>1116</v>
      </c>
      <c r="H63" s="13" t="s">
        <v>1258</v>
      </c>
      <c r="I63" s="13" t="s">
        <v>1259</v>
      </c>
      <c r="J63" s="191" t="s">
        <v>658</v>
      </c>
      <c r="K63" s="191" t="s">
        <v>245</v>
      </c>
      <c r="L63" s="191"/>
      <c r="M63" s="191"/>
      <c r="N63" s="192"/>
      <c r="O63" s="192"/>
      <c r="P63" s="192"/>
      <c r="Q63" s="192"/>
      <c r="R63" s="192"/>
      <c r="S63" s="192"/>
      <c r="T63" s="192"/>
      <c r="U63" s="192"/>
      <c r="V63" s="192"/>
      <c r="W63" s="192"/>
      <c r="X63" s="192"/>
      <c r="Y63" s="192"/>
      <c r="Z63" s="192"/>
      <c r="AA63" s="192"/>
      <c r="AB63" s="192"/>
      <c r="AC63" s="192"/>
      <c r="AD63" s="192"/>
      <c r="AE63" s="192"/>
      <c r="AF63" s="192"/>
      <c r="AG63" s="192"/>
      <c r="AH63" s="192"/>
      <c r="AI63" s="192"/>
      <c r="AJ63" s="192"/>
      <c r="AK63" s="192"/>
      <c r="AL63" s="192"/>
      <c r="AM63" s="192"/>
      <c r="AN63" s="192"/>
      <c r="AO63" s="192"/>
      <c r="AP63" s="192"/>
      <c r="AQ63" s="192"/>
      <c r="AR63" s="193" t="str">
        <f aca="false">IF($A63="","",IF(OR($N63="Yes",$T63="Yes",$Z63="Yes",$AF63="Yes",$AL63="Yes"),"Yes","No"))</f>
        <v>No</v>
      </c>
      <c r="AS63" s="193" t="str">
        <f aca="false">IF($A63="","",IFERROR(IF($AM63&lt;&gt;"",$AM63,IF($AG63&lt;&gt;"",$AG63,IF($AA63&lt;&gt;"",$AA63,IF($U63&lt;&gt;"",$U63,IF($O63&lt;&gt;"",$O63,""))))),""))</f>
        <v/>
      </c>
      <c r="AT63" s="193" t="str">
        <f aca="false">IFERROR(IF($AN63&lt;&gt;"",$AN63,IF($AH63&lt;&gt;"",$AH63,IF($AB63&lt;&gt;"",$AB63,IF($V63&lt;&gt;"",$V63,IF($P63&lt;&gt;"",$P63,""))))),"")</f>
        <v/>
      </c>
      <c r="AU63" s="194"/>
      <c r="AV63" s="1"/>
    </row>
    <row r="64" customFormat="false" ht="15" hidden="false" customHeight="false" outlineLevel="0" collapsed="false">
      <c r="A64" s="196"/>
      <c r="B64" s="196"/>
      <c r="C64" s="197" t="s">
        <v>1260</v>
      </c>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
    </row>
    <row r="65" customFormat="false" ht="113.4" hidden="false" customHeight="false" outlineLevel="0" collapsed="false">
      <c r="A65" s="191" t="str">
        <f aca="false">IF($F65="","",$C$2&amp;"."&amp;COUNTA($F$7:$F65)&amp;"")</f>
        <v>TC_09.43</v>
      </c>
      <c r="B65" s="191" t="s">
        <v>1261</v>
      </c>
      <c r="C65" s="191" t="s">
        <v>530</v>
      </c>
      <c r="D65" s="191" t="s">
        <v>41</v>
      </c>
      <c r="E65" s="191" t="s">
        <v>159</v>
      </c>
      <c r="F65" s="13" t="s">
        <v>1262</v>
      </c>
      <c r="G65" s="13" t="s">
        <v>655</v>
      </c>
      <c r="H65" s="13" t="s">
        <v>1263</v>
      </c>
      <c r="I65" s="13" t="s">
        <v>1264</v>
      </c>
      <c r="J65" s="191" t="s">
        <v>658</v>
      </c>
      <c r="K65" s="191" t="s">
        <v>245</v>
      </c>
      <c r="L65" s="191"/>
      <c r="M65" s="191"/>
      <c r="N65" s="192"/>
      <c r="O65" s="192"/>
      <c r="P65" s="192"/>
      <c r="Q65" s="192"/>
      <c r="R65" s="192"/>
      <c r="S65" s="192"/>
      <c r="T65" s="192"/>
      <c r="U65" s="192"/>
      <c r="V65" s="192"/>
      <c r="W65" s="192"/>
      <c r="X65" s="192"/>
      <c r="Y65" s="192"/>
      <c r="Z65" s="192"/>
      <c r="AA65" s="192"/>
      <c r="AB65" s="192"/>
      <c r="AC65" s="192"/>
      <c r="AD65" s="192"/>
      <c r="AE65" s="192"/>
      <c r="AF65" s="192"/>
      <c r="AG65" s="192"/>
      <c r="AH65" s="192"/>
      <c r="AI65" s="192"/>
      <c r="AJ65" s="192"/>
      <c r="AK65" s="192"/>
      <c r="AL65" s="192"/>
      <c r="AM65" s="192"/>
      <c r="AN65" s="192"/>
      <c r="AO65" s="192"/>
      <c r="AP65" s="192"/>
      <c r="AQ65" s="192"/>
      <c r="AR65" s="193" t="str">
        <f aca="false">IF($A65="","",IF(OR($N65="Yes",$T65="Yes",$Z65="Yes",$AF65="Yes",$AL65="Yes"),"Yes","No"))</f>
        <v>No</v>
      </c>
      <c r="AS65" s="193" t="str">
        <f aca="false">IF($A65="","",IFERROR(IF($AM65&lt;&gt;"",$AM65,IF($AG65&lt;&gt;"",$AG65,IF($AA65&lt;&gt;"",$AA65,IF($U65&lt;&gt;"",$U65,IF($O65&lt;&gt;"",$O65,""))))),""))</f>
        <v/>
      </c>
      <c r="AT65" s="193" t="str">
        <f aca="false">IFERROR(IF($AN65&lt;&gt;"",$AN65,IF($AH65&lt;&gt;"",$AH65,IF($AB65&lt;&gt;"",$AB65,IF($V65&lt;&gt;"",$V65,IF($P65&lt;&gt;"",$P65,""))))),"")</f>
        <v/>
      </c>
      <c r="AU65" s="194"/>
      <c r="AV65" s="1"/>
    </row>
    <row r="66" customFormat="false" ht="124.6" hidden="false" customHeight="false" outlineLevel="0" collapsed="false">
      <c r="A66" s="191" t="str">
        <f aca="false">IF($F66="","",$C$2&amp;"."&amp;COUNTA($F$7:$F66)&amp;"")</f>
        <v>TC_09.44</v>
      </c>
      <c r="B66" s="191" t="s">
        <v>595</v>
      </c>
      <c r="C66" s="191" t="s">
        <v>530</v>
      </c>
      <c r="D66" s="191" t="s">
        <v>41</v>
      </c>
      <c r="E66" s="191" t="s">
        <v>159</v>
      </c>
      <c r="F66" s="13" t="s">
        <v>1265</v>
      </c>
      <c r="G66" s="13" t="s">
        <v>655</v>
      </c>
      <c r="H66" s="13" t="s">
        <v>1266</v>
      </c>
      <c r="I66" s="13" t="s">
        <v>1264</v>
      </c>
      <c r="J66" s="191" t="s">
        <v>658</v>
      </c>
      <c r="K66" s="191" t="s">
        <v>245</v>
      </c>
      <c r="L66" s="191"/>
      <c r="M66" s="191"/>
      <c r="N66" s="192"/>
      <c r="O66" s="192"/>
      <c r="P66" s="192"/>
      <c r="Q66" s="192"/>
      <c r="R66" s="192"/>
      <c r="S66" s="192"/>
      <c r="T66" s="192"/>
      <c r="U66" s="192"/>
      <c r="V66" s="192"/>
      <c r="W66" s="192"/>
      <c r="X66" s="192"/>
      <c r="Y66" s="192"/>
      <c r="Z66" s="192"/>
      <c r="AA66" s="192"/>
      <c r="AB66" s="192"/>
      <c r="AC66" s="192"/>
      <c r="AD66" s="192"/>
      <c r="AE66" s="192"/>
      <c r="AF66" s="192"/>
      <c r="AG66" s="192"/>
      <c r="AH66" s="192"/>
      <c r="AI66" s="192"/>
      <c r="AJ66" s="192"/>
      <c r="AK66" s="192"/>
      <c r="AL66" s="192"/>
      <c r="AM66" s="192"/>
      <c r="AN66" s="192"/>
      <c r="AO66" s="192"/>
      <c r="AP66" s="192"/>
      <c r="AQ66" s="192"/>
      <c r="AR66" s="193" t="str">
        <f aca="false">IF($A66="","",IF(OR($N66="Yes",$T66="Yes",$Z66="Yes",$AF66="Yes",$AL66="Yes"),"Yes","No"))</f>
        <v>No</v>
      </c>
      <c r="AS66" s="193" t="str">
        <f aca="false">IF($A66="","",IFERROR(IF($AM66&lt;&gt;"",$AM66,IF($AG66&lt;&gt;"",$AG66,IF($AA66&lt;&gt;"",$AA66,IF($U66&lt;&gt;"",$U66,IF($O66&lt;&gt;"",$O66,""))))),""))</f>
        <v/>
      </c>
      <c r="AT66" s="193" t="str">
        <f aca="false">IFERROR(IF($AN66&lt;&gt;"",$AN66,IF($AH66&lt;&gt;"",$AH66,IF($AB66&lt;&gt;"",$AB66,IF($V66&lt;&gt;"",$V66,IF($P66&lt;&gt;"",$P66,""))))),"")</f>
        <v/>
      </c>
      <c r="AU66" s="194"/>
      <c r="AV66" s="1"/>
    </row>
    <row r="67" customFormat="false" ht="15" hidden="false" customHeight="false" outlineLevel="0" collapsed="false">
      <c r="A67" s="196"/>
      <c r="B67" s="196"/>
      <c r="C67" s="197" t="s">
        <v>1267</v>
      </c>
      <c r="D67" s="197"/>
      <c r="E67" s="197"/>
      <c r="F67" s="197"/>
      <c r="G67" s="197"/>
      <c r="H67" s="197"/>
      <c r="I67" s="197"/>
      <c r="J67" s="197"/>
      <c r="K67" s="197"/>
      <c r="L67" s="197"/>
      <c r="M67" s="197"/>
      <c r="N67" s="197"/>
      <c r="O67" s="197"/>
      <c r="P67" s="197"/>
      <c r="Q67" s="197"/>
      <c r="R67" s="197"/>
      <c r="S67" s="197"/>
      <c r="T67" s="197"/>
      <c r="U67" s="197"/>
      <c r="V67" s="197"/>
      <c r="W67" s="197"/>
      <c r="X67" s="197"/>
      <c r="Y67" s="197"/>
      <c r="Z67" s="197"/>
      <c r="AA67" s="197"/>
      <c r="AB67" s="197"/>
      <c r="AC67" s="197"/>
      <c r="AD67" s="197"/>
      <c r="AE67" s="197"/>
      <c r="AF67" s="197"/>
      <c r="AG67" s="197"/>
      <c r="AH67" s="197"/>
      <c r="AI67" s="197"/>
      <c r="AJ67" s="197"/>
      <c r="AK67" s="197"/>
      <c r="AL67" s="197"/>
      <c r="AM67" s="197"/>
      <c r="AN67" s="197"/>
      <c r="AO67" s="197"/>
      <c r="AP67" s="197"/>
      <c r="AQ67" s="197"/>
      <c r="AR67" s="197"/>
      <c r="AS67" s="197"/>
      <c r="AT67" s="197"/>
      <c r="AU67" s="197"/>
      <c r="AV67" s="1"/>
    </row>
    <row r="68" customFormat="false" ht="113.4" hidden="false" customHeight="false" outlineLevel="0" collapsed="false">
      <c r="A68" s="191" t="str">
        <f aca="false">IF($F68="","",$C$2&amp;"."&amp;COUNTA($F$7:$F68)&amp;"")</f>
        <v>TC_09.45</v>
      </c>
      <c r="B68" s="191" t="s">
        <v>601</v>
      </c>
      <c r="C68" s="191" t="s">
        <v>530</v>
      </c>
      <c r="D68" s="191" t="s">
        <v>43</v>
      </c>
      <c r="E68" s="191" t="s">
        <v>160</v>
      </c>
      <c r="F68" s="13" t="s">
        <v>1268</v>
      </c>
      <c r="G68" s="13" t="s">
        <v>655</v>
      </c>
      <c r="H68" s="13" t="s">
        <v>1269</v>
      </c>
      <c r="I68" s="13" t="s">
        <v>1270</v>
      </c>
      <c r="J68" s="191" t="s">
        <v>658</v>
      </c>
      <c r="K68" s="191" t="s">
        <v>245</v>
      </c>
      <c r="L68" s="191"/>
      <c r="M68" s="191"/>
      <c r="N68" s="192"/>
      <c r="O68" s="192"/>
      <c r="P68" s="192"/>
      <c r="Q68" s="192"/>
      <c r="R68" s="192"/>
      <c r="S68" s="192"/>
      <c r="T68" s="192"/>
      <c r="U68" s="192"/>
      <c r="V68" s="192"/>
      <c r="W68" s="192"/>
      <c r="X68" s="192"/>
      <c r="Y68" s="192"/>
      <c r="Z68" s="192"/>
      <c r="AA68" s="192"/>
      <c r="AB68" s="192"/>
      <c r="AC68" s="192"/>
      <c r="AD68" s="192"/>
      <c r="AE68" s="192"/>
      <c r="AF68" s="192"/>
      <c r="AG68" s="192"/>
      <c r="AH68" s="192"/>
      <c r="AI68" s="192"/>
      <c r="AJ68" s="192"/>
      <c r="AK68" s="192"/>
      <c r="AL68" s="192"/>
      <c r="AM68" s="192"/>
      <c r="AN68" s="192"/>
      <c r="AO68" s="192"/>
      <c r="AP68" s="192"/>
      <c r="AQ68" s="192"/>
      <c r="AR68" s="193" t="str">
        <f aca="false">IF($A68="","",IF(OR($N68="Yes",$T68="Yes",$Z68="Yes",$AF68="Yes",$AL68="Yes"),"Yes","No"))</f>
        <v>No</v>
      </c>
      <c r="AS68" s="193" t="str">
        <f aca="false">IF($A68="","",IFERROR(IF($AM68&lt;&gt;"",$AM68,IF($AG68&lt;&gt;"",$AG68,IF($AA68&lt;&gt;"",$AA68,IF($U68&lt;&gt;"",$U68,IF($O68&lt;&gt;"",$O68,""))))),""))</f>
        <v/>
      </c>
      <c r="AT68" s="193" t="str">
        <f aca="false">IFERROR(IF($AN68&lt;&gt;"",$AN68,IF($AH68&lt;&gt;"",$AH68,IF($AB68&lt;&gt;"",$AB68,IF($V68&lt;&gt;"",$V68,IF($P68&lt;&gt;"",$P68,""))))),"")</f>
        <v/>
      </c>
      <c r="AU68" s="194"/>
      <c r="AV68" s="1"/>
    </row>
    <row r="69" customFormat="false" ht="113.4" hidden="false" customHeight="false" outlineLevel="0" collapsed="false">
      <c r="A69" s="191" t="str">
        <f aca="false">IF($F69="","",$C$2&amp;"."&amp;COUNTA($F$7:$F69)&amp;"")</f>
        <v>TC_09.46</v>
      </c>
      <c r="B69" s="191" t="s">
        <v>601</v>
      </c>
      <c r="C69" s="191" t="s">
        <v>530</v>
      </c>
      <c r="D69" s="191" t="s">
        <v>43</v>
      </c>
      <c r="E69" s="191" t="s">
        <v>160</v>
      </c>
      <c r="F69" s="13" t="s">
        <v>1271</v>
      </c>
      <c r="G69" s="13" t="s">
        <v>655</v>
      </c>
      <c r="H69" s="13" t="s">
        <v>1272</v>
      </c>
      <c r="I69" s="13" t="s">
        <v>1273</v>
      </c>
      <c r="J69" s="191" t="s">
        <v>658</v>
      </c>
      <c r="K69" s="191" t="s">
        <v>245</v>
      </c>
      <c r="L69" s="191"/>
      <c r="M69" s="191"/>
      <c r="N69" s="192"/>
      <c r="O69" s="192"/>
      <c r="P69" s="192"/>
      <c r="Q69" s="192"/>
      <c r="R69" s="192"/>
      <c r="S69" s="192"/>
      <c r="T69" s="192"/>
      <c r="U69" s="192"/>
      <c r="V69" s="192"/>
      <c r="W69" s="192"/>
      <c r="X69" s="192"/>
      <c r="Y69" s="192"/>
      <c r="Z69" s="192"/>
      <c r="AA69" s="192"/>
      <c r="AB69" s="192"/>
      <c r="AC69" s="192"/>
      <c r="AD69" s="192"/>
      <c r="AE69" s="192"/>
      <c r="AF69" s="192"/>
      <c r="AG69" s="192"/>
      <c r="AH69" s="192"/>
      <c r="AI69" s="192"/>
      <c r="AJ69" s="192"/>
      <c r="AK69" s="192"/>
      <c r="AL69" s="192"/>
      <c r="AM69" s="192"/>
      <c r="AN69" s="192"/>
      <c r="AO69" s="192"/>
      <c r="AP69" s="192"/>
      <c r="AQ69" s="192"/>
      <c r="AR69" s="193" t="str">
        <f aca="false">IF($A69="","",IF(OR($N69="Yes",$T69="Yes",$Z69="Yes",$AF69="Yes",$AL69="Yes"),"Yes","No"))</f>
        <v>No</v>
      </c>
      <c r="AS69" s="193" t="str">
        <f aca="false">IF($A69="","",IFERROR(IF($AM69&lt;&gt;"",$AM69,IF($AG69&lt;&gt;"",$AG69,IF($AA69&lt;&gt;"",$AA69,IF($U69&lt;&gt;"",$U69,IF($O69&lt;&gt;"",$O69,""))))),""))</f>
        <v/>
      </c>
      <c r="AT69" s="193" t="str">
        <f aca="false">IFERROR(IF($AN69&lt;&gt;"",$AN69,IF($AH69&lt;&gt;"",$AH69,IF($AB69&lt;&gt;"",$AB69,IF($V69&lt;&gt;"",$V69,IF($P69&lt;&gt;"",$P69,""))))),"")</f>
        <v/>
      </c>
      <c r="AU69" s="194"/>
      <c r="AV69" s="1"/>
    </row>
    <row r="70" customFormat="false" ht="15" hidden="false" customHeight="false" outlineLevel="0" collapsed="false">
      <c r="A70" s="196"/>
      <c r="B70" s="196"/>
      <c r="C70" s="197" t="s">
        <v>1274</v>
      </c>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197"/>
      <c r="AH70" s="197"/>
      <c r="AI70" s="197"/>
      <c r="AJ70" s="197"/>
      <c r="AK70" s="197"/>
      <c r="AL70" s="197"/>
      <c r="AM70" s="197"/>
      <c r="AN70" s="197"/>
      <c r="AO70" s="197"/>
      <c r="AP70" s="197"/>
      <c r="AQ70" s="197"/>
      <c r="AR70" s="197"/>
      <c r="AS70" s="197"/>
      <c r="AT70" s="197"/>
      <c r="AU70" s="197"/>
      <c r="AV70" s="1"/>
    </row>
    <row r="71" customFormat="false" ht="79.85" hidden="false" customHeight="false" outlineLevel="0" collapsed="false">
      <c r="A71" s="191" t="str">
        <f aca="false">IF($F71="","",$C$2&amp;"."&amp;COUNTA($F$7:$F71)&amp;"")</f>
        <v>TC_09.47</v>
      </c>
      <c r="B71" s="191" t="s">
        <v>604</v>
      </c>
      <c r="C71" s="191" t="s">
        <v>530</v>
      </c>
      <c r="D71" s="191" t="s">
        <v>41</v>
      </c>
      <c r="E71" s="191" t="s">
        <v>160</v>
      </c>
      <c r="F71" s="13" t="s">
        <v>1275</v>
      </c>
      <c r="G71" s="13" t="s">
        <v>1116</v>
      </c>
      <c r="H71" s="13" t="s">
        <v>1276</v>
      </c>
      <c r="I71" s="13" t="s">
        <v>1277</v>
      </c>
      <c r="J71" s="191" t="s">
        <v>658</v>
      </c>
      <c r="K71" s="191" t="s">
        <v>245</v>
      </c>
      <c r="L71" s="191"/>
      <c r="M71" s="191"/>
      <c r="N71" s="192"/>
      <c r="O71" s="192"/>
      <c r="P71" s="192"/>
      <c r="Q71" s="192"/>
      <c r="R71" s="192"/>
      <c r="S71" s="192"/>
      <c r="T71" s="192"/>
      <c r="U71" s="192"/>
      <c r="V71" s="192"/>
      <c r="W71" s="192"/>
      <c r="X71" s="192"/>
      <c r="Y71" s="192"/>
      <c r="Z71" s="192"/>
      <c r="AA71" s="192"/>
      <c r="AB71" s="192"/>
      <c r="AC71" s="192"/>
      <c r="AD71" s="192"/>
      <c r="AE71" s="192"/>
      <c r="AF71" s="192"/>
      <c r="AG71" s="192"/>
      <c r="AH71" s="192"/>
      <c r="AI71" s="192"/>
      <c r="AJ71" s="192"/>
      <c r="AK71" s="192"/>
      <c r="AL71" s="192"/>
      <c r="AM71" s="192"/>
      <c r="AN71" s="192"/>
      <c r="AO71" s="192"/>
      <c r="AP71" s="192"/>
      <c r="AQ71" s="192"/>
      <c r="AR71" s="193" t="str">
        <f aca="false">IF($A71="","",IF(OR($N71="Yes",$T71="Yes",$Z71="Yes",$AF71="Yes",$AL71="Yes"),"Yes","No"))</f>
        <v>No</v>
      </c>
      <c r="AS71" s="193" t="str">
        <f aca="false">IF($A71="","",IFERROR(IF($AM71&lt;&gt;"",$AM71,IF($AG71&lt;&gt;"",$AG71,IF($AA71&lt;&gt;"",$AA71,IF($U71&lt;&gt;"",$U71,IF($O71&lt;&gt;"",$O71,""))))),""))</f>
        <v/>
      </c>
      <c r="AT71" s="193" t="str">
        <f aca="false">IFERROR(IF($AN71&lt;&gt;"",$AN71,IF($AH71&lt;&gt;"",$AH71,IF($AB71&lt;&gt;"",$AB71,IF($V71&lt;&gt;"",$V71,IF($P71&lt;&gt;"",$P71,""))))),"")</f>
        <v/>
      </c>
      <c r="AU71" s="194"/>
      <c r="AV71" s="1"/>
    </row>
    <row r="72" customFormat="false" ht="79.85" hidden="false" customHeight="false" outlineLevel="0" collapsed="false">
      <c r="A72" s="191" t="str">
        <f aca="false">IF($F72="","",$C$2&amp;"."&amp;COUNTA($F$7:$F72)&amp;"")</f>
        <v>TC_09.48</v>
      </c>
      <c r="B72" s="191" t="s">
        <v>604</v>
      </c>
      <c r="C72" s="191" t="s">
        <v>530</v>
      </c>
      <c r="D72" s="191" t="s">
        <v>41</v>
      </c>
      <c r="E72" s="191" t="s">
        <v>160</v>
      </c>
      <c r="F72" s="13" t="s">
        <v>1278</v>
      </c>
      <c r="G72" s="13" t="s">
        <v>655</v>
      </c>
      <c r="H72" s="13" t="s">
        <v>1279</v>
      </c>
      <c r="I72" s="13" t="s">
        <v>1280</v>
      </c>
      <c r="J72" s="191" t="s">
        <v>658</v>
      </c>
      <c r="K72" s="191" t="s">
        <v>245</v>
      </c>
      <c r="L72" s="191"/>
      <c r="M72" s="191"/>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3" t="str">
        <f aca="false">IF($A72="","",IF(OR($N72="Yes",$T72="Yes",$Z72="Yes",$AF72="Yes",$AL72="Yes"),"Yes","No"))</f>
        <v>No</v>
      </c>
      <c r="AS72" s="193" t="str">
        <f aca="false">IF($A72="","",IFERROR(IF($AM72&lt;&gt;"",$AM72,IF($AG72&lt;&gt;"",$AG72,IF($AA72&lt;&gt;"",$AA72,IF($U72&lt;&gt;"",$U72,IF($O72&lt;&gt;"",$O72,""))))),""))</f>
        <v/>
      </c>
      <c r="AT72" s="193" t="str">
        <f aca="false">IFERROR(IF($AN72&lt;&gt;"",$AN72,IF($AH72&lt;&gt;"",$AH72,IF($AB72&lt;&gt;"",$AB72,IF($V72&lt;&gt;"",$V72,IF($P72&lt;&gt;"",$P72,""))))),"")</f>
        <v/>
      </c>
      <c r="AU72" s="194"/>
      <c r="AV72" s="1"/>
    </row>
    <row r="73" customFormat="false" ht="15.75" hidden="false" customHeight="false" outlineLevel="0" collapsed="false">
      <c r="AV73" s="1"/>
    </row>
    <row r="74" customFormat="false" ht="15.75" hidden="false" customHeight="false" outlineLevel="0" collapsed="false">
      <c r="AV74" s="1"/>
    </row>
    <row r="75" customFormat="false" ht="15.75" hidden="false" customHeight="false" outlineLevel="0" collapsed="false">
      <c r="AV75" s="1"/>
    </row>
    <row r="76" customFormat="false" ht="15.75" hidden="false" customHeight="false" outlineLevel="0" collapsed="false">
      <c r="AV76" s="1"/>
    </row>
    <row r="77" customFormat="false" ht="15.75" hidden="false" customHeight="false" outlineLevel="0" collapsed="false">
      <c r="AV77" s="1"/>
    </row>
    <row r="78" customFormat="false" ht="15.75" hidden="false" customHeight="false" outlineLevel="0" collapsed="false">
      <c r="AV78" s="1"/>
    </row>
    <row r="79" customFormat="false" ht="15.75" hidden="false" customHeight="false" outlineLevel="0" collapsed="false">
      <c r="AV79" s="1"/>
    </row>
    <row r="80" customFormat="false" ht="15.75" hidden="false" customHeight="false" outlineLevel="0" collapsed="false">
      <c r="AV80" s="1"/>
    </row>
    <row r="81" customFormat="false" ht="15.75" hidden="false" customHeight="false" outlineLevel="0" collapsed="false">
      <c r="AV81" s="1"/>
    </row>
    <row r="82" customFormat="false" ht="15.75" hidden="false" customHeight="false" outlineLevel="0" collapsed="false">
      <c r="AV82" s="1"/>
    </row>
    <row r="83" customFormat="false" ht="15.75" hidden="false" customHeight="false" outlineLevel="0" collapsed="false">
      <c r="AV83" s="1"/>
    </row>
    <row r="84" customFormat="false" ht="15.75" hidden="false" customHeight="false" outlineLevel="0" collapsed="false">
      <c r="AV84" s="1"/>
    </row>
    <row r="85" customFormat="false" ht="15.75" hidden="false" customHeight="false" outlineLevel="0" collapsed="false">
      <c r="AV85" s="1"/>
    </row>
    <row r="86" customFormat="false" ht="15.75" hidden="false" customHeight="false" outlineLevel="0" collapsed="false">
      <c r="AV86" s="1"/>
    </row>
    <row r="87" customFormat="false" ht="15.75" hidden="false" customHeight="false" outlineLevel="0" collapsed="false">
      <c r="AV87" s="1"/>
    </row>
    <row r="88" customFormat="false" ht="15.75" hidden="false" customHeight="false" outlineLevel="0" collapsed="false">
      <c r="AV88" s="1"/>
    </row>
    <row r="89" customFormat="false" ht="15.75" hidden="false" customHeight="false" outlineLevel="0" collapsed="false">
      <c r="AV89" s="1"/>
    </row>
    <row r="90" customFormat="false" ht="15.75" hidden="false" customHeight="false" outlineLevel="0" collapsed="false">
      <c r="AV90" s="1"/>
    </row>
    <row r="91" customFormat="false" ht="15.75" hidden="false" customHeight="false" outlineLevel="0" collapsed="false">
      <c r="AV91" s="1"/>
    </row>
    <row r="92" customFormat="false" ht="15.75" hidden="false" customHeight="false" outlineLevel="0" collapsed="false">
      <c r="AV92" s="1"/>
    </row>
    <row r="93" customFormat="false" ht="15.75" hidden="false" customHeight="false" outlineLevel="0" collapsed="false">
      <c r="AV93" s="1"/>
    </row>
    <row r="94" customFormat="false" ht="15.75" hidden="false" customHeight="false" outlineLevel="0" collapsed="false">
      <c r="AV94" s="1"/>
    </row>
    <row r="95" customFormat="false" ht="15.75" hidden="false" customHeight="false" outlineLevel="0" collapsed="false">
      <c r="AV95" s="1"/>
    </row>
    <row r="96" customFormat="false" ht="15.75" hidden="false" customHeight="false" outlineLevel="0" collapsed="false">
      <c r="AV96" s="1"/>
    </row>
    <row r="97" customFormat="false" ht="15.75" hidden="false" customHeight="false" outlineLevel="0" collapsed="false">
      <c r="AV97" s="1"/>
    </row>
    <row r="98" customFormat="false" ht="15.75" hidden="false" customHeight="false" outlineLevel="0" collapsed="false">
      <c r="AV98" s="1"/>
    </row>
    <row r="99" customFormat="false" ht="15.75" hidden="false" customHeight="false" outlineLevel="0" collapsed="false">
      <c r="AV99" s="1"/>
    </row>
    <row r="100" customFormat="false" ht="15.75" hidden="false" customHeight="false" outlineLevel="0" collapsed="false">
      <c r="AV100" s="1"/>
    </row>
    <row r="101" customFormat="false" ht="15.75" hidden="false" customHeight="false" outlineLevel="0" collapsed="false">
      <c r="AV101" s="1"/>
    </row>
    <row r="102" customFormat="false" ht="15.75" hidden="false" customHeight="false" outlineLevel="0" collapsed="false">
      <c r="AV102" s="1"/>
    </row>
    <row r="103" customFormat="false" ht="15.75" hidden="false" customHeight="false" outlineLevel="0" collapsed="false">
      <c r="AV103" s="1"/>
    </row>
    <row r="104" customFormat="false" ht="15.75" hidden="false" customHeight="false" outlineLevel="0" collapsed="false">
      <c r="AV104" s="1"/>
    </row>
    <row r="105" customFormat="false" ht="15.75" hidden="false" customHeight="false" outlineLevel="0" collapsed="false">
      <c r="AV105" s="1"/>
    </row>
    <row r="106" customFormat="false" ht="15.75" hidden="false" customHeight="false" outlineLevel="0" collapsed="false">
      <c r="AV106" s="1"/>
    </row>
    <row r="107" customFormat="false" ht="15.75" hidden="false" customHeight="false" outlineLevel="0" collapsed="false">
      <c r="AV107" s="1"/>
    </row>
    <row r="108" customFormat="false" ht="15.75" hidden="false" customHeight="false" outlineLevel="0" collapsed="false">
      <c r="AV108" s="1"/>
    </row>
    <row r="109" customFormat="false" ht="15.75" hidden="false" customHeight="false" outlineLevel="0" collapsed="false">
      <c r="AV109" s="1"/>
    </row>
    <row r="110" customFormat="false" ht="15.75" hidden="false" customHeight="false" outlineLevel="0" collapsed="false">
      <c r="AV110" s="1"/>
    </row>
    <row r="111" customFormat="false" ht="15.75" hidden="false" customHeight="false" outlineLevel="0" collapsed="false">
      <c r="AV111" s="1"/>
    </row>
    <row r="112" customFormat="false" ht="15.75" hidden="false" customHeight="false" outlineLevel="0" collapsed="false">
      <c r="AV112" s="1"/>
    </row>
    <row r="113" customFormat="false" ht="15.75" hidden="false" customHeight="false" outlineLevel="0" collapsed="false">
      <c r="AV113" s="1"/>
    </row>
    <row r="114" customFormat="false" ht="15.75" hidden="false" customHeight="false" outlineLevel="0" collapsed="false">
      <c r="AV114" s="1"/>
    </row>
    <row r="115" customFormat="false" ht="15.75" hidden="false" customHeight="false" outlineLevel="0" collapsed="false">
      <c r="AV115" s="1"/>
    </row>
    <row r="116" customFormat="false" ht="15.75" hidden="false" customHeight="false" outlineLevel="0" collapsed="false">
      <c r="AV116" s="1"/>
    </row>
    <row r="117" customFormat="false" ht="15.75" hidden="false" customHeight="false" outlineLevel="0" collapsed="false">
      <c r="AV117" s="1"/>
    </row>
    <row r="118" customFormat="false" ht="15.75" hidden="false" customHeight="false" outlineLevel="0" collapsed="false">
      <c r="AV118" s="1"/>
    </row>
    <row r="119" customFormat="false" ht="15.75" hidden="false" customHeight="false" outlineLevel="0" collapsed="false">
      <c r="AV119" s="1"/>
    </row>
    <row r="120" customFormat="false" ht="15.75" hidden="false" customHeight="false" outlineLevel="0" collapsed="false">
      <c r="AV120" s="1"/>
    </row>
    <row r="121" customFormat="false" ht="15.75" hidden="false" customHeight="false" outlineLevel="0" collapsed="false">
      <c r="AV121" s="1"/>
    </row>
    <row r="122" customFormat="false" ht="15.75" hidden="false" customHeight="false" outlineLevel="0" collapsed="false">
      <c r="AV122" s="1"/>
    </row>
    <row r="123" customFormat="false" ht="15.75" hidden="false" customHeight="false" outlineLevel="0" collapsed="false">
      <c r="AV123" s="1"/>
    </row>
    <row r="124" customFormat="false" ht="15.75" hidden="false" customHeight="false" outlineLevel="0" collapsed="false">
      <c r="AV124" s="1"/>
    </row>
    <row r="125" customFormat="false" ht="15.75" hidden="false" customHeight="false" outlineLevel="0" collapsed="false">
      <c r="AV125" s="1"/>
    </row>
    <row r="126" customFormat="false" ht="15.75" hidden="false" customHeight="false" outlineLevel="0" collapsed="false">
      <c r="AV126" s="1"/>
    </row>
    <row r="127" customFormat="false" ht="15.75" hidden="false" customHeight="false" outlineLevel="0" collapsed="false">
      <c r="AV127" s="1"/>
    </row>
    <row r="128" customFormat="false" ht="15.75" hidden="false" customHeight="false" outlineLevel="0" collapsed="false">
      <c r="AV128" s="1"/>
    </row>
    <row r="129" customFormat="false" ht="15.75" hidden="false" customHeight="false" outlineLevel="0" collapsed="false">
      <c r="AV129" s="1"/>
    </row>
    <row r="130" customFormat="false" ht="15.75" hidden="false" customHeight="false" outlineLevel="0" collapsed="false">
      <c r="AV130" s="1"/>
    </row>
    <row r="131" customFormat="false" ht="15.75" hidden="false" customHeight="false" outlineLevel="0" collapsed="false">
      <c r="AV131" s="1"/>
    </row>
    <row r="132" customFormat="false" ht="15.75" hidden="false" customHeight="false" outlineLevel="0" collapsed="false">
      <c r="AV132" s="1"/>
    </row>
    <row r="133" customFormat="false" ht="15.75" hidden="false" customHeight="false" outlineLevel="0" collapsed="false">
      <c r="AV133" s="1"/>
    </row>
    <row r="134" customFormat="false" ht="15.75" hidden="false" customHeight="false" outlineLevel="0" collapsed="false">
      <c r="AV134" s="1"/>
    </row>
    <row r="135" customFormat="false" ht="15.75" hidden="false" customHeight="false" outlineLevel="0" collapsed="false">
      <c r="AV135" s="1"/>
    </row>
    <row r="136" customFormat="false" ht="15.75" hidden="false" customHeight="false" outlineLevel="0" collapsed="false">
      <c r="AV136" s="1"/>
    </row>
    <row r="137" customFormat="false" ht="15.75" hidden="false" customHeight="false" outlineLevel="0" collapsed="false">
      <c r="AV137" s="1"/>
    </row>
    <row r="138" customFormat="false" ht="15.75" hidden="false" customHeight="false" outlineLevel="0" collapsed="false">
      <c r="AV138" s="1"/>
    </row>
    <row r="139" customFormat="false" ht="15.75" hidden="false" customHeight="false" outlineLevel="0" collapsed="false">
      <c r="AV139" s="1"/>
    </row>
    <row r="140" customFormat="false" ht="15.75" hidden="false" customHeight="false" outlineLevel="0" collapsed="false">
      <c r="AV140" s="1"/>
    </row>
    <row r="141" customFormat="false" ht="15.75" hidden="false" customHeight="false" outlineLevel="0" collapsed="false">
      <c r="AV141" s="1"/>
    </row>
    <row r="142" customFormat="false" ht="15.75" hidden="false" customHeight="false" outlineLevel="0" collapsed="false">
      <c r="AV142" s="1"/>
    </row>
    <row r="143" customFormat="false" ht="15.75" hidden="false" customHeight="false" outlineLevel="0" collapsed="false">
      <c r="AV143" s="1"/>
    </row>
    <row r="144" customFormat="false" ht="15.75" hidden="false" customHeight="false" outlineLevel="0" collapsed="false">
      <c r="AV144" s="1"/>
    </row>
    <row r="145" customFormat="false" ht="15.75" hidden="false" customHeight="false" outlineLevel="0" collapsed="false">
      <c r="AV145" s="1"/>
    </row>
    <row r="146" customFormat="false" ht="15.75" hidden="false" customHeight="false" outlineLevel="0" collapsed="false">
      <c r="AV146" s="1"/>
    </row>
    <row r="147" customFormat="false" ht="15.75" hidden="false" customHeight="false" outlineLevel="0" collapsed="false">
      <c r="AV147" s="1"/>
    </row>
    <row r="148" customFormat="false" ht="15.75" hidden="false" customHeight="false" outlineLevel="0" collapsed="false">
      <c r="AV148" s="1"/>
    </row>
    <row r="149" customFormat="false" ht="15.75" hidden="false" customHeight="false" outlineLevel="0" collapsed="false">
      <c r="AV149" s="1"/>
    </row>
    <row r="150" customFormat="false" ht="15.75" hidden="false" customHeight="false" outlineLevel="0" collapsed="false">
      <c r="AV150" s="1"/>
    </row>
    <row r="151" customFormat="false" ht="15.75" hidden="false" customHeight="false" outlineLevel="0" collapsed="false">
      <c r="AV151" s="1"/>
    </row>
    <row r="152" customFormat="false" ht="15.75" hidden="false" customHeight="false" outlineLevel="0" collapsed="false">
      <c r="AV152" s="1"/>
    </row>
    <row r="153" customFormat="false" ht="15.75" hidden="false" customHeight="false" outlineLevel="0" collapsed="false">
      <c r="AV153" s="1"/>
    </row>
    <row r="154" customFormat="false" ht="15.75" hidden="false" customHeight="false" outlineLevel="0" collapsed="false">
      <c r="AV154" s="1"/>
    </row>
    <row r="155" customFormat="false" ht="15.75" hidden="false" customHeight="false" outlineLevel="0" collapsed="false">
      <c r="AV155" s="1"/>
    </row>
    <row r="156" customFormat="false" ht="15.75" hidden="false" customHeight="false" outlineLevel="0" collapsed="false">
      <c r="AV156" s="1"/>
    </row>
    <row r="157" customFormat="false" ht="15.75" hidden="false" customHeight="false" outlineLevel="0" collapsed="false">
      <c r="AV157" s="1"/>
    </row>
    <row r="158" customFormat="false" ht="15.75" hidden="false" customHeight="false" outlineLevel="0" collapsed="false">
      <c r="AV158" s="1"/>
    </row>
    <row r="159" customFormat="false" ht="15.75" hidden="false" customHeight="false" outlineLevel="0" collapsed="false">
      <c r="AV159" s="1"/>
    </row>
    <row r="160" customFormat="false" ht="15.75" hidden="false" customHeight="false" outlineLevel="0" collapsed="false">
      <c r="AV160" s="1"/>
    </row>
    <row r="161" customFormat="false" ht="15.75" hidden="false" customHeight="false" outlineLevel="0" collapsed="false">
      <c r="AV161" s="1"/>
    </row>
    <row r="162" customFormat="false" ht="15.75" hidden="false" customHeight="false" outlineLevel="0" collapsed="false">
      <c r="AV162" s="1"/>
    </row>
    <row r="163" customFormat="false" ht="15.75" hidden="false" customHeight="false" outlineLevel="0" collapsed="false">
      <c r="AV163" s="1"/>
    </row>
    <row r="164" customFormat="false" ht="15.75" hidden="false" customHeight="false" outlineLevel="0" collapsed="false">
      <c r="AV164" s="1"/>
    </row>
    <row r="165" customFormat="false" ht="15.75" hidden="false" customHeight="false" outlineLevel="0" collapsed="false">
      <c r="AV165" s="1"/>
    </row>
    <row r="166" customFormat="false" ht="15.75" hidden="false" customHeight="false" outlineLevel="0" collapsed="false">
      <c r="AV166" s="1"/>
    </row>
    <row r="167" customFormat="false" ht="15.75" hidden="false" customHeight="false" outlineLevel="0" collapsed="false">
      <c r="AV167" s="1"/>
    </row>
    <row r="168" customFormat="false" ht="15.75" hidden="false" customHeight="false" outlineLevel="0" collapsed="false">
      <c r="AV168" s="1"/>
    </row>
    <row r="169" customFormat="false" ht="15.75" hidden="false" customHeight="false" outlineLevel="0" collapsed="false">
      <c r="AV169" s="1"/>
    </row>
    <row r="170" customFormat="false" ht="15.75" hidden="false" customHeight="false" outlineLevel="0" collapsed="false">
      <c r="AV170" s="1"/>
    </row>
    <row r="171" customFormat="false" ht="15.75" hidden="false" customHeight="false" outlineLevel="0" collapsed="false">
      <c r="AV171" s="1"/>
    </row>
    <row r="172" customFormat="false" ht="15.75" hidden="false" customHeight="fals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7:AU17"/>
    <mergeCell ref="C19:AU19"/>
    <mergeCell ref="C22:AU22"/>
    <mergeCell ref="C27:AU27"/>
    <mergeCell ref="C31:AU31"/>
    <mergeCell ref="C33:AU33"/>
    <mergeCell ref="C35:AU35"/>
    <mergeCell ref="C39:AU39"/>
    <mergeCell ref="C42:AU42"/>
    <mergeCell ref="C45:AU45"/>
    <mergeCell ref="C50:AU50"/>
    <mergeCell ref="C53:AU53"/>
    <mergeCell ref="C59:AU59"/>
    <mergeCell ref="C64:AU64"/>
    <mergeCell ref="C67:AU67"/>
    <mergeCell ref="C70:AU70"/>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B19" activePane="bottomRight" state="frozen"/>
      <selection pane="topLeft" activeCell="A1" activeCellId="0" sqref="A1"/>
      <selection pane="topRight" activeCell="B1" activeCellId="0" sqref="B1"/>
      <selection pane="bottomLeft" activeCell="A19" activeCellId="0" sqref="A19"/>
      <selection pane="bottomRight" activeCell="AX9" activeCellId="0" sqref="AX9"/>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213</v>
      </c>
      <c r="D2" s="181"/>
      <c r="E2" s="181"/>
    </row>
    <row r="3" customFormat="false" ht="15" hidden="false" customHeight="true" outlineLevel="0" collapsed="false">
      <c r="A3" s="180" t="s">
        <v>630</v>
      </c>
      <c r="B3" s="180"/>
      <c r="C3" s="181" t="s">
        <v>214</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60" hidden="false" customHeight="true" outlineLevel="0" collapsed="false">
      <c r="A7" s="189"/>
      <c r="B7" s="189"/>
      <c r="C7" s="190" t="s">
        <v>1281</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IF($F8="","",$C$2&amp;"."&amp;COUNTA($F$7:$F8)&amp;"")</f>
        <v>TC_10.1</v>
      </c>
      <c r="B8" s="191" t="s">
        <v>607</v>
      </c>
      <c r="C8" s="191" t="s">
        <v>840</v>
      </c>
      <c r="D8" s="191" t="s">
        <v>41</v>
      </c>
      <c r="E8" s="191" t="s">
        <v>158</v>
      </c>
      <c r="F8" s="13" t="s">
        <v>1282</v>
      </c>
      <c r="G8" s="13" t="s">
        <v>800</v>
      </c>
      <c r="H8" s="13" t="s">
        <v>1283</v>
      </c>
      <c r="I8" s="13" t="s">
        <v>1284</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TC_10.2</v>
      </c>
      <c r="B9" s="191" t="s">
        <v>607</v>
      </c>
      <c r="C9" s="191" t="s">
        <v>840</v>
      </c>
      <c r="D9" s="191" t="s">
        <v>41</v>
      </c>
      <c r="E9" s="191" t="s">
        <v>158</v>
      </c>
      <c r="F9" s="13" t="s">
        <v>1285</v>
      </c>
      <c r="G9" s="13" t="s">
        <v>1286</v>
      </c>
      <c r="H9" s="13" t="s">
        <v>1287</v>
      </c>
      <c r="I9" s="13" t="s">
        <v>1288</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1289</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57.5" hidden="false" customHeight="true" outlineLevel="0" collapsed="false">
      <c r="A11" s="191" t="str">
        <f aca="false">IF($F11="","",$C$2&amp;"."&amp;COUNTA($F$7:$F11)&amp;"")</f>
        <v>TC_10.3</v>
      </c>
      <c r="B11" s="191" t="s">
        <v>607</v>
      </c>
      <c r="C11" s="191" t="s">
        <v>530</v>
      </c>
      <c r="D11" s="191" t="s">
        <v>41</v>
      </c>
      <c r="E11" s="191" t="s">
        <v>159</v>
      </c>
      <c r="F11" s="13" t="s">
        <v>1290</v>
      </c>
      <c r="G11" s="13" t="s">
        <v>800</v>
      </c>
      <c r="H11" s="13" t="s">
        <v>1291</v>
      </c>
      <c r="I11" s="13" t="s">
        <v>1292</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35.75" hidden="false" customHeight="true" outlineLevel="0" collapsed="false">
      <c r="A12" s="191" t="str">
        <f aca="false">IF($F12="","",$C$2&amp;"."&amp;COUNTA($F$7:$F12)&amp;"")</f>
        <v>TC_10.4</v>
      </c>
      <c r="B12" s="191" t="s">
        <v>607</v>
      </c>
      <c r="C12" s="191" t="s">
        <v>530</v>
      </c>
      <c r="D12" s="191" t="s">
        <v>41</v>
      </c>
      <c r="E12" s="191" t="s">
        <v>159</v>
      </c>
      <c r="F12" s="13" t="s">
        <v>1293</v>
      </c>
      <c r="G12" s="13" t="s">
        <v>800</v>
      </c>
      <c r="H12" s="13" t="s">
        <v>1294</v>
      </c>
      <c r="I12" s="13" t="s">
        <v>1292</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7.5" hidden="false" customHeight="true" outlineLevel="0" collapsed="false">
      <c r="A13" s="191" t="str">
        <f aca="false">IF($F13="","",$C$2&amp;"."&amp;COUNTA($F$7:$F13)&amp;"")</f>
        <v>TC_10.5</v>
      </c>
      <c r="B13" s="191" t="s">
        <v>607</v>
      </c>
      <c r="C13" s="191" t="s">
        <v>530</v>
      </c>
      <c r="D13" s="191" t="s">
        <v>41</v>
      </c>
      <c r="E13" s="191" t="s">
        <v>159</v>
      </c>
      <c r="F13" s="13" t="s">
        <v>1295</v>
      </c>
      <c r="G13" s="13" t="s">
        <v>800</v>
      </c>
      <c r="H13" s="13" t="s">
        <v>1296</v>
      </c>
      <c r="I13" s="13" t="s">
        <v>1297</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1298</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57.5" hidden="false" customHeight="true" outlineLevel="0" collapsed="false">
      <c r="A15" s="191" t="str">
        <f aca="false">IF($F15="","",$C$2&amp;"."&amp;COUNTA($F$7:$F15)&amp;"")</f>
        <v>TC_10.6</v>
      </c>
      <c r="B15" s="191" t="s">
        <v>607</v>
      </c>
      <c r="C15" s="191" t="s">
        <v>530</v>
      </c>
      <c r="D15" s="191" t="s">
        <v>41</v>
      </c>
      <c r="E15" s="191" t="s">
        <v>160</v>
      </c>
      <c r="F15" s="13" t="s">
        <v>1299</v>
      </c>
      <c r="G15" s="13" t="s">
        <v>800</v>
      </c>
      <c r="H15" s="13" t="s">
        <v>1300</v>
      </c>
      <c r="I15" s="13" t="s">
        <v>1301</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47" hidden="false" customHeight="true" outlineLevel="0" collapsed="false">
      <c r="A16" s="191" t="str">
        <f aca="false">IF($F16="","",$C$2&amp;"."&amp;COUNTA($F$7:$F16)&amp;"")</f>
        <v>TC_10.7</v>
      </c>
      <c r="B16" s="191" t="s">
        <v>607</v>
      </c>
      <c r="C16" s="191" t="s">
        <v>840</v>
      </c>
      <c r="D16" s="191" t="s">
        <v>41</v>
      </c>
      <c r="E16" s="191" t="s">
        <v>160</v>
      </c>
      <c r="F16" s="13" t="s">
        <v>1302</v>
      </c>
      <c r="G16" s="13" t="s">
        <v>1303</v>
      </c>
      <c r="H16" s="13" t="s">
        <v>1304</v>
      </c>
      <c r="I16" s="13" t="s">
        <v>1305</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35.75" hidden="false" customHeight="true" outlineLevel="0" collapsed="false">
      <c r="A17" s="191" t="str">
        <f aca="false">IF($F17="","",$C$2&amp;"."&amp;COUNTA($F$7:$F17)&amp;"")</f>
        <v>TC_10.8</v>
      </c>
      <c r="B17" s="191" t="s">
        <v>607</v>
      </c>
      <c r="C17" s="191" t="s">
        <v>530</v>
      </c>
      <c r="D17" s="191" t="s">
        <v>41</v>
      </c>
      <c r="E17" s="191" t="s">
        <v>160</v>
      </c>
      <c r="F17" s="13" t="s">
        <v>1306</v>
      </c>
      <c r="G17" s="13" t="s">
        <v>1286</v>
      </c>
      <c r="H17" s="13" t="s">
        <v>1307</v>
      </c>
      <c r="I17" s="13" t="s">
        <v>1308</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15" hidden="false" customHeight="true" outlineLevel="0" collapsed="false">
      <c r="A18" s="189"/>
      <c r="B18" s="189"/>
      <c r="C18" s="190" t="s">
        <v>1309</v>
      </c>
      <c r="D18" s="190"/>
      <c r="E18" s="190"/>
      <c r="F18" s="190"/>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c r="AR18" s="190"/>
      <c r="AS18" s="190"/>
      <c r="AT18" s="190"/>
      <c r="AU18" s="190"/>
    </row>
    <row r="19" customFormat="false" ht="135.75" hidden="false" customHeight="true" outlineLevel="0" collapsed="false">
      <c r="A19" s="191" t="str">
        <f aca="false">IF($F19="","",$C$2&amp;"."&amp;COUNTA($F$7:$F19)&amp;"")</f>
        <v>TC_10.9</v>
      </c>
      <c r="B19" s="191" t="s">
        <v>607</v>
      </c>
      <c r="C19" s="191" t="s">
        <v>530</v>
      </c>
      <c r="D19" s="191" t="s">
        <v>41</v>
      </c>
      <c r="E19" s="191" t="s">
        <v>159</v>
      </c>
      <c r="F19" s="13" t="s">
        <v>1310</v>
      </c>
      <c r="G19" s="13" t="s">
        <v>1311</v>
      </c>
      <c r="H19" s="13" t="s">
        <v>1312</v>
      </c>
      <c r="I19" s="13" t="s">
        <v>1313</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47" hidden="false" customHeight="true" outlineLevel="0" collapsed="false">
      <c r="A20" s="191" t="str">
        <f aca="false">IF($F20="","",$C$2&amp;"."&amp;COUNTA($F$7:$F20)&amp;"")</f>
        <v>TC_10.10</v>
      </c>
      <c r="B20" s="191" t="s">
        <v>607</v>
      </c>
      <c r="C20" s="191" t="s">
        <v>530</v>
      </c>
      <c r="D20" s="191" t="s">
        <v>41</v>
      </c>
      <c r="E20" s="191" t="s">
        <v>159</v>
      </c>
      <c r="F20" s="13" t="s">
        <v>1314</v>
      </c>
      <c r="G20" s="13" t="s">
        <v>1311</v>
      </c>
      <c r="H20" s="13" t="s">
        <v>1315</v>
      </c>
      <c r="I20" s="13" t="s">
        <v>1316</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5.75" hidden="false" customHeight="true" outlineLevel="0" collapsed="false">
      <c r="A21" s="189"/>
      <c r="B21" s="189"/>
      <c r="C21" s="190" t="s">
        <v>1317</v>
      </c>
      <c r="D21" s="190"/>
      <c r="E21" s="190"/>
      <c r="F21" s="190"/>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c r="AR21" s="190"/>
      <c r="AS21" s="190"/>
      <c r="AT21" s="190"/>
      <c r="AU21" s="190"/>
    </row>
    <row r="22" customFormat="false" ht="15.75" hidden="false" customHeight="true" outlineLevel="0" collapsed="false">
      <c r="A22" s="191" t="str">
        <f aca="false">IF($F22="","",$C$2&amp;"."&amp;COUNTA($F$7:$F22)&amp;"")</f>
        <v>TC_10.11</v>
      </c>
      <c r="B22" s="191" t="s">
        <v>607</v>
      </c>
      <c r="C22" s="191" t="s">
        <v>530</v>
      </c>
      <c r="D22" s="191" t="s">
        <v>41</v>
      </c>
      <c r="E22" s="191" t="s">
        <v>160</v>
      </c>
      <c r="F22" s="13" t="s">
        <v>1318</v>
      </c>
      <c r="G22" s="13" t="s">
        <v>800</v>
      </c>
      <c r="H22" s="13" t="s">
        <v>1319</v>
      </c>
      <c r="I22" s="13" t="s">
        <v>1320</v>
      </c>
      <c r="J22" s="191" t="s">
        <v>658</v>
      </c>
      <c r="K22" s="191" t="s">
        <v>245</v>
      </c>
      <c r="L22" s="191"/>
      <c r="M22" s="191"/>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2"/>
      <c r="AM22" s="192"/>
      <c r="AN22" s="192"/>
      <c r="AO22" s="192"/>
      <c r="AP22" s="192"/>
      <c r="AQ22" s="192"/>
      <c r="AR22" s="193" t="str">
        <f aca="false">IF($A22="","",IF(OR($N22="Yes",$T22="Yes",$Z22="Yes",$AF22="Yes",$AL22="Yes"),"Yes","No"))</f>
        <v>No</v>
      </c>
      <c r="AS22" s="193" t="str">
        <f aca="false">IF($A22="","",IFERROR(IF($AM22&lt;&gt;"",$AM22,IF($AG22&lt;&gt;"",$AG22,IF($AA22&lt;&gt;"",$AA22,IF($U22&lt;&gt;"",$U22,IF($O22&lt;&gt;"",$O22,""))))),""))</f>
        <v/>
      </c>
      <c r="AT22" s="193" t="str">
        <f aca="false">IFERROR(IF($AN22&lt;&gt;"",$AN22,IF($AH22&lt;&gt;"",$AH22,IF($AB22&lt;&gt;"",$AB22,IF($V22&lt;&gt;"",$V22,IF($P22&lt;&gt;"",$P22,""))))),"")</f>
        <v/>
      </c>
      <c r="AU22" s="194"/>
    </row>
    <row r="23" customFormat="false" ht="15.75" hidden="false" customHeight="true" outlineLevel="0" collapsed="false">
      <c r="A23" s="191" t="str">
        <f aca="false">IF($F23="","",$C$2&amp;"."&amp;COUNTA($F$7:$F23)&amp;"")</f>
        <v>TC_10.12</v>
      </c>
      <c r="B23" s="191" t="s">
        <v>607</v>
      </c>
      <c r="C23" s="191" t="s">
        <v>530</v>
      </c>
      <c r="D23" s="191" t="s">
        <v>41</v>
      </c>
      <c r="E23" s="191" t="s">
        <v>160</v>
      </c>
      <c r="F23" s="13" t="s">
        <v>1321</v>
      </c>
      <c r="G23" s="13" t="s">
        <v>800</v>
      </c>
      <c r="H23" s="13" t="s">
        <v>1322</v>
      </c>
      <c r="I23" s="13" t="s">
        <v>1323</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89"/>
      <c r="B24" s="189"/>
      <c r="C24" s="190" t="s">
        <v>1324</v>
      </c>
      <c r="D24" s="190"/>
      <c r="E24" s="190"/>
      <c r="F24" s="190"/>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row>
    <row r="25" customFormat="false" ht="15.75" hidden="false" customHeight="true" outlineLevel="0" collapsed="false">
      <c r="A25" s="191" t="str">
        <f aca="false">IF($F25="","",$C$2&amp;"."&amp;COUNTA($F$7:$F25)&amp;"")</f>
        <v>TC_10.13</v>
      </c>
      <c r="B25" s="191" t="s">
        <v>607</v>
      </c>
      <c r="C25" s="191" t="s">
        <v>530</v>
      </c>
      <c r="D25" s="191" t="s">
        <v>41</v>
      </c>
      <c r="E25" s="191" t="s">
        <v>159</v>
      </c>
      <c r="F25" s="13" t="s">
        <v>1325</v>
      </c>
      <c r="G25" s="13" t="s">
        <v>800</v>
      </c>
      <c r="H25" s="13" t="s">
        <v>1326</v>
      </c>
      <c r="I25" s="13" t="s">
        <v>1327</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89"/>
      <c r="B26" s="189"/>
      <c r="C26" s="190" t="s">
        <v>1328</v>
      </c>
      <c r="D26" s="190"/>
      <c r="E26" s="190"/>
      <c r="F26" s="190"/>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c r="AR26" s="190"/>
      <c r="AS26" s="190"/>
      <c r="AT26" s="190"/>
      <c r="AU26" s="190"/>
    </row>
    <row r="27" customFormat="false" ht="15.75" hidden="false" customHeight="true" outlineLevel="0" collapsed="false">
      <c r="A27" s="191" t="str">
        <f aca="false">IF($F27="","",$C$2&amp;"."&amp;COUNTA($F$7:$F27)&amp;"")</f>
        <v>TC_10.14</v>
      </c>
      <c r="B27" s="191" t="s">
        <v>607</v>
      </c>
      <c r="C27" s="191" t="s">
        <v>840</v>
      </c>
      <c r="D27" s="191" t="s">
        <v>41</v>
      </c>
      <c r="E27" s="191" t="s">
        <v>160</v>
      </c>
      <c r="F27" s="13" t="s">
        <v>1329</v>
      </c>
      <c r="G27" s="13" t="s">
        <v>800</v>
      </c>
      <c r="H27" s="13" t="s">
        <v>1330</v>
      </c>
      <c r="I27" s="13" t="s">
        <v>1331</v>
      </c>
      <c r="J27" s="191" t="s">
        <v>658</v>
      </c>
      <c r="K27" s="191" t="s">
        <v>245</v>
      </c>
      <c r="L27" s="191"/>
      <c r="M27" s="191"/>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2"/>
      <c r="AM27" s="192"/>
      <c r="AN27" s="192"/>
      <c r="AO27" s="192"/>
      <c r="AP27" s="192"/>
      <c r="AQ27" s="192"/>
      <c r="AR27" s="193" t="str">
        <f aca="false">IF($A27="","",IF(OR($N27="Yes",$T27="Yes",$Z27="Yes",$AF27="Yes",$AL27="Yes"),"Yes","No"))</f>
        <v>No</v>
      </c>
      <c r="AS27" s="193" t="str">
        <f aca="false">IF($A27="","",IFERROR(IF($AM27&lt;&gt;"",$AM27,IF($AG27&lt;&gt;"",$AG27,IF($AA27&lt;&gt;"",$AA27,IF($U27&lt;&gt;"",$U27,IF($O27&lt;&gt;"",$O27,""))))),""))</f>
        <v/>
      </c>
      <c r="AT27" s="193" t="str">
        <f aca="false">IFERROR(IF($AN27&lt;&gt;"",$AN27,IF($AH27&lt;&gt;"",$AH27,IF($AB27&lt;&gt;"",$AB27,IF($V27&lt;&gt;"",$V27,IF($P27&lt;&gt;"",$P27,""))))),"")</f>
        <v/>
      </c>
      <c r="AU27" s="194"/>
    </row>
    <row r="28" customFormat="false" ht="15.75" hidden="false" customHeight="true" outlineLevel="0" collapsed="false">
      <c r="A28" s="189"/>
      <c r="B28" s="189"/>
      <c r="C28" s="190" t="s">
        <v>1332</v>
      </c>
      <c r="D28" s="190"/>
      <c r="E28" s="190"/>
      <c r="F28" s="190"/>
      <c r="G28" s="190"/>
      <c r="H28" s="190"/>
      <c r="I28" s="190"/>
      <c r="J28" s="190"/>
      <c r="K28" s="190"/>
      <c r="L28" s="190"/>
      <c r="M28" s="190"/>
      <c r="N28" s="190"/>
      <c r="O28" s="190"/>
      <c r="P28" s="190"/>
      <c r="Q28" s="190"/>
      <c r="R28" s="190"/>
      <c r="S28" s="190"/>
      <c r="T28" s="190"/>
      <c r="U28" s="190"/>
      <c r="V28" s="190"/>
      <c r="W28" s="190"/>
      <c r="X28" s="190"/>
      <c r="Y28" s="190"/>
      <c r="Z28" s="190"/>
      <c r="AA28" s="190"/>
      <c r="AB28" s="190"/>
      <c r="AC28" s="190"/>
      <c r="AD28" s="190"/>
      <c r="AE28" s="190"/>
      <c r="AF28" s="190"/>
      <c r="AG28" s="190"/>
      <c r="AH28" s="190"/>
      <c r="AI28" s="190"/>
      <c r="AJ28" s="190"/>
      <c r="AK28" s="190"/>
      <c r="AL28" s="190"/>
      <c r="AM28" s="190"/>
      <c r="AN28" s="190"/>
      <c r="AO28" s="190"/>
      <c r="AP28" s="190"/>
      <c r="AQ28" s="190"/>
      <c r="AR28" s="190"/>
      <c r="AS28" s="190"/>
      <c r="AT28" s="190"/>
      <c r="AU28" s="190"/>
    </row>
    <row r="29" customFormat="false" ht="15.75" hidden="false" customHeight="true" outlineLevel="0" collapsed="false">
      <c r="A29" s="191" t="str">
        <f aca="false">IF($F29="","",$C$2&amp;"."&amp;COUNTA($F$7:$F29)&amp;"")</f>
        <v>TC_10.15</v>
      </c>
      <c r="B29" s="191" t="s">
        <v>607</v>
      </c>
      <c r="C29" s="191" t="s">
        <v>840</v>
      </c>
      <c r="D29" s="191" t="s">
        <v>43</v>
      </c>
      <c r="E29" s="191" t="s">
        <v>159</v>
      </c>
      <c r="F29" s="13" t="s">
        <v>1333</v>
      </c>
      <c r="G29" s="13" t="s">
        <v>800</v>
      </c>
      <c r="H29" s="13" t="s">
        <v>1334</v>
      </c>
      <c r="I29" s="13" t="s">
        <v>1335</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15.75" hidden="false" customHeight="true" outlineLevel="0" collapsed="false">
      <c r="A30" s="191" t="str">
        <f aca="false">IF($F30="","",$C$2&amp;"."&amp;COUNTA($F$7:$F30)&amp;"")</f>
        <v>TC_10.16</v>
      </c>
      <c r="B30" s="191" t="s">
        <v>607</v>
      </c>
      <c r="C30" s="191" t="s">
        <v>840</v>
      </c>
      <c r="D30" s="191" t="s">
        <v>43</v>
      </c>
      <c r="E30" s="191" t="s">
        <v>159</v>
      </c>
      <c r="F30" s="13" t="s">
        <v>1336</v>
      </c>
      <c r="G30" s="13" t="s">
        <v>800</v>
      </c>
      <c r="H30" s="13" t="s">
        <v>1337</v>
      </c>
      <c r="I30" s="13" t="s">
        <v>1338</v>
      </c>
      <c r="J30" s="191" t="s">
        <v>658</v>
      </c>
      <c r="K30" s="191" t="s">
        <v>245</v>
      </c>
      <c r="L30" s="191"/>
      <c r="M30" s="191"/>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2"/>
      <c r="AM30" s="192"/>
      <c r="AN30" s="192"/>
      <c r="AO30" s="192"/>
      <c r="AP30" s="192"/>
      <c r="AQ30" s="192"/>
      <c r="AR30" s="193" t="str">
        <f aca="false">IF($A30="","",IF(OR($N30="Yes",$T30="Yes",$Z30="Yes",$AF30="Yes",$AL30="Yes"),"Yes","No"))</f>
        <v>No</v>
      </c>
      <c r="AS30" s="193" t="str">
        <f aca="false">IF($A30="","",IFERROR(IF($AM30&lt;&gt;"",$AM30,IF($AG30&lt;&gt;"",$AG30,IF($AA30&lt;&gt;"",$AA30,IF($U30&lt;&gt;"",$U30,IF($O30&lt;&gt;"",$O30,""))))),""))</f>
        <v/>
      </c>
      <c r="AT30" s="193" t="str">
        <f aca="false">IFERROR(IF($AN30&lt;&gt;"",$AN30,IF($AH30&lt;&gt;"",$AH30,IF($AB30&lt;&gt;"",$AB30,IF($V30&lt;&gt;"",$V30,IF($P30&lt;&gt;"",$P30,""))))),"")</f>
        <v/>
      </c>
      <c r="AU30" s="194"/>
    </row>
    <row r="31" customFormat="false" ht="15.75" hidden="false" customHeight="true" outlineLevel="0" collapsed="false">
      <c r="A31" s="191" t="str">
        <f aca="false">IF($F31="","",$C$2&amp;"."&amp;COUNTA($F$7:$F31)&amp;"")</f>
        <v>TC_10.17</v>
      </c>
      <c r="B31" s="191" t="s">
        <v>607</v>
      </c>
      <c r="C31" s="191" t="s">
        <v>840</v>
      </c>
      <c r="D31" s="191" t="s">
        <v>43</v>
      </c>
      <c r="E31" s="191" t="s">
        <v>159</v>
      </c>
      <c r="F31" s="13" t="s">
        <v>1339</v>
      </c>
      <c r="G31" s="13" t="s">
        <v>800</v>
      </c>
      <c r="H31" s="13" t="s">
        <v>1340</v>
      </c>
      <c r="I31" s="13" t="s">
        <v>1341</v>
      </c>
      <c r="J31" s="191" t="s">
        <v>658</v>
      </c>
      <c r="K31" s="191" t="s">
        <v>245</v>
      </c>
      <c r="L31" s="191"/>
      <c r="M31" s="191"/>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2"/>
      <c r="AM31" s="192"/>
      <c r="AN31" s="192"/>
      <c r="AO31" s="192"/>
      <c r="AP31" s="192"/>
      <c r="AQ31" s="192"/>
      <c r="AR31" s="193" t="str">
        <f aca="false">IF($A31="","",IF(OR($N31="Yes",$T31="Yes",$Z31="Yes",$AF31="Yes",$AL31="Yes"),"Yes","No"))</f>
        <v>No</v>
      </c>
      <c r="AS31" s="193" t="str">
        <f aca="false">IF($A31="","",IFERROR(IF($AM31&lt;&gt;"",$AM31,IF($AG31&lt;&gt;"",$AG31,IF($AA31&lt;&gt;"",$AA31,IF($U31&lt;&gt;"",$U31,IF($O31&lt;&gt;"",$O31,""))))),""))</f>
        <v/>
      </c>
      <c r="AT31" s="193" t="str">
        <f aca="false">IFERROR(IF($AN31&lt;&gt;"",$AN31,IF($AH31&lt;&gt;"",$AH31,IF($AB31&lt;&gt;"",$AB31,IF($V31&lt;&gt;"",$V31,IF($P31&lt;&gt;"",$P31,""))))),"")</f>
        <v/>
      </c>
      <c r="AU31" s="194"/>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8:AU18"/>
    <mergeCell ref="C21:AU21"/>
    <mergeCell ref="C24:AU24"/>
    <mergeCell ref="C26:AU26"/>
    <mergeCell ref="C28:AU28"/>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X9" activeCellId="0" sqref="AX9"/>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c r="AU1" s="198"/>
    </row>
    <row r="2" customFormat="false" ht="15" hidden="false" customHeight="true" outlineLevel="0" collapsed="false">
      <c r="A2" s="180" t="s">
        <v>629</v>
      </c>
      <c r="B2" s="180"/>
      <c r="C2" s="181" t="s">
        <v>215</v>
      </c>
      <c r="D2" s="181"/>
      <c r="E2" s="181"/>
    </row>
    <row r="3" customFormat="false" ht="15" hidden="false" customHeight="true" outlineLevel="0" collapsed="false">
      <c r="A3" s="180" t="s">
        <v>630</v>
      </c>
      <c r="B3" s="180"/>
      <c r="C3" s="181" t="s">
        <v>216</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1342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IF($F8="","",$C$2&amp;"."&amp;COUNTA($F$7:$F8)&amp;"")</f>
        <v>TC_11.1</v>
      </c>
      <c r="B8" s="191" t="s">
        <v>610</v>
      </c>
      <c r="C8" s="191" t="s">
        <v>840</v>
      </c>
      <c r="D8" s="191" t="s">
        <v>43</v>
      </c>
      <c r="E8" s="191" t="s">
        <v>159</v>
      </c>
      <c r="F8" s="13" t="s">
        <v>1343</v>
      </c>
      <c r="G8" s="13" t="s">
        <v>655</v>
      </c>
      <c r="H8" s="13" t="s">
        <v>1344</v>
      </c>
      <c r="I8" s="13" t="s">
        <v>1345</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TC_11.2</v>
      </c>
      <c r="B9" s="191" t="s">
        <v>610</v>
      </c>
      <c r="C9" s="191" t="s">
        <v>530</v>
      </c>
      <c r="D9" s="191" t="s">
        <v>41</v>
      </c>
      <c r="E9" s="191" t="s">
        <v>159</v>
      </c>
      <c r="F9" s="13" t="s">
        <v>1346</v>
      </c>
      <c r="G9" s="13" t="s">
        <v>655</v>
      </c>
      <c r="H9" s="13" t="s">
        <v>1347</v>
      </c>
      <c r="I9" s="13" t="s">
        <v>1348</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1349</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13.25" hidden="false" customHeight="true" outlineLevel="0" collapsed="false">
      <c r="A11" s="191" t="str">
        <f aca="false">IF($F11="","",$C$2&amp;"."&amp;COUNTA($F$7:$F11)&amp;"")</f>
        <v>TC_11.3</v>
      </c>
      <c r="B11" s="191" t="s">
        <v>613</v>
      </c>
      <c r="C11" s="191" t="s">
        <v>530</v>
      </c>
      <c r="D11" s="191" t="s">
        <v>41</v>
      </c>
      <c r="E11" s="191" t="s">
        <v>160</v>
      </c>
      <c r="F11" s="13" t="s">
        <v>1350</v>
      </c>
      <c r="G11" s="13" t="s">
        <v>655</v>
      </c>
      <c r="H11" s="13" t="s">
        <v>1351</v>
      </c>
      <c r="I11" s="13" t="s">
        <v>1352</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13.25" hidden="false" customHeight="true" outlineLevel="0" collapsed="false">
      <c r="A12" s="191" t="str">
        <f aca="false">IF($F12="","",$C$2&amp;"."&amp;COUNTA($F$7:$F12)&amp;"")</f>
        <v>TC_11.4</v>
      </c>
      <c r="B12" s="191" t="s">
        <v>613</v>
      </c>
      <c r="C12" s="191" t="s">
        <v>840</v>
      </c>
      <c r="D12" s="191" t="s">
        <v>43</v>
      </c>
      <c r="E12" s="191" t="s">
        <v>160</v>
      </c>
      <c r="F12" s="13" t="s">
        <v>1353</v>
      </c>
      <c r="G12" s="13" t="s">
        <v>655</v>
      </c>
      <c r="H12" s="13" t="s">
        <v>1354</v>
      </c>
      <c r="I12" s="13" t="s">
        <v>1355</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 hidden="false" customHeight="true" outlineLevel="0" collapsed="false">
      <c r="A13" s="189"/>
      <c r="B13" s="189"/>
      <c r="C13" s="190" t="s">
        <v>1356</v>
      </c>
      <c r="D13" s="190"/>
      <c r="E13" s="190"/>
      <c r="F13" s="190"/>
      <c r="G13" s="190"/>
      <c r="H13" s="190"/>
      <c r="I13" s="190"/>
      <c r="J13" s="190"/>
      <c r="K13" s="190"/>
      <c r="L13" s="190"/>
      <c r="M13" s="190"/>
      <c r="N13" s="190"/>
      <c r="O13" s="190"/>
      <c r="P13" s="190"/>
      <c r="Q13" s="190"/>
      <c r="R13" s="190"/>
      <c r="S13" s="190"/>
      <c r="T13" s="190"/>
      <c r="U13" s="190"/>
      <c r="V13" s="190"/>
      <c r="W13" s="190"/>
      <c r="X13" s="190"/>
      <c r="Y13" s="190"/>
      <c r="Z13" s="190"/>
      <c r="AA13" s="190"/>
      <c r="AB13" s="190"/>
      <c r="AC13" s="190"/>
      <c r="AD13" s="190"/>
      <c r="AE13" s="190"/>
      <c r="AF13" s="190"/>
      <c r="AG13" s="190"/>
      <c r="AH13" s="190"/>
      <c r="AI13" s="190"/>
      <c r="AJ13" s="190"/>
      <c r="AK13" s="190"/>
      <c r="AL13" s="190"/>
      <c r="AM13" s="190"/>
      <c r="AN13" s="190"/>
      <c r="AO13" s="190"/>
      <c r="AP13" s="190"/>
      <c r="AQ13" s="190"/>
      <c r="AR13" s="190"/>
      <c r="AS13" s="190"/>
      <c r="AT13" s="190"/>
      <c r="AU13" s="190"/>
    </row>
    <row r="14" customFormat="false" ht="57" hidden="false" customHeight="true" outlineLevel="0" collapsed="false">
      <c r="A14" s="191" t="str">
        <f aca="false">IF($F14="","",$C$2&amp;"."&amp;COUNTA($F$7:$F14)&amp;"")</f>
        <v>TC_11.5</v>
      </c>
      <c r="B14" s="191" t="s">
        <v>616</v>
      </c>
      <c r="C14" s="191" t="s">
        <v>530</v>
      </c>
      <c r="D14" s="191" t="s">
        <v>43</v>
      </c>
      <c r="E14" s="191" t="s">
        <v>159</v>
      </c>
      <c r="F14" s="13" t="s">
        <v>1357</v>
      </c>
      <c r="G14" s="13" t="s">
        <v>655</v>
      </c>
      <c r="H14" s="13" t="s">
        <v>1358</v>
      </c>
      <c r="I14" s="13" t="s">
        <v>1359</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68.25" hidden="false" customHeight="true" outlineLevel="0" collapsed="false">
      <c r="A15" s="191" t="str">
        <f aca="false">IF($F15="","",$C$2&amp;"."&amp;COUNTA($F$7:$F15)&amp;"")</f>
        <v>TC_11.6</v>
      </c>
      <c r="B15" s="191" t="s">
        <v>1360</v>
      </c>
      <c r="C15" s="191" t="s">
        <v>840</v>
      </c>
      <c r="D15" s="191" t="s">
        <v>43</v>
      </c>
      <c r="E15" s="191" t="s">
        <v>159</v>
      </c>
      <c r="F15" s="13" t="s">
        <v>1361</v>
      </c>
      <c r="G15" s="13" t="s">
        <v>655</v>
      </c>
      <c r="H15" s="13" t="s">
        <v>1362</v>
      </c>
      <c r="I15" s="13" t="s">
        <v>1363</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5" hidden="false" customHeight="true" outlineLevel="0" collapsed="false">
      <c r="A16" s="189"/>
      <c r="B16" s="189"/>
      <c r="C16" s="190" t="s">
        <v>1364</v>
      </c>
      <c r="D16" s="190"/>
      <c r="E16" s="190"/>
      <c r="F16" s="190"/>
      <c r="G16" s="190"/>
      <c r="H16" s="190"/>
      <c r="I16" s="190"/>
      <c r="J16" s="190"/>
      <c r="K16" s="190"/>
      <c r="L16" s="190"/>
      <c r="M16" s="190"/>
      <c r="N16" s="190"/>
      <c r="O16" s="190"/>
      <c r="P16" s="190"/>
      <c r="Q16" s="190"/>
      <c r="R16" s="190"/>
      <c r="S16" s="190"/>
      <c r="T16" s="190"/>
      <c r="U16" s="190"/>
      <c r="V16" s="190"/>
      <c r="W16" s="190"/>
      <c r="X16" s="190"/>
      <c r="Y16" s="190"/>
      <c r="Z16" s="190"/>
      <c r="AA16" s="190"/>
      <c r="AB16" s="190"/>
      <c r="AC16" s="190"/>
      <c r="AD16" s="190"/>
      <c r="AE16" s="190"/>
      <c r="AF16" s="190"/>
      <c r="AG16" s="190"/>
      <c r="AH16" s="190"/>
      <c r="AI16" s="190"/>
      <c r="AJ16" s="190"/>
      <c r="AK16" s="190"/>
      <c r="AL16" s="190"/>
      <c r="AM16" s="190"/>
      <c r="AN16" s="190"/>
      <c r="AO16" s="190"/>
      <c r="AP16" s="190"/>
      <c r="AQ16" s="190"/>
      <c r="AR16" s="190"/>
      <c r="AS16" s="190"/>
      <c r="AT16" s="190"/>
      <c r="AU16" s="190"/>
    </row>
    <row r="17" customFormat="false" ht="147" hidden="false" customHeight="true" outlineLevel="0" collapsed="false">
      <c r="A17" s="191" t="str">
        <f aca="false">IF($F17="","",$C$2&amp;"."&amp;COUNTA($F$7:$F17)&amp;"")</f>
        <v>TC_11.7</v>
      </c>
      <c r="B17" s="191" t="s">
        <v>619</v>
      </c>
      <c r="C17" s="191" t="s">
        <v>1365</v>
      </c>
      <c r="D17" s="191" t="s">
        <v>41</v>
      </c>
      <c r="E17" s="191" t="s">
        <v>158</v>
      </c>
      <c r="F17" s="13" t="s">
        <v>1366</v>
      </c>
      <c r="G17" s="13" t="s">
        <v>655</v>
      </c>
      <c r="H17" s="13" t="s">
        <v>1367</v>
      </c>
      <c r="I17" s="13" t="s">
        <v>1368</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202.5" hidden="false" customHeight="true" outlineLevel="0" collapsed="false">
      <c r="A18" s="191" t="str">
        <f aca="false">IF($F18="","",$C$2&amp;"."&amp;COUNTA($F$7:$F18)&amp;"")</f>
        <v>TC_11.8</v>
      </c>
      <c r="B18" s="191" t="s">
        <v>619</v>
      </c>
      <c r="C18" s="191" t="s">
        <v>1365</v>
      </c>
      <c r="D18" s="191" t="s">
        <v>41</v>
      </c>
      <c r="E18" s="191" t="s">
        <v>158</v>
      </c>
      <c r="F18" s="13" t="s">
        <v>1369</v>
      </c>
      <c r="G18" s="13" t="s">
        <v>655</v>
      </c>
      <c r="H18" s="13" t="s">
        <v>1370</v>
      </c>
      <c r="I18" s="13" t="s">
        <v>1371</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91.25" hidden="false" customHeight="true" outlineLevel="0" collapsed="false">
      <c r="A19" s="191" t="str">
        <f aca="false">IF($F19="","",$C$2&amp;"."&amp;COUNTA($F$7:$F19)&amp;"")</f>
        <v>TC_11.9</v>
      </c>
      <c r="B19" s="191" t="s">
        <v>619</v>
      </c>
      <c r="C19" s="191" t="s">
        <v>530</v>
      </c>
      <c r="D19" s="191" t="s">
        <v>43</v>
      </c>
      <c r="E19" s="191" t="s">
        <v>160</v>
      </c>
      <c r="F19" s="13" t="s">
        <v>1372</v>
      </c>
      <c r="G19" s="13" t="s">
        <v>655</v>
      </c>
      <c r="H19" s="13" t="s">
        <v>1373</v>
      </c>
      <c r="I19" s="13" t="s">
        <v>1374</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5" hidden="false" customHeight="true" outlineLevel="0" collapsed="false">
      <c r="A20" s="189"/>
      <c r="B20" s="189"/>
      <c r="C20" s="190" t="s">
        <v>1375</v>
      </c>
      <c r="D20" s="190"/>
      <c r="E20" s="190"/>
      <c r="F20" s="190"/>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c r="AR20" s="190"/>
      <c r="AS20" s="190"/>
      <c r="AT20" s="190"/>
      <c r="AU20" s="190"/>
    </row>
    <row r="21" customFormat="false" ht="15.75" hidden="false" customHeight="true" outlineLevel="0" collapsed="false">
      <c r="A21" s="191" t="str">
        <f aca="false">IF($F21="","",$C$2&amp;"."&amp;COUNTA($F$7:$F21)&amp;"")</f>
        <v>TC_11.10</v>
      </c>
      <c r="B21" s="191" t="s">
        <v>619</v>
      </c>
      <c r="C21" s="191" t="s">
        <v>530</v>
      </c>
      <c r="D21" s="191" t="s">
        <v>41</v>
      </c>
      <c r="E21" s="191" t="s">
        <v>159</v>
      </c>
      <c r="F21" s="13" t="s">
        <v>1376</v>
      </c>
      <c r="G21" s="13" t="s">
        <v>655</v>
      </c>
      <c r="H21" s="13" t="s">
        <v>1377</v>
      </c>
      <c r="I21" s="13" t="s">
        <v>1378</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91" t="str">
        <f aca="false">IF($F22="","",$C$2&amp;"."&amp;COUNTA($F$7:$F22)&amp;"")</f>
        <v>TC_11.11</v>
      </c>
      <c r="B22" s="191" t="s">
        <v>619</v>
      </c>
      <c r="C22" s="191" t="s">
        <v>530</v>
      </c>
      <c r="D22" s="191" t="s">
        <v>41</v>
      </c>
      <c r="E22" s="191" t="s">
        <v>159</v>
      </c>
      <c r="F22" s="13" t="s">
        <v>1379</v>
      </c>
      <c r="G22" s="13" t="s">
        <v>655</v>
      </c>
      <c r="H22" s="13" t="s">
        <v>1380</v>
      </c>
      <c r="I22" s="13" t="s">
        <v>1381</v>
      </c>
      <c r="J22" s="191" t="s">
        <v>658</v>
      </c>
      <c r="K22" s="191" t="s">
        <v>245</v>
      </c>
      <c r="L22" s="191"/>
      <c r="M22" s="191"/>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2"/>
      <c r="AM22" s="192"/>
      <c r="AN22" s="192"/>
      <c r="AO22" s="192"/>
      <c r="AP22" s="192"/>
      <c r="AQ22" s="192"/>
      <c r="AR22" s="193" t="str">
        <f aca="false">IF($A22="","",IF(OR($N22="Yes",$T22="Yes",$Z22="Yes",$AF22="Yes",$AL22="Yes"),"Yes","No"))</f>
        <v>No</v>
      </c>
      <c r="AS22" s="193" t="str">
        <f aca="false">IF($A22="","",IFERROR(IF($AM22&lt;&gt;"",$AM22,IF($AG22&lt;&gt;"",$AG22,IF($AA22&lt;&gt;"",$AA22,IF($U22&lt;&gt;"",$U22,IF($O22&lt;&gt;"",$O22,""))))),""))</f>
        <v/>
      </c>
      <c r="AT22" s="193" t="str">
        <f aca="false">IFERROR(IF($AN22&lt;&gt;"",$AN22,IF($AH22&lt;&gt;"",$AH22,IF($AB22&lt;&gt;"",$AB22,IF($V22&lt;&gt;"",$V22,IF($P22&lt;&gt;"",$P22,""))))),"")</f>
        <v/>
      </c>
      <c r="AU22" s="194"/>
    </row>
    <row r="23" customFormat="false" ht="15.75" hidden="false" customHeight="true" outlineLevel="0" collapsed="false">
      <c r="A23" s="191" t="str">
        <f aca="false">IF($F23="","",$C$2&amp;"."&amp;COUNTA($F$7:$F23)&amp;"")</f>
        <v>TC_11.12</v>
      </c>
      <c r="B23" s="191" t="s">
        <v>619</v>
      </c>
      <c r="C23" s="191" t="s">
        <v>530</v>
      </c>
      <c r="D23" s="191" t="s">
        <v>41</v>
      </c>
      <c r="E23" s="191" t="s">
        <v>159</v>
      </c>
      <c r="F23" s="13" t="s">
        <v>1382</v>
      </c>
      <c r="G23" s="13" t="s">
        <v>655</v>
      </c>
      <c r="H23" s="13" t="s">
        <v>1383</v>
      </c>
      <c r="I23" s="13" t="s">
        <v>1384</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91" t="str">
        <f aca="false">IF($F24="","",$C$2&amp;"."&amp;COUNTA($F$7:$F24)&amp;"")</f>
        <v>TC_11.13</v>
      </c>
      <c r="B24" s="191" t="s">
        <v>619</v>
      </c>
      <c r="C24" s="191" t="s">
        <v>530</v>
      </c>
      <c r="D24" s="191" t="s">
        <v>41</v>
      </c>
      <c r="E24" s="191" t="s">
        <v>159</v>
      </c>
      <c r="F24" s="13" t="s">
        <v>1385</v>
      </c>
      <c r="G24" s="13" t="s">
        <v>655</v>
      </c>
      <c r="H24" s="13" t="s">
        <v>1386</v>
      </c>
      <c r="I24" s="13" t="s">
        <v>1381</v>
      </c>
      <c r="J24" s="191" t="s">
        <v>658</v>
      </c>
      <c r="K24" s="191" t="s">
        <v>245</v>
      </c>
      <c r="L24" s="191"/>
      <c r="M24" s="191"/>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2"/>
      <c r="AM24" s="192"/>
      <c r="AN24" s="192"/>
      <c r="AO24" s="192"/>
      <c r="AP24" s="192"/>
      <c r="AQ24" s="192"/>
      <c r="AR24" s="193" t="str">
        <f aca="false">IF($A24="","",IF(OR($N24="Yes",$T24="Yes",$Z24="Yes",$AF24="Yes",$AL24="Yes"),"Yes","No"))</f>
        <v>No</v>
      </c>
      <c r="AS24" s="193" t="str">
        <f aca="false">IF($A24="","",IFERROR(IF($AM24&lt;&gt;"",$AM24,IF($AG24&lt;&gt;"",$AG24,IF($AA24&lt;&gt;"",$AA24,IF($U24&lt;&gt;"",$U24,IF($O24&lt;&gt;"",$O24,""))))),""))</f>
        <v/>
      </c>
      <c r="AT24" s="193" t="str">
        <f aca="false">IFERROR(IF($AN24&lt;&gt;"",$AN24,IF($AH24&lt;&gt;"",$AH24,IF($AB24&lt;&gt;"",$AB24,IF($V24&lt;&gt;"",$V24,IF($P24&lt;&gt;"",$P24,""))))),"")</f>
        <v/>
      </c>
      <c r="AU24" s="194"/>
    </row>
    <row r="25" customFormat="false" ht="15.75" hidden="false" customHeight="true" outlineLevel="0" collapsed="false">
      <c r="A25" s="191" t="str">
        <f aca="false">IF($F25="","",$C$2&amp;"."&amp;COUNTA($F$7:$F25)&amp;"")</f>
        <v>TC_11.14</v>
      </c>
      <c r="B25" s="191" t="s">
        <v>619</v>
      </c>
      <c r="C25" s="191" t="s">
        <v>530</v>
      </c>
      <c r="D25" s="191" t="s">
        <v>41</v>
      </c>
      <c r="E25" s="191" t="s">
        <v>159</v>
      </c>
      <c r="F25" s="13" t="s">
        <v>1387</v>
      </c>
      <c r="G25" s="13" t="s">
        <v>655</v>
      </c>
      <c r="H25" s="13" t="s">
        <v>1388</v>
      </c>
      <c r="I25" s="13" t="s">
        <v>1381</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91" t="str">
        <f aca="false">IF($F26="","",$C$2&amp;"."&amp;COUNTA($F$7:$F26)&amp;"")</f>
        <v>TC_11.15</v>
      </c>
      <c r="B26" s="191" t="s">
        <v>619</v>
      </c>
      <c r="C26" s="191" t="s">
        <v>530</v>
      </c>
      <c r="D26" s="191" t="s">
        <v>41</v>
      </c>
      <c r="E26" s="191" t="s">
        <v>159</v>
      </c>
      <c r="F26" s="13" t="s">
        <v>1389</v>
      </c>
      <c r="G26" s="13" t="s">
        <v>655</v>
      </c>
      <c r="H26" s="13" t="s">
        <v>1390</v>
      </c>
      <c r="I26" s="13" t="s">
        <v>1381</v>
      </c>
      <c r="J26" s="191" t="s">
        <v>658</v>
      </c>
      <c r="K26" s="191" t="s">
        <v>245</v>
      </c>
      <c r="L26" s="191"/>
      <c r="M26" s="191"/>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2"/>
      <c r="AM26" s="192"/>
      <c r="AN26" s="192"/>
      <c r="AO26" s="192"/>
      <c r="AP26" s="192"/>
      <c r="AQ26" s="192"/>
      <c r="AR26" s="193" t="str">
        <f aca="false">IF($A26="","",IF(OR($N26="Yes",$T26="Yes",$Z26="Yes",$AF26="Yes",$AL26="Yes"),"Yes","No"))</f>
        <v>No</v>
      </c>
      <c r="AS26" s="193" t="str">
        <f aca="false">IF($A26="","",IFERROR(IF($AM26&lt;&gt;"",$AM26,IF($AG26&lt;&gt;"",$AG26,IF($AA26&lt;&gt;"",$AA26,IF($U26&lt;&gt;"",$U26,IF($O26&lt;&gt;"",$O26,""))))),""))</f>
        <v/>
      </c>
      <c r="AT26" s="193" t="str">
        <f aca="false">IFERROR(IF($AN26&lt;&gt;"",$AN26,IF($AH26&lt;&gt;"",$AH26,IF($AB26&lt;&gt;"",$AB26,IF($V26&lt;&gt;"",$V26,IF($P26&lt;&gt;"",$P26,""))))),"")</f>
        <v/>
      </c>
      <c r="AU26" s="194"/>
    </row>
    <row r="27" customFormat="false" ht="15.75" hidden="false" customHeight="true" outlineLevel="0" collapsed="false">
      <c r="A27" s="191" t="str">
        <f aca="false">IF($F27="","",$C$2&amp;"."&amp;COUNTA($F$7:$F27)&amp;"")</f>
        <v>TC_11.16</v>
      </c>
      <c r="B27" s="191" t="s">
        <v>619</v>
      </c>
      <c r="C27" s="191" t="s">
        <v>530</v>
      </c>
      <c r="D27" s="191" t="s">
        <v>41</v>
      </c>
      <c r="E27" s="191" t="s">
        <v>159</v>
      </c>
      <c r="F27" s="13" t="s">
        <v>1391</v>
      </c>
      <c r="G27" s="13" t="s">
        <v>655</v>
      </c>
      <c r="H27" s="13" t="s">
        <v>1392</v>
      </c>
      <c r="I27" s="13" t="s">
        <v>1381</v>
      </c>
      <c r="J27" s="191" t="s">
        <v>658</v>
      </c>
      <c r="K27" s="191" t="s">
        <v>245</v>
      </c>
      <c r="L27" s="191"/>
      <c r="M27" s="191"/>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2"/>
      <c r="AM27" s="192"/>
      <c r="AN27" s="192"/>
      <c r="AO27" s="192"/>
      <c r="AP27" s="192"/>
      <c r="AQ27" s="192"/>
      <c r="AR27" s="193" t="str">
        <f aca="false">IF($A27="","",IF(OR($N27="Yes",$T27="Yes",$Z27="Yes",$AF27="Yes",$AL27="Yes"),"Yes","No"))</f>
        <v>No</v>
      </c>
      <c r="AS27" s="193" t="str">
        <f aca="false">IF($A27="","",IFERROR(IF($AM27&lt;&gt;"",$AM27,IF($AG27&lt;&gt;"",$AG27,IF($AA27&lt;&gt;"",$AA27,IF($U27&lt;&gt;"",$U27,IF($O27&lt;&gt;"",$O27,""))))),""))</f>
        <v/>
      </c>
      <c r="AT27" s="193" t="str">
        <f aca="false">IFERROR(IF($AN27&lt;&gt;"",$AN27,IF($AH27&lt;&gt;"",$AH27,IF($AB27&lt;&gt;"",$AB27,IF($V27&lt;&gt;"",$V27,IF($P27&lt;&gt;"",$P27,""))))),"")</f>
        <v/>
      </c>
      <c r="AU27" s="194"/>
    </row>
    <row r="28" customFormat="false" ht="15.75" hidden="false" customHeight="true" outlineLevel="0" collapsed="false">
      <c r="A28" s="189"/>
      <c r="B28" s="189"/>
      <c r="C28" s="190" t="s">
        <v>1393</v>
      </c>
      <c r="D28" s="190"/>
      <c r="E28" s="190"/>
      <c r="F28" s="190"/>
      <c r="G28" s="190"/>
      <c r="H28" s="190"/>
      <c r="I28" s="190"/>
      <c r="J28" s="190"/>
      <c r="K28" s="190"/>
      <c r="L28" s="190"/>
      <c r="M28" s="190"/>
      <c r="N28" s="190"/>
      <c r="O28" s="190"/>
      <c r="P28" s="190"/>
      <c r="Q28" s="190"/>
      <c r="R28" s="190"/>
      <c r="S28" s="190"/>
      <c r="T28" s="190"/>
      <c r="U28" s="190"/>
      <c r="V28" s="190"/>
      <c r="W28" s="190"/>
      <c r="X28" s="190"/>
      <c r="Y28" s="190"/>
      <c r="Z28" s="190"/>
      <c r="AA28" s="190"/>
      <c r="AB28" s="190"/>
      <c r="AC28" s="190"/>
      <c r="AD28" s="190"/>
      <c r="AE28" s="190"/>
      <c r="AF28" s="190"/>
      <c r="AG28" s="190"/>
      <c r="AH28" s="190"/>
      <c r="AI28" s="190"/>
      <c r="AJ28" s="190"/>
      <c r="AK28" s="190"/>
      <c r="AL28" s="190"/>
      <c r="AM28" s="190"/>
      <c r="AN28" s="190"/>
      <c r="AO28" s="190"/>
      <c r="AP28" s="190"/>
      <c r="AQ28" s="190"/>
      <c r="AR28" s="190"/>
      <c r="AS28" s="190"/>
      <c r="AT28" s="190"/>
      <c r="AU28" s="190"/>
    </row>
    <row r="29" customFormat="false" ht="15.75" hidden="false" customHeight="true" outlineLevel="0" collapsed="false">
      <c r="A29" s="191" t="str">
        <f aca="false">IF($F29="","",$C$2&amp;"."&amp;COUNTA($F$7:$F29)&amp;"")</f>
        <v>TC_11.17</v>
      </c>
      <c r="B29" s="191" t="s">
        <v>1394</v>
      </c>
      <c r="C29" s="191" t="s">
        <v>840</v>
      </c>
      <c r="D29" s="191" t="s">
        <v>41</v>
      </c>
      <c r="E29" s="191" t="s">
        <v>159</v>
      </c>
      <c r="F29" s="13" t="s">
        <v>1395</v>
      </c>
      <c r="G29" s="13" t="s">
        <v>655</v>
      </c>
      <c r="H29" s="13" t="s">
        <v>1396</v>
      </c>
      <c r="I29" s="13" t="s">
        <v>1397</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15.75" hidden="false" customHeight="true" outlineLevel="0" collapsed="false">
      <c r="A30" s="189"/>
      <c r="B30" s="189"/>
      <c r="C30" s="190" t="s">
        <v>1398</v>
      </c>
      <c r="D30" s="190"/>
      <c r="E30" s="190"/>
      <c r="F30" s="190"/>
      <c r="G30" s="190"/>
      <c r="H30" s="190"/>
      <c r="I30" s="190"/>
      <c r="J30" s="190"/>
      <c r="K30" s="190"/>
      <c r="L30" s="190"/>
      <c r="M30" s="190"/>
      <c r="N30" s="190"/>
      <c r="O30" s="190"/>
      <c r="P30" s="190"/>
      <c r="Q30" s="190"/>
      <c r="R30" s="190"/>
      <c r="S30" s="190"/>
      <c r="T30" s="190"/>
      <c r="U30" s="190"/>
      <c r="V30" s="190"/>
      <c r="W30" s="190"/>
      <c r="X30" s="190"/>
      <c r="Y30" s="190"/>
      <c r="Z30" s="190"/>
      <c r="AA30" s="190"/>
      <c r="AB30" s="190"/>
      <c r="AC30" s="190"/>
      <c r="AD30" s="190"/>
      <c r="AE30" s="190"/>
      <c r="AF30" s="190"/>
      <c r="AG30" s="190"/>
      <c r="AH30" s="190"/>
      <c r="AI30" s="190"/>
      <c r="AJ30" s="190"/>
      <c r="AK30" s="190"/>
      <c r="AL30" s="190"/>
      <c r="AM30" s="190"/>
      <c r="AN30" s="190"/>
      <c r="AO30" s="190"/>
      <c r="AP30" s="190"/>
      <c r="AQ30" s="190"/>
      <c r="AR30" s="190"/>
      <c r="AS30" s="190"/>
      <c r="AT30" s="190"/>
      <c r="AU30" s="190"/>
    </row>
    <row r="31" customFormat="false" ht="15.75" hidden="false" customHeight="true" outlineLevel="0" collapsed="false">
      <c r="A31" s="191" t="str">
        <f aca="false">IF($F31="","",$C$2&amp;"."&amp;COUNTA($F$7:$F31)&amp;"")</f>
        <v>TC_11.18</v>
      </c>
      <c r="B31" s="191" t="s">
        <v>622</v>
      </c>
      <c r="C31" s="191" t="s">
        <v>1365</v>
      </c>
      <c r="D31" s="191" t="s">
        <v>41</v>
      </c>
      <c r="E31" s="191" t="s">
        <v>158</v>
      </c>
      <c r="F31" s="13" t="s">
        <v>1399</v>
      </c>
      <c r="G31" s="13" t="s">
        <v>1400</v>
      </c>
      <c r="H31" s="13" t="s">
        <v>1401</v>
      </c>
      <c r="I31" s="13" t="s">
        <v>1402</v>
      </c>
      <c r="J31" s="191" t="s">
        <v>658</v>
      </c>
      <c r="K31" s="191" t="s">
        <v>245</v>
      </c>
      <c r="L31" s="191"/>
      <c r="M31" s="191"/>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2"/>
      <c r="AM31" s="192"/>
      <c r="AN31" s="192"/>
      <c r="AO31" s="192"/>
      <c r="AP31" s="192"/>
      <c r="AQ31" s="192"/>
      <c r="AR31" s="193" t="str">
        <f aca="false">IF($A31="","",IF(OR($N31="Yes",$T31="Yes",$Z31="Yes",$AF31="Yes",$AL31="Yes"),"Yes","No"))</f>
        <v>No</v>
      </c>
      <c r="AS31" s="193" t="str">
        <f aca="false">IF($A31="","",IFERROR(IF($AM31&lt;&gt;"",$AM31,IF($AG31&lt;&gt;"",$AG31,IF($AA31&lt;&gt;"",$AA31,IF($U31&lt;&gt;"",$U31,IF($O31&lt;&gt;"",$O31,""))))),""))</f>
        <v/>
      </c>
      <c r="AT31" s="193" t="str">
        <f aca="false">IFERROR(IF($AN31&lt;&gt;"",$AN31,IF($AH31&lt;&gt;"",$AH31,IF($AB31&lt;&gt;"",$AB31,IF($V31&lt;&gt;"",$V31,IF($P31&lt;&gt;"",$P31,""))))),"")</f>
        <v/>
      </c>
      <c r="AU31" s="194"/>
    </row>
    <row r="32" customFormat="false" ht="15.75" hidden="false" customHeight="true" outlineLevel="0" collapsed="false">
      <c r="A32" s="191" t="str">
        <f aca="false">IF($F32="","",$C$2&amp;"."&amp;COUNTA($F$7:$F32)&amp;"")</f>
        <v>TC_11.19</v>
      </c>
      <c r="B32" s="191" t="s">
        <v>625</v>
      </c>
      <c r="C32" s="191" t="s">
        <v>1365</v>
      </c>
      <c r="D32" s="191" t="s">
        <v>41</v>
      </c>
      <c r="E32" s="191" t="s">
        <v>159</v>
      </c>
      <c r="F32" s="13" t="s">
        <v>1403</v>
      </c>
      <c r="G32" s="13" t="s">
        <v>1400</v>
      </c>
      <c r="H32" s="13" t="s">
        <v>1404</v>
      </c>
      <c r="I32" s="13" t="s">
        <v>1405</v>
      </c>
      <c r="J32" s="191" t="s">
        <v>658</v>
      </c>
      <c r="K32" s="191" t="s">
        <v>245</v>
      </c>
      <c r="L32" s="191"/>
      <c r="M32" s="191"/>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2"/>
      <c r="AM32" s="192"/>
      <c r="AN32" s="192"/>
      <c r="AO32" s="192"/>
      <c r="AP32" s="192"/>
      <c r="AQ32" s="192"/>
      <c r="AR32" s="193" t="str">
        <f aca="false">IF($A32="","",IF(OR($N32="Yes",$T32="Yes",$Z32="Yes",$AF32="Yes",$AL32="Yes"),"Yes","No"))</f>
        <v>No</v>
      </c>
      <c r="AS32" s="193" t="str">
        <f aca="false">IF($A32="","",IFERROR(IF($AM32&lt;&gt;"",$AM32,IF($AG32&lt;&gt;"",$AG32,IF($AA32&lt;&gt;"",$AA32,IF($U32&lt;&gt;"",$U32,IF($O32&lt;&gt;"",$O32,""))))),""))</f>
        <v/>
      </c>
      <c r="AT32" s="193" t="str">
        <f aca="false">IFERROR(IF($AN32&lt;&gt;"",$AN32,IF($AH32&lt;&gt;"",$AH32,IF($AB32&lt;&gt;"",$AB32,IF($V32&lt;&gt;"",$V32,IF($P32&lt;&gt;"",$P32,""))))),"")</f>
        <v/>
      </c>
      <c r="AU32" s="194"/>
    </row>
    <row r="33" customFormat="false" ht="15.75" hidden="false" customHeight="true" outlineLevel="0" collapsed="false">
      <c r="A33" s="189"/>
      <c r="B33" s="189"/>
      <c r="C33" s="190" t="s">
        <v>1406</v>
      </c>
      <c r="D33" s="190"/>
      <c r="E33" s="190"/>
      <c r="F33" s="190"/>
      <c r="G33" s="190"/>
      <c r="H33" s="190"/>
      <c r="I33" s="190"/>
      <c r="J33" s="190"/>
      <c r="K33" s="190"/>
      <c r="L33" s="190"/>
      <c r="M33" s="190"/>
      <c r="N33" s="190"/>
      <c r="O33" s="190"/>
      <c r="P33" s="190"/>
      <c r="Q33" s="190"/>
      <c r="R33" s="190"/>
      <c r="S33" s="190"/>
      <c r="T33" s="190"/>
      <c r="U33" s="190"/>
      <c r="V33" s="190"/>
      <c r="W33" s="190"/>
      <c r="X33" s="190"/>
      <c r="Y33" s="190"/>
      <c r="Z33" s="190"/>
      <c r="AA33" s="190"/>
      <c r="AB33" s="190"/>
      <c r="AC33" s="190"/>
      <c r="AD33" s="190"/>
      <c r="AE33" s="190"/>
      <c r="AF33" s="190"/>
      <c r="AG33" s="190"/>
      <c r="AH33" s="190"/>
      <c r="AI33" s="190"/>
      <c r="AJ33" s="190"/>
      <c r="AK33" s="190"/>
      <c r="AL33" s="190"/>
      <c r="AM33" s="190"/>
      <c r="AN33" s="190"/>
      <c r="AO33" s="190"/>
      <c r="AP33" s="190"/>
      <c r="AQ33" s="190"/>
      <c r="AR33" s="190"/>
      <c r="AS33" s="190"/>
      <c r="AT33" s="190"/>
      <c r="AU33" s="190"/>
    </row>
    <row r="34" customFormat="false" ht="15.75" hidden="false" customHeight="true" outlineLevel="0" collapsed="false">
      <c r="A34" s="191" t="str">
        <f aca="false">IF($F34="","",$C$2&amp;"."&amp;COUNTA($F$7:$F34)&amp;"")</f>
        <v>TC_11.20</v>
      </c>
      <c r="B34" s="191" t="s">
        <v>619</v>
      </c>
      <c r="C34" s="191" t="s">
        <v>1365</v>
      </c>
      <c r="D34" s="191" t="s">
        <v>41</v>
      </c>
      <c r="E34" s="191" t="s">
        <v>159</v>
      </c>
      <c r="F34" s="13" t="s">
        <v>1407</v>
      </c>
      <c r="G34" s="13" t="s">
        <v>655</v>
      </c>
      <c r="H34" s="13" t="s">
        <v>1408</v>
      </c>
      <c r="I34" s="13" t="s">
        <v>1409</v>
      </c>
      <c r="J34" s="191" t="s">
        <v>658</v>
      </c>
      <c r="K34" s="191" t="s">
        <v>245</v>
      </c>
      <c r="L34" s="191"/>
      <c r="M34" s="191"/>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2"/>
      <c r="AM34" s="192"/>
      <c r="AN34" s="192"/>
      <c r="AO34" s="192"/>
      <c r="AP34" s="192"/>
      <c r="AQ34" s="192"/>
      <c r="AR34" s="193" t="str">
        <f aca="false">IF($A34="","",IF(OR($N34="Yes",$T34="Yes",$Z34="Yes",$AF34="Yes",$AL34="Yes"),"Yes","No"))</f>
        <v>No</v>
      </c>
      <c r="AS34" s="193" t="str">
        <f aca="false">IF($A34="","",IFERROR(IF($AM34&lt;&gt;"",$AM34,IF($AG34&lt;&gt;"",$AG34,IF($AA34&lt;&gt;"",$AA34,IF($U34&lt;&gt;"",$U34,IF($O34&lt;&gt;"",$O34,""))))),""))</f>
        <v/>
      </c>
      <c r="AT34" s="193" t="str">
        <f aca="false">IFERROR(IF($AN34&lt;&gt;"",$AN34,IF($AH34&lt;&gt;"",$AH34,IF($AB34&lt;&gt;"",$AB34,IF($V34&lt;&gt;"",$V34,IF($P34&lt;&gt;"",$P34,""))))),"")</f>
        <v/>
      </c>
      <c r="AU34" s="194"/>
    </row>
    <row r="35" customFormat="false" ht="15.75" hidden="false" customHeight="true" outlineLevel="0" collapsed="false">
      <c r="A35" s="191" t="str">
        <f aca="false">IF($F35="","",$C$2&amp;"."&amp;COUNTA($F$7:$F35)&amp;"")</f>
        <v>TC_11.21</v>
      </c>
      <c r="B35" s="191" t="s">
        <v>619</v>
      </c>
      <c r="C35" s="191" t="s">
        <v>1365</v>
      </c>
      <c r="D35" s="191" t="s">
        <v>41</v>
      </c>
      <c r="E35" s="191" t="s">
        <v>159</v>
      </c>
      <c r="F35" s="13" t="s">
        <v>1410</v>
      </c>
      <c r="G35" s="13" t="s">
        <v>655</v>
      </c>
      <c r="H35" s="13" t="s">
        <v>1411</v>
      </c>
      <c r="I35" s="13" t="s">
        <v>1412</v>
      </c>
      <c r="J35" s="191" t="s">
        <v>658</v>
      </c>
      <c r="K35" s="191" t="s">
        <v>245</v>
      </c>
      <c r="L35" s="191"/>
      <c r="M35" s="191"/>
      <c r="N35" s="192"/>
      <c r="O35" s="192"/>
      <c r="P35" s="192"/>
      <c r="Q35" s="192"/>
      <c r="R35" s="192"/>
      <c r="S35" s="192"/>
      <c r="T35" s="192"/>
      <c r="U35" s="192"/>
      <c r="V35" s="192"/>
      <c r="W35" s="192"/>
      <c r="X35" s="192"/>
      <c r="Y35" s="192"/>
      <c r="Z35" s="192"/>
      <c r="AA35" s="192"/>
      <c r="AB35" s="192"/>
      <c r="AC35" s="192"/>
      <c r="AD35" s="192"/>
      <c r="AE35" s="192"/>
      <c r="AF35" s="192"/>
      <c r="AG35" s="192"/>
      <c r="AH35" s="192"/>
      <c r="AI35" s="192"/>
      <c r="AJ35" s="192"/>
      <c r="AK35" s="192"/>
      <c r="AL35" s="192"/>
      <c r="AM35" s="192"/>
      <c r="AN35" s="192"/>
      <c r="AO35" s="192"/>
      <c r="AP35" s="192"/>
      <c r="AQ35" s="192"/>
      <c r="AR35" s="193" t="str">
        <f aca="false">IF($A35="","",IF(OR($N35="Yes",$T35="Yes",$Z35="Yes",$AF35="Yes",$AL35="Yes"),"Yes","No"))</f>
        <v>No</v>
      </c>
      <c r="AS35" s="193" t="str">
        <f aca="false">IF($A35="","",IFERROR(IF($AM35&lt;&gt;"",$AM35,IF($AG35&lt;&gt;"",$AG35,IF($AA35&lt;&gt;"",$AA35,IF($U35&lt;&gt;"",$U35,IF($O35&lt;&gt;"",$O35,""))))),""))</f>
        <v/>
      </c>
      <c r="AT35" s="193" t="str">
        <f aca="false">IFERROR(IF($AN35&lt;&gt;"",$AN35,IF($AH35&lt;&gt;"",$AH35,IF($AB35&lt;&gt;"",$AB35,IF($V35&lt;&gt;"",$V35,IF($P35&lt;&gt;"",$P35,""))))),"")</f>
        <v/>
      </c>
      <c r="AU35" s="194"/>
    </row>
    <row r="36" customFormat="false" ht="15.75" hidden="false" customHeight="true" outlineLevel="0" collapsed="false">
      <c r="A36" s="191" t="str">
        <f aca="false">IF($F36="","",$C$2&amp;"."&amp;COUNTA($F$7:$F36)&amp;"")</f>
        <v>TC_11.22</v>
      </c>
      <c r="B36" s="191" t="s">
        <v>619</v>
      </c>
      <c r="C36" s="191" t="s">
        <v>1365</v>
      </c>
      <c r="D36" s="191" t="s">
        <v>41</v>
      </c>
      <c r="E36" s="191" t="s">
        <v>159</v>
      </c>
      <c r="F36" s="13" t="s">
        <v>1413</v>
      </c>
      <c r="G36" s="13" t="s">
        <v>655</v>
      </c>
      <c r="H36" s="13" t="s">
        <v>1414</v>
      </c>
      <c r="I36" s="13" t="s">
        <v>1415</v>
      </c>
      <c r="J36" s="191" t="s">
        <v>658</v>
      </c>
      <c r="K36" s="191" t="s">
        <v>245</v>
      </c>
      <c r="L36" s="191"/>
      <c r="M36" s="191"/>
      <c r="N36" s="192"/>
      <c r="O36" s="192"/>
      <c r="P36" s="192"/>
      <c r="Q36" s="192"/>
      <c r="R36" s="192"/>
      <c r="S36" s="192"/>
      <c r="T36" s="192"/>
      <c r="U36" s="192"/>
      <c r="V36" s="192"/>
      <c r="W36" s="192"/>
      <c r="X36" s="192"/>
      <c r="Y36" s="192"/>
      <c r="Z36" s="192"/>
      <c r="AA36" s="192"/>
      <c r="AB36" s="192"/>
      <c r="AC36" s="192"/>
      <c r="AD36" s="192"/>
      <c r="AE36" s="192"/>
      <c r="AF36" s="192"/>
      <c r="AG36" s="192"/>
      <c r="AH36" s="192"/>
      <c r="AI36" s="192"/>
      <c r="AJ36" s="192"/>
      <c r="AK36" s="192"/>
      <c r="AL36" s="192"/>
      <c r="AM36" s="192"/>
      <c r="AN36" s="192"/>
      <c r="AO36" s="192"/>
      <c r="AP36" s="192"/>
      <c r="AQ36" s="192"/>
      <c r="AR36" s="193" t="str">
        <f aca="false">IF($A36="","",IF(OR($N36="Yes",$T36="Yes",$Z36="Yes",$AF36="Yes",$AL36="Yes"),"Yes","No"))</f>
        <v>No</v>
      </c>
      <c r="AS36" s="193" t="str">
        <f aca="false">IF($A36="","",IFERROR(IF($AM36&lt;&gt;"",$AM36,IF($AG36&lt;&gt;"",$AG36,IF($AA36&lt;&gt;"",$AA36,IF($U36&lt;&gt;"",$U36,IF($O36&lt;&gt;"",$O36,""))))),""))</f>
        <v/>
      </c>
      <c r="AT36" s="193" t="str">
        <f aca="false">IFERROR(IF($AN36&lt;&gt;"",$AN36,IF($AH36&lt;&gt;"",$AH36,IF($AB36&lt;&gt;"",$AB36,IF($V36&lt;&gt;"",$V36,IF($P36&lt;&gt;"",$P36,""))))),"")</f>
        <v/>
      </c>
      <c r="AU36" s="194"/>
    </row>
    <row r="37" customFormat="false" ht="15.75" hidden="false" customHeight="true" outlineLevel="0" collapsed="false">
      <c r="A37" s="189"/>
      <c r="B37" s="189"/>
      <c r="C37" s="190" t="s">
        <v>1416</v>
      </c>
      <c r="D37" s="190"/>
      <c r="E37" s="190"/>
      <c r="F37" s="190"/>
      <c r="G37" s="190"/>
      <c r="H37" s="190"/>
      <c r="I37" s="190"/>
      <c r="J37" s="190"/>
      <c r="K37" s="190"/>
      <c r="L37" s="190"/>
      <c r="M37" s="190"/>
      <c r="N37" s="190"/>
      <c r="O37" s="190"/>
      <c r="P37" s="190"/>
      <c r="Q37" s="190"/>
      <c r="R37" s="190"/>
      <c r="S37" s="190"/>
      <c r="T37" s="190"/>
      <c r="U37" s="190"/>
      <c r="V37" s="190"/>
      <c r="W37" s="190"/>
      <c r="X37" s="190"/>
      <c r="Y37" s="190"/>
      <c r="Z37" s="190"/>
      <c r="AA37" s="190"/>
      <c r="AB37" s="190"/>
      <c r="AC37" s="190"/>
      <c r="AD37" s="190"/>
      <c r="AE37" s="190"/>
      <c r="AF37" s="190"/>
      <c r="AG37" s="190"/>
      <c r="AH37" s="190"/>
      <c r="AI37" s="190"/>
      <c r="AJ37" s="190"/>
      <c r="AK37" s="190"/>
      <c r="AL37" s="190"/>
      <c r="AM37" s="190"/>
      <c r="AN37" s="190"/>
      <c r="AO37" s="190"/>
      <c r="AP37" s="190"/>
      <c r="AQ37" s="190"/>
      <c r="AR37" s="190"/>
      <c r="AS37" s="190"/>
      <c r="AT37" s="190"/>
      <c r="AU37" s="190"/>
    </row>
    <row r="38" customFormat="false" ht="15.75" hidden="false" customHeight="true" outlineLevel="0" collapsed="false">
      <c r="A38" s="191" t="str">
        <f aca="false">IF($F38="","",$C$2&amp;"."&amp;COUNTA($F$7:$F38)&amp;"")</f>
        <v>TC_11.23</v>
      </c>
      <c r="B38" s="191" t="s">
        <v>619</v>
      </c>
      <c r="C38" s="191" t="s">
        <v>1365</v>
      </c>
      <c r="D38" s="191" t="s">
        <v>41</v>
      </c>
      <c r="E38" s="191" t="s">
        <v>159</v>
      </c>
      <c r="F38" s="13" t="s">
        <v>1417</v>
      </c>
      <c r="G38" s="13" t="s">
        <v>655</v>
      </c>
      <c r="H38" s="13" t="s">
        <v>1418</v>
      </c>
      <c r="I38" s="13" t="s">
        <v>1419</v>
      </c>
      <c r="J38" s="191" t="s">
        <v>658</v>
      </c>
      <c r="K38" s="191" t="s">
        <v>245</v>
      </c>
      <c r="L38" s="191"/>
      <c r="M38" s="191"/>
      <c r="N38" s="192"/>
      <c r="O38" s="192"/>
      <c r="P38" s="192"/>
      <c r="Q38" s="192"/>
      <c r="R38" s="192"/>
      <c r="S38" s="192"/>
      <c r="T38" s="192"/>
      <c r="U38" s="192"/>
      <c r="V38" s="192"/>
      <c r="W38" s="192"/>
      <c r="X38" s="192"/>
      <c r="Y38" s="192"/>
      <c r="Z38" s="192"/>
      <c r="AA38" s="192"/>
      <c r="AB38" s="192"/>
      <c r="AC38" s="192"/>
      <c r="AD38" s="192"/>
      <c r="AE38" s="192"/>
      <c r="AF38" s="192"/>
      <c r="AG38" s="192"/>
      <c r="AH38" s="192"/>
      <c r="AI38" s="192"/>
      <c r="AJ38" s="192"/>
      <c r="AK38" s="192"/>
      <c r="AL38" s="192"/>
      <c r="AM38" s="192"/>
      <c r="AN38" s="192"/>
      <c r="AO38" s="192"/>
      <c r="AP38" s="192"/>
      <c r="AQ38" s="192"/>
      <c r="AR38" s="193" t="str">
        <f aca="false">IF($A38="","",IF(OR($N38="Yes",$T38="Yes",$Z38="Yes",$AF38="Yes",$AL38="Yes"),"Yes","No"))</f>
        <v>No</v>
      </c>
      <c r="AS38" s="193" t="str">
        <f aca="false">IF($A38="","",IFERROR(IF($AM38&lt;&gt;"",$AM38,IF($AG38&lt;&gt;"",$AG38,IF($AA38&lt;&gt;"",$AA38,IF($U38&lt;&gt;"",$U38,IF($O38&lt;&gt;"",$O38,""))))),""))</f>
        <v/>
      </c>
      <c r="AT38" s="193" t="str">
        <f aca="false">IFERROR(IF($AN38&lt;&gt;"",$AN38,IF($AH38&lt;&gt;"",$AH38,IF($AB38&lt;&gt;"",$AB38,IF($V38&lt;&gt;"",$V38,IF($P38&lt;&gt;"",$P38,""))))),"")</f>
        <v/>
      </c>
      <c r="AU38" s="194"/>
    </row>
    <row r="39" customFormat="false" ht="15.75" hidden="false" customHeight="true" outlineLevel="0" collapsed="false">
      <c r="A39" s="191" t="str">
        <f aca="false">IF($F39="","",$C$2&amp;"."&amp;COUNTA($F$7:$F39)&amp;"")</f>
        <v>TC_11.24</v>
      </c>
      <c r="B39" s="191" t="s">
        <v>619</v>
      </c>
      <c r="C39" s="191" t="s">
        <v>1365</v>
      </c>
      <c r="D39" s="191" t="s">
        <v>41</v>
      </c>
      <c r="E39" s="191" t="s">
        <v>159</v>
      </c>
      <c r="F39" s="13" t="s">
        <v>1420</v>
      </c>
      <c r="G39" s="13" t="s">
        <v>655</v>
      </c>
      <c r="H39" s="13" t="s">
        <v>1421</v>
      </c>
      <c r="I39" s="13" t="s">
        <v>1422</v>
      </c>
      <c r="J39" s="191" t="s">
        <v>658</v>
      </c>
      <c r="K39" s="191" t="s">
        <v>245</v>
      </c>
      <c r="L39" s="191"/>
      <c r="M39" s="191"/>
      <c r="N39" s="192"/>
      <c r="O39" s="192"/>
      <c r="P39" s="192"/>
      <c r="Q39" s="192"/>
      <c r="R39" s="192"/>
      <c r="S39" s="192"/>
      <c r="T39" s="192"/>
      <c r="U39" s="192"/>
      <c r="V39" s="192"/>
      <c r="W39" s="192"/>
      <c r="X39" s="192"/>
      <c r="Y39" s="192"/>
      <c r="Z39" s="192"/>
      <c r="AA39" s="192"/>
      <c r="AB39" s="192"/>
      <c r="AC39" s="192"/>
      <c r="AD39" s="192"/>
      <c r="AE39" s="192"/>
      <c r="AF39" s="192"/>
      <c r="AG39" s="192"/>
      <c r="AH39" s="192"/>
      <c r="AI39" s="192"/>
      <c r="AJ39" s="192"/>
      <c r="AK39" s="192"/>
      <c r="AL39" s="192"/>
      <c r="AM39" s="192"/>
      <c r="AN39" s="192"/>
      <c r="AO39" s="192"/>
      <c r="AP39" s="192"/>
      <c r="AQ39" s="192"/>
      <c r="AR39" s="193" t="str">
        <f aca="false">IF($A39="","",IF(OR($N39="Yes",$T39="Yes",$Z39="Yes",$AF39="Yes",$AL39="Yes"),"Yes","No"))</f>
        <v>No</v>
      </c>
      <c r="AS39" s="193" t="str">
        <f aca="false">IF($A39="","",IFERROR(IF($AM39&lt;&gt;"",$AM39,IF($AG39&lt;&gt;"",$AG39,IF($AA39&lt;&gt;"",$AA39,IF($U39&lt;&gt;"",$U39,IF($O39&lt;&gt;"",$O39,""))))),""))</f>
        <v/>
      </c>
      <c r="AT39" s="193" t="str">
        <f aca="false">IFERROR(IF($AN39&lt;&gt;"",$AN39,IF($AH39&lt;&gt;"",$AH39,IF($AB39&lt;&gt;"",$AB39,IF($V39&lt;&gt;"",$V39,IF($P39&lt;&gt;"",$P39,""))))),"")</f>
        <v/>
      </c>
      <c r="AU39" s="194"/>
    </row>
    <row r="40" customFormat="false" ht="15.75" hidden="false" customHeight="true" outlineLevel="0" collapsed="false">
      <c r="A40" s="191" t="str">
        <f aca="false">IF($F40="","",$C$2&amp;"."&amp;COUNTA($F$7:$F40)&amp;"")</f>
        <v>TC_11.25</v>
      </c>
      <c r="B40" s="191" t="s">
        <v>619</v>
      </c>
      <c r="C40" s="191" t="s">
        <v>1365</v>
      </c>
      <c r="D40" s="191" t="s">
        <v>41</v>
      </c>
      <c r="E40" s="191" t="s">
        <v>159</v>
      </c>
      <c r="F40" s="13" t="s">
        <v>1423</v>
      </c>
      <c r="G40" s="13" t="s">
        <v>655</v>
      </c>
      <c r="H40" s="13" t="s">
        <v>1424</v>
      </c>
      <c r="I40" s="13" t="s">
        <v>1425</v>
      </c>
      <c r="J40" s="191" t="s">
        <v>658</v>
      </c>
      <c r="K40" s="191" t="s">
        <v>245</v>
      </c>
      <c r="L40" s="191"/>
      <c r="M40" s="191"/>
      <c r="N40" s="192"/>
      <c r="O40" s="192"/>
      <c r="P40" s="192"/>
      <c r="Q40" s="192"/>
      <c r="R40" s="192"/>
      <c r="S40" s="192"/>
      <c r="T40" s="192"/>
      <c r="U40" s="192"/>
      <c r="V40" s="192"/>
      <c r="W40" s="192"/>
      <c r="X40" s="192"/>
      <c r="Y40" s="192"/>
      <c r="Z40" s="192"/>
      <c r="AA40" s="192"/>
      <c r="AB40" s="192"/>
      <c r="AC40" s="192"/>
      <c r="AD40" s="192"/>
      <c r="AE40" s="192"/>
      <c r="AF40" s="192"/>
      <c r="AG40" s="192"/>
      <c r="AH40" s="192"/>
      <c r="AI40" s="192"/>
      <c r="AJ40" s="192"/>
      <c r="AK40" s="192"/>
      <c r="AL40" s="192"/>
      <c r="AM40" s="192"/>
      <c r="AN40" s="192"/>
      <c r="AO40" s="192"/>
      <c r="AP40" s="192"/>
      <c r="AQ40" s="192"/>
      <c r="AR40" s="193" t="str">
        <f aca="false">IF($A40="","",IF(OR($N40="Yes",$T40="Yes",$Z40="Yes",$AF40="Yes",$AL40="Yes"),"Yes","No"))</f>
        <v>No</v>
      </c>
      <c r="AS40" s="193" t="str">
        <f aca="false">IF($A40="","",IFERROR(IF($AM40&lt;&gt;"",$AM40,IF($AG40&lt;&gt;"",$AG40,IF($AA40&lt;&gt;"",$AA40,IF($U40&lt;&gt;"",$U40,IF($O40&lt;&gt;"",$O40,""))))),""))</f>
        <v/>
      </c>
      <c r="AT40" s="193" t="str">
        <f aca="false">IFERROR(IF($AN40&lt;&gt;"",$AN40,IF($AH40&lt;&gt;"",$AH40,IF($AB40&lt;&gt;"",$AB40,IF($V40&lt;&gt;"",$V40,IF($P40&lt;&gt;"",$P40,""))))),"")</f>
        <v/>
      </c>
      <c r="AU40" s="194"/>
    </row>
    <row r="41" customFormat="false" ht="15.75" hidden="false" customHeight="true" outlineLevel="0" collapsed="false">
      <c r="A41" s="191" t="str">
        <f aca="false">IF($F41="","",$C$2&amp;"."&amp;COUNTA($F$7:$F41)&amp;"")</f>
        <v>TC_11.26</v>
      </c>
      <c r="B41" s="191" t="s">
        <v>619</v>
      </c>
      <c r="C41" s="191" t="s">
        <v>1365</v>
      </c>
      <c r="D41" s="191" t="s">
        <v>41</v>
      </c>
      <c r="E41" s="191" t="s">
        <v>159</v>
      </c>
      <c r="F41" s="13" t="s">
        <v>1426</v>
      </c>
      <c r="G41" s="13" t="s">
        <v>655</v>
      </c>
      <c r="H41" s="13" t="s">
        <v>1427</v>
      </c>
      <c r="I41" s="13" t="s">
        <v>1428</v>
      </c>
      <c r="J41" s="191" t="s">
        <v>658</v>
      </c>
      <c r="K41" s="191" t="s">
        <v>245</v>
      </c>
      <c r="L41" s="191"/>
      <c r="M41" s="191"/>
      <c r="N41" s="192"/>
      <c r="O41" s="192"/>
      <c r="P41" s="192"/>
      <c r="Q41" s="192"/>
      <c r="R41" s="192"/>
      <c r="S41" s="192"/>
      <c r="T41" s="192"/>
      <c r="U41" s="192"/>
      <c r="V41" s="192"/>
      <c r="W41" s="192"/>
      <c r="X41" s="192"/>
      <c r="Y41" s="192"/>
      <c r="Z41" s="192"/>
      <c r="AA41" s="192"/>
      <c r="AB41" s="192"/>
      <c r="AC41" s="192"/>
      <c r="AD41" s="192"/>
      <c r="AE41" s="192"/>
      <c r="AF41" s="192"/>
      <c r="AG41" s="192"/>
      <c r="AH41" s="192"/>
      <c r="AI41" s="192"/>
      <c r="AJ41" s="192"/>
      <c r="AK41" s="192"/>
      <c r="AL41" s="192"/>
      <c r="AM41" s="192"/>
      <c r="AN41" s="192"/>
      <c r="AO41" s="192"/>
      <c r="AP41" s="192"/>
      <c r="AQ41" s="192"/>
      <c r="AR41" s="193" t="str">
        <f aca="false">IF($A41="","",IF(OR($N41="Yes",$T41="Yes",$Z41="Yes",$AF41="Yes",$AL41="Yes"),"Yes","No"))</f>
        <v>No</v>
      </c>
      <c r="AS41" s="193" t="str">
        <f aca="false">IF($A41="","",IFERROR(IF($AM41&lt;&gt;"",$AM41,IF($AG41&lt;&gt;"",$AG41,IF($AA41&lt;&gt;"",$AA41,IF($U41&lt;&gt;"",$U41,IF($O41&lt;&gt;"",$O41,""))))),""))</f>
        <v/>
      </c>
      <c r="AT41" s="193" t="str">
        <f aca="false">IFERROR(IF($AN41&lt;&gt;"",$AN41,IF($AH41&lt;&gt;"",$AH41,IF($AB41&lt;&gt;"",$AB41,IF($V41&lt;&gt;"",$V41,IF($P41&lt;&gt;"",$P41,""))))),"")</f>
        <v/>
      </c>
      <c r="AU41" s="194"/>
    </row>
    <row r="42" customFormat="false" ht="15.75" hidden="false" customHeight="true" outlineLevel="0" collapsed="false">
      <c r="A42" s="191" t="str">
        <f aca="false">IF($F42="","",$C$2&amp;"."&amp;COUNTA($F$7:$F42)&amp;"")</f>
        <v>TC_11.27</v>
      </c>
      <c r="B42" s="191" t="s">
        <v>619</v>
      </c>
      <c r="C42" s="191" t="s">
        <v>1365</v>
      </c>
      <c r="D42" s="191" t="s">
        <v>41</v>
      </c>
      <c r="E42" s="191" t="s">
        <v>159</v>
      </c>
      <c r="F42" s="13" t="s">
        <v>1429</v>
      </c>
      <c r="G42" s="13" t="s">
        <v>655</v>
      </c>
      <c r="H42" s="13" t="s">
        <v>1430</v>
      </c>
      <c r="I42" s="13" t="s">
        <v>1428</v>
      </c>
      <c r="J42" s="191" t="s">
        <v>658</v>
      </c>
      <c r="K42" s="191" t="s">
        <v>245</v>
      </c>
      <c r="L42" s="191"/>
      <c r="M42" s="191"/>
      <c r="N42" s="192"/>
      <c r="O42" s="192"/>
      <c r="P42" s="192"/>
      <c r="Q42" s="192"/>
      <c r="R42" s="192"/>
      <c r="S42" s="192"/>
      <c r="T42" s="192"/>
      <c r="U42" s="192"/>
      <c r="V42" s="192"/>
      <c r="W42" s="192"/>
      <c r="X42" s="192"/>
      <c r="Y42" s="192"/>
      <c r="Z42" s="192"/>
      <c r="AA42" s="192"/>
      <c r="AB42" s="192"/>
      <c r="AC42" s="192"/>
      <c r="AD42" s="192"/>
      <c r="AE42" s="192"/>
      <c r="AF42" s="192"/>
      <c r="AG42" s="192"/>
      <c r="AH42" s="192"/>
      <c r="AI42" s="192"/>
      <c r="AJ42" s="192"/>
      <c r="AK42" s="192"/>
      <c r="AL42" s="192"/>
      <c r="AM42" s="192"/>
      <c r="AN42" s="192"/>
      <c r="AO42" s="192"/>
      <c r="AP42" s="192"/>
      <c r="AQ42" s="192"/>
      <c r="AR42" s="193" t="str">
        <f aca="false">IF($A42="","",IF(OR($N42="Yes",$T42="Yes",$Z42="Yes",$AF42="Yes",$AL42="Yes"),"Yes","No"))</f>
        <v>No</v>
      </c>
      <c r="AS42" s="193" t="str">
        <f aca="false">IF($A42="","",IFERROR(IF($AM42&lt;&gt;"",$AM42,IF($AG42&lt;&gt;"",$AG42,IF($AA42&lt;&gt;"",$AA42,IF($U42&lt;&gt;"",$U42,IF($O42&lt;&gt;"",$O42,""))))),""))</f>
        <v/>
      </c>
      <c r="AT42" s="193" t="str">
        <f aca="false">IFERROR(IF($AN42&lt;&gt;"",$AN42,IF($AH42&lt;&gt;"",$AH42,IF($AB42&lt;&gt;"",$AB42,IF($V42&lt;&gt;"",$V42,IF($P42&lt;&gt;"",$P42,""))))),"")</f>
        <v/>
      </c>
      <c r="AU42" s="194"/>
    </row>
    <row r="43" customFormat="false" ht="15.75" hidden="false" customHeight="true" outlineLevel="0" collapsed="false">
      <c r="A43" s="191" t="str">
        <f aca="false">IF($F43="","",$C$2&amp;"."&amp;COUNTA($F$7:$F43)&amp;"")</f>
        <v>TC_11.28</v>
      </c>
      <c r="B43" s="191" t="s">
        <v>619</v>
      </c>
      <c r="C43" s="191" t="s">
        <v>1365</v>
      </c>
      <c r="D43" s="191" t="s">
        <v>41</v>
      </c>
      <c r="E43" s="191" t="s">
        <v>159</v>
      </c>
      <c r="F43" s="13" t="s">
        <v>1431</v>
      </c>
      <c r="G43" s="13" t="s">
        <v>655</v>
      </c>
      <c r="H43" s="13" t="s">
        <v>1432</v>
      </c>
      <c r="I43" s="13" t="s">
        <v>1428</v>
      </c>
      <c r="J43" s="191" t="s">
        <v>658</v>
      </c>
      <c r="K43" s="191" t="s">
        <v>245</v>
      </c>
      <c r="L43" s="191"/>
      <c r="M43" s="191"/>
      <c r="N43" s="192"/>
      <c r="O43" s="192"/>
      <c r="P43" s="192"/>
      <c r="Q43" s="192"/>
      <c r="R43" s="192"/>
      <c r="S43" s="192"/>
      <c r="T43" s="192"/>
      <c r="U43" s="192"/>
      <c r="V43" s="192"/>
      <c r="W43" s="192"/>
      <c r="X43" s="192"/>
      <c r="Y43" s="192"/>
      <c r="Z43" s="192"/>
      <c r="AA43" s="192"/>
      <c r="AB43" s="192"/>
      <c r="AC43" s="192"/>
      <c r="AD43" s="192"/>
      <c r="AE43" s="192"/>
      <c r="AF43" s="192"/>
      <c r="AG43" s="192"/>
      <c r="AH43" s="192"/>
      <c r="AI43" s="192"/>
      <c r="AJ43" s="192"/>
      <c r="AK43" s="192"/>
      <c r="AL43" s="192"/>
      <c r="AM43" s="192"/>
      <c r="AN43" s="192"/>
      <c r="AO43" s="192"/>
      <c r="AP43" s="192"/>
      <c r="AQ43" s="192"/>
      <c r="AR43" s="193" t="str">
        <f aca="false">IF($A43="","",IF(OR($N43="Yes",$T43="Yes",$Z43="Yes",$AF43="Yes",$AL43="Yes"),"Yes","No"))</f>
        <v>No</v>
      </c>
      <c r="AS43" s="193" t="str">
        <f aca="false">IF($A43="","",IFERROR(IF($AM43&lt;&gt;"",$AM43,IF($AG43&lt;&gt;"",$AG43,IF($AA43&lt;&gt;"",$AA43,IF($U43&lt;&gt;"",$U43,IF($O43&lt;&gt;"",$O43,""))))),""))</f>
        <v/>
      </c>
      <c r="AT43" s="193" t="str">
        <f aca="false">IFERROR(IF($AN43&lt;&gt;"",$AN43,IF($AH43&lt;&gt;"",$AH43,IF($AB43&lt;&gt;"",$AB43,IF($V43&lt;&gt;"",$V43,IF($P43&lt;&gt;"",$P43,""))))),"")</f>
        <v/>
      </c>
      <c r="AU43" s="194"/>
    </row>
    <row r="44" customFormat="false" ht="15.75" hidden="false" customHeight="true" outlineLevel="0" collapsed="false">
      <c r="A44" s="191" t="str">
        <f aca="false">IF($F44="","",$C$2&amp;"."&amp;COUNTA($F$7:$F44)&amp;"")</f>
        <v>TC_11.29</v>
      </c>
      <c r="B44" s="191" t="s">
        <v>619</v>
      </c>
      <c r="C44" s="191" t="s">
        <v>1365</v>
      </c>
      <c r="D44" s="191" t="s">
        <v>41</v>
      </c>
      <c r="E44" s="191" t="s">
        <v>159</v>
      </c>
      <c r="F44" s="13" t="s">
        <v>1433</v>
      </c>
      <c r="G44" s="13" t="s">
        <v>655</v>
      </c>
      <c r="H44" s="13" t="s">
        <v>1434</v>
      </c>
      <c r="I44" s="13" t="s">
        <v>1435</v>
      </c>
      <c r="J44" s="191" t="s">
        <v>658</v>
      </c>
      <c r="K44" s="191" t="s">
        <v>245</v>
      </c>
      <c r="L44" s="191"/>
      <c r="M44" s="191"/>
      <c r="N44" s="192"/>
      <c r="O44" s="192"/>
      <c r="P44" s="192"/>
      <c r="Q44" s="192"/>
      <c r="R44" s="192"/>
      <c r="S44" s="192"/>
      <c r="T44" s="192"/>
      <c r="U44" s="192"/>
      <c r="V44" s="192"/>
      <c r="W44" s="192"/>
      <c r="X44" s="192"/>
      <c r="Y44" s="192"/>
      <c r="Z44" s="192"/>
      <c r="AA44" s="192"/>
      <c r="AB44" s="192"/>
      <c r="AC44" s="192"/>
      <c r="AD44" s="192"/>
      <c r="AE44" s="192"/>
      <c r="AF44" s="192"/>
      <c r="AG44" s="192"/>
      <c r="AH44" s="192"/>
      <c r="AI44" s="192"/>
      <c r="AJ44" s="192"/>
      <c r="AK44" s="192"/>
      <c r="AL44" s="192"/>
      <c r="AM44" s="192"/>
      <c r="AN44" s="192"/>
      <c r="AO44" s="192"/>
      <c r="AP44" s="192"/>
      <c r="AQ44" s="192"/>
      <c r="AR44" s="193" t="str">
        <f aca="false">IF($A44="","",IF(OR($N44="Yes",$T44="Yes",$Z44="Yes",$AF44="Yes",$AL44="Yes"),"Yes","No"))</f>
        <v>No</v>
      </c>
      <c r="AS44" s="193" t="str">
        <f aca="false">IF($A44="","",IFERROR(IF($AM44&lt;&gt;"",$AM44,IF($AG44&lt;&gt;"",$AG44,IF($AA44&lt;&gt;"",$AA44,IF($U44&lt;&gt;"",$U44,IF($O44&lt;&gt;"",$O44,""))))),""))</f>
        <v/>
      </c>
      <c r="AT44" s="193" t="str">
        <f aca="false">IFERROR(IF($AN44&lt;&gt;"",$AN44,IF($AH44&lt;&gt;"",$AH44,IF($AB44&lt;&gt;"",$AB44,IF($V44&lt;&gt;"",$V44,IF($P44&lt;&gt;"",$P44,""))))),"")</f>
        <v/>
      </c>
      <c r="AU44" s="194"/>
    </row>
    <row r="45" customFormat="false" ht="15.75" hidden="false" customHeight="true" outlineLevel="0" collapsed="false">
      <c r="A45" s="191" t="str">
        <f aca="false">IF($F45="","",$C$2&amp;"."&amp;COUNTA($F$7:$F45)&amp;"")</f>
        <v>TC_11.30</v>
      </c>
      <c r="B45" s="191" t="s">
        <v>619</v>
      </c>
      <c r="C45" s="191" t="s">
        <v>1365</v>
      </c>
      <c r="D45" s="191" t="s">
        <v>41</v>
      </c>
      <c r="E45" s="191" t="s">
        <v>159</v>
      </c>
      <c r="F45" s="13" t="s">
        <v>1436</v>
      </c>
      <c r="G45" s="13" t="s">
        <v>655</v>
      </c>
      <c r="H45" s="13" t="s">
        <v>1437</v>
      </c>
      <c r="I45" s="13" t="s">
        <v>1438</v>
      </c>
      <c r="J45" s="191" t="s">
        <v>658</v>
      </c>
      <c r="K45" s="191" t="s">
        <v>245</v>
      </c>
      <c r="L45" s="191"/>
      <c r="M45" s="191"/>
      <c r="N45" s="192"/>
      <c r="O45" s="192"/>
      <c r="P45" s="192"/>
      <c r="Q45" s="192"/>
      <c r="R45" s="192"/>
      <c r="S45" s="192"/>
      <c r="T45" s="192"/>
      <c r="U45" s="192"/>
      <c r="V45" s="192"/>
      <c r="W45" s="192"/>
      <c r="X45" s="192"/>
      <c r="Y45" s="192"/>
      <c r="Z45" s="192"/>
      <c r="AA45" s="192"/>
      <c r="AB45" s="192"/>
      <c r="AC45" s="192"/>
      <c r="AD45" s="192"/>
      <c r="AE45" s="192"/>
      <c r="AF45" s="192"/>
      <c r="AG45" s="192"/>
      <c r="AH45" s="192"/>
      <c r="AI45" s="192"/>
      <c r="AJ45" s="192"/>
      <c r="AK45" s="192"/>
      <c r="AL45" s="192"/>
      <c r="AM45" s="192"/>
      <c r="AN45" s="192"/>
      <c r="AO45" s="192"/>
      <c r="AP45" s="192"/>
      <c r="AQ45" s="192"/>
      <c r="AR45" s="193" t="str">
        <f aca="false">IF($A45="","",IF(OR($N45="Yes",$T45="Yes",$Z45="Yes",$AF45="Yes",$AL45="Yes"),"Yes","No"))</f>
        <v>No</v>
      </c>
      <c r="AS45" s="193" t="str">
        <f aca="false">IF($A45="","",IFERROR(IF($AM45&lt;&gt;"",$AM45,IF($AG45&lt;&gt;"",$AG45,IF($AA45&lt;&gt;"",$AA45,IF($U45&lt;&gt;"",$U45,IF($O45&lt;&gt;"",$O45,""))))),""))</f>
        <v/>
      </c>
      <c r="AT45" s="193" t="str">
        <f aca="false">IFERROR(IF($AN45&lt;&gt;"",$AN45,IF($AH45&lt;&gt;"",$AH45,IF($AB45&lt;&gt;"",$AB45,IF($V45&lt;&gt;"",$V45,IF($P45&lt;&gt;"",$P45,""))))),"")</f>
        <v/>
      </c>
      <c r="AU45" s="194"/>
    </row>
    <row r="46" customFormat="false" ht="15.75" hidden="false" customHeight="true" outlineLevel="0" collapsed="false">
      <c r="A46" s="191" t="str">
        <f aca="false">IF($F46="","",$C$2&amp;"."&amp;COUNTA($F$7:$F46)&amp;"")</f>
        <v>TC_11.31</v>
      </c>
      <c r="B46" s="191" t="s">
        <v>619</v>
      </c>
      <c r="C46" s="191" t="s">
        <v>1365</v>
      </c>
      <c r="D46" s="191" t="s">
        <v>41</v>
      </c>
      <c r="E46" s="191" t="s">
        <v>159</v>
      </c>
      <c r="F46" s="13" t="s">
        <v>1439</v>
      </c>
      <c r="G46" s="13" t="s">
        <v>655</v>
      </c>
      <c r="H46" s="13" t="s">
        <v>1440</v>
      </c>
      <c r="I46" s="13" t="s">
        <v>1419</v>
      </c>
      <c r="J46" s="191" t="s">
        <v>658</v>
      </c>
      <c r="K46" s="191" t="s">
        <v>245</v>
      </c>
      <c r="L46" s="191"/>
      <c r="M46" s="191"/>
      <c r="N46" s="192"/>
      <c r="O46" s="192"/>
      <c r="P46" s="192"/>
      <c r="Q46" s="192"/>
      <c r="R46" s="192"/>
      <c r="S46" s="192"/>
      <c r="T46" s="192"/>
      <c r="U46" s="192"/>
      <c r="V46" s="192"/>
      <c r="W46" s="192"/>
      <c r="X46" s="192"/>
      <c r="Y46" s="192"/>
      <c r="Z46" s="192"/>
      <c r="AA46" s="192"/>
      <c r="AB46" s="192"/>
      <c r="AC46" s="192"/>
      <c r="AD46" s="192"/>
      <c r="AE46" s="192"/>
      <c r="AF46" s="192"/>
      <c r="AG46" s="192"/>
      <c r="AH46" s="192"/>
      <c r="AI46" s="192"/>
      <c r="AJ46" s="192"/>
      <c r="AK46" s="192"/>
      <c r="AL46" s="192"/>
      <c r="AM46" s="192"/>
      <c r="AN46" s="192"/>
      <c r="AO46" s="192"/>
      <c r="AP46" s="192"/>
      <c r="AQ46" s="192"/>
      <c r="AR46" s="193" t="str">
        <f aca="false">IF($A46="","",IF(OR($N46="Yes",$T46="Yes",$Z46="Yes",$AF46="Yes",$AL46="Yes"),"Yes","No"))</f>
        <v>No</v>
      </c>
      <c r="AS46" s="193" t="str">
        <f aca="false">IF($A46="","",IFERROR(IF($AM46&lt;&gt;"",$AM46,IF($AG46&lt;&gt;"",$AG46,IF($AA46&lt;&gt;"",$AA46,IF($U46&lt;&gt;"",$U46,IF($O46&lt;&gt;"",$O46,""))))),""))</f>
        <v/>
      </c>
      <c r="AT46" s="193" t="str">
        <f aca="false">IFERROR(IF($AN46&lt;&gt;"",$AN46,IF($AH46&lt;&gt;"",$AH46,IF($AB46&lt;&gt;"",$AB46,IF($V46&lt;&gt;"",$V46,IF($P46&lt;&gt;"",$P46,""))))),"")</f>
        <v/>
      </c>
      <c r="AU46" s="194"/>
    </row>
    <row r="47" customFormat="false" ht="15.75" hidden="false" customHeight="true" outlineLevel="0" collapsed="false">
      <c r="A47" s="189"/>
      <c r="B47" s="189"/>
      <c r="C47" s="190" t="s">
        <v>1441</v>
      </c>
      <c r="D47" s="190"/>
      <c r="E47" s="190"/>
      <c r="F47" s="190"/>
      <c r="G47" s="190"/>
      <c r="H47" s="190"/>
      <c r="I47" s="190"/>
      <c r="J47" s="190"/>
      <c r="K47" s="190"/>
      <c r="L47" s="190"/>
      <c r="M47" s="190"/>
      <c r="N47" s="190"/>
      <c r="O47" s="190"/>
      <c r="P47" s="190"/>
      <c r="Q47" s="190"/>
      <c r="R47" s="190"/>
      <c r="S47" s="190"/>
      <c r="T47" s="190"/>
      <c r="U47" s="190"/>
      <c r="V47" s="190"/>
      <c r="W47" s="190"/>
      <c r="X47" s="190"/>
      <c r="Y47" s="190"/>
      <c r="Z47" s="190"/>
      <c r="AA47" s="190"/>
      <c r="AB47" s="190"/>
      <c r="AC47" s="190"/>
      <c r="AD47" s="190"/>
      <c r="AE47" s="190"/>
      <c r="AF47" s="190"/>
      <c r="AG47" s="190"/>
      <c r="AH47" s="190"/>
      <c r="AI47" s="190"/>
      <c r="AJ47" s="190"/>
      <c r="AK47" s="190"/>
      <c r="AL47" s="190"/>
      <c r="AM47" s="190"/>
      <c r="AN47" s="190"/>
      <c r="AO47" s="190"/>
      <c r="AP47" s="190"/>
      <c r="AQ47" s="190"/>
      <c r="AR47" s="190"/>
      <c r="AS47" s="190"/>
      <c r="AT47" s="190"/>
      <c r="AU47" s="190"/>
    </row>
    <row r="48" customFormat="false" ht="15.75" hidden="false" customHeight="true" outlineLevel="0" collapsed="false">
      <c r="A48" s="191" t="str">
        <f aca="false">IF($F48="","",$C$2&amp;"."&amp;COUNTA($F$7:$F48)&amp;"")</f>
        <v>TC_11.32</v>
      </c>
      <c r="B48" s="191" t="s">
        <v>619</v>
      </c>
      <c r="C48" s="191" t="s">
        <v>530</v>
      </c>
      <c r="D48" s="191" t="s">
        <v>41</v>
      </c>
      <c r="E48" s="191" t="s">
        <v>159</v>
      </c>
      <c r="F48" s="13" t="s">
        <v>1442</v>
      </c>
      <c r="G48" s="13" t="s">
        <v>1443</v>
      </c>
      <c r="H48" s="13" t="s">
        <v>1444</v>
      </c>
      <c r="I48" s="13" t="s">
        <v>1445</v>
      </c>
      <c r="J48" s="191" t="s">
        <v>658</v>
      </c>
      <c r="K48" s="191" t="s">
        <v>245</v>
      </c>
      <c r="L48" s="191"/>
      <c r="M48" s="191"/>
      <c r="N48" s="192"/>
      <c r="O48" s="192"/>
      <c r="P48" s="192"/>
      <c r="Q48" s="192"/>
      <c r="R48" s="192"/>
      <c r="S48" s="192"/>
      <c r="T48" s="192"/>
      <c r="U48" s="192"/>
      <c r="V48" s="192"/>
      <c r="W48" s="192"/>
      <c r="X48" s="192"/>
      <c r="Y48" s="192"/>
      <c r="Z48" s="192"/>
      <c r="AA48" s="192"/>
      <c r="AB48" s="192"/>
      <c r="AC48" s="192"/>
      <c r="AD48" s="192"/>
      <c r="AE48" s="192"/>
      <c r="AF48" s="192"/>
      <c r="AG48" s="192"/>
      <c r="AH48" s="192"/>
      <c r="AI48" s="192"/>
      <c r="AJ48" s="192"/>
      <c r="AK48" s="192"/>
      <c r="AL48" s="192"/>
      <c r="AM48" s="192"/>
      <c r="AN48" s="192"/>
      <c r="AO48" s="192"/>
      <c r="AP48" s="192"/>
      <c r="AQ48" s="192"/>
      <c r="AR48" s="193" t="str">
        <f aca="false">IF($A48="","",IF(OR($N48="Yes",$T48="Yes",$Z48="Yes",$AF48="Yes",$AL48="Yes"),"Yes","No"))</f>
        <v>No</v>
      </c>
      <c r="AS48" s="193" t="str">
        <f aca="false">IF($A48="","",IFERROR(IF($AM48&lt;&gt;"",$AM48,IF($AG48&lt;&gt;"",$AG48,IF($AA48&lt;&gt;"",$AA48,IF($U48&lt;&gt;"",$U48,IF($O48&lt;&gt;"",$O48,""))))),""))</f>
        <v/>
      </c>
      <c r="AT48" s="193" t="str">
        <f aca="false">IFERROR(IF($AN48&lt;&gt;"",$AN48,IF($AH48&lt;&gt;"",$AH48,IF($AB48&lt;&gt;"",$AB48,IF($V48&lt;&gt;"",$V48,IF($P48&lt;&gt;"",$P48,""))))),"")</f>
        <v/>
      </c>
      <c r="AU48" s="194"/>
    </row>
    <row r="49" customFormat="false" ht="15.75" hidden="false" customHeight="true" outlineLevel="0" collapsed="false">
      <c r="A49" s="191" t="str">
        <f aca="false">IF($F49="","",$C$2&amp;"."&amp;COUNTA($F$7:$F49)&amp;"")</f>
        <v>TC_11.33</v>
      </c>
      <c r="B49" s="191" t="s">
        <v>619</v>
      </c>
      <c r="C49" s="191" t="s">
        <v>530</v>
      </c>
      <c r="D49" s="191" t="s">
        <v>41</v>
      </c>
      <c r="E49" s="191" t="s">
        <v>159</v>
      </c>
      <c r="F49" s="13" t="s">
        <v>1446</v>
      </c>
      <c r="G49" s="13" t="s">
        <v>1447</v>
      </c>
      <c r="H49" s="13" t="s">
        <v>1448</v>
      </c>
      <c r="I49" s="13" t="s">
        <v>1449</v>
      </c>
      <c r="J49" s="191" t="s">
        <v>658</v>
      </c>
      <c r="K49" s="191" t="s">
        <v>245</v>
      </c>
      <c r="L49" s="191"/>
      <c r="M49" s="191"/>
      <c r="N49" s="192"/>
      <c r="O49" s="192"/>
      <c r="P49" s="192"/>
      <c r="Q49" s="192"/>
      <c r="R49" s="192"/>
      <c r="S49" s="192"/>
      <c r="T49" s="192"/>
      <c r="U49" s="192"/>
      <c r="V49" s="192"/>
      <c r="W49" s="192"/>
      <c r="X49" s="192"/>
      <c r="Y49" s="192"/>
      <c r="Z49" s="192"/>
      <c r="AA49" s="192"/>
      <c r="AB49" s="192"/>
      <c r="AC49" s="192"/>
      <c r="AD49" s="192"/>
      <c r="AE49" s="192"/>
      <c r="AF49" s="192"/>
      <c r="AG49" s="192"/>
      <c r="AH49" s="192"/>
      <c r="AI49" s="192"/>
      <c r="AJ49" s="192"/>
      <c r="AK49" s="192"/>
      <c r="AL49" s="192"/>
      <c r="AM49" s="192"/>
      <c r="AN49" s="192"/>
      <c r="AO49" s="192"/>
      <c r="AP49" s="192"/>
      <c r="AQ49" s="192"/>
      <c r="AR49" s="193" t="str">
        <f aca="false">IF($A49="","",IF(OR($N49="Yes",$T49="Yes",$Z49="Yes",$AF49="Yes",$AL49="Yes"),"Yes","No"))</f>
        <v>No</v>
      </c>
      <c r="AS49" s="193" t="str">
        <f aca="false">IF($A49="","",IFERROR(IF($AM49&lt;&gt;"",$AM49,IF($AG49&lt;&gt;"",$AG49,IF($AA49&lt;&gt;"",$AA49,IF($U49&lt;&gt;"",$U49,IF($O49&lt;&gt;"",$O49,""))))),""))</f>
        <v/>
      </c>
      <c r="AT49" s="193" t="str">
        <f aca="false">IFERROR(IF($AN49&lt;&gt;"",$AN49,IF($AH49&lt;&gt;"",$AH49,IF($AB49&lt;&gt;"",$AB49,IF($V49&lt;&gt;"",$V49,IF($P49&lt;&gt;"",$P49,""))))),"")</f>
        <v/>
      </c>
      <c r="AU49" s="194"/>
    </row>
    <row r="50" customFormat="false" ht="15.75" hidden="false" customHeight="true" outlineLevel="0" collapsed="false">
      <c r="A50" s="191" t="str">
        <f aca="false">IF($F50="","",$C$2&amp;"."&amp;COUNTA($F$7:$F50)&amp;"")</f>
        <v>TC_11.34</v>
      </c>
      <c r="B50" s="191" t="s">
        <v>619</v>
      </c>
      <c r="C50" s="191" t="s">
        <v>1365</v>
      </c>
      <c r="D50" s="191" t="s">
        <v>41</v>
      </c>
      <c r="E50" s="191" t="s">
        <v>159</v>
      </c>
      <c r="F50" s="13" t="s">
        <v>1450</v>
      </c>
      <c r="G50" s="13" t="s">
        <v>1451</v>
      </c>
      <c r="H50" s="13" t="s">
        <v>1452</v>
      </c>
      <c r="I50" s="13" t="s">
        <v>1453</v>
      </c>
      <c r="J50" s="191" t="s">
        <v>658</v>
      </c>
      <c r="K50" s="191" t="s">
        <v>245</v>
      </c>
      <c r="L50" s="191"/>
      <c r="M50" s="191"/>
      <c r="N50" s="192"/>
      <c r="O50" s="192"/>
      <c r="P50" s="192"/>
      <c r="Q50" s="192"/>
      <c r="R50" s="192"/>
      <c r="S50" s="192"/>
      <c r="T50" s="192"/>
      <c r="U50" s="192"/>
      <c r="V50" s="192"/>
      <c r="W50" s="192"/>
      <c r="X50" s="192"/>
      <c r="Y50" s="192"/>
      <c r="Z50" s="192"/>
      <c r="AA50" s="192"/>
      <c r="AB50" s="192"/>
      <c r="AC50" s="192"/>
      <c r="AD50" s="192"/>
      <c r="AE50" s="192"/>
      <c r="AF50" s="192"/>
      <c r="AG50" s="192"/>
      <c r="AH50" s="192"/>
      <c r="AI50" s="192"/>
      <c r="AJ50" s="192"/>
      <c r="AK50" s="192"/>
      <c r="AL50" s="192"/>
      <c r="AM50" s="192"/>
      <c r="AN50" s="192"/>
      <c r="AO50" s="192"/>
      <c r="AP50" s="192"/>
      <c r="AQ50" s="192"/>
      <c r="AR50" s="193" t="str">
        <f aca="false">IF($A50="","",IF(OR($N50="Yes",$T50="Yes",$Z50="Yes",$AF50="Yes",$AL50="Yes"),"Yes","No"))</f>
        <v>No</v>
      </c>
      <c r="AS50" s="193" t="str">
        <f aca="false">IF($A50="","",IFERROR(IF($AM50&lt;&gt;"",$AM50,IF($AG50&lt;&gt;"",$AG50,IF($AA50&lt;&gt;"",$AA50,IF($U50&lt;&gt;"",$U50,IF($O50&lt;&gt;"",$O50,""))))),""))</f>
        <v/>
      </c>
      <c r="AT50" s="193" t="str">
        <f aca="false">IFERROR(IF($AN50&lt;&gt;"",$AN50,IF($AH50&lt;&gt;"",$AH50,IF($AB50&lt;&gt;"",$AB50,IF($V50&lt;&gt;"",$V50,IF($P50&lt;&gt;"",$P50,""))))),"")</f>
        <v/>
      </c>
      <c r="AU50" s="194"/>
    </row>
    <row r="51" customFormat="false" ht="15.75" hidden="false" customHeight="true" outlineLevel="0" collapsed="false">
      <c r="A51" s="191" t="str">
        <f aca="false">IF($F51="","",$C$2&amp;"."&amp;COUNTA($F$7:$F51)&amp;"")</f>
        <v>TC_11.35</v>
      </c>
      <c r="B51" s="191" t="s">
        <v>619</v>
      </c>
      <c r="C51" s="191" t="s">
        <v>530</v>
      </c>
      <c r="D51" s="191" t="s">
        <v>41</v>
      </c>
      <c r="E51" s="191" t="s">
        <v>159</v>
      </c>
      <c r="F51" s="13" t="s">
        <v>1454</v>
      </c>
      <c r="G51" s="13" t="s">
        <v>1455</v>
      </c>
      <c r="H51" s="13" t="s">
        <v>1456</v>
      </c>
      <c r="I51" s="13" t="s">
        <v>1457</v>
      </c>
      <c r="J51" s="191" t="s">
        <v>658</v>
      </c>
      <c r="K51" s="191" t="s">
        <v>245</v>
      </c>
      <c r="L51" s="191"/>
      <c r="M51" s="191"/>
      <c r="N51" s="192"/>
      <c r="O51" s="192"/>
      <c r="P51" s="192"/>
      <c r="Q51" s="192"/>
      <c r="R51" s="192"/>
      <c r="S51" s="192"/>
      <c r="T51" s="192"/>
      <c r="U51" s="192"/>
      <c r="V51" s="192"/>
      <c r="W51" s="192"/>
      <c r="X51" s="192"/>
      <c r="Y51" s="192"/>
      <c r="Z51" s="192"/>
      <c r="AA51" s="192"/>
      <c r="AB51" s="192"/>
      <c r="AC51" s="192"/>
      <c r="AD51" s="192"/>
      <c r="AE51" s="192"/>
      <c r="AF51" s="192"/>
      <c r="AG51" s="192"/>
      <c r="AH51" s="192"/>
      <c r="AI51" s="192"/>
      <c r="AJ51" s="192"/>
      <c r="AK51" s="192"/>
      <c r="AL51" s="192"/>
      <c r="AM51" s="192"/>
      <c r="AN51" s="192"/>
      <c r="AO51" s="192"/>
      <c r="AP51" s="192"/>
      <c r="AQ51" s="192"/>
      <c r="AR51" s="193" t="str">
        <f aca="false">IF($A51="","",IF(OR($N51="Yes",$T51="Yes",$Z51="Yes",$AF51="Yes",$AL51="Yes"),"Yes","No"))</f>
        <v>No</v>
      </c>
      <c r="AS51" s="193" t="str">
        <f aca="false">IF($A51="","",IFERROR(IF($AM51&lt;&gt;"",$AM51,IF($AG51&lt;&gt;"",$AG51,IF($AA51&lt;&gt;"",$AA51,IF($U51&lt;&gt;"",$U51,IF($O51&lt;&gt;"",$O51,""))))),""))</f>
        <v/>
      </c>
      <c r="AT51" s="193" t="str">
        <f aca="false">IFERROR(IF($AN51&lt;&gt;"",$AN51,IF($AH51&lt;&gt;"",$AH51,IF($AB51&lt;&gt;"",$AB51,IF($V51&lt;&gt;"",$V51,IF($P51&lt;&gt;"",$P51,""))))),"")</f>
        <v/>
      </c>
      <c r="AU51" s="194"/>
    </row>
    <row r="52" customFormat="false" ht="15.75" hidden="false" customHeight="true" outlineLevel="0" collapsed="false">
      <c r="A52" s="191" t="str">
        <f aca="false">IF($F52="","",$C$2&amp;"."&amp;COUNTA($F$7:$F52)&amp;"")</f>
        <v>TC_11.36</v>
      </c>
      <c r="B52" s="191" t="s">
        <v>619</v>
      </c>
      <c r="C52" s="191" t="s">
        <v>530</v>
      </c>
      <c r="D52" s="191" t="s">
        <v>41</v>
      </c>
      <c r="E52" s="191" t="s">
        <v>159</v>
      </c>
      <c r="F52" s="13" t="s">
        <v>1458</v>
      </c>
      <c r="G52" s="13" t="s">
        <v>1459</v>
      </c>
      <c r="H52" s="13" t="s">
        <v>1460</v>
      </c>
      <c r="I52" s="13" t="s">
        <v>1378</v>
      </c>
      <c r="J52" s="191" t="s">
        <v>658</v>
      </c>
      <c r="K52" s="191" t="s">
        <v>245</v>
      </c>
      <c r="L52" s="191"/>
      <c r="M52" s="191"/>
      <c r="N52" s="192"/>
      <c r="O52" s="192"/>
      <c r="P52" s="192"/>
      <c r="Q52" s="192"/>
      <c r="R52" s="192"/>
      <c r="S52" s="192"/>
      <c r="T52" s="192"/>
      <c r="U52" s="192"/>
      <c r="V52" s="192"/>
      <c r="W52" s="192"/>
      <c r="X52" s="192"/>
      <c r="Y52" s="192"/>
      <c r="Z52" s="192"/>
      <c r="AA52" s="192"/>
      <c r="AB52" s="192"/>
      <c r="AC52" s="192"/>
      <c r="AD52" s="192"/>
      <c r="AE52" s="192"/>
      <c r="AF52" s="192"/>
      <c r="AG52" s="192"/>
      <c r="AH52" s="192"/>
      <c r="AI52" s="192"/>
      <c r="AJ52" s="192"/>
      <c r="AK52" s="192"/>
      <c r="AL52" s="192"/>
      <c r="AM52" s="192"/>
      <c r="AN52" s="192"/>
      <c r="AO52" s="192"/>
      <c r="AP52" s="192"/>
      <c r="AQ52" s="192"/>
      <c r="AR52" s="193" t="str">
        <f aca="false">IF($A52="","",IF(OR($N52="Yes",$T52="Yes",$Z52="Yes",$AF52="Yes",$AL52="Yes"),"Yes","No"))</f>
        <v>No</v>
      </c>
      <c r="AS52" s="193" t="str">
        <f aca="false">IF($A52="","",IFERROR(IF($AM52&lt;&gt;"",$AM52,IF($AG52&lt;&gt;"",$AG52,IF($AA52&lt;&gt;"",$AA52,IF($U52&lt;&gt;"",$U52,IF($O52&lt;&gt;"",$O52,""))))),""))</f>
        <v/>
      </c>
      <c r="AT52" s="193" t="str">
        <f aca="false">IFERROR(IF($AN52&lt;&gt;"",$AN52,IF($AH52&lt;&gt;"",$AH52,IF($AB52&lt;&gt;"",$AB52,IF($V52&lt;&gt;"",$V52,IF($P52&lt;&gt;"",$P52,""))))),"")</f>
        <v/>
      </c>
      <c r="AU52" s="194"/>
    </row>
    <row r="53" customFormat="false" ht="15.75" hidden="false" customHeight="true" outlineLevel="0" collapsed="false">
      <c r="A53" s="189"/>
      <c r="B53" s="189"/>
      <c r="C53" s="190" t="s">
        <v>1461</v>
      </c>
      <c r="D53" s="190"/>
      <c r="E53" s="190"/>
      <c r="F53" s="190"/>
      <c r="G53" s="190"/>
      <c r="H53" s="190"/>
      <c r="I53" s="190"/>
      <c r="J53" s="190"/>
      <c r="K53" s="190"/>
      <c r="L53" s="190"/>
      <c r="M53" s="190"/>
      <c r="N53" s="190"/>
      <c r="O53" s="190"/>
      <c r="P53" s="190"/>
      <c r="Q53" s="190"/>
      <c r="R53" s="190"/>
      <c r="S53" s="190"/>
      <c r="T53" s="190"/>
      <c r="U53" s="190"/>
      <c r="V53" s="190"/>
      <c r="W53" s="190"/>
      <c r="X53" s="190"/>
      <c r="Y53" s="190"/>
      <c r="Z53" s="190"/>
      <c r="AA53" s="190"/>
      <c r="AB53" s="190"/>
      <c r="AC53" s="190"/>
      <c r="AD53" s="190"/>
      <c r="AE53" s="190"/>
      <c r="AF53" s="190"/>
      <c r="AG53" s="190"/>
      <c r="AH53" s="190"/>
      <c r="AI53" s="190"/>
      <c r="AJ53" s="190"/>
      <c r="AK53" s="190"/>
      <c r="AL53" s="190"/>
      <c r="AM53" s="190"/>
      <c r="AN53" s="190"/>
      <c r="AO53" s="190"/>
      <c r="AP53" s="190"/>
      <c r="AQ53" s="190"/>
      <c r="AR53" s="190"/>
      <c r="AS53" s="190"/>
      <c r="AT53" s="190"/>
      <c r="AU53" s="190"/>
    </row>
    <row r="54" customFormat="false" ht="15.75" hidden="false" customHeight="true" outlineLevel="0" collapsed="false">
      <c r="A54" s="191" t="str">
        <f aca="false">IF($F54="","",$C$2&amp;"."&amp;COUNTA($F$7:$F54)&amp;"")</f>
        <v>TC_11.37</v>
      </c>
      <c r="B54" s="191" t="s">
        <v>619</v>
      </c>
      <c r="C54" s="191" t="s">
        <v>1365</v>
      </c>
      <c r="D54" s="191" t="s">
        <v>41</v>
      </c>
      <c r="E54" s="191" t="s">
        <v>160</v>
      </c>
      <c r="F54" s="13" t="s">
        <v>1462</v>
      </c>
      <c r="G54" s="13" t="s">
        <v>655</v>
      </c>
      <c r="H54" s="13" t="s">
        <v>1463</v>
      </c>
      <c r="I54" s="13" t="s">
        <v>1464</v>
      </c>
      <c r="J54" s="191" t="s">
        <v>658</v>
      </c>
      <c r="K54" s="191" t="s">
        <v>245</v>
      </c>
      <c r="L54" s="191"/>
      <c r="M54" s="191"/>
      <c r="N54" s="192"/>
      <c r="O54" s="192"/>
      <c r="P54" s="192"/>
      <c r="Q54" s="192"/>
      <c r="R54" s="192"/>
      <c r="S54" s="192"/>
      <c r="T54" s="192"/>
      <c r="U54" s="192"/>
      <c r="V54" s="192"/>
      <c r="W54" s="192"/>
      <c r="X54" s="192"/>
      <c r="Y54" s="192"/>
      <c r="Z54" s="192"/>
      <c r="AA54" s="192"/>
      <c r="AB54" s="192"/>
      <c r="AC54" s="192"/>
      <c r="AD54" s="192"/>
      <c r="AE54" s="192"/>
      <c r="AF54" s="192"/>
      <c r="AG54" s="192"/>
      <c r="AH54" s="192"/>
      <c r="AI54" s="192"/>
      <c r="AJ54" s="192"/>
      <c r="AK54" s="192"/>
      <c r="AL54" s="192"/>
      <c r="AM54" s="192"/>
      <c r="AN54" s="192"/>
      <c r="AO54" s="192"/>
      <c r="AP54" s="192"/>
      <c r="AQ54" s="192"/>
      <c r="AR54" s="193" t="str">
        <f aca="false">IF($A54="","",IF(OR($N54="Yes",$T54="Yes",$Z54="Yes",$AF54="Yes",$AL54="Yes"),"Yes","No"))</f>
        <v>No</v>
      </c>
      <c r="AS54" s="193" t="str">
        <f aca="false">IF($A54="","",IFERROR(IF($AM54&lt;&gt;"",$AM54,IF($AG54&lt;&gt;"",$AG54,IF($AA54&lt;&gt;"",$AA54,IF($U54&lt;&gt;"",$U54,IF($O54&lt;&gt;"",$O54,""))))),""))</f>
        <v/>
      </c>
      <c r="AT54" s="193" t="str">
        <f aca="false">IFERROR(IF($AN54&lt;&gt;"",$AN54,IF($AH54&lt;&gt;"",$AH54,IF($AB54&lt;&gt;"",$AB54,IF($V54&lt;&gt;"",$V54,IF($P54&lt;&gt;"",$P54,""))))),"")</f>
        <v/>
      </c>
      <c r="AU54" s="194"/>
    </row>
    <row r="55" customFormat="false" ht="15.75" hidden="false" customHeight="true" outlineLevel="0" collapsed="false">
      <c r="A55" s="191" t="str">
        <f aca="false">IF($F55="","",$C$2&amp;"."&amp;COUNTA($F$7:$F55)&amp;"")</f>
        <v>TC_11.38</v>
      </c>
      <c r="B55" s="191" t="s">
        <v>619</v>
      </c>
      <c r="C55" s="191" t="s">
        <v>1365</v>
      </c>
      <c r="D55" s="191" t="s">
        <v>41</v>
      </c>
      <c r="E55" s="191" t="s">
        <v>160</v>
      </c>
      <c r="F55" s="13" t="s">
        <v>1465</v>
      </c>
      <c r="G55" s="13" t="s">
        <v>655</v>
      </c>
      <c r="H55" s="13" t="s">
        <v>1466</v>
      </c>
      <c r="I55" s="13" t="s">
        <v>1467</v>
      </c>
      <c r="J55" s="191" t="s">
        <v>658</v>
      </c>
      <c r="K55" s="191" t="s">
        <v>245</v>
      </c>
      <c r="L55" s="191"/>
      <c r="M55" s="191"/>
      <c r="N55" s="192"/>
      <c r="O55" s="192"/>
      <c r="P55" s="192"/>
      <c r="Q55" s="192"/>
      <c r="R55" s="192"/>
      <c r="S55" s="192"/>
      <c r="T55" s="192"/>
      <c r="U55" s="192"/>
      <c r="V55" s="192"/>
      <c r="W55" s="192"/>
      <c r="X55" s="192"/>
      <c r="Y55" s="192"/>
      <c r="Z55" s="192"/>
      <c r="AA55" s="192"/>
      <c r="AB55" s="192"/>
      <c r="AC55" s="192"/>
      <c r="AD55" s="192"/>
      <c r="AE55" s="192"/>
      <c r="AF55" s="192"/>
      <c r="AG55" s="192"/>
      <c r="AH55" s="192"/>
      <c r="AI55" s="192"/>
      <c r="AJ55" s="192"/>
      <c r="AK55" s="192"/>
      <c r="AL55" s="192"/>
      <c r="AM55" s="192"/>
      <c r="AN55" s="192"/>
      <c r="AO55" s="192"/>
      <c r="AP55" s="192"/>
      <c r="AQ55" s="192"/>
      <c r="AR55" s="193" t="str">
        <f aca="false">IF($A55="","",IF(OR($N55="Yes",$T55="Yes",$Z55="Yes",$AF55="Yes",$AL55="Yes"),"Yes","No"))</f>
        <v>No</v>
      </c>
      <c r="AS55" s="193" t="str">
        <f aca="false">IF($A55="","",IFERROR(IF($AM55&lt;&gt;"",$AM55,IF($AG55&lt;&gt;"",$AG55,IF($AA55&lt;&gt;"",$AA55,IF($U55&lt;&gt;"",$U55,IF($O55&lt;&gt;"",$O55,""))))),""))</f>
        <v/>
      </c>
      <c r="AT55" s="193" t="str">
        <f aca="false">IFERROR(IF($AN55&lt;&gt;"",$AN55,IF($AH55&lt;&gt;"",$AH55,IF($AB55&lt;&gt;"",$AB55,IF($V55&lt;&gt;"",$V55,IF($P55&lt;&gt;"",$P55,""))))),"")</f>
        <v/>
      </c>
      <c r="AU55" s="194"/>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0">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3:AU13"/>
    <mergeCell ref="C16:AU16"/>
    <mergeCell ref="C20:AU20"/>
    <mergeCell ref="C28:AU28"/>
    <mergeCell ref="C30:AU30"/>
    <mergeCell ref="C33:AU33"/>
    <mergeCell ref="C37:AU37"/>
    <mergeCell ref="C47:AU47"/>
    <mergeCell ref="C53:AU53"/>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73</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2026-09-10T10:47:30Z</dcterms:created>
  <dc:creator>openpyxl</dc:creator>
  <dc:description/>
  <dc:language>en-US</dc:language>
  <cp:lastModifiedBy/>
  <dcterms:modified xsi:type="dcterms:W3CDTF">2026-09-21T16:21:58Z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