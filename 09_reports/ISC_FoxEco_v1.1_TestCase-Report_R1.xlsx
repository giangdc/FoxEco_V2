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sharedStrings.xml" ContentType="application/vnd.openxmlformats-officedocument.spreadsheetml.sharedStrings+xml"/>
  <Override PartName="/xl/charts/colors9.xml" ContentType="application/vnd.ms-office.chartcolorstyle+xml"/>
  <Override PartName="/xl/charts/style4.xml" ContentType="application/vnd.ms-office.chartstyle+xml"/>
  <Override PartName="/xl/charts/colors8.xml" ContentType="application/vnd.ms-office.chartcolorstyle+xml"/>
  <Override PartName="/xl/charts/style3.xml" ContentType="application/vnd.ms-office.chartstyle+xml"/>
  <Override PartName="/xl/charts/style2.xml" ContentType="application/vnd.ms-office.chartstyle+xml"/>
  <Override PartName="/xl/charts/style7.xml" ContentType="application/vnd.ms-office.chartstyle+xml"/>
  <Override PartName="/xl/charts/colors6.xml" ContentType="application/vnd.ms-office.chartcolorstyle+xml"/>
  <Override PartName="/xl/charts/style6.xml" ContentType="application/vnd.ms-office.chartstyle+xml"/>
  <Override PartName="/xl/charts/chart10.xml" ContentType="application/vnd.openxmlformats-officedocument.drawingml.chart+xml"/>
  <Override PartName="/xl/charts/style5.xml" ContentType="application/vnd.ms-office.chartstyle+xml"/>
  <Override PartName="/xl/charts/colors1.xml" ContentType="application/vnd.ms-office.chartcolorstyle+xml"/>
  <Override PartName="/xl/charts/chart6.xml" ContentType="application/vnd.openxmlformats-officedocument.drawingml.chart+xml"/>
  <Override PartName="/xl/charts/colors2.xml" ContentType="application/vnd.ms-office.chartcolorstyle+xml"/>
  <Override PartName="/xl/charts/chart3.xml" ContentType="application/vnd.openxmlformats-officedocument.drawingml.chart+xml"/>
  <Override PartName="/xl/charts/style1.xml" ContentType="application/vnd.ms-office.chartstyle+xml"/>
  <Override PartName="/xl/charts/style9.xml" ContentType="application/vnd.ms-office.chartstyle+xml"/>
  <Override PartName="/xl/charts/colors5.xml" ContentType="application/vnd.ms-office.chartcolorstyle+xml"/>
  <Override PartName="/xl/charts/style8.xml" ContentType="application/vnd.ms-office.chartstyle+xml"/>
  <Override PartName="/xl/charts/chart14.xml" ContentType="application/vnd.openxmlformats-officedocument.drawingml.chart+xml"/>
  <Override PartName="/xl/charts/chart9.xml" ContentType="application/vnd.openxmlformats-officedocument.drawingml.chart+xml"/>
  <Override PartName="/xl/charts/colors13.xml" ContentType="application/vnd.ms-office.chartcolorstyle+xml"/>
  <Override PartName="/xl/charts/style18.xml" ContentType="application/vnd.ms-office.chartstyle+xml"/>
  <Override PartName="/xl/charts/colors16.xml" ContentType="application/vnd.ms-office.chartcolorstyle+xml"/>
  <Override PartName="/xl/charts/chart5.xml" ContentType="application/vnd.openxmlformats-officedocument.drawingml.chart+xml"/>
  <Override PartName="/xl/charts/style17.xml" ContentType="application/vnd.ms-office.chartstyle+xml"/>
  <Override PartName="/xl/charts/chart17.xml" ContentType="application/vnd.openxmlformats-officedocument.drawingml.chart+xml"/>
  <Override PartName="/xl/charts/chart1.xml" ContentType="application/vnd.openxmlformats-officedocument.drawingml.chart+xml"/>
  <Override PartName="/xl/charts/colors15.xml" ContentType="application/vnd.ms-office.chartcolorstyle+xml"/>
  <Override PartName="/xl/charts/colors17.xml" ContentType="application/vnd.ms-office.chartcolorstyle+xml"/>
  <Override PartName="/xl/charts/chart13.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chart18.xml" ContentType="application/vnd.openxmlformats-officedocument.drawingml.chart+xml"/>
  <Override PartName="/xl/charts/colors18.xml" ContentType="application/vnd.ms-office.chartcolorstyle+xml"/>
  <Override PartName="/xl/charts/style13.xml" ContentType="application/vnd.ms-office.chartstyle+xml"/>
  <Override PartName="/xl/charts/colors14.xml" ContentType="application/vnd.ms-office.chartcolorstyle+xml"/>
  <Override PartName="/xl/charts/style10.xml" ContentType="application/vnd.ms-office.chartstyle+xml"/>
  <Override PartName="/xl/charts/style16.xml" ContentType="application/vnd.ms-office.chartstyle+xml"/>
  <Override PartName="/xl/charts/chart2.xml" ContentType="application/vnd.openxmlformats-officedocument.drawingml.chart+xml"/>
  <Override PartName="/xl/charts/style15.xml" ContentType="application/vnd.ms-office.chartstyle+xml"/>
  <Override PartName="/xl/charts/chart16.xml" ContentType="application/vnd.openxmlformats-officedocument.drawingml.chart+xml"/>
  <Override PartName="/xl/charts/style11.xml" ContentType="application/vnd.ms-office.chartstyle+xml"/>
  <Override PartName="/xl/charts/colors4.xml" ContentType="application/vnd.ms-office.chartcolorstyle+xml"/>
  <Override PartName="/xl/charts/style12.xml" ContentType="application/vnd.ms-office.chartstyle+xml"/>
  <Override PartName="/xl/charts/chart8.xml" ContentType="application/vnd.openxmlformats-officedocument.drawingml.chart+xml"/>
  <Override PartName="/xl/charts/chart12.xml" ContentType="application/vnd.openxmlformats-officedocument.drawingml.chart+xml"/>
  <Override PartName="/xl/charts/colors11.xml" ContentType="application/vnd.ms-office.chartcolorstyle+xml"/>
  <Override PartName="/xl/charts/colors3.xml" ContentType="application/vnd.ms-office.chartcolorstyle+xml"/>
  <Override PartName="/xl/charts/style14.xml" ContentType="application/vnd.ms-office.chartstyle+xml"/>
  <Override PartName="/xl/charts/colors12.xml" ContentType="application/vnd.ms-office.chartcolorstyle+xml"/>
  <Override PartName="/xl/charts/colors10.xml" ContentType="application/vnd.ms-office.chartcolorstyle+xml"/>
  <Override PartName="/xl/charts/chart15.xml" ContentType="application/vnd.openxmlformats-officedocument.drawingml.chart+xml"/>
  <Override PartName="/xl/charts/chart4.xml" ContentType="application/vnd.openxmlformats-officedocument.drawingml.chart+xml"/>
  <Override PartName="/xl/charts/chart7.xml" ContentType="application/vnd.openxmlformats-officedocument.drawingml.chart+xml"/>
  <Override PartName="/xl/drawings/drawing12.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1.vml" ContentType="application/vnd.openxmlformats-officedocument.vmlDrawing"/>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Guideline" sheetId="2" state="visible" r:id="rId4"/>
    <sheet name="Revision History" sheetId="3" state="visible" r:id="rId5"/>
    <sheet name="Summary" sheetId="4" state="visible" r:id="rId6"/>
    <sheet name="Dashboard" sheetId="5" state="visible" r:id="rId7"/>
    <sheet name="Report Test" sheetId="6" state="visible" r:id="rId8"/>
    <sheet name="Bug Data" sheetId="7" state="visible" r:id="rId9"/>
    <sheet name="RTM" sheetId="8" state="visible" r:id="rId10"/>
    <sheet name="Hoạt động (Đơn của tôi)" sheetId="9" state="visible" r:id="rId11"/>
    <sheet name="Ghép nối" sheetId="10" state="visible" r:id="rId12"/>
    <sheet name="Huỷ đơn - Huỷ nhận đơn" sheetId="11" state="visible" r:id="rId13"/>
    <sheet name="Giao nhận &amp; Theo dõi đơn" sheetId="12" state="visible" r:id="rId14"/>
    <sheet name="Bảng tin &amp; Chi tiết tin" sheetId="13" state="visible" r:id="rId15"/>
    <sheet name="Quà cảm ơn" sheetId="14" state="visible" r:id="rId16"/>
    <sheet name="Trang chủ" sheetId="15" state="visible" r:id="rId17"/>
    <sheet name="Thông báo" sheetId="16" state="visible" r:id="rId18"/>
    <sheet name="Đăng tin &amp; Quản lý tin" sheetId="17" state="visible" r:id="rId19"/>
    <sheet name="Trust &amp; Safety" sheetId="18" state="visible" r:id="rId20"/>
    <sheet name="Tài khoản &amp; Hồ sơ" sheetId="19" state="visible" r:id="rId21"/>
  </sheets>
  <definedNames>
    <definedName function="false" hidden="true" localSheetId="12" name="_xlnm._FilterDatabase" vbProcedure="false">'Bảng tin &amp; Chi tiết tin'!$A$6:$AU$6</definedName>
    <definedName function="false" hidden="true" localSheetId="16" name="_xlnm._FilterDatabase" vbProcedure="false">'Đăng tin &amp; Quản lý tin'!$A$6:$AU$6</definedName>
    <definedName function="false" hidden="true" localSheetId="9" name="_xlnm._FilterDatabase" vbProcedure="false">'Ghép nối'!$A$6:$AU$6</definedName>
    <definedName function="false" hidden="true" localSheetId="11" name="_xlnm._FilterDatabase" vbProcedure="false">'Giao nhận &amp; Theo dõi đơn'!$A$6:$AU$6</definedName>
    <definedName function="false" hidden="true" localSheetId="8" name="_xlnm._FilterDatabase" vbProcedure="false">'Hoạt động (Đơn của tôi)'!$A$6:$AU$6</definedName>
    <definedName function="false" hidden="true" localSheetId="10" name="_xlnm._FilterDatabase" vbProcedure="false">'Huỷ đơn - Huỷ nhận đơn'!$A$6:$AU$6</definedName>
    <definedName function="false" hidden="true" localSheetId="13" name="_xlnm._FilterDatabase" vbProcedure="false">'Quà cảm ơn'!$A$6:$AU$6</definedName>
    <definedName function="false" hidden="true" localSheetId="18" name="_xlnm._FilterDatabase" vbProcedure="false">'Tài khoản &amp; Hồ sơ'!$A$6:$AU$6</definedName>
    <definedName function="false" hidden="true" localSheetId="15" name="_xlnm._FilterDatabase" vbProcedure="false">'Thông báo'!$A$6:$AU$6</definedName>
    <definedName function="false" hidden="true" localSheetId="14" name="_xlnm._FilterDatabase" vbProcedure="false">'Trang chủ'!$A$6:$AU$6</definedName>
    <definedName function="false" hidden="true" localSheetId="17" name="_xlnm._FilterDatabase" vbProcedure="false">'Trust &amp; Safety'!$A$6:$AU$6</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None</author>
  </authors>
  <commentList>
    <comment ref="L220" authorId="0">
      <text>
        <r>
          <rPr>
            <sz val="10"/>
            <rFont val="Arial"/>
            <family val="2"/>
          </rPr>
          <t xml:space="preserve">======
ID#AAACAZ0I57g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r>
      </text>
    </comment>
  </commentList>
</comments>
</file>

<file path=xl/sharedStrings.xml><?xml version="1.0" encoding="utf-8"?>
<sst xmlns="http://schemas.openxmlformats.org/spreadsheetml/2006/main" count="5430" uniqueCount="1916">
  <si>
    <t xml:space="preserve">FoxEco</t>
  </si>
  <si>
    <t xml:space="preserve">TEST CASE &amp; TEST REPORT</t>
  </si>
  <si>
    <t xml:space="preserve">Bộ tài liệu kiểm thử — quy trình SDLC</t>
  </si>
  <si>
    <t xml:space="preserve">Mã hiệu</t>
  </si>
  <si>
    <t xml:space="preserve">7.1-BM/PM/HDCV/ISC</t>
  </si>
  <si>
    <t xml:space="preserve">Phiên bản</t>
  </si>
  <si>
    <t xml:space="preserve">v1.1</t>
  </si>
  <si>
    <t xml:space="preserve">File gồm 2 phần: TEST CASE (viết &amp; theo dõi case) và REPORT (tổng hợp kết quả &amp; bug).</t>
  </si>
  <si>
    <t xml:space="preserve">Sheet: Guideline · Revision History · Summary · Dashboard · Report Test · Data · RTM·  Test Cases </t>
  </si>
  <si>
    <t xml:space="preserve">QUY ĐỊNH CHUNG</t>
  </si>
  <si>
    <t xml:space="preserve">1. Đặt tên file</t>
  </si>
  <si>
    <t xml:space="preserve">ISC_[Tên dự án]_[Version]_TC_[Version TC]_R[Số round test].xlsx 
VD: ISC_FCP-Web_v1.0_TC_v1.0_R1.xls</t>
  </si>
  <si>
    <t xml:space="preserve">2. Tách sheet</t>
  </si>
  <si>
    <t xml:space="preserve">Mỗi Function/Screen tách thành 1 sheet Test Cases riêng (copy sheet mẫu).</t>
  </si>
  <si>
    <t xml:space="preserve">3. Test Title</t>
  </si>
  <si>
    <t xml:space="preserve">Mỗi case kiểm tra 1 nội dung; bắt đầu bằng 'Check ...'</t>
  </si>
  <si>
    <t xml:space="preserve">4. Người thực hiện</t>
  </si>
  <si>
    <t xml:space="preserve">Dùng email, mỗi case 1 người</t>
  </si>
  <si>
    <t xml:space="preserve">5. Phiên bản</t>
  </si>
  <si>
    <t xml:space="preserve">Khi update nội dung file test cases phải tăng [Version TC] và quản lý lịch sử thay đổi trong sheet Revision History </t>
  </si>
  <si>
    <t xml:space="preserve">PHÂN LOẠI TRẠNG THÁI (Status — trạng thái TỔNG của TC)</t>
  </si>
  <si>
    <t xml:space="preserve">Trạng thái</t>
  </si>
  <si>
    <t xml:space="preserve">Ý nghĩa</t>
  </si>
  <si>
    <t xml:space="preserve">Pass</t>
  </si>
  <si>
    <t xml:space="preserve">Đạt — chỉ Pass khi TẤT CẢ bước/kiểm tra trong case đều đạt</t>
  </si>
  <si>
    <t xml:space="preserve">Fail</t>
  </si>
  <si>
    <t xml:space="preserve">Chỉ cần 1 bước/kiểm tra không đạt → Fail (ghi ID Bugs)</t>
  </si>
  <si>
    <t xml:space="preserve">Block</t>
  </si>
  <si>
    <t xml:space="preserve">Không thực hiện được / Pending — ghi rõ lý do ở Remark</t>
  </si>
  <si>
    <t xml:space="preserve">N/A</t>
  </si>
  <si>
    <t xml:space="preserve">Case không áp dụng (VD: Won't fix)</t>
  </si>
  <si>
    <t xml:space="preserve">PHÂN LOẠI ĐỘ ƯU TIÊN </t>
  </si>
  <si>
    <t xml:space="preserve">Priority</t>
  </si>
  <si>
    <t xml:space="preserve">High (P1)</t>
  </si>
  <si>
    <t xml:space="preserve">Bắt buộc chạy; ảnh hưởng luồng/nghiệp vụ chính</t>
  </si>
  <si>
    <t xml:space="preserve">Medium (P2)</t>
  </si>
  <si>
    <t xml:space="preserve">Chạy ít nhất 1 lần; ảnh hưởng người dùng mức trung bình</t>
  </si>
  <si>
    <t xml:space="preserve">Low (P3)</t>
  </si>
  <si>
    <t xml:space="preserve">Có thể bỏ khi rút ngắn thời gian; ít ảnh hưởng</t>
  </si>
  <si>
    <t xml:space="preserve">PHÂN LOẠI NHÓM (Group)</t>
  </si>
  <si>
    <t xml:space="preserve">Group</t>
  </si>
  <si>
    <t xml:space="preserve">Functional</t>
  </si>
  <si>
    <t xml:space="preserve">Kiểm tra chức năng theo luồng nghiệp vụ</t>
  </si>
  <si>
    <t xml:space="preserve">UI</t>
  </si>
  <si>
    <t xml:space="preserve">Kiểm tra giao diện: bố cục, hiển thị, responsive, thông báo, trạng thái control</t>
  </si>
  <si>
    <t xml:space="preserve">Integration</t>
  </si>
  <si>
    <t xml:space="preserve">Kiểm tra tích hợp giữa các module / API / hệ thống</t>
  </si>
  <si>
    <t xml:space="preserve">Database</t>
  </si>
  <si>
    <t xml:space="preserve">Kiểm tra tầng dữ liệu: lưu/đọc đúng, ràng buộc &amp; toàn vẹn dữ liệu (CSDL)</t>
  </si>
  <si>
    <t xml:space="preserve">Ý NGHĨA CỘT EXECUTION</t>
  </si>
  <si>
    <t xml:space="preserve">Status</t>
  </si>
  <si>
    <t xml:space="preserve">Trạng thái TỔNG của TC = kết quả round MỚI NHẤT (tự động, không nhập tay).</t>
  </si>
  <si>
    <t xml:space="preserve">Executed By (mỗi round)</t>
  </si>
  <si>
    <t xml:space="preserve">Email người thực thi test ở TỪNG round.</t>
  </si>
  <si>
    <t xml:space="preserve">ID Bugs (mỗi round)</t>
  </si>
  <si>
    <t xml:space="preserve">Mã bug (Jira) phát sinh ở round đó khi Fail.</t>
  </si>
  <si>
    <t xml:space="preserve">Note (mỗi round)</t>
  </si>
  <si>
    <t xml:space="preserve">Ghi chú tự do cho round đó: lý do Block/Fail, môi trường/dữ liệu đã dùng, link evidence… (không ảnh hưởng Status).</t>
  </si>
  <si>
    <t xml:space="preserve">SDLC</t>
  </si>
  <si>
    <t xml:space="preserve">Các cột dưới đây tích hợp AI vào quy trình kiểm thử</t>
  </si>
  <si>
    <t xml:space="preserve">Origin (Nguồn tạo)</t>
  </si>
  <si>
    <t xml:space="preserve">AI = TC do AI sinh · QC = QC viết tay</t>
  </si>
  <si>
    <t xml:space="preserve">Review</t>
  </si>
  <si>
    <t xml:space="preserve">Reviewed = QC đã review · Pending = chờ review · N/A</t>
  </si>
  <si>
    <t xml:space="preserve">Automated</t>
  </si>
  <si>
    <t xml:space="preserve">Yes/No — TC đã được viết script automation hay chưa</t>
  </si>
  <si>
    <t xml:space="preserve">Script</t>
  </si>
  <si>
    <t xml:space="preserve">Đường dẫn file script automation (nếu có)</t>
  </si>
  <si>
    <t xml:space="preserve">Vibe-test</t>
  </si>
  <si>
    <t xml:space="preserve">Yes/No/N-A theo TỪNG round — TC có kiểm thử kiểu 'vibe-test' (thăm dò có AI agent hỗ trợ) ở round đó. Cột 'Vibe-test (tổng)' tự gộp = Yes nếu có ≥1 round Yes.</t>
  </si>
  <si>
    <t xml:space="preserve">KQ Script</t>
  </si>
  <si>
    <t xml:space="preserve">Kết quả CHẠY script tự động theo TỪNG round: Pass/Fail/Block/N/A/Chưa chạy. Cột 'KQ Script (tổng)' tự lấy kết quả round mới nhất.</t>
  </si>
  <si>
    <t xml:space="preserve">Traceability</t>
  </si>
  <si>
    <t xml:space="preserve">Scenario ID + Req ID + DOC Source: truy vết TC ↔ kịch bản ↔ yêu cầu ↔ tài liệu nguồn</t>
  </si>
  <si>
    <t xml:space="preserve">TEST THEO ROUND (nhiều round trong 1 version)</t>
  </si>
  <si>
    <t xml:space="preserve">R1 … R5</t>
  </si>
  <si>
    <t xml:space="preserve">Mỗi round là 1 khối 6 cột: Vibe-test · KQ Script · Kết quả · Executed By · ID Bugs · Note. Chạy round nào thì nhập vào khối round đó. Template hỗ trợ 5 round. Ô Kết quả/KQ Script tự tô màu: Pass=xanh · Fail=đỏ · Block=xám · N/A=vàng.</t>
  </si>
  <si>
    <t xml:space="preserve">TỰ ĐỘNG = kết quả (Kết quả) của round MỚI NHẤT trong R1…R5. Không nhập tay.</t>
  </si>
  <si>
    <t xml:space="preserve">Round (Bug Data)</t>
  </si>
  <si>
    <t xml:space="preserve">Round phát hiện bug. Report mục IV thống kê Bug theo round &amp; tiến độ Pass/Fail theo round.</t>
  </si>
  <si>
    <t xml:space="preserve">REVISION HISTORY</t>
  </si>
  <si>
    <t xml:space="preserve">Date</t>
  </si>
  <si>
    <t xml:space="preserve">Version</t>
  </si>
  <si>
    <t xml:space="preserve">Author</t>
  </si>
  <si>
    <t xml:space="preserve">Reviewer</t>
  </si>
  <si>
    <t xml:space="preserve">Approver</t>
  </si>
  <si>
    <t xml:space="preserve">Change Description</t>
  </si>
  <si>
    <t xml:space="preserve">QC</t>
  </si>
  <si>
    <t xml:space="preserve">QC Lead</t>
  </si>
  <si>
    <t xml:space="preserve">PM</t>
  </si>
  <si>
    <t xml:space="preserve">Tạo mới</t>
  </si>
  <si>
    <t xml:space="preserve">SUMMARY — Thiết lập chung &amp; Chỉ số Test Case</t>
  </si>
  <si>
    <t xml:space="preserve">Sheet SETUP CHUNG. Chỉ số TỔNG QUAN bên dưới được GOM TỰ ĐỘNG từ TẤT CẢ sheet Test Case, quản lý ở sheet "Dashboard".</t>
  </si>
  <si>
    <t xml:space="preserve">THIẾT LẬP CHUNG</t>
  </si>
  <si>
    <t xml:space="preserve">Tên dự án</t>
  </si>
  <si>
    <t xml:space="preserve">Mã tài liệu</t>
  </si>
  <si>
    <t xml:space="preserve">Sprint</t>
  </si>
  <si>
    <t xml:space="preserve">R1</t>
  </si>
  <si>
    <t xml:space="preserve">Ngày bắt đầu test</t>
  </si>
  <si>
    <t xml:space="preserve">Ngày kết thúc test</t>
  </si>
  <si>
    <t xml:space="preserve">Số sheet chức năng</t>
  </si>
  <si>
    <t xml:space="preserve">PIC</t>
  </si>
  <si>
    <t xml:space="preserve">GiangDC2</t>
  </si>
  <si>
    <t xml:space="preserve">Ô vàng = nhập tay. Version / ngày test được Test Cases &amp; Report tham chiếu tự động.</t>
  </si>
  <si>
    <t xml:space="preserve">TỔNG QUAN TEST CASE — ƯU TIÊN &amp; TIẾN ĐỘ THỰC THI</t>
  </si>
  <si>
    <t xml:space="preserve">Tổng số Test Case</t>
  </si>
  <si>
    <t xml:space="preserve">THEO NHÓM LOẠI TC (Group)</t>
  </si>
  <si>
    <t xml:space="preserve">Mức ưu tiên</t>
  </si>
  <si>
    <t xml:space="preserve">Tổng TC</t>
  </si>
  <si>
    <t xml:space="preserve">% / Tổng</t>
  </si>
  <si>
    <t xml:space="preserve">Đã chạy</t>
  </si>
  <si>
    <t xml:space="preserve">% đã chạy</t>
  </si>
  <si>
    <t xml:space="preserve">Nhóm</t>
  </si>
  <si>
    <t xml:space="preserve">Số TC</t>
  </si>
  <si>
    <t xml:space="preserve">Tổng</t>
  </si>
  <si>
    <t xml:space="preserve">SDLC — MỨC ĐỘ ÁP DỤNG</t>
  </si>
  <si>
    <t xml:space="preserve">Chỉ số</t>
  </si>
  <si>
    <t xml:space="preserve">Số lượng</t>
  </si>
  <si>
    <t xml:space="preserve">% / Tổng TC</t>
  </si>
  <si>
    <t xml:space="preserve">TC do AI sinh (Origin=AI)</t>
  </si>
  <si>
    <t xml:space="preserve">TC do QC viết (Origin=QC)</t>
  </si>
  <si>
    <t xml:space="preserve">TC đã automation (Automated=Yes)</t>
  </si>
  <si>
    <t xml:space="preserve">TC Vibe-test (Yes)</t>
  </si>
  <si>
    <t xml:space="preserve">TC script auto chạy Pass</t>
  </si>
  <si>
    <t xml:space="preserve">TC đã TL review</t>
  </si>
  <si>
    <t xml:space="preserve">% tính trên TỔNG SỐ TEST CASE. Tự đếm từ sheet Test Cases (khác khối III của Report — khối đó nhập tay theo bug).</t>
  </si>
  <si>
    <t xml:space="preserve">Test nhiều Round/1 version: nhập kết quả từng round ở cột R1…R8 (sheet Test Case); Status = round mới nhất. Chi tiết tiến độ theo round ở Report — mục IV.</t>
  </si>
  <si>
    <t xml:space="preserve">MÔI TRƯỜNG &amp; PHẠM VI TEST</t>
  </si>
  <si>
    <t xml:space="preserve">Environment</t>
  </si>
  <si>
    <t xml:space="preserve">STG</t>
  </si>
  <si>
    <t xml:space="preserve">Platform</t>
  </si>
  <si>
    <t xml:space="preserve">App</t>
  </si>
  <si>
    <t xml:space="preserve">Device</t>
  </si>
  <si>
    <t xml:space="preserve">VD: iPhone 14 (iOS 17), Galaxy S23 (Android 14)</t>
  </si>
  <si>
    <t xml:space="preserve">Accounts</t>
  </si>
  <si>
    <t xml:space="preserve">VD: user01, user02</t>
  </si>
  <si>
    <t xml:space="preserve">Functional Testing</t>
  </si>
  <si>
    <t xml:space="preserve">VD: 1. Function A / 2. Function B</t>
  </si>
  <si>
    <t xml:space="preserve">System Integration Testing (nếu có)</t>
  </si>
  <si>
    <t xml:space="preserve">VD: Tool A, Tool B</t>
  </si>
  <si>
    <t xml:space="preserve">►  QUẢN LÝ DANH SÁCH SHEET TEST CASE: xem sheet "Dashboard".
     Thêm/bớt function chỉ cần thêm/xoá 1 dòng (tên tab sheet) ở Dashboard — mọi chỉ số tự cập nhật.</t>
  </si>
  <si>
    <t xml:space="preserve">BẢNG ĐIỀU KHIỂN — QUẢN LÝ &amp; GOM SỐ LIỆU TẤT CẢ SHEET TEST CASE</t>
  </si>
  <si>
    <t xml:space="preserve">QUẢN LÝ SHEET  (nhập tay 3 cột)</t>
  </si>
  <si>
    <t xml:space="preserve">Execution</t>
  </si>
  <si>
    <t xml:space="preserve">PRIORITY</t>
  </si>
  <si>
    <t xml:space="preserve">GROUP TC</t>
  </si>
  <si>
    <t xml:space="preserve">PRIORITY — ĐÃ CHẠY</t>
  </si>
  <si>
    <t xml:space="preserve">TIẾN ĐỘ THEO ROUND (mỗi round chạy lại toàn bộ TC)</t>
  </si>
  <si>
    <t xml:space="preserve">STT</t>
  </si>
  <si>
    <t xml:space="preserve">Mã CN</t>
  </si>
  <si>
    <t xml:space="preserve">Tên tab sheet
(đúng 100%)</t>
  </si>
  <si>
    <t xml:space="preserve">Function / Màn hình</t>
  </si>
  <si>
    <t xml:space="preserve">Chưa chạy</t>
  </si>
  <si>
    <t xml:space="preserve">Executed</t>
  </si>
  <si>
    <t xml:space="preserve">Coverage %</t>
  </si>
  <si>
    <t xml:space="preserve">Pass %</t>
  </si>
  <si>
    <t xml:space="preserve">High</t>
  </si>
  <si>
    <t xml:space="preserve">Medium</t>
  </si>
  <si>
    <t xml:space="preserve">Low</t>
  </si>
  <si>
    <t xml:space="preserve">AI-gen</t>
  </si>
  <si>
    <t xml:space="preserve">QC viết</t>
  </si>
  <si>
    <t xml:space="preserve">Auto</t>
  </si>
  <si>
    <t xml:space="preserve">Vibe</t>
  </si>
  <si>
    <t xml:space="preserve">Script Pass</t>
  </si>
  <si>
    <t xml:space="preserve">Reviewed</t>
  </si>
  <si>
    <t xml:space="preserve">High
đã chạy</t>
  </si>
  <si>
    <t xml:space="preserve">Medium
đã chạy</t>
  </si>
  <si>
    <t xml:space="preserve">Low
đã chạy</t>
  </si>
  <si>
    <t xml:space="preserve">R1 Executed</t>
  </si>
  <si>
    <t xml:space="preserve">R1 Pass</t>
  </si>
  <si>
    <t xml:space="preserve">R1 Fail</t>
  </si>
  <si>
    <t xml:space="preserve">R1 Block</t>
  </si>
  <si>
    <t xml:space="preserve">R1 N/A</t>
  </si>
  <si>
    <t xml:space="preserve">R2 Executed</t>
  </si>
  <si>
    <t xml:space="preserve">R2 Pass</t>
  </si>
  <si>
    <t xml:space="preserve">R2 Fail</t>
  </si>
  <si>
    <t xml:space="preserve">R2 Block</t>
  </si>
  <si>
    <t xml:space="preserve">R2 N/A</t>
  </si>
  <si>
    <t xml:space="preserve">R3 Executed</t>
  </si>
  <si>
    <t xml:space="preserve">R3 Pass</t>
  </si>
  <si>
    <t xml:space="preserve">R3 Fail</t>
  </si>
  <si>
    <t xml:space="preserve">R3 Block</t>
  </si>
  <si>
    <t xml:space="preserve">R3 N/A</t>
  </si>
  <si>
    <t xml:space="preserve">R4 Executed</t>
  </si>
  <si>
    <t xml:space="preserve">R4 Pass</t>
  </si>
  <si>
    <t xml:space="preserve">R4 Fail</t>
  </si>
  <si>
    <t xml:space="preserve">R4 Block</t>
  </si>
  <si>
    <t xml:space="preserve">R4 N/A</t>
  </si>
  <si>
    <t xml:space="preserve">R5 Executed</t>
  </si>
  <si>
    <t xml:space="preserve">R5 Pass</t>
  </si>
  <si>
    <t xml:space="preserve">R5 Fail</t>
  </si>
  <si>
    <t xml:space="preserve">R5 Block</t>
  </si>
  <si>
    <t xml:space="preserve">R5 N/A</t>
  </si>
  <si>
    <t xml:space="preserve">TC_01</t>
  </si>
  <si>
    <t xml:space="preserve">Hoạt động (Đơn của tôi)</t>
  </si>
  <si>
    <t xml:space="preserve">TC_02</t>
  </si>
  <si>
    <t xml:space="preserve">Ghép nối</t>
  </si>
  <si>
    <t xml:space="preserve">TC_03</t>
  </si>
  <si>
    <t xml:space="preserve">Huỷ đơn - Huỷ nhận đơn</t>
  </si>
  <si>
    <t xml:space="preserve">TC_04</t>
  </si>
  <si>
    <t xml:space="preserve">Giao nhận &amp; Theo dõi đơn</t>
  </si>
  <si>
    <t xml:space="preserve">TC_05</t>
  </si>
  <si>
    <t xml:space="preserve">Bảng tin &amp; Chi tiết tin</t>
  </si>
  <si>
    <t xml:space="preserve">TC_06</t>
  </si>
  <si>
    <t xml:space="preserve">Quà cảm ơn</t>
  </si>
  <si>
    <t xml:space="preserve">TC_07</t>
  </si>
  <si>
    <t xml:space="preserve">Trang chủ</t>
  </si>
  <si>
    <t xml:space="preserve">TC_08</t>
  </si>
  <si>
    <t xml:space="preserve">Thông báo</t>
  </si>
  <si>
    <t xml:space="preserve">TC_09</t>
  </si>
  <si>
    <t xml:space="preserve">Đăng tin &amp; Quản lý tin</t>
  </si>
  <si>
    <t xml:space="preserve">TC_10</t>
  </si>
  <si>
    <t xml:space="preserve">Trust &amp; Safety</t>
  </si>
  <si>
    <t xml:space="preserve">TC_11</t>
  </si>
  <si>
    <t xml:space="preserve">Tài khoản &amp; Hồ sơ</t>
  </si>
  <si>
    <t xml:space="preserve">TOTAL</t>
  </si>
  <si>
    <t xml:space="preserve">CÁCH THÊM 1 FUNCTION MỚI (chạy được cả Excel &amp; Google Sheets):</t>
  </si>
  <si>
    <t xml:space="preserve">1. Nhân bản (Duplicate) 1 sheet Test Case có sẵn → đổi tên tab thành tên function mới.</t>
  </si>
  <si>
    <t xml:space="preserve">2. Thêm 1 dòng ở bảng trên: nhập Mã CN, TÊN TAB SHEET (phải giống hệt tên tab), Function.</t>
  </si>
  <si>
    <t xml:space="preserve">3. Xong! Tổng TC / Pass / Coverage / Priority / SDLC tự cộng vào Summary &amp; Report Test.</t>
  </si>
  <si>
    <t xml:space="preserve">Lưu ý: cột "Tên tab sheet" phải trùng KHÍT tên tab (kể cả khoảng trắng). Sai tên → dòng đó = 0 (không lỗi).</t>
  </si>
  <si>
    <t xml:space="preserve">Các chỉ số lấy từ sheet Test Case: A=Testcase ID · D=Group · E=Priority · J=Origin · K=Review · L=Auto · AR=Vibe(tổng) · AS=KQ Script(tổng) · Kết quả từng round: P/V/AB/AH/AN · Status(mới nhất)=AT.</t>
  </si>
  <si>
    <t xml:space="preserve">I. THÔNG TIN CHUNG</t>
  </si>
  <si>
    <t xml:space="preserve">TỔNG QUAN NHANH</t>
  </si>
  <si>
    <t xml:space="preserve">Tổng số Bug</t>
  </si>
  <si>
    <t xml:space="preserve">Critical + Major</t>
  </si>
  <si>
    <t xml:space="preserve">% Bug đã đóng</t>
  </si>
  <si>
    <t xml:space="preserve">Test Period</t>
  </si>
  <si>
    <t xml:space="preserve">% Coverage (thực thi)</t>
  </si>
  <si>
    <t xml:space="preserve">Thông tin dự án load tự động từ sheet Summary (PROJECT SETUP). Môi trường · thiết bị · tài khoản · phạm vi test: xem mục 'MÔI TRƯỜNG &amp; PHẠM VI TEST' trong Summary.</t>
  </si>
  <si>
    <t xml:space="preserve">% Automation</t>
  </si>
  <si>
    <t xml:space="preserve">% Bug do AI phát hiện</t>
  </si>
  <si>
    <t xml:space="preserve">% TC Pass</t>
  </si>
  <si>
    <t xml:space="preserve">Critical/Major còn Open</t>
  </si>
  <si>
    <t xml:space="preserve">II. REPORT TEST</t>
  </si>
  <si>
    <t xml:space="preserve">KPI = chỉ số chính (Key Performance Indicator). Ô có màu = nhập ở khối III / Data; số tự cập nhật.</t>
  </si>
  <si>
    <t xml:space="preserve">PHẦN A — TỔNG QUAN</t>
  </si>
  <si>
    <t xml:space="preserve">1. Total Test</t>
  </si>
  <si>
    <t xml:space="preserve">1a. Bug Status theo nền tảng (Platform)</t>
  </si>
  <si>
    <t xml:space="preserve">Nền tảng</t>
  </si>
  <si>
    <t xml:space="preserve">To Do</t>
  </si>
  <si>
    <t xml:space="preserve">In Progress</t>
  </si>
  <si>
    <t xml:space="preserve">In Review</t>
  </si>
  <si>
    <t xml:space="preserve">Pending</t>
  </si>
  <si>
    <t xml:space="preserve">Cancel</t>
  </si>
  <si>
    <t xml:space="preserve">Done</t>
  </si>
  <si>
    <t xml:space="preserve">Total</t>
  </si>
  <si>
    <t xml:space="preserve">Web</t>
  </si>
  <si>
    <t xml:space="preserve">Web, App</t>
  </si>
  <si>
    <t xml:space="preserve">Mỗi cột = 1 trạng thái Jira của bug (sheet Bug Data, cột Bug Status); Total = tổng 6 cột. Bug chưa đóng (Open) = To Do + In Progress + In Review. Bug ở trạng thái riêng của board (Reopened, QA Verify…) KHÔNG lên bảng này — script export cảnh báo khi gặp.</t>
  </si>
  <si>
    <t xml:space="preserve">1b. Tỷ lệ Bug theo chức năng (Function)</t>
  </si>
  <si>
    <t xml:space="preserve">Bug theo chức năng</t>
  </si>
  <si>
    <t xml:space="preserve">ID</t>
  </si>
  <si>
    <t xml:space="preserve">Chức năng</t>
  </si>
  <si>
    <t xml:space="preserve">Tỷ lệ</t>
  </si>
  <si>
    <t xml:space="preserve">—</t>
  </si>
  <si>
    <t xml:space="preserve">Khác / chưa gán chức năng</t>
  </si>
  <si>
    <t xml:space="preserve">Chức năng khớp theo cột "Function" ở sheet Bug Data — script tự chuẩn hoá về tên module TC-MASTER (bỏ qua khác biệt hoa/thường, dấu, gạch dưới). Chức năng không map được vẫn được liệt kê với ID "—"; dòng "Khác / chưa gán chức năng" gom phần còn lại nên Total của bảng này luôn khớp Total ở mục 1a. ID = mã module của sheet Dashboard.</t>
  </si>
  <si>
    <t xml:space="preserve">2. Coverage (Độ phủ Test Case)</t>
  </si>
  <si>
    <t xml:space="preserve">Coverage theo chức năng</t>
  </si>
  <si>
    <t xml:space="preserve">Total TC</t>
  </si>
  <si>
    <t xml:space="preserve">Executed TC</t>
  </si>
  <si>
    <t xml:space="preserve">Coverage</t>
  </si>
  <si>
    <t xml:space="preserve">Note</t>
  </si>
  <si>
    <t xml:space="preserve">Tổng (dòng Total) = gộp TẤT CẢ sheet Test Case. Các dòng ở trên là từng module (tối đa 18) — ID/tên chức năng lấy trực tiếp từ sheet "Dashboard" nên luôn khớp.</t>
  </si>
  <si>
    <t xml:space="preserve">2b. Kết quả thực thi Test Case</t>
  </si>
  <si>
    <t xml:space="preserve">Kết quả TC theo Status (từ sheet Test Cases)</t>
  </si>
  <si>
    <t xml:space="preserve">Chưa thực hiện</t>
  </si>
  <si>
    <t xml:space="preserve">3. Bug Severity</t>
  </si>
  <si>
    <t xml:space="preserve">Bug Severity</t>
  </si>
  <si>
    <t xml:space="preserve">Mức độ</t>
  </si>
  <si>
    <t xml:space="preserve">Thang điểm</t>
  </si>
  <si>
    <t xml:space="preserve">Critical Bug</t>
  </si>
  <si>
    <t xml:space="preserve">Major Bug</t>
  </si>
  <si>
    <t xml:space="preserve">Medium Bug</t>
  </si>
  <si>
    <t xml:space="preserve">Low Bug</t>
  </si>
  <si>
    <t xml:space="preserve">Suggest Bug</t>
  </si>
  <si>
    <t xml:space="preserve">Thang điểm: Critical=20, Major=10, Medium=5, Low=2.</t>
  </si>
  <si>
    <t xml:space="preserve">PHẦN B — CHI TIẾT QC</t>
  </si>
  <si>
    <t xml:space="preserve">4. Bug Resolution</t>
  </si>
  <si>
    <t xml:space="preserve">Bug Resolution</t>
  </si>
  <si>
    <t xml:space="preserve">Resolution</t>
  </si>
  <si>
    <t xml:space="preserve">Fixed</t>
  </si>
  <si>
    <t xml:space="preserve">Won't fix</t>
  </si>
  <si>
    <t xml:space="preserve">Chưa xác định</t>
  </si>
  <si>
    <t xml:space="preserve">5. Bug Won't fix By Reason</t>
  </si>
  <si>
    <t xml:space="preserve">Bug Won't fix By Reason</t>
  </si>
  <si>
    <t xml:space="preserve">Mã</t>
  </si>
  <si>
    <t xml:space="preserve">Lý do</t>
  </si>
  <si>
    <t xml:space="preserve">1.1</t>
  </si>
  <si>
    <t xml:space="preserve">QC miss thông tin/ nghiệp vụ</t>
  </si>
  <si>
    <t xml:space="preserve">1.2</t>
  </si>
  <si>
    <t xml:space="preserve">QC post trùng bug</t>
  </si>
  <si>
    <t xml:space="preserve">1.3</t>
  </si>
  <si>
    <t xml:space="preserve">QC không tái hiện được Bug</t>
  </si>
  <si>
    <t xml:space="preserve">2.1</t>
  </si>
  <si>
    <t xml:space="preserve">BA miss luồng</t>
  </si>
  <si>
    <t xml:space="preserve">2.2</t>
  </si>
  <si>
    <t xml:space="preserve">BA thiếu/ sai nghiệp vụ</t>
  </si>
  <si>
    <t xml:space="preserve">3.1</t>
  </si>
  <si>
    <t xml:space="preserve">Dev không sửa do Ngoài scope dự án</t>
  </si>
  <si>
    <t xml:space="preserve">3.2</t>
  </si>
  <si>
    <t xml:space="preserve">Dev không fix do Phụ thuộc thông tin các bên liên quan ngoài ISC</t>
  </si>
  <si>
    <t xml:space="preserve">3.3</t>
  </si>
  <si>
    <t xml:space="preserve">Dev không fix do Điều kiện test không đáp ứng (Môi trường, cấu hình, dữ liệu, thiết bị,...)</t>
  </si>
  <si>
    <t xml:space="preserve">3.4</t>
  </si>
  <si>
    <t xml:space="preserve">Dev miss thông tin</t>
  </si>
  <si>
    <t xml:space="preserve">4.1</t>
  </si>
  <si>
    <t xml:space="preserve">PM/PMO CR, QC không nhận thông tin</t>
  </si>
  <si>
    <t xml:space="preserve">6. Defect Type</t>
  </si>
  <si>
    <t xml:space="preserve">Defect Type</t>
  </si>
  <si>
    <t xml:space="preserve">Loại</t>
  </si>
  <si>
    <t xml:space="preserve">SL</t>
  </si>
  <si>
    <t xml:space="preserve">Data</t>
  </si>
  <si>
    <t xml:space="preserve">Interface</t>
  </si>
  <si>
    <t xml:space="preserve">Logic</t>
  </si>
  <si>
    <t xml:space="preserve">Requirement</t>
  </si>
  <si>
    <t xml:space="preserve">Server</t>
  </si>
  <si>
    <t xml:space="preserve">Other</t>
  </si>
  <si>
    <t xml:space="preserve">7. Effect</t>
  </si>
  <si>
    <t xml:space="preserve">Effect</t>
  </si>
  <si>
    <t xml:space="preserve">Functionality</t>
  </si>
  <si>
    <t xml:space="preserve">Performance</t>
  </si>
  <si>
    <t xml:space="preserve">Security</t>
  </si>
  <si>
    <t xml:space="preserve">Serviceability</t>
  </si>
  <si>
    <t xml:space="preserve">Usability</t>
  </si>
  <si>
    <t xml:space="preserve">8. Bug Rework</t>
  </si>
  <si>
    <t xml:space="preserve">Bug Rework</t>
  </si>
  <si>
    <t xml:space="preserve">Số lần rework</t>
  </si>
  <si>
    <t xml:space="preserve">1-2 lần</t>
  </si>
  <si>
    <t xml:space="preserve">3-5 lần</t>
  </si>
  <si>
    <t xml:space="preserve">6-7 lần</t>
  </si>
  <si>
    <t xml:space="preserve">8-10 lần</t>
  </si>
  <si>
    <t xml:space="preserve">III. SDLC / AUTOMATION METRICS</t>
  </si>
  <si>
    <t xml:space="preserve">Chỉ số SDLC &amp; Automation</t>
  </si>
  <si>
    <t xml:space="preserve">TC sinh bởi AI (AI-generated)</t>
  </si>
  <si>
    <t xml:space="preserve">TC do QC viết tay</t>
  </si>
  <si>
    <t xml:space="preserve">TC đã automation (có script)</t>
  </si>
  <si>
    <t xml:space="preserve">TC Vibe-test</t>
  </si>
  <si>
    <t xml:space="preserve">TC đã QC review</t>
  </si>
  <si>
    <t xml:space="preserve">Bug do AI phát hiện (nhập tay)</t>
  </si>
  <si>
    <t xml:space="preserve">Ô vàng = nhập tay; các % tự tính trên Tổng TC. % Bug do AI = Bug do AI phát hiện / Tổng số Bug.</t>
  </si>
  <si>
    <t xml:space="preserve">IV. KẾT QUẢ THỰC THI THEO ROUND (Round-by-Round)</t>
  </si>
  <si>
    <t xml:space="preserve">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</si>
  <si>
    <t xml:space="preserve">Bảng kết quả theo Round (số liệu gom tự động từ Dashboard)</t>
  </si>
  <si>
    <t xml:space="preserve">Round</t>
  </si>
  <si>
    <t xml:space="preserve">Thời gian</t>
  </si>
  <si>
    <t xml:space="preserve">Coverage%</t>
  </si>
  <si>
    <t xml:space="preserve">Pass rate</t>
  </si>
  <si>
    <t xml:space="preserve">Phạm vi / Chức năng test</t>
  </si>
  <si>
    <t xml:space="preserve">Round 1</t>
  </si>
  <si>
    <t xml:space="preserve">18/09/2026  →  22/09/2026</t>
  </si>
  <si>
    <t xml:space="preserve">Toàn bộ chức năng</t>
  </si>
  <si>
    <t xml:space="preserve">Round 2</t>
  </si>
  <si>
    <t xml:space="preserve">Round 3</t>
  </si>
  <si>
    <t xml:space="preserve">Round 4</t>
  </si>
  <si>
    <t xml:space="preserve">Round 5</t>
  </si>
  <si>
    <t xml:space="preserve">Cuối (Final)</t>
  </si>
  <si>
    <t xml:space="preserve">Xu hướng Bug theo Round (phát hiện vs đã đóng)</t>
  </si>
  <si>
    <t xml:space="preserve">Phát hiện</t>
  </si>
  <si>
    <t xml:space="preserve">Đã đóng</t>
  </si>
  <si>
    <t xml:space="preserve">Phát hiện = đếm cột T `Round` (round PHÁT HIỆN bug) · Đã đóng = đếm cột U `Round closed bug` (round ĐÓNG bug) ⇒ bug tìm ở R1 mà fix xong ở R3 vào Phát hiện R1 + Đã đóng R3, KHÔNG cộng cả hai vào R1. Total Phát hiện = số bug có Round (phải khớp Tổng số Bug ở mục 1) · Total Đã đóng = số bug đã đóng có điền Round closed bug — chênh lệch 2 Total = bug còn nợ; bug chưa đóng để TRỐNG cột U.</t>
  </si>
  <si>
    <t xml:space="preserve">Key</t>
  </si>
  <si>
    <t xml:space="preserve">Type</t>
  </si>
  <si>
    <t xml:space="preserve">Summary</t>
  </si>
  <si>
    <t xml:space="preserve">Bug Status</t>
  </si>
  <si>
    <t xml:space="preserve">Priority (Jira)</t>
  </si>
  <si>
    <t xml:space="preserve">Assignee</t>
  </si>
  <si>
    <t xml:space="preserve">Reporter</t>
  </si>
  <si>
    <t xml:space="preserve">Created</t>
  </si>
  <si>
    <t xml:space="preserve">Resolved</t>
  </si>
  <si>
    <t xml:space="preserve">Fix Version</t>
  </si>
  <si>
    <t xml:space="preserve">Severity</t>
  </si>
  <si>
    <t xml:space="preserve">Function</t>
  </si>
  <si>
    <t xml:space="preserve">Won't Fix Reason</t>
  </si>
  <si>
    <t xml:space="preserve">Defect</t>
  </si>
  <si>
    <t xml:space="preserve">Rework number</t>
  </si>
  <si>
    <t xml:space="preserve">Round closed bug</t>
  </si>
  <si>
    <t xml:space="preserve">Danh mục Won't Fix Reason (nguồn dropdown cột P)</t>
  </si>
  <si>
    <t xml:space="preserve">HƯỚNG DẪN IMPORT TỪ JIRA</t>
  </si>
  <si>
    <t xml:space="preserve">FE-290</t>
  </si>
  <si>
    <t xml:space="preserve">Bug</t>
  </si>
  <si>
    <t xml:space="preserve">[TC_11 - Tài khoản &amp; Hồ sơ]:  Chặn lưu SĐT im lặng, không báo lỗi</t>
  </si>
  <si>
    <t xml:space="preserve">Tuanvm37</t>
  </si>
  <si>
    <t xml:space="preserve">2026-09-18</t>
  </si>
  <si>
    <t xml:space="preserve">1.1 QC miss thông tin/ nghiệp vụ</t>
  </si>
  <si>
    <t xml:space="preserve">① KHỐI JIRA (cột A–K, nền vàng): export/CSV từ Jira rồi dán trực tiếp bắt đầu ô A2.</t>
  </si>
  <si>
    <t xml:space="preserve">FE-291</t>
  </si>
  <si>
    <t xml:space="preserve">[TC_11 - Tài khoản &amp; Hồ sơ] - Chuỗi thông báo lỗi SĐT lệch chuỗi BA đã chốt</t>
  </si>
  <si>
    <t xml:space="preserve">1.2 QC post trùng bug</t>
  </si>
  <si>
    <t xml:space="preserve">   • Board dự án: foxproject.atlassian.net (project key IP). Mỗi round = 1 Sprint.</t>
  </si>
  <si>
    <t xml:space="preserve">FE-292</t>
  </si>
  <si>
    <t xml:space="preserve">[TC_11 - Tài khoản &amp; Hồ sơ] - Địa chỉ gõ tay không bị xoá rỗng khi rời field, bị lưu làm mặc định</t>
  </si>
  <si>
    <t xml:space="preserve">1.3 QC không tái hiện được Bug</t>
  </si>
  <si>
    <t xml:space="preserve">   • A Key, B Type, C Summary, D Bug Status, E Priority, F Assignee, G Reporter,</t>
  </si>
  <si>
    <t xml:space="preserve">FE-293</t>
  </si>
  <si>
    <t xml:space="preserve">[TC_11 - Tài khoản &amp; Hồ sơ] - Avatar chữ viết tắt sai quy tắc dẫn xuất</t>
  </si>
  <si>
    <t xml:space="preserve">2.1 BA miss luồng</t>
  </si>
  <si>
    <t xml:space="preserve">     H Created, I Resolved, J Fix Version, K Sprint — khớp cột export mặc định của Jira.</t>
  </si>
  <si>
    <t xml:space="preserve">FE-294</t>
  </si>
  <si>
    <t xml:space="preserve">[TC_11 - Tài khoản &amp; Hồ sơ] - Nhãn mục menu thứ 3 lệch tài liệu, không nhất quán tiêu đề màn đích</t>
  </si>
  <si>
    <t xml:space="preserve">2.2 BA thiếu/ sai nghiệp vụ</t>
  </si>
  <si>
    <t xml:space="preserve">② KHỐI QC PHÂN TÍCH (cột L–U, nền cam): QC tự điền, là nguồn cho biểu đồ sheet Report Test.</t>
  </si>
  <si>
    <t xml:space="preserve">FE-295</t>
  </si>
  <si>
    <t xml:space="preserve">[TC_11 - Tài khoản &amp; Hồ sơ] - Thiếu icon khiên cạnh field Email công ty</t>
  </si>
  <si>
    <t xml:space="preserve">Lowest</t>
  </si>
  <si>
    <t xml:space="preserve">3.1 Dev không sửa do Ngoài scope dự án</t>
  </si>
  <si>
    <t xml:space="preserve">   • L Severity (20=Critical,10=Major,5=Medium,2=Low) — map từ Priority/field Severity của Jira.</t>
  </si>
  <si>
    <t xml:space="preserve">FE-297</t>
  </si>
  <si>
    <t xml:space="preserve">[TC_11 - Tài khoản &amp; Hồ sơ] - Mã nhân viên bị cắt, hiển thị không đầy đủ</t>
  </si>
  <si>
    <t xml:space="preserve">3.2 Dev không fix do Phụ thuộc thông tin các bên liên quan ngoài ISC</t>
  </si>
  <si>
    <t xml:space="preserve">   • D Bug Status: GIỮ NGUYÊN status của board Jira (không gom nhóm, không có cột status thứ 2). Report Test §1a/§1b đếm theo từng trạng thái này.</t>
  </si>
  <si>
    <t xml:space="preserve">FE-298</t>
  </si>
  <si>
    <t xml:space="preserve">[TC_11 - Tài khoản &amp; Hồ sơ]: Gợi ý địa chỉ tìm địa chỉ không đúng</t>
  </si>
  <si>
    <t xml:space="preserve">3.3 Dev không fix do Điều kiện test không đáp ứng (Môi trường, cấu hình, dữ liệu, thiết bị,...)</t>
  </si>
  <si>
    <t xml:space="preserve">   • T Round: round PHÁT HIỆN bug (1..5) — map từ Sprint (K). Là nguồn cột 'Phát hiện' của biểu đồ Xu hướng Bug theo Round (Report Test §IV).</t>
  </si>
  <si>
    <t xml:space="preserve">FE-300</t>
  </si>
  <si>
    <t xml:space="preserve">[TC_11 - Tài khoản &amp; Hồ sơ] - Không load SĐT và địa chỉ mặc định từ HRIS</t>
  </si>
  <si>
    <t xml:space="preserve">2026-09-21</t>
  </si>
  <si>
    <t xml:space="preserve">3.4 Dev miss thông tin</t>
  </si>
  <si>
    <t xml:space="preserve">   • U Round closed bug: round ĐÓNG bug (1..5) — điền khi bug đã đóng, để trống nếu chưa. Là nguồn cột 'Đã đóng' của biểu đồ đó: bug tìm ở R1 mà fix xong ở R3 thì T=1, U=3 (KHÔNG phải U=1).</t>
  </si>
  <si>
    <t xml:space="preserve">FE-301</t>
  </si>
  <si>
    <t xml:space="preserve">[TC_04 - Đăng tin - Tôi cần gửi hàng] Chặn sang bước sau nhưng không hiện lỗi ở trường thiếu</t>
  </si>
  <si>
    <t xml:space="preserve">4.1 PM/PMO CR, QC không nhận thông tin</t>
  </si>
  <si>
    <t xml:space="preserve">   • P Won't Fix Reason: chọn theo danh mục (mã + lý do) ở cột Y.</t>
  </si>
  <si>
    <t xml:space="preserve">FE-302</t>
  </si>
  <si>
    <t xml:space="preserve">[TC_04 - Đăng tin - Tôi cần gửi hàng] Thoát wizard không hiện popup xác nhận, mất dữ liệu đã nhập</t>
  </si>
  <si>
    <t xml:space="preserve">③ 13 dòng mẫu nền vàng/cam: xoá khi dùng dữ liệu thật. Chỉ dán vào khối Jira, khối QC điền tay.</t>
  </si>
  <si>
    <t xml:space="preserve">FE-303</t>
  </si>
  <si>
    <t xml:space="preserve">[TC_04 - Đăng tin - Tôi cần gửi hàng] Vẫn chọn được buổi đã trôi qua trong ngày hôm nay</t>
  </si>
  <si>
    <t xml:space="preserve">Ghi chú: mapping theo cấu trúc export chuẩn của Jira; nếu dự án dùng custom field (Severity, Sprint) có thể chỉnh cột tương ứng.</t>
  </si>
  <si>
    <t xml:space="preserve">FE-304</t>
  </si>
  <si>
    <t xml:space="preserve">[TC_04 - Đăng tin - Tôi cần gửi hàng] Buổi mong muốn không có giá trị mặc định Sau giờ làm</t>
  </si>
  <si>
    <t xml:space="preserve">FE-305</t>
  </si>
  <si>
    <t xml:space="preserve">[TC_04 - Đăng tin - Tôi cần gửi hàng] Địa chỉ người gửi và người nhận không được tự điền</t>
  </si>
  <si>
    <t xml:space="preserve">FE-307</t>
  </si>
  <si>
    <t xml:space="preserve">[TC_04 - Đăng tin][Suggest] Đề xuất thống nhất cơ chế validate giữa 2 luồng đăng tin</t>
  </si>
  <si>
    <t xml:space="preserve">FE-308</t>
  </si>
  <si>
    <t xml:space="preserve">[TC_08 - Quà cảm ơn - Tặng quà] Popup sau khi tặng quà hiện chuỗi cũ, sai chuỗi chính thức BR14-02</t>
  </si>
  <si>
    <t xml:space="preserve">FE-309</t>
  </si>
  <si>
    <t xml:space="preserve">[TC_07 - Trang chủ - Tin mới] Nút Xem thêm trên Bảng tin hiện khi đúng 5 tin</t>
  </si>
  <si>
    <t xml:space="preserve">FE-310</t>
  </si>
  <si>
    <t xml:space="preserve">[TC_07 - Trang chủ - Đơn của tôi] Empty state Đơn của tôi sai chuỗi, thiếu CTA và icon</t>
  </si>
  <si>
    <t xml:space="preserve">FE-311</t>
  </si>
  <si>
    <t xml:space="preserve">[TC_02 - Ghép nối] - Ghép chuyến bị chặn đòi chấp nhận điều khoản nhưng PRD không quy định</t>
  </si>
  <si>
    <t xml:space="preserve">FE-312</t>
  </si>
  <si>
    <t xml:space="preserve">[TC_05 - Bảng tin &amp; Chi tiết tin] [Suggest]- Chủ tin mở tin từ Bảng tin không có Chỉnh sửa/Huỷ đơn</t>
  </si>
  <si>
    <t xml:space="preserve">FE-317</t>
  </si>
  <si>
    <t xml:space="preserve">[TC_01- Hoạt động] - Lý do trên card đơn Hết hạn hiện sai chuỗi chính thức</t>
  </si>
  <si>
    <t xml:space="preserve">2026-09-22</t>
  </si>
  <si>
    <t xml:space="preserve">FE-318</t>
  </si>
  <si>
    <t xml:space="preserve">[TC_01 - Hoạt động] - Empty state tab Đang diễn ra thiếu dòng giải thích</t>
  </si>
  <si>
    <t xml:space="preserve">FE-319</t>
  </si>
  <si>
    <t xml:space="preserve">[TC_03 - Huỷ đơn] - Log người gửi huỷ đơn lại ghi nhãn Đã huỷ nhận đơn</t>
  </si>
  <si>
    <t xml:space="preserve">FE-320</t>
  </si>
  <si>
    <t xml:space="preserve">[TC_03 - Huỷ đơn][Suggest] - Thiếu dòng lỗi dưới ô lý do khi nhập 4 ký tự</t>
  </si>
  <si>
    <t xml:space="preserve">FE-321</t>
  </si>
  <si>
    <t xml:space="preserve">[TC_10 - Trust &amp; Safety] - Form Báo cáo sự cố bắt buộc đăng nhập Microsoft (do có trường tải file) — đề xuất bỏ bắt buộc đăng nhập</t>
  </si>
  <si>
    <t xml:space="preserve">FE-322</t>
  </si>
  <si>
    <t xml:space="preserve">[TC_10 - Trust &amp; Safety] - Mất mạng khi mở Báo cáo sự cố hiện trang lỗi kỹ thuật, không có nút Thử lại</t>
  </si>
  <si>
    <t xml:space="preserve">FE-323</t>
  </si>
  <si>
    <t xml:space="preserve">[TC_10 - Trust &amp; Safety] - Màn xác nhận sau khi gửi báo cáo sự cố là mặc định Microsoft Forms, không đúng đặc tả</t>
  </si>
  <si>
    <t xml:space="preserve">FE-324</t>
  </si>
  <si>
    <t xml:space="preserve">[TC_10 - Trust &amp; Safety] - SĐT liên hệ lại trong form báo cáo sự cố không validate định dạng</t>
  </si>
  <si>
    <t xml:space="preserve">FE-325</t>
  </si>
  <si>
    <t xml:space="preserve">[TC_10 - Trust &amp; Safety] - Trường ảnh đính kèm trong báo cáo sự cố bắt buộc, ngược đặc tả</t>
  </si>
  <si>
    <t xml:space="preserve">FE-326</t>
  </si>
  <si>
    <t xml:space="preserve">[TC_10 - Trust &amp; Safety] - Ô mã đơn hàng trong form báo cáo sự cố sửa được, sai đặc tả chỉ đọc</t>
  </si>
  <si>
    <t xml:space="preserve">FE-327</t>
  </si>
  <si>
    <t xml:space="preserve">[TC_04 - Giao nhận] - Nút xác nhận đến nơi giao chưa đổi tên theo đặc tả v1.1</t>
  </si>
  <si>
    <t xml:space="preserve">FE-328</t>
  </si>
  <si>
    <t xml:space="preserve">[TC_03 - Huỷ đơn]- Title popup thông báo Đã hủy nhậ nđơn không đúng bị hiển thị trên 2 dòng</t>
  </si>
  <si>
    <t xml:space="preserve">FE-329</t>
  </si>
  <si>
    <t xml:space="preserve">[TC_08 - Thông báo]- Nội dung thông báo khi giao cho người được ủy quyền không đúng</t>
  </si>
  <si>
    <t xml:space="preserve">In review</t>
  </si>
  <si>
    <t xml:space="preserve">HungHT32</t>
  </si>
  <si>
    <t xml:space="preserve">FE-330</t>
  </si>
  <si>
    <t xml:space="preserve">[TC_09 - Đăng tin]- Có thể chọn người gởi và nhận cùng email</t>
  </si>
  <si>
    <t xml:space="preserve">FE-331</t>
  </si>
  <si>
    <t xml:space="preserve">[TC_04 - Giao nhận &amp; Theo dõi đơn]- Lịch sử và btn trên màn hình theo dõi đơn khi đơn Đã hẹn giao lại không đúng</t>
  </si>
  <si>
    <t xml:space="preserve">FE-332</t>
  </si>
  <si>
    <t xml:space="preserve">[TC_04 - Giao nhận &amp; Theo dõi đơn]- suggest kiêm tra điều kiện hoặc thông báo cho người dùng khi SĐT không tồn tại zalo</t>
  </si>
  <si>
    <t xml:space="preserve">FE-333</t>
  </si>
  <si>
    <t xml:space="preserve">[TC_04 - Giao nhận &amp; Theo dõi đơn]- Xử lý khi click btn Không thê liên lạc cho người nhận không đúng</t>
  </si>
  <si>
    <t xml:space="preserve">FE-334</t>
  </si>
  <si>
    <t xml:space="preserve">[TC_04 - Giao nhận &amp; Theo dõi đơn]- Không  validate SĐT tại Ngươi được ủy quyền/Quầy lễ tân/Quầy bảo vệ</t>
  </si>
  <si>
    <t xml:space="preserve">FE-337</t>
  </si>
  <si>
    <t xml:space="preserve">[TC_04 - Giao nhận &amp; Theo dõi đơn]- Giao diện màn hình Theo dõi đơn - Luồng xác nhận trả hàng cho người gởi không đúng</t>
  </si>
  <si>
    <t xml:space="preserve">FE-338</t>
  </si>
  <si>
    <t xml:space="preserve">[TC_04 - Giao nhận &amp; Theo dõi đơn]- Giao diện màn hình Theo dõi đơn - Luồng  hẹn giao lại</t>
  </si>
  <si>
    <t xml:space="preserve">RTM — MA TRẬN TRUY VẾT YÊU CẦU (Requirement Traceability Matrix)</t>
  </si>
  <si>
    <t xml:space="preserve">Mỗi dòng = 1 yêu cầu (Req ID) ĐÃ CÓ test case — REQ out-scope / chốt không làm không liệt kê ở đây. Số liệu tự đếm từ các sheet Test Case.</t>
  </si>
  <si>
    <t xml:space="preserve">Req ID</t>
  </si>
  <si>
    <t xml:space="preserve">Yêu cầu (mô tả)</t>
  </si>
  <si>
    <t xml:space="preserve">Nguồn (DOC)</t>
  </si>
  <si>
    <t xml:space="preserve">% phủ</t>
  </si>
  <si>
    <t xml:space="preserve">REQ-ACT-001</t>
  </si>
  <si>
    <t xml:space="preserve">Nguồn (v1.0) — `DOC-v1.0-02 §3.7` + `KP-01 §3 KB-ORD-07` (quan sát app 2026-07-27): "Màn Hoạt động có 2 tab: **Đang diễn ra** / **Đã hoàn thành**.</t>
  </si>
  <si>
    <t xml:space="preserve">DOC-v1.1-01 §8.17.1 EMP-05 / EMP-06 · trang 51</t>
  </si>
  <si>
    <t xml:space="preserve">REQ-ACT</t>
  </si>
  <si>
    <t xml:space="preserve">REQ-ACT-004</t>
  </si>
  <si>
    <t xml:space="preserve">Nguồn (v1.0) — `DOC-v1.0-02 §3.7 đoạn 3` + `DOC-v1.0-01 §D1b US-D04 L166`: "Tab 'Đã hoàn thành' liệt kê các đơn đã kết thúc.</t>
  </si>
  <si>
    <t xml:space="preserve">DOC-v1.1-01 §6.2 AC-24.2.01 · trang 25</t>
  </si>
  <si>
    <t xml:space="preserve">REQ-ASN</t>
  </si>
  <si>
    <t xml:space="preserve">REQ-ACT-005</t>
  </si>
  <si>
    <t xml:space="preserve">Nguồn (v1.0) — `DOC-v1.0-06 KP-01 §3 KB-ORD-07 (#4,#6)` (quan sát app): card "Hết hạn" **có** lý do, nhưng **chuỗi lý do lấy từ màn hình**, không từ tài liệu.</t>
  </si>
  <si>
    <t xml:space="preserve">DOC-v1.1-01 §8.5.1 BR05-03 · trang 38</t>
  </si>
  <si>
    <t xml:space="preserve">REQ-CNL</t>
  </si>
  <si>
    <t xml:space="preserve">REQ-ACT-008</t>
  </si>
  <si>
    <t xml:space="preserve">Nguồn (v1.0) — `DOC-v1.0-06 KP-02 §5 dòng C-ORD-06`: text empty state **chưa chốt** — từng Resolved 2026-07-28 rồi **REVERT** 2026-07-29 vì chốt không kèm bằng chứng.</t>
  </si>
  <si>
    <t xml:space="preserve">DOC-v1.1-01 §8.17.1 bảng Danh mục empty state, dòng EMP-05 / EMP-06 · trang 51</t>
  </si>
  <si>
    <t xml:space="preserve">REQ-DLV</t>
  </si>
  <si>
    <t xml:space="preserve">REQ-ACT-009</t>
  </si>
  <si>
    <t xml:space="preserve">Nguồn (v1.0) — `DOC-v1.0-02 §3.7 đoạn 3` + `KP-01 §6 KB-GIFT-02`, gắn `C-GIFT-01` Resolved *"Out of scope **v1.0**"* ⇒ SC chỉ **ghi nhận**.</t>
  </si>
  <si>
    <t xml:space="preserve">DOC-v1.1-01 §8.14.1 BR14-03 · trang 49</t>
  </si>
  <si>
    <t xml:space="preserve">REQ-FEED</t>
  </si>
  <si>
    <t xml:space="preserve">REQ-ACT-010</t>
  </si>
  <si>
    <t xml:space="preserve">Nguồn #1 — BR17-01..03 (§8.17.2, trang 51): "BR17-01 | Mỗi empty state gồm: icon nét mảnh màu neutral + một dòng tiêu đề + một dòng giải thích + tối đa một CTA." "BR17-02 | Không dùng ảnh minh hoạ nặng; không hiện skeleton vô hạn — phân biệt rõ đang tải và không có dữ liệu." "BR17-03 | Empty state không được che thanh tab dưới và vẫn cuộn được.</t>
  </si>
  <si>
    <t xml:space="preserve">DOC-v1.1-01 §8.17.2 BR17-01..03 · trang 51</t>
  </si>
  <si>
    <t xml:space="preserve">REQ-GIFT</t>
  </si>
  <si>
    <t xml:space="preserve">REQ-ASN-003</t>
  </si>
  <si>
    <t xml:space="preserve">BR03-02 | Ghép ngay khi người vận chuyển bấm nhận — không có bước chủ tin duyệt. Một tin chỉ có một cặp ghép active; ghép cho người bấm đầu tiên, chống double-accept bằng khoá giao dịch." "NFR-06 | Data Integrity | Một tin chỉ tồn tại một cặp ghép active; tỷ lệ ghép trùng = 0% dưới điều kiện 50 request đồng thời trên cùng một tin | Cách đo: Concurrency test trên staging</t>
  </si>
  <si>
    <t xml:space="preserve">DOC-v1.1-01 §8.3 "FR03" BR03-02 · page 37</t>
  </si>
  <si>
    <t xml:space="preserve">REQ-HOME</t>
  </si>
  <si>
    <t xml:space="preserve">REQ-ASN-005</t>
  </si>
  <si>
    <t xml:space="preserve">NFR-08 | Consistency | Ba vai trò thấy cùng một trạng thái đơn trong ≤ 5 giây sau khi trạng thái đổi | Cách đo: Integration test đa thiết bị</t>
  </si>
  <si>
    <t xml:space="preserve">DOC-v1.1-01 §9 NFR-08 · page 53</t>
  </si>
  <si>
    <t xml:space="preserve">REQ-NTF</t>
  </si>
  <si>
    <t xml:space="preserve">REQ-ASN-007</t>
  </si>
  <si>
    <t xml:space="preserve">Nguồn v1.0 (`DOC-v1.0-06` KP-01 §4 `KB-ASN-04`): "= trùng địa chỉ giao hàng đã chọn + khung giờ phù hợp. KHÔNG dùng bán kính GPS / khoảng cách địa lý." · "🔴 Còn thiếu: "khung giờ phù hợp" là trùng hoàn toàn hay có độ lệch cho phép? Chu kỳ quét khớp?</t>
  </si>
  <si>
    <t xml:space="preserve">DOC-v1.1-01 §8.4 "FR04 — Khớp tuyến OFFER ↔ NEED" · Business Rules · page 38</t>
  </si>
  <si>
    <t xml:space="preserve">REQ-ORD</t>
  </si>
  <si>
    <t xml:space="preserve">REQ-ASN-008</t>
  </si>
  <si>
    <t xml:space="preserve">`DOC-v1.0-06` KP-01 §4 `KB-ASN-03`: "Không phải "5 thông báo/ngày" cộng dồn — tính riêng theo từng tin.</t>
  </si>
  <si>
    <t xml:space="preserve">DOC-v1.1-01 §8.4 "FR04 — Khớp tuyến OFFER ↔ NEED" BR04-04 · page 38</t>
  </si>
  <si>
    <t xml:space="preserve">REQ-TS</t>
  </si>
  <si>
    <t xml:space="preserve">REQ-ASN-009</t>
  </si>
  <si>
    <t xml:space="preserve">`DOC-v1.0-01` §D7 `OPR-04` L340: "Sắp xếp theo độ gần tuyến → thời gian đăng (mới trước)" — Analyst Note v1.0 kết luận "độ gần tuyến là nhị phân nên không còn thang để sắp xếp ⇒ tiêu chí duy nhất kiểm chứng được là thời gian đăng".</t>
  </si>
  <si>
    <t xml:space="preserve">DOC-v1.1-01 §8.3 "FR03 — Ghép nối &amp; lộ liên hệ" BR03-06 · page 37</t>
  </si>
  <si>
    <t xml:space="preserve">REQ-USR</t>
  </si>
  <si>
    <t xml:space="preserve">REQ-ASN-013</t>
  </si>
  <si>
    <t xml:space="preserve">NFR-11 | Security | Tin OFFER không truy cập được trực tiếp; mọi request đọc tin OFFER bởi người dùng không phải chủ tin phải bị chặn lỗi và ghi audit log | Cách đo: Security test</t>
  </si>
  <si>
    <t xml:space="preserve">DOC-v1.1-01 §9 NFR-11 · page 54</t>
  </si>
  <si>
    <t xml:space="preserve">REQ-CNL-002</t>
  </si>
  <si>
    <t xml:space="preserve">Nguồn (v1.0) — `DOC-v1.0-01 §D8.3 VAL-04 · L395`: "Huỷ đơn: bắt buộc lý do ≥ 5 ký tự mới bật nút xác nhận.</t>
  </si>
  <si>
    <t xml:space="preserve">DOC-v1.1-01 §8.18.2 VAL-03/VAL-04 · trang 52</t>
  </si>
  <si>
    <t xml:space="preserve">REQ-CNL-003</t>
  </si>
  <si>
    <t xml:space="preserve">Nguồn (v1.0) — `DOC-v1.0-01 §D7 OPR-11 · L347`: "Sau khi người vận chuyển đã nhận hàng (IN_TRANSIT) thì KHÔNG ai được huỷ đơn thường.</t>
  </si>
  <si>
    <t xml:space="preserve">DOC-v1.1-01 §8.11 dòng Pre-Conditions · trang 44</t>
  </si>
  <si>
    <t xml:space="preserve">REQ-CNL-007</t>
  </si>
  <si>
    <t xml:space="preserve">Nguồn (v1.0) — `DOC-v1.0-01 §D2 · L233` (`[INCIDENT]` có tên trong sơ đồ vòng đời nhưng không mô tả field/màn) ⇒ `C-CNL-01` Resolved: *"Out of scope v1.0 (chưa có đặc tả field)"*.</t>
  </si>
  <si>
    <t xml:space="preserve">DOC-v1.1-01 §8.16 "FR16 — Báo cáo sự cố &amp; hỗ trợ" · trang 50</t>
  </si>
  <si>
    <t xml:space="preserve">REQ-CNL-006</t>
  </si>
  <si>
    <t xml:space="preserve">Nguồn (v1.0) — `DOC-v1.0-06 KP-01 §7 KB-CNL-01` (live-verify 2026-07-29) + `C-CNL-02` Resolved-override 2026-07-30: "Huỷ đơn không ghi log nào, chỉ hiện banner đỏ. Huỷ nhận đơn XOÁ dòng 'Ghép thành công' khỏi LỊCH SỬ.</t>
  </si>
  <si>
    <t xml:space="preserve">DOC-v1.1-01 §8.11.1 BR11-02 / BR11-03 · trang 44</t>
  </si>
  <si>
    <t xml:space="preserve">REQ-CNL-008</t>
  </si>
  <si>
    <t xml:space="preserve">Nguồn #1 — AC-25.2.01 (§6.2, trang 26): "Given: Đơn ở IN_TRANSIT hoặc muộn hơn. When: Bất kỳ vai trò nào mở màn theo dõi đơn. Then: Không còn thao tác huỷ đơn thường cho bất kỳ ai. Chỉ còn hai đường: hoàn hàng (RETURNING) hoặc báo sự cố (INCIDENT). Đơn ở INCIDENT không tự về COMPLETED, phải qua admin hỗ trợ.</t>
  </si>
  <si>
    <t xml:space="preserve">DOC-v1.1-01 §6.2 AC-25.2.01 "Sau khi hàng đã lên đường" · trang 26</t>
  </si>
  <si>
    <t xml:space="preserve">REQ-CNL-009</t>
  </si>
  <si>
    <t xml:space="preserve">Nguồn — FR11 Actor (§8.11, trang 44): "Người gửi · Người vận chuyển · Người nhận · Admin vận hành</t>
  </si>
  <si>
    <t xml:space="preserve">DOC-v1.1-01 §8.11 dòng Actor · trang 44</t>
  </si>
  <si>
    <t xml:space="preserve">REQ-DLV-002</t>
  </si>
  <si>
    <t xml:space="preserve">RESCHEDULED | Xem lịch hẹn giao lại | Giao lại theo lịch (mở lại màn giao hàng) | Xem lịch hẹn" "RETURNING | 'Xác nhận đã nhận lại hàng' · xem lịch hẹn | Xem lịch hẹn trả hàng | Xem lý do hoàn hàng" "RETURNED · CANCELLED · EXPIRED | Xem lý do · đăng lại | Xem lý do | Xem lý do</t>
  </si>
  <si>
    <t xml:space="preserve">DOC-v1.1-01 §8.12.3 "Hành động khả dụng theo trạng thái" · trang 45-46</t>
  </si>
  <si>
    <t xml:space="preserve">REQ-DLV-007</t>
  </si>
  <si>
    <t xml:space="preserve">BR10-04 | Đơn có báo cáo sự cố (INCIDENT) không tự chuyển về COMPLETED — phải qua admin hỗ trợ dựa trên nhật ký và ảnh.</t>
  </si>
  <si>
    <t xml:space="preserve">DOC-v1.1-01 §8.10.1 "FR10" BR10-04 · trang 43</t>
  </si>
  <si>
    <t xml:space="preserve">REQ-DLV-012</t>
  </si>
  <si>
    <t xml:space="preserve">BR06-01 | Ảnh lúc lấy hàng là tuỳ chọn nhưng được khuyến nghị mạnh; tối đa 5 ảnh.</t>
  </si>
  <si>
    <t xml:space="preserve">DOC-v1.1-01 §8.6.1 "FR06" BR06-01 · trang 38</t>
  </si>
  <si>
    <t xml:space="preserve">REQ-DLV-017</t>
  </si>
  <si>
    <t xml:space="preserve">Description (§8.7): "Ghi nhận việc bàn giao hàng với đối tượng nhận rõ ràng và bằng chứng ảnh bắt buộc, phục vụ truy vết và xử lý tranh chấp."  BR07-01: "Bắt buộc chọn 1 trong 4 đối tượng nhận: Người nhận · Người được uỷ quyền · Quầy lễ tân · Quầy bảo vệ." BR07-02: "Ảnh khi giao là bắt buộc ≥ 1 (tối đa 5) cho mọi kết cục giao; nút xác nhận vô hiệu hoá đến khi đủ ảnh." BR07-03: "Với ba lựa chọn khác 'Người nhận': tên người nhận thay là bắt buộc (2–60 ký tự), số điện thoại là khuyến nghị. Quầy lễ tân/bảo vệ vẫn phải nhập tên người trực — không cho ghi chung chung." BR07-04: "Người nhận uỷ quyền do người gửi chỉ định lúc đăng tin, hoặc do người nhận / người gửi chỉ định tại hiện trường; ứng dụng luôn ghi rõ ai uỷ quyền. Người vận chuyển không tự chọn người nhận thay." BR07-05: "Trường 'Uỷ quyền bởi' tự sinh: 'Người nhận' khi đến từ màn Xác nhận giao hàng, 'Người gửi' khi đến từ màn Liên hệ người gửi. Chỉ đọc." BR07-06: "Mọi thao tác ghi mốc không thể hoàn tác đều qua popup xác nhận nêu rõ hệ quả trước khi ghi." BR07-07: "Ảnh bằng chứng không xoá được sau khi đơn đã ghi mốc (phục vụ truy vết).</t>
  </si>
  <si>
    <t xml:space="preserve">DOC-v1.1-01 §8.7 "FR07", §8.7.1 BR07-01..07, §8.7.3 UI/Field Spec · trang 39-41</t>
  </si>
  <si>
    <t xml:space="preserve">REQ-DLV-018</t>
  </si>
  <si>
    <t xml:space="preserve">Description: "Cung cấp đường xử lý chuẩn khi người vận chuyển tới nơi mà không liên lạc được người nhận, thay vì để họ tự quyết định."  BR08-01: "Người vận chuyển không được tự ý để hàng ở nơi khác mà không đi qua luồng này." BR08-02: "Thứ tự ưu tiên xử lý (màn hình sắp xếp đúng thứ tự này): (1) giao cho người uỷ quyền người gửi đã khai sẵn → (2) liên hệ người gửi xin uỷ quyền người khác → (3) gửi quầy lễ tân/chốt bảo vệ → (4) cầm hàng về." BR08-03: "Màn 'Liên hệ người gửi': ô tên và số điện thoại người nhận thay để trống (không prefill), dòng 'Uỷ quyền bởi: Người gửi', ảnh bắt buộc; hiển thị số điện thoại người gửi có thể bấm gọi." BR08-04: "Hai phương án gửi quầy: bắt buộc ≥ 1 ảnh và tên người trực quầy, ghi chú tuỳ chọn, có popup xác nhận trước khi ghi." BR08-05: "Đơn có cờ không liên lạc được người nhận thì hiện cảnh báo trong nhật ký cho cả ba bên." BR08-06: "Thời hạn giữ hàng tại quầy: nhắc người nhận sau 4 giờ và cuối ngày; sau 24 giờ chưa xác nhận thì chuyển admin hỗ trợ." BR08-07: "Nếu không có ai ở quầy để ghi tên thì không xác nhận được — buộc chuyển sang 'Cầm hàng về'.</t>
  </si>
  <si>
    <t xml:space="preserve">DOC-v1.1-01 §8.8 "FR08", §8.8.1 BR08-01..07, §8.8.2 UI/Field Spec · trang 41-42</t>
  </si>
  <si>
    <t xml:space="preserve">REQ-DLV-019</t>
  </si>
  <si>
    <t xml:space="preserve">Description: "Khi không giao được, người vận chuyển cầm hàng về và hẹn lịch rõ ràng: giao lại sau, hoặc trả hàng về cho người gửi. Đơn không bị huỷ."  BR09-01: "'Cầm hàng về' không phải huỷ đơn — đơn vẫn sống ở RESCHEDULED/RETURNING và bắt buộc có lịch hẹn." BR09-02: "Bắt buộc chọn chế độ: giao lại sau (`retry`) hoặc trả về người gửi (`return`)." BR09-03: "Lịch hẹn dùng giờ chính xác (không dùng buổi)... giờ đến &gt; giờ từ, tối thiểu 30 phút." BR09-04: "Lịch hẹn phải trong vòng 7 ngày kể từ ngày cầm hàng về; quá lịch hẹn 24 giờ mà đơn chưa đóng thì chuyển admin hỗ trợ." BR09-05: "Chế độ `retry`: theo lịch hẹn, đơn quay lại IN_TRANSIT và người vận chuyển giao lại theo FR07." BR09-06: "Chế độ `return`: người gửi bấm 'Xác nhận đã nhận lại hàng' → RETURNED. Đơn RETURNED không mở bước tặng quà và không cộng vào 'Đơn đã giúp' của người vận chuyển, nhưng vẫn nằm trong lịch sử đơn." BR09-07: "Người nhận từ chối nhận hàng: người vận chuyển chọn chế độ `return`, ghi lý do vào ghi chú.</t>
  </si>
  <si>
    <t xml:space="preserve">DOC-v1.1-01 §8.9 "FR09", §8.9.1 BR09-01..07, §8.9.2 UI/Field Spec · trang 42-43</t>
  </si>
  <si>
    <t xml:space="preserve">REQ-DLV-020</t>
  </si>
  <si>
    <t xml:space="preserve">Giao tận tay người nhận → 'Đã giao tận tay người nhận'" "Giao cho người được uỷ quyền → 'Đã giao cho người được uỷ quyền — {tên · SĐT} — uỷ quyền bởi {người gửi/người nhận}'" "Gửi quầy lễ tân → 'Đã gửi tại quầy lễ tân — {tên người trực quầy}'" "Gửi quầy/chốt bảo vệ → 'Đã gửi tại quầy bảo vệ — {tên người trực}'" "Cầm hàng về, hẹn giao lại → 'Cầm hàng về — hẹn giao lại {ngày · giờ · nơi hẹn}'" "Trả về người gửi → 'Đã trả lại người gửi'" "Mọi dòng | Kèm thời điểm, cờ 'không liên lạc được người nhận' (nếu có) và dấu hiệu 'có ảnh bằng chứng'.</t>
  </si>
  <si>
    <t xml:space="preserve">DOC-v1.1-01 §8.12.4 "Nội dung dòng nhật ký theo kết cục giao" · trang 46</t>
  </si>
  <si>
    <t xml:space="preserve">REQ-DLV-021</t>
  </si>
  <si>
    <t xml:space="preserve">BR12-01: "Chỉ được đi theo chuyển tiếp hợp lệ ở bảng 8.12.2 — mọi request sai trạng thái bị từ chối và không ghi mốc." BR12-02: "Không nhảy bậc: không DELIVERED khi chưa IN_TRANSIT, không COMPLETED khi chưa DELIVERED." BR12-03: "Mỗi lần đổi trạng thái ghi: trạng thái cũ → mới, actor, thời điểm, ảnh kèm — không sửa, không xoá được." BR12-07: "Admin có quyền can thiệp hỗ trợ dựa trên nhật ký; mọi can thiệp cũng được ghi nhật ký.</t>
  </si>
  <si>
    <t xml:space="preserve">DOC-v1.1-01 §8.12.1 "FR12" BR12-01, BR12-02, BR12-03, BR12-07 · trang 44-45</t>
  </si>
  <si>
    <t xml:space="preserve">REQ-DLV-022</t>
  </si>
  <si>
    <t xml:space="preserve">NFR-03 | Performance | "Tải 5 ảnh bằng chứng (mỗi ảnh ≤ 5MB) hoàn tất &lt; 15 giây (p95) trên 4G; có chỉ báo tiến trình và cho phép thử lại từng ảnh." | Cách đo: "Test trên thiết bị thật + APM." NFR-07 | Data Integrity | "Bản ghi nhật ký đơn là chỉ-thêm (append-only): không API nào cho phép sửa hoặc xoá bản ghi và ảnh bằng chứng đã ghi." | Cách đo: "Code review + security test." NFR-12 | Privacy | "Dữ liệu người nhận thay (tên · số điện thoại) chỉ dùng làm bằng chứng bàn giao; không xuất hiện ở bất kỳ báo cáo/thống kê nào ngoài nhật ký đơn." | Cách đo: "Code review + kiểm tra báo cáo.</t>
  </si>
  <si>
    <t xml:space="preserve">DOC-v1.1-01 §9 "Non-Functional Requirements" · NFR-03, NFR-07, NFR-12 · trang 53-54</t>
  </si>
  <si>
    <t xml:space="preserve">REQ-DLV-023</t>
  </si>
  <si>
    <t xml:space="preserve">↪ *Quote `BR18-04` (icon copy) — home ở `../ORD-dang-tin/requirement_traceability.md` (không chép lại — tránh lặp home, health-check G-03 2026-09-17)*</t>
  </si>
  <si>
    <t xml:space="preserve">DOC-v1.1-01 §8.18.1 "FR18" BR18-04 · trang 52</t>
  </si>
  <si>
    <t xml:space="preserve">REQ-FEED-001</t>
  </si>
  <si>
    <t xml:space="preserve">DOC-v1.0-02</t>
  </si>
  <si>
    <t xml:space="preserve">REQ-FEED-004</t>
  </si>
  <si>
    <t xml:space="preserve">DOC-v1.0-01 · DOC-v1.0-02</t>
  </si>
  <si>
    <t xml:space="preserve">REQ-FEED-005</t>
  </si>
  <si>
    <t xml:space="preserve">REQ-FEED-009</t>
  </si>
  <si>
    <t xml:space="preserve">DOC-v1.1-01 · DOC-v1.0-06</t>
  </si>
  <si>
    <t xml:space="preserve">REQ-GIFT-001</t>
  </si>
  <si>
    <t xml:space="preserve">Nguồn (v1.0) — `DOC-v1.0-01 §D3 GIFT-01 · L258` + `§A7 L107-108`: "Người gửi tặng quà ảo cảm ơn người vận chuyển sau khi đơn hoàn thành. 4 loại quà phi vật chất.</t>
  </si>
  <si>
    <t xml:space="preserve">DOC-v1.1-01 §8.14.1 BR14-01 · trang 49</t>
  </si>
  <si>
    <t xml:space="preserve">REQ-GIFT-002</t>
  </si>
  <si>
    <t xml:space="preserve">Nguồn (v1.0) — `DOC-v1.0-01 §D4 BR-GIFT-01 · L271`: "Quà gửi một chiều, không cần người nhận xác nhận.</t>
  </si>
  <si>
    <t xml:space="preserve">DOC-v1.1-01 §8.14.1 BR14-02 · trang 49</t>
  </si>
  <si>
    <t xml:space="preserve">REQ-GIFT-004</t>
  </si>
  <si>
    <t xml:space="preserve">Nguồn (v1.0) — `DOC-v1.0-01 §D1b US-D20 · L196` + `KP-01 §6 KB-GIFT-03`: "Người vận chuyển xem 'Quà đã nhận'. (Có danh sách lịch sử hay chỉ card đếm — chưa rõ.)</t>
  </si>
  <si>
    <t xml:space="preserve">DOC-v1.1-01 §6.2 AC-26.1.01 · trang 27</t>
  </si>
  <si>
    <t xml:space="preserve">REQ-GIFT-007</t>
  </si>
  <si>
    <t xml:space="preserve">Nguồn (v1.0) — `DOC-v1.0-06 KP-02 §5 dòng C-ORD-06` ⇒ text empty state **chưa chốt** (từng Resolved 2026-07-28 rồi **REVERT** 2026-07-29 vì chốt không kèm bằng chứng).</t>
  </si>
  <si>
    <t xml:space="preserve">DOC-v1.1-01 §8.17.1 EMP-08 · trang 51</t>
  </si>
  <si>
    <t xml:space="preserve">REQ-GIFT-005</t>
  </si>
  <si>
    <t xml:space="preserve">Nguồn (v1.0) — `DOC-v1.0-01 §D3 RAT-01/02 · L256` ⇒ `C-GIFT-01` Resolved: *"Out of scope **v1.0**; v1.0 chỉ có Quà ảo"*.</t>
  </si>
  <si>
    <t xml:space="preserve">REQ-GIFT-009</t>
  </si>
  <si>
    <t xml:space="preserve">Nguồn #1 — FR14 Pre-Conditions (§8.14): "Đơn ở COMPLETED (đơn RETURNED không mở bước này)</t>
  </si>
  <si>
    <t xml:space="preserve">DOC-v1.1-01 §8.14 dòng Pre-Conditions · trang 48-49</t>
  </si>
  <si>
    <t xml:space="preserve">REQ-HOME-004</t>
  </si>
  <si>
    <t xml:space="preserve">[qua SC-HOME-008] `C-HOME-06` — "a. 0 / b. toàn hệ thống, người tham gia / c. realtime" (`CL-hoi-BA-v1.1.xlsx` sheet `HOME`)</t>
  </si>
  <si>
    <t xml:space="preserve">DOC-v1.1-01</t>
  </si>
  <si>
    <t xml:space="preserve">REQ-HOME-011</t>
  </si>
  <si>
    <t xml:space="preserve">US11: "Là Người vận chuyển, tôi muốn xem tối đa 5 tin cần gửi mới nhất trên trang chủ, để nhanh chóng thấy tin thuận tuyến mà không phải tìm."  AC-11.1.01 — Given: "Trong khu vực của người dùng có 12 tin NEED đang ở POSTED." — When: "Mở trang chủ." — Then: "Khối 'Tin mới' hiển thị đúng 5 tin mới nhất. Có nút 'Xem thêm trên Bảng tin'. Tin đã MATCHED, EXPIRED hoặc tin của chính người dùng không nằm trong danh sách gợi ý."  AC-11.2.01 — Given: "Không có tin NEED nào ở POSTED trong khu vực của người dùng." — When: "Mở trang chủ." — Then: "Khối 'Tin mới' hiển thị empty state: icon nét mảnh + 'Chưa có tin nào trong khu vực của bạn' + một dòng giải thích + đúng một CTA 'Đăng tin ngay'. Không hiện skeleton kéo dài; phân biệt rõ đang tải và không có dữ liệu.</t>
  </si>
  <si>
    <t xml:space="preserve">DOC-v1.1-01 §6.1 "Danh sách User Story" · US11 · trang 12</t>
  </si>
  <si>
    <t xml:space="preserve">REQ-HOME-012</t>
  </si>
  <si>
    <t xml:space="preserve">Description: "Đặc tả nội dung hiển thị khi chưa có dữ liệu, để người dùng mới hiểu cần làm gì thay vì tưởng ứng dụng bị lỗi."  §8.17.1 (bảng, 3 dòng liên quan Trang chủ): EMP-01 | Trang chủ — Tin mới | "Chưa có tin nào trong khu vực của bạn" + "Đăng tin để đồng nghiệp nhìn thấy nhu cầu của bạn" | CTA "Đăng tin ngay" EMP-02 | Trang chủ — Đơn của tôi | "Bạn chưa có đơn nào đang chạy" | CTA "Tạo đơn gửi hàng" EMP-03 | Trang chủ — Hero &amp; cộng đồng | Hero hiện "0 · Chưa có đóng góp nào"; cụm cộng đồng hiện "0 đơn · 0 người" | CTA "—"  BR17-01: "Mỗi empty state gồm: icon nét mảnh màu neutral + một dòng tiêu đề + một dòng giải thích + tối đa một CTA." BR17-02: "Không dùng ảnh minh hoạ nặng; không hiện skeleton vô hạn — phân biệt rõ đang tải và không có dữ liệu." BR17-03: "Empty state không được che thanh tab dưới và vẫn cuộn được.</t>
  </si>
  <si>
    <t xml:space="preserve">DOC-v1.1-01 §8.17 "FR17 — Trạng thái trống (Empty state)" · §8.17.1 "Danh mục empty state" · trang 51</t>
  </si>
  <si>
    <t xml:space="preserve">REQ-HOME-013</t>
  </si>
  <si>
    <t xml:space="preserve">NFR01 | Performance | "Bảng tin và trang chủ hiển thị nội dung đầu tiên &lt; 2 giây (p95) trên mạng 4G với 1.000 người dùng đồng thời." | Cách đo: "Load test trước go-live.</t>
  </si>
  <si>
    <t xml:space="preserve">DOC-v1.1-01 §9 "Non-Functional Requirements" · NFR01 · trang 53</t>
  </si>
  <si>
    <t xml:space="preserve">REQ-NTF-003</t>
  </si>
  <si>
    <t xml:space="preserve">NTF-06 | Người nhận "Xác nhận đã nhận hàng" (COMPLETED) | Người gửi · Người vận chuyển | "Đơn đã hoàn tất — cảm ơn bạn!"" (mâu thuẫn với `DOC-v1.0-06 KP-07` hàng #6 — Figma/PRD-demo ghi *"Đơn đã hoàn thành — đánh giá ngay"*)</t>
  </si>
  <si>
    <t xml:space="preserve">DOC-v1.1-01 §8.13.1 · page 48</t>
  </si>
  <si>
    <t xml:space="preserve">REQ-NTF-005</t>
  </si>
  <si>
    <t xml:space="preserve">SĐT chỉ lộ sau khi ghép, chỉ cho đúng 2 người trong cặp; không đưa SĐT vào nội dung push</t>
  </si>
  <si>
    <t xml:space="preserve">DOC-v1.1-01 §8.13.1 · page 47-48</t>
  </si>
  <si>
    <t xml:space="preserve">REQ-NTF-010</t>
  </si>
  <si>
    <t xml:space="preserve">Danh sách sự kiện bắn thông báo dựa trên flow &amp; màn hình hiện có của prototype. **Nháp — chờ BA review &amp; bổ sung.**</t>
  </si>
  <si>
    <t xml:space="preserve">DOC-v1.1-01 §8.13 · §8.13.1 · page 47-48</t>
  </si>
  <si>
    <t xml:space="preserve">REQ-NTF-012</t>
  </si>
  <si>
    <t xml:space="preserve">NTF-10 | Giao cho người được uỷ quyền | Người nhận · Người gửi | "Hàng đã được giao cho {tên người nhận thay} (uỷ quyền bởi {người gửi/người nhận}) — có ảnh bằng chứng""
"NTF-11 | Gửi tại quầy lễ tân / bảo vệ | Người nhận · Người gửi | "Hàng đang được giữ tại {quầy lễ tân/bảo vệ} — người giữ: {tên} — vui lòng nhận trong hôm nay""
"NTF-12 | Người vận chuyển không liên lạc được người nhận | Người gửi | "Người vận chuyển không liên lạc được người nhận — cần bạn xác nhận uỷ quyền cho người khác nhận hàng""
"NTF-13 | Người vận chuyển chọn hẹn giao lại (RESCHEDULED) | Người nhận · Người gửi | "Người vận chuyển sẽ giao lại vào {ngày · giờ} tại {nơi hẹn}""
"NTF-14 | Người vận chuyển chọn trả hàng về người gửi (RETURNING) | Người gửi · Người nhận | "Hàng được cầm về — vui lòng nhận lại vào {ngày · giờ} tại {nơi hẹn}""
"NTF-15 | Người gửi xác nhận đã nhận lại hàng (RETURNED) | Người vận chuyển · Người nhận | "Đơn đã đóng — hàng đã được trả lại người gửi</t>
  </si>
  <si>
    <t xml:space="preserve">REQ-ORD-003</t>
  </si>
  <si>
    <t xml:space="preserve">Nguồn (v1.0) — `DOC-v1.0-01 §D8.1 ORD-01 · L357` + `KP-01 §10.2/§10.3` (quan sát app): **3 nguồn cho 3 danh mục khác nhau**; app STG có 8 chip nhưng chip đầu là **"Giấy tờ, hồ sơ"**, ⛔ **không có chip "Tài liệu"**.</t>
  </si>
  <si>
    <t xml:space="preserve">DOC-v1.1-01 §8.1.4 UI/Field Spec, dòng "Loại hàng" · trang 35</t>
  </si>
  <si>
    <t xml:space="preserve">REQ-ORD-006</t>
  </si>
  <si>
    <t xml:space="preserve">Nguồn (v1.0) — `DOC-v1.0-01 §D8.1 dòng "Ảnh sản phẩm" · L360`: có field ảnh, **không nêu bắt buộc hay không**, không nêu trần.</t>
  </si>
  <si>
    <t xml:space="preserve">DOC-v1.1-01 §8.1.1 BR01-01 · trang 33</t>
  </si>
  <si>
    <t xml:space="preserve">REQ-ORD-007</t>
  </si>
  <si>
    <t xml:space="preserve">Nguồn (v1.0) — `KP-01 §10.5/§10.6/§10.10` (quan sát app): **địa chỉ lấy hàng KHÔNG được pre-fill** ⇒ `C-ORD-10` mở: *"bug hay tài khoản test chưa cấu hình?"*</t>
  </si>
  <si>
    <t xml:space="preserve">DOC-v1.1-01 §8.1.4 UI/Field Spec · trang 35</t>
  </si>
  <si>
    <t xml:space="preserve">REQ-ORD-010</t>
  </si>
  <si>
    <t xml:space="preserve">Nguồn (v1.0) — `DOC-v1.0-01 §D3 LOC-03 L246` + `KP-01 §3 KB-ORD-06` ⇒ `C-ORD-11` Open: *"preset 6 văn phòng / không chip gợi ý / autocomplete?"*</t>
  </si>
  <si>
    <t xml:space="preserve">DOC-v1.1-01 §8.1.4 dòng "Địa chỉ lấy hàng" · trang 35</t>
  </si>
  <si>
    <t xml:space="preserve">REQ-ORD-011</t>
  </si>
  <si>
    <t xml:space="preserve">Nguồn (v1.0) — `DOC-v1.0-01 §D8.1 L370-371`: có Từ ngày / Đến ngày, **không nêu trần khoảng ngày**.</t>
  </si>
  <si>
    <t xml:space="preserve">DOC-v1.1-01 §8.1.1 BR01-04 · trang 34</t>
  </si>
  <si>
    <t xml:space="preserve">REQ-ORD-012</t>
  </si>
  <si>
    <t xml:space="preserve">Nguồn (v1.0) — `DOC-v1.0-01 §D8.1 dòng "Khung giờ" · L372` + `KP-01 §10.11`: có khung giờ, **chưa rõ enum và quy tắc loại trừ**.</t>
  </si>
  <si>
    <t xml:space="preserve">DOC-v1.1-01 §8.1.1 BR01-04 / BR01-05 · trang 34</t>
  </si>
  <si>
    <t xml:space="preserve">REQ-ORD-015</t>
  </si>
  <si>
    <t xml:space="preserve">Nguồn (v1.0) — `DOC-v1.0-02 §3.5.4` + `DOC-v1.0-04` (**2 biến thể mockup**) ⇒ `C-ORD-05` Open: *"Màn 'Đăng tin thành công' có 'Mã tin' hay không?"*</t>
  </si>
  <si>
    <t xml:space="preserve">DOC-v1.1-01 §6.2 AC-07.1.01 · trang 18</t>
  </si>
  <si>
    <t xml:space="preserve">REQ-ORD-016</t>
  </si>
  <si>
    <t xml:space="preserve">Nguồn (v1.0) — `DOC-v1.0-01 §D8.2 L379-386` + `KP-01 §3 KB-ORD-11`: form OFFER 1 trang, tin không công khai.</t>
  </si>
  <si>
    <t xml:space="preserve">DOC-v1.1-01 §8.2 · trang 36</t>
  </si>
  <si>
    <t xml:space="preserve">REQ-ORD-017</t>
  </si>
  <si>
    <t xml:space="preserve">Nguồn (v1.0) — `DOC-v1.0-01 §D3 ORD-10 L252` · `§D4 BR-EDIT-01 L269` · `§D7 OPR-10 L346`: chỉ sửa khi còn "Chờ ghép".</t>
  </si>
  <si>
    <t xml:space="preserve">DOC-v1.1-01 §8.5.1 BR05-01 / BR05-02 · trang 38</t>
  </si>
  <si>
    <t xml:space="preserve">REQ-ORD-018</t>
  </si>
  <si>
    <t xml:space="preserve">Nguồn (v1.0) — `DOC-v1.0-01 §D3 ORD-06 L244` + `KP-01 §3 KB-ORD-02` ⇒ `C-ORD-03` Resolved: hạn tin = **giá trị "Đến ngày"** user chọn.</t>
  </si>
  <si>
    <t xml:space="preserve">REQ-ORD-021</t>
  </si>
  <si>
    <t xml:space="preserve">Nguồn (v1.0) — `DOC-v1.0-06 KP-02 §5 dòng C-ORD-08` ⇒ Open: *"Thoát/Reset giữa wizard có xoá form?"*</t>
  </si>
  <si>
    <t xml:space="preserve">DOC-v1.1-01 §6.2 AC-01.2.01 · trang 17</t>
  </si>
  <si>
    <t xml:space="preserve">REQ-ORD-024</t>
  </si>
  <si>
    <t xml:space="preserve">Nguồn #1 — BR01-02 (§8.1.1, trang 34): "Khối lượng và kích thước là bắt buộc — dùng để người vận chuyển tự lượng sức; ứng dụng không chặn theo ngưỡng.</t>
  </si>
  <si>
    <t xml:space="preserve">DOC-v1.1-01 §8.1.1 BR01-02 · trang 34</t>
  </si>
  <si>
    <t xml:space="preserve">REQ-ORD-026</t>
  </si>
  <si>
    <t xml:space="preserve">BR18-03 | Nơi hiển thị nhiều ảnh dùng carousel lướt ngang có badge đếm "2/5"; chạm ảnh mở lightbox nền tối giữ đúng tỉ lệ, có nút đóng và chạm nền để đóng.</t>
  </si>
  <si>
    <t xml:space="preserve">DOC-v1.1-01 §8.18.1 BR18-03 · trang 52</t>
  </si>
  <si>
    <t xml:space="preserve">REQ-ORD-008</t>
  </si>
  <si>
    <t xml:space="preserve">Nguồn (v1.0) — `DOC-v1.0-01 §D3 USR-EML L253` + `§D8.1 L366`: có field email người nhận, **autofill** được nhắc nhưng không nêu nguồn dữ liệu.</t>
  </si>
  <si>
    <t xml:space="preserve">DOC-v1.1-01 §8.1.1 BR01-09 · trang 34</t>
  </si>
  <si>
    <t xml:space="preserve">REQ-ORD-023</t>
  </si>
  <si>
    <t xml:space="preserve">Nguồn #1 — BR01-06 (§8.1.1, trang 34): "Người nhận uỷ quyền là không bắt buộc; nếu có thì tên 2–60 ký tự, số điện thoại đúng định dạng Việt Nam khi được nhập.</t>
  </si>
  <si>
    <t xml:space="preserve">DOC-v1.1-01 §8.1.1 BR01-06 · trang 34</t>
  </si>
  <si>
    <t xml:space="preserve">REQ-ORD-028</t>
  </si>
  <si>
    <t xml:space="preserve">Địa chỉ giao hàng | Có | Văn bản · tự điền từ danh bạ | Không để trống; phải khác địa chỉ lấy hàng</t>
  </si>
  <si>
    <t xml:space="preserve">DOC-v1.1-01 §8.1.4 UI/Field Spec, dòng "Địa chỉ giao hàng" · trang 35</t>
  </si>
  <si>
    <t xml:space="preserve">REQ-ORD-009</t>
  </si>
  <si>
    <t xml:space="preserve">Nguồn (v1.0) — `DOC-v1.0-01 §D8.1 L367-369` + `DOC-v1.0-02 §3.5.2`: 3 trường người nhận (tên · SĐT · địa chỉ giao), chưa nêu ràng buộc liên-trường.</t>
  </si>
  <si>
    <t xml:space="preserve">DOC-v1.1-01 §8.1.4 UI/Field Spec, nhóm người nhận · trang 35</t>
  </si>
  <si>
    <t xml:space="preserve">REQ-ORD-025</t>
  </si>
  <si>
    <t xml:space="preserve">BR18-04 | Icon copy đặt cạnh địa chỉ giao và số điện thoại ở màn chi tiết tin và màn theo dõi đơn; sau khi copy, icon đổi trạng thái và màu xanh trong khoảng 1,8 giây.</t>
  </si>
  <si>
    <t xml:space="preserve">DOC-v1.1-01 §8.18.1 BR18-04 · trang 52</t>
  </si>
  <si>
    <t xml:space="preserve">REQ-ORD-027</t>
  </si>
  <si>
    <t xml:space="preserve">BR18-05 | Ảnh đã gắn vào một mốc nhật ký thì không xoá được (phục vụ truy vết).</t>
  </si>
  <si>
    <t xml:space="preserve">DOC-v1.1-01 §8.18.1 BR18-05 · trang 52</t>
  </si>
  <si>
    <t xml:space="preserve">REQ-TS-006</t>
  </si>
  <si>
    <t xml:space="preserve">Nguồn #1 — Description (§8.16): "Kênh tiếp nhận sự cố/góp ý ở Phase 1: mở Google Form trong WebView với ngữ cảnh đơn được điền sẵn, không xây back-office trong ứng dụng.</t>
  </si>
  <si>
    <t xml:space="preserve">DOC-v1.1-01 §8.16 "FR16 — Báo cáo sự cố &amp; hỗ trợ" · trang 50-51</t>
  </si>
  <si>
    <t xml:space="preserve">REQ-USR-002</t>
  </si>
  <si>
    <t xml:space="preserve">Nguồn (v1.0) — `DOC-v1.0-01 §A6 USR-02 · L100`: "USR-02 | Xem/cập nhật hồ sơ: tên, SĐT, avatar, phòng ban, khu vực/văn phòng, kênh liên hệ"  ⇒ `C-USR-03` Resolved 2026-07-24 theo **quan sát app STG**: *"KHÔNG (view-only)"*; `SC-USR-003` là SC negative bảo vệ kết luận đó.</t>
  </si>
  <si>
    <t xml:space="preserve">DOC-v1.1-01 §8.15 · trang 48</t>
  </si>
  <si>
    <t xml:space="preserve">REQ-USR-007</t>
  </si>
  <si>
    <t xml:space="preserve">[qua SC-USR-007] ↪ *Quote `BR14-03` / `AC-26.1.01` / `§4 Out of Scope` — home ở `risk_assessment.md` · `C-USR-06`*</t>
  </si>
  <si>
    <t xml:space="preserve">DOC-v1.1-01 §8.14.1 BR14-03 · trang 48</t>
  </si>
  <si>
    <t xml:space="preserve">REQ-USR-006</t>
  </si>
  <si>
    <t xml:space="preserve">Nguồn (v1.0) — `DOC-v1.0-02 §3.9` + `KP-01 §2 KB-USR-04` ⇒ `C-USR-04` Open: *"Nhãn mục menu thứ hai + 3 trường hồ sơ chưa có bằng chứng UI"*; `SC-USR-012` là SC dạng `[GAP]`.</t>
  </si>
  <si>
    <t xml:space="preserve">DOC-v1.1-01 §8.15 dòng Trigger · trang 48</t>
  </si>
  <si>
    <t xml:space="preserve">REQ-USR-008</t>
  </si>
  <si>
    <t xml:space="preserve">Nguồn #1 — Description + Trigger (§8.15, trang 48): "Cho phép sửa số điện thoại và địa chỉ mặc định dùng để prefill khi đăng tin; các trường đồng bộ từ SSO là chỉ đọc." "Trigger: Mở "Cập nhật thông tin" trong trang cá nhân (nằm dưới mục "Quà đã nhận")</t>
  </si>
  <si>
    <t xml:space="preserve">DOC-v1.1-01 §8.15 "FR15 — Hồ sơ &amp; cập nhật thông tin" · trang 48-49</t>
  </si>
  <si>
    <t xml:space="preserve">REQ-USR-009</t>
  </si>
  <si>
    <t xml:space="preserve">Nguồn #1 — `BR15-03` (§8.15.1, trang 49): "Sửa hồ sơ không làm thay đổi các đơn đã tạo — đơn giữ nguyên số điện thoại/địa chỉ tại thời điểm đăng.</t>
  </si>
  <si>
    <t xml:space="preserve">DOC-v1.1-01 §8.15.1 BR15-03 · trang 49</t>
  </si>
  <si>
    <t xml:space="preserve">REQ-USR-010</t>
  </si>
  <si>
    <t xml:space="preserve">Nguồn #1 — `BR15-04` (§8.15.1, trang 49): "Giá trị mặc định được prefill vào ô số điện thoại người gửi và địa chỉ lấy hàng ở lần đăng tin sau; người dùng vẫn sửa trong từng đơn mà không ghi lại hồ sơ.</t>
  </si>
  <si>
    <t xml:space="preserve">DOC-v1.1-01 §8.15.1 BR15-04 · trang 49</t>
  </si>
  <si>
    <t xml:space="preserve">Ghi chú: Số liệu tự đếm trên TẤT CẢ sheet Test Case (khớp theo Req ID nên 1 TC gắn nhiều Req vẫn được tính cho từng Req). Số TC = Pass + Fail + Block + N/A + chưa chạy · % phủ = Đã chạy / Số TC (đã chạy gồm cả Block/N-A) — là độ phủ TRÊN TẬP REQ CÓ TC, không phải trên toàn bộ REQ của tài liệu. Trạng thái theo thứ tự ưu tiên: Chưa có TC (gap) → Có lỗi (Fail) → Bị block → Đang test → Không áp dụng (N/A) → Đã test xong.</t>
  </si>
  <si>
    <t xml:space="preserve">Mã chức năng</t>
  </si>
  <si>
    <t xml:space="preserve">Tên chức năng</t>
  </si>
  <si>
    <t xml:space="preserve">TRACEABILITY</t>
  </si>
  <si>
    <t xml:space="preserve">TEST DESIGN</t>
  </si>
  <si>
    <t xml:space="preserve">ROUND 1</t>
  </si>
  <si>
    <t xml:space="preserve">ROUND 2</t>
  </si>
  <si>
    <t xml:space="preserve">ROUND 3</t>
  </si>
  <si>
    <t xml:space="preserve">ROUND 4</t>
  </si>
  <si>
    <t xml:space="preserve">ROUND 5</t>
  </si>
  <si>
    <t xml:space="preserve">KẾT QUẢ TỔNG</t>
  </si>
  <si>
    <t xml:space="preserve">Testcase ID</t>
  </si>
  <si>
    <t xml:space="preserve">DOC Source</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</si>
  <si>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</si>
  <si>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</si>
  <si>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</si>
  <si>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</si>
  <si>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</si>
  <si>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Kết quả</t>
  </si>
  <si>
    <t xml:space="preserve">Executed By</t>
  </si>
  <si>
    <t xml:space="preserve">ID Bugs</t>
  </si>
  <si>
    <t xml:space="preserve">Vibe-test
(tổng)</t>
  </si>
  <si>
    <t xml:space="preserve">KQ Script
(tổng)</t>
  </si>
  <si>
    <t xml:space="preserve">Remark</t>
  </si>
  <si>
    <t xml:space="preserve">▬▬  1. Nhãn màn và hai tab  ·  1 TC (TC-ACT-001)</t>
  </si>
  <si>
    <t xml:space="preserve">DOC-v1.1-01 · DOC-v1.1-02</t>
  </si>
  <si>
    <t xml:space="preserve">Check màn Hoạt động dùng đúng bộ nhãn của app cho tên màn và hai tab</t>
  </si>
  <si>
    <t xml:space="preserve">- Tài khoản A là CBNV có hồ sơ đầy đủ trên STG.
- Host app FoxPro đã cài trên thiết bị Android/iOS.
Test Data: —</t>
  </si>
  <si>
    <t xml:space="preserve">1. Đăng nhập FoxEco từ host app FoxPro. (setup)
2. Nhấn tab "Hoạt động" ở bottom nav. (setup)
3. Check nhãn mục vừa nhấn ở bottom nav, tiêu đề màn và hàng tab con phía trên danh sách.</t>
  </si>
  <si>
    <t xml:space="preserve">3. Nhãn bottom nav là "Hoạt động"; tiêu đề màn là "Đơn của tôi"; hàng tab con có đúng 2 tab "Đang diễn ra" và "Đã hoàn thành", không có tab con thứ ba.</t>
  </si>
  <si>
    <t xml:space="preserve">AI</t>
  </si>
  <si>
    <t xml:space="preserve">No</t>
  </si>
  <si>
    <t xml:space="preserve">Yes</t>
  </si>
  <si>
    <t xml:space="preserve">Đã sửa theo BA trả lời `C-ACT-02` 2026-09-16: assert cứng bộ nhãn của app, thay vì chỉ assert "có đúng 2 tab" như bản v1.0. · Mục đích: nhãn tab xuất hiện trong Steps của rất nhiều TC ở `ACT` và các module khác, chốt sai là phải sửa rải rác. · Căn cứ: BA chốt **theo app**; PRD `EMP-05`/`EMP-06`/`AC-09.1.01` ghi "Đang chạy"/"Hoàn tất" là **PRD chưa cập nhật** — ⛔ không assert theo PRD, app hiện đúng bộ nhãn này thì PASS.</t>
  </si>
  <si>
    <t xml:space="preserve">▬▬  2. Dữ liệu tab Đã hoàn thành  ·  2 TC (TC-ACT-005…TC-ACT-015)</t>
  </si>
  <si>
    <t xml:space="preserve">Check tab Đã hoàn thành chứa đủ cả ba loại đơn kết thúc</t>
  </si>
  <si>
    <t xml:space="preserve">- Tài khoản A là CBNV có hồ sơ đầy đủ trên STG, đã seed sẵn `SEED-ACT-03` (xem §0.4).
- Host app FoxPro đã cài trên thiết bị Android/iOS.
Test Data: 1 đơn `COMPLETED` + 1 đơn `EXPIRED` + 1 đơn `RETURNED` của `SEED-ACT-03` (test_data_catalog §ACT — Bộ 3 đơn kết thúc)</t>
  </si>
  <si>
    <t xml:space="preserve">1. Đăng nhập FoxEco và nhấn tab "Hoạt động". (setup)
2. Nhấn tab con "Đã hoàn thành". (setup)
3. Check badge trạng thái của từng card trong danh sách.</t>
  </si>
  <si>
    <t xml:space="preserve">3. Danh sách có đủ ba card mang badge "Hoàn thành", "Hết hạn" và badge của đơn đã trả lại người gửi; KHÔNG có card nào badge "Chờ ghép", "Đã ghép", "Đang giao" hay "Đã giao".</t>
  </si>
  <si>
    <t xml:space="preserve">Đã sửa theo `AC-24.2.01` + BA trả lời `C-ACT-04(a)` 2026-09-17: bổ sung loại đơn thứ ba (`RETURNED`) vào danh sách phải có, bản v1.0 chỉ có 2 loại. · Mục đích: `RETURNED` là kết cục mới của v1.1, dev dễ quên xếp nó vào tab nào. · Căn cứ: chuỗi lý do của card "Hết hạn" verify ở `TC-ACT-008`, lý do hoàn hàng của card `RETURNED` verify ở `TC-ACT-015` — TC này chỉ chốt vị trí tab. Lô `DLV` chưa đẩy được đơn tới `RETURNED` ⇒ ghi `Blocked` phần đó, ⛔ không PASS cả TC.</t>
  </si>
  <si>
    <t xml:space="preserve">Check đơn đã trả người gửi hiện kèm lý do còn đơn đã huỷ vẫn bị ẩn</t>
  </si>
  <si>
    <t xml:space="preserve">- Tài khoản A là CBNV có hồ sơ đầy đủ trên STG, đã seed sẵn `SEED-ACT-03` (xem §0.4) — gồm cặp đối chứng 1 đơn đã trả lại người gửi và 1 đơn "Đã huỷ".
- Host app FoxPro đã cài trên thiết bị Android/iOS.
Test Data: Cặp đối chứng 1 đơn `RETURNED` + 1 đơn `CANCELLED` cùng tài khoản của `SEED-ACT-03` (test_data_catalog §ACT — Cặp đối chứng CANCELLED ⟷ RETURNED)</t>
  </si>
  <si>
    <t xml:space="preserve">1. Đăng nhập FoxEco và nhấn tab "Hoạt động". (setup)
2. Nhấn tab con "Đã hoàn thành". (setup)
3. Nhấn tab con "Đang diễn ra" rồi rà toàn bộ danh sách. (setup)
4. Nhấn lại tab con "Đã hoàn thành" và check vị trí của cả hai đơn trong cặp đối chứng ở hai tab vừa rà.</t>
  </si>
  <si>
    <t xml:space="preserve">4. Đơn đã trả lại người gửi CÓ trong danh sách tab "Đã hoàn thành" và hiện lý do hoàn hàng trên card; đơn "Đã huỷ" nằm ở tab "Đang diễn ra" với badge "Đã huỷ" và KHÔNG xuất hiện ở tab "Đã hoàn thành".</t>
  </si>
  <si>
    <t xml:space="preserve">Đã sửa Expected theo app — QC GiangDC2 chốt 2026-09-21 (sau VR-017): đơn "Đã huỷ" hiện ở tab "Đang diễn ra" với badge "Đã huỷ" là hành vi ĐÚNG, không phải bug; thay kết luận BA `C-ACT-04(b)` 2026-09-17 (ẩn khỏi cả 2 tab). ⚠️ Title chưa sửa vì `§10.5` khoá Title (nợ #27 `03_test-cases/v1.1/CHANGELOG.md`). · Mục đích: hai kết cục bất thường nhưng hai cách xử lý ngược nhau — giá trị của TC nằm ở **phép đối chứng**, xem lẻ từng đơn thì không bắt được lỗi "gom chung mọi đơn bất thường vào một nhánh hiển thị". · Căn cứ: `AC-24.2.01` cho vế `RETURNED`; vế `CANCELLED` theo BA trả lời `C-ACT-04(b)` 2026-09-17 — đơn "Đã huỷ" **vẫn ẩn khỏi cả 2 tab**, rule v1.0 CÒN HIỆU LỰC, `§8.12.3` cho mọi vai *"Xem lý do"* đơn huỷ là **PRD chưa cập nhật**. · Phụ thuộc lô `DLV` để có đơn `RETURNED` — lô đó `BLOCKED` thì TC này `BLOCKED`.</t>
  </si>
  <si>
    <t xml:space="preserve">▬▬  3. Card đơn Hết hạn  ·  1 TC (TC-ACT-008)</t>
  </si>
  <si>
    <t xml:space="preserve">Check card đơn Hết hạn hiện badge và đúng chuỗi lý do chính thức</t>
  </si>
  <si>
    <t xml:space="preserve">- Tài khoản A là CBNV có hồ sơ đầy đủ trên STG, đã seed sẵn `SEED-ACT-03` (xem §0.4) — gồm đơn "Hết hạn" cần dev/QA chuẩn bị trước vì ⛔ không tạo được qua UI.
- Host app FoxPro đã cài trên thiết bị Android/iOS.
Test Data: Đơn `EXPIRED` của `SEED-ACT-03` (test_data_catalog §ACT — Text lý do "Hết hạn", ⛔ không seed được qua UI)</t>
  </si>
  <si>
    <t xml:space="preserve">1. Đăng nhập FoxEco, nhấn tab "Hoạt động" rồi nhấn tab con "Đã hoàn thành". (setup)
2. Check badge và dòng lý do trên card đơn "Hết hạn".</t>
  </si>
  <si>
    <t xml:space="preserve">2. Card hiển thị badge "Hết hạn" kèm dòng lý do đúng chuỗi "Không có ai nhận mang giúp trong thời gian đăng".</t>
  </si>
  <si>
    <t xml:space="preserve">Đã sửa theo `DOC-v1.1-01 §8.5.1 BR05-03` + `AC-09.1.01` 2026-09-17: chuỗi lý do đổi sang bản **ngắn**, bỏ vế "— tin đã tự động đóng." mà bản v1.0 cùng ID đang assert. · Mục đích: 2 nguồn từng lệch phần đuôi câu; PRD v1.1 nay gọi tên chuỗi lần đầu nên thắng quan sát cũ `KB-ORD-07` (#4). App hiện bản dài ⇒ FAIL và log bug, ⛔ không hạ Expected về bản v1.0. · Chỉ ĐỌC card, ⛔ không tap — `C-ACT-03(c)` và `C-ORD-17` đang nói ngược nhau về việc card Hết hạn có tương tác được không.</t>
  </si>
  <si>
    <t xml:space="preserve">▬▬  4. Empty state hai tab  ·  2 TC (TC-ACT-012…TC-ACT-014)</t>
  </si>
  <si>
    <t xml:space="preserve">Check empty state tab Đang diễn ra hiện đúng chuỗi và đúng một nút đăng tin</t>
  </si>
  <si>
    <t xml:space="preserve">- Tài khoản CBNV "trắng" trên STG = `SEED-ACT-02` (không có đơn nào ở trạng thái từ "Chờ ghép" đến "Đã giao") — dùng chung với `TC-ACT-014/016/017/018`, chuẩn bị 1 lần.
- Host app FoxPro đã cài trên thiết bị Android/iOS.
Test Data: Tài khoản 0 đơn đang hoạt động = `SEED-ACT-02` (test_data_catalog §ACT — Text empty state tab đang-chạy)</t>
  </si>
  <si>
    <t xml:space="preserve">1. Đăng nhập FoxEco bằng tài khoản "trắng". (setup)
2. Nhấn tab "Hoạt động". (setup)
3. Check vùng danh sách của tab "Đang diễn ra": icon, dòng tiêu đề, dòng giải thích và số lượng nút CTA.</t>
  </si>
  <si>
    <t xml:space="preserve">3. Vùng danh sách hiện icon nét mảnh màu neutral, dòng tiêu đề đúng chuỗi "Không có đơn đang thực hiện", 1 dòng giải thích, và đúng 1 nút CTA nhãn "Đăng tin gửi hàng".</t>
  </si>
  <si>
    <t xml:space="preserve">Đã sửa theo `C-ORD-06` Resolved 2026-09-15 (tài liệu đã phê duyệt, `EMP-05`): bản v1.0 chỉ assert "không có card nào" vì text empty state chưa có đặc tả; nay assert verbatim chuỗi + nhãn CTA. · Mục đích: cặp bất đối xứng với `TC-ACT-014` — tab này CÓ đúng 1 CTA, tab kia KHÔNG có; đây là nội dung phải assert, không phải chi tiết trình bày. · Căn cứ: `BR17-01` *"tối đa một CTA"* nên "không có" ở tab kia là lựa chọn thiết kế hợp lệ.</t>
  </si>
  <si>
    <t xml:space="preserve">Check empty state tab Đã hoàn thành hiện đúng chuỗi không có CTA và ẩn hẳn khối lịch sử</t>
  </si>
  <si>
    <t xml:space="preserve">- Tài khoản CBNV "trắng" trên STG = `SEED-ACT-02` (chưa có đơn "Hoàn thành", "Hết hạn" hay đơn đã trả lại người gửi) — dùng chung với `TC-ACT-012/016/017/018`, không chuẩn bị lại.
- Host app FoxPro đã cài trên thiết bị Android/iOS.
Test Data: Tài khoản 0 đơn kết thúc = `SEED-ACT-02` (test_data_catalog §ACT — Text empty state tab hoàn-tất)</t>
  </si>
  <si>
    <t xml:space="preserve">1. Đăng nhập FoxEco bằng tài khoản "trắng". (setup)
2. Nhấn tab "Hoạt động". (setup)
3. Nhấn tab con "Đã hoàn thành". (setup)
4. Check vùng danh sách: dòng tiêu đề, số lượng nút CTA và khu vực khối lịch sử.</t>
  </si>
  <si>
    <t xml:space="preserve">4. Vùng danh sách hiện dòng tiêu đề đúng chuỗi "Chưa có đơn hoàn tất", KHÔNG có nút CTA nào, và khối lịch sử bị ẩn hẳn chứ không hiện khung rỗng.</t>
  </si>
  <si>
    <t xml:space="preserve">Đã sửa theo `C-ORD-06` Resolved 2026-09-15 (`EMP-06`): bản v1.0 chỉ assert "không có card nào"; nay assert verbatim chuỗi + KHÔNG CTA + ẩn hẳn khối lịch sử. · Mục đích: đối chứng âm cho `TC-ACT-012` — hai tab rỗng cạnh nhau nhưng khác nhau ở CTA và ở khối lịch sử; app hiện nút ở tab này là **sai spec**. · Căn cứ: `BR17-01` + `EMP-06`.</t>
  </si>
  <si>
    <t xml:space="preserve">▬▬  5. Dấu vết sao · điểm · tier  ·  1 TC (TC-ACT-013)</t>
  </si>
  <si>
    <t xml:space="preserve">Check card đơn Hoàn thành không còn dấu vết sao điểm tier hay chỉ số môi trường</t>
  </si>
  <si>
    <t xml:space="preserve">- Tài khoản A là CBNV có hồ sơ đầy đủ trên STG, đã seed sẵn `SEED-ACT-03` (xem §0.4).
- Host app FoxPro đã cài trên thiết bị Android/iOS.
Test Data: Đơn `COMPLETED` của `SEED-ACT-03` (test_data_catalog §ACT)</t>
  </si>
  <si>
    <t xml:space="preserve">1. Đăng nhập FoxEco, nhấn tab "Hoạt động" rồi nhấn tab con "Đã hoàn thành". (setup)
2. Check toàn bộ nội dung hiển thị trên từng card đơn trong danh sách.</t>
  </si>
  <si>
    <t xml:space="preserve">2. KHÔNG card nào chứa chuỗi sao, điểm số, nhãn tier hay chỉ số môi trường.</t>
  </si>
  <si>
    <t xml:space="preserve">Đã sửa theo `DOC-v1.1-01 §8.14.1 BR14-03` + `§4 SCOPES` 2026-09-17: bản v1.0 chỉ assert "nhấn vào chuỗi sao không mở màn chấm điểm" và cố ý KHÔNG assert sự tồn tại của chuỗi leftover; nay **sự tồn tại của dấu vết đã là defect**. · Mục đích: kết quả phản trực giác so với bản cũ — người chạy quen v1.0 dễ cho PASS khi vẫn thấy ★ trên card. · Căn cứ: `§4` loại trừ vĩnh viễn ★/điểm/tier/chỉ số môi trường. Còn ★ ⇒ **log bug**, ⛔ KHÔNG diễn giải là "dấu vết phase sau". Chạy cùng lô với `SC-GIFT-011` để log 1 bug cho 2 bề mặt.</t>
  </si>
  <si>
    <t xml:space="preserve">▬▬  6. Rule hình thức chung empty state  ·  3 TC (TC-ACT-016…TC-ACT-018)</t>
  </si>
  <si>
    <t xml:space="preserve">Check empty state không che thanh tab dưới ở cả hai tab rỗng</t>
  </si>
  <si>
    <t xml:space="preserve">- Tài khoản CBNV "trắng" trên STG = `SEED-ACT-02` (không có đơn nào ở cả 2 tab) — dùng chung với `TC-ACT-012/014/017/018`, không chuẩn bị lại.
- Host app FoxPro đã cài trên thiết bị Android/iOS.
Test Data: Tài khoản 0 đơn ở cả 2 tab = `SEED-ACT-02` (test_data_catalog §ACT — Tài khoản trắng)</t>
  </si>
  <si>
    <t xml:space="preserve">1. Đăng nhập FoxEco bằng tài khoản "trắng". (setup)
2. Nhấn tab "Hoạt động". (setup)
3. Nhấn lần lượt từng mục trên thanh tab dưới rồi quay lại tab "Hoạt động".
4. Nhấn tab con "Đã hoàn thành".
5. Nhấn lần lượt từng mục trên thanh tab dưới rồi quay lại tab "Hoạt động", và check thanh tab dưới ở cả hai tab con.</t>
  </si>
  <si>
    <t xml:space="preserve">5. Thanh tab dưới hiển thị đủ 5 mục và mọi mục đều nhấn được ở cả hai tab con, không mục nào bị empty state che lấp.</t>
  </si>
  <si>
    <t xml:space="preserve">Mục đích: cặp với `TC-ACT-017` — che thanh tab dưới và khoá cuộn là hai lỗi layout khác bản chất, sửa được lỗi này không đảm bảo hết lỗi kia. · Căn cứ: `DOC-v1.1-01` §8.17.2 BR17-03 + `§6.2 AC-29.1.01`. `ACT` là màn duy nhất có 2 empty state cạnh nhau nên rule hình thức chung của `FR17` đặt home tại đây.</t>
  </si>
  <si>
    <t xml:space="preserve">Check màn vẫn cuộn được khi đang hiện empty state ở cả hai tab rỗng</t>
  </si>
  <si>
    <t xml:space="preserve">- Tài khoản CBNV "trắng" trên STG = `SEED-ACT-02` (không có đơn nào ở cả 2 tab) — dùng chung với `TC-ACT-012/014/016/018`, không chuẩn bị lại.
- Host app FoxPro đã cài trên thiết bị Android/iOS.
Test Data: Tài khoản 0 đơn ở cả 2 tab = `SEED-ACT-02` (test_data_catalog §ACT — Tài khoản trắng)</t>
  </si>
  <si>
    <t xml:space="preserve">1. Đăng nhập FoxEco bằng tài khoản "trắng". (setup)
2. Nhấn tab "Hoạt động". (setup)
3. Vuốt lên và vuốt xuống trên vùng danh sách của tab "Đang diễn ra".
4. Nhấn tab con "Đã hoàn thành".
5. Vuốt lên và vuốt xuống trên vùng danh sách, và check trạng thái của màn ở cả hai tab con.</t>
  </si>
  <si>
    <t xml:space="preserve">5. Ở cả hai tab con, empty state đứng cố định trong vùng danh sách khi vuốt (nội dung vừa khít màn, không có gì để cuộn); màn không treo, không lỗi và thanh tab dưới vẫn hiển thị đủ.</t>
  </si>
  <si>
    <t xml:space="preserve">Đã sửa Expected + step 5 theo app — QC GiangDC2 chốt 2026-09-21 (sau VR-017): màn rỗng không cuộn/không phản hồi vuốt là hành vi ĐÚNG, không phải bug (`BUG-032` đã xoá). ⚠️ Title chưa sửa vì `§10.5` khoá Title (nợ #28 `03_test-cases/v1.1/CHANGELOG.md`). · Căn cứ gốc: `DOC-v1.1-01` §8.17.2 BR17-03 — QC hiểu "vẫn cuộn được" là màn không bị treo/khoá thao tác, không bắt buộc có phản hồi cuộn khi không có nội dung vượt màn.</t>
  </si>
  <si>
    <t xml:space="preserve">Check tab rỗng phân biệt rõ trạng thái đang tải với trạng thái không có dữ liệu</t>
  </si>
  <si>
    <t xml:space="preserve">- Tài khoản CBNV "trắng" trên STG = `SEED-ACT-02` (không có đơn nào ở cả 2 tab) — dùng chung với `TC-ACT-012/014/016/017`, không chuẩn bị lại.
- Host app FoxPro đã cài trên thiết bị Android/iOS.
- Có sẵn công cụ throttle mạng về 3G chậm — không dựng được bằng thao tác trong app.
Test Data: Tài khoản 0 đơn ở cả 2 tab = `SEED-ACT-02`; mạng throttle 3G chậm (test_data_catalog §ACT — Tốc độ mạng)</t>
  </si>
  <si>
    <t xml:space="preserve">1. Throttle mạng thiết bị về 3G chậm. (setup)
2. Đăng nhập FoxEco bằng tài khoản "trắng". (setup)
3. Nhấn tab "Hoạt động" và theo dõi liên tục vùng danh sách của tab "Đang diễn ra" từ lúc vào màn.
4. Nhấn tab con "Đã hoàn thành" và theo dõi liên tục vùng danh sách từ lúc chuyển tab.
5. Check chuỗi trạng thái hiển thị đã quan sát ở cả hai tab con.</t>
  </si>
  <si>
    <t xml:space="preserve">5. Ở cả hai tab con, vùng danh sách đi qua pha đang tải rồi chuyển hẳn sang empty state; pha đang tải kết thúc chứ không lặp skeleton vô hạn.</t>
  </si>
  <si>
    <t xml:space="preserve">Mục đích: neo vào `[GAP]` của `SC-ACT-017` — điều kiện *"hiện empty state dựa cờ dữ liệu rỗng, không dựa null field"* là rule **backend**, ⛔ không verify được qua UI, nên TC chỉ assert phần quan sát được. · Căn cứ: `DOC-v1.1-01` §8.17 Pre-Conditions + §8.17.2 BR17-02. Bắt buộc throttle 3G chậm: mạng nhanh thì pha loading trôi qua quá nhanh, không phân biệt được hai trạng thái.</t>
  </si>
  <si>
    <t xml:space="preserve">▬▬  1. Ghép nối đồng thời  ·  2 TC (TC-ASN-006…TC-ASN-024)</t>
  </si>
  <si>
    <t xml:space="preserve">Check hai người vận chuyển nhận gần đồng thời chỉ một người ghép được</t>
  </si>
  <si>
    <t xml:space="preserve">- Tài khoản A, B và C là 3 CBNV khác nhau trên STG.
- Có 2 thiết bị Android/iOS đã cài host app FoxPro.
Test Data: 2 người vận chuyển bấm gần đồng thời (test_data_catalog §ASN v1.1, biên)</t>
  </si>
  <si>
    <t xml:space="preserve">1. Đăng nhập bằng tài khoản A, đăng 1 tin NEED rồi đăng xuất. (setup)
2. Đăng nhập tài khoản B trên thiết bị 1 và tài khoản C trên thiết bị 2, cùng mở màn Chi tiết tin của tin đó. (setup)
3. Trên cả hai thiết bị, nhấn "Tôi mang giúp được".
4. Nhấn "Xác nhận" trên cả hai thiết bị cách nhau dưới 2 giây.
5. Check màn hiện ra trên từng thiết bị, sau đó đăng nhập lại tài khoản A và check người vận chuyển của đơn.</t>
  </si>
  <si>
    <t xml:space="preserve">5. Một thiết bị mở màn Theo dõi đơn với vai người vận chuyển, thiết bị còn lại KHÔNG ghép được và hiển thị thông báo tin đã có người nhận; đơn có đúng 1 người vận chuyển là tài khoản của thiết bị ghép thành công.</t>
  </si>
  <si>
    <t xml:space="preserve">Mục đích: nhánh (a) — chỉ kiểm chứng được thứ tự tuần tự bằng 2 thiết bị thật; nhánh (b) automation ở `TC-ASN-024`. · Căn cứ: `DOC-v1.1-01 §8.3 BR03-02` · `§9 NFR-06`.</t>
  </si>
  <si>
    <t xml:space="preserve">Check 50 request ghép đồng thời trên cùng 1 tin giữ tỷ lệ trùng 0%</t>
  </si>
  <si>
    <t xml:space="preserve">- Có sẵn 1 tin NEED `POSTED` của tài khoản A.
- Có công cụ gửi 50 request ghép đồng thời tới API ghép của tin đó (concurrency/load test tool, vd JMeter/k6) — ⛔ không thực hiện bằng thao tác tay trên UI.
Test Data: 1 tin NEED POSTED; 50 request đồng thời (test_data_catalog §ASN v1.1)</t>
  </si>
  <si>
    <t xml:space="preserve">1. Chuẩn bị 50 request gọi API "Tôi mang giúp được" cho cùng 1 tin NEED đó, mỗi request gán 1 tài khoản Carrier/token khác nhau. (setup)
2. Gửi đồng thời toàn bộ 50 request tại cùng 1 thời điểm.
3. Đếm số request trả về thành công và check trạng thái cuối cùng của tin trên hệ thống.</t>
  </si>
  <si>
    <t xml:space="preserve">3. Đúng 1 request thành công (ghép được), 49 request còn lại bị từ chối; tin chỉ có đúng 1 cặp ghép active — tỷ lệ ghép trùng = **0%**.</t>
  </si>
  <si>
    <t xml:space="preserve">Mục đích: nhánh (b) của `SC-ASN-006` — ngưỡng `NFR-06`, chỉ kiểm chứng được bằng concurrency/backend test, không phải manual. · Căn cứ: `DOC-v1.1-01 §9 NFR-06`. ⚠️ Cần công cụ load/concurrency test gọi thẳng API — giao automation/backend, không nằm trong phạm vi vibe-test UI thuần. Đối chứng với `TC-ASN-006` (nhánh a, manual 2 thiết bị).</t>
  </si>
  <si>
    <t xml:space="preserve">▬▬  2. Đồng bộ trạng thái ba vai  ·  1 TC (TC-ASN-008)</t>
  </si>
  <si>
    <t xml:space="preserve">Check ba phiên ba vai cùng cập nhật "Đã ghép" trong vòng 5 giây</t>
  </si>
  <si>
    <t xml:space="preserve">- Tài khoản A, B và C là 3 CBNV khác nhau trên STG.
- Có 3 thiết bị Android/iOS đã cài host app FoxPro.
Test Data: 3 phiên 3 vai trên 3 thiết bị; mốc đo ≤5 giây (test_data_catalog §ASN v1.1)</t>
  </si>
  <si>
    <t xml:space="preserve">1. Đăng nhập tài khoản A trên thiết bị 1, đăng 1 tin NEED khai C là người nhận. (setup)
2. Đăng nhập tài khoản C trên thiết bị 3, mở màn Theo dõi đơn của đơn đó. (setup)
3. Trên thiết bị 1, mở màn Theo dõi đơn của đơn vừa đăng và giữ nguyên màn. (setup)
4. Trên thiết bị 2, đăng nhập tài khoản B, nhận đơn đó và xác nhận; ghi lại thời điểm xác nhận.
5. Không thao tác kéo làm mới trên thiết bị 1 và 3; đo thời điểm trạng thái đơn đổi thành "Đã ghép" trên từng thiết bị.</t>
  </si>
  <si>
    <t xml:space="preserve">5. Trên cả thiết bị 1 và thiết bị 3, trạng thái đơn đổi sang "Đã ghép" trong vòng **≤5 giây** kể từ thời điểm xác nhận ở bước 4, không cần kéo làm mới hay mở lại màn.</t>
  </si>
  <si>
    <t xml:space="preserve">Mục đích: siết Expected từ định tính ("không cần làm mới", v1.0) sang định lượng **≤5 giây** theo `NFR-08`. · Căn cứ: `DOC-v1.1-01 §9 NFR-08` — "Cách đo: Integration test đa thiết bị". ⚠️ Đo bằng tay có sai số; ưu tiên automation nếu cần độ chính xác cao. · Đã sửa theo delta v1.1 (2026-09-15).</t>
  </si>
  <si>
    <t xml:space="preserve">▬▬  3. Điều kiện khớp tuyến  ·  4 TC (TC-ASN-011…TC-ASN-023)</t>
  </si>
  <si>
    <t xml:space="preserve">Check không có thông báo khớp tuyến khi tin NEED lệch điểm giao hàng</t>
  </si>
  <si>
    <t xml:space="preserve">- Tin OFFER của `SEED-ASN-01` (điểm P1→P2, khoảng ngày D1-D2, buổi "Sáng"+"Chiều" — xem sheet `Seed` của chính file này) của tài khoản B đã có sẵn — không seed riêng.
- Host app FoxPro đã cài trên thiết bị Android/iOS.
Test Data: Tin NEED lệch điểm giao, buổi "Sáng", dùng `SEED-ASN-01` (test_data_catalog §ASN v1.1, nhánh invalid)</t>
  </si>
  <si>
    <t xml:space="preserve">1. Đăng nhập bằng tài khoản A, đăng 1 tin NEED trùng điểm lấy P1 nhưng chọn điểm giao KHÁC P2, khoảng ngày trùng D1-D2 và chọn buổi "Sáng", rồi đăng xuất. (setup)
2. Đăng nhập bằng tài khoản B, nhấn icon chuông, check danh sách thông báo.</t>
  </si>
  <si>
    <t xml:space="preserve">2. KHÔNG có thông báo khớp tuyến nào trỏ tới tin NEED vừa đăng ở bước 1.</t>
  </si>
  <si>
    <t xml:space="preserve">Mục đích: nhánh (a) của `SC-ASN-011` v1.1 — vẫn là lệch điểm, không đổi bản chất so v1.0 nhưng đổi khuôn dữ liệu (Khoảng ngày + Buổi thay khung giờ đơn). · Căn cứ: `DOC-v1.1-01 §8.4 BR04-01`. · Đã sửa theo delta v1.1 (2026-09-15): đổi test data từ "khung giờ" sang "khoảng ngày + tập buổi" theo form mới. · Nhãn buổi "Sáng" theo quan sát demo 3-role 2026-09-17 (QA-obs, chưa phải chốt chính thức).</t>
  </si>
  <si>
    <t xml:space="preserve">Check không có thông báo khớp tuyến khi khoảng ngày không giao nhau</t>
  </si>
  <si>
    <t xml:space="preserve">- Tin OFFER của `SEED-ASN-01` (xem sheet `Seed` của chính file này) của tài khoản B đã có sẵn — không seed riêng.
- Host app FoxPro đã cài trên thiết bị Android/iOS.
Test Data: Tin NEED lệch khoảng ngày (không overlap), buổi "Giờ nào cũng được", dùng `SEED-ASN-01` (test_data_catalog §ASN v1.1, nhánh invalid)</t>
  </si>
  <si>
    <t xml:space="preserve">1. Đăng nhập bằng tài khoản A, đăng 1 tin NEED trùng điểm P1/P2 nhưng chọn khoảng ngày KHÔNG giao nhau với D1-D2 của tin OFFER, chọn buổi "Giờ nào cũng được", rồi đăng xuất. (setup)
2. Đăng nhập bằng tài khoản B, nhấn icon chuông, check danh sách thông báo.</t>
  </si>
  <si>
    <t xml:space="preserve">Mục đích: nhánh (b) của `SC-ASN-011` v1.1 — thay "khung giờ tách rời hoàn toàn" (v1.0) bằng đúng định nghĩa "khoảng ngày KHÔNG overlap" chính thức; cố tình chọn buổi "Giờ nào cũng được" để khẳng định biến buổi KHÔNG cứu được khi ngày đã lệch (2 điều kiện độc lập). · Căn cứ: `DOC-v1.1-01 §8.4 BR04-01`. · Đã sửa theo delta v1.1 (2026-09-15). · Nhãn buổi theo quan sát demo 3-role 2026-09-17 (QA-obs).</t>
  </si>
  <si>
    <t xml:space="preserve">Check không có thông báo khớp tuyến khi ngày giao nhau nhưng buổi không chung</t>
  </si>
  <si>
    <t xml:space="preserve">- Tin OFFER của `SEED-ASN-01` (buổi "Sáng"+"Chiều" — xem sheet `Seed` của chính file này) của tài khoản B đã có sẵn — không seed riêng.
- Host app FoxPro đã cài trên thiết bị Android/iOS.
Test Data: Tin NEED ngày overlap nhưng buổi "Sau giờ làm" không chung với "Sáng"/"Chiều" của OFFER, dùng `SEED-ASN-01` (test_data_catalog §ASN v1.1)</t>
  </si>
  <si>
    <t xml:space="preserve">1. Đăng nhập bằng tài khoản A, đăng 1 tin NEED trùng điểm P1/P2, khoảng ngày có giao nhau với D1-D2 nhưng chỉ chọn buổi "Sau giờ làm" (không có buổi chung với "Sáng"/"Chiều" của tin OFFER, không chọn "Giờ nào cũng được"), rồi đăng xuất. (setup)
2. Đăng nhập bằng tài khoản B, nhấn icon chuông, check danh sách thông báo.</t>
  </si>
  <si>
    <t xml:space="preserve">Mục đích: nhánh (c) — case MỚI của `SC-ASN-011` v1.1, trước đây không tách được vì chưa có định nghĩa buổi độc lập với ngày; phân biệt với nhánh (b) "ngày không overlap". · Căn cứ: `DOC-v1.1-01 §8.4 BR04-01` · `BR04-02`. · Nhãn buổi "Sau giờ làm" theo quan sát demo 3-role 2026-09-17 (QA-obs, chưa phải chốt chính thức).</t>
  </si>
  <si>
    <t xml:space="preserve">Check có thông báo khớp tuyến trong vòng 60 giây khi khớp đầy đủ điều kiện</t>
  </si>
  <si>
    <t xml:space="preserve">- Tin OFFER của `SEED-ASN-01` (buổi "Sáng"+"Chiều" — xem sheet `Seed` của chính file này) của tài khoản B đã có sẵn — không seed riêng.
- Host app FoxPro đã cài trên thiết bị Android/iOS.
Test Data: Tin NEED khớp đầy đủ 3 điều kiện, buổi "Sáng", dùng `SEED-ASN-01`; ngưỡng đo ≤60s (NFR-04) (test_data_catalog §ASN v1.1)</t>
  </si>
  <si>
    <t xml:space="preserve">1. Đăng nhập bằng tài khoản A, đăng 1 tin NEED trùng điểm P1/P2, khoảng ngày có giao nhau với D1-D2 và chọn buổi "Sáng" (có buổi chung với tin OFFER); ghi lại thời điểm đăng, rồi đăng xuất. (setup)
2. Đăng nhập bằng tài khoản B, nhấn icon chuông theo chu kỳ tới khi thấy thông báo hoặc quá 60 giây kể từ thời điểm đã ghi ở bước 1, check nội dung và thời điểm nhận thông báo.</t>
  </si>
  <si>
    <t xml:space="preserve">2. B CÓ nhận thông báo khớp tuyến trỏ tới tin NEED vừa đăng, trong vòng **≤60 giây** kể từ thời điểm đăng ở bước 1.</t>
  </si>
  <si>
    <t xml:space="preserve">Mục đích: nhánh (d) — vế dương đối chứng với 3 nhánh âm (a)(b)(c), gắn thêm ngưỡng định lượng `NFR-04` ≤60s chưa từng assert ở `SC-ASN-009` (CARRIED, chỉ xác nhận CÓ thông báo, không đo thời gian). · Căn cứ: `DOC-v1.1-01 §8.4 BR04-01/02` · `§9 NFR-04`. · Nhãn buổi "Sáng" theo quan sát demo 3-role 2026-09-17 (QA-obs). Demo cũng xác nhận trực tiếp cơ chế sync realtime tồn tại (dùng chéo làm evidence cho `TC-ASN-008`).</t>
  </si>
  <si>
    <t xml:space="preserve">▬▬  4. Trần thông báo khớp tuyến  ·  4 TC (TC-ASN-015…TC-ASN-025)</t>
  </si>
  <si>
    <t xml:space="preserve">Check tin OFFER có 3 tin NEED khớp nhận đủ 3 thông báo</t>
  </si>
  <si>
    <t xml:space="preserve">- Tài khoản A và B là hai CBNV khác nhau trên STG.
- Host app FoxPro đã cài trên thiết bị Android/iOS.
Test Data: 3 tin NEED khớp tuyến, tự đăng qua UI (test_data_catalog §ASN v1.1, mốc dưới trần)</t>
  </si>
  <si>
    <t xml:space="preserve">1. Đăng nhập bằng tài khoản B, đăng 1 tin OFFER với điểm lấy, điểm giao, khoảng ngày và tập buổi xác định, rồi đăng xuất. (setup)
2. Đăng nhập bằng tài khoản A, đăng đúng 3 tin NEED qua wizard, mỗi tin trùng 2 điểm và giao ngày/buổi với tin OFFER đó, rồi đăng xuất. (setup)
3. Đăng nhập bằng tài khoản B, nhấn icon chuông, đếm số thông báo khớp tuyến của tin OFFER đó.</t>
  </si>
  <si>
    <t xml:space="preserve">3. Có đúng 3 thông báo khớp tuyến cho tin OFFER đó.</t>
  </si>
  <si>
    <t xml:space="preserve">Mục đích: mốc dưới trần trong bộ ba 3/5/6 — xác nhận tài khoản B (người ĐĂNG TUYẾN) là người nhận thông báo và &lt;5 tin thì gửi đúng số đó, đúng kết luận `C-ASN-04(a)(c)`. · Căn cứ: `DOC-v1.1-01 §8.4 BR04-04` (dư) + kết luận BA `C-ASN-04` Resolved 2026-09-17. · Đã sửa theo delta v1.1: đổi test data OFFER sang khoảng ngày + tập buổi, giữ nguyên mốc số 3/5/6 đã BA chốt.</t>
  </si>
  <si>
    <t xml:space="preserve">Check tin OFFER có 5 tin NEED khớp nhận đủ 5 thông báo</t>
  </si>
  <si>
    <t xml:space="preserve">- Tài khoản A và B là hai CBNV khác nhau trên STG.
- Ghi lại số thông báo khớp tuyến TỒN của tài khoản B trước khi seed (baseline), vì trần 5 tính theo tài khoản.
- Host app FoxPro đã cài trên thiết bị Android/iOS.
Test Data: 5 tin NEED khớp tuyến, tự đăng qua UI; ghi baseline thông báo tồn của B (test_data_catalog §ASN v1.1, mốc đúng trần tài khoản)</t>
  </si>
  <si>
    <t xml:space="preserve">1. Đăng nhập bằng tài khoản B, đăng 1 tin OFFER với điểm lấy, điểm giao, khoảng ngày và tập buổi xác định, rồi đăng xuất. (setup)
2. Đăng nhập bằng tài khoản A, đăng đúng 5 tin NEED qua wizard, mỗi tin trùng 2 điểm và giao ngày/buổi với tin OFFER đó, rồi đăng xuất. (setup)
3. Đăng nhập bằng tài khoản B, nhấn icon chuông, đếm số thông báo khớp tuyến của tin OFFER đó và TỔNG số thông báo khớp tuyến của tài khoản B.</t>
  </si>
  <si>
    <t xml:space="preserve">3. Tổng số thông báo khớp tuyến của tài khoản B đúng bằng trần **5** (trần tính theo TÀI KHOẢN, mọi tuyến cộng dồn). Nếu B còn thông báo khớp tuyến tồn từ tin/tuyến khác thì số thông báo MỚI của tin OFFER này = 5 − số thông báo tồn.</t>
  </si>
  <si>
    <t xml:space="preserve">Mục đích: mốc đúng trần — biên hợp lệ, cặp với `TC-ASN-017` (mốc vượt trần). · Căn cứ: `DOC-v1.1-01 §8.4 BR04-04` (dư) + `C-ASN-04` Resolved 2026-09-17. · Đã sửa theo delta v1.1: đổi test data OFFER sang khoảng ngày + tập buổi. · ✏️ Sửa 2026-09-21 (QC GiangDC2 recheck — KHÔNG phải bug): trần 5 thông báo khớp tuyến tính theo TÀI KHOẢN, mọi tuyến cộng dồn, ⛔ không phải theo từng tuyến. Căn cứ đo: VR-010 (5 tin NEED khớp → 4 thông báo mới + 1 tồn = 5). ✅ BA đã xác nhận lại 2026-09-21 (QC GiangDC2 báo lại, chưa có văn bản): trần tính theo TÀI KHOẢN — thay kết luận cũ `C-ASN-04(e)` (2026-09-17: độc lập theo từng tuyến).</t>
  </si>
  <si>
    <t xml:space="preserve">Check tin NEED khớp thứ 6 không sinh thêm thông báo khi tuyến đã đủ trần 5</t>
  </si>
  <si>
    <t xml:space="preserve">- Tài khoản A và B là hai CBNV khác nhau trên STG.
- Host app FoxPro đã cài trên thiết bị Android/iOS.
Test Data: 6 tin NEED khớp cùng 1 tuyến OFFER, tự đăng qua UI (test_data_catalog §ASN v1.1, mốc vượt trần)</t>
  </si>
  <si>
    <t xml:space="preserve">1. Đăng nhập bằng tài khoản B, đăng 1 tin OFFER với điểm lấy, điểm giao, khoảng ngày và tập buổi xác định. (setup)
2. Đăng nhập bằng tài khoản A, đăng đúng 5 tin NEED qua wizard, mỗi tin trùng 2 điểm và giao ngày/buổi với tin OFFER đó. (setup)
3. Đăng nhập bằng tài khoản B, nhấn icon chuông và ghi lại số thông báo khớp tuyến hiện có. (setup)
4. Đăng nhập lại tài khoản A, đăng thêm 1 tin NEED thứ 6 cũng trùng 2 điểm và giao ngày/buổi với tin OFFER đó, rồi đăng xuất. (setup)
5. Đăng nhập tài khoản B, nhấn icon chuông, đếm lại số thông báo khớp tuyến của tin OFFER đó.</t>
  </si>
  <si>
    <t xml:space="preserve">5. Số thông báo khớp tuyến vẫn bằng số đã ghi ở bước 3; KHÔNG có thông báo mới cho tin NEED thứ 6.</t>
  </si>
  <si>
    <t xml:space="preserve">Mục đích: mốc vượt trần — xác nhận rule `C-ASN-04(d)`: tuyến ĐÃ đủ 5 thì KHÔNG gửi thêm cho tin mới. · Căn cứ: `DOC-v1.1-01 §8.4 BR04-04` (dư) + `C-ASN-04` Resolved 2026-09-17. ⛔ Trần KHÔNG cộng dồn theo ngày; nếu app chặn theo ngày ⇒ FAIL và log bug.</t>
  </si>
  <si>
    <t xml:space="preserve">Check mỗi tuyến OFFER có trần 5 thông báo độc lập, không cộng dồn</t>
  </si>
  <si>
    <t xml:space="preserve">- Tài khoản B đã đăng đủ 5 tin NEED khớp cho tuyến OFFER thứ nhất và đã nhận đủ 5 thông báo (tổng thông báo khớp tuyến của B = 5, đã chạm trần tài khoản) (tái dùng seed của `TC-ASN-016`) — không seed riêng.
- Host app FoxPro đã cài trên thiết bị Android/iOS.
Test Data: 2 tuyến OFFER của cùng tài khoản B, dùng chung 1 trần 5 theo tài khoản (test_data_catalog §ASN v1.1)</t>
  </si>
  <si>
    <t xml:space="preserve">1. Đăng nhập tài khoản B, đăng thêm 1 tin OFFER thứ hai với tuyến khác (P3→P4), rồi đăng xuất. (setup)
2. Đăng nhập tài khoản A, đăng 1 tin NEED trùng tuyến P3→P4 (ngày/buổi giao nhau với tuyến thứ hai), rồi đăng xuất. (setup)
3. Đăng nhập tài khoản B, nhấn icon chuông, check thông báo của riêng tuyến thứ hai (P3→P4) và tổng số thông báo hiện có.</t>
  </si>
  <si>
    <t xml:space="preserve">3. Tuyến thứ hai (P3→P4) KHÔNG nhận thông báo mới vì tài khoản B đã đạt trần 5 (trần tính theo TÀI KHOẢN, tuyến thứ hai không có slot riêng); tổng số thông báo khớp tuyến của B vẫn bằng 5.</t>
  </si>
  <si>
    <t xml:space="preserve">Mục đích: xác nhận `C-ASN-04(e)` — trần ĐỘC LẬP theo từng tuyến (mỗi lần đăng "Tôi nhận giao hàng"); rủi ro thật nếu backend dùng chung 1 bộ đếm cho cả tài khoản. · Căn cứ: kết luận BA `C-ASN-04(e)`, `risk_assessment.md` Resolved 2026-09-17. · ✏️ Sửa 2026-09-21 (QC GiangDC2 recheck — KHÔNG phải bug): ĐẢO kỳ vọng — trần 5 tính theo TÀI KHOẢN nên tuyến thứ hai KHÔNG có slot riêng. Căn cứ đo: VR-010 (OFFER tuyến 2 + 1 tin NEED khớp, tổng vẫn 5, 0 thông báo mới). ✅ BA đã xác nhận lại 2026-09-21 (QC GiangDC2 báo lại, chưa có văn bản): trần tính theo TÀI KHOẢN — thay kết luận cũ `C-ASN-04(e)` (2026-09-17: độc lập theo từng tuyến). ⚠️ `Test Title` giữ nguyên (§10.5 không cho đổi tiêu đề) nên tiêu đề CŨ ('độc lập, không cộng dồn') mô tả rule BA cũ — đọc theo Expected.</t>
  </si>
  <si>
    <t xml:space="preserve">▬▬  5. Thứ tự ưu tiên gợi ý  ·  1 TC (TC-ASN-018)</t>
  </si>
  <si>
    <t xml:space="preserve">Check danh sách gợi ý ưu tiên tin trùng tuyến trước, thời gian đăng sau</t>
  </si>
  <si>
    <t xml:space="preserve">- Tài khoản B đã đăng 1 tin OFFER (điểm P1→P2, khoảng ngày D1-D2, tập buổi S).
- Host app FoxPro đã cài trên thiết bị Android/iOS.
Test Data: 2 tin trùng tuyến ở 2 thời điểm + 1 tin không trùng tuyến đăng sớm nhất (test_data_catalog §ASN v1.1)</t>
  </si>
  <si>
    <t xml:space="preserve">1. Đăng nhập tài khoản A, đăng 1 tin NEED KHÔNG trùng tuyến của B (điểm khác) nhưng đăng SỚM NHẤT trong 3 tin, ghi lại thời điểm. (setup)
2. Vẫn tài khoản A, đăng tin NEED thứ hai trùng tuyến P1/P2 với B (ngày/buổi giao nhau), ghi lại thời điểm. (setup)
3. Vẫn tài khoản A, đăng tin NEED thứ ba cũng trùng tuyến P1/P2 với B, đăng sau tin thứ hai ít nhất 1 phút, ghi lại thời điểm, rồi đăng xuất. (setup)
4. Đăng nhập tài khoản B, nhấn icon chuông, ghi lại thứ tự 3 thông báo/gợi ý từ trên xuống, đối chiếu với 3 thời điểm đã ghi.</t>
  </si>
  <si>
    <t xml:space="preserve">4. Tin thứ hai và tin thứ ba (trùng tuyến) đều xếp TRƯỚC tin thứ nhất (không trùng tuyến) dù tin thứ nhất đăng sớm nhất; giữa tin thứ hai và tin thứ ba, tin thứ ba (đăng sau) xếp trước tin thứ hai.</t>
  </si>
  <si>
    <t xml:space="preserve">Mục đích: làm rõ (không phải đảo) — độ gần tuyến vẫn là tầng ưu tiên số 1 (nhị phân), thời gian đăng chỉ là tầng 2 khi cùng trùng tuyến; v1.0 chỉ test được tầng 2, thiếu vế tầng 1 vs tin không trùng tuyến. · Căn cứ: `DOC-v1.1-01 §8.3 BR03-06`. · Đã sửa theo delta v1.1 (2026-09-15): thêm tin không-trùng-tuyến để kiểm chứng tầng 1.</t>
  </si>
  <si>
    <t xml:space="preserve">▬▬  6. Bảo mật API tin OFFER  ·  1 TC (TC-ASN-026)</t>
  </si>
  <si>
    <t xml:space="preserve">Check request đọc tin OFFER qua API bởi người ngoài bị chặn và ghi audit log</t>
  </si>
  <si>
    <t xml:space="preserve">- Tin OFFER đang `POSTED` của tài khoản B (không phải sở hữu của tài khoản D).
- Có sẵn công cụ gọi API trực tiếp (vd Postman) với token hợp lệ của tài khoản D, biết endpoint đọc chi tiết tin OFFER.
Test Data: Tin OFFER của B; token tài khoản D không sở hữu tin đó (test_data_catalog §ASN v1.1)</t>
  </si>
  <si>
    <t xml:space="preserve">1. Dùng công cụ API, gọi endpoint đọc chi tiết tin OFFER đó bằng token của tài khoản D. (setup)
2. Check response trả về và hệ thống ghi audit log.</t>
  </si>
  <si>
    <t xml:space="preserve">2. Request bị chặn (không trả dữ liệu tin OFFER); hệ thống ghi thêm đúng 1 dòng audit log ghi nhận request trái phép này (tài khoản D, thời điểm, tin OFFER mục tiêu).</t>
  </si>
  <si>
    <t xml:space="preserve">Mục đích: mở rộng `BR03-05`/`SC-ASN-007` (ẩn trên UI) sang tầng API — kiểm tra quyền phải ở tầng máy chủ, không chỉ ẩn giao diện. · Căn cứ: `DOC-v1.1-01 §9 NFR-11`. ⚠️ Cần công cụ gọi API trực tiếp (Postman/tương đương) — UI không có đường dẫn tới tin OFFER của người khác nên không chạy được bằng thao tác UI thuần. Giao automation/backend/security test.</t>
  </si>
  <si>
    <t xml:space="preserve">▬▬  1. Lý do huỷ đơn  ·  2 TC (TC-CNL-004…TC-CNL-012)</t>
  </si>
  <si>
    <t xml:space="preserve">Check lý do huỷ 4 ký tự bị chặn ngay từ nút xác nhận</t>
  </si>
  <si>
    <t xml:space="preserve">- Tài khoản A là CBNV có hồ sơ đầy đủ trên STG.
- Host app FoxPro đã cài trên thiết bị Android/iOS.
Test Data: Lý do 4 ký tự "abcd" (test_data_catalog §CNL v1.1, biên dưới)</t>
  </si>
  <si>
    <t xml:space="preserve">1. Đăng nhập bằng tài khoản A và đăng 1 tin NEED qua wizard "+ Đăng tin". (setup)
2. Nhấn tab "Hoạt động", mở đơn vừa đăng và nhấn "Huỷ đơn". (setup)
3. Nhập "abcd" vào ô lý do.
4. Check trạng thái nút "Xác nhận" và vùng dưới ô lý do.</t>
  </si>
  <si>
    <t xml:space="preserve">4. Nút "Xác nhận" ở trạng thái vô hiệu hoá ngay (không phải bấm được rồi mới báo lỗi); hiện lỗi ngay dưới ô lý do; trạng thái đơn không đổi.</t>
  </si>
  <si>
    <t xml:space="preserve">Mục đích: siết thêm 2 chi tiết Then mà v1.0 chưa có — nút vô hiệu hoá SẴN (không phải bấm rồi báo lỗi) và lỗi hiện đúng vị trí dưới ô lý do. · Căn cứ: `BR11-01` + `VAL-04` + `AC-25.1.03` (PRD phê duyệt, không còn là override QA). ⚠ Dự kiến FAIL — app hiện cho qua ⇒ log bug, ⛔ không hạ chuẩn TC theo hành vi app. · Đã sửa theo analyze v1.1 (2026-09-15): bỏ vế "5 ký tự được nhận" — đã có `TC-CNL-003` (CARRIED) cover, tránh trùng. · Đã sửa theo §10.4 (2026-09-17): gộp 3 điểm quan sát (nút khoá · lỗi đúng vị trí · trạng thái đơn) vào 1 Expected ở step cuối.</t>
  </si>
  <si>
    <t xml:space="preserve">Check lý do huỷ gồm năm dấu cách bị chặn sau khi cắt khoảng trắng</t>
  </si>
  <si>
    <t xml:space="preserve">- Tài khoản A là CBNV có hồ sơ đầy đủ trên STG.
- Host app FoxPro đã cài trên thiết bị Android/iOS.
Test Data: Lý do gồm 5 dấu cách (test_data_catalog §CNL v1.1, biên)</t>
  </si>
  <si>
    <t xml:space="preserve">1. Đăng nhập bằng tài khoản A và đăng 1 tin NEED qua wizard "+ Đăng tin". (setup)
2. Nhấn tab "Hoạt động", mở đơn vừa đăng và nhấn "Huỷ đơn". (setup)
3. Nhập đúng 5 dấu cách vào ô lý do.
4. Check trạng thái nút "Xác nhận".</t>
  </si>
  <si>
    <t xml:space="preserve">4. Nút "Xác nhận" ở trạng thái vô hiệu hoá, không nhấn được (sau khi tự cắt khoảng trắng đầu/cuối thì lý do rỗng).</t>
  </si>
  <si>
    <t xml:space="preserve">Mục đích: mốc thứ tư trong bộ boundary lý do (rỗng → 4 ký tự → 5 ký tự → 5 dấu cách). · Căn cứ: `VAL-03` (trim) + `VAL-04` (PRD phê duyệt, không còn là override QA). ⚠ Dự kiến FAIL — `KB-CNL-02` đã live-verify app cho qua ⇒ log bug. · ⚠️ Biên "5 dấu cách" dễ bị gõ nhầm thành "     x" khi nhập tay — ghi rõ trong Test Data để tester không tự ý gõ sai.</t>
  </si>
  <si>
    <t xml:space="preserve">▬▬  2. Báo cáo sự cố theo vai  ·  3 TC (TC-CNL-006…TC-CNL-016)</t>
  </si>
  <si>
    <t xml:space="preserve">REQ-CNL-003, REQ-CNL-007</t>
  </si>
  <si>
    <t xml:space="preserve">Check nút "Báo cáo sự cố" tồn tại cho vai Người gửi khi đơn đang giao</t>
  </si>
  <si>
    <t xml:space="preserve">- Đơn đã ở checkpoint 2 (`IN_TRANSIT`/Đang giao) của `SEED-DLV-01` (xem sheet `Seed` của chính file này) — không seed riêng.
- Host app FoxPro đã cài trên thiết bị Android/iOS.
Test Data: Đơn `IN_TRANSIT` của `SEED-DLV-01` (test_data_catalog §CNL v1.1)</t>
  </si>
  <si>
    <t xml:space="preserve">1. Đăng nhập bằng tài khoản A (Người gửi), mở màn Theo dõi đơn của đơn đó. (setup)
2. Check góc trên bên phải màn Theo dõi đơn.</t>
  </si>
  <si>
    <t xml:space="preserve">2. Có nút "Báo cáo sự cố"; nhấn vào mở được luồng báo sự cố.</t>
  </si>
  <si>
    <t xml:space="preserve">🔴 Bản v1.0 cùng ID assert KHÔNG có chức năng này — kỳ vọng ngược hoàn toàn, phải dùng bản v1.1. · Căn cứ: `§4 SCOPES` In-scope + `§8.16` + `AC-25.2.01`. ⚠ Dự kiến FAIL nếu STG chưa build `FR16` ⇒ log gap PRD↔app, ⛔ không diễn giải thành "vẫn out of scope". · Đọc chéo `TS` — chỉ kiểm nút tồn tại + mở được, KHÔNG lặp nội dung form/ảnh (home ở `SC-TS-008..015`). · Đã sửa theo §10.4 (2026-09-17): tách riêng theo vai — vai Người vận chuyển ở `TC-CNL-015`, vai Người nhận ở `TC-CNL-016` (mỗi vai độc lập, có thể fail riêng theo `BR11-04` "bất kỳ vai trò nào").</t>
  </si>
  <si>
    <t xml:space="preserve">Check nút "Báo cáo sự cố" tồn tại cho vai Người vận chuyển khi đơn đang giao</t>
  </si>
  <si>
    <t xml:space="preserve">1. Đăng nhập bằng tài khoản B (Người vận chuyển), mở màn Theo dõi đơn của đơn đó. (setup)
2. Check góc trên bên phải màn Theo dõi đơn.</t>
  </si>
  <si>
    <t xml:space="preserve">Mục đích: vai độc lập với `TC-CNL-006` (vai Người gửi) — `BR11-04` yêu cầu "bất kỳ vai trò nào", mỗi vai có thể fail riêng. · Căn cứ: giống `TC-CNL-006`. · Đọc chéo `TS` — chỉ kiểm nút tồn tại, không lặp nội dung form (home `SC-TS-008..015`). TC mới tách theo §10.4 (2026-09-17), không có ID cũ 1-1.</t>
  </si>
  <si>
    <t xml:space="preserve">Check nút "Báo cáo sự cố" tồn tại cho vai Người nhận khi đơn đang giao</t>
  </si>
  <si>
    <t xml:space="preserve">1. Đăng nhập bằng tài khoản C (Người nhận), mở màn Theo dõi đơn của đơn đó. (setup)
2. Check góc trên bên phải màn Theo dõi đơn.</t>
  </si>
  <si>
    <t xml:space="preserve">Mục đích: vai độc lập với `TC-CNL-006`/`015` — `BR11-04` yêu cầu "bất kỳ vai trò nào". · Căn cứ: giống `TC-CNL-006`. · Đọc chéo `TS` — chỉ kiểm nút tồn tại, không lặp nội dung form (home `SC-TS-008..015`). TC mới tách theo §10.4 (2026-09-17), không có ID cũ 1-1.</t>
  </si>
  <si>
    <t xml:space="preserve">▬▬  3. Nhật ký huỷ đơn  ·  2 TC (TC-CNL-009…TC-CNL-010)</t>
  </si>
  <si>
    <t xml:space="preserve">Check huỷ đơn ghi log đủ vai trò, lý do và thời điểm</t>
  </si>
  <si>
    <t xml:space="preserve">- Tài khoản A và B là hai CBNV khác nhau trên STG.
- Host app FoxPro đã cài trên thiết bị Android/iOS.
Test Data: Đơn `MATCHED`; block LỊCH SỬ đã có mốc trước đó (test_data_catalog §CNL v1.1)</t>
  </si>
  <si>
    <t xml:space="preserve">1. Đăng nhập bằng tài khoản A, đăng 1 tin NEED, nhờ tài khoản B nhận đơn để đơn sang "Đã ghép". (setup)
2. Mở màn Theo dõi đơn của đơn đó, mở block LỊCH SỬ. (setup)
3. Ghi lại số dòng log hiện có.
4. Nhấn "Huỷ đơn".
5. Nhập lý do "Huy vi trung lich".
6. Nhấn "Xác nhận".
7. Không rời màn Theo dõi đơn, mở lại block LỊCH SỬ.
8. Check số dòng log mới và nội dung dòng đó.</t>
  </si>
  <si>
    <t xml:space="preserve">8. Block LỊCH SỬ có nhiều hơn số dòng đã ghi ở bước 3 đúng 1 dòng; dòng mới ghi đúng nhãn hành động huỷ đơn của Người gửi (KHÔNG phải nhãn "Đã huỷ nhận đơn" của luồng huỷ nhận), kèm danh tính người thực hiện (app ghi tên người, không ghi vai trò — chấp nhận theo hành vi nhất quán toàn app), lý do "Huy vi trung lich" và thời điểm (timestamp) huỷ.</t>
  </si>
  <si>
    <t xml:space="preserve">Mục đích: `BR11-02` đòi đủ 3 thành phần (vai trò · lý do · thời điểm) — v1.0 chỉ assert 2, thiếu timestamp. · Căn cứ: `BR11-02` + `AC-25.1.01` (PRD phê duyệt, không còn là override QA). ⚠ Dự kiến FAIL — app hiện chỉ hiện banner, không ghi log ⇒ log bug. · Kiểm chéo cùng lô với `SC-TS-003` + `SC-DLV-062` — cùng vỡ thì gộp 1 bug report. · Đã sửa theo analyze v1.1 (2026-09-15): thêm assert thời điểm (timestamp) vào Expected. · 🔁 Đính chính 2026-09-22 (QC): vế "ghi vai trò" đổi thành "ghi tên người" (app nhất quán ghi tên ở mọi dòng LỊCH SỬ, không riêng dòng huỷ) — BUG-035 đã xoá, không phải bug. Vế nhãn hành động sai ("Đã huỷ nhận đơn" thay vì nhãn đúng của huỷ đơn) vẫn là lỗi độc lập, còn giữ ở BUG-034 — verdict TC này vẫn FAIL vì lý do này.</t>
  </si>
  <si>
    <t xml:space="preserve">Check huỷ nhận đơn giữ nguyên log ghép cũ và đơn về lại bảng tin</t>
  </si>
  <si>
    <t xml:space="preserve">- Tài khoản A và B là hai CBNV khác nhau trên STG.
- Host app FoxPro đã cài trên thiết bị Android/iOS.
Test Data: Đơn `MATCHED`; block LỊCH SỬ có dòng "Ghép thành công" (test_data_catalog §CNL v1.1)</t>
  </si>
  <si>
    <t xml:space="preserve">1. Đăng nhập bằng tài khoản A, đăng 1 tin NEED rồi đăng xuất. (setup)
2. Đăng nhập bằng tài khoản B, nhận đơn đó và xác nhận. (setup)
3. Mở màn Theo dõi đơn, mở block LỊCH SỬ. (setup)
4. Check sự tồn tại của dòng "Ghép thành công". (setup)
5. Nhấn "✕ Huỷ nhận đơn".
6. Nhập lý do "Doi ca lam viec".
7. Nhấn "Xác nhận".
8. Không rời màn Theo dõi đơn, mở lại block LỊCH SỬ.
9. Điều hướng đến "Bảng tin" và tìm đơn đó.</t>
  </si>
  <si>
    <t xml:space="preserve">9. Dòng "Ghép thành công" vẫn còn trong block LỊCH SỬ ở bước 8 (không bị xoá), có thêm 1 dòng log ghi đúng nhãn hành động huỷ nhận "Đã huỷ nhận đơn" kèm danh tính người thực hiện (app ghi tên người, không ghi vai trò — chấp nhận theo hành vi nhất quán toàn app) và lý do "Doi ca lam viec"; đơn chuyển về trạng thái "Chờ ghép" và hiện lại trên bảng tin.</t>
  </si>
  <si>
    <t xml:space="preserve">Mục đích: log phải bất biến — xoá dòng cũ là phá tính bằng chứng của cả timeline; đồng thời đơn phải quay lại vòng đời bình thường, không mắc kẹt. · Căn cứ: `BR11-03` + `AC-25.1.02` (PRD phê duyệt, không còn là override QA — trước dựa `BR-INT-04` suy diễn). ⚠ Dự kiến FAIL — `KB-CNL-01` đã live-verify app XOÁ dòng "Ghép thành công" ⇒ log bug. · Cùng nhóm rule truy vết "bằng chứng đã ghi thì bất biến" — chạy cùng lô với `SC-USR-017`/`SC-ORD-065`/`SC-DLV-062`, cùng vỡ thì gộp 1 bug report. · Đã sửa theo §10.4 (2026-09-17): gộp 2 điểm kiểm (log giữ nguyên + đơn về POSTED/hiện lại bảng tin) vào 1 Expected ở step cuối; bỏ Expected ở step 4 (chỉ còn observation baseline, không phải case fail độc lập). · 🔁 Đính chính 2026-09-22 (QC): vế "ghi vai trò" đổi thành "ghi tên người" (chấp nhận, nhất quán toàn app) — BUG-035 đã xoá. Không còn vướng mắc nào khác ⇒ verdict FAIL → PASS.</t>
  </si>
  <si>
    <t xml:space="preserve">▬▬  4. Đường thoát sau khi ghép  ·  4 TC (TC-CNL-017…TC-CNL-020)</t>
  </si>
  <si>
    <t xml:space="preserve">Check chỉ còn đúng 2 đường thoát cho vai Người gửi sau khi đơn đang giao</t>
  </si>
  <si>
    <t xml:space="preserve">1. Đăng nhập bằng tài khoản A (Người gửi), mở màn Theo dõi đơn của đơn đó. (setup)
2. Rà toàn bộ nút hành động trên màn.</t>
  </si>
  <si>
    <t xml:space="preserve">2. KHÔNG còn nút huỷ đơn thường nào; chỉ còn đúng 1 nút hành động liên quan: "Báo cáo sự cố". KHÔNG có nút "hoàn hàng" nào ở màn này của Người gửi — hoàn hàng (RETURNING) là hành động do Người vận chuyển khởi tạo (FR09), Người gửi không có control kích hoạt trực tiếp.</t>
  </si>
  <si>
    <t xml:space="preserve">Căn cứ: `AC-25.2.01` + `BR11-04` ("bất kỳ vai trò nào") — chỉ đảm bảo ở MỨC TRẠNG THÁI (hoàn hàng vẫn là 1 trong 2 lối thoát hợp lệ của đơn), KHÔNG đặt tên nút UI. Đọc chéo `DLV` `FR09` §8.9 (trang 43) — trigger thật của RETURNING là Người vận chuyển chọn "Cầm hàng về" ở màn "Xử lý đơn hàng", không phải nút trên màn Theo dõi đơn của Sender/Receiver. Và `TS` (`SC-TS-008..015` — home của form "báo sự cố"). · Đã sửa theo §10.4 (2026-09-17): tách theo vai — vai Người vận chuyển ở `TC-CNL-018`, vai Người nhận ở `TC-CNL-019`. · 🔁 Đính chính 2026-09-22 (QC, sau khi đối chiếu PRD gốc): bỏ giả định nút "Yêu cầu hoàn hàng" trên màn Sender/Receiver — không tồn tại trong PRD, TC viết sai. BUG-033 đã xoá, verdict FAIL → PASS.</t>
  </si>
  <si>
    <t xml:space="preserve">Check chỉ còn đúng 2 đường thoát cho vai Người vận chuyển sau khi đơn đang giao</t>
  </si>
  <si>
    <t xml:space="preserve">1. Đăng nhập bằng tài khoản B (Người vận chuyển), mở màn Theo dõi đơn của đơn đó. (setup)
2. Rà toàn bộ nút hành động trên màn.</t>
  </si>
  <si>
    <t xml:space="preserve">2. KHÔNG còn nút huỷ đơn thường nào; có nút "Báo cáo sự cố" VÀ đường vào luồng hoàn hàng đi qua màn giao hàng: bấm nút "Đã đến địa điểm giao hàng" → màn "Xử lý đơn hàng" → chọn chế độ "Cầm hàng về" (FR09). KHÔNG có một nút riêng tên "Yêu cầu hoàn hàng" trên màn Theo dõi đơn.</t>
  </si>
  <si>
    <t xml:space="preserve">Mục đích: vai độc lập với `TC-CNL-017`/`019` — `BR11-04` yêu cầu "bất kỳ vai trò nào". · Căn cứ: giống `TC-CNL-017`. · Đọc chéo `DLV`/`TS`, không lặp nội dung luồng con. TC mới tách theo §10.4 (2026-09-17), không có ID cũ 1-1. · 🔁 Đính chính 2026-09-22 (QC): chỉ vai Người vận chuyển mới có đường vào hoàn hàng (qua FR09 "Xử lý đơn hàng" → "Cầm hàng về"), không phải nút riêng "Yêu cầu hoàn hàng". BUG-033 đã xoá, verdict FAIL → PASS. · 🔁 Đính chính 2026-09-22 (QC, bổ sung): chốt tên chính thức nút vào luồng hoàn hàng ở v1.1 là "Đã đến địa điểm giao hàng" (đổi tên so với "Đã giao cho người nhận" của v1.0) — STG hiện CHƯA đổi theo tên mới (evidence VR-018 2026-09-21), xem BUG-044.</t>
  </si>
  <si>
    <t xml:space="preserve">Check chỉ còn đúng 2 đường thoát cho vai Người nhận sau khi đơn đang giao</t>
  </si>
  <si>
    <t xml:space="preserve">1. Đăng nhập bằng tài khoản C (Người nhận), mở màn Theo dõi đơn của đơn đó. (setup)
2. Rà toàn bộ nút hành động trên màn.</t>
  </si>
  <si>
    <t xml:space="preserve">2. KHÔNG còn nút huỷ đơn thường nào; chỉ còn đúng 1 nút hành động liên quan: "Báo cáo sự cố". KHÔNG có nút "hoàn hàng" nào ở màn này của Người nhận — hoàn hàng (RETURNING) là hành động do Người vận chuyển khởi tạo (FR09), Người nhận không có control kích hoạt trực tiếp.</t>
  </si>
  <si>
    <t xml:space="preserve">Mục đích: vai độc lập với `TC-CNL-017`/`018` — `BR11-04` yêu cầu "bất kỳ vai trò nào". · Căn cứ: giống `TC-CNL-017`. · Đọc chéo `DLV`/`TS`, không lặp nội dung luồng con. TC mới tách theo §10.4 (2026-09-17), không có ID cũ 1-1. · 🔁 Đính chính 2026-09-22 (QC): bỏ giả định nút "Yêu cầu hoàn hàng" trên màn Người nhận — không tồn tại trong PRD. BUG-033 đã xoá, verdict FAIL → PASS.</t>
  </si>
  <si>
    <t xml:space="preserve">Check đơn ở trạng thái sự cố không tự chuyển hoàn thành</t>
  </si>
  <si>
    <t xml:space="preserve">- Đơn đã ở trạng thái `INCIDENT` qua luồng báo sự cố (`FR16`).
- Host app FoxPro đã cài trên thiết bị Android/iOS.
Test Data: Đơn `INCIDENT` (test_data_catalog §CNL v1.1) — ⚠ có thể chưa seed được nếu STG chưa build `FR16`</t>
  </si>
  <si>
    <t xml:space="preserve">1. Đăng nhập bằng tài khoản C (Người nhận) của đơn `INCIDENT`, mở màn Theo dõi đơn. (setup)
2. Rà toàn bộ nút hành động và nội dung màn.</t>
  </si>
  <si>
    <t xml:space="preserve">2. KHÔNG có nút "Xác nhận đã nhận hàng" khả dụng để chuyển trạng thái đơn; màn nêu rõ đơn đang chờ admin hỗ trợ, KHÔNG tự chuyển sang "Hoàn thành".</t>
  </si>
  <si>
    <t xml:space="preserve">⚠️ Verdict đúng khi STG chưa build `INCIDENT`/`FR16` là **BLOCKED**, ⛔ không đánh PASS vì "không thấy đơn tự chuyển". · Căn cứ: `AC-25.2.01`. · ⛔ Không assert trạng thái đích cụ thể sau khi admin xử lý — `C-CNL-03` chốt trạng thái đích tuỳ dev. · ⛔ Không assert banner/thông báo "đang được hỗ trợ" — BA xác nhận người dùng không nhận thông báo gì trong lúc chờ.</t>
  </si>
  <si>
    <t xml:space="preserve">▬▬  5. Điều kiện chặn huỷ đơn  ·  1 TC (TC-CNL-021)</t>
  </si>
  <si>
    <t xml:space="preserve">Check huỷ đơn bị chặn khi đơn còn hiện Đã ghép nhưng người vận chuyển đã bấm lấy hàng</t>
  </si>
  <si>
    <t xml:space="preserve">- Đơn đang ở "Đã ghép" (`MATCHED`), sẵn 2 phiên đăng nhập song song: tài khoản A (Người gửi) và tài khoản B (Người vận chuyển).
- Host app FoxPro đã cài trên thiết bị Android/iOS.
Test Data: 2 phiên song song A (Người gửi) + B (Người vận chuyển); đơn `MATCHED`, popup "Tôi đã lấy hàng" đang mở ở phiên B (test_data_catalog §CNL v1.1, ô biên duy nhất của delta)</t>
  </si>
  <si>
    <t xml:space="preserve">1. Trên phiên B, nhấn nút "Tôi đã lấy hàng" nhưng CHƯA xác nhận popup (giữ popup đang mở).
2. Trên phiên A, mở màn Theo dõi đơn của đơn đó và nhấn "Huỷ đơn".</t>
  </si>
  <si>
    <t xml:space="preserve">2. Huỷ bị chặn (không mở được popup nhập lý do, hoặc hiển thị lỗi ngăn huỷ).</t>
  </si>
  <si>
    <t xml:space="preserve">⭐ Vùng dễ có lỗi race thật — nếu backend chỉ kiểm `status == MATCHED` mà không kiểm hành động đã bấm thì huỷ sẽ lọt qua. · Căn cứ: PRD đổi cách phát biểu ngưỡng từ trạng thái sang hành động (`§8.11 Pre-Conditions` + `AC-25.1.01` — "MATCHED khi CHƯA bấm Tôi đã lấy hàng", không phải "MATCHED" đơn thuần). · Cần thao tác đồng thời 2 phiên trong cùng khoảnh khắc — không dựng được bằng 1 tài khoản.</t>
  </si>
  <si>
    <t xml:space="preserve">▬▬  6. Bề mặt Admin ngoài scope  ·  1 TC (TC-CNL-022)</t>
  </si>
  <si>
    <t xml:space="preserve">Check không tồn tại bề mặt Admin vận hành trong app end-user</t>
  </si>
  <si>
    <t xml:space="preserve">- Tài khoản A là CBNV thường (không có vai Admin) trên STG.
- Host app FoxPro đã cài trên thiết bị Android/iOS.
Test Data: Giá trị assert-absent: bề mặt "Admin vận hành" (test_data_catalog §CNL v1.1)</t>
  </si>
  <si>
    <t xml:space="preserve">1. Đăng nhập bằng tài khoản A. (setup)
2. Rà toàn bộ màn Theo dõi đơn và trang Cá nhân tìm chức năng huỷ/can thiệp của "Admin vận hành".</t>
  </si>
  <si>
    <t xml:space="preserve">2. KHÔNG có bề mặt Admin nào (không màn, không field, không nút) trong app end-user.</t>
  </si>
  <si>
    <t xml:space="preserve">`[GAP]` theo `Project_rule §10.1` — PRD nêu actor "Admin vận hành" nhưng không mô tả bề mặt nào ⇒ ghi nhận thiếu vắng, ⛔ không viết TC khẳng định hành vi Admin. · Căn cứ: `C-CNL-03` Resolved 2026-09-16 — dev xử lý tay qua Google Form ngoài app, không có tool/màn. · Gap nghiệp vụ cần nêu PM: nếu chỉ admin đóng được `INCIDENT` mà không có đường tới admin, đơn có thể treo vĩnh viễn.</t>
  </si>
  <si>
    <t xml:space="preserve">▬▬  1. Ma trận hành động theo trạng thái mới  ·  9 TC (TC-DLV-031…TC-DLV-039)</t>
  </si>
  <si>
    <t xml:space="preserve">Check người gửi thấy nhãn xem lịch hẹn giao lại khi đơn hẹn giao lại</t>
  </si>
  <si>
    <t xml:space="preserve">- Tài khoản A, B, C là ba CBNV khác nhau trên STG.
- Host app FoxPro đã cài trên thiết bị Android/iOS.
Test Data: Đơn `RESCHEDULED`;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</si>
  <si>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</si>
  <si>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"Xem lịch hẹn giao lại".</t>
  </si>
  <si>
    <t xml:space="preserve">Mục đích: 1 trong 3 ô vai của nhóm trạng thái `RESCHEDULED` — mỗi vai fail độc lập. · Căn cứ: `DOC-v1.1-01` §8.12.3 dòng RESCHEDULED. ⚠ Thanh timeline vẫn hiện đúng 5 mốc và mốc "Đang giao" đang active — đây là thiết kế đã chốt (`C-DLV-05(d)` Resolved 2026-09-17), ⛔ không FAIL vì thiếu mốc mới.</t>
  </si>
  <si>
    <t xml:space="preserve">Check người vận chuyển thấy nhãn giao lại theo lịch khi đơn hẹn giao lại</t>
  </si>
  <si>
    <t xml:space="preserve">- Tài khoản A, B, C là ba CBNV khác nhau trên STG.
- Host app FoxPro đã cài trên thiết bị Android/iOS.
Test Data: Đơn `RESCHEDULED`;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</si>
  <si>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(setup)
4. Nhấn tab "Hoạt động" và mở lại đơn đó. (setup)
5. Check nhãn hành động chính trên màn Theo dõi đơn.</t>
  </si>
  <si>
    <t xml:space="preserve">5. Nhãn hành động chính hiển thị "Giao lại theo lịch" và nhấn được để mở lại màn giao hàng.</t>
  </si>
  <si>
    <t xml:space="preserve">Căn cứ: `DOC-v1.1-01` §8.12.3 dòng RESCHEDULED — đây là vai DUY NHẤT có nút hành động thật ở trạng thái này, 2 vai kia chỉ xem.</t>
  </si>
  <si>
    <t xml:space="preserve">Check người nhận thấy nhãn xem lịch hẹn khi đơn hẹn giao lại</t>
  </si>
  <si>
    <t xml:space="preserve">- Tài khoản A, B, C là ba CBNV khác nhau trên STG.
- Host app FoxPro đã cài trên thiết bị Android/iOS.
Test Data: Đơn `RESCHEDULED`;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</si>
  <si>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</si>
  <si>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lịch hẹn" và KHÔNG có nút giao lại nào.</t>
  </si>
  <si>
    <t xml:space="preserve">Mục đích: đối chứng với TC-DLV-032 — quyền giao lại chỉ thuộc người vận chuyển. · Căn cứ: `DOC-v1.1-01` §8.12.3 dòng RESCHEDULED.</t>
  </si>
  <si>
    <t xml:space="preserve">Check người gửi thấy nút xác nhận đã nhận lại hàng khi đơn đang hoàn hàng</t>
  </si>
  <si>
    <t xml:space="preserve">- Tài khoản A, B, C là ba CBNV khác nhau trên STG.
- Host app FoxPro đã cài trên thiết bị Android/iOS.
Test Data: Đơn `RETURNING`;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</si>
  <si>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</si>
  <si>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"Xác nhận đã nhận lại hàng" ở trạng thái enable và màn có mục xem lịch hẹn trả hàng.</t>
  </si>
  <si>
    <t xml:space="preserve">Mục đích: người gửi là vai DUY NHẤT đóng được đơn ở nhánh hoàn hàng — cặp với TC-DLV-063. · Căn cứ: `DOC-v1.1-01` §8.12.3 dòng RETURNING.</t>
  </si>
  <si>
    <t xml:space="preserve">Check người vận chuyển thấy nhãn xem lịch hẹn trả hàng khi đơn đang hoàn hàng</t>
  </si>
  <si>
    <t xml:space="preserve">- Tài khoản A, B, C là ba CBNV khác nhau trên STG.
- Host app FoxPro đã cài trên thiết bị Android/iOS.
Test Data: Đơn `RETURNING`;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</si>
  <si>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Nhấn tab "Hoạt động" và mở lại đơn đó. (setup)
5. Check nhãn hành động chính trên màn Theo dõi đơn.</t>
  </si>
  <si>
    <t xml:space="preserve">5. Nhãn hành động chính hiển thị "Xem lịch hẹn trả hàng" và KHÔNG có nút xác nhận đóng đơn.</t>
  </si>
  <si>
    <t xml:space="preserve">Căn cứ: `DOC-v1.1-01` §8.12.3 dòng RETURNING.</t>
  </si>
  <si>
    <t xml:space="preserve">Check người nhận thấy nhãn xem lý do hoàn hàng khi đơn đang hoàn hàng</t>
  </si>
  <si>
    <t xml:space="preserve">- Tài khoản A, B, C là ba CBNV khác nhau trên STG.
- Host app FoxPro đã cài trên thiết bị Android/iOS.
Test Data: Đơn `RETURNING`;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</si>
  <si>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</si>
  <si>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lý do hoàn hàng".</t>
  </si>
  <si>
    <t xml:space="preserve">Check người gửi thấy nhãn xem lý do và đăng lại ở ba trạng thái đóng</t>
  </si>
  <si>
    <t xml:space="preserve">- Tài khoản A, B, C là ba CBNV khác nhau trên STG.
- Host app FoxPro đã cài trên thiết bị Android/iOS.
Test Data: Đơn `RETURNED`, `CANCELLED`, `EXPIRED`;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</si>
  <si>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mở đơn đó và nhấn "Xác nhận đã nhận lại hàng". (setup)
5. Đăng 1 tin NEED khác rồi huỷ đơn đó, và để 1 tin NEED thứ ba quá "Đến ngày" mà không ai nhận. (setup)
6. Mở lần lượt cả ba đơn ở tab "Đã hoàn thành" và check nhãn hành động chính của từng đơn.</t>
  </si>
  <si>
    <t xml:space="preserve">6. Cả ba đơn đều hiển thị nhãn "Xem lý do" kèm lựa chọn "Đăng lại".</t>
  </si>
  <si>
    <t xml:space="preserve">Mục đích: nhóm ba trạng thái đóng phải cho CÙNG một nhãn — lệch giữa ba đơn mới là defect. · Căn cứ: `DOC-v1.1-01` §8.12.3 dòng nhóm đóng (PRD chỉ mô tả cấp danh mục, không có microcopy riêng cho từng trạng thái).</t>
  </si>
  <si>
    <t xml:space="preserve">Check người vận chuyển chỉ thấy nhãn xem lý do ở ba trạng thái đóng</t>
  </si>
  <si>
    <t xml:space="preserve">- Tài khoản A, B, C là ba CBNV khác nhau trên STG.
- Host app FoxPro đã cài trên thiết bị Android/iOS.
Test Data: Đơn `RETURNED`;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</si>
  <si>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Đăng nhập bằng tài khoản A, mở đơn đó và nhấn "Xác nhận đã nhận lại hàng", rồi đăng xuất. (setup)
5. Đăng nhập lại bằng tài khoản B, nhấn tab "Hoạt động" và mở đơn đó ở tab "Đã hoàn thành". (setup)
6. Check nhãn hành động chính trên màn Theo dõi đơn.</t>
  </si>
  <si>
    <t xml:space="preserve">6. Nhãn hành động chính hiển thị "Xem lý do" và KHÔNG có lựa chọn "Đăng lại".</t>
  </si>
  <si>
    <t xml:space="preserve">Mục đích: đối chứng với TC-DLV-037 — quyền đăng lại chỉ thuộc người gửi. · Căn cứ: `DOC-v1.1-01` §8.12.3 dòng nhóm đóng.</t>
  </si>
  <si>
    <t xml:space="preserve">Check người nhận chỉ thấy nhãn xem lý do ở ba trạng thái đóng</t>
  </si>
  <si>
    <t xml:space="preserve">- Tài khoản A, B, C là ba CBNV khác nhau trên STG.
- Host app FoxPro đã cài trên thiết bị Android/iOS.
Test Data: Đơn `RETURNED`;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</si>
  <si>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mở đơn đó và nhấn "Xác nhận đã nhận lại hàng", rồi đăng xuất. (setup)
5. Đăng nhập bằng tài khoản C, nhấn tab "Hoạt động" và mở đơn đó ở tab "Đã hoàn thành". (setup)
6. Check nhãn hành động chính trên màn Theo dõi đơn.</t>
  </si>
  <si>
    <t xml:space="preserve">Căn cứ: `DOC-v1.1-01` §8.12.3 dòng nhóm đóng.</t>
  </si>
  <si>
    <t xml:space="preserve">▬▬  2. Đơn có sự cố  ·  1 TC (TC-DLV-040)</t>
  </si>
  <si>
    <t xml:space="preserve">Check đơn có báo cáo sự cố không tự chuyển sang hoàn thành sau các mốc nhắc</t>
  </si>
  <si>
    <t xml:space="preserve">- Tài khoản A, B, C là ba CBNV khác nhau trên STG.
- Host app FoxPro đã cài trên thiết bị Android/iOS.
- Dev/QA hỗ trợ lùi timestamp đơn để vượt mốc 2 giờ và 4 giờ — ⛔ không tái tạo được qua UI.
Test Data: Đơn `INCIDENT` đã vượt mốc 2h và 4h = `SEED-DLV-04`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</si>
  <si>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"Báo cáo sự cố", gửi form báo sự cố cho đơn này, rồi đăng xuất. (setup)
4. Nhờ dev/QA lùi timestamp của đơn để vượt qua cả mốc 2 giờ và mốc 4 giờ. (setup)
5. Đăng nhập bằng tài khoản A, nhấn tab "Hoạt động" và mở đơn đó. (setup)
6. Check trạng thái đơn và tab chứa đơn.</t>
  </si>
  <si>
    <t xml:space="preserve">6. Đơn KHÔNG ở trạng thái "Hoàn thành" và vẫn nằm ở tab "Đang diễn ra".</t>
  </si>
  <si>
    <t xml:space="preserve">Mục đích: chốt ranh giới nhánh sự cố ⟷ luồng tự đóng thường — dễ lập trình sai thành "quá giờ thì đóng". · Căn cứ: `DOC-v1.1-01` §8.10.1 BR10-04 (SC mới gắn REQ giữ ID, không sửa `SC-DLV-024` v1.0 vốn đúng cho nhánh thường). ⛔ Không assert vế "admin xử lý" — role admin out of scope v1.1 (`C-DLV-07` Resolved 2026-09-17).</t>
  </si>
  <si>
    <t xml:space="preserve">▬▬  3. Ảnh lúc lấy hàng  ·  2 TC (TC-DLV-041…TC-DLV-042)</t>
  </si>
  <si>
    <t xml:space="preserve">Check đính ảnh lúc lấy hàng lưu được kèm mốc và đơn chuyển đang giao</t>
  </si>
  <si>
    <t xml:space="preserve">- Tài khoản A, B, C là ba CBNV khác nhau trên STG.
- Host app FoxPro đã cài trên thiết bị Android/iOS.
- Thư viện ảnh thiết bị có sẵn ≥5 ảnh JPG, mỗi ảnh ≤5MB.
Test Data: 1 ảnh JPG ≤5MB (test_data_catalog §DLV — Ảnh lúc lấy hàng)</t>
  </si>
  <si>
    <t xml:space="preserve">1. Đăng nhập bằng tài khoản A, đăng 1 tin NEED khai tài khoản C là người nhận, rồi đăng xuất. (setup)
2. Đăng nhập bằng tài khoản B, nhận đơn đó và xác nhận. (setup)
3. Nhấn "Tôi đã lấy hàng".
4. Đính 1 ảnh JPG từ thư viện thiết bị.
5. Nhấn "Xác nhận".
6. Mở lại đơn đó và check trạng thái đơn cùng nội dung block "LỊCH SỬ".</t>
  </si>
  <si>
    <t xml:space="preserve">6. Đơn ở trạng thái "Đang giao"; block "LỊCH SỬ" có mốc "Tôi đã lấy hàng" kèm dấu hiệu có ảnh bằng chứng và mở xem được đúng ảnh vừa đính.</t>
  </si>
  <si>
    <t xml:space="preserve">Căn cứ: `DOC-v1.1-01` §8.6.1 BR06-01 — `C-DLV-04` Resolved 2026-09-15 (ảnh lúc lấy hàng có tồn tại). ⚠ `RISK-DLV-11`: popup "Tôi đã lấy hàng" trên demo chưa thấy field ảnh — không thấy ô đính ảnh trên STG ⇒ log bug, ⛔ không sửa TC theo demo.</t>
  </si>
  <si>
    <t xml:space="preserve">Check xác nhận đã lấy hàng vẫn thành công khi không đính ảnh nào</t>
  </si>
  <si>
    <t xml:space="preserve">- Tài khoản A, B, C là ba CBNV khác nhau trên STG.
- Host app FoxPro đã cài trên thiết bị Android/iOS.
Test Data: 0 ảnh — biên dưới hợp lệ (test_data_catalog §DLV — Ảnh lúc lấy hàng)</t>
  </si>
  <si>
    <t xml:space="preserve">1. Đăng nhập bằng tài khoản A, đăng 1 tin NEED khai tài khoản C là người nhận, rồi đăng xuất. (setup)
2. Đăng nhập bằng tài khoản B, nhận đơn đó và xác nhận. (setup)
3. Nhấn "Tôi đã lấy hàng".
4. Nhấn "Xác nhận" mà KHÔNG đính ảnh nào.
5. Check trạng thái đơn trên màn Theo dõi đơn.</t>
  </si>
  <si>
    <t xml:space="preserve">5. Đơn chuyển sang trạng thái "Đang giao" bình thường, không có thông báo lỗi đòi ảnh.</t>
  </si>
  <si>
    <t xml:space="preserve">Mục đích: cặp biên dưới với TC-DLV-041 — ảnh lúc lấy hàng là tuỳ chọn, khác hẳn ảnh lúc giao hàng (bắt buộc ≥1, xem TC-DLV-047). · Căn cứ: `DOC-v1.1-01` §8.6.1 BR06-01 *"tuỳ chọn nhưng được khuyến nghị mạnh"*.</t>
  </si>
  <si>
    <t xml:space="preserve">▬▬  4. Màn Xác nhận đã giao  ·  7 TC (TC-DLV-043…TC-DLV-049)</t>
  </si>
  <si>
    <t xml:space="preserve">DOC-v1.1-01 · DOC-v1.1-03</t>
  </si>
  <si>
    <t xml:space="preserve">Check giao tận tay người nhận chuyển đơn sang đã giao và ghi đúng mốc nhật ký</t>
  </si>
  <si>
    <t xml:space="preserve">- Tài khoản A, B, C là ba CBNV khác nhau trên STG.
- Host app FoxPro đã cài trên thiết bị Android/iOS.
- Thư viện ảnh thiết bị có sẵn ≥5 ảnh JPG, mỗi ảnh ≤5MB.
Test Data: Đơn `IN_TRANSIT` đơn #1 của `SEED-DLV-02`; đối tượng nhận "Người nhận" + 1 ảnh bằng chứng (test_data_catalog §DLV — Đối tượng nhận,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</si>
  <si>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nhận" ở field "Giao cho".
5. Đính 1 ảnh JPG từ thư viện thiết bị.
6. Nhấn "Xác nhận đã giao hàng" và đồng ý ở popup xác nhận.
7. Check trạng thái đơn và dòng mới nhất ở block "LỊCH SỬ".</t>
  </si>
  <si>
    <t xml:space="preserve">7. Đơn chuyển sang trạng thái "Đã giao"; block "LỊCH SỬ" có dòng mới "Đã giao tận tay người nhận" kèm thời điểm.</t>
  </si>
  <si>
    <t xml:space="preserve">Mục đích: luồng chính của `FR07` mở rộng — 3 nhánh còn lại (TC-DLV-044/045/046) đều rẽ từ đúng màn này. · Căn cứ: `DOC-v1.1-01` §8.7.2 + §8.12.4 mẫu câu 1. `RISK-DLV-08` đã Confirmed qua demo 2026-09-16 (luồng submit chạy đúng); vẫn double-check locator trên STG trước khi hardening. · 🔁 Đính chính 2026-09-22 (QC): bước 3 nêu rõ tên nút chính thức "Đã đến địa điểm giao hàng" (v1.1, đổi tên so với "Đã giao cho người nhận" của v1.0) — STG hiện chưa đổi tên, xem BUG-044.</t>
  </si>
  <si>
    <t xml:space="preserve">Check giao cho người được uỷ quyền tự sinh uỷ quyền bởi người nhận và ghi đúng nhật ký</t>
  </si>
  <si>
    <t xml:space="preserve">- Tài khoản A, B, C là ba CBNV khác nhau trên STG.
- Host app FoxPro đã cài trên thiết bị Android/iOS.
- Thư viện ảnh thiết bị có sẵn ≥5 ảnh JPG, mỗi ảnh ≤5MB.
Test Data: Đơn `IN_TRANSIT` đơn #2 của `SEED-DLV-02`; tên 12 ký tự + SĐT hợp lệ (test_data_catalog §DLV — Tên người nhận thay, SĐT người nhận thay)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</si>
  <si>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được uỷ quyền" ở field "Giao cho".
5. Nhập "Nguyễn Văn Bảy" vào ô tên người nhận thay.
6. Nhập "0912345678" vào ô số điện thoại người nhận thay.
7. Đính 1 ảnh JPG từ thư viện thiết bị.
8. Nhấn "Xác nhận đã giao hàng" và đồng ý ở popup xác nhận.
9. Check trạng thái đơn và dòng mới nhất ở block "LỊCH SỬ".</t>
  </si>
  <si>
    <t xml:space="preserve">9. Đơn chuyển sang trạng thái "Đã giao"; block "LỊCH SỬ" có dòng mới "Đã giao cho người được uỷ quyền — Nguyễn Văn Bảy · 0912345678 — uỷ quyền bởi Người nhận".</t>
  </si>
  <si>
    <t xml:space="preserve">Mục đích: chốt giá trị tự sinh của "Uỷ quyền bởi" theo MÀN VÀO chứ không theo loại đối tượng nhận — đối chứng âm là TC-DLV-051 (vào từ màn "Liên hệ người gửi" thì tự sinh "Người gửi"). · Căn cứ: `DOC-v1.1-01` §8.7.1 BR07-03/BR07-04/BR07-05 + §8.12.4 mẫu câu 2. Trường "Uỷ quyền bởi" chỉ đọc, không sửa được. · 🔁 Đính chính 2026-09-22 (QC): bước 3 nêu rõ tên nút chính thức "Đã đến địa điểm giao hàng" (v1.1, đổi tên so với "Đã giao cho người nhận" của v1.0) — STG hiện chưa đổi tên, xem BUG-044.</t>
  </si>
  <si>
    <t xml:space="preserve">Check gửi quầy lễ tân bắt buộc hai ô người trực quầy và ghi đúng tên vào nhật ký</t>
  </si>
  <si>
    <t xml:space="preserve">- Tài khoản A, B, C là ba CBNV khác nhau trên STG.
- Host app FoxPro đã cài trên thiết bị Android/iOS.
- Thư viện ảnh thiết bị có sẵn ≥5 ảnh JPG, mỗi ảnh ≤5MB.
Test Data: Đơn `IN_TRANSIT` đơn #3 của `SEED-DLV-02`;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</si>
  <si>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"Quầy lễ tân" ở field "Giao cho".
5. Đính 1 ảnh JPG rồi nhấn "Xác nhận đã giao hàng" khi vẫn để trống cả hai ô của khối "NGƯỜI NHẬN TẠI QUẦY".
6. Nhập "Trần Thị Lan" vào ô "Họ tên người trực quầy".
7. Nhập "0987654321" vào ô "Số điện thoại".
8. Nhấn "Xác nhận đã giao hàng" và đồng ý ở popup xác nhận.
9. Check trạng thái đơn và dòng mới nhất ở block "LỊCH SỬ".</t>
  </si>
  <si>
    <t xml:space="preserve">9. Đơn chuyển sang trạng thái "Đã giao"; block "LỊCH SỬ" có dòng mới "Đã gửi tại quầy lễ tân — Trần Thị Lan".</t>
  </si>
  <si>
    <t xml:space="preserve">Mục đích: step 5 là vế âm gộp trong cùng TC — submit khi 2 ô trống phải không đi được, nên step 9 mới quan sát được kết quả dương. · Căn cứ: `C-DLV-06` Resolved 2026-09-17 (BA *"trên UI có dấu * bắt buộc mà"*, QA submit thử với 2 ô trống thì form không đi) + `DOC-v1.1-01` §8.7.1 BR07-03 + §8.12.4 mẫu câu 3. ⛔ Chưa assert cờ "không liên lạc được" và `NTF-05`/`NTF-11` — `C-DLV-08` (a)(b) còn Partially, QA tự xác minh qua block "LỊCH SỬ" trước khi siết TC. · 🔁 Đính chính 2026-09-22 (QC): bước 3 nêu rõ tên nút chính thức "Đã đến địa điểm giao hàng" (v1.1, đổi tên so với "Đã giao cho người nhận" của v1.0) — STG hiện chưa đổi tên, xem BUG-044.</t>
  </si>
  <si>
    <t xml:space="preserve">Check gửi quầy bảo vệ ghi đúng mẫu câu nhật ký riêng của quầy bảo vệ</t>
  </si>
  <si>
    <t xml:space="preserve">- Tài khoản A, B, C là ba CBNV khác nhau trên STG.
- Host app FoxPro đã cài trên thiết bị Android/iOS.
- Thư viện ảnh thiết bị có sẵn ≥5 ảnh JPG, mỗi ảnh ≤5MB.
Test Data: Đơn `IN_TRANSIT` đơn #4 của `SEED-DLV-02`;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</si>
  <si>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"Quầy bảo vệ" ở field "Giao cho".
5. Nhập "Lê Văn Tám" vào ô "Họ tên người trực quầy".
6. Nhập "0901112223" vào ô "Số điện thoại".
7. Đính 1 ảnh JPG từ thư viện thiết bị.
8. Nhấn "Xác nhận đã giao hàng" và đồng ý ở popup xác nhận.
9. Check dòng mới nhất ở block "LỊCH SỬ".</t>
  </si>
  <si>
    <t xml:space="preserve">9. Block "LỊCH SỬ" có dòng mới "Đã gửi tại quầy bảo vệ — Lê Văn Tám", ⛔ KHÔNG dùng chữ "quầy lễ tân".</t>
  </si>
  <si>
    <t xml:space="preserve">Mục đích: cặp với TC-DLV-045 — hai quầy dùng hai mẫu câu nhật ký khác nhau, lập trình gộp 1 chuỗi là defect. · Căn cứ: `DOC-v1.1-01` §8.7.1 BR07-03 + §8.12.4 mẫu câu 4. ⛔ Chưa assert cờ/`NTF` — `C-DLV-08` (a)(b) còn Partially. · 🔁 Đính chính 2026-09-22 (QC): bước 3 nêu rõ tên nút chính thức "Đã đến địa điểm giao hàng" (v1.1, đổi tên so với "Đã giao cho người nhận" của v1.0) — STG hiện chưa đổi tên, xem BUG-044.</t>
  </si>
  <si>
    <t xml:space="preserve">Check nút xác nhận đã giao hàng chỉ bật sau khi đính ảnh bằng chứng đầu tiên</t>
  </si>
  <si>
    <t xml:space="preserve">- Tài khoản A, B, C là ba CBNV khác nhau trên STG.
- Host app FoxPro đã cài trên thiết bị Android/iOS.
- Thư viện ảnh thiết bị có sẵn ≥5 ảnh JPG, mỗi ảnh ≤5MB.
Test Data: Đơn `IN_TRANSIT` đơn #1 của `SEED-DLV-02`; 0 ảnh (chặn) và 1 ảnh (biên dưới hợp lệ) (test_data_catalog §DLV —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</si>
  <si>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nhận" ở field "Giao cho" mà chưa đính ảnh nào.
5. Check trạng thái nút "Xác nhận đã giao hàng".
6. Đính 1 ảnh JPG từ thư viện thiết bị.
7. Check lại trạng thái nút "Xác nhận đã giao hàng".</t>
  </si>
  <si>
    <t xml:space="preserve">7. Nút "Xác nhận đã giao hàng" ở trạng thái disable tại step 5 khi chưa có ảnh, và chuyển sang enable ngay sau khi đính ảnh đầu tiên.</t>
  </si>
  <si>
    <t xml:space="preserve">Mục đích: cặp biên dưới 0⟷1 của ảnh bằng chứng lúc giao — ngược hẳn ảnh lúc lấy hàng (TC-DLV-042, 0 ảnh vẫn hợp lệ). · Căn cứ: `DOC-v1.1-01` §8.7.1 BR07-02. Chạy TRƯỚC TC-DLV-043 trên cùng đơn #1 vì TC đó sẽ đẩy đơn sang "Đã giao". · 🔁 Đính chính 2026-09-22 (QC): bước 3 nêu rõ tên nút chính thức "Đã đến địa điểm giao hàng" (v1.1, đổi tên so với "Đã giao cho người nhận" của v1.0) — STG hiện chưa đổi tên, xem BUG-044.</t>
  </si>
  <si>
    <t xml:space="preserve">Check ảnh bằng chứng đã gắn mốc nhật ký không xoá được từ màn theo dõi đơn</t>
  </si>
  <si>
    <t xml:space="preserve">- Tài khoản A, B, C là ba CBNV khác nhau trên STG.
- Host app FoxPro đã cài trên thiết bị Android/iOS.
- Thư viện ảnh thiết bị có sẵn ≥5 ảnh JPG, mỗi ảnh ≤5MB.
Test Data: Đơn `DELIVERED` có 1 ảnh bằng chứng = `SEED-DLV-05` (test_data_catalog §DLV —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</si>
  <si>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mở ảnh bằng chứng vừa ghi.
5. Nhấn giữ vào ảnh và tìm thao tác xoá ảnh.
6. Check ảnh bằng chứng ở mốc "Đã giao" sau khi đã thử xoá.</t>
  </si>
  <si>
    <t xml:space="preserve">6. KHÔNG có thao tác xoá nào khả dụng và ảnh bằng chứng vẫn còn nguyên ở mốc nhật ký.</t>
  </si>
  <si>
    <t xml:space="preserve">Căn cứ: `DOC-v1.1-01` §8.7.1 BR07-07 — ảnh gắn vào mốc nhật ký là bất biến. Liên quan cùng nhóm bất biến với TC-DLV-078 (log append-only).</t>
  </si>
  <si>
    <t xml:space="preserve">Check huỷ ở popup xác nhận giao hàng không ghi mốc và giữ nguyên trạng thái đơn</t>
  </si>
  <si>
    <t xml:space="preserve">- Tài khoản A, B, C là ba CBNV khác nhau trên STG.
- Host app FoxPro đã cài trên thiết bị Android/iOS.
- Thư viện ảnh thiết bị có sẵn ≥5 ảnh JPG, mỗi ảnh ≤5MB.
Test Data: Đơn `IN_TRANSIT` đơn #1 của `SEED-DLV-02`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</si>
  <si>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và đính 1 ảnh JPG. (setup)
4. Nhấn "Xác nhận đã giao hàng".
5. Check nội dung popup xác nhận.
6. Nhấn nút huỷ ở popup.
7. Check trạng thái đơn và số dòng ở block "LỊCH SỬ".</t>
  </si>
  <si>
    <t xml:space="preserve">7. Đơn vẫn ở trạng thái "Đang giao" và block "LỊCH SỬ" KHÔNG có dòng mốc mới nào được thêm.</t>
  </si>
  <si>
    <t xml:space="preserve">Mục đích: đối chứng âm cho TC-DLV-043 — popup phải là gate thật, không phải thông báo trang trí. · Căn cứ: `DOC-v1.1-01` §8.7.1 BR07-06 (popup nêu rõ hệ quả không thể hoàn tác trước khi ghi mốc). Chạy TRƯỚC TC-DLV-043 trên cùng đơn #1.</t>
  </si>
  <si>
    <t xml:space="preserve">▬▬  5. Luồng không liên lạc được  ·  8 TC (TC-DLV-050…TC-DLV-057)</t>
  </si>
  <si>
    <t xml:space="preserve">Check luồng không liên lạc được đi đúng bốn tầng và ba phương án đúng thứ tự</t>
  </si>
  <si>
    <t xml:space="preserve">- Tài khoản A, B, C là ba CBNV khác nhau trên STG.
- Host app FoxPro đã cài trên thiết bị Android/iOS.
Test Data: Đơn `IN_TRANSIT` = `SEED-DLV-03`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</si>
  <si>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4. Check tên màn vừa mở và các thành phần trên màn đó.
5. Nhấn "Không thể liên lạc với người gửi và người nhận?".
6. Check tiêu đề và hai lựa chọn của modal vừa hiện.
7. Nhấn "Xử lý đơn hàng".
8. Check tên màn vừa mở và thứ tự các phương án trên màn đó.</t>
  </si>
  <si>
    <t xml:space="preserve">8. Màn "Xử lý đơn hàng" hiển thị đúng ba phương án theo thứ tự từ trên xuống: "Gửi tại chốt bảo vệ", "Gửi tại quầy lễ tân", "Cầm hàng về".</t>
  </si>
  <si>
    <t xml:space="preserve">Mục đích: `BR08-02` ghi thứ tự NGƯỢC (lễ tân trước bảo vệ) và mô tả 1 danh sách 4 bước — assert theo PRD sẽ FAIL oan. · Căn cứ: `C-DLV-06` **Resolved 2026-09-17** — cấu trúc 4 tầng (màn "Xác nhận đã giao" → màn "Liên hệ người gửi" → modal "Chưa liên lạc được?" → màn "Xử lý đơn hàng") và thứ tự bảo-vệ-trước là oracle chính thức, khớp `AC-17.1.01`/`§8.8.2`. App lệch bản này ⇒ log bug và dẫn `C-DLV-06`, ⛔ không sửa TC theo `BR08-02`.</t>
  </si>
  <si>
    <t xml:space="preserve">Check màn liên hệ người gửi để trống ô người nhận thay và tự sinh uỷ quyền bởi người gửi</t>
  </si>
  <si>
    <t xml:space="preserve">- Tài khoản A, B, C là ba CBNV khác nhau trên STG.
- Host app FoxPro đã cài trên thiết bị Android/iOS.
Test Data: Đơn `IN_TRANSIT` = `SEED-DLV-03` (test_data_catalog §DLV — Tên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</si>
  <si>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(setup)
4. Chọn "Người được uỷ quyền" ở field "Giao cho" trên màn "Liên hệ người gửi".
5. Check giá trị hai ô tên và số điện thoại người nhận thay, dòng "Uỷ quyền bởi", khu vực liên hệ người gửi và dấu bắt buộc của ô ảnh.</t>
  </si>
  <si>
    <t xml:space="preserve">5. Hai ô tên và số điện thoại người nhận thay để TRỐNG, dòng "Uỷ quyền bởi" hiển thị "Người gửi" ở trạng thái chỉ đọc, màn hiện số điện thoại người gửi kèm nút gọi, và ô ảnh mang dấu bắt buộc.</t>
  </si>
  <si>
    <t xml:space="preserve">Mục đích: đối chứng với TC-DLV-044 — cùng loại đối tượng nhận nhưng khác MÀN VÀO nên "Uỷ quyền bởi" phải ra giá trị ngược lại; và ở màn này ⛔ KHÔNG prefill người uỷ quyền người gửi đã khai. · Căn cứ: `DOC-v1.1-01` §8.8.1 BR08-03 + §8.7.1 BR07-05. Gộp bốn quan sát vào 1 step Check cuối theo `Project_rule §10.4` mục 1 — cả bốn thuộc cùng một trạng thái tĩnh của màn.</t>
  </si>
  <si>
    <t xml:space="preserve">Check gửi quầy từ màn xử lý đơn hàng chuyển đơn sang đã giao khi nhập đủ tên và ảnh</t>
  </si>
  <si>
    <t xml:space="preserve">- Tài khoản A, B, C là ba CBNV khác nhau trên STG.
- Host app FoxPro đã cài trên thiết bị Android/iOS.
- Thư viện ảnh thiết bị có sẵn ≥5 ảnh JPG, mỗi ảnh ≤5MB.
Test Data: Đơn `IN_TRANSIT` = `SEED-DLV-03`;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</si>
  <si>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quầy lễ tân".
5. Nhập "Phạm Thị Hoa" vào ô "Họ tên người trực quầy".
6. Nhập "0933444555" vào ô "Số điện thoại".
7. Đính 1 ảnh JPG từ thư viện thiết bị.
8. Nhấn nút xác nhận và đồng ý ở popup xác nhận.
9. Check trạng thái đơn và dòng mới nhất ở block "LỊCH SỬ".</t>
  </si>
  <si>
    <t xml:space="preserve">9. Đơn chuyển sang trạng thái "Đã giao"; block "LỊCH SỬ" có dòng mới "Đã gửi tại quầy lễ tân — Phạm Thị Hoa".</t>
  </si>
  <si>
    <t xml:space="preserve">Mục đích: đường thứ hai tới cùng kết cục của TC-DLV-045 — hai đường phải cùng đòi tên người trực quầy, SĐT và ảnh. · Căn cứ: `DOC-v1.1-01` §8.8.1 BR08-04 + §8.12.4 mẫu câu 3. ⛔ Chưa assert điểm phân biệt với TC-DLV-045 (cờ "không liên lạc được" / `NTF-05` ⟷ `NTF-11`) — `C-DLV-08` (a)(b) còn Partially, QA vibe-check block "LỊCH SỬ" xong mới siết. ⛔ Không assert hạn giữ hàng 4h/24h — out of scope v1.1.</t>
  </si>
  <si>
    <t xml:space="preserve">Check không nhập được tên người trực quầy thì buộc chuyển sang cầm hàng về</t>
  </si>
  <si>
    <t xml:space="preserve">- Tài khoản A, B, C là ba CBNV khác nhau trên STG.
- Host app FoxPro đã cài trên thiết bị Android/iOS.
- Thư viện ảnh thiết bị có sẵn ≥5 ảnh JPG, mỗi ảnh ≤5MB.
Test Data: Đơn `IN_TRANSIT` = `SEED-DLV-03`; ô tên người trực quầy rỗng (test_data_catalog §DLV — Tên người trực quầy, nhánh invalid)</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</si>
  <si>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chốt bảo vệ".
5. Đính 1 ảnh JPG và để TRỐNG ô "Họ tên người trực quầy".
6. Nhấn nút xác nhận.
7. Check trạng thái đơn và các phương án còn khả dụng trên màn.</t>
  </si>
  <si>
    <t xml:space="preserve">7. Đơn vẫn ở trạng thái "Đang giao" và màn vẫn còn phương án "Cầm hàng về" để chọn tiếp.</t>
  </si>
  <si>
    <t xml:space="preserve">Mục đích: chốt đường thoát khi không có người trực quầy — nhánh gửi quầy phải đóng lại chứ không được cho qua với tên rỗng. · Căn cứ: `DOC-v1.1-01` §8.8.1 BR08-07 + `C-DLV-06` Resolved 2026-09-17 (2 ô quầy là ràng buộc thật, QA đã submit thử với ô trống và form không đi).</t>
  </si>
  <si>
    <t xml:space="preserve">Check người gửi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</si>
  <si>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</si>
  <si>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A, nhấn tab "Hoạt động" và mở đơn đó. (setup)
5. Mở block "LỊCH SỬ" và check cảnh báo gắn với mốc gửi quầy.</t>
  </si>
  <si>
    <t xml:space="preserve">5. Block "LỊCH SỬ" hiển thị cảnh báo không liên lạc được người nhận gắn đúng mốc gửi quầy.</t>
  </si>
  <si>
    <t xml:space="preserve">Mục đích: 1 trong 3 ô vai — cảnh báo phải hiện cho CẢ 3 bên, ẩn với 1 vai là defect. · Căn cứ: `DOC-v1.1-01` §8.8.1 BR08-05.</t>
  </si>
  <si>
    <t xml:space="preserve">Check người vận chuyển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</si>
  <si>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</si>
  <si>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(setup)
4. Nhấn tab "Hoạt động" và mở lại đơn đó. (setup)
5. Mở block "LỊCH SỬ" và check cảnh báo gắn với mốc gửi quầy.</t>
  </si>
  <si>
    <t xml:space="preserve">Căn cứ: `DOC-v1.1-01` §8.8.1 BR08-05.</t>
  </si>
  <si>
    <t xml:space="preserve">Check người nhận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</si>
  <si>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</si>
  <si>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C, nhấn tab "Hoạt động" và mở đơn đó. (setup)
5. Mở block "LỊCH SỬ" và check cảnh báo gắn với mốc gửi quầy.</t>
  </si>
  <si>
    <t xml:space="preserve">Mục đích: vai nhạy cảm nhất của bộ ba — chính người nhận là bên bị ghi "không liên lạc được" nên dễ bị ẩn cảnh báo nhất. · Căn cứ: `DOC-v1.1-01` §8.8.1 BR08-05.</t>
  </si>
  <si>
    <t xml:space="preserve">Check người nhận nhận đủ hai thông báo nhắc sau bốn giờ và cuối ngày giữ hàng tại quầy</t>
  </si>
  <si>
    <t xml:space="preserve">- Tài khoản A, B, C là ba CBNV khác nhau trên STG.
- Host app FoxPro đã cài trên thiết bị Android/iOS.
- Dev/QA hỗ trợ lùi timestamp đơn để vượt mốc 4 giờ — ⛔ không tái tạo được qua UI.
Test Data: Đơn gửi quầy chưa xác nhận, đã vượt mốc 4h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</si>
  <si>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người trực quầy và số điện thoại, đính 1 ảnh rồi xác nhận, sau đó đăng xuất. (setup)
4. Nhờ dev/QA lùi timestamp của mốc gửi quầy để vượt mốc 4 giờ, rồi chờ tới hết ngày làm việc mà tài khoản C không xác nhận đã nhận hàng. (setup)
5. Đăng nhập bằng tài khoản C, nhấn tab "Thông báo" và check các thông báo của đơn này.</t>
  </si>
  <si>
    <t xml:space="preserve">5. Tab "Thông báo" có đủ hai thông báo nhắc cho đơn này — một sau mốc 4 giờ và một vào cuối ngày.</t>
  </si>
  <si>
    <t xml:space="preserve">Mục đích: `§8.13.1` liệt kê 15 loại thông báo và KHÔNG có loại "nhắc" nào — TC này chính là điểm đối chiếu danh mục với hành vi thật. · Căn cứ: `DOC-v1.1-01` §8.8.1 BR08-06 + `C-DLV-07` Resolved 2026-09-17 (hệ thống CHỈ gửi remind). ⛔ Không assert giờ cụ thể của "cuối ngày" và không FAIL vì kênh push hay in-app — BA không đặc tả, giới hạn đã chấp nhận. ⛔ Không assert vế "sau 24h chuyển admin hỗ trợ" — out of scope v1.1, KHÔNG log bug khi không thấy. · 🚫 Deferred — cần tiền đề thời gian thực, chạy chung lô với TC-DLV-024 (v1.0), TC-DLV-067 và SC-TS-006 (QC GiangDC2, 2026-09-17)</t>
  </si>
  <si>
    <t xml:space="preserve">▬▬  6. Cầm hàng về  ·  10 TC (TC-DLV-058…TC-DLV-067)</t>
  </si>
  <si>
    <t xml:space="preserve">Check chọn giao lại sau đổi nhãn khối lịch hẹn sang hẹn giao lại và nơi giao lại</t>
  </si>
  <si>
    <t xml:space="preserve">- Tài khoản A, B, C là ba CBNV khác nhau trên STG.
- Host app FoxPro đã cài trên thiết bị Android/iOS.
Test Data: Đơn `IN_TRANSIT` = `SEED-DLV-03`; chế độ `retry`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</si>
  <si>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giao lại sau".
5. Check tiêu đề khối lịch hẹn và nhãn ô địa điểm.</t>
  </si>
  <si>
    <t xml:space="preserve">5. Khối lịch hẹn mang tiêu đề "Hẹn giao lại" và ô địa điểm mang nhãn "Nơi giao lại".</t>
  </si>
  <si>
    <t xml:space="preserve">Mục đích: cặp với TC-DLV-059 — hai chế độ dùng chung một form nên rất dễ bị lập trình cứng một bộ nhãn. · Căn cứ: `DOC-v1.1-01` §8.9.2 BR09-02.</t>
  </si>
  <si>
    <t xml:space="preserve">Check chọn trả về cho người gửi đổi nhãn khối lịch hẹn sang hẹn trả hàng và nơi nhận lại hàng</t>
  </si>
  <si>
    <t xml:space="preserve">- Tài khoản A, B, C là ba CBNV khác nhau trên STG.
- Host app FoxPro đã cài trên thiết bị Android/iOS.
Test Data: Đơn `IN_TRANSIT` = `SEED-DLV-03`; chế độ `return`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</si>
  <si>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Check tiêu đề khối lịch hẹn và nhãn ô địa điểm.</t>
  </si>
  <si>
    <t xml:space="preserve">5. Khối lịch hẹn mang tiêu đề "Hẹn trả hàng" và ô địa điểm mang nhãn "Nơi nhận lại hàng".</t>
  </si>
  <si>
    <t xml:space="preserve">Căn cứ: `DOC-v1.1-01` §8.9.2 BR09-02 + vibe-check demo 2026-09-17 (`C-DLV-05` — khối "Hẹn trả hàng" do chính Carrier nhập tại màn "Xử lý đơn hàng").</t>
  </si>
  <si>
    <t xml:space="preserve">Check ngày hẹn nhận đúng bảy ngày và chặn ngày thứ tám</t>
  </si>
  <si>
    <t xml:space="preserve">- Tài khoản A, B, C là ba CBNV khác nhau trên STG.
- Host app FoxPro đã cài trên thiết bị Android/iOS.
Test Data: Ngày hẹn +7 ngày (hợp lệ) và +8 ngày (chặn) (test_data_catalog §DLV — Ngày hẹn cầm hàng về, biên)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</si>
  <si>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rồi chọn "Tôi sẽ giao lại sau". (setup)
4. Chọn ngày hẹn là ngày hiện tại cộng 7 ngày.
5. Chọn lại ngày hẹn là ngày hiện tại cộng 8 ngày.
6. Check trạng thái ô "Ngày hẹn" và thông báo lỗi nếu có.</t>
  </si>
  <si>
    <t xml:space="preserve">6. Ngày cộng 7 được nhận không báo lỗi, còn ngày cộng 8 bị chặn kèm thông báo lỗi ở ô "Ngày hẹn".</t>
  </si>
  <si>
    <t xml:space="preserve">Mục đích: cặp biên trên của trần 7 ngày — hai giá trị liền kề fail độc lập nên phải nằm trong cùng 1 TC để so được. · Căn cứ: `DOC-v1.1-01` §8.9.2 BR09-04.</t>
  </si>
  <si>
    <t xml:space="preserve">Check khoảng giờ hẹn nhận đúng ba mươi phút và chặn khoảng hai mươi chín phút</t>
  </si>
  <si>
    <t xml:space="preserve">- Tài khoản A, B, C là ba CBNV khác nhau trên STG.
- Host app FoxPro đã cài trên thiết bị Android/iOS.
Test Data: Giờ hẹn 30 phút (hợp lệ), 29 phút (chặn), giờ đến ≤ giờ từ (chặn) (test_data_catalog §DLV — Giờ hẹn từ–đến, biên)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</si>
  <si>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và chọn ngày hẹn hợp lệ. (setup)
4. Chọn giờ từ "09:00" và giờ đến "09:30".
5. Chọn lại giờ đến "09:29".
6. Chọn lại giờ đến "08:30".
7. Check trạng thái hai ô giờ và thông báo lỗi nếu có.</t>
  </si>
  <si>
    <t xml:space="preserve">7. Khoảng 09:00–09:30 được nhận không báo lỗi, còn khoảng 09:00–09:29 và khoảng có giờ đến nhỏ hơn giờ từ đều bị chặn kèm thông báo lỗi.</t>
  </si>
  <si>
    <t xml:space="preserve">Mục đích: gộp ba giá trị vào 1 step Check cuối theo `Project_rule §10.4` mục 1 — cả ba cùng thuộc một trạng thái tĩnh của form, không mất khả năng bắt lỗi riêng vì Expected nêu đích danh từng khoảng. · Căn cứ: `DOC-v1.1-01` §8.9.2 BR09-03.</t>
  </si>
  <si>
    <t xml:space="preserve">Check người vận chuyển mở lại màn giao hàng đưa đơn hẹn giao lại về đang giao</t>
  </si>
  <si>
    <t xml:space="preserve">- Tài khoản A, B, C là ba CBNV khác nhau trên STG.
- Host app FoxPro đã cài trên thiết bị Android/iOS.
Test Data: Đơn `RESCHEDULED`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</si>
  <si>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(setup)
4. Nhấn tab "Hoạt động" và mở lại đơn đó.
5. Nhấn "Giao lại theo lịch".
6. Check màn vừa mở và trạng thái đơn.</t>
  </si>
  <si>
    <t xml:space="preserve">6. Màn giao hàng mở lại được và đơn trở về trạng thái "Đang giao".</t>
  </si>
  <si>
    <t xml:space="preserve">Mục đích: `AC-18.1.01` viết *"theo lịch hẹn, đơn quay lại IN_TRANSIT"* — đọc được thành hệ thống tự chuyển, chạy TC theo cách hiểu đó sẽ treo chờ đúng giờ. · Căn cứ: `C-DLV-05` **Resolved 2026-09-17** — chính người vận chuyển bấm, không có gate chặn theo giờ nên bấm sớm hơn lịch hẹn vẫn đi được; không giới hạn số lần hẹn. App chặn theo giờ ⇒ log bug và dẫn `C-DLV-05`.</t>
  </si>
  <si>
    <t xml:space="preserve">Check người gửi xác nhận đã nhận lại hàng đóng đơn ở trạng thái đã trả người gửi</t>
  </si>
  <si>
    <t xml:space="preserve">- Tài khoản A, B, C là ba CBNV khác nhau trên STG.
- Host app FoxPro đã cài trên thiết bị Android/iOS.
Test Data: Đơn `RETURNING`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</si>
  <si>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nhấn tab "Hoạt động" và mở đơn đó. (setup)
5. Nhấn "Xác nhận đã nhận lại hàng" và đồng ý ở popup xác nhận.
6. Check trạng thái đơn và tab chứa đơn.</t>
  </si>
  <si>
    <t xml:space="preserve">6. Đơn chuyển sang trạng thái đã trả lại người gửi và nằm ở tab "Đã hoàn thành".</t>
  </si>
  <si>
    <t xml:space="preserve">Căn cứ: `DOC-v1.1-01` §8.9.1 BR09-06. Đây là bước tạo trạng thái `RETURNED` dùng chung cho TC-DLV-037/038/039, TC-DLV-064/065, TC-DLV-073 và cho `GIFT`/`ACT` — chạy xong mới chạy nhóm đó.</t>
  </si>
  <si>
    <t xml:space="preserve">Check đơn đã trả người gửi không mở bước tặng quà cho người gửi</t>
  </si>
  <si>
    <t xml:space="preserve">- Tài khoản A, B, C là ba CBNV khác nhau trên STG.
- Host app FoxPro đã cài trên thiết bị Android/iOS.
Test Data: Đơn `RETURNED`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</si>
  <si>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Check màn Theo dõi đơn ngay sau khi xác nhận và các nút trên đơn ở tab "Đã hoàn thành".</t>
  </si>
  <si>
    <t xml:space="preserve">5. KHÔNG có bước tặng quà nào mở ra và đơn KHÔNG có nút tặng quà.</t>
  </si>
  <si>
    <t xml:space="preserve">Mục đích: oracle bảo vệ ranh giới `RETURNED` ⟷ `COMPLETED` — lỗi hay gặp nhất là coi hoàn hàng như một dạng hoàn thành. Chạy sớm nhất trong nhóm hậu-hoàn-hàng. · Căn cứ: `DOC-v1.1-01` §8.9.1 BR09-06 + §8.14.1 (bước tặng quà chỉ mở ở đơn Hoàn thành). Cặp với TC-DLV-065.</t>
  </si>
  <si>
    <t xml:space="preserve">Check đơn đã trả người gửi không làm tăng chỉ số đơn đã giúp của người vận chuyển</t>
  </si>
  <si>
    <t xml:space="preserve">- Tài khoản A, B, C là ba CBNV khác nhau trên STG.
- Host app FoxPro đã cài trên thiết bị Android/iOS.
Test Data: Đơn `RETURNED`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</si>
  <si>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mở Trang chủ và ghi lại con số "đơn đã giúp" ở khối hero. (setup)
3. Nhận đơn đó, nhấn "Tôi đã lấy hàng" và xác nhận. (setup)
4. Mở màn "Xác nhận đã giao", nhấn "Không thể liên lạc cho người nhận?", đi tiếp tới màn "Xử lý đơn hàng", nhấn "Cầm hàng về", chọn "Tôi sẽ trả về cho người gửi", nhập lịch hẹn hợp lệ và xác nhận, rồi đăng xuất. (setup)
5. Đăng nhập bằng tài khoản A, mở đơn đó, nhấn "Xác nhận đã nhận lại hàng" rồi đăng xuất. (setup)
6. Đăng nhập lại bằng tài khoản B, mở Trang chủ và check con số "đơn đã giúp" ở khối hero.</t>
  </si>
  <si>
    <t xml:space="preserve">6. Con số "đơn đã giúp" bằng đúng con số đã ghi ở step 2, không tăng.</t>
  </si>
  <si>
    <t xml:space="preserve">Mục đích: điểm fail độc lập với TC-DLV-064 — bước tặng quà và chỉ số đóng góp là hai bề mặt khác nhau, khoá một bề mặt không đảm bảo khoá bề mặt kia. · Căn cứ: `DOC-v1.1-01` §8.9.1 BR09-06. Đơn vẫn phải xuất hiện trong tab "Đã hoàn thành" — verify ở TC-DLV-063.</t>
  </si>
  <si>
    <t xml:space="preserve">Check lý do người nhận từ chối nhận hàng được lưu vào nhật ký đơn</t>
  </si>
  <si>
    <t xml:space="preserve">- Tài khoản A, B, C là ba CBNV khác nhau trên STG.
- Host app FoxPro đã cài trên thiết bị Android/iOS.
Test Data: Đơn `IN_TRANSIT` = `SEED-DLV-03`; chế độ `return` + ghi chú lý do từ chối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</si>
  <si>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Nhập "Người nhận từ chối nhận hàng" vào ô ghi chú.
6. Nhập lịch hẹn hợp lệ và nhấn xác nhận.
7. Mở block "LỊCH SỬ" và check ghi chú kèm mốc cầm hàng về.</t>
  </si>
  <si>
    <t xml:space="preserve">7. Block "LỊCH SỬ" lưu đúng nguyên văn ghi chú "Người nhận từ chối nhận hàng" gắn với mốc cầm hàng về.</t>
  </si>
  <si>
    <t xml:space="preserve">Căn cứ: `DOC-v1.1-01` §8.9.1 BR09-07 — từ chối nhận hàng đi chung nhánh return, phân biệt với nhánh không liên lạc được chỉ bằng ghi chú.</t>
  </si>
  <si>
    <t xml:space="preserve">Check đơn quá lịch hẹn hai mươi bốn giờ không tự chuyển sang hoàn thành</t>
  </si>
  <si>
    <t xml:space="preserve">- Tài khoản A, B, C là ba CBNV khác nhau trên STG.
- Host app FoxPro đã cài trên thiết bị Android/iOS.
- Dev/QA hỗ trợ lùi timestamp lịch hẹn để vượt mốc 24 giờ — ⛔ không tái tạo được qua UI.
Test Data: Đơn `RESCHEDULED` đã quá lịch hẹn 24h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</si>
  <si>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rồi đăng xuất. (setup)
4. Nhờ dev/QA lùi timestamp lịch hẹn để vượt mốc 24 giờ mà không ai đóng đơn. (setup)
5. Đăng nhập bằng tài khoản A, nhấn tab "Hoạt động" và mở đơn đó. (setup)
6. Check trạng thái đơn, nhãn trên đơn và tab chứa đơn.</t>
  </si>
  <si>
    <t xml:space="preserve">6. Đơn KHÔNG ở trạng thái "Hoàn thành", KHÔNG có nhãn hay cờ mới nào so với trước mốc, và vẫn nằm ở tab "Đang diễn ra".</t>
  </si>
  <si>
    <t xml:space="preserve">Mục đích: vế duy nhất còn assert được của `BR09-04` sau khi BA cắt scope — dễ bị bỏ sót vì cả câu rule đã bị coi là out of scope. · Căn cứ: `AC-23.2.01` câu cuối + `C-DLV-07` Resolved 2026-09-17 (chỉ gửi remind, đơn không đổi trạng thái/nhãn/cờ). ⛔ Không assert vế "chuyển admin hỗ trợ" — out of scope v1.1, KHÔNG log bug khi không thấy. · 🚫 Deferred — cần tiền đề thời gian thực, chạy chung lô với TC-DLV-024 (v1.0), TC-DLV-057 và SC-TS-006 (QC GiangDC2, 2026-09-17)</t>
  </si>
  <si>
    <t xml:space="preserve">▬▬  7. Nhật ký sáu mẫu câu  ·  6 TC (TC-DLV-068…TC-DLV-073)</t>
  </si>
  <si>
    <t xml:space="preserve">Check nhật ký ghi đúng nguyên văn mẫu câu giao tận tay người nhận</t>
  </si>
  <si>
    <t xml:space="preserve">- Tài khoản A, B, C là ba CBNV khác nhau trên STG.
- Host app FoxPro đã cài trên thiết bị Android/iOS.
- Thư viện ảnh thiết bị có sẵn ≥5 ảnh JPG, mỗi ảnh ≤5MB.
Test Data: Đơn `DELIVERED` qua nhánh giao tận tay = `SEED-DLV-05` (test_data_catalog §DLV — Đối tượng nhận)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</si>
  <si>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check dòng mốc giao hàng.</t>
  </si>
  <si>
    <t xml:space="preserve">4. Dòng mốc giao hàng ghi đúng nguyên văn "Đã giao tận tay người nhận", kèm thời điểm và dấu hiệu có ảnh bằng chứng.</t>
  </si>
  <si>
    <t xml:space="preserve">Mục đích: 1 trong 6 mẫu câu nhật ký của `§8.12.4` — mỗi mẫu câu là 1 chuỗi verbatim riêng, sai chữ nào là defect chữ đó. · Căn cứ: `DOC-v1.1-01` §8.12.4 mẫu câu 1 + dòng "Mọi dòng" (thời điểm + cờ không liên lạc nếu có + dấu hiệu có ảnh). Assert nguyên văn kể cả dấu gạch ngang, ⛔ không paraphrase.</t>
  </si>
  <si>
    <t xml:space="preserve">Check nhật ký ghi đúng nguyên văn mẫu câu giao cho người được uỷ quyền</t>
  </si>
  <si>
    <t xml:space="preserve">- Tài khoản A, B, C là ba CBNV khác nhau trên STG.
- Host app FoxPro đã cài trên thiết bị Android/iOS.
- Thư viện ảnh thiết bị có sẵn ≥5 ảnh JPG, mỗi ảnh ≤5MB.
Test Data: Đơn `DELIVERED` qua nhánh uỷ quyền; tên 12 ký tự + SĐT hợp lệ (test_data_catalog §DLV — Tên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</si>
  <si>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block "LỊCH SỬ" và check dòng mốc giao hàng.</t>
  </si>
  <si>
    <t xml:space="preserve">4. Dòng mốc giao hàng ghi đúng nguyên văn "Đã giao cho người được uỷ quyền — Nguyễn Văn Bảy · 0912345678 — uỷ quyền bởi Người nhận", kèm thời điểm và dấu hiệu có ảnh bằng chứng.</t>
  </si>
  <si>
    <t xml:space="preserve">Mục đích: mẫu câu phức tạp nhất trong 6 mẫu — có 2 biến nội dung và 1 biến nguồn uỷ quyền, dễ ghép sai thứ tự. · Căn cứ: `DOC-v1.1-01` §8.12.4 mẫu câu 2. Assert nguyên văn kể cả dấu gạch ngang và dấu chấm giữa tên với số điện thoại.</t>
  </si>
  <si>
    <t xml:space="preserve">Check nhật ký ghi đúng nguyên văn mẫu câu gửi tại quầy lễ tân</t>
  </si>
  <si>
    <t xml:space="preserve">- Tài khoản A, B, C là ba CBNV khác nhau trên STG.
- Host app FoxPro đã cài trên thiết bị Android/iOS.
- Thư viện ảnh thiết bị có sẵn ≥5 ảnh JPG, mỗi ảnh ≤5MB.
Test Data: Đơn `DELIVERED` qua nhánh quầy lễ tân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</si>
  <si>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"Trần Thị Lan" và số điện thoại "0987654321", đính 1 ảnh JPG rồi nhấn "Xác nhận đã giao hàng" và đồng ý ở popup. (setup)
4. Mở block "LỊCH SỬ" và check dòng mốc giao hàng.</t>
  </si>
  <si>
    <t xml:space="preserve">4. Dòng mốc giao hàng ghi đúng nguyên văn "Đã gửi tại quầy lễ tân — Trần Thị Lan", kèm thời điểm và dấu hiệu có ảnh bằng chứng.</t>
  </si>
  <si>
    <t xml:space="preserve">Căn cứ: `DOC-v1.1-01` §8.12.4 mẫu câu 3. Assert nguyên văn, ⛔ không paraphrase.</t>
  </si>
  <si>
    <t xml:space="preserve">Check nhật ký ghi đúng nguyên văn mẫu câu gửi tại quầy bảo vệ</t>
  </si>
  <si>
    <t xml:space="preserve">- Tài khoản A, B, C là ba CBNV khác nhau trên STG.
- Host app FoxPro đã cài trên thiết bị Android/iOS.
- Thư viện ảnh thiết bị có sẵn ≥5 ảnh JPG, mỗi ảnh ≤5MB.
Test Data: Đơn `DELIVERED` qua nhánh quầy bảo vệ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</si>
  <si>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bảo vệ", nhập tên "Lê Văn Tám" và số điện thoại "0901112223", đính 1 ảnh JPG rồi nhấn "Xác nhận đã giao hàng" và đồng ý ở popup. (setup)
4. Mở block "LỊCH SỬ" và check dòng mốc giao hàng.</t>
  </si>
  <si>
    <t xml:space="preserve">4. Dòng mốc giao hàng ghi đúng nguyên văn "Đã gửi tại quầy bảo vệ — Lê Văn Tám", kèm thời điểm và dấu hiệu có ảnh bằng chứng.</t>
  </si>
  <si>
    <t xml:space="preserve">Mục đích: cặp với TC-DLV-070 — hai quầy là hai mẫu câu tách biệt trong bảng `§8.12.4`, gộp 1 chuỗi có tham số là defect. · Căn cứ: `DOC-v1.1-01` §8.12.4 mẫu câu 4.</t>
  </si>
  <si>
    <t xml:space="preserve">Check nhật ký ghi đúng nguyên văn mẫu câu cầm hàng về kèm lịch hẹn giao lại</t>
  </si>
  <si>
    <t xml:space="preserve">- Tài khoản A, B, C là ba CBNV khác nhau trên STG.
- Host app FoxPro đã cài trên thiết bị Android/iOS.
Test Data: Đơn `RESCHEDULED` = `SEED-DLV-03`; lịch hẹn hợp lệ + nơi hẹn (test_data_catalog §DLV — Ngày hẹn, Giờ hẹn từ–đến, Nơi hẹn)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</si>
  <si>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ngày hẹn hợp lệ, giờ "09:00" đến "10:00", nơi hẹn "Sảnh toà FPT Tower" rồi xác nhận. (setup)
4. Mở block "LỊCH SỬ" và check dòng mốc cầm hàng về.</t>
  </si>
  <si>
    <t xml:space="preserve">4. Dòng mốc ghi đúng nguyên văn "Cầm hàng về — hẹn giao lại" kèm đúng ngày hẹn, khoảng giờ 09:00–10:00 và nơi hẹn "Sảnh toà FPT Tower" đã nhập.</t>
  </si>
  <si>
    <t xml:space="preserve">Căn cứ: `DOC-v1.1-01` §8.12.4 mẫu câu 5 — ba biến ngày/giờ/nơi hẹn phải khớp đúng giá trị vừa nhập ở form.</t>
  </si>
  <si>
    <t xml:space="preserve">Check nhật ký ghi đúng nguyên văn mẫu câu đã trả lại người gửi</t>
  </si>
  <si>
    <t xml:space="preserve">- Tài khoản A, B, C là ba CBNV khác nhau trên STG.
- Host app FoxPro đã cài trên thiết bị Android/iOS.
Test Data: Đơn `RETURNED` = `SEED-DLV-03`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</si>
  <si>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Mở block "LỊCH SỬ" và check dòng mốc cuối cùng.</t>
  </si>
  <si>
    <t xml:space="preserve">5. Dòng mốc cuối cùng ghi đúng nguyên văn "Đã trả lại người gửi", kèm thời điểm.</t>
  </si>
  <si>
    <t xml:space="preserve">Căn cứ: `DOC-v1.1-01` §8.12.4 mẫu câu 6 — mẫu câu duy nhất do người gửi kích hoạt, 5 mẫu còn lại do người vận chuyển.</t>
  </si>
  <si>
    <t xml:space="preserve">▬▬  8. State machine transitions  ·  3 TC (TC-DLV-074…TC-DLV-076)</t>
  </si>
  <si>
    <t xml:space="preserve">Check chuyển thẳng đơn chờ ghép sang đã giao bị từ chối và không ghi mốc</t>
  </si>
  <si>
    <t xml:space="preserve">- Tài khoản A, B, C là ba CBNV khác nhau trên STG.
- Host app FoxPro đã cài trên thiết bị Android/iOS.
- Có sẵn công cụ proxy chặn và phát lại request trỏ vào app FoxEco trên STG.
Test Data: Transition `POSTED` → `DELIVERED` — ngoài bảng transition hợp lệ (test_data_catalog §DLV — Trạng thái đơn mở rộng, nhánh invalid)</t>
  </si>
  <si>
    <t xml:space="preserve">1. Đăng nhập bằng tài khoản A, đăng 1 tin NEED khai tài khoản C là người nhận. (setup)
2. Bật proxy chặn request và ghi lại request app gửi đi khi xác nhận một mốc trạng thái ở đơn khác. (setup)
3. Sửa request đã ghi thành yêu cầu chuyển đơn đang ở "Chờ ghép" sang "Đã giao" và phát lại request đó.
4. Mở lại đơn đó trên app và check trạng thái đơn cùng số dòng ở block "LỊCH SỬ".</t>
  </si>
  <si>
    <t xml:space="preserve">4. Đơn vẫn ở trạng thái "Chờ ghép" và block "LỊCH SỬ" KHÔNG có dòng mốc mới nào được thêm.</t>
  </si>
  <si>
    <t xml:space="preserve">Mục đích: tầng backend của rule đã có TC ở tầng UI (`TC-DLV-021` v1.0 chỉ verify màn hình không cho nhảy bước) — UI chặn không đảm bảo backend cũng chặn. · Căn cứ: `DOC-v1.1-01` §8.12.1 BR12-01 + bảng §8.12.2. Dự án không có API spec/HTTP Status Contract nên assert theo hệ quả quan sát được trên app, không assert mã status.</t>
  </si>
  <si>
    <t xml:space="preserve">Check chuyển thẳng đơn đang giao sang đã trả người gửi bị từ chối</t>
  </si>
  <si>
    <t xml:space="preserve">- Tài khoản A, B, C là ba CBNV khác nhau trên STG.
- Host app FoxPro đã cài trên thiết bị Android/iOS.
- Có sẵn công cụ proxy chặn và phát lại request trỏ vào app FoxEco trên STG.
Test Data: Transition `IN_TRANSIT` → `RETURNED` bỏ qua `RETURNING` (test_data_catalog §DLV — Trạng thái đơn mở rộng, nhánh invalid)</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</si>
  <si>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trạng thái đã trả người gửi, bỏ qua bước hoàn hàng, và phát lại request đó.
5. Mở lại đơn đó trên app và check trạng thái đơn cùng số dòng ở block "LỊCH SỬ".</t>
  </si>
  <si>
    <t xml:space="preserve">5. Đơn vẫn ở trạng thái "Đang giao" và block "LỊCH SỬ" KHÔNG có dòng mốc mới nào được thêm.</t>
  </si>
  <si>
    <t xml:space="preserve">Mục đích: nhánh nhảy bậc nguy hiểm nhất — đóng đơn ở kết cục hoàn hàng mà không có bước người gửi xác nhận nhận lại, tức mất luôn oracle của TC-DLV-063. · Căn cứ: `DOC-v1.1-01` §8.12.1 BR12-02.</t>
  </si>
  <si>
    <t xml:space="preserve">Check chuyển thẳng đơn đang giao sang hoàn thành bị từ chối</t>
  </si>
  <si>
    <t xml:space="preserve">- Tài khoản A, B, C là ba CBNV khác nhau trên STG.
- Host app FoxPro đã cài trên thiết bị Android/iOS.
- Có sẵn công cụ proxy chặn và phát lại request trỏ vào app FoxEco trên STG.
Test Data: Transition `IN_TRANSIT` → `COMPLETED` bỏ qua `DELIVERED` (test_data_catalog §DLV — Trạng thái đơn mở rộng, nhánh invalid)</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</si>
  <si>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"Hoàn thành", bỏ qua bước "Đã giao", và phát lại request đó.
5. Mở lại đơn đó trên app và check trạng thái đơn cùng số dòng ở block "LỊCH SỬ".</t>
  </si>
  <si>
    <t xml:space="preserve">Mục đích: cặp với TC-DLV-075 — hai đích nhảy bậc khác nhau từ cùng một trạng thái nguồn, chặn được đích này không suy ra chặn được đích kia. · Căn cứ: `DOC-v1.1-01` §8.12.1 BR12-02. Bỏ qua "Đã giao" còn xoá luôn yêu cầu ảnh bằng chứng của `BR07-02`.</t>
  </si>
  <si>
    <t xml:space="preserve">▬▬  9. NFR hiệu năng · bảo mật · riêng tư  ·  3 TC (TC-DLV-077…TC-DLV-079)</t>
  </si>
  <si>
    <t xml:space="preserve">Check tải năm ảnh bằng chứng trên mạng 4G hoàn tất dưới mười lăm giây</t>
  </si>
  <si>
    <t xml:space="preserve">- Tài khoản A, B, C là ba CBNV khác nhau trên STG.
- Host app FoxPro đã cài trên thiết bị Android/iOS.
- Thiết bị đang dùng mạng 4G, đã tắt Wi-Fi.
- Thư viện ảnh thiết bị có sẵn ≥5 ảnh JPG, mỗi ảnh đúng 5MB.
- Có sẵn đồng hồ bấm giờ.
Test Data: 5 ảnh JPG đúng 5MB, mạng 4G (test_data_catalog §DLV — Upload ảnh hiệu năng)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</si>
  <si>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chọn "Người nhận". (setup)
4. Khởi động đồng hồ bấm giờ rồi đính cùng lúc 5 ảnh JPG 5MB từ thư viện thiết bị.
5. Dừng đồng hồ bấm giờ khi cả 5 ảnh hiện đủ trong ô ảnh.
6. Lặp lại step 3 đến step 5 thêm 9 lần trên 9 đơn khác nhau và ghi lại 10 số đo.
7. Check 10 số đo đã ghi và chỉ báo tiến trình quan sát được trong lúc tải.</t>
  </si>
  <si>
    <t xml:space="preserve">7. Nhiều nhất 1 trong 10 số đo vượt 15 giây, và trong lúc tải luôn có chỉ báo tiến trình cùng khả năng thử lại từng ảnh lỗi riêng lẻ.</t>
  </si>
  <si>
    <t xml:space="preserve">Mục đích: `NFR-03` phát biểu theo p95 nên 1 lần đo không kết luận được — 10 lần đo là mẫu tối thiểu chạy tay được, cho phép đúng 1 lần vượt ngưỡng. · Căn cứ: `DOC-v1.1-01` §9 NFR-03. Chạy trên 10 đơn khác nhau vì ảnh đã ghi mốc thì không xoá để tải lại được (`BR07-07`, xem TC-DLV-048).</t>
  </si>
  <si>
    <t xml:space="preserve">Check nhật ký đơn không mất dòng mốc nào sau khi huỷ nhận đơn</t>
  </si>
  <si>
    <t xml:space="preserve">- Tài khoản A, B, C là ba CBNV khác nhau trên STG.
- Host app FoxPro đã cài trên thiết bị Android/iOS.
- Có sẵn công cụ proxy chặn và phát lại request trỏ vào app FoxEco trên STG.
Test Data: Đơn `MATCHED` rồi bị huỷ nhận đơn (test_data_catalog §DLV — Trạng thái đơn mở rộng)</t>
  </si>
  <si>
    <t xml:space="preserve">1. Đăng nhập bằng tài khoản A, đăng 1 tin NEED khai tài khoản C là người nhận, rồi đăng xuất. (setup)
2. Đăng nhập bằng tài khoản B, nhận đơn đó và xác nhận. (setup)
3. Mở block "LỊCH SỬ" và ghi lại toàn bộ các dòng mốc hiện có.
4. Nhấn "Huỷ nhận đơn" và xác nhận.
5. Bật proxy, ghi lại request app gửi đi khi thao tác trên đơn, rồi sửa thành yêu cầu sửa hoặc xoá một dòng nhật ký đã có và phát lại request đó.
6. Mở lại block "LỊCH SỬ" của đơn đó và check toàn bộ các dòng mốc.</t>
  </si>
  <si>
    <t xml:space="preserve">6. Block "LỊCH SỬ" vẫn giữ đủ mọi dòng mốc đã ghi ở step 3, gồm cả dòng ghép thành công, và KHÔNG dòng nào bị sửa hay biến mất.</t>
  </si>
  <si>
    <t xml:space="preserve">Mục đích: neo vào `RISK-DLV-09` — bug audit đã biết (`RISK-TS-01`: huỷ nhận đơn xoá dòng "Ghép thành công") vi phạm trực tiếp rule này, nên TC **dự kiến FAIL có chủ đích** cho tới khi bug được fix. · Căn cứ: `DOC-v1.1-01` §9 NFR-07 (log append-only, không API sửa/xoá). FAIL ⇒ log bug và cross-ref `RISK-TS-01`, ⛔ không hạ Expected theo hành vi hiện tại.</t>
  </si>
  <si>
    <t xml:space="preserve">Check tên và số điện thoại người nhận thay chỉ xuất hiện trong nhật ký đơn</t>
  </si>
  <si>
    <t xml:space="preserve">- Tài khoản A, B, C là ba CBNV khác nhau trên STG.
- Host app FoxPro đã cài trên thiết bị Android/iOS.
- Thư viện ảnh thiết bị có sẵn ≥5 ảnh JPG, mỗi ảnh ≤5MB.
Test Data: Tên và SĐT người nhận thay đã ghi vào nhật ký (test_data_catalog §DLV — Tên người nhận thay, SĐT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</si>
  <si>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lần lượt Trang chủ, tab "Bảng tin", tab "Hoạt động" ở cả hai tab con, tab "Thông báo" và màn hồ sơ cá nhân.
5. Check từng màn ở step 4 xem có chỗ nào hiện tên "Nguyễn Văn Bảy" hoặc số "0912345678" không.</t>
  </si>
  <si>
    <t xml:space="preserve">5. KHÔNG màn nào trong số đó hiện tên "Nguyễn Văn Bảy" hay số "0912345678"; hai giá trị này chỉ xuất hiện ở block "LỊCH SỬ" của đơn.</t>
  </si>
  <si>
    <t xml:space="preserve">Mục đích: dữ liệu người nhận thay là dữ liệu cá nhân của bên thứ ba ngoài 3 vai của đơn — rò ra bề mặt khác là vi phạm quyền riêng tư, không chỉ lỗi hiển thị. · Căn cứ: `DOC-v1.1-01` §9 NFR-12. Phạm vi rà giới hạn ở các màn end-user; dự án không có bề mặt báo cáo hay Admin Portal trong scope v1.1.</t>
  </si>
  <si>
    <t xml:space="preserve">▬▬  10. Tiện ích copy nhanh  ·  2 TC (TC-DLV-080…TC-DLV-081)</t>
  </si>
  <si>
    <t xml:space="preserve">Check icon copy cạnh số điện thoại sao chép đúng nội dung và đổi màu xanh</t>
  </si>
  <si>
    <t xml:space="preserve">- Tài khoản A, B, C là ba CBNV khác nhau trên STG.
- Host app FoxPro đã cài trên thiết bị Android/iOS.
Test Data: Số điện thoại liên hệ trên màn Theo dõi đơn (test_data_catalog §DLV — SĐT người nhận thay)</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</si>
  <si>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số điện thoại liên hệ đang hiển thị trên màn Theo dõi đơn.
5. Nhấn icon copy cạnh số điện thoại đó.
6. Dán nội dung vừa copy vào ô tìm kiếm ở tab "Bảng tin" và check nội dung dán ra cùng trạng thái icon copy lúc vừa nhấn.</t>
  </si>
  <si>
    <t xml:space="preserve">6. Nội dung dán ra đúng nguyên văn số điện thoại đã ghi ở step 4, và icon copy đã đổi trạng thái sang màu xanh khoảng 2 giây rồi trở lại bình thường.</t>
  </si>
  <si>
    <t xml:space="preserve">Mục đích: cặp với TC-DLV-081 — hai instance icon copy nằm ở hai vùng khác nhau của cùng màn, hỏng độc lập. · Căn cứ: `DOC-v1.1-01` §8.18.1 BR18-04. Rule ghi 1,8 giây nhưng đây là hiệu ứng thị giác — chấp nhận dung sai quanh 2 giây, ⛔ không bấm giờ đòi đúng 1,8 giây. Instance ở màn Chi tiết tin thuộc `FEED`, không rà ở đây.</t>
  </si>
  <si>
    <t xml:space="preserve">Check icon copy cạnh địa chỉ giao sao chép đúng nội dung và đổi màu xanh</t>
  </si>
  <si>
    <t xml:space="preserve">- Tài khoản A, B, C là ba CBNV khác nhau trên STG.
- Host app FoxPro đã cài trên thiết bị Android/iOS.
Test Data: Địa chỉ giao trên màn Theo dõi đơn (test_data_catalog §DLV — Nơi hẹn)</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</si>
  <si>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địa chỉ giao đang hiển thị trên màn Theo dõi đơn.
5. Nhấn icon copy cạnh địa chỉ giao đó.
6. Dán nội dung vừa copy vào ô tìm kiếm ở tab "Bảng tin" và check nội dung dán ra cùng trạng thái icon copy lúc vừa nhấn.</t>
  </si>
  <si>
    <t xml:space="preserve">6. Nội dung dán ra đúng nguyên văn địa chỉ giao đã ghi ở step 4, và icon copy đã đổi trạng thái sang màu xanh khoảng 2 giây rồi trở lại bình thường.</t>
  </si>
  <si>
    <t xml:space="preserve">Căn cứ: `DOC-v1.1-01` §8.18.1 BR18-04 — rule đặt icon copy cạnh CẢ địa chỉ giao và số điện thoại.</t>
  </si>
  <si>
    <t xml:space="preserve">▬▬  1. Card tin ở Bảng tin  ·  1 TC (TC-FEED-002)</t>
  </si>
  <si>
    <t xml:space="preserve">Check card tin ở Bảng tin đủ thành phần và không có nút CTA</t>
  </si>
  <si>
    <t xml:space="preserve">- Tài khoản B là CBNV có hồ sơ đầy đủ trên STG.
- Host app FoxPro đã cài trên thiết bị Android/iOS.
Test Data: 1 tin NEED `POSTED` có khung giờ, loại hàng "Tài liệu" (test_data_catalog §FEED)</t>
  </si>
  <si>
    <t xml:space="preserve">1. Đăng nhập bằng tài khoản B, nhấn tab "Bảng tin". (setup)
2. Check lần lượt các thành phần và rà toàn bộ card tin đầu tiên tìm nút "Tôi mang giúp được".</t>
  </si>
  <si>
    <t xml:space="preserve">2. Card hiển thị đủ: icon/ảnh hàng, dòng loại hàng kèm giá trị hàng, thời gian đăng, dòng "Nhận:"/"Giao:" dạng rút gọn, khung giờ mong muốn; card KHÔNG có nút "Tôi mang giúp được" ở bất kỳ đâu.</t>
  </si>
  <si>
    <t xml:space="preserve">Mục đích: hết gap CTA — đổi từ "cố ý không assert vị trí CTA" (v1.0) sang assert cứng phủ định "card KHÔNG có CTA". · Căn cứ: `C-FEED-01(a)` Resolved 2026-09-16 — vibe-check demo xác nhận CTA chỉ có ở màn Chi tiết tin. Badge "Tin của bạn" verify riêng ở `TC-FEED-003/004` (thành phần có điều kiện). · Đã sửa tại chỗ 2026-09-16: thêm assert phủ định CTA vào Expected.</t>
  </si>
  <si>
    <t xml:space="preserve">▬▬  2. Chi tiết tin  ·  1 TC (TC-FEED-007)</t>
  </si>
  <si>
    <t xml:space="preserve">Check phần dưới Chi tiết tin đủ lộ trình, khung giờ, tên người gửi và CTA</t>
  </si>
  <si>
    <t xml:space="preserve">- Tài khoản B là CBNV có hồ sơ đầy đủ trên STG.
- Host app FoxPro đã cài trên thiết bị Android/iOS.
Test Data: 1 tin NEED `POSTED` của tài khoản khác (test_data_catalog §FEED)</t>
  </si>
  <si>
    <t xml:space="preserve">1. Đăng nhập bằng tài khoản B, nhấn tab "Bảng tin" và nhấn 1 tin do tài khoản khác đăng. (setup)
2. Cuộn xuống phần dưới màn Chi tiết tin.
3. Check lần lượt các thành phần.</t>
  </si>
  <si>
    <t xml:space="preserve">3. Hiển thị đủ: khối Lộ trình gồm điểm lấy hàng và điểm giao hàng đầy đủ như data đã đăng kèm khung "Bản đồ · ~X km", khung giờ mong muốn, cụm Người gửi có đúng họ tên (KHÔNG có số điện thoại), và nút "Tôi mang giúp được".</t>
  </si>
  <si>
    <t xml:space="preserve">Mục đích: bổ sung assert tên người gửi hiển thị trước ghép (thành phần tồn tại) — phân biệt với `TC-FEED-010` (cùng cụm nhưng assert SĐT KHÔNG hiển thị). · Căn cứ: `C-FEED-04` Resolved 2026-09-17 — trước ghép chỉ ẩn SĐT, tên + địa chỉ đầy đủ hiện bình thường. ⛔ KHÔNG log bug nếu tên/địa chỉ hiện đầy đủ trước ghép — đó là hành vi ĐÚNG. · Đã sửa tại chỗ 2026-09-17: thêm "có đúng họ tên" + "điểm Lấy/Giao đầy đủ như data đã đăng" vào Expected.</t>
  </si>
  <si>
    <t xml:space="preserve">▬▬  3. Bản đồ tuyến  ·  2 TC (TC-FEED-009…TC-FEED-015)</t>
  </si>
  <si>
    <t xml:space="preserve">Check khung bản đồ ở Chi tiết tin là ảnh tĩnh có vẽ tuyến thật</t>
  </si>
  <si>
    <t xml:space="preserve">- Tin NEED có điểm lấy hàng và điểm giao hàng đều thuộc văn phòng CÓ đủ toạ độ (lat/lng) trong `location_address_catalog.xlsx` — chọn văn phòng NGOÀI danh sách lỗi `C-FEED-05`.
- Host app FoxPro đã cài trên thiết bị Android/iOS.
Test Data: Tin NEED có điểm lấy/giao thuộc văn phòng đủ toạ độ (test_data_catalog §FEED)</t>
  </si>
  <si>
    <t xml:space="preserve">1. Đăng nhập bằng tài khoản B, nhấn tab "Bảng tin" và nhấn tin đó để mở màn Chi tiết tin. (setup)
2. Check khung "Bản đồ · ~X km".</t>
  </si>
  <si>
    <t xml:space="preserve">2. Khung hiển thị ảnh bản đồ **tĩnh có vẽ tuyến** từ điểm lấy tới điểm giao (không phải khung trống/placeholder); có dòng "~X km" (không assert giá trị số cụ thể).</t>
  </si>
  <si>
    <t xml:space="preserve">Mục đích: ĐẢO kết luận v1.0 — trước assert "placeholder tĩnh, không có bản đồ" (`C-FEED-01(b)` Open), nay assert "CÓ bản đồ thật, ảnh tĩnh vẽ tuyến". · Căn cứ: `C-FEED-01(b)` + `C-FEED-02(c)` Resolved 2026-09-17. ⛔ Không test zoom/pan — ảnh tĩnh, không phải bản đồ tương tác. · Đã sửa tại chỗ 2026-09-17: đảo hoàn toàn Expected + Pre-condition (cần văn phòng có toạ độ hợp lệ, khác v1.0 không cần điều kiện gì), bỏ 2 bước test zoom/pan của v1.0.</t>
  </si>
  <si>
    <t xml:space="preserve">DOC-v1.1-04</t>
  </si>
  <si>
    <t xml:space="preserve">Check khung bản đồ hiện placeholder và 0km khi văn phòng thiếu toạ độ</t>
  </si>
  <si>
    <t xml:space="preserve">- Tin NEED có điểm lấy hoặc điểm giao là văn phòng THIẾU lat/lng trong `location_address_catalog.xlsx` (theo danh sách lỗi đã xác nhận ở `C-FEED-05`).
- Host app FoxPro đã cài trên thiết bị Android/iOS.
Test Data: Văn phòng thiếu lat/lng theo `location_address_catalog.xlsx` (test_data_catalog §FEED — BA cấp data khi test)</t>
  </si>
  <si>
    <t xml:space="preserve">1. Đăng nhập bằng tài khoản B, nhấn tab "Bảng tin" và nhấn tin đó để mở màn Chi tiết tin. (setup)
2. Check khung "Bản đồ · ~X km" và tổng thể bố cục màn.</t>
  </si>
  <si>
    <t xml:space="preserve">2. Hiển thị dòng cảnh báo "Chưa xác định được toạ độ trên bản đồ cho địa chỉ này" lồng trong card Lộ trình, ngay dưới địa chỉ Giao hàng (KHÔNG có khung/placeholder bản đồ riêng, KHÔNG hiển thị "0km"); màn không vỡ layout.</t>
  </si>
  <si>
    <t xml:space="preserve">Mục đích: SC mới — nhánh lỗi data khi văn phòng thiếu toạ độ, đối chứng với `TC-FEED-009` (văn phòng đủ toạ độ). · Căn cứ gốc: `C-FEED-02` + `C-FEED-05` Resolved 2026-09-17 (BA: thiếu toạ độ là lỗi data STG, không phải bug app). ⛔ Sửa tại chỗ 2026-09-21 (QC GiangDC2, sau `BUG-029`): Expected gốc "khung placeholder + 0km" KHÔNG khớp hành vi thật trên STG (vibe-test VR-016 — chỉ có dòng cảnh báo text, không khung, không "0km", tái hiện 2 lần độc lập). QC chấp nhận hành vi hiện tại ⇒ sửa Expected theo app, `BUG-029` rút lại (không phải bug — xem `CHANGELOG.md §3`).</t>
  </si>
  <si>
    <t xml:space="preserve">▬▬  4. Empty state Bảng tin  ·  1 TC (TC-FEED-013)</t>
  </si>
  <si>
    <t xml:space="preserve">Check empty state Bảng tin đúng text và chỉ 1 danh sách không tab</t>
  </si>
  <si>
    <t xml:space="preserve">- Tài khoản B là CBNV có hồ sơ đầy đủ trên STG.
Test Data: 0 tin cộng đồng (test_data_catalog §FEED, biên)</t>
  </si>
  <si>
    <t xml:space="preserve">1. Nhờ dev/QA chuẩn bị môi trường không còn tin NEED ở trạng thái "Chờ ghép". (setup)
2. Đăng nhập bằng tài khoản B, nhấn tab "Bảng tin". (setup)
3. Check vùng danh sách, text hiển thị, nút CTA, và cấu trúc màn (có tab con hay không).</t>
  </si>
  <si>
    <t xml:space="preserve">3. Vùng danh sách hiện đúng chuỗi "Chưa có tin nào", có câu gợi ý **mở rộng khu vực hoặc đăng tin**, kèm nút CTA "Đăng tin"; màn Bảng tin chỉ có **1 danh sách duy nhất, không có tab con nào**.</t>
  </si>
  <si>
    <t xml:space="preserve">Mục đích: hết `[GAP]` — text empty state đã chốt (`EMP-04`, home ở `ACT`) + xác nhận cấu trúc 1 danh sách (không phải 2 tab như nghi vấn cũ). · Căn cứ: `C-FEED-03` Resolved 2026-09-17 (1 danh sách, không tab/lọc) + `DOC-v1.1-01 §8.17.1 EMP-04` + `C-HOME-04` Resolved vòng 3 2026-09-17 (BA: *"giữ nguyên nhé"* ⇒ `EMP-04` giữ nguyên chữ PRD dù Bảng tin load toàn quốc). ℹ️ PRD không nói "gợi ý mở rộng khu vực" là nút hay chữ ⇒ assert **nội dung chữ**, ghi nhận dạng hiển thị thực tế, không FAIL vì hình thức. · Đã sửa tại chỗ 2026-09-17: thay "chỉ assert phần suy được" bằng assert cứng text + cấu trúc 1 danh sách; bổ sung assert câu gợi ý mở rộng khu vực sau khi `C-HOME-04` đóng.</t>
  </si>
  <si>
    <t xml:space="preserve">▬▬  1. Danh mục quà  ·  1 TC (TC-GIFT-002)</t>
  </si>
  <si>
    <t xml:space="preserve">Check màn "Tặng quà" hiển thị đúng tên bốn loại quà theo danh mục chính thức</t>
  </si>
  <si>
    <t xml:space="preserve">- Đơn đã ở trạng thái Hoàn thành của `SEED-GIFT-01` (xem sheet `Seed` của chính file này), chưa gửi quà — không seed riêng.
- Host app FoxPro đã cài trên thiết bị Android/iOS.
Test Data: Tập đóng 4 tên quà chính thức, dùng đơn của `SEED-GIFT-01`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</si>
  <si>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Đọc danh sách quà hiển thị trên màn "Tặng quà".</t>
  </si>
  <si>
    <t xml:space="preserve">4. Màn hiển thị đúng 4 loại quà, đúng tên: "Bông hoa", "Ly cà phê", "Gấu bông", "Vương miện"; không có loại thứ năm, không có loại nào bị đổi tên hay đổi icon.</t>
  </si>
  <si>
    <t xml:space="preserve">Mục đích: siết Expected từ "đúng 4 loại quà" (chỉ đếm số lượng, v1.0) sang assert đúng TÊN từng loại theo `BR14-01`. · Căn cứ: `DOC-v1.1-01 §8.14.1 BR14-01`. · Đã sửa theo delta v1.1 (2026-09-15): đổi Expected, giữ nguyên Steps/Pre-condition/Test Data so với v1.0.</t>
  </si>
  <si>
    <t xml:space="preserve">▬▬  2. Gửi quà  ·  1 TC (TC-GIFT-003)</t>
  </si>
  <si>
    <t xml:space="preserve">Check gửi quà hiện đúng popup "Cảm ơn của bạn đã được gửi" kèm nút về trang chủ</t>
  </si>
  <si>
    <t xml:space="preserve">- Đơn đã ở trạng thái Hoàn thành của `SEED-GIFT-02` (xem sheet `Seed` của chính file này, đơn RIÊNG — TC này sẽ tiêu đơn) — không seed riêng.
- Host app FoxPro đã cài trên thiết bị Android/iOS.
Test Data: Đơn Hoàn thành của `SEED-GIFT-02`; loại quà "Bông hoa"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</si>
  <si>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loại quà "Bông hoa".
5. Nhấn nút xác nhận gửi quà.</t>
  </si>
  <si>
    <t xml:space="preserve">5. Quà gửi ngay, không có bước chờ xác nhận của người vận chuyển; popup hiện đúng chuỗi "Cảm ơn của bạn đã được gửi" kèm nút về trang chủ.</t>
  </si>
  <si>
    <t xml:space="preserve">Mục đích: siết đúng chuỗi popup theo `BR14-02`/`AC-24.1.01` — thay chuỗi "Đã gửi lời cảm ơn!" (v1.0, dựa nguồn thua `US-D15` theo `C-GIFT-03` Resolved) bằng chuỗi chính thức + thêm assert nút về trang chủ. · Căn cứ: `DOC-v1.1-01 §8.14.1 BR14-02` · `§6.2 AC-24.1.01`. ⚠ TC này tiêu 1 đơn Hoàn thành (`SEED-GIFT-02`, không tái dùng được). · Đã sửa theo delta v1.1 (2026-09-15).</t>
  </si>
  <si>
    <t xml:space="preserve">▬▬  3. Thống kê quà đã nhận  ·  2 TC (TC-GIFT-006…TC-GIFT-007)</t>
  </si>
  <si>
    <t xml:space="preserve">Check card đếm quà hiển thị đúng từng loại và tổng khi nhận 5 quà thuộc 2 loại</t>
  </si>
  <si>
    <t xml:space="preserve">- Tài khoản B đã nhận 5 quà gồm 3 "Bông hoa" và 2 "Gấu bông" của `SEED-GIFT-05` (xem sheet `Seed` của chính file này, v1.1 revised) — không seed riêng.
- Host app FoxPro đã cài trên thiết bị Android/iOS.
Test Data: Tài khoản B đã nhận 5 quà (3 Bông hoa + 2 Gấu bông) từ `SEED-GIFT-05` (test_data_catalog §GIFT v1.1, biên)</t>
  </si>
  <si>
    <t xml:space="preserve">1. Đăng nhập FoxEco bằng tài khoản B, nhấn tab "Cá nhân" và nhấn mục menu "Quà đã nhận". (setup)
2. Check các loại quà và số lượng hiển thị trên card đếm.</t>
  </si>
  <si>
    <t xml:space="preserve">2. Card đếm hiển thị đúng 2 loại "Bông hoa" (3) và "Gấu bông" (2), tổng = 5; KHÔNG hiển thị "Ly cà phê" và "Vương miện" kể cả dưới dạng số 0.</t>
  </si>
  <si>
    <t xml:space="preserve">Mục đích: cập nhật bộ số mẫu theo `AC-26.1.01` (5 quà, ≥2 loại) — thay bộ 2 quà/2 loại của v1.0; rule "loại count=0 không hiện card" (`KB-GIFT-03`) vẫn không có nguồn PRD, giữ nguyên như v1.0. · Căn cứ: `DOC-v1.1-01 §6.2 AC-26.1.01`. · Đã sửa theo delta v1.1 (2026-09-15): đổi Test Data từ 2 quà/2 loại sang 5 quà/2 loại.</t>
  </si>
  <si>
    <t xml:space="preserve">Check màn "Quà đã nhận" có danh sách lịch sử nhận quà</t>
  </si>
  <si>
    <t xml:space="preserve">- Tài khoản B đã nhận 5 quà ở các thời điểm khác nhau của `SEED-GIFT-05` (xem sheet `Seed` của chính file này, dùng chung với `TC-GIFT-006`) — không seed riêng.
- Host app FoxPro đã cài trên thiết bị Android/iOS.
Test Data: Tài khoản B đã nhận quà nhiều lần từ `SEED-GIFT-05` (test_data_catalog §GIFT v1.1)</t>
  </si>
  <si>
    <t xml:space="preserve">1. Đăng nhập FoxEco bằng tài khoản B, nhấn tab "Cá nhân" và nhấn mục menu "Quà đã nhận". (setup)
2. Cuộn hết màn, check vùng danh sách lịch sử nhận quà.</t>
  </si>
  <si>
    <t xml:space="preserve">2. Màn CÓ danh sách lịch sử nhận quà (không chỉ có card đếm); số dòng khớp số lần đã nhận quà của `SEED-GIFT-05`.</t>
  </si>
  <si>
    <t xml:space="preserve">Mục đích: hết `[GAP]` của `C-GIFT-03` vế (b) — Resolved: xác nhận CÓ danh sách lịch sử (v1.0 dự kiến FAIL vì chưa thấy trên app, khi đó chỉ ghi nhận); nay assert khẳng định, nâng Priority P3 → P2. · Căn cứ: `DOC-v1.1-01 §6.2 AC-26.1.01` "kèm lịch sử nhận quà". ⚠ Lệch app → log bug, ⛔ không hạ Expected theo hành vi app hiện tại. · Đã sửa theo delta v1.1 (2026-09-15): đổi Expected từ ghi-nhận sang assert cứng + nâng priority.</t>
  </si>
  <si>
    <t xml:space="preserve">▬▬  4. Empty state Quà đã nhận  ·  1 TC (TC-GIFT-008)</t>
  </si>
  <si>
    <t xml:space="preserve">Check empty state "Quà đã nhận" đúng text và không có CTA</t>
  </si>
  <si>
    <t xml:space="preserve">- Tài khoản CBNV "trắng" trên STG (chưa từng nhận quà, chưa có đơn Hoàn thành nào).
- Host app FoxPro đã cài trên thiết bị Android/iOS.
Test Data: Tài khoản 0 đơn/0 quà (test_data_catalog §GIFT v1.1, biên)</t>
  </si>
  <si>
    <t xml:space="preserve">1. Đăng nhập FoxEco bằng tài khoản "trắng". (setup)
2. Nhấn tab "Cá nhân" và nhấn mục menu "Quà đã nhận". (setup)
3. Check text hiển thị trên màn "Quà đã nhận", thống kê "Đơn đã giúp"/"Quà đã nhận" trên Trang cá nhân, và sự tồn tại của bất kỳ nút CTA nào.</t>
  </si>
  <si>
    <t xml:space="preserve">3. Màn "Quà đã nhận" hiện đúng chuỗi "Chưa nhận được quà nào"; thống kê trên Trang cá nhân hiện đúng "0 đơn đã giúp" / "0 quà đã nhận"; KHÔNG có nút CTA nào trên màn.</t>
  </si>
  <si>
    <t xml:space="preserve">Mục đích: hết `[GAP]` của `C-ORD-06` phần GIFT (`EMP-08`) — Resolved bằng tài liệu phê duyệt, không còn dựa suy diễn `KB-GIFT-03` như v1.0. · Căn cứ: `DOC-v1.1-01 §8.17.1 EMP-08` · `§6.2 AC-26.2.01`. ⚠️ Cột CTA của `EMP-08` = "—" là assert thật theo `BR17-01` (tối đa 1 CTA) — không phải thiếu sót. · Đã sửa theo delta v1.1 (2026-09-15): đổi Expected từ "KHÔNG hiển thị loại quà nào" (v1.0, suy diễn) sang assert verbatim text + thống kê 0/0 + không CTA (theo tài liệu chính thức).</t>
  </si>
  <si>
    <t xml:space="preserve">▬▬  5. Dấu vết sao · điểm · tier  ·  1 TC (TC-GIFT-011)</t>
  </si>
  <si>
    <t xml:space="preserve">Check không có sao, điểm, tier hay chỉ số môi trường trên cả 4 bề mặt của luồng tặng quà</t>
  </si>
  <si>
    <t xml:space="preserve">- Đơn đã ở trạng thái Hoàn thành của `SEED-GIFT-06` (xem sheet `Seed` của chính file này, đơn RIÊNG — TC này sẽ tiêu đơn khi gửi quà) — không seed riêng.
- Host app FoxPro đã cài trên thiết bị Android/iOS.
Test Data: Bộ giá trị assert-absent: sao/điểm/tier/chỉ số môi trường, dùng đơn của `SEED-GIFT-06`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</si>
  <si>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1 loại quà bất kỳ và nhấn xác nhận gửi để mở popup cảm ơn.
5. Đóng popup, nhấn tab "Cá nhân" rồi mở mục menu "Quà đã nhận".
6. Rà toàn bộ 4 bề mặt vừa đi qua (màn "Tặng quà", popup cảm ơn, màn "Quà đã nhận", Trang cá nhân) tìm chấm sao 1–5, điểm số, tier/xếp hạng, chỉ số môi trường.</t>
  </si>
  <si>
    <t xml:space="preserve">6. KHÔNG có chấm sao 1–5, KHÔNG có điểm, KHÔNG có tier/xếp hạng, KHÔNG có chỉ số môi trường ở bất kỳ bề mặt nào trong 4 bề mặt trên.</t>
  </si>
  <si>
    <t xml:space="preserve">Mục đích: `BR14-03` v1.1 liệt kê đủ 4 bề mặt (màn Tặng quà · popup cảm ơn · "Quà đã nhận" · Trang cá nhân) và bổ sung "không chỉ số môi trường" — loại trừ nay là VĨNH VIỄN, không phải "out of scope v1.0" như trước. · Căn cứ: `DOC-v1.1-01 §8.14.1 BR14-03` · `§4 SCOPES`. ⚠️ Cross-ref: `SC-ACT-013` (★ leftover ở `ACT`) nay là defect xác nhận, không còn diễn giải "dấu vết phase sau". · Đã sửa theo delta v1.1 (2026-09-15): mở rộng phạm vi rà từ 3 bề mặt (v1.0: Theo dõi đơn/Tặng quà/Cá nhân) sang đúng 4 bề mặt theo `BR14-03` (thêm popup cảm ơn + "Quà đã nhận") — TC giờ tiêu 1 đơn Hoàn thành riêng (`SEED-GIFT-06`), khác v1.0 (dùng chung `SEED-GIFT-01`, không tiêu đơn).</t>
  </si>
  <si>
    <t xml:space="preserve">▬▬  6. Đơn đã trả người gửi  ·  2 TC (TC-GIFT-013…TC-GIFT-014)</t>
  </si>
  <si>
    <t xml:space="preserve">Check đơn RETURNED không có nút tặng quà và vẫn hiện trong lịch sử đơn</t>
  </si>
  <si>
    <t xml:space="preserve">- Đã có sẵn 1 đơn ở trạng thái `RETURNED`, đi hết nhánh `IN_TRANSIT → RETURNING → RETURNED` của `SEED-GIFT-08` (xem sheet `Seed` của chính file này, dùng chung với `DLV`) — không seed riêng; ⚠ có thể KHÔNG seed được nếu STG chưa build `FR09`.
- Host app FoxPro đã cài trên thiết bị Android/iOS.
Test Data: Đơn `RETURNED` của `SEED-GIFT-08` (test_data_catalog §GIFT v1.1)</t>
  </si>
  <si>
    <t xml:space="preserve">1. Đăng nhập FoxEco bằng tài khoản A (Người gửi của đơn `RETURNED` đó), nhấn tab "Hoạt động" ở bottom nav rồi nhấn tab con "Đã hoàn thành". (setup)
2. Nhấn vào card đơn `RETURNED` đó để mở màn Theo dõi đơn. (setup)
3. Rà toàn bộ màn tìm nút tặng quà/"✓ Cảm ơn người vận chuyển", đồng thời check nội dung lý do hoàn hàng.</t>
  </si>
  <si>
    <t xml:space="preserve">3. KHÔNG có nút tặng quà (hay "✓ Cảm ơn người vận chuyển") ở bất kỳ đâu trên màn; màn hiển thị lý do hoàn hàng và đơn vẫn nằm trong lịch sử đơn.</t>
  </si>
  <si>
    <t xml:space="preserve">Mục đích: vế (a) — lỗi NHÌN THẤY ĐƯỢC của `AC-24.2.01`; đối chứng với vế (b) âm thầm ở `TC-GIFT-014`. · Căn cứ: `DOC-v1.1-01 §8.14 Pre-Conditions` · `§8.14.1 BR14-04` · `§6.2 AC-24.2.01`. ⛔ Không seed được đơn `RETURNED` (STG chưa build `FR09`) → verdict BLOCKED, ⛔ không PASS ("không thấy nút" không chứng minh gì nếu không có đơn RETURNED thật để thử). · Cross-ref: không nhân bản SC bộ đếm "Đơn đã giúp" sang `USR`/`HOME` — chỉ dùng ở `TC-GIFT-014`. ⚠️ Giả định đơn `RETURNED` nằm trong tab con "Đã hoàn thành" (cùng nhóm với `COMPLETED`, vì cả hai đều là trạng thái đóng) — chưa có nguồn PRD/BA xác nhận rõ tab hiển thị; nếu STG đặt đơn `RETURNED` ở tab khác thì sửa lại step 1, không phải lỗi TC.</t>
  </si>
  <si>
    <t xml:space="preserve">Check đơn RETURNED không được tính vào chỉ số "Đơn đã giúp"</t>
  </si>
  <si>
    <t xml:space="preserve">- Tài khoản B (Người vận chuyển) đã có sẵn N đơn `COMPLETED` được tính vào "Đơn đã giúp" (tái dùng đơn Hoàn thành từ `SEED-GIFT-01`/`02`/`05`/`06`) — không seed riêng.
- Host app FoxPro đã cài trên thiết bị Android/iOS.
Test Data: N đơn `COMPLETED` có sẵn (ví dụ PRD: 7 — `AC-26.1.01`) + 1 đơn `RETURNED` mới; **bắt buộc ghi số N ở bước 2 TRƯỚC khi đơn RETURNED phát sinh ở bước 3** (test_data_catalog §GIFT v1.1)</t>
  </si>
  <si>
    <t xml:space="preserve">1. Đăng nhập FoxEco bằng tài khoản B, nhấn tab "Cá nhân". (setup)
2. Check và ghi lại số "Đơn đã giúp" hiện tại trên Trang cá nhân (giá trị N).
3. Thực hiện luồng hoàn hàng cho 1 đơn khác của cùng tài khoản B tới khi đơn đó chuyển hẳn sang `RETURNED` (theo đúng quy trình liên module với `DLV`, dùng chung `SEED-GIFT-08`/`SC-DLV-053..056` — xem sheet `Seed` của chính file này). (setup)
4. Quay lại Trang cá nhân, check lại số "Đơn đã giúp".</t>
  </si>
  <si>
    <t xml:space="preserve">4. Số "Đơn đã giúp" vẫn là N (không đổi thành N+1) dù vừa phát sinh thêm 1 đơn `RETURNED`.</t>
  </si>
  <si>
    <t xml:space="preserve">Mục đích: vế (b) ÂM THẦM của `AC-24.2.01`/`BR14-04` — sai lệch 1 đơn không nhìn ra được bằng mắt nếu không ghi số trước rồi so sau. · Căn cứ: `DOC-v1.1-01 §8.14.1 BR14-04` · `§6.2 AC-24.2.01`/`AC-26.1.01`. ⛔ Không seed được đơn `RETURNED` (STG chưa build `FR09`) → verdict BLOCKED, ⛔ không PASS. · Cross-ref: cùng bộ đếm với `USR` (2 chỉ số đóng góp) và `HOME`/`ACT` (card "Đóng góp của bạn") — ⛔ không nhân bản SC/TC sang các module đó.</t>
  </si>
  <si>
    <t xml:space="preserve">▬▬  1. Hero và số liệu cộng đồng  ·  3 TC (TC-HOME-008…TC-HOME-031)</t>
  </si>
  <si>
    <t xml:space="preserve">Check card Đóng góp của bạn hiện đúng số đơn đã giúp và không có chỉ số môi trường</t>
  </si>
  <si>
    <t xml:space="preserve">- Tài khoản A, B, C là ba CBNV khác nhau trên STG.
- Host app FoxPro đã cài trên thiết bị Android/iOS.
Test Data: 1 đơn Hoàn thành mà A đóng vai người vận chuyển = `SEED-HOME-03` (test_data_catalog §HOME — Số đơn đã giúp theo vai)</t>
  </si>
  <si>
    <t xml:space="preserve">1. Đăng nhập bằng tài khoản A, mở Trang chủ và ghi lại con số đơn đã giúp ở khối hero. (setup)
2. Đăng xuất, đăng nhập bằng tài khoản B, đăng 1 tin NEED khai tài khoản C là người nhận, rồi đăng xuất. (setup)
3. Đăng nhập bằng tài khoản A, nhận đơn đó, nhấn "Tôi đã lấy hàng" và xác nhận, rồi giao hàng cho tới khi đơn sang "Đã giao", sau đó đăng xuất. (setup)
4. Đăng nhập bằng tài khoản C, mở đơn đó và nhấn xác nhận đã nhận hàng, rồi đăng xuất. (setup)
5. Đăng nhập lại bằng tài khoản A và mở Trang chủ. (setup)
6. Check con số ở khối hero, dòng số liệu cộng đồng và toàn bộ nội dung card "Đóng góp của bạn".</t>
  </si>
  <si>
    <t xml:space="preserve">6. Khối hero hiện con số lớn hơn đúng 1 so với con số đã ghi ở step 1; dòng số liệu cộng đồng hiện đúng định dạng "[số] đơn · [số] người"; card KHÔNG hiện chỉ số CO₂ hay điểm ECO nào.</t>
  </si>
  <si>
    <t xml:space="preserve">Đã sửa theo BA trả lời `C-HOME-06` 2026-09-17: hero chỉ đếm đơn **Hoàn thành ở vai người vận chuyển**, bản v1.0 chưa có công thức nên chỉ assert "có hiện số". · Mục đích: đo bằng phép tăng 1 thay vì so với con số tuyệt đối — tài khoản dùng chung trên STG không có con số gốc tin cậy. · Căn cứ: `BR14-04` (đơn Đã trả người gửi KHÔNG tính — verify ở `TC-DLV-065`). ⛔ Không assert số người ở dòng cộng đồng: BA đề nghị bỏ qua định nghĩa "người tham gia".</t>
  </si>
  <si>
    <t xml:space="preserve">Check hero hiện số không với tài khoản chỉ từng làm người gửi</t>
  </si>
  <si>
    <t xml:space="preserve">- Tài khoản CBNV "sạch" trên STG = `SEED-HOME-01` (0 đóng góp) — dùng chung với `TC-HOME-027/028`, không chuẩn bị lại.
- Tài khoản B và C là hai CBNV khác trên STG.
- Host app FoxPro đã cài trên thiết bị Android/iOS.
Test Data: Tài khoản chỉ làm người gửi, có ≥1 đơn Hoàn thành (test_data_catalog §HOME — Số đơn đã giúp theo vai, nhánh invalid)</t>
  </si>
  <si>
    <t xml:space="preserve">1. Đăng nhập bằng tài khoản "sạch", đăng 1 tin NEED khai tài khoản C là người nhận, rồi đăng xuất. (setup)
2. Đăng nhập bằng tài khoản B, nhận đơn đó, nhấn "Tôi đã lấy hàng" và xác nhận, rồi giao hàng cho tới khi đơn sang "Đã giao", sau đó đăng xuất. (setup)
3. Đăng nhập bằng tài khoản C, mở đơn đó và nhấn xác nhận đã nhận hàng, rồi đăng xuất. (setup)
4. Đăng nhập lại bằng tài khoản "sạch" và mở Trang chủ. (setup)
5. Check con số đơn đã giúp ở khối hero.</t>
  </si>
  <si>
    <t xml:space="preserve">5. Khối hero hiện số 0, đơn Hoàn thành ở vai người gửi KHÔNG được cộng vào.</t>
  </si>
  <si>
    <t xml:space="preserve">Mục đích: đối chứng âm cho `TC-HOME-008` — cùng 1 đơn Hoàn thành nhưng đếm cho vai người vận chuyển chứ không cho vai người gửi; lỗi hay gặp là đếm mọi đơn Hoàn thành mà tài khoản có liên quan. · Căn cứ: BA trả lời `C-HOME-06(a)` 2026-09-17 + `AC-26.2.01`.</t>
  </si>
  <si>
    <t xml:space="preserve">Check số đơn cộng đồng tăng đúng một ngay sau khi có đơn hoàn thành</t>
  </si>
  <si>
    <t xml:space="preserve">- Tài khoản A, B, C là ba CBNV khác nhau trên STG.
- Host app FoxPro đã cài trên thiết bị Android/iOS.
Test Data: Số đơn cộng đồng trước và sau 1 đơn Hoàn thành (test_data_catalog §HOME — "[x] đơn · [y] người" cộng đồng)</t>
  </si>
  <si>
    <t xml:space="preserve">1. Đăng nhập bằng tài khoản A, mở Trang chủ và ghi lại số đơn ở dòng số liệu cộng đồng. (setup)
2. Đăng xuất, đăng nhập bằng tài khoản B, đăng 1 tin NEED khai tài khoản C là người nhận, nhờ một tài khoản phụ khác nhận và giao đơn đó cho tới khi đơn sang "Đã giao", rồi đăng xuất. (setup)
3. Đăng nhập bằng tài khoản C, mở đơn đó và nhấn xác nhận đã nhận hàng, rồi đăng xuất. (setup)
4. Đăng nhập lại bằng tài khoản A và mở lại Trang chủ. (setup)
5. Check số đơn ở dòng số liệu cộng đồng.</t>
  </si>
  <si>
    <t xml:space="preserve">5. Số đơn ở dòng cộng đồng lớn hơn đúng 1 so với con số đã ghi ở step 1.</t>
  </si>
  <si>
    <t xml:space="preserve">Mục đích: đồng thời chốt hai vế của `C-HOME-06(b)(c)` — x đếm **toàn hệ thống** (đơn do tài khoản khác hoàn thành vẫn cộng vào số A nhìn thấy) và cập nhật **realtime** (tăng ngay lần mở lại, không chờ chu kỳ). · Căn cứ: BA trả lời `C-HOME-06(b)(c)` 2026-09-17. ⛔ Không assert số người ở dòng này — định nghĩa "người tham gia" BA đề nghị bỏ qua.</t>
  </si>
  <si>
    <t xml:space="preserve">▬▬  2. Section Tin mới  ·  5 TC (TC-HOME-019…TC-HOME-030)</t>
  </si>
  <si>
    <t xml:space="preserve">Check section Tin mới hiển thị đúng năm tin khi hệ thống có nhiều hơn năm tin hợp lệ</t>
  </si>
  <si>
    <t xml:space="preserve">- Tài khoản A và B là hai CBNV khác nhau trên STG.
- Host app FoxPro đã cài trên thiết bị Android/iOS.
Test Data: ≥6 tin NEED `POSTED` hợp lệ = `SEED-HOME-02` (test_data_catalog §HOME — Số tin NEED section "Tin mới")</t>
  </si>
  <si>
    <t xml:space="preserve">1. Đăng nhập bằng tài khoản B, đăng 6 tin NEED còn hiệu lực qua wizard "+ Đăng tin", rồi đăng xuất. (setup)
2. Đăng nhập bằng tài khoản A và mở Trang chủ. (setup)
3. Đếm số tin hiển thị trong section "Tin mới".</t>
  </si>
  <si>
    <t xml:space="preserve">3. Section "Tin mới" hiển thị đúng 5 tin, không nhiều hơn và không ít hơn.</t>
  </si>
  <si>
    <t xml:space="preserve">Đã sửa theo `C-HOME-03` Resolved 2026-09-15 (`AC-11.1.01`): đổi từ *"hiển thị nhiều nhất 5 tin"* của bản v1.0 sang **đúng 5 tin** — PRD v1.1 thắng cả `DOC-v1.0-02` (1 tin) lẫn BRD `US-D06`. · Mục đích: app từng hiện đúng 1 tin; "nhiều nhất 5" khiến 1 tin cũng PASS, đó là lý do phải siết thành số chính xác. · Căn cứ: 3 lớp loại trừ verify riêng ở `TC-HOME-030` — TC này chỉ chốt số lượng.</t>
  </si>
  <si>
    <t xml:space="preserve">Check nút Xem thêm trên Bảng tin hiện và dẫn sang Bảng tin khi có hơn năm tin hợp lệ</t>
  </si>
  <si>
    <t xml:space="preserve">- Tài khoản A và B là hai CBNV khác nhau trên STG.
- Host app FoxPro đã cài trên thiết bị Android/iOS.
Test Data: &gt;5 tin NEED hợp lệ = `SEED-HOME-02` (test_data_catalog §HOME — Tổng tin hợp lệ, biên trên)</t>
  </si>
  <si>
    <t xml:space="preserve">1. Đăng nhập bằng tài khoản B, đăng 6 tin NEED còn hiệu lực qua wizard "+ Đăng tin", rồi đăng xuất. (setup)
2. Đăng nhập bằng tài khoản A và mở Trang chủ. (setup)
3. Cuộn xuống cuối section "Tin mới".
4. Nhấn nút "Xem thêm trên Bảng tin".
5. Check tên màn vừa mở.</t>
  </si>
  <si>
    <t xml:space="preserve">5. Nút "Xem thêm trên Bảng tin" hiện ở cuối section và nhấn vào mở đúng màn Bảng tin.</t>
  </si>
  <si>
    <t xml:space="preserve">Đã sửa theo `AC-11.1.01` 2026-09-17: bổ sung điều kiện hiện nút (**&gt;5 tin hợp lệ**) mà bản v1.0 cố ý bỏ trống vì khi đó không có nguồn tài liệu (`RISK-HOME-03`). · Mục đích: cặp biên với `TC-HOME-025` — chiều dương của cùng ngưỡng 5.</t>
  </si>
  <si>
    <t xml:space="preserve">Check nút Xem thêm trên Bảng tin không hiện khi chỉ có đúng năm tin hợp lệ</t>
  </si>
  <si>
    <t xml:space="preserve">- Tài khoản A là CBNV có hồ sơ đầy đủ trên STG.
- Host app FoxPro đã cài trên thiết bị Android/iOS.
- Môi trường STG riêng hoặc khung giờ đã dọn dữ liệu, cho phép khống chế tổng số tin NEED hợp lệ của TOÀN hệ thống.
Test Data: Đúng 5 tin NEED hợp lệ toàn hệ thống — biên dưới (test_data_catalog §HOME — Tổng tin hợp lệ, biên)</t>
  </si>
  <si>
    <t xml:space="preserve">1. Dọn dữ liệu STG để toàn hệ thống không còn tin NEED hợp lệ nào, rồi đăng đúng 5 tin NEED còn hiệu lực bằng tài khoản phụ, sau đó đăng xuất. (setup)
2. Đăng nhập bằng tài khoản A và mở Trang chủ. (setup)
3. Đếm số tin trong section "Tin mới" rồi cuộn xuống cuối section.
4. Check khu vực cuối section "Tin mới".</t>
  </si>
  <si>
    <t xml:space="preserve">4. Section hiển thị đúng 5 tin và cuối section KHÔNG có nút "Xem thêm trên Bảng tin".</t>
  </si>
  <si>
    <t xml:space="preserve">Mục đích: cặp biên âm với `TC-HOME-021` — ngưỡng 5 phải phân định được hai chiều, chỉ chạy chiều dương thì nút luôn-hiện cũng PASS. · Căn cứ: `AC-11.1.01`. ⚠️ **Không dựng được trên STG dùng chung**: `C-HOME-04` Resolved 2026-09-17 chốt tin load **toàn quốc** nên phải khống chế dữ liệu toàn hệ thống, không chỉ dữ liệu tài khoản test. Không có môi trường riêng ⇒ ghi **`Blocked` kèm lý do**, ⛔ KHÔNG đánh PASS cho xong.</t>
  </si>
  <si>
    <t xml:space="preserve">REQ-HOME-011, REQ-HOME-012</t>
  </si>
  <si>
    <t xml:space="preserve">Check empty state section Tin mới hiện đúng chuỗi và nút đăng tin ngay</t>
  </si>
  <si>
    <t xml:space="preserve">- Tài khoản A là CBNV có hồ sơ đầy đủ trên STG.
- Host app FoxPro đã cài trên thiết bị Android/iOS.
- Môi trường STG riêng hoặc khung giờ đã dọn dữ liệu, cho phép đưa toàn hệ thống về 0 tin NEED hợp lệ.
Test Data: Tài khoản "sạch" + 0 tin hợp lệ toàn hệ thống (test_data_catalog §HOME — Tài khoản "sạch" cho empty state)</t>
  </si>
  <si>
    <t xml:space="preserve">1. Dọn dữ liệu STG để toàn hệ thống không còn tin NEED hợp lệ nào ngoài tin của chính tài khoản A. (setup)
2. Đăng nhập bằng tài khoản A và mở Trang chủ. (setup)
3. Check vùng nội dung của section "Tin mới": icon, dòng tiêu đề, dòng giải thích và nút CTA.</t>
  </si>
  <si>
    <t xml:space="preserve">3. Section hiện icon nét mảnh, dòng tiêu đề đúng chuỗi "Chưa có tin nào trong khu vực của bạn", dòng giải thích "Đăng tin để đồng nghiệp nhìn thấy nhu cầu của bạn" và nút CTA "Đăng tin ngay"; không có skeleton kéo dài.</t>
  </si>
  <si>
    <t xml:space="preserve">Mục đích: kết quả phản trực giác — `C-HOME-04` chốt tin load **toàn quốc** nên chữ *"trong khu vực của bạn"* KHÔNG còn khớp hành vi, nhưng BA trả lời vòng 3 *"giữ nguyên nhé"* ⇒ **assert cứng chuỗi PRD**, ⛔ không sửa Expected theo logic. · Căn cứ: `EMP-01` + `AC-11.2.01`. App đổi chữ ⇒ FAIL và dẫn `C-HOME-04`. ⚠️ Cùng ràng buộc môi trường với `TC-HOME-025`; không dựng được ⇒ ghi `Blocked` kèm lý do.</t>
  </si>
  <si>
    <t xml:space="preserve">Check section Tin mới loại trừ tin đã ghép tin hết hạn và tin của chính mình</t>
  </si>
  <si>
    <t xml:space="preserve">- Tài khoản A và B là hai CBNV khác nhau trên STG.
- Host app FoxPro đã cài trên thiết bị Android/iOS.
- Dev/QA hỗ trợ lùi "Đến ngày" của 1 tin để tạo tin hết hạn — ⛔ không tạo được qua UI.
Test Data: 1 tin đã ghép + 1 tin hết hạn + 1 tin của chính tài khoản quan sát = `SEED-HOME-02` (test_data_catalog §HOME — Số tin NEED section "Tin mới")</t>
  </si>
  <si>
    <t xml:space="preserve">1. Đăng nhập bằng tài khoản B, đăng 6 tin NEED còn hiệu lực với tiêu đề phân biệt được, rồi đăng xuất. (setup)
2. Đăng nhập bằng tài khoản phụ thứ ba, nhận 1 trong 6 tin đó để đưa tin sang trạng thái đã ghép, rồi đăng xuất. (setup)
3. Nhờ dev/QA lùi "Đến ngày" của 1 tin khác trong 6 tin đó để tin chuyển sang hết hạn. (setup)
4. Đăng nhập bằng tài khoản A, đăng 1 tin NEED với tiêu đề riêng biệt. (setup)
5. Mở Trang chủ và đối chiếu tiêu đề từng tin trong section "Tin mới" với ba tin đã đánh dấu ở step 2, 3 và 4.</t>
  </si>
  <si>
    <t xml:space="preserve">5. Cả ba tin đã đánh dấu đều KHÔNG xuất hiện trong section "Tin mới".</t>
  </si>
  <si>
    <t xml:space="preserve">Mục đích: fail độc lập với `TC-HOME-019` — đếm đúng 5 tin không đảm bảo lọc đúng; app có thể trả đủ 5 nhưng lẫn tin đã ghép. · Căn cứ: `AC-11.1.01` — 3 lớp loại trừ là phần PRD v1.1 bổ sung, không nguồn v1.0 nào có. ✅ TC này **dựng được trên STG dùng chung** vì chỉ cần chứng minh 3 tin CỤ THỂ vắng mặt, ⛔ không cần khống chế toàn bộ danh sách như `TC-HOME-025`/`026`.</t>
  </si>
  <si>
    <t xml:space="preserve">▬▬  3. Empty state Trang chủ  ·  2 TC (TC-HOME-027…TC-HOME-028)</t>
  </si>
  <si>
    <t xml:space="preserve">Check section Đơn của tôi vẫn hiện kèm empty state khi chưa có đơn đang chạy</t>
  </si>
  <si>
    <t xml:space="preserve">- Tài khoản CBNV "sạch" trên STG = `SEED-HOME-01` (0 tin đã đăng, 0 đơn đang chạy, 0 đóng góp) — dùng chung với `TC-HOME-028/029`, chuẩn bị 1 lần.
- Host app FoxPro đã cài trên thiết bị Android/iOS.
Test Data: Tài khoản 0 đơn đang chạy = `SEED-HOME-01` (test_data_catalog §HOME — Tài khoản "sạch")</t>
  </si>
  <si>
    <t xml:space="preserve">1. Đăng nhập FoxEco bằng tài khoản "sạch". (setup)
2. Mở Trang chủ. (setup)
3. Check sự tồn tại của section "Đơn của tôi" và nội dung bên trong section đó.</t>
  </si>
  <si>
    <t xml:space="preserve">3. Section "Đơn của tôi" VẪN hiển thị trên Trang chủ, bên trong có icon nét mảnh, dòng "Bạn chưa có đơn nào đang chạy" và nút CTA "Tạo đơn gửi hàng".</t>
  </si>
  <si>
    <t xml:space="preserve">Mục đích: thay thế `TC-HOME-010` đã gỡ — TC cũ assert **NGƯỢC HẲN** (*"Trang chủ KHÔNG có section Đơn của tôi"*). Người chạy quen bản v1.0 rất dễ cho FAIL nhầm khi thấy section hiện ra. · Căn cứ: `C-HOME-05` **Resolved 2026-09-17** — BA chốt HIỆN `EMP-02`, không ẩn; ảnh demo `HOME_03` (không có section) nay là **lệch demo ↔ rule**, ⛔ không còn là oracle. Section bị ẩn ⇒ FAIL và log bug.</t>
  </si>
  <si>
    <t xml:space="preserve">Check hero và cụm cộng đồng hiện số không khi tài khoản và hệ thống chưa có đóng góp</t>
  </si>
  <si>
    <t xml:space="preserve">- Tài khoản CBNV "sạch" trên STG = `SEED-HOME-01` (0 tin đã đăng, 0 đơn đang chạy, 0 đóng góp) — dùng chung với `TC-HOME-027/029`, không chuẩn bị lại.
- Host app FoxPro đã cài trên thiết bị Android/iOS.
- Môi trường STG chưa có đơn Hoàn thành nào của bất kỳ tài khoản nào.
Test Data: Tài khoản "sạch" + hệ thống 0 đơn Hoàn thành (test_data_catalog §HOME — Tài khoản "sạch")</t>
  </si>
  <si>
    <t xml:space="preserve">1. Đăng nhập FoxEco bằng tài khoản "sạch". (setup)
2. Mở Trang chủ. (setup)
3. Check khối hero, cụm số liệu cộng đồng và các nút CTA trong vùng này.</t>
  </si>
  <si>
    <t xml:space="preserve">3. Khối hero hiện "0 · Chưa có đóng góp nào", cụm cộng đồng hiện "0 đơn · 0 người", và vùng này KHÔNG có nút CTA nào.</t>
  </si>
  <si>
    <t xml:space="preserve">Mục đích: `EMP-03` là empty state duy nhất của Trang chủ **KHÔNG có CTA** — bất đối xứng với `EMP-01` và `EMP-02` (đều có 1 CTA); app hiện nút ở đây là **sai spec**. · Căn cứ: `AC-26.2.01` + `EMP-03` + `BR17-01` (*"tối đa một CTA"*).</t>
  </si>
  <si>
    <t xml:space="preserve">▬▬  4. Hiệu năng NFR01  ·  1 TC (TC-HOME-032)</t>
  </si>
  <si>
    <t xml:space="preserve">Check nội dung đầu Trang chủ hiển thị dưới hai giây khi có một nghìn người dùng đồng thời</t>
  </si>
  <si>
    <t xml:space="preserve">- Tài khoản A là CBNV có hồ sơ đầy đủ trên STG.
- Môi trường load-test mô phỏng được 1.000 người dùng đồng thời trên mạng 4G — ⛔ không dựng được bằng thiết bị tay.
- Có sẵn công cụ đo thời gian hiển thị nội dung đầu tiên.
Test Data: 1.000 user đồng thời, mạng 4G, ngưỡng &lt;2s p95 (test_data_catalog §HOME — Môi trường load-test NFR01)</t>
  </si>
  <si>
    <t xml:space="preserve">1. Khởi động kịch bản load-test mô phỏng 1.000 người dùng đồng thời truy cập FoxEco trên mạng 4G. (setup)
2. Mở Trang chủ bằng tài khoản A trong lúc tải đang ở mức đỉnh.
3. Check số đo thời gian từ lúc mở màn tới lúc nội dung đầu tiên hiển thị, lấy theo phân vị 95.</t>
  </si>
  <si>
    <t xml:space="preserve">3. Số đo phân vị 95 nhỏ hơn 2 giây.</t>
  </si>
  <si>
    <t xml:space="preserve">Mục đích: giữ traceability cho `NFR01` thay vì bỏ hẳn SC — `test_data_catalog §HOME` ghi rõ *"không viết TC manual assert số đo"*, nên TC tồn tại để `execute-maintain` biết cần defer cho automation/load-test. · Căn cứ: `DOC-v1.1-01` §9 NFR01. ⛔ Loại khỏi mẫu số pass-rate cho tới khi có môi trường load-test. · 🚫 Deferred — cần công cụ load-test, ⛔ không test tay được (QC GiangDC2, 2026-09-17)</t>
  </si>
  <si>
    <t xml:space="preserve">▬▬  1. Thông báo hoàn tất đơn  ·  1 TC (TC-NTF-005)</t>
  </si>
  <si>
    <t xml:space="preserve">Check xác nhận nhận hàng sinh thông báo hoàn tất đúng text cho hai vai</t>
  </si>
  <si>
    <t xml:space="preserve">- Đơn đã ở checkpoint 3 (`DELIVERED`/Đã giao) của `SEED-DLV-01` — không seed riêng, không cần 2 thiết bị.
- Host app FoxPro đã cài trên thiết bị Android/iOS.
Test Data: Đơn `COMPLETED` đủ 3 vai của `SEED-DLV-01` (test_data_catalog §NTF v1.1)</t>
  </si>
  <si>
    <t xml:space="preserve">1. Ngay sau khi người nhận nhấn "Xác nhận đã nhận hàng" và xác nhận (đẩy đơn sang `COMPLETED`), đăng nhập tài khoản A (người gửi), nhấn icon chuông, check nội dung thông báo về đơn đó. (setup)
2. Đăng nhập tài khoản B (người vận chuyển), nhấn icon chuông, check nội dung thông báo về đơn đó.</t>
  </si>
  <si>
    <t xml:space="preserve">2. Cả tài khoản A và tài khoản B đều có thông báo đúng chuỗi verbatim "Đơn đã hoàn tất — cảm ơn bạn!".</t>
  </si>
  <si>
    <t xml:space="preserve">Mục đích: PRD chính thức `DOC-v1.1-01` chốt dứt điểm text `NTF-06`, thay bản BRD "nguồn thắng có điều kiện" của v1.0 — hết rủi ro phải dẫn `C-NTF-01` nếu app lệch, vì `C-NTF-01` đã Resolved 2026-09-15. · Căn cứ: `DOC-v1.1-01 §8.13.1` dòng `NTF-06`. · Đã sửa theo delta v1.1 (2026-09-15): bỏ hedge "App hiện bản PRD ⇒ FAIL và dẫn C-NTF-01" ở Notes v1.0, nay assert dứt khoát không còn đường thoát CL.</t>
  </si>
  <si>
    <t xml:space="preserve">▬▬  2. Riêng tư trong nội dung thông báo  ·  1 TC (TC-NTF-008)</t>
  </si>
  <si>
    <t xml:space="preserve">Check không thông báo nào trong đủ 15 sự kiện chứa số điện thoại</t>
  </si>
  <si>
    <t xml:space="preserve">- Có sẵn 1 đơn đi trọn vòng đời chính (`SEED-DLV-01` checkpoint 0→4) VÀ đơn/nhóm đơn đã đi qua đủ 6 nhánh phụ FR08/FR09 (uỷ quyền · quầy lễ tân · quầy bảo vệ · không liên lạc được · hẹn giao lại · trả hàng — tái dùng từ `TC-NTF-017..022` bên dưới, không seed riêng).
- Vế push cần ≥2 thiết bị/phiên thật đăng nhập đúng lúc sự kiện xảy ra.
- Host app FoxPro đã cài trên thiết bị Android/iOS.
Test Data: Đủ 15 sự kiện, kiểm cả in-app và push (test_data_catalog §NTF v1.1)</t>
  </si>
  <si>
    <t xml:space="preserve">1. Với từng tài khoản liên quan (người gửi/vận chuyển/nhận) của toàn bộ đơn trên, đăng nhập lần lượt, nhấn icon chuông và đọc toàn bộ nội dung từng thông báo trong danh sách — bao trùm đủ 15 sự kiện `NTF-01..15`.
2. Với thiết bị đã đăng nhập sẵn trong lúc sự kiện xảy ra, kéo thanh thông báo hệ thống và đọc toàn bộ nội dung các push đã nhận.</t>
  </si>
  <si>
    <t xml:space="preserve">2. KHÔNG thông báo nào (in-app lẫn push), kể cả 6 sự kiện mới `NTF-10..15`, chứa dãy số điện thoại; các dòng nhạy cảm nhất (`NTF-10`/`11`/`12`) chỉ được nhắc "có ảnh bằng chứng"/"cần xác nhận uỷ quyền", không kèm số.</t>
  </si>
  <si>
    <t xml:space="preserve">Mục đích: mở rộng phạm vi P1 từ 9/9 (v1.0) sang **đủ 15/15 sự kiện** — bỏ sót 1 trong 6 sự kiện mới là bỏ sót đúng chỗ nhạy cảm nhất (uỷ quyền/quầy/không liên lạc được). · Căn cứ: `DOC-v1.1-01 §8.13.1` (đối chiếu toàn bộ 15 dòng "Nội dung (mẫu)"). Có thông báo chứa số ⇒ FAIL và log bug mức cao (rò rỉ dữ liệu cá nhân).</t>
  </si>
  <si>
    <t xml:space="preserve">▬▬  3. Danh mục 15 sự kiện  ·  1 TC (TC-NTF-014)</t>
  </si>
  <si>
    <t xml:space="preserve">Check quan sát đủ 15 loại thông báo chính thức đúng người nhận từng loại</t>
  </si>
  <si>
    <t xml:space="preserve">- Có sẵn cùng bộ đơn của `TC-NTF-008` (vòng đời chính + đủ 6 nhánh phụ FR08/FR09) — không seed riêng.
- Host app FoxPro đã cài trên thiết bị Android/iOS.
Test Data: Đơn trọn vòng đời chính + 1 lượt qua mỗi nhánh phụ FR08/FR09, đối chiếu 15 loại chính thức (test_data_catalog §NTF v1.1)</t>
  </si>
  <si>
    <t xml:space="preserve">1. Với từng tài khoản liên quan, đăng nhập lần lượt, nhấn icon chuông và liệt kê toàn bộ loại thông báo (nội dung + người nhận) đã nhận được cho các đơn trên.
2. Đối chiếu danh sách vừa liệt kê với danh mục 15 loại chính thức `NTF-01..15` (test_data_catalog §NTF v1.1).</t>
  </si>
  <si>
    <t xml:space="preserve">2. Quan sát đủ **15/15 loại** thông báo chính thức, mỗi loại đúng người nhận theo danh mục; thiếu loại nào hoặc sai người nhận loại nào thì ghi rõ tên loại thiếu/sai để log finding.</t>
  </si>
  <si>
    <t xml:space="preserve">Mục đích: đảo vai trò từ `[GAP]` ghi-nhận (v1.0) sang **assert đủ-danh-mục** — thiếu 1 trong 15 loại là bằng chứng cụ thể để log finding, không còn coi "có SC chạy qua" là đủ coverage. · Căn cứ: `DOC-v1.1-01 §8.13.1` bảng 15 dòng, `C-NTF-01` Resolved 2026-09-15. Tiền đề tốn thời gian nhất module — gộp chạy chung lô vibe-test `DLV` (`RISK-NTF-05`). · Đã sửa theo delta v1.1 (2026-09-15): bỏ 2 assert-absent cũ (đánh giá 5 sao, CO₂) — nay gộp vào phép đối chiếu đủ-danh-mục (loại đó không có trong 15 loại chính thức nên tự động không xuất hiện nếu quan sát đúng đủ 15/15).</t>
  </si>
  <si>
    <t xml:space="preserve">▬▬  4. Thông báo nhánh giao nhận mở rộng  ·  6 TC (TC-NTF-017…TC-NTF-022)</t>
  </si>
  <si>
    <t xml:space="preserve">Check giao cho người được uỷ quyền sinh thông báo NTF-10 cho hai vai</t>
  </si>
  <si>
    <t xml:space="preserve">- Đơn đã được Carrier xác nhận giao hàng theo phương án "Người được uỷ quyền" ở nhánh FR08 (Carrier nhập tên người nhận thay, đính ≥1 ảnh, xác nhận — theo `SC-DLV-038`) — không seed riêng, chạy chung lô vibe-test `DLV`.
- Host app FoxPro đã cài trên thiết bị Android/iOS.
Test Data: Đơn giao qua uỷ quyền, tái dùng từ luồng `SC-DLV-038` (test_data_catalog §NTF v1.1)</t>
  </si>
  <si>
    <t xml:space="preserve">1. Đăng nhập tài khoản người nhận, nhấn icon chuông, check nội dung thông báo về đơn đó.
2. Đăng nhập tài khoản người gửi, nhấn icon chuông, check nội dung thông báo về đơn đó.</t>
  </si>
  <si>
    <t xml:space="preserve">2. Cả người nhận và người gửi đều có thông báo `NTF-10` nêu đúng tên người nhận thay, đúng người uỷ quyền (người gửi hoặc người nhận), có nhắc "có ảnh bằng chứng"; KHÔNG chứa số điện thoại.</t>
  </si>
  <si>
    <t xml:space="preserve">Mục đích: SC hoàn toàn mới — chỉ test đúng bắn thông báo/người nhận/nội dung, KHÔNG lặp nghiệp vụ giao nhận (đã có SC bên `DLV` delta v1.1). · Căn cứ: `DOC-v1.1-01 §8.13.1` dòng `NTF-10`. Tiền đề phụ thuộc vibe-test nhánh FR08 bên `DLV` (`RISK-NTF-07`), chưa có TC-DLV-v1.1 tại thời điểm generate — cập nhật tham chiếu khi có.</t>
  </si>
  <si>
    <t xml:space="preserve">Check gửi tại quầy sinh thông báo NTF-11 cho hai vai</t>
  </si>
  <si>
    <t xml:space="preserve">- Đơn đã được Carrier xác nhận giao hàng theo phương án gửi quầy (lễ tân hoặc bảo vệ) ở nhánh FR08 (nhập tên người trực, đính ≥1 ảnh, xác nhận — theo `SC-DLV-039`) — không seed riêng, chạy chung lô vibe-test `DLV`.
- Host app FoxPro đã cài trên thiết bị Android/iOS.
Test Data: Đơn giao qua quầy, tái dùng từ luồng `SC-DLV-039` (test_data_catalog §NTF v1.1)</t>
  </si>
  <si>
    <t xml:space="preserve">2. Cả người nhận và người gửi đều có thông báo `NTF-11` nêu đúng loại quầy (lễ tân/bảo vệ) + tên người trực; KHÔNG chứa số điện thoại.</t>
  </si>
  <si>
    <t xml:space="preserve">Mục đích: SC hoàn toàn mới, chỉ test bắn thông báo/người nhận/nội dung. · Căn cứ: `DOC-v1.1-01 §8.13.1` dòng `NTF-11`. Tiền đề phụ thuộc vibe-test nhánh FR08 bên `DLV`, chưa có TC-DLV-v1.1 tại thời điểm generate.</t>
  </si>
  <si>
    <t xml:space="preserve">Check không liên lạc được người nhận sinh thông báo NTF-12 cho người gửi</t>
  </si>
  <si>
    <t xml:space="preserve">- Carrier đã bấm "Không liên lạc được người nhận?" và chọn hướng liên hệ người gửi xin uỷ quyền khác ở nhánh FR08 (theo `SC-DLV-044`) — không seed riêng, chạy chung lô vibe-test `DLV`.
- Host app FoxPro đã cài trên thiết bị Android/iOS.
Test Data: Đơn ở nhánh không liên lạc được, tái dùng từ luồng `SC-DLV-044` (test_data_catalog §NTF v1.1)</t>
  </si>
  <si>
    <t xml:space="preserve">1. Đăng nhập tài khoản người gửi, nhấn icon chuông, check nội dung thông báo về đơn đó.</t>
  </si>
  <si>
    <t xml:space="preserve">1. Tài khoản người gửi có thông báo `NTF-12` đúng chuỗi "Người vận chuyển không liên lạc được người nhận — cần bạn xác nhận uỷ quyền cho người khác nhận hàng"; KHÔNG chứa số điện thoại người nhận.</t>
  </si>
  <si>
    <t xml:space="preserve">Mục đích: SC hoàn toàn mới; chỉ 1 vai (người gửi) nhận theo đúng danh mục `§8.13.1` dòng `NTF-12`, khác `NTF-10`/`11` có 2 vai. · Căn cứ: `DOC-v1.1-01 §8.13.1` dòng `NTF-12`. Tiền đề phụ thuộc vibe-test nhánh FR08 bên `DLV`, chưa có TC-DLV-v1.1 tại thời điểm generate.</t>
  </si>
  <si>
    <t xml:space="preserve">Check hẹn giao lại sinh thông báo NTF-13 đúng biến cho hai vai</t>
  </si>
  <si>
    <t xml:space="preserve">- Carrier đã chọn "Cầm hàng về" → chế độ hẹn giao lại (`retry`), nhập lịch hẹn hợp lệ {ngày · giờ} + {nơi hẹn} ở nhánh FR09 (theo `SC-DLV-049`), đơn chuyển `RESCHEDULED` — không seed riêng, chạy chung lô vibe-test `DLV`.
- Host app FoxPro đã cài trên thiết bị Android/iOS.
Test Data: Đơn `RESCHEDULED`, tái dùng từ luồng `SC-DLV-049` (test_data_catalog §NTF v1.1)</t>
  </si>
  <si>
    <t xml:space="preserve">2. Cả người nhận và người gửi đều có thông báo `NTF-13` đúng {ngày · giờ} và {nơi hẹn} vừa nhập; KHÔNG chứa số điện thoại.</t>
  </si>
  <si>
    <t xml:space="preserve">Mục đích: SC hoàn toàn mới, chỉ test đúng biến `{ngày · giờ}`/`{nơi hẹn}` được thay đúng giá trị runtime, không lặp validate field lịch hẹn (đã có ở `SC-DLV-049`). · Căn cứ: `DOC-v1.1-01 §8.13.1` dòng `NTF-13`. Tiền đề phụ thuộc vibe-test nhánh FR09 bên `DLV`, chưa có TC-DLV-v1.1 tại thời điểm generate.</t>
  </si>
  <si>
    <t xml:space="preserve">Check trả hàng về người gửi sinh thông báo NTF-14 đúng biến cho hai vai</t>
  </si>
  <si>
    <t xml:space="preserve">- Carrier đã chọn "Cầm hàng về" → chế độ trả người gửi (`return`), nhập lịch hẹn hợp lệ {ngày · giờ} + {nơi hẹn} ở nhánh FR09 (theo `SC-DLV-049`, chế độ khác `TC-NTF-020`), đơn chuyển `RETURNING` — không seed riêng, chạy chung lô vibe-test `DLV`.
- Host app FoxPro đã cài trên thiết bị Android/iOS.
Test Data: Đơn `RETURNING`, tái dùng từ luồng `SC-DLV-049` chế độ `return` (test_data_catalog §NTF v1.1)</t>
  </si>
  <si>
    <t xml:space="preserve">1. Đăng nhập tài khoản người gửi, nhấn icon chuông, check nội dung thông báo về đơn đó.
2. Đăng nhập tài khoản người nhận, nhấn icon chuông, check nội dung thông báo về đơn đó.</t>
  </si>
  <si>
    <t xml:space="preserve">2. Cả người gửi và người nhận đều có thông báo `NTF-14` đúng {ngày · giờ} và {nơi hẹn} vừa nhập; KHÔNG chứa số điện thoại.</t>
  </si>
  <si>
    <t xml:space="preserve">Mục đích: đối chứng với `TC-NTF-020` — cùng field lịch hẹn nhưng khác chế độ (`return` thay `retry`), nội dung/đích thông báo khác hẳn (`NTF-14` thay `NTF-13`). · Căn cứ: `DOC-v1.1-01 §8.13.1` dòng `NTF-14`. Tiền đề phụ thuộc vibe-test nhánh FR09 bên `DLV`, chưa có TC-DLV-v1.1 tại thời điểm generate.</t>
  </si>
  <si>
    <t xml:space="preserve">Check xác nhận đã nhận lại hàng sinh thông báo NTF-15 cho hai vai</t>
  </si>
  <si>
    <t xml:space="preserve">- Đơn đã ở `RETURNING` (tái dùng từ `TC-NTF-021`) — không seed riêng.
- Host app FoxPro đã cài trên thiết bị Android/iOS.
Test Data: Đơn `RETURNED`, tái dùng từ `TC-NTF-021` (test_data_catalog §NTF v1.1)</t>
  </si>
  <si>
    <t xml:space="preserve">1. Đăng nhập tài khoản người gửi, nhấn "Xác nhận đã nhận lại hàng" và xác nhận (đẩy đơn sang `RETURNED`). (setup)
2. Đăng nhập tài khoản người vận chuyển, nhấn icon chuông, check nội dung thông báo về đơn đó.
3. Đăng nhập tài khoản người nhận, nhấn icon chuông, check nội dung thông báo về đơn đó.</t>
  </si>
  <si>
    <t xml:space="preserve">3. Cả người vận chuyển và người nhận đều có thông báo `NTF-15` đúng chuỗi "Đơn đã đóng — hàng đã được trả lại người gửi".</t>
  </si>
  <si>
    <t xml:space="preserve">Mục đích: SC cuối cùng của nhánh hoàn hàng — đóng đúng vòng đời `RETURNING → RETURNED`, cross-ref `SC-GIFT-013/014` (module `GIFT`) cùng phụ thuộc trạng thái `RETURNED` này. · Căn cứ: `DOC-v1.1-01 §8.13.1` dòng `NTF-15`.</t>
  </si>
  <si>
    <t xml:space="preserve">▬▬  1. Loại hàng  ·  1 TC (TC-ORD-005)</t>
  </si>
  <si>
    <t xml:space="preserve">Check field Loại hàng có đúng tám giá trị và mặc định là Tài liệu</t>
  </si>
  <si>
    <t xml:space="preserve">- Tài khoản A là CBNV có hồ sơ đầy đủ trên STG.
- Host app FoxPro đã cài trên thiết bị Android/iOS.
Test Data: 8 giá trị Loại hàng, mặc định "Tài liệu" (test_data_catalog §ORD — Loại hàng)</t>
  </si>
  <si>
    <t xml:space="preserve">1. Đăng nhập FoxEco bằng tài khoản A. (setup)
2. Nhấn "+ Đăng tin" rồi nhấn card "Tôi cần gửi hàng". (setup)
3. Check giá trị đang được chọn ở field "Loại hàng" và liệt kê toàn bộ lựa chọn theo thứ tự.</t>
  </si>
  <si>
    <t xml:space="preserve">3. Field có đúng 8 lựa chọn theo thứ tự "Tài liệu · Đồ điện tử · Thực phẩm · Hàng nhỏ · Đồ dễ vỡ · Quần áo · Thuốc/Y tế · Khác" và giá trị đang chọn sẵn là "Tài liệu".</t>
  </si>
  <si>
    <t xml:space="preserve">Đã sửa theo BA trả lời `C-ORD-09` 2026-09-16: assert nhãn **"Tài liệu"** theo PRD. Ràng buộc cũ của v1.0 *"⛔ không dùng nhãn Tài liệu, ghi theo app STG"* **HẾT HIỆU LỰC**. · Mục đích: kết quả phản trực giác — app STG hiện "Giấy tờ, hồ sơ", người chạy quen v1.0 sẽ cho PASS nhầm. App hiện nhãn khác ⇒ **FAIL và log bug**, ⛔ không sửa TC theo app. · `Thuốc/Y tế` giữ trong danh mục (`C-ORD-04` Resolved 2026-09-17), ⛔ không assert banner hàng cấm — v1.1 không có.</t>
  </si>
  <si>
    <t xml:space="preserve">▬▬  2. Ảnh món hàng  ·  7 TC (TC-ORD-012…TC-ORD-071)</t>
  </si>
  <si>
    <t xml:space="preserve">Check tải một ảnh JPG hợp lệ hiện đúng bộ đếm một trên năm</t>
  </si>
  <si>
    <t xml:space="preserve">- Tài khoản A là CBNV có hồ sơ đầy đủ trên STG.
- Host app FoxPro đã cài trên thiết bị Android/iOS.
- Thư viện ảnh thiết bị có sẵn bộ ảnh mẫu dùng chung 3 module = `SEED-ORD-01`.
Test Data: 1 ảnh JPG nhỏ của `SEED-ORD-01` (test_data_catalog §ORD — Ảnh món hàng)</t>
  </si>
  <si>
    <t xml:space="preserve">1. Đăng nhập FoxEco, nhấn "+ Đăng tin" rồi nhấn card "Tôi cần gửi hàng". (setup)
2. Nhấn vùng "ẢNH HÀNG" và chọn 1 ảnh JPG nhỏ từ thư viện thiết bị.
3. Check ô ảnh và bộ đếm bên cạnh nhãn "ẢNH HÀNG".</t>
  </si>
  <si>
    <t xml:space="preserve">3. Ảnh hiện trong ô và bộ đếm hiển thị "1/5".</t>
  </si>
  <si>
    <t xml:space="preserve">Đã sửa theo `BR01-01` 2026-09-17: bổ sung assert bộ đếm `n/5` — bản v1.0 chưa có vì khi đó không rõ ảnh có bắt buộc không. · Căn cứ: dấu bắt buộc và hành vi chặn verify ở `TC-ORD-013`/`TC-ORD-063`.</t>
  </si>
  <si>
    <t xml:space="preserve">Check khối ảnh hàng mang dấu bắt buộc và dòng helper nêu rõ ràng buộc</t>
  </si>
  <si>
    <t xml:space="preserve">- Tài khoản A là CBNV có hồ sơ đầy đủ trên STG.
- Host app FoxPro đã cài trên thiết bị Android/iOS.
Test Data: Trạng thái 0 ảnh — biên dưới (test_data_catalog §ORD — Ảnh món hàng)</t>
  </si>
  <si>
    <t xml:space="preserve">1. Đăng nhập FoxEco, nhấn "+ Đăng tin" rồi nhấn card "Tôi cần gửi hàng". (setup)
2. Check nhãn khối ảnh, bộ đếm và dòng chữ hướng dẫn ngay dưới vùng tải ảnh khi chưa tải ảnh nào.</t>
  </si>
  <si>
    <t xml:space="preserve">2. Nhãn khối là "ẢNH HÀNG" kèm dấu sao bắt buộc, bộ đếm hiển thị "0/5" và dòng helper ghi đúng chuỗi "Bắt buộc ít nhất 1 ảnh · tối đa 5 ảnh · giúp người vận chuyển nhận diện hàng".</t>
  </si>
  <si>
    <t xml:space="preserve">Đã sửa theo `BR01-01`/`BR18-02` 2026-09-17: v1.0 TC này kiểm ảnh quá dung lượng/sai định dạng, nay chuyển sang chốt **dấu hiệu bắt buộc ở tầng UI**; 2 nhánh từ chối file chuyển sang `TC-ORD-066/067`. · Mục đích: tách tầng UI (có dấu `*`) khỏi tầng hành vi (chặn thật ở `TC-ORD-063`) — app có thể vẽ dấu `*` mà không chặn. · Căn cứ: ảnh `DOC-v1.1-03` xác nhận tầng UI đã build (thu hẹp `RISK-ORD-09`).</t>
  </si>
  <si>
    <t xml:space="preserve">Check chưa tải ảnh nào thì bị chặn sang bước hai</t>
  </si>
  <si>
    <t xml:space="preserve">- Tài khoản A là CBNV có hồ sơ đầy đủ trên STG.
- Host app FoxPro đã cài trên thiết bị Android/iOS.
Test Data: 3 chip đã chọn + 0 ảnh — nhánh chặn (test_data_catalog §ORD — Ảnh món hàng, biên 0)</t>
  </si>
  <si>
    <t xml:space="preserve">1. Đăng nhập FoxEco, nhấn "+ Đăng tin" rồi nhấn card "Tôi cần gửi hàng". (setup)
2. Chọn chip "Thấp (Dưới 1 triệu đ)" ở khối "GIÁ TRỊ HÀNG (ƯỚC TÍNH)". (setup)
3. Chọn chip "Dưới 5 kg (Nhẹ)" ở khối "TRỌNG LƯỢNG". (setup)
4. Chọn chip "Nhỏ · Cầm tay" ở khối Kích thước. (setup)
5. Nhấn "Tiếp theo" khi chưa tải ảnh nào.
6. Check màn đang hiển thị và thông báo lỗi ở khối "ẢNH HÀNG".</t>
  </si>
  <si>
    <t xml:space="preserve">6. Wizard vẫn ở bước 1, không sang được bước 2, và có thông báo lỗi ở khối "ẢNH HÀNG".</t>
  </si>
  <si>
    <t xml:space="preserve">Mục đích: **P1 chặn luồng chính** — `BR01-01` biến ảnh từ *không rõ* thành **bắt buộc**, đây là oracle của cả cụm ảnh. · Căn cứ: `BR01-01` *"Thiếu ảnh thì chặn sang bước 2"* + `AC-03.1.02`. Tầng UI đã build (`DOC-v1.1-03`: dấu `*` + "0/5" + helper) nên TC này verify **hành vi chặn thật**; app cho qua ⇒ FAIL và log bug. ⚠ Ảnh demo cho thấy nút "Tiếp theo" vẫn cam khi chưa đủ điều kiện — nghi giới hạn ảnh tĩnh, ⛔ không log bug dựa trên mỗi ảnh đó.</t>
  </si>
  <si>
    <t xml:space="preserve">Check ảnh vượt năm MB bị từ chối và bộ đếm không tăng</t>
  </si>
  <si>
    <t xml:space="preserve">- Tài khoản A là CBNV có hồ sơ đầy đủ trên STG.
- Host app FoxPro đã cài trên thiết bị Android/iOS.
- Thư viện ảnh thiết bị có sẵn bộ ảnh mẫu dùng chung 3 module = `SEED-ORD-01`, gồm 1 ảnh &gt; 5MB.
Test Data: 1 ảnh &gt; 5MB của `SEED-ORD-01` (test_data_catalog §ORD — Ảnh món hàng, nhánh invalid)</t>
  </si>
  <si>
    <t xml:space="preserve">1. Đăng nhập FoxEco, nhấn "+ Đăng tin" rồi nhấn card "Tôi cần gửi hàng". (setup)
2. Nhấn vùng "ẢNH HÀNG" và chọn ảnh có dung lượng lớn hơn 5MB.
3. Check thông báo hiện ra và giá trị bộ đếm.</t>
  </si>
  <si>
    <t xml:space="preserve">3. Ảnh bị từ chối kèm thông báo lỗi và bộ đếm vẫn hiển thị "0/5".</t>
  </si>
  <si>
    <t xml:space="preserve">Mục đích: assert thêm vế **"bộ đếm không tăng"** — từ chối hiển thị mà vẫn đếm là lỗi hay gặp, và làm hỏng luôn trần 5 ở `TC-ORD-070`. · Căn cứ: `BR01-01` + `BR18-02` + `AC-03.2.02`.</t>
  </si>
  <si>
    <t xml:space="preserve">Check file sai định dạng bị từ chối và bộ đếm không tăng</t>
  </si>
  <si>
    <t xml:space="preserve">- Tài khoản A là CBNV có hồ sơ đầy đủ trên STG.
- Host app FoxPro đã cài trên thiết bị Android/iOS.
- Thư viện thiết bị có sẵn bộ mẫu dùng chung 3 module = `SEED-ORD-01`, gồm 1 file `.pdf`.
Test Data: 1 file `.pdf` của `SEED-ORD-01` (test_data_catalog §ORD — Ảnh món hàng, nhánh invalid)</t>
  </si>
  <si>
    <t xml:space="preserve">1. Đăng nhập FoxEco, nhấn "+ Đăng tin" rồi nhấn card "Tôi cần gửi hàng". (setup)
2. Nhấn vùng "ẢNH HÀNG" và chọn file định dạng `.pdf` từ thiết bị.
3. Check thông báo hiện ra và giá trị bộ đếm.</t>
  </si>
  <si>
    <t xml:space="preserve">3. File bị từ chối kèm thông báo lỗi và bộ đếm vẫn hiển thị "0/5".</t>
  </si>
  <si>
    <t xml:space="preserve">Mục đích: nhánh khác bản chất với `TC-ORD-068` — lọc theo định dạng và lọc theo dung lượng là hai lớp kiểm độc lập, chặn được lớp này không suy ra lớp kia. · Căn cứ: `VAL-07` + `BR18-02`.</t>
  </si>
  <si>
    <t xml:space="preserve">Check tải đủ năm ảnh thì bộ đếm đạt trần và không thêm được ảnh thứ sáu</t>
  </si>
  <si>
    <t xml:space="preserve">- Tài khoản A là CBNV có hồ sơ đầy đủ trên STG.
- Host app FoxPro đã cài trên thiết bị Android/iOS.
- Thư viện ảnh thiết bị có sẵn bộ ảnh mẫu dùng chung 3 module = `SEED-ORD-01`, gồm ≥6 ảnh hợp lệ.
Test Data: 5 ảnh hợp lệ (biên trên) + 1 ảnh thứ 6 (chặn) của `SEED-ORD-01` (test_data_catalog §ORD — Ảnh món hàng, biên)</t>
  </si>
  <si>
    <t xml:space="preserve">1. Đăng nhập FoxEco, nhấn "+ Đăng tin" rồi nhấn card "Tôi cần gửi hàng". (setup)
2. Tải lần lượt 5 ảnh hợp lệ vào khối "ẢNH HÀNG", cuộn dải ảnh sang phải sau mỗi lần tải để quan sát bộ đếm.
3. Thử tải thêm ảnh thứ 6.
4. Cuộn dải ảnh tới cuối rồi check bộ đếm và trạng thái ô thêm ảnh.</t>
  </si>
  <si>
    <t xml:space="preserve">4. Bộ đếm hiển thị "4/5" khi có 4 ảnh; khi đủ 5 ảnh thì ô thêm ảnh (nơi hiển thị bộ đếm) bị ẩn khỏi cuối dải, không còn bộ đếm trên màn và không chọn được ảnh thứ 6.</t>
  </si>
  <si>
    <t xml:space="preserve">Mục đích: cặp biên trên của trần 5 — hai giá trị liền kề phải quan sát trong cùng 1 TC để so được. · Căn cứ: `BR18-02` + `VAL-07` + `AC-03.2.01`. Trần 5 ở đây dùng chung rule với `DLV` và `TS` nhưng là **form khác**, ⛔ không dùng chung state. · 🔑 **Sửa Expected 2026-09-18 (QC GiangDC2 chốt sau recheck VR-002):** bộ đếm `n/5` được vẽ **bên trong ô thêm ảnh** ở cuối dải, nên vế *"ẩn nút thêm khi đủ 5"* của `BR18-02` tất yếu làm bộ đếm biến mất ở mức 5/5 — **hành vi hiện tại là ĐÚNG**. Expected cũ đòi đồng thời `5/5` + ẩn nút là **tự mâu thuẫn**, đã bỏ vế `5/5` và chuyển mốc assert bộ đếm về `4/5`. ⛔ Không log bug cho việc mất bộ đếm ở 5/5. · ⚠️ Dải ảnh là **danh sách cuộn ngang lazy**: phần tử ngoài viewport KHÔNG có trong accessibility tree ⇒ phải cuộn rồi mới assert (đã gây 1 ứng viên bug ma ở VR-002, xem bẫy `T10`).</t>
  </si>
  <si>
    <t xml:space="preserve">Check xoá một ảnh làm bộ đếm giảm đúng một đơn vị</t>
  </si>
  <si>
    <t xml:space="preserve">- Tài khoản A là CBNV có hồ sơ đầy đủ trên STG.
- Host app FoxPro đã cài trên thiết bị Android/iOS.
- Thư viện ảnh thiết bị có sẵn bộ ảnh mẫu dùng chung 3 module = `SEED-ORD-01`.
Test Data: 5 ảnh rồi xoá 1 (test_data_catalog §ORD — Ảnh món hàng)</t>
  </si>
  <si>
    <t xml:space="preserve">1. Đăng nhập FoxEco, nhấn "+ Đăng tin" rồi nhấn card "Tôi cần gửi hàng". (setup)
2. Tải 5 ảnh hợp lệ vào khối "ẢNH HÀNG". (setup)
3. Nhấn nút xoá trên ảnh thứ ba.
4. Check bộ đếm, số ảnh còn lại và trạng thái nút thêm ảnh.</t>
  </si>
  <si>
    <t xml:space="preserve">4. Bộ đếm hiển thị "4/5", còn đúng 4 ảnh và chỉ mất đúng ảnh thứ ba, nút thêm ảnh hiện lại.</t>
  </si>
  <si>
    <t xml:space="preserve">Mục đích: fail độc lập với `TC-ORD-070` — chặn được ảnh thứ 6 không đảm bảo bộ đếm giảm đúng khi xoá; lỗi hay gặp là xoá nhầm ảnh cuối thay vì ảnh được chọn. · Căn cứ: `BR18-02` *"xoá được từng ảnh"*.</t>
  </si>
  <si>
    <t xml:space="preserve">▬▬  3. Prefill địa chỉ lấy hàng  ·  1 TC (TC-ORD-027)</t>
  </si>
  <si>
    <t xml:space="preserve">REQ-ORD-007, REQ-ORD-010</t>
  </si>
  <si>
    <t xml:space="preserve">Check ô địa chỉ lấy hàng điền sẵn địa chỉ mặc định của hồ sơ và sửa được</t>
  </si>
  <si>
    <t xml:space="preserve">- Tài khoản A là CBNV trên STG **đã đặt địa chỉ mặc định** ở màn "Cập nhật thông tin" = `SEED-ORD-03`.
- Host app FoxPro đã cài trên thiết bị Android/iOS.
Test Data: Địa chỉ mặc định của hồ sơ = `SEED-ORD-03` (test_data_catalog §ORD — Địa chỉ lấy hàng)</t>
  </si>
  <si>
    <t xml:space="preserve">1. Đăng nhập FoxEco bằng tài khoản A, mở màn "Cập nhật thông tin" và ghi lại địa chỉ mặc định đang lưu. (setup)
2. Nhấn "+ Đăng tin", nhấn card "Tôi cần gửi hàng", nhập đủ trường bước 1 rồi nhấn "Tiếp theo" để sang bước 2. (setup)
3. Nhập thêm chuỗi " toà B" vào cuối ô "Địa chỉ lấy hàng".
4. Check giá trị ban đầu và giá trị sau khi sửa của ô "Địa chỉ lấy hàng".</t>
  </si>
  <si>
    <t xml:space="preserve">4. Ô đã điền sẵn đúng địa chỉ đã ghi ở step 1 và nhận được ký tự vừa nhập thêm.</t>
  </si>
  <si>
    <t xml:space="preserve">Đã sửa theo `C-ORD-10` Resolved 2026-09-15: prefill là **hành vi đặc tả**, không còn là "chưa rõ bug hay tài khoản chưa cấu hình" như v1.0. · Mục đích: ô trống ⇒ **BUG**, ⛔ không diễn giải là tài khoản chưa cấu hình. · Căn cứ: `AC-30.1.01` + `§8.1.4`. ⛔ Không chạy trên tài khoản không rõ trạng thái hồ sơ.</t>
  </si>
  <si>
    <t xml:space="preserve">▬▬  4. Ô địa chỉ  ·  2 TC (TC-ORD-028…TC-ORD-055)</t>
  </si>
  <si>
    <t xml:space="preserve">Check ô địa chỉ là ô văn bản tự do không phải preset văn phòng</t>
  </si>
  <si>
    <t xml:space="preserve">- Tài khoản A là CBNV có hồ sơ đầy đủ trên STG.
- Host app FoxPro đã cài trên thiết bị Android/iOS.
Test Data: Chuỗi địa chỉ tự do (test_data_catalog §ORD — Địa chỉ giao hàng)</t>
  </si>
  <si>
    <t xml:space="preserve">1. Đăng nhập FoxEco, nhấn "+ Đăng tin", nhấn card "Tôi cần gửi hàng", nhập đủ trường bước 1 rồi nhấn "Tiếp theo". (setup)
2. Nhấn vào ô "Địa chỉ giao hàng".
3. Nhập chuỗi tự do "Số 7 ngõ 12 Trần Duy Hưng".
4. Check kiểu control của ô và giá trị vừa nhập.</t>
  </si>
  <si>
    <t xml:space="preserve">4. Ô là ô văn bản tự do nhận đúng chuỗi vừa nhập; KHÔNG có danh sách preset văn phòng hay chip gợi ý nào hiện ra.</t>
  </si>
  <si>
    <t xml:space="preserve">Đã sửa theo `C-ORD-11` Resolved 2026-09-15: chốt **ô văn bản tự do**, bản v1.0 còn để ngỏ 3 khả năng (preset 6 văn phòng / chip gợi ý / autocomplete). · Căn cứ: `§8.1.4`. Biên 200/201 ký tự tách sang `TC-ORD-055`.</t>
  </si>
  <si>
    <t xml:space="preserve">Check ô địa chỉ nhận đúng hai trăm ký tự và chặn ký tự thứ hai trăm lẻ một</t>
  </si>
  <si>
    <t xml:space="preserve">- Tài khoản A là CBNV có hồ sơ đầy đủ trên STG.
- Host app FoxPro đã cài trên thiết bị Android/iOS.
Test Data: Chuỗi 200 ký tự (hợp lệ) và 201 ký tự (chặn) (test_data_catalog §ORD — Địa chỉ giao hàng, biên)</t>
  </si>
  <si>
    <t xml:space="preserve">1. Đăng nhập FoxEco, nhấn "+ Đăng tin", nhấn card "Tôi cần gửi hàng", nhập đủ trường bước 1 rồi nhấn "Tiếp theo". (setup)
2. Nhập chuỗi đúng 200 ký tự vào ô "Địa chỉ giao hàng".
3. Nhập thêm 1 ký tự nữa vào cuối ô.
4. Check số ký tự thực tế còn lại trong ô.</t>
  </si>
  <si>
    <t xml:space="preserve">4. Ô giữ đúng 200 ký tự, ký tự thứ 201 không được nhận.</t>
  </si>
  <si>
    <t xml:space="preserve">Mục đích: cặp biên trên của trần 200 — hai giá trị liền kề phải quan sát trong cùng 1 TC để so được. · Căn cứ: `§8.1.4`.</t>
  </si>
  <si>
    <t xml:space="preserve">▬▬  5. Khoảng ngày  ·  4 TC (TC-ORD-030…TC-ORD-057)</t>
  </si>
  <si>
    <t xml:space="preserve">Check chọn ngày quá khứ cho Từ ngày bị chặn</t>
  </si>
  <si>
    <t xml:space="preserve">- Tài khoản A là CBNV có hồ sơ đầy đủ trên STG.
- Host app FoxPro đã cài trên thiết bị Android/iOS.
Test Data: Ngày liền trước ngày hiện tại — tính tương đối (test_data_catalog §ORD — Khoảng ngày)</t>
  </si>
  <si>
    <t xml:space="preserve">1. Đăng nhập FoxEco, nhấn "+ Đăng tin", nhấn card "Tôi cần gửi hàng", nhập đủ trường bước 1 rồi nhấn "Tiếp theo". (setup)
2. Nhấn ô "Từ ngày" để mở bộ chọn ngày.
3. Chọn ngày liền trước ngày hiện tại.
4. Check giá trị ô "Từ ngày" và thông báo lỗi nếu có.</t>
  </si>
  <si>
    <t xml:space="preserve">4. Ngày quá khứ không được nhận, ô giữ nguyên trạng thái chưa chọn hoặc hiện lỗi ngay dưới ô.</t>
  </si>
  <si>
    <t xml:space="preserve">Đã sửa theo `C-ORD-15(a)` Resolved 2026-09-17: tách riêng nhánh ngày quá khứ khỏi phần mặc định mà v1.0 gộp chung, để mỗi nhánh có 1 điểm kiểm chứng ở step cuối. · Căn cứ: `BR01-04` + `AC-06.1.02`. ⛔ Không hardcode ngày — tính tương đối so với hiện tại.</t>
  </si>
  <si>
    <t xml:space="preserve">Check chọn Đến ngày sớm hơn Từ ngày bị chặn</t>
  </si>
  <si>
    <t xml:space="preserve">- Tài khoản A là CBNV có hồ sơ đầy đủ trên STG.
- Host app FoxPro đã cài trên thiết bị Android/iOS.
Test Data: Từ = hiện tại +3 ngày, Đến = hiện tại +1 ngày (test_data_catalog §ORD — Khoảng ngày, nhánh invalid)</t>
  </si>
  <si>
    <t xml:space="preserve">1. Đăng nhập FoxEco, nhấn "+ Đăng tin", nhấn card "Tôi cần gửi hàng", nhập đủ trường bước 1 rồi nhấn "Tiếp theo". (setup)
2. Chọn "Từ ngày" là ngày hiện tại cộng 3 ngày. (setup)
3. Nhấn ô "Đến ngày" và chọn ngày hiện tại cộng 1 ngày.
4. Check giá trị ô "Đến ngày" và thông báo lỗi nếu có.</t>
  </si>
  <si>
    <t xml:space="preserve">4. Giá trị sớm hơn "Từ ngày" không được nhận, ô giữ nguyên trạng thái chưa chọn hoặc hiện lỗi ngay dưới ô.</t>
  </si>
  <si>
    <t xml:space="preserve">Đã sửa theo `Project_rule §Custom Rules §10.4` 2026-09-17: thu hẹp phạm vi còn **đúng 1 điểm kiểm chứng** ở step cuối — bản v1.0 gộp chung với nhánh ngày quá khứ (nay tách sang `TC-ORD-030`). Expected không đảo chiều. · Căn cứ: `BR01-04` *"Đến ≥ Từ"* + `AC-06.1.02`. ⛔ Không hardcode ngày.</t>
  </si>
  <si>
    <t xml:space="preserve">Check khoảng đúng bảy ngày được chấp nhận</t>
  </si>
  <si>
    <t xml:space="preserve">- Tài khoản A là CBNV có hồ sơ đầy đủ trên STG.
- Host app FoxPro đã cài trên thiết bị Android/iOS.
Test Data: Khoảng đúng 7 ngày — biên trên hợp lệ (test_data_catalog §ORD — Khoảng ngày, biên)</t>
  </si>
  <si>
    <t xml:space="preserve">1. Đăng nhập FoxEco, nhấn "+ Đăng tin", nhấn card "Tôi cần gửi hàng", nhập đủ trường bước 1 rồi nhấn "Tiếp theo". (setup)
2. Chọn "Từ ngày" là ngày hiện tại. (setup)
3. Chọn "Đến ngày" là ngày hiện tại cộng 7 ngày.
4. Check giá trị hai ô ngày và thông báo lỗi nếu có.</t>
  </si>
  <si>
    <t xml:space="preserve">4. Cả hai ô nhận đúng giá trị vừa chọn và KHÔNG có thông báo lỗi nào về khoảng ngày.</t>
  </si>
  <si>
    <t xml:space="preserve">Mục đích: cặp biên với `TC-ORD-057` — chỉ chạy chiều chặn thì rule "chặn mọi khoảng" cũng PASS. · Căn cứ: `C-ORD-15(a)` Resolved 2026-09-17 — BA chốt *"Từ X → Đến tối đa X+7"*, tức 7 ngày là **hợp lệ**.</t>
  </si>
  <si>
    <t xml:space="preserve">Check khoảng tám ngày bị chặn</t>
  </si>
  <si>
    <t xml:space="preserve">- Tài khoản A là CBNV có hồ sơ đầy đủ trên STG.
- Host app FoxPro đã cài trên thiết bị Android/iOS.
Test Data: Khoảng 8 ngày — vượt biên (test_data_catalog §ORD — Khoảng ngày, biên)</t>
  </si>
  <si>
    <t xml:space="preserve">1. Đăng nhập FoxEco, nhấn "+ Đăng tin", nhấn card "Tôi cần gửi hàng", nhập đủ trường bước 1 rồi nhấn "Tiếp theo". (setup)
2. Chọn "Từ ngày" là ngày hiện tại. (setup)
3. Chọn "Đến ngày" là ngày hiện tại cộng 8 ngày.
4. Check giá trị ô "Đến ngày" và thông báo lỗi nếu có.</t>
  </si>
  <si>
    <t xml:space="preserve">4. Giá trị cộng 8 ngày không được nhận, ô giữ nguyên trạng thái chưa chọn hoặc hiện lỗi ngay dưới ô.</t>
  </si>
  <si>
    <t xml:space="preserve">Căn cứ: `BR01-04` + `C-ORD-15(a)`. ⛔ Không hardcode ngày.</t>
  </si>
  <si>
    <t xml:space="preserve">▬▬  6. Buổi mong muốn  ·  3 TC (TC-ORD-032…TC-ORD-059)</t>
  </si>
  <si>
    <t xml:space="preserve">Check chọn Giờ nào cũng được tự bỏ chọn các buổi đang chọn</t>
  </si>
  <si>
    <t xml:space="preserve">- Tài khoản A là CBNV có hồ sơ đầy đủ trên STG.
- Host app FoxPro đã cài trên thiết bị Android/iOS.
Test Data: 4 buổi mong muốn (test_data_catalog §ORD — Buổi mong muốn)</t>
  </si>
  <si>
    <t xml:space="preserve">1. Đăng nhập FoxEco, nhấn "+ Đăng tin", nhấn card "Tôi cần gửi hàng", nhập đủ trường bước 1 rồi nhấn "Tiếp theo". (setup)
2. Chọn buổi "Sáng (8–12)". (setup)
3. Chọn thêm buổi "Chiều (13–17)". (setup)
4. Chọn "Giờ nào cũng được".
5. Check trạng thái chọn của cả bốn buổi.</t>
  </si>
  <si>
    <t xml:space="preserve">5. Chỉ còn "Giờ nào cũng được" ở trạng thái được chọn; "Sáng (8–12)" và "Chiều (13–17)" tự bỏ chọn.</t>
  </si>
  <si>
    <t xml:space="preserve">Đã sửa theo `Project_rule §Custom Rules §10.4` 2026-09-17: tách vế **giá trị mặc định** ra `TC-ORD-058` để mỗi TC chỉ còn 1 điểm kiểm chứng ở step cuối; bản v1.0 gộp cả hai. Expected không đảo chiều. · Căn cứ: `BR01-04` + `AC-06.2.01` — quan hệ loại trừ giữa "Giờ nào cũng được" và 3 buổi cụ thể.</t>
  </si>
  <si>
    <t xml:space="preserve">Check buổi mong muốn mặc định là Sau giờ làm khi vừa mở bước hai</t>
  </si>
  <si>
    <t xml:space="preserve">- Tài khoản A là CBNV có hồ sơ đầy đủ trên STG.
- Host app FoxPro đã cài trên thiết bị Android/iOS.
Test Data: Giá trị mặc định của field buổi (test_data_catalog §ORD — Buổi mong muốn)</t>
  </si>
  <si>
    <t xml:space="preserve">1. Đăng nhập FoxEco, nhấn "+ Đăng tin", nhấn card "Tôi cần gửi hàng", nhập đủ trường bước 1 rồi nhấn "Tiếp theo". (setup)
2. Check buổi đang được chọn sẵn ở field buổi mong muốn khi chưa chạm vào field.</t>
  </si>
  <si>
    <t xml:space="preserve">2. Buổi "Sau giờ làm (17–19)" đang ở trạng thái được chọn sẵn.</t>
  </si>
  <si>
    <t xml:space="preserve">Mục đích: v1.0 cố ý **KHÔNG** assert mặc định vì 3 nguồn cho 3 giá trị khác nhau; PRD v1.1 `§8.1.4` nay gọi tên rõ nên assert được. · Căn cứ: `§8.1.4` — nguồn mới nhất thắng các nguồn v1.0. App hiện buổi khác ⇒ FAIL và log bug.</t>
  </si>
  <si>
    <t xml:space="preserve">Check buổi đã trôi qua trong ngày hôm nay bị chặn chọn</t>
  </si>
  <si>
    <t xml:space="preserve">- Tài khoản A là CBNV có hồ sơ đầy đủ trên STG.
- Host app FoxPro đã cài trên thiết bị Android/iOS.
- Thời điểm chạy là sau 12 giờ trưa để buổi "Sáng (8–12)" đã trôi qua.
Test Data: Buổi đã qua trong ngày hiện tại (test_data_catalog §ORD — Buổi mong muốn)</t>
  </si>
  <si>
    <t xml:space="preserve">1. Đăng nhập FoxEco, nhấn "+ Đăng tin", nhấn card "Tôi cần gửi hàng", nhập đủ trường bước 1 rồi nhấn "Tiếp theo". (setup)
2. Chọn "Từ ngày" và "Đến ngày" đều là ngày hiện tại. (setup)
3. Nhấn chọn buổi "Sáng (8–12)".
4. Check trạng thái chọn của buổi "Sáng (8–12)".</t>
  </si>
  <si>
    <t xml:space="preserve">4. Buổi "Sáng (8–12)" không chọn được, giữ nguyên trạng thái không được chọn hoặc bị vô hiệu hoá.</t>
  </si>
  <si>
    <t xml:space="preserve">Mục đích: neo vào `C-ORD-15(b)` Resolved 2026-09-17 — BA chốt *"app CHẶN chọn buổi đã qua trong ngày"*, rule này **không có trong PRD**, chưa SC nào phủ trước lượt này. · Căn cứ: câu trả lời BA là nguồn chốt duy nhất; app cho chọn ⇒ FAIL và dẫn `C-ORD-15`. ⛔ Không hardcode giờ — điều kiện thời điểm chạy ghi ở Pre-condition.</t>
  </si>
  <si>
    <t xml:space="preserve">▬▬  7. Màn Đăng tin thành công  ·  1 TC (TC-ORD-039)</t>
  </si>
  <si>
    <t xml:space="preserve">Check màn Đăng tin thành công không hiển thị mã đơn và có đủ hai nút điều hướng</t>
  </si>
  <si>
    <t xml:space="preserve">- Tài khoản A là CBNV có hồ sơ đầy đủ trên STG.
- Host app FoxPro đã cài trên thiết bị Android/iOS.
- Thư viện ảnh thiết bị có sẵn bộ ảnh mẫu dùng chung 3 module = `SEED-ORD-01`.
Test Data: Dữ liệu hợp lệ đủ 3 bước + 1 ảnh của `SEED-ORD-01` (test_data_catalog §ORD)</t>
  </si>
  <si>
    <t xml:space="preserve">1. Đăng nhập FoxEco, nhấn "+ Đăng tin" rồi nhấn card "Tôi cần gửi hàng". (setup)
2. Nhập đủ dữ liệu hợp lệ cả ba bước wizard, gồm ≥1 ảnh. (setup)
3. Nhấn "Đăng tin ngay".
4. Check toàn bộ nội dung và các nút trên màn thành công.</t>
  </si>
  <si>
    <t xml:space="preserve">4. Màn KHÔNG hiển thị mã đơn nào; có nút về trang chủ và nút xem đơn vừa đăng.</t>
  </si>
  <si>
    <t xml:space="preserve">Đã sửa theo `C-ORD-05` Resolved 2026-09-15: chốt **KHÔNG có mã đơn**, v1.0 còn để ngỏ. · Mục đích: kết quả phản trực giác — người chạy quen app thương mại sẽ đi tìm mã đơn rồi báo thiếu. · Căn cứ: `AC-07.1.01` + `§8.1.3` bước 8. Vế *"tin xuất hiện ngay ở Tin mới và Đơn của tôi"* thuộc `HOME`/`ACT`, ⛔ không nhân bản ở đây.</t>
  </si>
  <si>
    <t xml:space="preserve">▬▬  8. Tin OFFER  ·  1 TC (TC-ORD-044)</t>
  </si>
  <si>
    <t xml:space="preserve">Check vai người gửi không tìm thấy và không mở được tin OFFER của người khác</t>
  </si>
  <si>
    <t xml:space="preserve">- Tài khoản A và B là hai CBNV khác nhau trên STG.
- Host app FoxPro đã cài trên thiết bị Android/iOS.
Test Data: 1 tin OFFER của tài khoản khác (test_data_catalog §ORD — Tin OFFER của tài khoản khác)</t>
  </si>
  <si>
    <t xml:space="preserve">1. Đăng nhập bằng tài khoản A, nhấn "+ Đăng tin", nhấn card "Tôi có thể mang giúp" và đăng 1 tin OFFER với tên tuyến riêng biệt, rồi đăng xuất. (setup)
2. Đăng nhập bằng tài khoản B và nhấn tab "Bảng tin". (setup)
3. Rà lần lượt cả hai tab con của Bảng tin.
4. Nhập tên tuyến của tin OFFER vào ô tìm kiếm và check kết quả trả về.</t>
  </si>
  <si>
    <t xml:space="preserve">4. Không có kết quả nào khớp và tin OFFER của tài khoản A KHÔNG xuất hiện ở cả hai tab con.</t>
  </si>
  <si>
    <t xml:space="preserve">Đã sửa theo `AC-20.1.01`/`AC-20.1.02` 2026-09-17: siết Steps rà **cả hai tab con** + dùng ô tìm kiếm, bản v1.0 chỉ rà danh sách. · Mục đích: đây là kiểm soát truy cập — PASS giả làm cả một lớp bảo vệ chưa từng được kiểm. · Căn cứ: `BR02-01`. ⛔ Vế *"mở link trực tiếp"* của `AC-20.1.02` **không có đường thử trên mobile** (không có URL) — ⛔ KHÔNG PASS chỉ vì không thử được; ghi nợ ở header §0.4.</t>
  </si>
  <si>
    <t xml:space="preserve">▬▬  9. Chỉnh sửa tin  ·  3 TC (TC-ORD-046…TC-ORD-060)</t>
  </si>
  <si>
    <t xml:space="preserve">Check sửa tin đang chờ ghép lưu được dữ liệu mới và giữ nguyên trạng thái</t>
  </si>
  <si>
    <t xml:space="preserve">- Tài khoản A là CBNV có hồ sơ đầy đủ trên STG.
- Host app FoxPro đã cài trên thiết bị Android/iOS.
Test Data: 1 tin `POSTED` của chính mình = `SEED-ORD-04` (test_data_catalog §ORD)</t>
  </si>
  <si>
    <t xml:space="preserve">1. Đăng nhập FoxEco bằng tài khoản A và đăng 1 tin NEED để tin ở trạng thái "Chờ ghép". (setup)
2. Nhấn tab "Hoạt động" và mở tin đó. (setup)
3. Nhấn "Chỉnh sửa".
4. Check dữ liệu đang nạp trong form.
5. Nhập địa chỉ giao hàng mới "Số 9 Duy Tân".
6. Nhấn "Cập nhật".
7. Check địa chỉ giao hàng và trạng thái của tin.</t>
  </si>
  <si>
    <t xml:space="preserve">7. Tin hiển thị địa chỉ giao hàng mới "Số 9 Duy Tân" và vẫn ở trạng thái "Chờ ghép".</t>
  </si>
  <si>
    <t xml:space="preserve">Đã sửa theo `C-ORD-16` Resolved 2026-09-17: bổ sung assert **giữ nguyên trạng thái** sau khi cập nhật. · Căn cứ: `BR05-01`/`BR05-02` + `AC-08.1.01`. Nhánh "Huỷ chỉnh sửa" tách sang `TC-ORD-060`.</t>
  </si>
  <si>
    <t xml:space="preserve">Check tin đã ghép không còn nút Chỉnh sửa</t>
  </si>
  <si>
    <t xml:space="preserve">- Tài khoản A và B là hai CBNV khác nhau trên STG.
- Host app FoxPro đã cài trên thiết bị Android/iOS.
Test Data: Tin đã chuyển `MATCHED` (test_data_catalog §ORD)</t>
  </si>
  <si>
    <t xml:space="preserve">1. Đăng nhập bằng tài khoản A, đăng 1 tin NEED rồi đăng xuất. (setup)
2. Đăng nhập bằng tài khoản B, nhận tin đó và xác nhận, rồi đăng xuất. (setup)
3. Đăng nhập lại bằng tài khoản A, nhấn tab "Hoạt động" và mở tin đó. (setup)
4. Check các nút hành động trên màn Theo dõi đơn.</t>
  </si>
  <si>
    <t xml:space="preserve">4. Màn KHÔNG có nút "Chỉnh sửa".</t>
  </si>
  <si>
    <t xml:space="preserve">Đã sửa theo `C-ORD-16` Resolved 2026-09-17: **Expected giữ nguyên bản v1.0** (nút "Chỉnh sửa" không hiển thị); phần thêm ở SC MODIFIED là 2 vế backend nên chỉ ghi giới hạn phạm vi, không đổi assert. · Căn cứ: `BR05-01` + `AC-08.1.02`. ⛔ Vế *"request sửa bị từ chối"* và *"không ghi mốc vào nhật ký"* là **backend**, không verify được qua UI — ghi nợ ở header §0.4, ⛔ không viết Expected cho phần đó.</t>
  </si>
  <si>
    <t xml:space="preserve">Check huỷ chỉnh sửa trả tin về dữ liệu cũ và không lưu thay đổi</t>
  </si>
  <si>
    <t xml:space="preserve">1. Đăng nhập FoxEco bằng tài khoản A và đăng 1 tin NEED để tin ở trạng thái "Chờ ghép". (setup)
2. Nhấn tab "Hoạt động", mở tin đó và ghi lại địa chỉ giao hàng đang hiển thị. (setup)
3. Nhấn "Chỉnh sửa".
4. Nhập địa chỉ giao hàng khác "Số 99 Cầu Giấy".
5. Nhấn "Huỷ chỉnh sửa".
6. Check địa chỉ giao hàng của tin.</t>
  </si>
  <si>
    <t xml:space="preserve">6. Tin giữ nguyên địa chỉ giao hàng đã ghi ở step 2, KHÔNG nhận giá trị vừa nhập.</t>
  </si>
  <si>
    <t xml:space="preserve">Mục đích: đối chứng âm cho `TC-ORD-046` — lưu được không suy ra huỷ được; lỗi hay gặp là "Huỷ" vẫn ghi đè dữ liệu. · Căn cứ: `VAL-05` + `AC-08.1.01`.</t>
  </si>
  <si>
    <t xml:space="preserve">▬▬  10. Tin hết hạn  ·  2 TC (TC-ORD-048…TC-ORD-061)</t>
  </si>
  <si>
    <t xml:space="preserve">Check tin chưa ai ghép quá Đến ngày chuyển sang hết hạn và biến khỏi Bảng tin</t>
  </si>
  <si>
    <t xml:space="preserve">- Tài khoản A và B là hai CBNV khác nhau trên STG.
- Host app FoxPro đã cài trên thiết bị Android/iOS.
- Có 1 tin NEED **của tài khoản A đã quá "Đến ngày" và chưa ai ghép** = `SEED-ORD-05` — ưu tiên **tin cũ có sẵn trên STG**; chưa có thì đăng tin mới với "Đến ngày" = ngày hiện tại rồi kiểm lại sáng hôm sau (sau job cuối ngày).
Test Data: Tin `POSTED` quá "Đến ngày", chưa ai ghép = `SEED-ORD-05` (test_data_catalog §ORD)</t>
  </si>
  <si>
    <t xml:space="preserve">1. Đăng nhập bằng tài khoản A, nhấn tab "Hoạt động". (setup)
2. Tìm tin đã quá "Đến ngày" và chưa ai ghép; ghi lại tiêu đề và giá trị "Đến ngày" của tin đó. (setup)
3. Đăng xuất, đăng nhập bằng tài khoản B. (setup)
4. Nhấn tab "Bảng tin" và tìm tiêu đề của tin đó.
5. Đăng xuất, đăng nhập lại bằng tài khoản A, nhấn tab "Hoạt động" rồi nhấn tab con "Đã hoàn thành". (setup)
6. Check trạng thái của tin đó và kết quả tìm ở step 4.</t>
  </si>
  <si>
    <t xml:space="preserve">6. Tin mang badge "Hết hạn" ở tab "Đã hoàn thành" và KHÔNG còn xuất hiện trên Bảng tin của tài khoản B.</t>
  </si>
  <si>
    <t xml:space="preserve">✅ **Gỡ phụ thuộc dev 2026-09-18 (QC chốt):** tin cũ trên STG đã tự quá hạn ⇒ dùng luôn, ⛔ không cần nhờ lùi "Đến ngày". Xem `SEED-ORD-05` §0.5 cho 3 lối theo thứ tự ưu tiên. ⚠️ Dùng tin cũ thì chỉ quan sát **trạng thái kết quả**, không thấy lúc job chuyển trạng thái — vẫn đủ cho Expected. · Đã sửa theo `C-ORD-15(c)` Resolved 2026-09-17: bổ sung điều kiện **job chạy cuối ngày** vào setup — v1.0 chỉ ghi "sau khi hết ngày cuối", khiến người chạy kiểm quá sớm rồi báo lỗi sai. · Căn cứ: `BR05-03` + `AC-09.1.01`. Nhánh đối chứng (tin đã `MATCHED` thì KHÔNG hết hạn) tách sang `TC-ORD-061`.</t>
  </si>
  <si>
    <t xml:space="preserve">Check tin đã ghép quá Đến ngày không chuyển sang hết hạn</t>
  </si>
  <si>
    <t xml:space="preserve">- Tài khoản A và B là hai CBNV khác nhau trên STG.
- Host app FoxPro đã cài trên thiết bị Android/iOS.
- Có 1 tin **đã "Đã ghép" và đã quá "Đến ngày"** = `SEED-ORD-05` — ưu tiên **tin cũ có sẵn trên STG**; chưa có thì đăng tin mới "Đến ngày" = ngày hiện tại, cho tài khoản B nhận ghép trong ngày, rồi kiểm lại sáng hôm sau (sau job cuối ngày).
Test Data: Tin `MATCHED` quá "Đến ngày" = `SEED-ORD-05` (test_data_catalog §ORD)</t>
  </si>
  <si>
    <t xml:space="preserve">1. Đăng nhập bằng tài khoản A, nhấn tab "Hoạt động" rồi nhấn tab con "Đang diễn ra". (setup)
2. Tìm tin đã ghép có "Đến ngày" đã qua; ghi lại tiêu đề và giá trị "Đến ngày". (setup)
3. Nhấn vào tin đó để mở chi tiết.
4. Check trạng thái của tin và tab đang chứa tin đó.</t>
  </si>
  <si>
    <t xml:space="preserve">4. Tin KHÔNG mang badge "Hết hạn" và vẫn nằm ở tab "Đang diễn ra".</t>
  </si>
  <si>
    <t xml:space="preserve">✅ **Gỡ phụ thuộc dev 2026-09-18 (QC chốt):** dùng tin đã ghép cũ đã quá hạn trên STG (`SEED-ORD-05` §0.5). · Mục đích: đối chứng âm cho `TC-ORD-048` — vế *"vẫn POSTED"* của `BR05-03` là điều kiện **v1.0 chưa nêu**; dev hay chỉ kiểm mỗi ngày hết hạn rồi đóng luôn cả đơn đã ghép. · Căn cứ: `BR05-03`.</t>
  </si>
  <si>
    <t xml:space="preserve">▬▬  11. Thoát wizard  ·  2 TC (TC-ORD-053…TC-ORD-062)</t>
  </si>
  <si>
    <t xml:space="preserve">Check chọn ở lại ở popup thoát wizard giữ nguyên dữ liệu đã nhập</t>
  </si>
  <si>
    <t xml:space="preserve">- Tài khoản A là CBNV có hồ sơ đầy đủ trên STG.
- Host app FoxPro đã cài trên thiết bị Android/iOS.
Test Data: Dữ liệu nhập dở ở bước 2 (test_data_catalog §ORD)</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</si>
  <si>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4. Check nội dung popup vừa hiện.
5. Nhấn lựa chọn ở lại trên popup.
6. Check giá trị ô "Địa chỉ giao hàng".</t>
  </si>
  <si>
    <t xml:space="preserve">6. Popup hiện đúng chuỗi "Thoát và bỏ nội dung đã nhập?" và sau khi chọn ở lại, ô "Địa chỉ giao hàng" vẫn giữ nguyên "Số 9 Duy Tân".</t>
  </si>
  <si>
    <t xml:space="preserve">Đã sửa theo `C-ORD-08` Resolved 2026-09-15: assert **verbatim** chuỗi popup, v1.0 chỉ assert có popup. · Căn cứ: `AC-01.2.01`. Nhánh chọn thoát tách sang `TC-ORD-062`.</t>
  </si>
  <si>
    <t xml:space="preserve">Check chọn thoát ở popup mở lại wizard là form trắng không có bản nháp</t>
  </si>
  <si>
    <t xml:space="preserve">- Tài khoản A là CBNV có hồ sơ đầy đủ trên STG.
- Host app FoxPro đã cài trên thiết bị Android/iOS.
Test Data: Dữ liệu nhập dở đã bị bỏ (test_data_catalog §ORD)</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</si>
  <si>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rồi nhấn lựa chọn thoát trên popup. (setup)
4. Nhấn tab "Hoạt động" và rà danh sách cả hai tab con.
5. Nhấn "+ Đăng tin", nhấn card "Tôi cần gửi hàng" và sang bước 2.
6. Check giá trị các ô của bước 1 và bước 2.</t>
  </si>
  <si>
    <t xml:space="preserve">6. Mọi ô đều trắng, không giữ chuỗi "Số 9 Duy Tân"; và không có tin nháp nào xuất hiện ở hai tab con của "Hoạt động".</t>
  </si>
  <si>
    <t xml:space="preserve">Mục đích: đối chứng với `TC-ORD-053` — cùng một popup nhưng hai lựa chọn cho hai hệ quả ngược nhau; step 4 chốt thêm vế **⛔ không có DRAFT** mà `AC-01.2.01` nêu. · Căn cứ: `AC-01.2.01`.</t>
  </si>
  <si>
    <t xml:space="preserve">▬▬  12. Trọng lượng và Kích thước  ·  4 TC (TC-ORD-064…TC-ORD-067)</t>
  </si>
  <si>
    <t xml:space="preserve">Check chưa chọn Trọng lượng thì bị chặn và ba chip hiện đúng nhãn chính thức</t>
  </si>
  <si>
    <t xml:space="preserve">- Tài khoản A là CBNV có hồ sơ đầy đủ trên STG.
- Host app FoxPro đã cài trên thiết bị Android/iOS.
- Thư viện ảnh thiết bị có sẵn bộ ảnh mẫu dùng chung 3 module = `SEED-ORD-01`.
Test Data: 3 chip Trọng lượng, trạng thái chưa chọn (test_data_catalog §ORD — Trọng lượng)</t>
  </si>
  <si>
    <t xml:space="preserve">1. Đăng nhập FoxEco, nhấn "+ Đăng tin" rồi nhấn card "Tôi cần gửi hàng". (setup)
2. Chọn chip "Thấp (Dưới 1 triệu đ)" ở khối "GIÁ TRỊ HÀNG (ƯỚC TÍNH)". (setup)
3. Chọn chip "Nhỏ · Cầm tay" ở khối Kích thước. (setup)
4. Tải 1 ảnh JPG từ thư viện thiết bị. (setup)
5. Nhấn "Tiếp theo" khi khối "TRỌNG LƯỢNG" chưa có chip nào được chọn.
6. Check nhãn khối, ba chip của khối đó và thông báo lỗi.</t>
  </si>
  <si>
    <t xml:space="preserve">6. Wizard vẫn ở bước 1 và có lỗi ở khối; nhãn khối là "TRỌNG LƯỢNG" với đúng ba chip "Dưới 5 kg (Nhẹ)", "5 – 10 kg (Trung bình)", "Trên 10 kg (Nặng)".</t>
  </si>
  <si>
    <t xml:space="preserve">🔑 Áp `C-ORD-18` Resolved 2026-09-17 — BA *"lấy UI làm chuẩn"*: assert cứng nhãn **"Trọng lượng"** và nhãn phụ Nhẹ/Trung bình/Nặng. **PRD `§8.1.4` ghi "Khối lượng" + kiểu Dropdown đã HẾT HIỆU LỰC** — app hiện "Khối lượng" hoặc dropdown ⇒ **defect UI**, ⛔ không phải TC sai. · Mục đích: rào *"ghi nhận nhãn, không FAIL vì tên nhãn"* của bản phân tích trước đã gỡ.</t>
  </si>
  <si>
    <t xml:space="preserve">Check chọn Trọng lượng trên mười kg vẫn đăng tin được bình thường</t>
  </si>
  <si>
    <t xml:space="preserve">- Tài khoản A là CBNV có hồ sơ đầy đủ trên STG.
- Host app FoxPro đã cài trên thiết bị Android/iOS.
- Thư viện ảnh thiết bị có sẵn bộ ảnh mẫu dùng chung 3 module = `SEED-ORD-01`.
Test Data: Chip "Trên 10 kg (Nặng)" — mức cao nhất (test_data_catalog §ORD — Trọng lượng)</t>
  </si>
  <si>
    <t xml:space="preserve">1. Đăng nhập FoxEco, nhấn "+ Đăng tin" rồi nhấn card "Tôi cần gửi hàng". (setup)
2. Chọn chip "Thấp (Dưới 1 triệu đ)" và chip "Nhỏ · Cầm tay", rồi tải 1 ảnh JPG. (setup)
3. Chọn chip "Trên 10 kg (Nặng)" ở khối "TRỌNG LƯỢNG".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</si>
  <si>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trọng lượng.</t>
  </si>
  <si>
    <t xml:space="preserve">Mục đích: đối chứng dương cho `TC-ORD-064` — bắt buộc chọn KHÁC với chặn theo ngưỡng; lỗi hay gặp là lập trình chặn luôn mức nặng nhất. · Căn cứ: `BR01-02` *"không chặn theo ngưỡng"*.</t>
  </si>
  <si>
    <t xml:space="preserve">Check chưa chọn Kích thước thì bị chặn và ba chip hiện đúng nhãn</t>
  </si>
  <si>
    <t xml:space="preserve">- Tài khoản A là CBNV có hồ sơ đầy đủ trên STG.
- Host app FoxPro đã cài trên thiết bị Android/iOS.
- Thư viện ảnh thiết bị có sẵn bộ ảnh mẫu dùng chung 3 module = `SEED-ORD-01`.
Test Data: 3 chip Kích thước, trạng thái chưa chọn (test_data_catalog §ORD — Kích thước)</t>
  </si>
  <si>
    <t xml:space="preserve">1. Đăng nhập FoxEco, nhấn "+ Đăng tin" rồi nhấn card "Tôi cần gửi hàng". (setup)
2. Chọn chip "Thấp (Dưới 1 triệu đ)" ở khối "GIÁ TRỊ HÀNG (ƯỚC TÍNH)". (setup)
3. Chọn chip "Dưới 5 kg (Nhẹ)" ở khối "TRỌNG LƯỢNG", rồi tải 1 ảnh JPG. (setup)
4. Nhấn "Tiếp theo" khi khối Kích thước chưa có chip nào được chọn.
5. Check ba chip của khối Kích thước và thông báo lỗi.</t>
  </si>
  <si>
    <t xml:space="preserve">5. Wizard vẫn ở bước 1 và có lỗi ở khối Kích thước; khối có đúng ba chip "Nhỏ · Cầm tay", "Vừa · ~20×20 cm", "Lớn · &gt; 20×20 cm".</t>
  </si>
  <si>
    <t xml:space="preserve">Căn cứ: `BR01-02` *"không cho để trống"* + `C-ORD-18` (kiểu control là **chip**, ⛔ không phải Dropdown như PRD ghi).</t>
  </si>
  <si>
    <t xml:space="preserve">Check chọn Kích thước lớn vẫn đăng tin được bình thường</t>
  </si>
  <si>
    <t xml:space="preserve">- Tài khoản A là CBNV có hồ sơ đầy đủ trên STG.
- Host app FoxPro đã cài trên thiết bị Android/iOS.
- Thư viện ảnh thiết bị có sẵn bộ ảnh mẫu dùng chung 3 module = `SEED-ORD-01`.
Test Data: Chip "Lớn · &gt; 20×20 cm" — mức cao nhất (test_data_catalog §ORD — Kích thước)</t>
  </si>
  <si>
    <t xml:space="preserve">1. Đăng nhập FoxEco, nhấn "+ Đăng tin" rồi nhấn card "Tôi cần gửi hàng". (setup)
2. Chọn chip "Thấp (Dưới 1 triệu đ)" và chip "Dưới 5 kg (Nhẹ)", rồi tải 1 ảnh JPG. (setup)
3. Chọn chip "Lớn · &gt; 20×20 cm" ở khối Kích thước.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</si>
  <si>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kích thước.</t>
  </si>
  <si>
    <t xml:space="preserve">Mục đích: đối chứng dương cho `TC-ORD-066`, cùng cặp với `TC-ORD-065`. · Căn cứ: `BR01-02`.</t>
  </si>
  <si>
    <t xml:space="preserve">▬▬  13. Carousel và lightbox ảnh  ·  2 TC (TC-ORD-072…TC-ORD-073)</t>
  </si>
  <si>
    <t xml:space="preserve">Check dải ảnh ở chi tiết tin lướt ngang được và có badge đếm ảnh</t>
  </si>
  <si>
    <t xml:space="preserve">- Tài khoản A là CBNV có hồ sơ đầy đủ trên STG.
- Host app FoxPro đã cài trên thiết bị Android/iOS.
Test Data: 1 tin `POSTED` có 5 ảnh = `SEED-ORD-04` (test_data_catalog §ORD — Tin đã đăng có ≥2 ảnh)</t>
  </si>
  <si>
    <t xml:space="preserve">1. Đăng nhập FoxEco bằng tài khoản A và đăng 1 tin NEED kèm 5 ảnh. (setup)
2. Nhấn tab "Hoạt động" và mở tin đó để vào màn chi tiết tin. (setup)
3. Lướt ngang trên dải ảnh sang ảnh thứ hai.
4. Check ảnh đang hiển thị và badge đếm trên dải ảnh.</t>
  </si>
  <si>
    <t xml:space="preserve">4. Dải ảnh chuyển sang ảnh thứ hai và badge đếm hiển thị "2/5".</t>
  </si>
  <si>
    <t xml:space="preserve">Căn cứ: `BR18-03` + `AC-03.1.01`. Lightbox tách sang `TC-ORD-073` vì là màn khác.</t>
  </si>
  <si>
    <t xml:space="preserve">Check lightbox ảnh đóng được bằng cả nút đóng lẫn chạm nền</t>
  </si>
  <si>
    <t xml:space="preserve">1. Đăng nhập FoxEco bằng tài khoản A và đăng 1 tin NEED kèm 5 ảnh. (setup)
2. Nhấn tab "Hoạt động" và mở tin đó để vào màn chi tiết tin. (setup)
3. Nhấn 1 ảnh trên dải ảnh để mở lightbox.
4. Nhấn nút đóng của lightbox.
5. Nhấn lại ảnh đó để mở lightbox lần hai.
6. Nhấn vào vùng nền tối ngoài ảnh.
7. Check màn đang hiển thị sau lần đóng bằng nút và sau khi chạm nền tối.</t>
  </si>
  <si>
    <t xml:space="preserve">7. Nút đóng (×) đóng được lightbox và trả về đúng màn chi tiết tin; chạm vùng nền tối KHÔNG đóng lightbox — lightbox chỉ đóng bằng nút (×).</t>
  </si>
  <si>
    <t xml:space="preserve">Mục đích: xác nhận cách đóng lightbox của app — chỉ đóng bằng nút (×), chạm nền tối không đóng. · Căn cứ: `BR18-03`. · ♻️ Sửa 2026-09-21 (QC GiangDC2, theo `BUG-024` đã huỷ): QC kiểm lại — app đúng, chạm nền không đóng lightbox; Expected đổi theo app (`BR18-03` không còn được hiểu là "chạm nền để đóng"). ⚠️ Title còn ghi *"cả nút đóng lẫn chạm nền"* — `§10.5` không cho sửa Title (xem CHANGELOG §3). VR-013: ✅ PASS.</t>
  </si>
  <si>
    <t xml:space="preserve">▬▬  14. Tra danh bạ nội bộ  ·  5 TC (TC-ORD-074…TC-ORD-078)</t>
  </si>
  <si>
    <t xml:space="preserve">Check nhập email có trên danh bạ tự điền ba trường và cả ba vẫn sửa được</t>
  </si>
  <si>
    <t xml:space="preserve">- Tài khoản A là CBNV có hồ sơ đầy đủ trên STG.
- Host app FoxPro đã cài trên thiết bị Android/iOS.
- Có sẵn email công ty CÓ trên HRIS, đang làm việc = `SEED-ORD-02` ①.
Test Data: Email `stag_anhdc4@fpt.com` — có trên HRIS, đang làm việc = `SEED-ORD-02` ① (test_data_catalog §ORD — Email công ty người nhận)</t>
  </si>
  <si>
    <t xml:space="preserve">1. Đăng nhập FoxEco, nhấn "+ Đăng tin", nhấn card "Tôi cần gửi hàng", nhập đủ trường bước 1 rồi nhấn "Tiếp theo". (setup)
2. Nhập "stag_anhdc4@fpt.com" vào ô email người nhận.
3. Nhấn ra ngoài ô email để rời ô.
4. Nhập thêm ký tự "X" vào cuối ô tên người nhận.
5. Check giá trị ba ô tên, số điện thoại, địa chỉ giao và khả năng sửa của chúng.</t>
  </si>
  <si>
    <t xml:space="preserve">5. Ba ô tên, số điện thoại và địa chỉ giao đều được tự điền khác rỗng, và ô tên nhận được ký tự vừa nhập thêm.</t>
  </si>
  <si>
    <t xml:space="preserve">Mục đích: **P1** — đây là tích hợp hệ thống ngoài được nêu tên lần đầu ở v1.1, không có nó thì cả cụm `TC-ORD-074..077` vô nghĩa. · Căn cứ: `BR01-09` + `AC-04.1.01` + BA `C-ORD-13` Resolved 2026-09-17. Ô bị khoá không sửa được ⇒ FAIL — `BR01-09` nói rõ *"vẫn sửa được"*.</t>
  </si>
  <si>
    <t xml:space="preserve">Check email đúng tên miền công ty nhưng không có trên danh bạ thì chặn tạo đơn</t>
  </si>
  <si>
    <t xml:space="preserve">- Tài khoản A là CBNV có hồ sơ đầy đủ trên STG.
- Host app FoxPro đã cài trên thiết bị Android/iOS.
Test Data: Email `@fpt.com` không tồn tại trên HRIS (test_data_catalog §ORD — Email công ty người nhận ②)</t>
  </si>
  <si>
    <t xml:space="preserve">1. Đăng nhập FoxEco, nhấn "+ Đăng tin", nhấn card "Tôi cần gửi hàng", nhập đủ trường bước 1 rồi nhấn "Tiếp theo". (setup)
2. Nhập "stag_khongtontai9999@fpt.com" vào ô email người nhận.
3. Nhấn ra ngoài ô email để rời ô.
4. Check trạng thái nút "Tiếp theo" và ba ô tên, số điện thoại, địa chỉ giao.</t>
  </si>
  <si>
    <t xml:space="preserve">4. Nút "Tiếp theo" ở trạng thái vô hiệu hoá và KHÔNG có ô nào mở ra cho nhập tay.</t>
  </si>
  <si>
    <t xml:space="preserve">🔑 **ĐẢO PRD.** `BR01-09` và `AC-04.1.02` ghi *"không thấy thì cho nhập thủ công"*; BA `C-ORD-14` **Resolved 2026-09-17** chốt ngược: **nút "Tiếp theo" DISABLE, không cho tạo đơn**. Lấy câu trả lời BA làm nguồn chốt. · Mục đích: kết quả phản trực giác — người đọc PRD sẽ cho rằng mở ô nhập tay là đúng. STG cho nhập tay và tạo được đơn ⇒ **FAIL và log bug**, ⛔ không sửa Expected về `BR01-09`.</t>
  </si>
  <si>
    <t xml:space="preserve">Check email của người đã nghỉ việc cũng chặn tạo đơn</t>
  </si>
  <si>
    <t xml:space="preserve">- Tài khoản A là CBNV có hồ sơ đầy đủ trên STG.
- Host app FoxPro đã cài trên thiết bị Android/iOS.
- Có sẵn email công ty của người ĐÃ NGHỈ VIỆC = `SEED-ORD-02` ② `stag_binhnt23@fpt.com` (`DOC-v1.1-05`).
Test Data: Email `stag_binhnt23@fpt.com` — người đã nghỉ việc, MNV 00026682 = `SEED-ORD-02` ② (`DOC-v1.1-05` · test_data_catalog §ORD)</t>
  </si>
  <si>
    <t xml:space="preserve">1. Đăng nhập FoxEco, nhấn "+ Đăng tin", nhấn card "Tôi cần gửi hàng", nhập đủ trường bước 1 rồi nhấn "Tiếp theo". (setup)
2. Nhập email `@fpt.com` của người đã nghỉ việc vào ô email người nhận.
3. Nhấn ra ngoài ô email để rời ô.
4. Check trạng thái nút "Tiếp theo" và ba ô tên, số điện thoại, địa chỉ giao.</t>
  </si>
  <si>
    <t xml:space="preserve">Mục đích: nhánh thứ tư của tra danh bạ — HRIS **chỉ nhận nhân sự đang làm việc** (BA `C-ORD-13`), nên "có trong hệ thống" vẫn có thể ra kết quả chặn; đây là ca dễ bị lập trình sót nhất. · Căn cứ: BA `C-ORD-14` — cùng kết quả với `TC-ORD-075` nhưng khác dữ liệu đầu vào. ⚠️ Chưa có email mẫu ⇒ ghi **`Blocked` kèm lý do**, ⛔ không PASS cho xong.</t>
  </si>
  <si>
    <t xml:space="preserve">Check email sai định dạng bị chặn và không kích hoạt tra danh bạ</t>
  </si>
  <si>
    <t xml:space="preserve">- Tài khoản A là CBNV có hồ sơ đầy đủ trên STG.
- Host app FoxPro đã cài trên thiết bị Android/iOS.
Test Data: Email sai định dạng "stag_anhdc4@" (test_data_catalog §ORD — Email công ty người nhận ③)</t>
  </si>
  <si>
    <t xml:space="preserve">1. Đăng nhập FoxEco, nhấn "+ Đăng tin", nhấn card "Tôi cần gửi hàng", nhập đủ trường bước 1 rồi nhấn "Tiếp theo". (setup)
2. Nhập "stag_anhdc4@" vào ô email người nhận.
3. Nhấn ra ngoài ô email để rời ô.
4. Check thông báo lỗi ở ô email và ba ô tên, số điện thoại, địa chỉ giao.</t>
  </si>
  <si>
    <t xml:space="preserve">4. Ô email hiện lỗi định dạng và ba ô kia vẫn TRỐNG, không có dấu hiệu tra danh bạ chạy.</t>
  </si>
  <si>
    <t xml:space="preserve">Mục đích: chốt thứ tự hai lớp kiểm — validate định dạng phải chạy TRƯỚC và chặn luôn việc gọi danh bạ; gọi danh bạ với chuỗi rác là lãng phí và có thể lộ lỗi hệ thống ngoài. · Căn cứ: `§8.1.4` + `AC-04.2.01`.</t>
  </si>
  <si>
    <t xml:space="preserve">Check email ngoài tên miền công ty bị chặn</t>
  </si>
  <si>
    <t xml:space="preserve">- Tài khoản A là CBNV có hồ sơ đầy đủ trên STG.
- Host app FoxPro đã cài trên thiết bị Android/iOS.
Test Data: Email `@gmail.com` — ngoài tên miền công ty (test_data_catalog §ORD — Email công ty người nhận ④)</t>
  </si>
  <si>
    <t xml:space="preserve">1. Đăng nhập FoxEco, nhấn "+ Đăng tin", nhấn card "Tôi cần gửi hàng", nhập đủ trường bước 1 rồi nhấn "Tiếp theo". (setup)
2. Nhập "nguyenvana@gmail.com" vào ô email người nhận.
3. Nhấn ra ngoài ô email để rời ô.
4. Check thông báo lỗi ở ô email và ba ô tên, số điện thoại, địa chỉ giao.</t>
  </si>
  <si>
    <t xml:space="preserve">4. Ô email hiện lỗi và ba ô kia vẫn TRỐNG, không có dấu hiệu tra danh bạ chạy.</t>
  </si>
  <si>
    <t xml:space="preserve">Mục đích: nhánh khác bản chất với `TC-ORD-077` — email **đúng định dạng** nhưng sai tên miền, dễ bị lập trình bỏ qua vì regex đã pass. · Căn cứ: tên miền hợp lệ duy nhất là **`@fpt.com`** (QC GiangDC2 chốt 2026-09-17, đính chính câu trả lời BA cũ). ⛔ `@fpt.vn` chưa xác nhận lại, không dùng làm test data cho bất kỳ nhánh nào.</t>
  </si>
  <si>
    <t xml:space="preserve">▬▬  15. Người nhận uỷ quyền  ·  4 TC (TC-ORD-079…TC-ORD-082)</t>
  </si>
  <si>
    <t xml:space="preserve">Check số điện thoại uỷ quyền sai định dạng bị báo lỗi và chặn</t>
  </si>
  <si>
    <t xml:space="preserve">- Tài khoản A là CBNV có hồ sơ đầy đủ trên STG.
- Host app FoxPro đã cài trên thiết bị Android/iOS.
Test Data: SĐT "123" — sai định dạng (test_data_catalog §ORD — SĐT người được uỷ quyền)</t>
  </si>
  <si>
    <t xml:space="preserve">1. Đăng nhập FoxEco, nhấn "+ Đăng tin", nhấn card "Tôi cần gửi hàng", nhập đủ trường bước 1 rồi nhấn "Tiếp theo". (setup)
2. Nhấn "+ Thêm người nhận uỷ quyền" để mở khối uỷ quyền.
3. Nhập "Nguyễn Văn Bảy" vào ô tên người nhận uỷ quyền.
4. Nhập "123" vào ô số điện thoại người nhận uỷ quyền.
5. Nhấn "Tiếp theo".
6. Check màn đang hiển thị và thông báo lỗi ở ô số điện thoại.</t>
  </si>
  <si>
    <t xml:space="preserve">6. Wizard vẫn ở bước 2 và ô số điện thoại uỷ quyền hiện lỗi định dạng.</t>
  </si>
  <si>
    <t xml:space="preserve">Mục đích: rule chỉ validate **khi được nhập** — ⛔ KHÔNG viết TC "bỏ trống thì lỗi", khối uỷ quyền là **không bắt buộc** (verify ở `TC-ORD-082`). · Căn cứ: `BR01-06` + `AC-05.1.02`.</t>
  </si>
  <si>
    <t xml:space="preserve">Check khai người nhận uỷ quyền hợp lệ gắn nhãn Người gửi chỉ định vào đơn</t>
  </si>
  <si>
    <t xml:space="preserve">- Tài khoản A là CBNV có hồ sơ đầy đủ trên STG.
- Host app FoxPro đã cài trên thiết bị Android/iOS.
- Thư viện ảnh thiết bị có sẵn bộ ảnh mẫu dùng chung 3 module = `SEED-ORD-01`.
Test Data: Tên 14 ký tự + SĐT hợp lệ (test_data_catalog §ORD — Tên người được uỷ quyền, SĐT người được uỷ quyền)</t>
  </si>
  <si>
    <t xml:space="preserve">1. Đăng nhập FoxEco, nhấn "+ Đăng tin", nhấn card "Tôi cần gửi hàng", nhập đủ trường bước 1 gồm 1 ảnh rồi nhấn "Tiếp theo". (setup)
2. Nhấn "+ Thêm người nhận uỷ quyền" để mở khối uỷ quyền. (setup)
3. Nhập "Nguyễn Văn Bảy" vào ô tên và "0912345678" vào ô số điện thoại người nhận uỷ quyền.
4. Nhấn "Tiếp theo", nhập đủ dữ liệu hợp lệ bước 3 rồi nhấn "Đăng tin ngay".
5. Nhấn tab "Hoạt động", mở đơn vừa đăng và check khối thông tin người nhận uỷ quyền.</t>
  </si>
  <si>
    <t xml:space="preserve">5. Đơn hiển thị tên "Nguyễn Văn Bảy" và số "0912345678" kèm nhãn "Người gửi chỉ định".</t>
  </si>
  <si>
    <t xml:space="preserve">Mục đích: nhãn "Người gửi chỉ định" là thứ phân biệt người uỷ quyền khai **lúc đăng tin** với người uỷ quyền khai **lúc giao hàng** (`TC-DLV-044`, nhãn "uỷ quyền bởi Người nhận") — lẫn hai nguồn này là lỗi truy vết nghiêm trọng. · Căn cứ: `BR01-06` + `AC-05.1.01`. · ⚠️ Đã chạy nhưng THIẾU EVIDENCE hợp lệ ⇒ không được ghi PASS, tính là Not Run (gate verify_evidence.py).</t>
  </si>
  <si>
    <t xml:space="preserve">Check tên người nhận uỷ quyền nhận đúng hai và sáu mươi ký tự</t>
  </si>
  <si>
    <t xml:space="preserve">- Tài khoản A là CBNV có hồ sơ đầy đủ trên STG.
- Host app FoxPro đã cài trên thiết bị Android/iOS.
Test Data: Tên 1 / 2 / 60 / 61 ký tự (test_data_catalog §ORD — Tên người được uỷ quyền, biên)</t>
  </si>
  <si>
    <t xml:space="preserve">1. Đăng nhập FoxEco, nhấn "+ Đăng tin", nhấn card "Tôi cần gửi hàng", nhập đủ trường bước 1 rồi nhấn "Tiếp theo". (setup)
2. Nhấn "+ Thêm người nhận uỷ quyền" để mở khối uỷ quyền. (setup)
3. Nhập chuỗi 1 ký tự vào ô tên rồi nhấn "Tiếp theo".
4. Nhập chuỗi đúng 2 ký tự vào ô tên rồi nhấn "Tiếp theo".
5. Quay lại bước 2, nhập chuỗi đúng 60 ký tự vào ô tên rồi nhấn "Tiếp theo".
6. Quay lại bước 2, nhập chuỗi 61 ký tự vào ô tên.
7. Check trạng thái ô tên sau cả bốn lần nhập.</t>
  </si>
  <si>
    <t xml:space="preserve">7. Chuỗi 2 và 60 ký tự đều được nhận và đi tiếp được; chuỗi 1 ký tự bị báo lỗi và chuỗi 61 ký tự không nhập được quá 60.</t>
  </si>
  <si>
    <t xml:space="preserve">Mục đích: gộp 4 giá trị vào 1 step Check cuối theo `Project_rule §10.4` mục 1 — cùng một ô, một loại rule, Expected nêu đích danh từng giá trị nên không mất khả năng bắt lỗi riêng. · Căn cứ: `§8.1.4` biên 2-60.</t>
  </si>
  <si>
    <t xml:space="preserve">Check xoá khối uỷ quyền đã điền vẫn đăng tin được và đơn không mang dữ liệu uỷ quyền</t>
  </si>
  <si>
    <t xml:space="preserve">- Tài khoản A là CBNV có hồ sơ đầy đủ trên STG.
- Host app FoxPro đã cài trên thiết bị Android/iOS.
- Thư viện ảnh thiết bị có sẵn bộ ảnh mẫu dùng chung 3 module = `SEED-ORD-01`.
Test Data: Dữ liệu uỷ quyền đã nhập rồi xoá (test_data_catalog §ORD — SĐT người được uỷ quyền)</t>
  </si>
  <si>
    <t xml:space="preserve">1. Đăng nhập FoxEco, nhấn "+ Đăng tin", nhấn card "Tôi cần gửi hàng", nhập đủ trường bước 1 gồm 1 ảnh rồi nhấn "Tiếp theo". (setup)
2. Nhấn "+ Thêm người nhận uỷ quyền", nhập tên "Nguyễn Văn Bảy" và số "0912345678". (setup)
3. Nhấn nút xoá khối uỷ quyền.
4. Nhấn "Tiếp theo", nhập đủ dữ liệu hợp lệ bước 3 rồi nhấn "Đăng tin ngay".
5. Nhấn tab "Hoạt động", mở đơn vừa đăng và check khối thông tin người nhận.</t>
  </si>
  <si>
    <t xml:space="preserve">5. Đơn tạo thành công và KHÔNG mang tên "Nguyễn Văn Bảy" hay số "0912345678"; không có thông báo lỗi thiếu trường nào ở bước đăng.</t>
  </si>
  <si>
    <t xml:space="preserve">Mục đích: khối uỷ quyền là **không bắt buộc** — lỗi hay gặp là sau khi mở khối thì validate bắt buộc luôn, khiến người dùng không thoát ra được. · Căn cứ: `AC-05.2.01` + `BR01-06`.</t>
  </si>
  <si>
    <t xml:space="preserve">▬▬  16. Địa chỉ giao khác địa chỉ lấy  ·  2 TC (TC-ORD-083…TC-ORD-084)</t>
  </si>
  <si>
    <t xml:space="preserve">REQ-ORD-028, REQ-ORD-009</t>
  </si>
  <si>
    <t xml:space="preserve">Check địa chỉ giao trùng hệt địa chỉ lấy bị chặn</t>
  </si>
  <si>
    <t xml:space="preserve">- Tài khoản A là CBNV có hồ sơ đầy đủ trên STG.
- Host app FoxPro đã cài trên thiết bị Android/iOS.
Test Data: Hai địa chỉ trùng hệt (test_data_catalog §ORD — Địa chỉ giao hàng, nhánh invalid)</t>
  </si>
  <si>
    <t xml:space="preserve">1. Đăng nhập FoxEco, nhấn "+ Đăng tin", nhấn card "Tôi cần gửi hàng", nhập đủ trường bước 1 rồi nhấn "Tiếp theo". (setup)
2. Nhập "Số 7 ngõ 12 Trần Duy Hưng" vào ô "Địa chỉ lấy hàng". (setup)
3. Nhập đúng chuỗi "Số 7 ngõ 12 Trần Duy Hưng" vào ô "Địa chỉ giao hàng".
4. Nhấn "Tiếp theo".
5. Check màn đang hiển thị và thông báo lỗi ở ô địa chỉ giao.</t>
  </si>
  <si>
    <t xml:space="preserve">5. Wizard vẫn ở bước 2 và ô "Địa chỉ giao hàng" hiện lỗi vì trùng địa chỉ lấy hàng.</t>
  </si>
  <si>
    <t xml:space="preserve">Căn cứ: `§8.1.4` *"Địa chỉ giao phải khác địa chỉ lấy"*. Nhánh biên gần nhất (chỉ khác khoảng trắng) tách sang `TC-ORD-084` vì PRD không định nghĩa phép so sánh.</t>
  </si>
  <si>
    <t xml:space="preserve">Check địa chỉ giao chỉ khác khoảng trắng đầu cuối vẫn bị chặn</t>
  </si>
  <si>
    <t xml:space="preserve">- Tài khoản A là CBNV có hồ sơ đầy đủ trên STG.
- Host app FoxPro đã cài trên thiết bị Android/iOS.
Test Data: Chuỗi chỉ khác khoảng trắng đầu/cuối — biên gần nhất (test_data_catalog §ORD — Địa chỉ giao hàng, biên)</t>
  </si>
  <si>
    <t xml:space="preserve">1. Đăng nhập FoxEco, nhấn "+ Đăng tin", nhấn card "Tôi cần gửi hàng", nhập đủ trường bước 1 rồi nhấn "Tiếp theo". (setup)
2. Nhập "Số 7 ngõ 12 Trần Duy Hưng" vào ô "Địa chỉ lấy hàng". (setup)
3. Nhập chuỗi "  Số 7 ngõ 12 Trần Duy Hưng  " có thêm khoảng trắng ở đầu và cuối vào ô "Địa chỉ giao hàng".
4. Nhấn "Tiếp theo".
5. Check màn đang hiển thị và thông báo lỗi ở ô địa chỉ giao.</t>
  </si>
  <si>
    <t xml:space="preserve">Mục đích: biên gần nhất của phép so sánh — `VAL-03` có **trim** nên chuỗi này phải bị coi là trùng. · Căn cứ: `VAL-03`. ⛔ **KHÔNG mở rộng sang hoa/thường hay dấu tiếng Việt** — PRD không định nghĩa phép so sánh cho hai chiều đó (`RISK-ORD-12`); app xử lý bất nhất thì nêu với BA, ⛔ không viết TC assert.</t>
  </si>
  <si>
    <t xml:space="preserve">▬▬  17. Tiện ích copy nhanh  ·  2 TC (TC-ORD-085…TC-ORD-086)</t>
  </si>
  <si>
    <t xml:space="preserve">Check icon copy cạnh địa chỉ giao ở chi tiết tin sao chép đúng nội dung</t>
  </si>
  <si>
    <t xml:space="preserve">- Tài khoản A là CBNV có hồ sơ đầy đủ trên STG.
- Host app FoxPro đã cài trên thiết bị Android/iOS.
Test Data: Địa chỉ giao trên màn chi tiết tin (test_data_catalog §ORD — Địa chỉ giao hàng)</t>
  </si>
  <si>
    <t xml:space="preserve">1. Đăng nhập FoxEco bằng tài khoản A và đăng 1 tin NEED có địa chỉ giao và số điện thoại người nhận. (setup)
2. Nhấn tab "Hoạt động" và mở tin đó để vào màn chi tiết tin. (setup)
3. Ghi lại địa chỉ giao đang hiển thị trên màn.
4. Nhấn icon copy cạnh địa chỉ giao.
5. Dán nội dung vừa copy vào ô tìm kiếm ở tab "Bảng tin" và check nội dung dán ra cùng trạng thái icon copy lúc vừa nhấn.</t>
  </si>
  <si>
    <t xml:space="preserve">5. Nội dung dán ra đúng nguyên văn địa chỉ đã ghi ở step 3, và icon copy đã đổi trạng thái sang màu xanh khoảng 2 giây rồi trở lại bình thường.</t>
  </si>
  <si>
    <t xml:space="preserve">Mục đích: cặp với `TC-ORD-086` — hai instance icon copy ở hai vùng khác nhau của cùng màn, hỏng độc lập. · Căn cứ: `BR18-04`. Rule ghi 1,8 giây nhưng đây là hiệu ứng thị giác — chấp nhận dung sai quanh 2 giây, ⛔ không bấm giờ đòi đúng 1,8 giây. Instance ở màn Theo dõi đơn thuộc `DLV` (`TC-DLV-080/081`), ⛔ không nhân bản.</t>
  </si>
  <si>
    <t xml:space="preserve">Check icon copy cạnh số điện thoại ở chi tiết tin sao chép đúng nội dung</t>
  </si>
  <si>
    <t xml:space="preserve">- Tài khoản A là CBNV có hồ sơ đầy đủ trên STG.
- Host app FoxPro đã cài trên thiết bị Android/iOS.
Test Data: Số điện thoại người nhận trên màn chi tiết tin (test_data_catalog §ORD)</t>
  </si>
  <si>
    <t xml:space="preserve">1. Đăng nhập FoxEco bằng tài khoản A và đăng 1 tin NEED có địa chỉ giao và số điện thoại người nhận. (setup)
2. Nhấn tab "Hoạt động" và mở tin đó để vào màn chi tiết tin. (setup)
3. Ghi lại số điện thoại đang hiển thị trên màn.
4. Nhấn icon copy cạnh số điện thoại.
5. Dán nội dung vừa copy vào ô tìm kiếm ở tab "Bảng tin" và check nội dung dán ra cùng trạng thái icon copy lúc vừa nhấn.</t>
  </si>
  <si>
    <t xml:space="preserve">5. Nội dung dán ra đúng nguyên văn số điện thoại đã ghi ở step 3, và icon copy đã đổi trạng thái sang màu xanh khoảng 2 giây rồi trở lại bình thường.</t>
  </si>
  <si>
    <t xml:space="preserve">Căn cứ: `BR18-04` — rule đặt icon copy cạnh CẢ địa chỉ giao và số điện thoại.</t>
  </si>
  <si>
    <t xml:space="preserve">▬▬  18. Ảnh đã ghi mốc  ·  2 TC (TC-ORD-087…TC-ORD-088)</t>
  </si>
  <si>
    <t xml:space="preserve">Check xoá được ảnh khi đang soạn tin chưa đăng</t>
  </si>
  <si>
    <t xml:space="preserve">- Tài khoản A là CBNV có hồ sơ đầy đủ trên STG.
- Host app FoxPro đã cài trên thiết bị Android/iOS.
- Thư viện ảnh thiết bị có sẵn bộ ảnh mẫu dùng chung 3 module = `SEED-ORD-01`.
Test Data: 2 ảnh đang soạn, chưa đăng tin (test_data_catalog §ORD — Ảnh món hàng)</t>
  </si>
  <si>
    <t xml:space="preserve">1. Đăng nhập FoxEco, nhấn "+ Đăng tin" rồi nhấn card "Tôi cần gửi hàng". (setup)
2. Tải 2 ảnh hợp lệ vào khối "ẢNH HÀNG". (setup)
3. Nhấn nút xoá trên ảnh thứ nhất.
4. Check số ảnh còn lại và bộ đếm.</t>
  </si>
  <si>
    <t xml:space="preserve">4. Còn đúng 1 ảnh và bộ đếm hiển thị "1/5".</t>
  </si>
  <si>
    <t xml:space="preserve">Mục đích: cặp với `TC-ORD-088` — ranh giới xoá được ⟷ không xoá được là **thời điểm ghi mốc**, không phải loại ảnh; chạy lẻ một vế thì không chốt được ranh giới. · Căn cứ: `BR18-02`.</t>
  </si>
  <si>
    <t xml:space="preserve">Check không xoá được ảnh của tin đã đăng</t>
  </si>
  <si>
    <t xml:space="preserve">1. Đăng nhập FoxEco bằng tài khoản A và đăng 1 tin NEED kèm 5 ảnh. (setup)
2. Nhấn tab "Hoạt động" và mở tin đó. (setup)
3. Nhấn "Chỉnh sửa" để mở form sửa tin.
4. Nhấn nút × trên ảnh thứ nhất.
5. Nhấn "Tiếp theo" 2 lần, nhấn "Cập nhật đơn" và xác nhận "Đồng ý".
6. Mở lại tin đó và check số ảnh của tin.</t>
  </si>
  <si>
    <t xml:space="preserve">6. Ảnh thứ nhất xoá được ở form sửa (bộ đếm còn 4/5) và sau khi lưu tin chỉ còn 4 ảnh.</t>
  </si>
  <si>
    <t xml:space="preserve">Mục đích: ghi nhận hành vi thật của app — form sửa tin đã đăng vẫn cho xoá ảnh bằng nút ×; đối chiếu `TC-ORD-087`. Tin phải còn `POSTED` để vào được form sửa (`BR05-01`). · ♻️ Sửa 2026-09-21 (QC GiangDC2, theo `BUG-023` đã huỷ): QC kiểm lại — app đúng, cho xoá ảnh của tin đã đăng (đơn đã có mốc `Đăng tin` vẫn xoá được); Expected/Steps đổi theo app. ⚠️ Title còn ghi *"không xoá được"* — `§10.5` không cho sửa Title (xem CHANGELOG §3). ⚠️ `SC-CNL-010`/`SC-DLV-062` (nhóm "ảnh bất biến truy vết" `BR11-03`/`NFR-07`) chưa chạy — cân nhắc kiểm cùng cách hiểu. VR-013: ✅ PASS.</t>
  </si>
  <si>
    <t xml:space="preserve">▬▬  1. Mở form và gửi thành công  ·  2 TC (TC-TS-008…TC-TS-009)</t>
  </si>
  <si>
    <t xml:space="preserve">Check form báo cáo sự cố mở trong WebView và chỉ điền sẵn mã đơn hàng</t>
  </si>
  <si>
    <t xml:space="preserve">- Tài khoản A, B, C là ba CBNV khác nhau trên STG.
- Host app FoxPro đã cài trên thiết bị Android/iOS.
Test Data: Đơn `IN_TRANSIT` = `SEED-TS-01` CP2; mã đơn prefill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</si>
  <si>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Check khung WebView vừa mở và giá trị của bốn ô "Mã đơn hàng", "Loại yêu cầu", "Mô tả chi tiết", "Số điện thoại liên hệ lại".</t>
  </si>
  <si>
    <t xml:space="preserve">5. WebView mở toàn màn hình có thanh URL chỉ đọc và nút đóng; ô "Mã đơn hàng" đã điền sẵn đúng mã của đơn kèm ghi chú "Tự động điền từ ứng dụng"; ba ô "Loại yêu cầu", "Mô tả chi tiết" và "Số điện thoại liên hệ lại" đều TRỐNG.</t>
  </si>
  <si>
    <t xml:space="preserve">🔴 Áp bản Resolved `C-TS-03(a)` 2026-09-17 thay vì Then của `SC-TS-008`: form prefill **đúng 1 trường**, ⛔ KHÔNG phải 9 trường như `AC-31.1.01` liệt kê — `BR16-02` mới là bản đúng, `AC-31.1.01` là PRD sai/thừa. · Mục đích: kết quả phản trực giác so với PRD — người chạy đọc `AC-31.1.01` sẽ tưởng thiếu 8 trường là bug. App prefill thêm trường ⇒ FAIL và dẫn `C-TS-03` để BA cập nhật PRD.</t>
  </si>
  <si>
    <t xml:space="preserve">Check gửi báo cáo sự cố hợp lệ hiện màn ghi nhận kèm cam kết liên hệ lại</t>
  </si>
  <si>
    <t xml:space="preserve">- Tài khoản A, B, C là ba CBNV khác nhau trên STG.
- Host app FoxPro đã cài trên thiết bị Android/iOS.
- Thư viện ảnh thiết bị có sẵn ≥5 ảnh JPG.
Test Data: Loại yêu cầu "Sự cố đơn hàng" + mô tả không rỗng + SĐT hợp lệ + 2 ảnh (test_data_catalog §TS)</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</si>
  <si>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"Hàng bị móp góc khi giao" vào ô "Mô tả chi tiết".
6. Nhập "0912345678" vào ô "Số điện thoại liên hệ lại".
7. Đính 2 ảnh JPG từ thư viện thiết bị.
8. Nhấn "Gửi".
9. Check màn hiện ra sau khi gửi.</t>
  </si>
  <si>
    <t xml:space="preserve">9. Màn hiển thị "Đã ghi nhận phản hồi" kèm đúng câu "Đội hỗ trợ FoxEco sẽ liên hệ lại số 0912345678 trong vòng 24 giờ làm việc" và nút "Quay lại đơn hàng".</t>
  </si>
  <si>
    <t xml:space="preserve">Mục đích: chuỗi cam kết 24 giờ là **thứ duy nhất verify được** của quy trình hỗ trợ — hành động thật của Admin nằm ngoài app, ⛔ không mở rộng phạm vi sang đó. · Căn cứ: `AC-31.1.01` + vibe-check demo 2026-09-15 (ảnh `TS_05`, chuỗi verbatim). Màn xác nhận và nút "Quay lại đơn hàng" do **APP** vẽ chứ không phải trang xác nhận của Google Form (`C-TS-03(d)` Resolved 2026-09-17).</t>
  </si>
  <si>
    <t xml:space="preserve">▬▬  2. Trường bắt buộc  ·  3 TC (TC-TS-010…TC-TS-012)</t>
  </si>
  <si>
    <t xml:space="preserve">Check nút Gửi vô hiệu hoá khi chưa chọn loại yêu cầu</t>
  </si>
  <si>
    <t xml:space="preserve">- Tài khoản A, B, C là ba CBNV khác nhau trên STG.
- Host app FoxPro đã cài trên thiết bị Android/iOS.
Test Data: Loại yêu cầu chưa chọn — nhánh invalid (test_data_catalog §TS — Loại yêu cầu)</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</si>
  <si>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Nhập "Hàng bị móp góc khi giao" vào ô "Mô tả chi tiết".
5. Nhập "0912345678" vào ô "Số điện thoại liên hệ lại".
6. Để ô "Loại yêu cầu" ở trạng thái chưa chọn và check trạng thái nút "Gửi" cùng phần chữ cạnh nút.</t>
  </si>
  <si>
    <t xml:space="preserve">6. Nút "Gửi" vẫn ở trạng thái bấm được (không disable); ngay sau khi bấm, form KHÔNG được gửi đi, tự cuộn tới câu hỏi "Loại yêu cầu" và hiện lỗi inline "Câu hỏi này là bắt buộc." ngay dưới câu hỏi đó.</t>
  </si>
  <si>
    <t xml:space="preserve">Mục đích: 1 trong 3 nhánh OR của điều kiện bắt buộc — mỗi nhánh fail độc lập, khoá được nhánh này không suy ra khoá được 2 nhánh kia. · Căn cứ: `DOC-v1.1-01` §6.2 AC-31.1.02 + vibe-check demo 2026-09-15 (ảnh `TS_04`, chiều dương của cùng rule).</t>
  </si>
  <si>
    <t xml:space="preserve">Check nút Gửi vô hiệu hoá khi chưa nhập mô tả chi tiết</t>
  </si>
  <si>
    <t xml:space="preserve">- Tài khoản A, B, C là ba CBNV khác nhau trên STG.
- Host app FoxPro đã cài trên thiết bị Android/iOS.
Test Data: Mô tả chi tiết rỗng — nhánh invalid (test_data_catalog §TS — Mô tả chi tiết)</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</si>
  <si>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"Lỗi ứng dụng" ở ô "Loại yêu cầu".
5. Nhập "0912345678" vào ô "Số điện thoại liên hệ lại".
6. Để ô "Mô tả chi tiết" rỗng và check trạng thái nút "Gửi" cùng phần chữ cạnh nút.</t>
  </si>
  <si>
    <t xml:space="preserve">6. Nút "Gửi" vẫn ở trạng thái bấm được (không disable); ngay sau khi bấm, form KHÔNG được gửi đi, tự cuộn tới câu hỏi "Mô tả chi tiết" và hiện lỗi inline "Câu hỏi này là bắt buộc." ngay dưới câu hỏi đó.</t>
  </si>
  <si>
    <t xml:space="preserve">Căn cứ: `DOC-v1.1-01` §6.2 AC-31.1.02 — `test_data_catalog §TS` ghi rõ trường này **không có giới hạn ký tự công bố** nên chỉ có nhánh rỗng ⟷ không rỗng, ⛔ không viết TC biên độ dài.</t>
  </si>
  <si>
    <t xml:space="preserve">Check nút Gửi vô hiệu hoá khi số điện thoại sai định dạng</t>
  </si>
  <si>
    <t xml:space="preserve">- Tài khoản A, B, C là ba CBNV khác nhau trên STG.
- Host app FoxPro đã cài trên thiết bị Android/iOS.
Test Data: SĐT sai định dạng "0912abc" (test_data_catalog §TS — Số điện thoại liên hệ lại, nhánh invalid)</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</si>
  <si>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"Góp ý / đề xuất" ở ô "Loại yêu cầu".
5. Nhập "App hay bị chậm ở màn bảng tin" vào ô "Mô tả chi tiết".
6. Nhập "0912abc" vào ô "Số điện thoại liên hệ lại".
7. Check trạng thái nút "Gửi" cùng phần chữ cạnh nút.</t>
  </si>
  <si>
    <t xml:space="preserve">7. Nút "Gửi" vẫn ở trạng thái bấm được (không disable — cơ chế thật của form là inline error, xem TC-TS-010/TC-TS-011); tuy nhiên SĐT sai định dạng vẫn phải bị chặn không cho gửi (báo lỗi định dạng hoặc tương đương) trước khi form được submit.</t>
  </si>
  <si>
    <t xml:space="preserve">Mục đích: nhánh khác bản chất với 2 TC kia — ô CÓ dữ liệu nhưng sai định dạng, dễ bị lập trình thành "chỉ kiểm rỗng". · Căn cứ: `DOC-v1.1-01` §6.2 AC-31.1.02 + §8.16.2. Dùng loại yêu cầu thứ ba để đồng thời phủ đủ 3 giá trị enum của ô "Loại yêu cầu" trong cụm này.</t>
  </si>
  <si>
    <t xml:space="preserve">▬▬  3. Ảnh đính kèm  ·  3 TC (TC-TS-013…TC-TS-015)</t>
  </si>
  <si>
    <t xml:space="preserve">Check gửi báo cáo sự cố thành công khi không đính ảnh nào</t>
  </si>
  <si>
    <t xml:space="preserve">- Tài khoản A, B, C là ba CBNV khác nhau trên STG.
- Host app FoxPro đã cài trên thiết bị Android/iOS.
Test Data: 0 ảnh — biên dưới hợp lệ (test_data_catalog §TS — Hình ảnh đính kèm)</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</si>
  <si>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"Không liên lạc được người nhận" vào ô "Mô tả chi tiết".
6. Nhập "0912345678" vào ô "Số điện thoại liên hệ lại".
7. Nhấn "Gửi" mà KHÔNG đính ảnh nào.
8. Check màn hiện ra sau khi gửi.</t>
  </si>
  <si>
    <t xml:space="preserve">8. Màn hiển thị "Đã ghi nhận phản hồi", gửi thành công không có thông báo lỗi đòi ảnh.</t>
  </si>
  <si>
    <t xml:space="preserve">Mục đích: cặp biên dưới với `TC-TS-014` — ảnh KHÔNG nằm trong điều kiện bật nút "Gửi", khác hẳn ảnh bằng chứng giao hàng của `DLV` (bắt buộc ≥1). · Căn cứ: `DOC-v1.1-01` §6.2 AC-31.1.02 + §8.16.2.</t>
  </si>
  <si>
    <t xml:space="preserve">Check đính đủ năm ảnh thì nút thêm ảnh khác bị vô hiệu hoá</t>
  </si>
  <si>
    <t xml:space="preserve">- Tài khoản A, B, C là ba CBNV khác nhau trên STG.
- Host app FoxPro đã cài trên thiết bị Android/iOS.
- Thư viện ảnh thiết bị có sẵn ≥6 ảnh JPG.
Test Data: 5 ảnh — biên trên hợp lệ, ảnh thứ 6 bị chặn (test_data_catalog §TS — Hình ảnh đính kèm, biên)</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</si>
  <si>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nhập mô tả "Hàng bị ướt" và nhập số điện thoại "0912345678". (setup)
5. Đính lần lượt 5 ảnh JPG từ thư viện thiết bị.
6. Check số ảnh hiển thị trong ô ảnh và trạng thái nút "Thêm ảnh khác".</t>
  </si>
  <si>
    <t xml:space="preserve">6. Ô ảnh hiển thị đủ 5 ảnh và nút "Thêm ảnh khác" chuyển sang trạng thái vô hiệu hoá, không chọn được ảnh thứ 6.</t>
  </si>
  <si>
    <t xml:space="preserve">Mục đích: cặp biên trên của trần 5 — hai giá trị liền kề nên phải quan sát trong cùng 1 TC để so được. · Căn cứ: `DOC-v1.1-01` §8.16.2 + vibe-check demo 2026-09-15 (ảnh `TS_03`, nút tự disable ở ảnh thứ 5). Trần 5 ở đây **độc lập** với trần ảnh bằng chứng của `DLV` — 2 form khác nhau, không dùng chung state dù cùng số 5.</t>
  </si>
  <si>
    <t xml:space="preserve">Check xoá được từng ảnh đính kèm riêng lẻ và mở lại chỗ thêm ảnh</t>
  </si>
  <si>
    <t xml:space="preserve">- Tài khoản A, B, C là ba CBNV khác nhau trên STG.
- Host app FoxPro đã cài trên thiết bị Android/iOS.
- Thư viện ảnh thiết bị có sẵn ≥5 ảnh JPG.
Test Data: 5 ảnh rồi xoá 1 (test_data_catalog §TS — Hình ảnh đính kèm)</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</si>
  <si>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Đính lần lượt 5 ảnh JPG từ thư viện thiết bị. (setup)
5. Nhấn nút xoá trên ảnh thứ ba.
6. Check số ảnh còn lại, thứ tự các ảnh còn lại và trạng thái nút "Thêm ảnh khác".</t>
  </si>
  <si>
    <t xml:space="preserve">6. Ô ảnh còn đúng 4 ảnh và chỉ mất đúng ảnh thứ ba, các ảnh còn lại giữ nguyên; nút "Thêm ảnh khác" trở lại trạng thái khả dụng.</t>
  </si>
  <si>
    <t xml:space="preserve">Mục đích: fail độc lập với `TC-TS-014` — chặn được ảnh thứ 6 không đảm bảo bộ đếm giảm đúng khi xoá; lỗi hay gặp là xoá nhầm ảnh cuối thay vì ảnh được chọn. · Căn cứ: `DOC-v1.1-01` §8.16.2 (*"xoá được từng ảnh"*).</t>
  </si>
  <si>
    <t xml:space="preserve">▬▬  4. Mất mạng  ·  2 TC (TC-TS-016…TC-TS-017)</t>
  </si>
  <si>
    <t xml:space="preserve">Check mất mạng khi mở báo cáo sự cố thì app hiện lỗi kèm nút thử lại</t>
  </si>
  <si>
    <t xml:space="preserve">- Tài khoản A, B, C là ba CBNV khác nhau trên STG.
- Host app FoxPro đã cài trên thiết bị Android/iOS.
- Có sẵn công cụ bật tắt mạng thiết bị hoặc network throttle — ⛔ không dựng được bằng thao tác trong app.
Test Data: Trạng thái mất kết nối mạng (test_data_catalog §TS — Trạng thái kết nối mạng, nhánh invalid)</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</si>
  <si>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Ngắt hoàn toàn kết nối mạng của thiết bị.
5. Nhấn "Báo cáo sự cố".
6. Check màn hiện ra và các nút trên màn đó.</t>
  </si>
  <si>
    <t xml:space="preserve">6. Màn hiển thị thông báo lỗi không tải được kèm nút "Thử lại"; form Google không hiện ra.</t>
  </si>
  <si>
    <t xml:space="preserve">Căn cứ: `DOC-v1.1-01` §6.2 AC-31.2.01 + **Dev trả lời `C-TS-03(c)` 2026-09-17** (*"App hiển thị nhé"*) — nút "Thử lại" do CHÍNH APP vẽ, tách biệt khỏi khung nhúng, nên assert được dù `BR16-01` dùng Custom Tabs. ⛔ Không assert công nghệ nhúng cụ thể (WebView trần hay Custom Tabs) — không quan sát được từ UI.</t>
  </si>
  <si>
    <t xml:space="preserve">Check thử lại sau khi có mạng mở đúng form của đơn cũ không mất ngữ cảnh</t>
  </si>
  <si>
    <t xml:space="preserve">- Tài khoản A, B, C là ba CBNV khác nhau trên STG.
- Host app FoxPro đã cài trên thiết bị Android/iOS.
- Có sẵn công cụ bật tắt mạng thiết bị hoặc network throttle — ⛔ không dựng được bằng thao tác trong app.
Test Data: Mã đơn của `SEED-TS-01`; chuyển từ mất mạng sang có mạng (test_data_catalog §TS — Trạng thái kết nối mạng)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</si>
  <si>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và ghi lại mã đơn hiển thị trên màn. (setup)
4. Ngắt hoàn toàn kết nối mạng của thiết bị rồi nhấn "Báo cáo sự cố". (setup)
5. Bật lại kết nối mạng của thiết bị.
6. Nhấn "Thử lại".
7. Check ô "Mã đơn hàng" trên form vừa tải được.</t>
  </si>
  <si>
    <t xml:space="preserve">7. Form tải được và ô "Mã đơn hàng" điền đúng mã đơn đã ghi ở step 3.</t>
  </si>
  <si>
    <t xml:space="preserve">Mục đích: fail độc lập với `TC-TS-016` — hiện được nút "Thử lại" không đảm bảo app còn giữ ngữ cảnh đơn; lỗi hay gặp là thử lại xong mở form trắng, mất mã đơn. · Căn cứ: `DOC-v1.1-01` §6.2 AC-31.2.01 (*"KHÔNG mất ngữ cảnh đơn"*).</t>
  </si>
  <si>
    <t xml:space="preserve">▬▬  5. Vòng đời WebView  ·  2 TC (TC-TS-018…TC-TS-019)</t>
  </si>
  <si>
    <t xml:space="preserve">Check đóng WebView quay về đúng màn theo dõi đơn trước đó</t>
  </si>
  <si>
    <t xml:space="preserve">- Tài khoản A, B, C là ba CBNV khác nhau trên STG.
- Host app FoxPro đã cài trên thiết bị Android/iOS.
Test Data: Đơn `IN_TRANSIT` = `SEED-TS-01` CP2 (test_data_catalog §TS)</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</si>
  <si>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Nhập "Thử đóng giữa chừng" vào ô "Mô tả chi tiết".
6. Nhấn nút đóng của WebView.
7. Check màn hiện ra và trạng thái đơn trên màn đó.</t>
  </si>
  <si>
    <t xml:space="preserve">7. Quay về đúng màn "Theo dõi đơn" của chính đơn vừa mở, đơn vẫn ở trạng thái "Đang giao".</t>
  </si>
  <si>
    <t xml:space="preserve">Căn cứ: `DOC-v1.1-01` §8.16.1 BR16-04 — đóng WebView ⛔ KHÔNG reset ngăn xếp điều hướng về trang chủ.</t>
  </si>
  <si>
    <t xml:space="preserve">Check mở lại báo cáo sự cố là phiên mới không giữ dữ liệu nhập dở</t>
  </si>
  <si>
    <t xml:space="preserve">- Tài khoản A, B, C là ba CBNV khác nhau trên STG.
- Host app FoxPro đã cài trên thiết bị Android/iOS.
Test Data: Dữ liệu nhập dở ở phiên trước (test_data_catalog §TS — Loại yêu cầu, Mô tả chi tiết)</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</si>
  <si>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chọn "Lỗi ứng dụng" và nhập "Dữ liệu nhập dở lần một" vào ô "Mô tả chi tiết", rồi nhấn nút đóng của WebView. (setup)
5. Nhấn lại "Báo cáo sự cố" từ chính đơn đó.
6. Check giá trị ô "Loại yêu cầu" và ô "Mô tả chi tiết".</t>
  </si>
  <si>
    <t xml:space="preserve">6. Ô "Loại yêu cầu" trở về trạng thái chưa chọn và ô "Mô tả chi tiết" TRỐNG, không còn chuỗi "Dữ liệu nhập dở lần một".</t>
  </si>
  <si>
    <t xml:space="preserve">Mục đích: đối chứng với `TC-TS-018` — cùng một thao tác đóng nhưng hai hệ quả khác nhau: ngăn xếp điều hướng phải GIỮ, còn dữ liệu form phải MẤT. · Căn cứ: `DOC-v1.1-01` §8.16.1 BR16-06 (*"mở lại là một phiên mới"*).</t>
  </si>
  <si>
    <t xml:space="preserve">▬▬  6. Hệ quả trạng thái đơn  ·  1 TC (TC-TS-020)</t>
  </si>
  <si>
    <t xml:space="preserve">Check gửi báo cáo sự cố không làm đơn đổi trạng thái</t>
  </si>
  <si>
    <t xml:space="preserve">- Tài khoản A, B, C là ba CBNV khác nhau trên STG.
- Host app FoxPro đã cài trên thiết bị Android/iOS.
Test Data: Đơn `POSTED` = `SEED-TS-01` CP0 (test_data_catalog §TS — Mã đơn hàng prefill)</t>
  </si>
  <si>
    <t xml:space="preserve">1. Đăng nhập bằng tài khoản A, đăng 1 tin NEED khai tài khoản C là người nhận. (setup)
2. Nhấn tab "Hoạt động", mở đơn đó và ghi lại trạng thái đang hiển thị. (setup)
3. Nhấn "Báo cáo sự cố".
4. Chọn "Sự cố đơn hàng", nhập mô tả "Thử ảnh hưởng trạng thái" và nhập số điện thoại "0912345678".
5. Nhấn "Gửi".
6. Nhấn "Quay lại đơn hàng".
7. Check trạng thái đơn và nhãn trên màn "Theo dõi đơn".</t>
  </si>
  <si>
    <t xml:space="preserve">7. Đơn vẫn ở đúng trạng thái đã ghi ở step 2, không xuất hiện nhãn hay cờ sự cố nào mới.</t>
  </si>
  <si>
    <t xml:space="preserve">Mục đích: neo vào `C-TS-02(b)` Resolved 2026-09-17 — BA: *"ver hiện tại không chuyển trạng thái gì"*. `§8.12.2` định nghĩa `INCIDENT` = *"có báo cáo sự cố sau khi đơn đã sang IN_TRANSIT"*, đọc được là **tự chuyển**, nên TC này là oracle chặn đúng cách đọc sai đó. · Căn cứ: form Google không gọi được API app ⇒ `INCIDENT` chỉ vào được qua Dev xử lý tay; đơn tự đổi trạng thái ⇒ FAIL và dẫn `C-TS-02`. Kết luận này là căn cứ để `SC-CNL-015`/`SC-DLV-034` out of scope test qua UI.</t>
  </si>
  <si>
    <t xml:space="preserve">▬▬  7. Field prefill chỉ đọc  ·  1 TC (TC-TS-021)</t>
  </si>
  <si>
    <t xml:space="preserve">Check ô mã đơn hàng là nhãn tĩnh chỉ đọc không sửa được</t>
  </si>
  <si>
    <t xml:space="preserve">- Tài khoản A, B, C là ba CBNV khác nhau trên STG.
- Host app FoxPro đã cài trên thiết bị Android/iOS.
Test Data: Mã đơn prefill chỉ đọc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</si>
  <si>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Nhấn vào ô "Mã đơn hàng" và thử nhập thêm ký tự "X".
5. Check kiểu hiển thị của ô "Mã đơn hàng", trạng thái bàn phím và giá trị trong ô.</t>
  </si>
  <si>
    <t xml:space="preserve">5. Ô "Mã đơn hàng" hiển thị dạng nhãn tĩnh chứ không phải textbox, bàn phím không bật lên, và giá trị trong ô giữ nguyên mã đơn gốc không có ký tự "X".</t>
  </si>
  <si>
    <t xml:space="preserve">🔴 Áp bản Resolved `C-TS-03(b)` 2026-09-17 — **ĐẢO HẲN Then của `SC-TS-014`** (*"trường prefill CHO PHÉP sửa"*). `§8.16.2` (*"Chỉ đọc · Không sửa"*) là bản đúng, **`BR16-03` là PRD sai**; demo cho thấy ô là nhãn tĩnh, không phải câu trả lời ngắn của Google Form. · Mục đích: kết quả phản trực giác — người chạy đọc `BR16-03` sẽ tưởng "không sửa được" là bug. Sửa được ⇒ FAIL và dẫn `C-TS-03` để BA cập nhật PRD.</t>
  </si>
  <si>
    <t xml:space="preserve">▬▬  8. Trigger ba vai trò  ·  3 TC (TC-TS-022…TC-TS-024)</t>
  </si>
  <si>
    <t xml:space="preserve">Check người gửi thấy nút báo cáo sự cố ở cả ba trạng thái đơn</t>
  </si>
  <si>
    <t xml:space="preserve">- Tài khoản A, B, C là ba CBNV khác nhau trên STG.
- Host app FoxPro đã cài trên thiết bị Android/iOS.
Test Data: Đơn qua 3 trạng thái `POSTED` · `MATCHED` · `IN_TRANSIT` = `SEED-TS-01`; vai người gửi (test_data_catalog §TS)</t>
  </si>
  <si>
    <t xml:space="preserve">1. Đăng nhập bằng tài khoản A, đăng 1 tin NEED khai tài khoản C là người nhận. (setup)
2. Nhấn tab "Hoạt động", mở đơn đó và check góc trên bên phải màn "Theo dõi đơn".
3. Đăng xuất, đăng nhập bằng tài khoản B, nhận đơn đó và xác nhận, rồi đăng xuất. (setup)
4. Đăng nhập lại bằng tài khoản A, mở đơn đó và check góc trên bên phải màn.
5. Đăng xuất, đăng nhập bằng tài khoản B, nhấn "Tôi đã lấy hàng" và xác nhận, rồi đăng xuất. (setup)
6. Đăng nhập lại bằng tài khoản A, mở đơn đó và check góc trên bên phải màn ở cả ba lần quan sát.</t>
  </si>
  <si>
    <t xml:space="preserve">6. Cả ba lần quan sát đều thấy nút "Báo cáo sự cố" ở góc trên bên phải màn "Theo dõi đơn" với nền cam nhạt, icon cảnh báo kèm chữ, và nhấn được.</t>
  </si>
  <si>
    <t xml:space="preserve">🔑 Áp `C-TS-02(a)` Resolved 2026-09-17: nút hiện ở **MỌI trạng thái**, ⛔ KHÔNG giới hạn `IN_TRANSIT`/`DELIVERED` như `§8.12.3` liệt kê — `AC-31.1.01` (*"vai trò bất kỳ"*) là bản đúng, `§8.12.3` là PRD thiếu. · Mục đích: 1 trong 3 ô vai — nút ẩn với 1 vai hoặc ở 1 trạng thái là defect. Nút không hiện ở trạng thái nào ⇒ FAIL và dẫn `C-TS-02`.</t>
  </si>
  <si>
    <t xml:space="preserve">Check người vận chuyển thấy nút báo cáo sự cố ở cả hai trạng thái sau khi nhận đơn</t>
  </si>
  <si>
    <t xml:space="preserve">- Tài khoản A, B, C là ba CBNV khác nhau trên STG.
- Host app FoxPro đã cài trên thiết bị Android/iOS.
Test Data: Đơn qua 2 trạng thái `MATCHED` · `IN_TRANSIT` = `SEED-TS-01`; vai người vận chuyển (test_data_catalog §TS)</t>
  </si>
  <si>
    <t xml:space="preserve">1. Đăng nhập bằng tài khoản A, đăng 1 tin NEED khai tài khoản C là người nhận, rồi đăng xuất. (setup)
2. Đăng nhập bằng tài khoản B, nhận đơn đó và xác nhận. (setup)
3. Nhấn tab "Hoạt động", mở đơn đó và check góc trên bên phải màn "Theo dõi đơn".
4. Nhấn "Tôi đã lấy hàng" và xác nhận. (setup)
5. Mở lại đơn đó và check góc trên bên phải màn ở cả hai lần quan sát.</t>
  </si>
  <si>
    <t xml:space="preserve">5. Cả hai lần quan sát đều thấy nút "Báo cáo sự cố" ở góc trên bên phải màn "Theo dõi đơn" và nhấn được.</t>
  </si>
  <si>
    <t xml:space="preserve">Mục đích: vai này chỉ thấy đơn từ khi nhận nên chỉ quan sát được 2 trạng thái — ⛔ không ghép chung TC với vai người gửi (3 trạng thái) để tránh Expected gộp hai phạm vi khác nhau. · Căn cứ: `DOC-v1.1-01` §8.16 Trigger + `C-TS-02(a)` Resolved 2026-09-17.</t>
  </si>
  <si>
    <t xml:space="preserve">Check người nhận thấy nút báo cáo sự cố và mở được form giống hai vai kia</t>
  </si>
  <si>
    <t xml:space="preserve">- Tài khoản A, B, C là ba CBNV khác nhau trên STG.
- Host app FoxPro đã cài trên thiết bị Android/iOS.
Test Data: Đơn `IN_TRANSIT` = `SEED-TS-01` CP2; vai người nhận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</si>
  <si>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rồi đăng xuất. (setup)
3. Đăng nhập bằng tài khoản C, nhấn tab "Hoạt động" và mở đơn đó. (setup)
4. Check góc trên bên phải màn "Theo dõi đơn".
5. Nhấn "Báo cáo sự cố".
6. Check khung vừa mở và ô "Mã đơn hàng".</t>
  </si>
  <si>
    <t xml:space="preserve">6. WebView mở toàn màn hình và ô "Mã đơn hàng" điền sẵn đúng mã của đơn, giống hệt hành vi ở vai người gửi và người vận chuyển.</t>
  </si>
  <si>
    <t xml:space="preserve">Mục đích: vai này thụ động nhất trong luồng nên dễ bị bỏ quên quyền báo sự cố; TC đi thêm một bước mở form để chốt hành vi giống nhau cho cả 3 vai, không chỉ chốt nút có hiện. · Căn cứ: `DOC-v1.1-01` §8.16 Actor + `AC-31.1.01` (*"vai trò bất kỳ"*).</t>
  </si>
  <si>
    <t xml:space="preserve">▬▬  1. Trang Cá nhân — hiển thị  ·  2 TC (TC-USR-002…TC-USR-003)</t>
  </si>
  <si>
    <t xml:space="preserve">Check trang "Cá nhân" hiển thị avatar chữ viết tắt, tên, phòng ban và MNV</t>
  </si>
  <si>
    <t xml:space="preserve">- Tài khoản A là CBNV có hồ sơ đầy đủ trên STG.
- Host app FoxPro đã cài trên thiết bị Android/iOS.
Test Data: Tên tài khoản A + chữ viết tắt kỳ vọng (test_data_catalog §USR v1.1 — Avatar)</t>
  </si>
  <si>
    <t xml:space="preserve">1. Đăng nhập FoxEco từ host app FoxPro bằng tài khoản A. (setup)
2. Nhấn tab "Cá nhân" ở bottom nav. (setup)
3. Check khối hồ sơ đầu trang.</t>
  </si>
  <si>
    <t xml:space="preserve">3. Avatar hiển thị chữ viết tắt không dấu, viết hoa, ghép từ chữ cái đầu của 2 từ cuối trong tên tài khoản A (vd tên "Đồng Công Chí Linh" hiển thị "CL"); dưới avatar là tên và dòng phòng ban · MNV trùng hồ sơ nhân viên của tài khoản A (vd "Phòng Kỹ thuật · MNV: FTEL2291"); KHÔNG hiển thị số điện thoại, email công ty hay địa chỉ mặc định.</t>
  </si>
  <si>
    <t xml:space="preserve">Đã sửa theo analyze v1.1 (2026-09-16): 4 trường có ảnh avatar → avatar chữ viết tắt; thêm assert vắng SĐT/email/địa chỉ. · Căn cứ: BA chốt `C-USR-05(a)`; SĐT/email/địa chỉ chỉ ở màn "Cập nhật thông tin" (`C-USR-04`). Demo trang Cá nhân hiện icon người ⇒ STG giống demo thì log bug.</t>
  </si>
  <si>
    <t xml:space="preserve">Check trang "Cá nhân" không cho sửa trực tiếp avatar, tên, phòng ban và MNV</t>
  </si>
  <si>
    <t xml:space="preserve">- Tài khoản A là CBNV có hồ sơ đầy đủ trên STG.
- Host app FoxPro đã cài trên thiết bị Android/iOS.
Test Data: Hồ sơ nhân viên đầy đủ (test_data_catalog §USR)</t>
  </si>
  <si>
    <t xml:space="preserve">1. Đăng nhập FoxEco từ host app FoxPro bằng tài khoản A. (setup)
2. Nhấn tab "Cá nhân" ở bottom nav. (setup)
3. Nhấn vào avatar.
4. Nhấn vào tên.
5. Nhấn vào dòng phòng ban · MNV.
6. Check trạng thái avatar, tên và dòng phòng ban · MNV sau cả 3 lần nhấn.</t>
  </si>
  <si>
    <t xml:space="preserve">6. Không mở màn hay popup đổi ảnh, không xuất hiện field nhập liệu hay bàn phím ở cả 3 lần nhấn; avatar, tên và dòng phòng ban · MNV đều giữ nguyên giá trị.</t>
  </si>
  <si>
    <t xml:space="preserve">Mục đích: bản v1.0 cùng ID assert "không có bất kỳ control sửa nào" — kỳ vọng ngược, phải dùng bản v1.1. · Đã sửa theo `C-USR-03` đảo (2026-09-15): trang Cá nhân nay có mục "Cập nhật thông tin" hợp lệ nên chỉ assert không sửa trực tiếp trên từng trường. · Căn cứ: `BR15-01`. · Đã sửa theo §10.4 (2026-09-17): gộp 3 điểm kiểm avatar/tên/phòng ban·MNV vào 1 step Check cuối + 1 Expected duy nhất (Expected chỉ ghi ở step cuối).</t>
  </si>
  <si>
    <t xml:space="preserve">▬▬  2. Trang Cá nhân — badge hạng  ·  2 TC (TC-USR-008…TC-USR-012)</t>
  </si>
  <si>
    <t xml:space="preserve">Check trang "Cá nhân" không hiển thị badge "Hạng Đồng hành"</t>
  </si>
  <si>
    <t xml:space="preserve">- Tài khoản A là CBNV có hồ sơ đầy đủ trên STG.
- Host app FoxPro đã cài trên thiết bị Android/iOS.
Test Data: Giá trị assert-absent: badge "Hạng Đồng hành" (test_data_catalog §USR)</t>
  </si>
  <si>
    <t xml:space="preserve">1. Đăng nhập FoxEco từ host app FoxPro bằng tài khoản A. (setup)
2. Nhấn tab "Cá nhân" ở bottom nav. (setup)
3. Check vùng bên dưới tên và dòng phòng ban · MNV.</t>
  </si>
  <si>
    <t xml:space="preserve">3. KHÔNG hiển thị badge "Hạng Đồng hành" hay bất kỳ nhãn hạng thành viên nào.</t>
  </si>
  <si>
    <t xml:space="preserve">Mục đích: bản v1.0 cùng ID assert badge TỒN TẠI — kỳ vọng ngược, phải dùng bản v1.1. · Đã sửa theo BA 2026-09-16 (`C-USR-06` Resolved — badge không hiện). · Căn cứ: `BR14-03` cấm mọi tier/xếp hạng. Demo còn badge ⇒ STG còn badge thì log bug.</t>
  </si>
  <si>
    <t xml:space="preserve">Check trang "Cá nhân" hiển thị đủ thành phần theo đúng thứ tự</t>
  </si>
  <si>
    <t xml:space="preserve">1. Đăng nhập FoxEco từ host app FoxPro bằng tài khoản A. (setup)
2. Nhấn tab "Cá nhân" ở bottom nav. (setup)
3. Check lần lượt từ trên xuống các thành phần của trang.</t>
  </si>
  <si>
    <t xml:space="preserve">3. Hiển thị theo đúng thứ tự: avatar chữ viết tắt, tên, dòng phòng ban kèm MNV, card 2 chỉ số "đơn đã giúp" và "quà đã nhận", 3 mục menu "Đơn của tôi", "Quà đã nhận", "Cập nhật thông tin"; không có badge hạng thành viên.</t>
  </si>
  <si>
    <t xml:space="preserve">Đã sửa theo analyze v1.1 (2026-09-16): bỏ badge hạng, 2 → 3 mục menu, avatar chữ viết tắt; bỏ tiền đề 2 chỉ số &gt; 0 vì chỉ đối chiếu thành phần và thứ tự; priority P2 → P3 theo `SC-USR-011`. · Căn cứ: §8.15 Trigger + `C-USR-05(a)` + `C-USR-06`.</t>
  </si>
  <si>
    <t xml:space="preserve">▬▬  3. Lối vào màn Cập nhật thông tin  ·  2 TC (TC-USR-013…TC-USR-014)</t>
  </si>
  <si>
    <t xml:space="preserve">Check mục menu "Cập nhật thông tin" nằm ngay dưới mục "Quà đã nhận"</t>
  </si>
  <si>
    <t xml:space="preserve">1. Đăng nhập FoxEco từ host app FoxPro bằng tài khoản A. (setup)
2. Nhấn tab "Cá nhân" ở bottom nav. (setup)
3. Check nhãn và thứ tự các mục menu.</t>
  </si>
  <si>
    <t xml:space="preserve">3. Mục menu thứ hai có nhãn "Quà đã nhận"; mục menu thứ ba có nhãn "Cập nhật thông tin", nằm ngay dưới "Quà đã nhận".</t>
  </si>
  <si>
    <t xml:space="preserve">Đã sửa theo `DOC-v1.1-01` §8.15 Trigger (2026-09-15): hết dạng GAP 3 nhãn, assert được nhãn + vị trí; priority P3 → P2 theo `SC-USR-012`.</t>
  </si>
  <si>
    <t xml:space="preserve">REQ-USR-006, REQ-USR-008</t>
  </si>
  <si>
    <t xml:space="preserve">Check nhấn mục "Cập nhật thông tin" mở đúng màn và ẩn bottom nav</t>
  </si>
  <si>
    <t xml:space="preserve">1. Đăng nhập FoxEco từ host app FoxPro bằng tài khoản A. (setup)
2. Nhấn tab "Cá nhân" ở bottom nav. (setup)
3. Nhấn mục menu "Cập nhật thông tin".</t>
  </si>
  <si>
    <t xml:space="preserve">3. Mở màn "Cập nhật thông tin": header có nút quay lại "←" và tiêu đề "Cập nhật thông tin"; màn không hiển thị bottom nav.</t>
  </si>
  <si>
    <t xml:space="preserve">Căn cứ: §8.15 Trigger; nút "←" và việc ẩn bottom nav lấy theo ảnh `USR_02` (`DOC-v1.1-03`) + code demo — PRD không mô tả, STG lệch thì mở CL.</t>
  </si>
  <si>
    <t xml:space="preserve">▬▬  4. Lưu và hiển thị lại  ·  3 TC (TC-USR-015…TC-USR-027)</t>
  </si>
  <si>
    <t xml:space="preserve">DOC-v1.1-01 · DOC-v1.1-04</t>
  </si>
  <si>
    <t xml:space="preserve">Check lưu số điện thoại và địa chỉ mặc định mới hiển thị đúng banner xanh</t>
  </si>
  <si>
    <t xml:space="preserve">- Tài khoản A là CBNV có hồ sơ đầy đủ trên STG.
- Host app FoxPro đã cài trên thiết bị Android/iOS.
Test Data: SĐT hợp lệ "0987654321"; văn phòng K3 "Lê Thái Tổ" (04_test-data/valid/USR-office-catalog.md)</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</si>
  <si>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"Lê Thái Tổ" vào field "Địa chỉ mặc định".
7. Chọn "Tòa V-City, Lê Thái Tổ" trong danh sách gợi ý.
8. Nhấn nút "Lưu thay đổi".</t>
  </si>
  <si>
    <t xml:space="preserve">8. Sau khi lưu, app điều hướng về màn "Cá nhân" và KHÔNG hiện banner thông báo nào trước khi rời màn.</t>
  </si>
  <si>
    <t xml:space="preserve">Căn cứ: `AC-30.1.01` + `BR15-05`. Nếu giá trị ghi ở bước 4 trùng test data thì đổi sang SĐT/văn phòng khác trong catalog. · Đã sửa theo §10.4 (2026-09-17): thu hẹp — chỉ giữ điểm kiểm banner ở step cuối; điểm kiểm persist (mở lại xem giá trị) tách sang `TC-USR-016` mới. · 🔄 **SỬA EXPECTED 2026-09-18 (QC GiangDC2 chốt): hành vi app là ĐÚNG, ⛔ KHÔNG phải bug.** Expected cũ (*"banner xanh 'Đã lưu thông tin của bạn' + màn vẫn ở lại"*) **HẾT HIỆU LỰC**. Hành vi chốt: bấm "Lưu thay đổi" với dữ liệu hợp lệ ⇒ **không có banner**, app **điều hướng về màn "Cá nhân"**; dữ liệu lưu đúng (phủ bởi `TC-USR-016`). VR-001 từng ghi FAIL (ứng viên bug **B1**) — verdict đã đổi sang **PASS**, B1 **rút lại**. ⚠️ Nợ upstream: `SC-USR-014` THEN + `DOC-v1.1-01 §8.15.1 BR15-05`/`§6.2 AC-30.1.01` vẫn ghi "banner xanh + ở lại màn" ⇒ cần `/analyze-requirements --module USR` + clarification với BA. ⚠️ `Test Title` vẫn còn chữ *"hiển thị đúng banner xanh"* (Title không thuộc danh sách field được sửa ở `Project_rule §10.5`) ⇒ chờ QC chốt riêng.</t>
  </si>
  <si>
    <t xml:space="preserve">Check giá trị số điện thoại và địa chỉ mặc định vẫn đúng sau khi mở lại màn</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</si>
  <si>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"Lê Thái Tổ" vào field "Địa chỉ mặc định". (setup)
7. Chọn "Tòa V-City, Lê Thái Tổ" trong danh sách gợi ý. (setup)
8. Nhấn nút "Lưu thay đổi". (setup)
9. Nhấn nút "←". (setup)
10. Nhấn mục menu "Cập nhật thông tin".
11. Check field "Số điện thoại mặc định" và field "Địa chỉ mặc định".</t>
  </si>
  <si>
    <t xml:space="preserve">11. Field "Số điện thoại mặc định" hiển thị "0987654321"; field "Địa chỉ mặc định" hiển thị "Tòa V-City, Lê Thái Tổ".</t>
  </si>
  <si>
    <t xml:space="preserve">Technique: N/A — happy schema assert · Mục đích: tách khỏi `TC-USR-015` theo §10.4 (2026-09-17) — điểm kiểm persist thật (không tin banner) là lý do TC này tồn tại, giữ đúng ở step cuối. Căn cứ: Analyst Note `SC-USR-014` — "TC-USR-014 bắt buộc có bước mở lại màn để kiểm giá trị đã persist". Nếu giá trị ghi ở bước 4 trùng test data thì đổi sang SĐT/văn phòng khác trong catalog. TC mới, không có ID cũ 1-1.</t>
  </si>
  <si>
    <t xml:space="preserve">Check hai lần lưu liên tiếp đều không hiện banner và đều về màn "Cá nhân"</t>
  </si>
  <si>
    <t xml:space="preserve">- Tài khoản A là CBNV có hồ sơ đầy đủ trên STG.
- Host app FoxPro đã cài trên thiết bị Android/iOS.
Test Data: SĐT hợp lệ "0987654321" / "0987654322" (test_data_catalog §USR v1.1)</t>
  </si>
  <si>
    <t xml:space="preserve">1. Đăng nhập FoxEco từ host app FoxPro bằng tài khoản A. (setup)
2. Nhấn tab "Cá nhân" ở bottom nav. (setup)
3. Nhấn mục menu "Cập nhật thông tin". (setup)
4. Nhập "0987654321" vào field "Số điện thoại mặc định". (setup)
5. Nhấn nút "Lưu thay đổi". (setup)
6. Mở lại mục menu "Cập nhật thông tin" từ màn "Cá nhân". (setup)
7. Nhập "0987654322" vào field "Số điện thoại mặc định".
8. Nhấn nút "Lưu thay đổi" lần 2.
9. Check màn hình ngay sau khi lưu lần 2.</t>
  </si>
  <si>
    <t xml:space="preserve">9. Giống lần lưu đầu (TC-USR-015): KHÔNG hiện banner nào, app tiếp tục điều hướng về màn "Cá nhân" — hành vi nhất quán giữa các lần lưu liên tiếp.</t>
  </si>
  <si>
    <t xml:space="preserve">Căn cứ: BR15-05 + AC-30.1.01 "tự ẩn khi người dùng sửa tiếp". Không assert ẩn theo thời gian và không assert trường hợp chỉ chạm vào field mà không đổi nội dung — PRD không có mốc. · Đã sửa theo §10.4 (2026-09-17): bỏ dòng Expected ở step 6 (banner đang hiển thị) — điểm này đã có TC-USR-015 assert riêng (chuỗi banner đúng); TC này chỉ giữ đúng 1 điểm kiểm ở step cuối: banner tự ẩn khi sửa tiếp. · ID cũ: TC-USR-024. · 🔄 SỬA STEPS + EXPECTED 2026-09-18 (QC GiangDC2 chốt): tiền đề gốc "có banner, kiểm banner tự ẩn khi sửa tiếp" KHÔNG còn đúng sau khi bug B1 rút lại — app KHÔNG hề hiện banner ở bất kỳ lần lưu nào và tự điều hướng về "Cá nhân" (xem TC-USR-015). Viết lại Steps/Expected theo hướng kiểm tính nhất quán của hành vi không-banner qua 2 lần lưu liên tiếp, thay vì kiểm banner tự ẩn (không còn banner để mà ẩn). ⚠️ Nợ upstream: SC-USR-019 + BR15-05/AC-30.1.01 ("banner tự ẩn khi sửa tiếp") cần /analyze-requirements --module USR cập nhật lại cho khớp việc bỏ hẳn banner — chưa sửa ở đây vì ngoài phạm vi field được phép sửa của TC (Project_rule §10.5). 🔄 SỬA TEST TITLE 2026-09-18 (QC GiangDC2 chốt trực tiếp): Title cũ "Check banner đã lưu tự ẩn khi sửa tiếp nội dung field" → "Check hai lần lưu liên tiếp đều không hiện banner và đều về màn Cá nhân". Lý do: Steps + Expected đã đổi hẳn sang kiểm tính nhất quán của hành vi không-banner, Title cũ mô tả NGƯỢC nội dung TC ⇒ người đọc Title sẽ hiểu sai. §10.5 FREEZE vẫn giữ nguyên với thêm/xoá/tách/gộp TC — Σ TC không đổi (223 · USR 38). Đã verify PASS ở VR-003 theo đúng bản Steps/Expected này. ⚠️ TC-USR-015 vẫn còn Title cũ ("hiển thị đúng banner xanh") — việc còn treo riêng, chưa được chốt sửa.</t>
  </si>
  <si>
    <t xml:space="preserve">▬▬  5. Validate số điện thoại mặc định  ·  7 TC (TC-USR-017…TC-USR-023)</t>
  </si>
  <si>
    <t xml:space="preserve">Check để trống số điện thoại mặc định bị chặn lưu và báo lỗi dưới field</t>
  </si>
  <si>
    <t xml:space="preserve">- Tài khoản A là CBNV có hồ sơ đầy đủ trên STG.
- Host app FoxPro đã cài trên thiết bị Android/iOS.
Test Data: SĐT để trống (test_data_catalog §USR v1.1 — Số điện thoại mặc định)</t>
  </si>
  <si>
    <t xml:space="preserve">1. Đăng nhập FoxEco từ host app FoxPro bằng tài khoản A. (setup)
2. Nhấn tab "Cá nhân" ở bottom nav. (setup)
3. Nhấn mục menu "Cập nhật thông tin". (setup)
4. Xoá toàn bộ nội dung field "Số điện thoại mặc định".
5. Nhấn nút "Lưu thay đổi".</t>
  </si>
  <si>
    <t xml:space="preserve">5. Hiển thị thông báo lỗi màu đỏ "Vui lòng nhập số điện thoại" ngay dưới field "Số điện thoại mặc định"; KHÔNG hiển thị banner "Đã lưu thông tin của bạn".</t>
  </si>
  <si>
    <t xml:space="preserve">Căn cứ: `BR15-02` + `AC-30.1.02`. PRD không có chuỗi thông báo. Chuỗi thông báo theo demo `DOC-v1.1-02` — BA xác nhận 2026-09-17 là chuỗi chính thức (PRD không đặc tả); STG hiện chuỗi khác ⇒ log bug, ⛔ không sửa TC. · ID cũ: TC-USR-016.</t>
  </si>
  <si>
    <t xml:space="preserve">Check số điện thoại mặc định 9 chữ số bị chặn lưu</t>
  </si>
  <si>
    <t xml:space="preserve">- Tài khoản A là CBNV có hồ sơ đầy đủ trên STG.
- Host app FoxPro đã cài trên thiết bị Android/iOS.
Test Data: SĐT 9 chữ số "091234567" (test_data_catalog §USR v1.1, biên dưới)</t>
  </si>
  <si>
    <t xml:space="preserve">1. Đăng nhập FoxEco từ host app FoxPro bằng tài khoản A. (setup)
2. Nhấn tab "Cá nhân" ở bottom nav. (setup)
3. Nhấn mục menu "Cập nhật thông tin". (setup)
4. Nhập "091234567" vào field "Số điện thoại mặc định".
5. Nhấn nút "Lưu thay đổi".</t>
  </si>
  <si>
    <t xml:space="preserve">5. Hiển thị thông báo lỗi màu đỏ "Số điện thoại không hợp lệ (10 số, bắt đầu bằng 0)" ngay dưới field "Số điện thoại mặc định"; KHÔNG hiển thị banner "Đã lưu thông tin của bạn".</t>
  </si>
  <si>
    <t xml:space="preserve">Mục đích: cặp biên với TC-USR-020 quanh mốc đúng 10 chữ số (giá trị hợp lệ đối chứng ở TC-USR-015). · Căn cứ: BA chốt 2026-09-16 "bắt đầu bằng 0, đúng 10 ký tự số" + `BR15-02`. · Chuỗi thông báo theo demo `DOC-v1.1-02` — BA xác nhận 2026-09-17 là chuỗi chính thức. · ID cũ: TC-USR-017.</t>
  </si>
  <si>
    <t xml:space="preserve">Check số điện thoại mặc định 11 chữ số bị chặn lưu</t>
  </si>
  <si>
    <t xml:space="preserve">- Tài khoản A là CBNV có hồ sơ đầy đủ trên STG.
- Host app FoxPro đã cài trên thiết bị Android/iOS.
Test Data: SĐT 11 chữ số "09123456789" (test_data_catalog §USR v1.1, biên trên)</t>
  </si>
  <si>
    <t xml:space="preserve">1. Đăng nhập FoxEco từ host app FoxPro bằng tài khoản A. (setup)
2. Nhấn tab "Cá nhân" ở bottom nav. (setup)
3. Nhấn mục menu "Cập nhật thông tin". (setup)
4. Nhập "09123456789" vào field "Số điện thoại mặc định".
5. Nhấn nút "Lưu thay đổi".
6. Nhấn nút "←".
7. Nhấn mục menu "Cập nhật thông tin".
8. Check field "Số điện thoại mặc định".</t>
  </si>
  <si>
    <t xml:space="preserve">8. Field "Số điện thoại mặc định" không hiển thị "09123456789".</t>
  </si>
  <si>
    <t xml:space="preserve">Mục đích: cặp biên với TC-USR-018. · Căn cứ: BA chốt 2026-09-16 "đúng 10 ký tự số" + `BR15-02`. Chưa đặc tả app chặn nhập ở chữ số thứ 11 hay báo lỗi khi lưu ⇒ chỉ assert kết quả cuối: không lưu được chuỗi 11 chữ số. · Đã sửa theo §10.4 (2026-09-17): bỏ dòng Expected ở step 5 ("KHÔNG hiển thị banner") — hành vi block ngay hay ở persist chưa rõ theo doc, chỉ assert chắc điểm cuối. · ID cũ: TC-USR-018.</t>
  </si>
  <si>
    <t xml:space="preserve">Check số điện thoại mặc định không bắt đầu bằng 0 bị chặn lưu</t>
  </si>
  <si>
    <t xml:space="preserve">- Tài khoản A là CBNV có hồ sơ đầy đủ trên STG.
- Host app FoxPro đã cài trên thiết bị Android/iOS.
Test Data: SĐT 10 chữ số không bắt đầu bằng 0 "1912345678" (test_data_catalog §USR v1.1)</t>
  </si>
  <si>
    <t xml:space="preserve">1. Đăng nhập FoxEco từ host app FoxPro bằng tài khoản A. (setup)
2. Nhấn tab "Cá nhân" ở bottom nav. (setup)
3. Nhấn mục menu "Cập nhật thông tin". (setup)
4. Nhập "1912345678" vào field "Số điện thoại mặc định".
5. Nhấn nút "Lưu thay đổi".</t>
  </si>
  <si>
    <t xml:space="preserve">Căn cứ: `AC-30.1.02` "10 số, đầu 0" + BA chốt 2026-09-16. · Chuỗi thông báo theo demo `DOC-v1.1-02` — BA xác nhận 2026-09-17 là chuỗi chính thức. · ID cũ: TC-USR-019.</t>
  </si>
  <si>
    <t xml:space="preserve">Check số điện thoại mặc định chứa khoảng trắng bị chặn lưu</t>
  </si>
  <si>
    <t xml:space="preserve">- Tài khoản A là CBNV có hồ sơ đầy đủ trên STG.
- Host app FoxPro đã cài trên thiết bị Android/iOS.
Test Data: "0912 345 678" (test_data_catalog §USR v1.1 — Invalid)</t>
  </si>
  <si>
    <t xml:space="preserve">1. Đăng nhập FoxEco từ host app FoxPro bằng tài khoản A. (setup)
2. Nhấn tab "Cá nhân" ở bottom nav. (setup)
3. Nhấn mục menu "Cập nhật thông tin". (setup)
4. Nhập "0912 345 678" vào field "Số điện thoại mặc định".
5. Nhấn nút "Lưu thay đổi".</t>
  </si>
  <si>
    <t xml:space="preserve">Mục đích: "10 ký tự là số" loại cả dạng hiển thị có khoảng trắng mà demo dùng — dễ bị coi là hợp lệ. · Căn cứ: BA chốt 2026-09-16. · Chuỗi thông báo theo demo `DOC-v1.1-02` — BA xác nhận 2026-09-17 là chuỗi chính thức. · Đã sửa theo §10.4 (2026-09-17): tách khỏi `TC-USR-020` cũ (3 định dạng invalid gộp 1 TC) thành 3 TC riêng, mỗi TC 1 định dạng ở step cuối. · ID cũ: TC-USR-020 (một phần).</t>
  </si>
  <si>
    <t xml:space="preserve">Check số điện thoại mặc định có tiền tố +84 bị chặn lưu</t>
  </si>
  <si>
    <t xml:space="preserve">- Tài khoản A là CBNV có hồ sơ đầy đủ trên STG.
- Host app FoxPro đã cài trên thiết bị Android/iOS.
Test Data: "+84912345678" (test_data_catalog §USR v1.1 — Invalid)</t>
  </si>
  <si>
    <t xml:space="preserve">1. Đăng nhập FoxEco từ host app FoxPro bằng tài khoản A. (setup)
2. Nhấn tab "Cá nhân" ở bottom nav. (setup)
3. Nhấn mục menu "Cập nhật thông tin". (setup)
4. Nhập "+84912345678" vào field "Số điện thoại mặc định".
5. Nhấn nút "Lưu thay đổi".</t>
  </si>
  <si>
    <t xml:space="preserve">Mục đích: định dạng quốc tế +84 không đúng "10 số, đầu 0" — dễ nhầm là hợp lệ vì đúng số quốc gia VN. · Căn cứ: BA chốt 2026-09-16. · Chuỗi thông báo theo demo `DOC-v1.1-02` — BA xác nhận 2026-09-17 là chuỗi chính thức. · TC mới tách theo §10.4 (2026-09-17) từ `TC-USR-020` cũ, không có ID cũ 1-1.</t>
  </si>
  <si>
    <t xml:space="preserve">Check số điện thoại mặc định chứa chữ bị chặn lưu</t>
  </si>
  <si>
    <t xml:space="preserve">- Tài khoản A là CBNV có hồ sơ đầy đủ trên STG.
- Host app FoxPro đã cài trên thiết bị Android/iOS.
Test Data: "09123a5678" (test_data_catalog §USR v1.1 — Invalid)</t>
  </si>
  <si>
    <t xml:space="preserve">1. Đăng nhập FoxEco từ host app FoxPro bằng tài khoản A. (setup)
2. Nhấn tab "Cá nhân" ở bottom nav. (setup)
3. Nhấn mục menu "Cập nhật thông tin". (setup)
4. Nhập "09123a5678" vào field "Số điện thoại mặc định".
5. Nhấn nút "Lưu thay đổi".</t>
  </si>
  <si>
    <t xml:space="preserve">Mục đích: chuỗi lẫn ký tự chữ vào dãy số — kiểm field không chỉ validate độ dài mà cả kiểu ký tự. · Căn cứ: BA chốt 2026-09-16. · Chuỗi thông báo theo demo `DOC-v1.1-02` — BA xác nhận 2026-09-17 là chuỗi chính thức. · TC mới tách theo §10.4 (2026-09-17) từ `TC-USR-020` cũ, không có ID cũ 1-1.</t>
  </si>
  <si>
    <t xml:space="preserve">▬▬  6. Field chỉ đọc từ SSO  ·  1 TC (TC-USR-024)</t>
  </si>
  <si>
    <t xml:space="preserve">REQ-USR-002, REQ-USR-008</t>
  </si>
  <si>
    <t xml:space="preserve">Check avatar, tên, phòng ban, MNV và email trên màn cập nhật chỉ đọc</t>
  </si>
  <si>
    <t xml:space="preserve">- Tài khoản A là CBNV có hồ sơ đầy đủ trên STG.
- Host app FoxPro đã cài trên thiết bị Android/iOS.
Test Data: Trường SSO của tài khoản A (test_data_catalog §USR v1.1 — Trường SSO)</t>
  </si>
  <si>
    <t xml:space="preserve">1. Đăng nhập FoxEco từ host app FoxPro bằng tài khoản A. (setup)
2. Nhấn tab "Cá nhân" ở bottom nav. (setup)
3. Nhấn mục menu "Cập nhật thông tin". (setup)
4. Nhấn vào avatar.
5. Nhấn vào tên.
6. Nhấn vào dòng phòng ban · MNV.
7. Nhấn vào field "Email công ty".
8. Check trạng thái cả 4 thành phần và icon bên phải field "Email công ty".</t>
  </si>
  <si>
    <t xml:space="preserve">8. Không mở màn/popup đổi ảnh, không xuất hiện field nhập liệu hay bàn phím ở cả 4 lần nhấn; avatar, tên, dòng phòng ban · MNV và email đều giữ nguyên; icon bên phải field "Email công ty" hiển thị icon khiên.</t>
  </si>
  <si>
    <t xml:space="preserve">FE-295, FE-297</t>
  </si>
  <si>
    <t xml:space="preserve">Căn cứ: `BR15-01` + `AC-30.2.01`; avatar theo `C-USR-05(a)`. Icon khiên theo UI — BA chốt 2026-09-16; PRD ghi "icon khoá" ⇒ lệch chữ PRD, báo BA sửa PRD, ⛔ không đổi TC. · Đã sửa theo §10.4 (2026-09-17): gộp 5 điểm kiểm (4 field chỉ đọc + icon khiên) vào 1 step Check cuối + 1 Expected duy nhất. · ID cũ: TC-USR-021.</t>
  </si>
  <si>
    <t xml:space="preserve">▬▬  7. Truy vết hai chiều với đơn  ·  2 TC (TC-USR-025…TC-USR-026)</t>
  </si>
  <si>
    <t xml:space="preserve">Check đổi số điện thoại và địa chỉ mặc định không làm đổi đơn đã đăng trước đó</t>
  </si>
  <si>
    <t xml:space="preserve">- Tài khoản A và B là 2 CBNV khác nhau trên STG.
- Host app FoxPro đã cài trên thiết bị Android/iOS.
Test Data: SĐT mới "0987654321"; văn phòng K4 "363 Nguyễn Hữu Thọ,Cẩm Lệ" (04_test-data/valid/USR-office-catalog.md); đơn tạo TRƯỚC khi sửa hồ sơ (test_data_catalog §USR v1.1)</t>
  </si>
  <si>
    <t xml:space="preserve">1. Đăng nhập FoxEco từ host app FoxPro bằng tài khoản A. (setup)
2. Đăng 1 tin NEED qua wizard "Đăng tin", khai tài khoản B là người nhận, giữ nguyên số điện thoại người gửi và địa chỉ lấy hàng được điền sẵn. (setup)
3. Mở màn Theo dõi đơn của tin vừa đăng. (setup)
4. Ghi lại số điện thoại người gửi và địa chỉ lấy hàng hiển thị trên màn Theo dõi đơn.
5. Nhấn tab "Cá nhân" ở bottom nav. (setup)
6. Nhấn mục menu "Cập nhật thông tin". (setup)
7. Nhập "0987654321" vào field "Số điện thoại mặc định".
8. Nhập "Cẩm Lệ" vào field "Địa chỉ mặc định".
9. Chọn "363 Nguyễn Hữu Thọ,Cẩm Lệ" trong danh sách gợi ý.
10. Nhấn nút "Lưu thay đổi".
11. Nhấn tab "Hoạt động" ở bottom nav.
12. Nhấn card của tin đã đăng ở bước 2 để mở màn Theo dõi đơn.
13. Check số điện thoại người gửi và địa chỉ lấy hàng.</t>
  </si>
  <si>
    <t xml:space="preserve">13. Số điện thoại người gửi và địa chỉ lấy hàng trùng đúng giá trị đã ghi ở bước 4.</t>
  </si>
  <si>
    <t xml:space="preserve">Mục đích: `RISK-USR-07` — nhóm rule truy vết mà app đã vi phạm 1 lần; chạy cùng lô với `SC-CNL-010` · `SC-ORD-065` · `SC-DLV-062`, cùng vỡ ⇒ 1 bug report cho nguyên nhân gốc. · Căn cứ: `BR15-03` + `AC-30.2.02`. Nếu SĐT người gửi hoặc giá trị bước 4 trùng test data thì đổi giá trị khác trong catalog. Giả định màn Theo dõi đơn hiển thị SĐT người gửi cho chính người đăng — nếu không hiển thị thì đối chiếu ở màn chi tiết tin, không coi là FAIL của TC này. · Đã sửa theo §10.4 (2026-09-17): bỏ steps mở wizard mới để check giá trị điền sẵn (vế thứ 2 của `AC-30.2.02`) — vế đó trùng phạm vi "wizard nhận đúng giá trị prefill" đã có home ở `SC-ORD-025` (Analyst Note gốc: ⛔ không nhân bản SC). TC này giữ đúng 1 điểm kiểm ở step cuối: đơn cũ không bị ghi đè. · ID cũ: TC-USR-022.</t>
  </si>
  <si>
    <t xml:space="preserve">Check sửa số điện thoại người gửi và địa chỉ lấy hàng trong đơn không ghi đè hồ sơ</t>
  </si>
  <si>
    <t xml:space="preserve">- Tài khoản A và B là 2 CBNV khác nhau trên STG.
- Host app FoxPro đã cài trên thiết bị Android/iOS.
Test Data: SĐT/địa chỉ nhập trong đơn khác hồ sơ (test_data_catalog §USR v1.1 — Cặp giá trị TRƯỚC/SAU)</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</si>
  <si>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Mở wizard "Đăng tin" loại NEED, khai tài khoản B là người nhận và đi tới bước có field số điện thoại người gửi và địa chỉ lấy hàng. (setup)
6. Nhập "0987654321" vào field số điện thoại người gửi.
7. Nhập "Tòa V-City, Lê Thái Tổ" vào field địa chỉ lấy hàng.
8. Hoàn tất các bước còn lại của wizard và nhấn đăng tin. (setup)
9. Nhấn tab "Cá nhân" ở bottom nav. (setup)
10. Nhấn mục menu "Cập nhật thông tin".
11. Check field "Số điện thoại mặc định" và field "Địa chỉ mặc định".</t>
  </si>
  <si>
    <t xml:space="preserve">11. Field "Số điện thoại mặc định" và field "Địa chỉ mặc định" trùng đúng giá trị đã ghi ở bước 4; không hiển thị "0987654321" hay "Tòa V-City, Lê Thái Tổ".</t>
  </si>
  <si>
    <t xml:space="preserve">Căn cứ: `BR15-04` + `AC-30.1.01` "sửa trong từng đơn mà không ghi lại hồ sơ". Vế "wizard nhận đúng giá trị điền sẵn" kiểm ở `SC-ORD-025`, không lặp ở đây. Nếu field địa chỉ lấy hàng chỉ cho chọn từ danh sách thì chọn "Tòa V-City, Lê Thái Tổ" trong danh sách gợi ý. Nếu giá trị bước 4 trùng test data thì đổi giá trị khác.</t>
  </si>
  <si>
    <t xml:space="preserve">▬▬  8. Địa chỉ mặc định — rỗng và gõ tay  ·  3 TC (TC-USR-028…TC-USR-030)</t>
  </si>
  <si>
    <t xml:space="preserve">Check địa chỉ gõ tay không chọn gợi ý bị xoá rỗng khi rời field</t>
  </si>
  <si>
    <t xml:space="preserve">- Tài khoản A là CBNV có hồ sơ đầy đủ trên STG.
- Host app FoxPro đã cài trên thiết bị Android/iOS.
Test Data: Văn phòng K3 "Tòa V-City, Lê Thái Tổ" (setup) · chuỗi gõ tay K7 "asdfghjkl1" (04_test-data/valid/USR-office-catalog.md)</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</si>
  <si>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6. Nhấn vào vùng trống bên ngoài field "Địa chỉ mặc định".</t>
  </si>
  <si>
    <t xml:space="preserve">6. Field "Địa chỉ mặc định" trở về rỗng; trong lúc gõ ở bước 5 không hiển thị danh sách gợi ý.</t>
  </si>
  <si>
    <t xml:space="preserve">Mục đích: kết quả phản trực giác — gõ tay không chọn thì bị xoá thay vì giữ chuỗi đã gõ. · Căn cứ: BA chốt 2026-09-16 (rời field không chọn ⇒ rỗng). Demo cho gõ tự do ⇒ STG giống demo thì log bug. · Đã sửa theo §10.4 (2026-09-17): tách khỏi `TC-USR-025` cũ (4 điểm kiểm gộp 1 TC) — TC này giữ điểm "rời field ⇒ rỗng"; điểm "lưu rỗng thành công" và "mở lại vẫn rỗng" tách sang `TC-USR-029`/`030`. · ID cũ: TC-USR-025 (một phần).</t>
  </si>
  <si>
    <t xml:space="preserve">Check để trống địa chỉ mặc định sau khi xoá vẫn lưu được</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</si>
  <si>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t>
  </si>
  <si>
    <t xml:space="preserve">7. Hiển thị banner xanh "Đã lưu thông tin của bạn"; để trống địa chỉ mặc định vẫn lưu được.</t>
  </si>
  <si>
    <t xml:space="preserve">Mục đích: BA chốt "cho phép để trống" — TC này chứng minh rỗng không bị chặn lưu như SĐT. · Căn cứ: BA chốt 2026-09-16. · TC mới tách theo §10.4 (2026-09-17) từ `TC-USR-025` cũ, không có ID cũ 1-1.</t>
  </si>
  <si>
    <t xml:space="preserve">Check địa chỉ mặc định đã lưu rỗng vẫn rỗng sau khi mở lại, không tự load lại HRIS</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</si>
  <si>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 (setup)
8. Nhấn nút "←". (setup)
9. Nhấn mục menu "Cập nhật thông tin".
10. Check field "Địa chỉ mặc định".</t>
  </si>
  <si>
    <t xml:space="preserve">10. Field "Địa chỉ mặc định" rỗng; không tự điền lại địa chỉ làm việc từ HRIS.</t>
  </si>
  <si>
    <t xml:space="preserve">Mục đích: kết quả phản trực giác — lưu rỗng xong mở lại vẫn rỗng, không tự lấy lại HRIS; đây là bẫy dễ bỏ sót nhất trong nhóm (Analyst Note `SC-USR-020`). Demo cho gõ tự do ⇒ STG giống demo thì log bug. · Đã sửa theo §10.4 (2026-09-17): tách khỏi `TC-USR-025` cũ, giữ đúng điểm kiểm quan trọng nhất của cả nhóm ở step cuối. · ID cũ: TC-USR-025 (một phần — điểm kiểm chính).</t>
  </si>
  <si>
    <t xml:space="preserve">▬▬  9. Gợi ý văn phòng  ·  9 TC (TC-USR-031…TC-USR-039)</t>
  </si>
  <si>
    <t xml:space="preserve">Check nhập 2 ký tự chưa hiển thị gợi ý văn phòng</t>
  </si>
  <si>
    <t xml:space="preserve">- Tài khoản A là CBNV có hồ sơ đầy đủ trên STG.
- Host app FoxPro đã cài trên thiết bị Android/iOS.
Test Data: K1 "fp"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</si>
  <si>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"fp" vào field "Địa chỉ mặc định".</t>
  </si>
  <si>
    <t xml:space="preserve">5. Không hiển thị danh sách gợi ý.</t>
  </si>
  <si>
    <t xml:space="preserve">Mục đích: cặp biên 2/3 ký tự — vế biên dưới (2 ký tự, chưa đủ ngưỡng), đối chứng với `TC-USR-032`. · Căn cứ: BA chốt 2026-09-16 (gợi ý từ 3 ký tự). · Đã sửa theo §10.4 (2026-09-17): tách khỏi `TC-USR-026` cũ thành 2 TC theo từng vế biên. · ID cũ: TC-USR-026 (một phần).</t>
  </si>
  <si>
    <t xml:space="preserve">Check nhập đủ 3 ký tự hiển thị đúng danh sách gợi ý văn phòng</t>
  </si>
  <si>
    <t xml:space="preserve">- Tài khoản A là CBNV có hồ sơ đầy đủ trên STG.
- Host app FoxPro đã cài trên thiết bị Android/iOS.
Test Data: K2 "fpt"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</si>
  <si>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"fpt" vào field "Địa chỉ mặc định".</t>
  </si>
  <si>
    <t xml:space="preserve">5. Danh sách gợi ý hiển thị đúng 8 văn phòng: "Tầng 20, FPT Tower", "Tầng 19, FPT Tower", "Tầng 8, FPT Tower", "Tầng 9, FPT Tower", "FPT Cầu Giấy", "Tầng 17,18 FPT Tower", "Lô A4-1, KĐT Công nghệ FPT", "ĐH FPT, KĐT An Phú Thịnh".</t>
  </si>
  <si>
    <t xml:space="preserve">Mục đích: cặp biên 2/3 ký tự — vế biên trên (đủ ngưỡng, khớp nhiều), đối chứng với `TC-USR-031`. · Căn cứ: BA chốt 2026-09-16; danh sách kỳ vọng đối chiếu `DOC-v1.1-04` cột `name`. · TC mới tách theo §10.4 (2026-09-17) từ `TC-USR-026` cũ, không có ID cũ 1-1.</t>
  </si>
  <si>
    <t xml:space="preserve">Check chọn 1 văn phòng trong gợi ý điền đúng tên văn phòng vào field</t>
  </si>
  <si>
    <t xml:space="preserve">- Tài khoản A là CBNV có hồ sơ đầy đủ trên STG.
- Host app FoxPro đã cài trên thiết bị Android/iOS.
Test Data: K3 "Lê Thái Tổ"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</si>
  <si>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"Lê Thái Tổ" vào field "Địa chỉ mặc định".
6. Check danh sách gợi ý.
7. Chọn "Tòa V-City, Lê Thái Tổ" trong danh sách gợi ý.
8. Nhấn vào vùng trống bên ngoài field "Địa chỉ mặc định".</t>
  </si>
  <si>
    <t xml:space="preserve">8. Field "Địa chỉ mặc định" hiển thị đúng chuỗi "Tòa V-City, Lê Thái Tổ", không bị xoá rỗng.</t>
  </si>
  <si>
    <t xml:space="preserve">Mục đích: đối chứng dương cho `TC-USR-028` — chọn từ gợi ý thì rời field vẫn giữ giá trị. · Căn cứ: BA chốt 2026-09-16 (chọn ⇒ điền chuỗi `name` của `DOC-v1.1-04`). · Đã sửa theo §10.4 (2026-09-17): bỏ dòng Expected ở step 6 (danh sách hiển thị 1 văn phòng) — việc chọn được đúng văn phòng ở step 7 đã ngầm xác nhận nó có trong danh sách; giữ đúng 1 điểm kiểm ở step cuối. · ID cũ: TC-USR-027.</t>
  </si>
  <si>
    <t xml:space="preserve">Check gợi ý văn phòng khớp đúng khi nhập có dấu</t>
  </si>
  <si>
    <t xml:space="preserve">- Tài khoản A là CBNV có hồ sơ đầy đủ trên STG.
- Host app FoxPro đã cài trên thiết bị Android/iOS.
Test Data: K4 "Cẩm Lệ"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</si>
  <si>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"Cẩm Lệ" vào field "Địa chỉ mặc định".</t>
  </si>
  <si>
    <t xml:space="preserve">5. Danh sách gợi ý hiển thị đúng 2 văn phòng "363 Nguyễn Hữu Thọ,Cẩm Lệ" và "36 Nhơn Hòa 4, Cẩm Lệ".</t>
  </si>
  <si>
    <t xml:space="preserve">Căn cứ: BA chốt 2026-09-16 (không phân biệt dấu + hoa thường) — vế có dấu, đối chứng với `TC-USR-035`/`036` (không dấu thường/hoa). · Đã sửa theo §10.4 (2026-09-17): tách khỏi `TC-USR-028` cũ (3 biến thể gộp 1 TC) thành 3 TC riêng, mỗi biến thể 1 TC. · ID cũ: TC-USR-028 (một phần).</t>
  </si>
  <si>
    <t xml:space="preserve">Check gợi ý văn phòng khớp đúng khi nhập chữ thường không dấu</t>
  </si>
  <si>
    <t xml:space="preserve">- Tài khoản A là CBNV có hồ sơ đầy đủ trên STG.
- Host app FoxPro đã cài trên thiết bị Android/iOS.
Test Data: K4 "cam le"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</si>
  <si>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</si>
  <si>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Căn cứ: BA chốt 2026-09-16 (không phân biệt dấu + hoa thường) — vế chữ thường không dấu, đối chứng với `TC-USR-034`/`036`. · TC mới tách theo §10.4 (2026-09-17) từ `TC-USR-028` cũ, không có ID cũ 1-1.</t>
  </si>
  <si>
    <t xml:space="preserve">Check gợi ý văn phòng khớp đúng khi nhập chữ hoa không dấu</t>
  </si>
  <si>
    <t xml:space="preserve">- Tài khoản A là CBNV có hồ sơ đầy đủ trên STG.
- Host app FoxPro đã cài trên thiết bị Android/iOS.
Test Data: K4 "CAM LE"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</si>
  <si>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</si>
  <si>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Căn cứ: BA chốt 2026-09-16 (không phân biệt dấu + hoa thường) — vế chữ hoa không dấu, đối chứng với `TC-USR-034`/`035`. · TC mới tách theo §10.4 (2026-09-17) từ `TC-USR-028` cũ, không có ID cũ 1-1.</t>
  </si>
  <si>
    <t xml:space="preserve">Check gợi ý văn phòng khớp theo kiểu chứa chuỗi kể cả giữa từ</t>
  </si>
  <si>
    <t xml:space="preserve">- Tài khoản A là CBNV có hồ sơ đầy đủ trên STG.
- Host app FoxPro đã cài trên thiết bị Android/iOS.
Test Data: K8 "tan" — 36 văn phòng khớp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</si>
  <si>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"tan" vào field "Địa chỉ mặc định".</t>
  </si>
  <si>
    <t xml:space="preserve">5. Danh sách gợi ý có văn phòng "Tầng 20, FPT Tower" và văn phòng "14 NVY,Phú Thọ Hòa,Tân Phú".</t>
  </si>
  <si>
    <t xml:space="preserve">Mục đích: "Tầng" chỉ khớp khi so kiểu chứa chuỗi — app khớp theo đầu từ sẽ thiếu mục này. · Căn cứ: BA chốt 2026-09-16 (chứa chuỗi); tổng 36 văn phòng theo `DOC-v1.1-04`. · ID cũ: TC-USR-029.</t>
  </si>
  <si>
    <t xml:space="preserve">Check từ khoá không khớp văn phòng nào không hiển thị gợi ý</t>
  </si>
  <si>
    <t xml:space="preserve">- Tài khoản A là CBNV có hồ sơ đầy đủ trên STG.
- Host app FoxPro đã cài trên thiết bị Android/iOS.
Test Data: K5 "xyz"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</si>
  <si>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"xyz" vào field "Địa chỉ mặc định".</t>
  </si>
  <si>
    <t xml:space="preserve">5. Không hiển thị danh sách gợi ý và không hiển thị dòng thông báo nào.</t>
  </si>
  <si>
    <t xml:space="preserve">Căn cứ: BA chốt 2026-09-16 ("không có thì không gợi ý"). · ID cũ: TC-USR-030.</t>
  </si>
  <si>
    <t xml:space="preserve">Check gợi ý chỉ tìm theo tên văn phòng, không theo mã tỉnh</t>
  </si>
  <si>
    <t xml:space="preserve">- Tài khoản A là CBNV có hồ sơ đầy đủ trên STG.
- Host app FoxPro đã cài trên thiết bị Android/iOS.
Test Data: K6 "hcm"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</si>
  <si>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"hcm" vào field "Địa chỉ mặc định".</t>
  </si>
  <si>
    <t xml:space="preserve">Mục đích: `DOC-v1.1-04` có cột `search_alias_text` chứa mã tỉnh ("hcm …") — app tìm nhầm cột này sẽ ra 34 văn phòng HCM ⇒ log bug. · Căn cứ: BA chốt 2026-09-16 (tìm theo tên văn phòng). · ID cũ: TC-USR-031.</t>
  </si>
  <si>
    <t xml:space="preserve">▬▬  10. Nguồn HRIS lần đầu mở màn  ·  5 TC (TC-USR-040…TC-USR-044)</t>
  </si>
  <si>
    <t xml:space="preserve">Check lần đầu mở màn cập nhật địa chỉ mặc định điền sẵn từ HRIS</t>
  </si>
  <si>
    <t xml:space="preserve">- Tài khoản C là CBNV chưa từng lưu thông tin ở màn "Cập nhật thông tin".
- HRIS có địa chỉ làm việc của tài khoản C (giá trị đã biết).
- Host app FoxPro đã cài trên thiết bị Android/iOS.
Test Data: Tài khoản C = `FOXECO_STG_USER_C` (MNV 00041796); địa chỉ HRIS `HCM LôB3,E-Office,KCN TânThuận` ⇒ kỳ vọng prefill chuỗi `name` **`LôB3,E-Office,KCN TânThuận`** (`DOC-v1.1-04`) — `04_test-data/valid/USR-accounts.md`</t>
  </si>
  <si>
    <t xml:space="preserve">1. Đăng nhập FoxEco từ host app FoxPro bằng tài khoản C. (setup)
2. Nhấn tab "Cá nhân" ở bottom nav. (setup)
3. Nhấn mục menu "Cập nhật thông tin".
4. Nhấn vào field "Địa chỉ mặc định".
5. Check field "Địa chỉ mặc định".</t>
  </si>
  <si>
    <t xml:space="preserve">5. Field hiển thị đúng địa chỉ làm việc của tài khoản C trên HRIS và cho phép nhập (con trỏ, bàn phím xuất hiện).</t>
  </si>
  <si>
    <t xml:space="preserve">Căn cứ: BA chốt 2026-09-16 (mặc định load HRIS, cho sửa) + §8.15.2 "địa chỉ làm việc trong hồ sơ". ⛔ Chạy trước mọi TC lưu hồ sơ trên tài khoản C. · ✅ Test data đã có 2026-09-18 (`DOC-v1.1-05`). ⚠️ HRIS trả **mã tỉnh + tên VP** (`HCM LôB3,...`) còn catalog `name` không có tiền tố `HCM` — app hiện nguyên tiền tố thì **ghi nhận + hỏi BA**, ⛔ chưa kết luận bug. · Đã sửa theo §10.4 (2026-09-17): đổi thứ tự step 4/5 và gộp 2 điểm kiểm (giá trị HRIS + cho phép sửa) vào 1 Expected ở step cuối. · ID cũ: TC-USR-032.</t>
  </si>
  <si>
    <t xml:space="preserve">Check địa chỉ mặc định rỗng khi HRIS không có địa chỉ làm việc</t>
  </si>
  <si>
    <t xml:space="preserve">- Tài khoản D là CBNV chưa từng lưu thông tin ở màn "Cập nhật thông tin".
- HRIS không có địa chỉ làm việc của tài khoản D.
- Host app FoxPro đã cài trên thiết bị Android/iOS.
Test Data: 🚫 **KHÔNG CÓ DATA VÀ KHÔNG THỂ CÓ** — HRIS bắt buộc địa chỉ làm việc khi tạo nhân viên (QC chốt 2026-09-18) ⇒ không tồn tại CBNV HRIS trống địa chỉ. TC `DESCOPED`, ⛔ không chạy (§0.1)</t>
  </si>
  <si>
    <t xml:space="preserve">1. Đăng nhập FoxEco từ host app FoxPro bằng tài khoản D. (setup)
2. Nhấn tab "Cá nhân" ở bottom nav. (setup)
3. Nhấn mục menu "Cập nhật thông tin".
4. Check field "Địa chỉ mặc định".</t>
  </si>
  <si>
    <t xml:space="preserve">4. Field "Địa chỉ mặc định" rỗng.</t>
  </si>
  <si>
    <t xml:space="preserve">🚫 **DESCOPED 2026-09-18 (QC chốt)** — HRIS bắt buộc SĐT + địa chỉ làm việc khi tạo nhân viên ⇒ nhánh "HRIS trống" **không xảy ra trong thực tế, không seed được data**. ⛔ Không chạy, ⛔ không tính vào mẫu số coverage, ⛔ không thay bằng tài khoản khác. Xem §0.1. · Căn cứ: BA chốt 2026-09-16 ("HRIS không có địa chỉ thì để trống"). ⛔ Chạy trước mọi TC lưu hồ sơ trên tài khoản D. · 🔴 **BLOCKED 2026-09-18** — chưa có tài khoản vai D, ⛔ không PASS/FAIL bằng tài khoản khác. · ID cũ: TC-USR-033.</t>
  </si>
  <si>
    <t xml:space="preserve">DOC-v1.1-01 · DOC-v1.1-04 · DOC-v1.1-05</t>
  </si>
  <si>
    <t xml:space="preserve">Check địa chỉ mặc định đã lưu được giữ sau khi mở lại FoxEco, không bị HRIS ghi đè</t>
  </si>
  <si>
    <t xml:space="preserve">- Tài khoản A là CBNV có hồ sơ đầy đủ trên STG.
- HRIS có địa chỉ làm việc của tài khoản A khác "Tòa V-City, Lê Thái Tổ".
- Host app FoxPro đã cài trên thiết bị Android/iOS.
Test Data: K3 "Tòa V-City, Lê Thái Tổ" (04_test-data/valid/USR-office-catalog.md)</t>
  </si>
  <si>
    <t xml:space="preserve">1. Đăng nhập FoxEco từ host app FoxPro bằng tài khoản A. (setup)
2. Nhấn tab "Cá nhân" ở bottom nav. (setup)
3. Nhấn mục menu "Cập nhật thông tin". (setup)
4. Nhập "Lê Thái Tổ" vào field "Địa chỉ mặc định". (setup)
5. Chọn "Tòa V-City, Lê Thái Tổ" trong danh sách gợi ý. (setup)
6. Nhấn nút "Lưu thay đổi". (setup)
7. Nhấn nút back của thiết bị cho tới khi quay về màn chính của host app FoxPro.
8. Mở lại FoxEco từ host app FoxPro.
9. Nhấn tab "Cá nhân" ở bottom nav.
10. Nhấn mục menu "Cập nhật thông tin".
11. Check field "Địa chỉ mặc định".</t>
  </si>
  <si>
    <t xml:space="preserve">11. Field "Địa chỉ mặc định" hiển thị "Tòa V-City, Lê Thái Tổ", không hiển thị địa chỉ làm việc trên HRIS.</t>
  </si>
  <si>
    <t xml:space="preserve">✅ Tiền đề đã thoả 2026-09-18: HRIS của A = `HCM LôB3,E-Office,KCN TânThuận` ≠ `Tòa V-City, Lê Thái Tổ` (`DOC-v1.1-05`). · Mục đích: đối chứng với `TC-USR-040` — thứ tự ưu tiên "đã lưu &gt; HRIS &gt; rỗng"; thoát hẳn FoxEco để loại trừ giá trị còn trong phiên. · Căn cứ: BA chốt 2026-09-16 ("đã cập nhật trước đó vào lại sẽ thấy data cũ"). · ID cũ: TC-USR-034.</t>
  </si>
  <si>
    <t xml:space="preserve">Check lần đầu mở màn cập nhật số điện thoại mặc định điền sẵn từ HRIS</t>
  </si>
  <si>
    <t xml:space="preserve">- Tài khoản C là CBNV chưa từng lưu thông tin ở màn "Cập nhật thông tin".
- HRIS có số điện thoại của tài khoản C (giá trị đã biết).
- Host app FoxPro đã cài trên thiết bị Android/iOS.
Test Data: Tài khoản C = `FOXECO_STG_USER_C`; SĐT HRIS đọc từ `00_input/v1.1/datatest` (`DOC-v1.1-05`, local — ⛔ không chép vào TC/evidence), định dạng 10 số đầu 0 ⇒ hợp lệ theo `BR15-02`</t>
  </si>
  <si>
    <t xml:space="preserve">1. Đăng nhập FoxEco từ host app FoxPro bằng tài khoản C. (setup)
2. Nhấn tab "Cá nhân" ở bottom nav. (setup)
3. Nhấn mục menu "Cập nhật thông tin".
4. Nhấn vào field "Số điện thoại mặc định".
5. Check field "Số điện thoại mặc định".</t>
  </si>
  <si>
    <t xml:space="preserve">5. Field hiển thị đúng số điện thoại của tài khoản C trên HRIS và cho phép nhập (con trỏ, bàn phím xuất hiện).</t>
  </si>
  <si>
    <t xml:space="preserve">Căn cứ: BA chốt 2026-09-16 ("SĐT mặc định từ HRIS") + §8.15.2 "số điện thoại hiện tại". Có thể chạy cùng phiên với `TC-USR-040` trên tài khoản C. · ✅ Test data đã có 2026-09-18 (`DOC-v1.1-05`). 🕐 SĐT HRIS mới cập nhật 18/09, FoxEco có thể chỉ đồng bộ **sau** 18/09 ⇒ chạy từ 19/09; lệch đúng ngày 18/09 ⇒ ghi `BLOCKED`, ⛔ không log bug. · Đã sửa theo §10.4 (2026-09-17): đổi thứ tự step 4/5 và gộp 2 điểm kiểm vào 1 Expected ở step cuối. · ID cũ: TC-USR-035.</t>
  </si>
  <si>
    <t xml:space="preserve">Check HRIS không có số điện thoại thì field rỗng và nhấn lưu bị chặn</t>
  </si>
  <si>
    <t xml:space="preserve">- Tài khoản D là CBNV chưa từng lưu thông tin ở màn "Cập nhật thông tin".
- HRIS không có số điện thoại của tài khoản D.
- Host app FoxPro đã cài trên thiết bị Android/iOS.
Test Data: 🚫 **KHÔNG CÓ DATA VÀ KHÔNG THỂ CÓ** — HRIS bắt buộc SĐT khi tạo nhân viên (QC chốt 2026-09-18) ⇒ không tồn tại CBNV HRIS trống SĐT. TC `DESCOPED`, ⛔ không chạy (§0.1)</t>
  </si>
  <si>
    <t xml:space="preserve">1. Đăng nhập FoxEco từ host app FoxPro bằng tài khoản D. (setup)
2. Nhấn tab "Cá nhân" ở bottom nav. (setup)
3. Nhấn mục menu "Cập nhật thông tin".
4. Check field "Số điện thoại mặc định".
5. Nhấn nút "Lưu thay đổi".</t>
  </si>
  <si>
    <t xml:space="preserve">🚫 **DESCOPED 2026-09-18 (QC chốt)** — HRIS bắt buộc SĐT + địa chỉ làm việc khi tạo nhân viên ⇒ nhánh "HRIS trống" **không xảy ra trong thực tế, không seed được data**. ⛔ Không chạy, ⛔ không tính vào mẫu số coverage, ⛔ không thay bằng tài khoản khác. Xem §0.1. Vế *"SĐT rỗng ⇒ Lưu bị chặn"* vẫn phủ bởi `TC-USR-017`. · Mục đích: hệ quả phản trực giác — người dùng không lưu được cả địa chỉ nếu chưa nhập SĐT. · Căn cứ: BA chốt 2026-09-16 + `BR15-02` (SĐT bắt buộc). Có thể chạy cùng phiên với `TC-USR-041` trên tài khoản D. · 🔴 **BLOCKED 2026-09-18** — chưa có tài khoản vai D, ⛔ không PASS/FAIL bằng tài khoản khác. · Đã sửa theo §10.4 (2026-09-17): bỏ dòng Expected ở step 4 (field rỗng) — giữ như 1 quan sát thường trong Steps, chỉ assert chính thức ở step cuối (Lưu bị chặn). · ID cũ: TC-USR-036.</t>
  </si>
  <si>
    <t xml:space="preserve">▬▬  11. Thoát màn khi chưa lưu  ·  2 TC (TC-USR-045…TC-USR-046)</t>
  </si>
  <si>
    <t xml:space="preserve">Check nhấn quay lại khi chưa lưu không hiển thị hộp thoại xác nhận</t>
  </si>
  <si>
    <t xml:space="preserve">- Tài khoản A là CBNV có hồ sơ đầy đủ trên STG.
- Host app FoxPro đã cài trên thiết bị Android/iOS.
Test Data: SĐT "0987654321"; văn phòng "36 Nhơn Hòa 4, Cẩm Lệ" (04_test-data/valid/USR-office-catalog.md K4)</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</si>
  <si>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"Cẩm Lệ" vào field "Địa chỉ mặc định".
7. Chọn "36 Nhơn Hòa 4, Cẩm Lệ" trong danh sách gợi ý.
8. Nhấn nút "←".</t>
  </si>
  <si>
    <t xml:space="preserve">8. Quay về trang "Cá nhân" ngay, không hiển thị hộp thoại xác nhận nào.</t>
  </si>
  <si>
    <t xml:space="preserve">Căn cứ: BA chốt 2026-09-16 ("không lưu, không hiện xác nhận") — vế (1) không có hộp thoại chặn đường ra. · Đã sửa theo §10.4 (2026-09-17): tách khỏi `TC-USR-037` cũ — vế "giá trị chưa lưu bị bỏ" tách sang `TC-USR-046`. · ID cũ: TC-USR-037 (một phần).</t>
  </si>
  <si>
    <t xml:space="preserve">Check thoát màn khi chưa lưu bỏ thay đổi không giữ bản nháp</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</si>
  <si>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"Cẩm Lệ" vào field "Địa chỉ mặc định". (setup)
7. Chọn "36 Nhơn Hòa 4, Cẩm Lệ" trong danh sách gợi ý. (setup)
8. Nhấn nút "←". (setup)
9. Nhấn mục menu "Cập nhật thông tin".
10. Check field "Số điện thoại mặc định" và field "Địa chỉ mặc định".</t>
  </si>
  <si>
    <t xml:space="preserve">10. Field "Số điện thoại mặc định" và field "Địa chỉ mặc định" trùng đúng giá trị đã ghi ở bước 4 — thay đổi chưa lưu bị bỏ, không giữ lại dạng bản nháp.</t>
  </si>
  <si>
    <t xml:space="preserve">Căn cứ: BA chốt 2026-09-16 — vế (2) giá trị chưa lưu không bị lưu ngầm/giữ nháp. Demo giữ bản nháp khi mở lại màn (đọc code `DOC-v1.1-02`) ⇒ STG giống demo thì log bug, ⛔ không dùng demo làm oracle. · Đã sửa theo §10.4 (2026-09-17): tách khỏi `TC-USR-037` cũ, giữ đúng 1 điểm kiểm ở step cuối. Nếu giá trị bước 4 trùng test data thì đổi giá trị khác. · ID cũ: TC-USR-037 (một phần — điểm kiểm chính).</t>
  </si>
</sst>
</file>

<file path=xl/styles.xml><?xml version="1.0" encoding="utf-8"?>
<styleSheet xmlns="http://schemas.openxmlformats.org/spreadsheetml/2006/main">
  <numFmts count="6">
    <numFmt numFmtId="164" formatCode="General"/>
    <numFmt numFmtId="165" formatCode="d\/m\/yy"/>
    <numFmt numFmtId="166" formatCode="0.0"/>
    <numFmt numFmtId="167" formatCode="0"/>
    <numFmt numFmtId="168" formatCode="0.0%"/>
    <numFmt numFmtId="169" formatCode="0%"/>
  </numFmts>
  <fonts count="56">
    <font>
      <sz val="11"/>
      <color theme="1"/>
      <name val="Calibri"/>
      <family val="0"/>
      <charset val="1"/>
    </font>
    <font>
      <sz val="10"/>
      <name val="Arial"/>
      <family val="0"/>
    </font>
    <font>
      <sz val="10"/>
      <name val="Arial"/>
      <family val="0"/>
    </font>
    <font>
      <sz val="10"/>
      <name val="Arial"/>
      <family val="0"/>
    </font>
    <font>
      <b val="true"/>
      <sz val="12"/>
      <color rgb="FF808080"/>
      <name val="Arial"/>
      <family val="0"/>
      <charset val="1"/>
    </font>
    <font>
      <b val="true"/>
      <sz val="28"/>
      <color rgb="FFED7D31"/>
      <name val="Arial"/>
      <family val="0"/>
      <charset val="1"/>
    </font>
    <font>
      <b val="true"/>
      <sz val="32"/>
      <color rgb="FF1F1F1F"/>
      <name val="Arial"/>
      <family val="0"/>
      <charset val="1"/>
    </font>
    <font>
      <i val="true"/>
      <sz val="13"/>
      <color rgb="FF2F5496"/>
      <name val="Arial"/>
      <family val="0"/>
      <charset val="1"/>
    </font>
    <font>
      <b val="true"/>
      <sz val="12"/>
      <color rgb="FFFFFFFF"/>
      <name val="Arial"/>
      <family val="0"/>
      <charset val="1"/>
    </font>
    <font>
      <b val="true"/>
      <sz val="12"/>
      <color rgb="FF2F5496"/>
      <name val="Arial"/>
      <family val="0"/>
      <charset val="1"/>
    </font>
    <font>
      <i val="true"/>
      <sz val="11"/>
      <color rgb="FF404040"/>
      <name val="Arial"/>
      <family val="0"/>
      <charset val="1"/>
    </font>
    <font>
      <i val="true"/>
      <sz val="10"/>
      <color rgb="FF808080"/>
      <name val="Arial"/>
      <family val="0"/>
      <charset val="1"/>
    </font>
    <font>
      <sz val="14"/>
      <color theme="1"/>
      <name val="Calibri"/>
      <family val="0"/>
      <charset val="1"/>
    </font>
    <font>
      <b val="true"/>
      <sz val="14"/>
      <color rgb="FFFFFFFF"/>
      <name val="Arial"/>
      <family val="0"/>
      <charset val="1"/>
    </font>
    <font>
      <b val="true"/>
      <sz val="10"/>
      <color rgb="FF1F4E79"/>
      <name val="Arial"/>
      <family val="0"/>
      <charset val="1"/>
    </font>
    <font>
      <sz val="10"/>
      <color rgb="FF000000"/>
      <name val="Arial"/>
      <family val="0"/>
      <charset val="1"/>
    </font>
    <font>
      <b val="true"/>
      <sz val="10"/>
      <color rgb="FFFFFFFF"/>
      <name val="Arial"/>
      <family val="0"/>
      <charset val="1"/>
    </font>
    <font>
      <i val="true"/>
      <sz val="10"/>
      <color rgb="FFFFFFFF"/>
      <name val="Arial"/>
      <family val="0"/>
      <charset val="1"/>
    </font>
    <font>
      <sz val="11"/>
      <color theme="1"/>
      <name val="Arial"/>
      <family val="0"/>
      <charset val="1"/>
    </font>
    <font>
      <b val="true"/>
      <sz val="11"/>
      <color rgb="FFFFFFFF"/>
      <name val="Arial"/>
      <family val="0"/>
      <charset val="1"/>
    </font>
    <font>
      <sz val="11"/>
      <color rgb="FF000000"/>
      <name val="Arial"/>
      <family val="0"/>
      <charset val="1"/>
    </font>
    <font>
      <sz val="11"/>
      <color rgb="FF000000"/>
      <name val="Calibri"/>
      <family val="0"/>
      <charset val="1"/>
    </font>
    <font>
      <b val="true"/>
      <sz val="17"/>
      <color rgb="FF1F4E79"/>
      <name val="Arial"/>
      <family val="0"/>
      <charset val="1"/>
    </font>
    <font>
      <i val="true"/>
      <sz val="9"/>
      <color rgb="FF808080"/>
      <name val="Arial"/>
      <family val="0"/>
      <charset val="1"/>
    </font>
    <font>
      <b val="true"/>
      <sz val="11"/>
      <color rgb="FF000000"/>
      <name val="Arial"/>
      <family val="0"/>
      <charset val="1"/>
    </font>
    <font>
      <b val="true"/>
      <sz val="10"/>
      <color rgb="FF000000"/>
      <name val="Arial"/>
      <family val="0"/>
      <charset val="1"/>
    </font>
    <font>
      <i val="true"/>
      <sz val="9"/>
      <color rgb="FF595959"/>
      <name val="Arial"/>
      <family val="0"/>
      <charset val="1"/>
    </font>
    <font>
      <b val="true"/>
      <sz val="11"/>
      <color rgb="FF1F4E79"/>
      <name val="Arial"/>
      <family val="0"/>
      <charset val="1"/>
    </font>
    <font>
      <u val="single"/>
      <sz val="11"/>
      <color rgb="FF0563C1"/>
      <name val="Calibri"/>
      <family val="0"/>
      <charset val="1"/>
    </font>
    <font>
      <b val="true"/>
      <sz val="11"/>
      <color theme="1"/>
      <name val="Calibri"/>
      <family val="0"/>
      <charset val="1"/>
    </font>
    <font>
      <b val="true"/>
      <sz val="18"/>
      <color rgb="FF757575"/>
      <name val="Calibri"/>
      <family val="2"/>
    </font>
    <font>
      <sz val="10"/>
      <color rgb="FF000000"/>
      <name val="Calibri"/>
      <family val="2"/>
    </font>
    <font>
      <sz val="10"/>
      <color rgb="FF1A1A1A"/>
      <name val="Calibri"/>
      <family val="2"/>
    </font>
    <font>
      <sz val="15"/>
      <color theme="1"/>
      <name val="Calibri"/>
      <family val="0"/>
      <charset val="1"/>
    </font>
    <font>
      <b val="true"/>
      <sz val="15"/>
      <color rgb="FF1F4E79"/>
      <name val="Arial"/>
      <family val="0"/>
      <charset val="1"/>
    </font>
    <font>
      <b val="true"/>
      <sz val="9"/>
      <color rgb="FFFFFFFF"/>
      <name val="Arial"/>
      <family val="0"/>
      <charset val="1"/>
    </font>
    <font>
      <b val="true"/>
      <sz val="11"/>
      <color theme="1"/>
      <name val="Arial"/>
      <family val="0"/>
      <charset val="1"/>
    </font>
    <font>
      <b val="true"/>
      <sz val="9"/>
      <color theme="1"/>
      <name val="Arial"/>
      <family val="0"/>
      <charset val="1"/>
    </font>
    <font>
      <sz val="9"/>
      <color theme="1"/>
      <name val="Arial"/>
      <family val="0"/>
      <charset val="1"/>
    </font>
    <font>
      <sz val="10"/>
      <color theme="1"/>
      <name val="Arial"/>
      <family val="0"/>
      <charset val="1"/>
    </font>
    <font>
      <b val="true"/>
      <sz val="9"/>
      <color rgb="FF1F4E79"/>
      <name val="Arial"/>
      <family val="0"/>
      <charset val="1"/>
    </font>
    <font>
      <sz val="9"/>
      <color rgb="FF404040"/>
      <name val="Arial"/>
      <family val="0"/>
      <charset val="1"/>
    </font>
    <font>
      <b val="true"/>
      <sz val="14"/>
      <color rgb="FF1F4E79"/>
      <name val="Arial"/>
      <family val="0"/>
      <charset val="1"/>
    </font>
    <font>
      <b val="true"/>
      <sz val="13"/>
      <color rgb="FF1F4E79"/>
      <name val="Arial"/>
      <family val="0"/>
      <charset val="1"/>
    </font>
    <font>
      <i val="true"/>
      <sz val="8"/>
      <color rgb="FF808080"/>
      <name val="Arial"/>
      <family val="0"/>
      <charset val="1"/>
    </font>
    <font>
      <i val="true"/>
      <sz val="9"/>
      <color rgb="FF7F7F7F"/>
      <name val="Arial"/>
      <family val="0"/>
      <charset val="1"/>
    </font>
    <font>
      <strike val="true"/>
      <sz val="11"/>
      <color theme="1"/>
      <name val="Calibri"/>
      <family val="0"/>
      <charset val="1"/>
    </font>
    <font>
      <sz val="10"/>
      <color rgb="FF808080"/>
      <name val="Arial"/>
      <family val="0"/>
      <charset val="1"/>
    </font>
    <font>
      <sz val="11"/>
      <color rgb="FF0000FF"/>
      <name val="Arial"/>
      <family val="0"/>
      <charset val="1"/>
    </font>
    <font>
      <sz val="10"/>
      <name val="Arial"/>
      <family val="2"/>
    </font>
    <font>
      <b val="true"/>
      <sz val="10"/>
      <color rgb="FF000000"/>
      <name val="Calibri"/>
      <family val="2"/>
    </font>
    <font>
      <b val="true"/>
      <sz val="9"/>
      <color rgb="FF808080"/>
      <name val="Arial"/>
      <family val="0"/>
      <charset val="1"/>
    </font>
    <font>
      <b val="true"/>
      <sz val="10"/>
      <color rgb="FF808080"/>
      <name val="Arial"/>
      <family val="0"/>
      <charset val="1"/>
    </font>
    <font>
      <sz val="9"/>
      <color rgb="FF808080"/>
      <name val="Arial"/>
      <family val="0"/>
      <charset val="1"/>
    </font>
    <font>
      <b val="true"/>
      <sz val="15"/>
      <color rgb="FF1F1F1F"/>
      <name val="Arial"/>
      <family val="0"/>
      <charset val="1"/>
    </font>
    <font>
      <b val="true"/>
      <sz val="11"/>
      <color rgb="FFC55A11"/>
      <name val="Arial"/>
      <family val="0"/>
      <charset val="1"/>
    </font>
  </fonts>
  <fills count="29">
    <fill>
      <patternFill patternType="none"/>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E7E31"/>
        <bgColor rgb="FFBD925E"/>
      </patternFill>
    </fill>
    <fill>
      <patternFill patternType="solid">
        <fgColor rgb="FFC9A66B"/>
        <bgColor rgb="FFBD925E"/>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9C0006"/>
      </patternFill>
    </fill>
    <fill>
      <patternFill patternType="solid">
        <fgColor rgb="FF70AD47"/>
        <bgColor rgb="FF9BBB59"/>
      </patternFill>
    </fill>
    <fill>
      <patternFill patternType="solid">
        <fgColor rgb="FF7030A0"/>
        <bgColor rgb="FF8064A2"/>
      </patternFill>
    </fill>
    <fill>
      <patternFill patternType="solid">
        <fgColor rgb="FFA8D08D"/>
        <bgColor rgb="FFAAD08E"/>
      </patternFill>
    </fill>
    <fill>
      <patternFill patternType="darkGray">
        <fgColor rgb="FFAAD08E"/>
        <bgColor rgb="FFA8D08D"/>
      </patternFill>
    </fill>
    <fill>
      <patternFill patternType="solid">
        <fgColor rgb="FFE2EFDA"/>
        <bgColor rgb="FFE2EFD9"/>
      </patternFill>
    </fill>
    <fill>
      <patternFill patternType="solid">
        <fgColor rgb="FF2F5496"/>
        <bgColor rgb="FF305496"/>
      </patternFill>
    </fill>
    <fill>
      <patternFill patternType="solid">
        <fgColor rgb="FF8DAADB"/>
        <bgColor rgb="FFA69DB2"/>
      </patternFill>
    </fill>
    <fill>
      <patternFill patternType="solid">
        <fgColor rgb="FFBD925E"/>
        <bgColor rgb="FFC9A66B"/>
      </patternFill>
    </fill>
    <fill>
      <patternFill patternType="solid">
        <fgColor rgb="FFD9E1F2"/>
        <bgColor rgb="FFDDEBF7"/>
      </patternFill>
    </fill>
    <fill>
      <patternFill patternType="solid">
        <fgColor rgb="FFFCE4D6"/>
        <bgColor rgb="FFFFF2CC"/>
      </patternFill>
    </fill>
  </fills>
  <borders count="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14" fillId="6" borderId="1" xfId="0" applyFont="true" applyBorder="true" applyAlignment="true" applyProtection="false">
      <alignment horizontal="left" vertical="center" textRotation="0" wrapText="true" indent="0" shrinkToFit="false"/>
      <protection locked="true" hidden="false"/>
    </xf>
    <xf numFmtId="164" fontId="14" fillId="6" borderId="1" xfId="0" applyFont="true" applyBorder="tru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left" vertical="top" textRotation="0" wrapText="true" indent="0" shrinkToFit="false"/>
      <protection locked="true" hidden="false"/>
    </xf>
    <xf numFmtId="164" fontId="17" fillId="7"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9" fillId="8" borderId="1"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5" fontId="20" fillId="3" borderId="2" xfId="0" applyFont="true" applyBorder="true" applyAlignment="true" applyProtection="false">
      <alignment horizontal="center" vertical="center" textRotation="0" wrapText="true" indent="0" shrinkToFit="false"/>
      <protection locked="true" hidden="false"/>
    </xf>
    <xf numFmtId="166" fontId="20" fillId="3" borderId="1" xfId="0" applyFont="true" applyBorder="true" applyAlignment="true" applyProtection="false">
      <alignment horizontal="center" vertical="bottom" textRotation="0" wrapText="false" indent="0" shrinkToFit="false"/>
      <protection locked="true" hidden="false"/>
    </xf>
    <xf numFmtId="164" fontId="20" fillId="3" borderId="1" xfId="0" applyFont="true" applyBorder="true" applyAlignment="true" applyProtection="false">
      <alignment horizontal="center" vertical="bottom" textRotation="0" wrapText="false" indent="0" shrinkToFit="false"/>
      <protection locked="true" hidden="false"/>
    </xf>
    <xf numFmtId="164" fontId="20" fillId="3" borderId="1" xfId="0" applyFont="true" applyBorder="true" applyAlignment="tru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20" fillId="3" borderId="2"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center" vertical="bottom" textRotation="0" wrapText="false" indent="0" shrinkToFit="false"/>
      <protection locked="true" hidden="false"/>
    </xf>
    <xf numFmtId="164" fontId="21" fillId="3" borderId="1" xfId="0" applyFont="true" applyBorder="true" applyAlignment="true" applyProtection="false">
      <alignment horizontal="general" vertical="bottom" textRotation="0" wrapText="false" indent="0" shrinkToFit="false"/>
      <protection locked="true" hidden="false"/>
    </xf>
    <xf numFmtId="164" fontId="21" fillId="3" borderId="1" xfId="0" applyFont="true" applyBorder="tru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24" fillId="6" borderId="1" xfId="0" applyFont="true" applyBorder="true" applyAlignment="true" applyProtection="false">
      <alignment horizontal="left" vertical="center" textRotation="0" wrapText="true" indent="0" shrinkToFit="false"/>
      <protection locked="true" hidden="false"/>
    </xf>
    <xf numFmtId="164" fontId="20" fillId="9" borderId="1" xfId="0" applyFont="true" applyBorder="true" applyAlignment="true" applyProtection="false">
      <alignment horizontal="left"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5" fontId="20" fillId="9" borderId="1" xfId="0" applyFont="true" applyBorder="true" applyAlignment="true" applyProtection="false">
      <alignment horizontal="left" vertical="center" textRotation="0" wrapText="true" indent="0" shrinkToFit="false"/>
      <protection locked="true" hidden="false"/>
    </xf>
    <xf numFmtId="164" fontId="23" fillId="0" borderId="0" xfId="0" applyFont="true" applyBorder="true" applyAlignment="true" applyProtection="false">
      <alignment horizontal="general" vertical="bottom" textRotation="0" wrapText="false" indent="0" shrinkToFit="false"/>
      <protection locked="true" hidden="false"/>
    </xf>
    <xf numFmtId="164" fontId="25" fillId="5" borderId="1" xfId="0" applyFont="true" applyBorder="true" applyAlignment="true" applyProtection="false">
      <alignment horizontal="left" vertical="center" textRotation="0" wrapText="true" indent="0" shrinkToFit="false"/>
      <protection locked="true" hidden="false"/>
    </xf>
    <xf numFmtId="167" fontId="25" fillId="6" borderId="1" xfId="0" applyFont="true" applyBorder="true" applyAlignment="true" applyProtection="false">
      <alignment horizontal="center" vertical="center" textRotation="0" wrapText="true" indent="0" shrinkToFit="false"/>
      <protection locked="true" hidden="false"/>
    </xf>
    <xf numFmtId="168" fontId="24"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true" indent="0" shrinkToFit="false"/>
      <protection locked="true" hidden="false"/>
    </xf>
    <xf numFmtId="167" fontId="20" fillId="0" borderId="0" xfId="0" applyFont="true" applyBorder="fals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left"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7" fontId="16" fillId="4" borderId="1" xfId="0" applyFont="true" applyBorder="true" applyAlignment="true" applyProtection="false">
      <alignment horizontal="center" vertical="center" textRotation="0" wrapText="true" indent="0" shrinkToFit="false"/>
      <protection locked="true" hidden="false"/>
    </xf>
    <xf numFmtId="168" fontId="16" fillId="4"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left" vertical="center" textRotation="0" wrapText="true" indent="0" shrinkToFit="false"/>
      <protection locked="true" hidden="false"/>
    </xf>
    <xf numFmtId="167" fontId="15" fillId="0" borderId="1" xfId="0" applyFont="true" applyBorder="true" applyAlignment="true" applyProtection="false">
      <alignment horizontal="center" vertical="center" textRotation="0" wrapText="true" indent="0" shrinkToFit="false"/>
      <protection locked="true" hidden="false"/>
    </xf>
    <xf numFmtId="168" fontId="15"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64" fontId="25" fillId="6" borderId="1" xfId="0" applyFont="true" applyBorder="true" applyAlignment="true" applyProtection="false">
      <alignment horizontal="left" vertical="center" textRotation="0" wrapText="true" indent="0" shrinkToFit="false"/>
      <protection locked="true" hidden="false"/>
    </xf>
    <xf numFmtId="168" fontId="25" fillId="6" borderId="1"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left" vertical="center" textRotation="0" wrapText="true" indent="0" shrinkToFit="false"/>
      <protection locked="true" hidden="false"/>
    </xf>
    <xf numFmtId="164" fontId="19" fillId="10" borderId="1" xfId="0" applyFont="true" applyBorder="true" applyAlignment="true" applyProtection="false">
      <alignment horizontal="left" vertical="center" textRotation="0" wrapText="true" indent="0" shrinkToFit="false"/>
      <protection locked="true" hidden="false"/>
    </xf>
    <xf numFmtId="164" fontId="19" fillId="10" borderId="1" xfId="0" applyFont="true" applyBorder="true" applyAlignment="true" applyProtection="false">
      <alignment horizontal="center" vertical="center" textRotation="0" wrapText="false" indent="0" shrinkToFit="false"/>
      <protection locked="true" hidden="false"/>
    </xf>
    <xf numFmtId="164" fontId="20" fillId="11" borderId="1" xfId="0" applyFont="true" applyBorder="true" applyAlignment="true" applyProtection="false">
      <alignment horizontal="left"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false" indent="0" shrinkToFit="false"/>
      <protection locked="true" hidden="false"/>
    </xf>
    <xf numFmtId="168" fontId="20" fillId="11"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6" fillId="0" borderId="0" xfId="0" applyFont="true" applyBorder="true" applyAlignment="true" applyProtection="false">
      <alignment horizontal="general" vertical="bottom" textRotation="0" wrapText="true" indent="0" shrinkToFit="false"/>
      <protection locked="true" hidden="false"/>
    </xf>
    <xf numFmtId="164" fontId="27" fillId="5" borderId="1"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center"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9" fontId="29" fillId="0" borderId="0" xfId="0" applyFont="true" applyBorder="false" applyAlignment="true" applyProtection="false">
      <alignment horizontal="center"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true" applyAlignment="true" applyProtection="false">
      <alignment horizontal="left" vertical="center" textRotation="0" wrapText="true" indent="0" shrinkToFit="false"/>
      <protection locked="true" hidden="false"/>
    </xf>
    <xf numFmtId="164" fontId="0" fillId="12" borderId="1" xfId="0" applyFont="true" applyBorder="true" applyAlignment="true" applyProtection="false">
      <alignment horizontal="general" vertical="bottom" textRotation="0" wrapText="false" indent="0" shrinkToFit="false"/>
      <protection locked="true" hidden="false"/>
    </xf>
    <xf numFmtId="164" fontId="16" fillId="13" borderId="2" xfId="0" applyFont="true" applyBorder="true" applyAlignment="true" applyProtection="false">
      <alignment horizontal="center" vertical="center" textRotation="0" wrapText="true" indent="0" shrinkToFit="false"/>
      <protection locked="true" hidden="false"/>
    </xf>
    <xf numFmtId="164" fontId="16" fillId="2" borderId="2" xfId="0" applyFont="true" applyBorder="true" applyAlignment="true" applyProtection="false">
      <alignment horizontal="center" vertical="center" textRotation="0" wrapText="true" indent="0" shrinkToFit="false"/>
      <protection locked="true" hidden="false"/>
    </xf>
    <xf numFmtId="164" fontId="16" fillId="14" borderId="2" xfId="0" applyFont="true" applyBorder="true" applyAlignment="true" applyProtection="false">
      <alignment horizontal="center" vertical="center" textRotation="0" wrapText="true" indent="0" shrinkToFit="false"/>
      <protection locked="true" hidden="false"/>
    </xf>
    <xf numFmtId="164" fontId="16" fillId="10" borderId="2" xfId="0" applyFont="true" applyBorder="true" applyAlignment="true" applyProtection="false">
      <alignment horizontal="center" vertical="center" textRotation="0" wrapText="true" indent="0" shrinkToFit="false"/>
      <protection locked="true" hidden="false"/>
    </xf>
    <xf numFmtId="164" fontId="16" fillId="4" borderId="2" xfId="0" applyFont="true" applyBorder="true" applyAlignment="true" applyProtection="false">
      <alignment horizontal="center" vertical="center" textRotation="0" wrapText="true" indent="0" shrinkToFit="false"/>
      <protection locked="true" hidden="false"/>
    </xf>
    <xf numFmtId="164" fontId="35" fillId="15" borderId="1"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center" vertical="bottom" textRotation="0" wrapText="false" indent="0" shrinkToFit="false"/>
      <protection locked="true" hidden="false"/>
    </xf>
    <xf numFmtId="164" fontId="35" fillId="16" borderId="1" xfId="0" applyFont="true" applyBorder="true" applyAlignment="true" applyProtection="false">
      <alignment horizontal="center" vertical="center" textRotation="0" wrapText="true" indent="0" shrinkToFit="false"/>
      <protection locked="true" hidden="false"/>
    </xf>
    <xf numFmtId="164" fontId="35" fillId="2" borderId="1" xfId="0" applyFont="true" applyBorder="true" applyAlignment="true" applyProtection="false">
      <alignment horizontal="center" vertical="center" textRotation="0" wrapText="true" indent="0" shrinkToFit="false"/>
      <protection locked="true" hidden="false"/>
    </xf>
    <xf numFmtId="164" fontId="35" fillId="14" borderId="1" xfId="0" applyFont="true" applyBorder="true" applyAlignment="true" applyProtection="false">
      <alignment horizontal="center" vertical="center" textRotation="0" wrapText="true" indent="0" shrinkToFit="false"/>
      <protection locked="true" hidden="false"/>
    </xf>
    <xf numFmtId="164" fontId="35" fillId="10" borderId="1" xfId="0" applyFont="true" applyBorder="true" applyAlignment="true" applyProtection="false">
      <alignment horizontal="center" vertical="center" textRotation="0" wrapText="true" indent="0" shrinkToFit="false"/>
      <protection locked="true" hidden="false"/>
    </xf>
    <xf numFmtId="164" fontId="35" fillId="4" borderId="1" xfId="0" applyFont="true" applyBorder="true" applyAlignment="true" applyProtection="false">
      <alignment horizontal="center" vertical="center" textRotation="0" wrapText="true" indent="0" shrinkToFit="false"/>
      <protection locked="true" hidden="false"/>
    </xf>
    <xf numFmtId="164" fontId="37" fillId="17" borderId="3" xfId="0" applyFont="true" applyBorder="true" applyAlignment="true" applyProtection="false">
      <alignment horizontal="center" vertical="bottom" textRotation="0" wrapText="true" indent="0" shrinkToFit="false"/>
      <protection locked="true" hidden="false"/>
    </xf>
    <xf numFmtId="164" fontId="38" fillId="0" borderId="1" xfId="0" applyFont="true" applyBorder="true" applyAlignment="true" applyProtection="false">
      <alignment horizontal="center" vertical="center" textRotation="0" wrapText="true" indent="0" shrinkToFit="false"/>
      <protection locked="true" hidden="false"/>
    </xf>
    <xf numFmtId="164" fontId="38" fillId="9" borderId="1" xfId="0" applyFont="true" applyBorder="true" applyAlignment="true" applyProtection="false">
      <alignment horizontal="center" vertical="center" textRotation="0" wrapText="true" indent="0" shrinkToFit="false"/>
      <protection locked="true" hidden="false"/>
    </xf>
    <xf numFmtId="164" fontId="38" fillId="9" borderId="1" xfId="0" applyFont="true" applyBorder="true" applyAlignment="true" applyProtection="false">
      <alignment horizontal="left" vertical="center" textRotation="0" wrapText="true" indent="0" shrinkToFit="false"/>
      <protection locked="true" hidden="false"/>
    </xf>
    <xf numFmtId="168" fontId="38" fillId="0"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center" vertical="center" textRotation="0" wrapText="false" indent="0" shrinkToFit="false"/>
      <protection locked="true" hidden="false"/>
    </xf>
    <xf numFmtId="164" fontId="37" fillId="6" borderId="1" xfId="0" applyFont="true" applyBorder="true" applyAlignment="true" applyProtection="false">
      <alignment horizontal="center" vertical="center" textRotation="0" wrapText="true" indent="0" shrinkToFit="false"/>
      <protection locked="true" hidden="false"/>
    </xf>
    <xf numFmtId="164" fontId="37" fillId="6" borderId="1" xfId="0" applyFont="true" applyBorder="true" applyAlignment="true" applyProtection="false">
      <alignment horizontal="left" vertical="center" textRotation="0" wrapText="true" indent="0" shrinkToFit="false"/>
      <protection locked="true" hidden="false"/>
    </xf>
    <xf numFmtId="168" fontId="37" fillId="6" borderId="1" xfId="0" applyFont="true" applyBorder="true" applyAlignment="true" applyProtection="false">
      <alignment horizontal="center"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center"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4" fillId="5" borderId="1" xfId="0" applyFont="true" applyBorder="true" applyAlignment="true" applyProtection="false">
      <alignment horizontal="left" vertical="center" textRotation="0" wrapText="true" indent="0" shrinkToFit="false"/>
      <protection locked="true" hidden="false"/>
    </xf>
    <xf numFmtId="164" fontId="16" fillId="13" borderId="1" xfId="0" applyFont="true" applyBorder="true" applyAlignment="true" applyProtection="false">
      <alignment horizontal="left" vertical="center" textRotation="0" wrapText="true" indent="0" shrinkToFit="false"/>
      <protection locked="true" hidden="false"/>
    </xf>
    <xf numFmtId="167" fontId="43" fillId="3" borderId="1" xfId="0" applyFont="true" applyBorder="true" applyAlignment="true" applyProtection="false">
      <alignment horizontal="center" vertical="center" textRotation="0" wrapText="false" indent="0" shrinkToFit="false"/>
      <protection locked="true" hidden="false"/>
    </xf>
    <xf numFmtId="164" fontId="16" fillId="18" borderId="1" xfId="0" applyFont="true" applyBorder="true" applyAlignment="true" applyProtection="false">
      <alignment horizontal="left" vertical="center" textRotation="0" wrapText="true" indent="0" shrinkToFit="false"/>
      <protection locked="true" hidden="false"/>
    </xf>
    <xf numFmtId="164" fontId="16" fillId="19" borderId="1" xfId="0" applyFont="true" applyBorder="true" applyAlignment="true" applyProtection="false">
      <alignment horizontal="left" vertical="center" textRotation="0" wrapText="true" indent="0" shrinkToFit="false"/>
      <protection locked="true" hidden="false"/>
    </xf>
    <xf numFmtId="168" fontId="43" fillId="3" borderId="1" xfId="0" applyFont="true" applyBorder="true" applyAlignment="true" applyProtection="false">
      <alignment horizontal="center" vertical="center" textRotation="0" wrapText="false" indent="0" shrinkToFit="false"/>
      <protection locked="true" hidden="false"/>
    </xf>
    <xf numFmtId="164" fontId="16" fillId="2"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left" vertical="top" textRotation="0" wrapText="tru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4" fontId="16" fillId="20"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44" fillId="0" borderId="0" xfId="0" applyFont="true" applyBorder="true" applyAlignment="true" applyProtection="false">
      <alignment horizontal="general" vertical="bottom"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24" fillId="21" borderId="1" xfId="0" applyFont="true" applyBorder="true" applyAlignment="true" applyProtection="false">
      <alignment horizontal="center" vertical="center" textRotation="0" wrapText="true" indent="0" shrinkToFit="false"/>
      <protection locked="true" hidden="false"/>
    </xf>
    <xf numFmtId="164" fontId="24" fillId="6" borderId="1" xfId="0" applyFont="true" applyBorder="true" applyAlignment="true" applyProtection="false">
      <alignment horizontal="center" vertical="center" textRotation="0" wrapText="tru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67" fontId="20" fillId="5" borderId="1" xfId="0" applyFont="true" applyBorder="true" applyAlignment="true" applyProtection="false">
      <alignment horizontal="center" vertical="center" textRotation="0" wrapText="false" indent="0" shrinkToFit="false"/>
      <protection locked="true" hidden="false"/>
    </xf>
    <xf numFmtId="167" fontId="20" fillId="6"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7" fontId="15" fillId="5" borderId="1" xfId="0" applyFont="true" applyBorder="true" applyAlignment="true" applyProtection="false">
      <alignment horizontal="center"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26" fillId="0" borderId="4"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8" fontId="20"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left" vertical="center" textRotation="0" wrapText="true" indent="0" shrinkToFit="false"/>
      <protection locked="true" hidden="false"/>
    </xf>
    <xf numFmtId="164" fontId="20" fillId="6" borderId="1" xfId="0" applyFont="true" applyBorder="true" applyAlignment="true" applyProtection="false">
      <alignment horizontal="general" vertical="bottom" textRotation="0" wrapText="false" indent="0" shrinkToFit="false"/>
      <protection locked="true" hidden="false"/>
    </xf>
    <xf numFmtId="168" fontId="20" fillId="6"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top" textRotation="0" wrapText="tru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64" fontId="19" fillId="10"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5" fillId="11" borderId="1" xfId="0" applyFont="true" applyBorder="true" applyAlignment="true" applyProtection="false">
      <alignment horizontal="left" vertical="center" textRotation="0" wrapText="true" indent="0" shrinkToFit="false"/>
      <protection locked="true" hidden="false"/>
    </xf>
    <xf numFmtId="168" fontId="47" fillId="9" borderId="1" xfId="0" applyFont="true" applyBorder="true" applyAlignment="true" applyProtection="false">
      <alignment horizontal="center" vertical="center" textRotation="0" wrapText="true" indent="0" shrinkToFit="false"/>
      <protection locked="true" hidden="false"/>
    </xf>
    <xf numFmtId="168" fontId="15" fillId="9" borderId="1" xfId="0" applyFont="true" applyBorder="true" applyAlignment="true" applyProtection="false">
      <alignment horizontal="center" vertical="center" textRotation="0" wrapText="true" indent="0" shrinkToFit="false"/>
      <protection locked="true" hidden="false"/>
    </xf>
    <xf numFmtId="167" fontId="15" fillId="9"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left" vertical="center" textRotation="0" wrapText="true" indent="0" shrinkToFit="false"/>
      <protection locked="true" hidden="false"/>
    </xf>
    <xf numFmtId="167" fontId="48" fillId="0" borderId="0" xfId="0" applyFont="true" applyBorder="fals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43" fillId="0" borderId="0" xfId="0" applyFont="true" applyBorder="true" applyAlignment="true" applyProtection="false">
      <alignment horizontal="left" vertical="center" textRotation="0" wrapText="true" indent="0" shrinkToFit="false"/>
      <protection locked="true" hidden="false"/>
    </xf>
    <xf numFmtId="164" fontId="36" fillId="22" borderId="3" xfId="0" applyFont="true" applyBorder="true" applyAlignment="true" applyProtection="false">
      <alignment horizontal="center" vertical="center" textRotation="0" wrapText="true" indent="0" shrinkToFit="false"/>
      <protection locked="true" hidden="false"/>
    </xf>
    <xf numFmtId="164" fontId="36" fillId="6" borderId="3" xfId="0" applyFont="true" applyBorder="true" applyAlignment="true" applyProtection="false">
      <alignment horizontal="center" vertical="center" textRotation="0" wrapText="true" indent="0" shrinkToFit="false"/>
      <protection locked="true" hidden="false"/>
    </xf>
    <xf numFmtId="167" fontId="36" fillId="6" borderId="3" xfId="0" applyFont="true" applyBorder="true" applyAlignment="true" applyProtection="false">
      <alignment horizontal="center" vertical="center" textRotation="0" wrapText="true" indent="0" shrinkToFit="false"/>
      <protection locked="true" hidden="false"/>
    </xf>
    <xf numFmtId="168" fontId="36" fillId="6" borderId="3" xfId="0" applyFont="true" applyBorder="tru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left" vertical="center" textRotation="0" wrapText="true" indent="0" shrinkToFit="false"/>
      <protection locked="true" hidden="false"/>
    </xf>
    <xf numFmtId="167" fontId="20" fillId="9" borderId="3" xfId="0" applyFont="true" applyBorder="true" applyAlignment="true" applyProtection="false">
      <alignment horizontal="left" vertical="center" textRotation="0" wrapText="true" indent="0" shrinkToFit="false"/>
      <protection locked="true" hidden="false"/>
    </xf>
    <xf numFmtId="167" fontId="20" fillId="0" borderId="3" xfId="0" applyFont="true" applyBorder="true" applyAlignment="true" applyProtection="false">
      <alignment horizontal="center" vertical="center" textRotation="0" wrapText="true" indent="0" shrinkToFit="false"/>
      <protection locked="true" hidden="false"/>
    </xf>
    <xf numFmtId="168" fontId="20" fillId="0" borderId="3" xfId="0" applyFont="true" applyBorder="true" applyAlignment="true" applyProtection="false">
      <alignment horizontal="center" vertical="center" textRotation="0" wrapText="true" indent="0" shrinkToFit="false"/>
      <protection locked="true" hidden="false"/>
    </xf>
    <xf numFmtId="164" fontId="36" fillId="23" borderId="3" xfId="0" applyFont="true" applyBorder="true" applyAlignment="true" applyProtection="false">
      <alignment horizontal="left" vertical="center" textRotation="0" wrapText="true" indent="0" shrinkToFit="false"/>
      <protection locked="true" hidden="false"/>
    </xf>
    <xf numFmtId="167" fontId="20" fillId="23" borderId="3" xfId="0" applyFont="true" applyBorder="true" applyAlignment="true" applyProtection="false">
      <alignment horizontal="center" vertical="center" textRotation="0" wrapText="true" indent="0" shrinkToFit="false"/>
      <protection locked="true" hidden="false"/>
    </xf>
    <xf numFmtId="168" fontId="20" fillId="23" borderId="3"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7" fontId="18" fillId="0" borderId="0" xfId="0" applyFont="true" applyBorder="false" applyAlignment="true" applyProtection="false">
      <alignment horizontal="center" vertical="center" textRotation="0" wrapText="true" indent="0" shrinkToFit="false"/>
      <protection locked="true" hidden="false"/>
    </xf>
    <xf numFmtId="168" fontId="18" fillId="0" borderId="0" xfId="0" applyFont="true" applyBorder="fals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67" fontId="36" fillId="11" borderId="3" xfId="0" applyFont="true" applyBorder="true" applyAlignment="true" applyProtection="false">
      <alignment horizontal="center" vertical="center" textRotation="0" wrapText="true" indent="0" shrinkToFit="false"/>
      <protection locked="true" hidden="false"/>
    </xf>
    <xf numFmtId="167" fontId="36" fillId="23" borderId="3" xfId="0" applyFont="true" applyBorder="true" applyAlignment="true" applyProtection="false">
      <alignment horizontal="center" vertical="center" textRotation="0" wrapText="true" indent="0" shrinkToFit="false"/>
      <protection locked="true" hidden="false"/>
    </xf>
    <xf numFmtId="164" fontId="36" fillId="23" borderId="3" xfId="0" applyFont="true" applyBorder="true" applyAlignment="true" applyProtection="false">
      <alignment horizontal="center" vertical="center" textRotation="0" wrapText="true" indent="0" shrinkToFit="false"/>
      <protection locked="true" hidden="false"/>
    </xf>
    <xf numFmtId="167" fontId="23"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false" applyAlignment="true" applyProtection="false">
      <alignment horizontal="center" vertical="center" textRotation="0" wrapText="true" indent="0" shrinkToFit="false"/>
      <protection locked="true" hidden="false"/>
    </xf>
    <xf numFmtId="164" fontId="19" fillId="13" borderId="0" xfId="0" applyFont="true" applyBorder="false" applyAlignment="true" applyProtection="false">
      <alignment horizontal="center" vertical="center" textRotation="0" wrapText="tru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25" fillId="11"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center" vertical="center"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false" indent="0" shrinkToFit="false"/>
      <protection locked="true" hidden="false"/>
    </xf>
    <xf numFmtId="164" fontId="19" fillId="24" borderId="1" xfId="0" applyFont="true" applyBorder="true" applyAlignment="true" applyProtection="false">
      <alignment horizontal="left" vertical="center" textRotation="0" wrapText="true" indent="0" shrinkToFit="false"/>
      <protection locked="true" hidden="false"/>
    </xf>
    <xf numFmtId="164" fontId="20" fillId="3" borderId="1" xfId="0" applyFont="true" applyBorder="true" applyAlignment="true" applyProtection="false">
      <alignment horizontal="left" vertical="center" textRotation="0" wrapText="true" indent="0" shrinkToFit="false"/>
      <protection locked="true" hidden="false"/>
    </xf>
    <xf numFmtId="164" fontId="19" fillId="25" borderId="1" xfId="0" applyFont="true" applyBorder="true" applyAlignment="true" applyProtection="false">
      <alignment horizontal="center" vertical="center" textRotation="0" wrapText="true" indent="0" shrinkToFit="false"/>
      <protection locked="true" hidden="false"/>
    </xf>
    <xf numFmtId="164" fontId="19" fillId="14" borderId="3" xfId="0" applyFont="true" applyBorder="true" applyAlignment="true" applyProtection="false">
      <alignment horizontal="center" vertical="center" textRotation="0" wrapText="true" indent="0" shrinkToFit="false"/>
      <protection locked="true" hidden="false"/>
    </xf>
    <xf numFmtId="164" fontId="19" fillId="26" borderId="3" xfId="0" applyFont="true" applyBorder="true" applyAlignment="true" applyProtection="false">
      <alignment horizontal="center" vertical="center" textRotation="0" wrapText="true" indent="0" shrinkToFit="false"/>
      <protection locked="true" hidden="false"/>
    </xf>
    <xf numFmtId="164" fontId="19" fillId="15" borderId="3" xfId="0" applyFont="true" applyBorder="true" applyAlignment="true" applyProtection="false">
      <alignment horizontal="center" vertical="center" textRotation="0" wrapText="true" indent="0" shrinkToFit="false"/>
      <protection locked="true" hidden="false"/>
    </xf>
    <xf numFmtId="164" fontId="25" fillId="27" borderId="1" xfId="0" applyFont="true" applyBorder="true" applyAlignment="true" applyProtection="false">
      <alignment horizontal="center" vertical="center" textRotation="0" wrapText="true" indent="0" shrinkToFit="false"/>
      <protection locked="true" hidden="false"/>
    </xf>
    <xf numFmtId="164" fontId="25" fillId="28" borderId="3" xfId="0" applyFont="true" applyBorder="true" applyAlignment="true" applyProtection="false">
      <alignment horizontal="center" vertical="center" textRotation="0" wrapText="true" indent="0" shrinkToFit="false"/>
      <protection locked="true" hidden="false"/>
    </xf>
    <xf numFmtId="164" fontId="25" fillId="23" borderId="3" xfId="0" applyFont="true" applyBorder="true" applyAlignment="true" applyProtection="false">
      <alignment horizontal="center" vertical="center" textRotation="0" wrapText="true" indent="0" shrinkToFit="false"/>
      <protection locked="true" hidden="false"/>
    </xf>
    <xf numFmtId="164" fontId="15" fillId="28" borderId="1" xfId="0" applyFont="true" applyBorder="true" applyAlignment="true" applyProtection="false">
      <alignment horizontal="center" vertical="center" textRotation="0" wrapText="false" indent="0" shrinkToFit="false"/>
      <protection locked="true" hidden="false"/>
    </xf>
    <xf numFmtId="164" fontId="55" fillId="28"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5" fillId="0" borderId="3" xfId="0" applyFont="true" applyBorder="true" applyAlignment="true" applyProtection="false">
      <alignment horizontal="center" vertical="center" textRotation="0" wrapText="false" indent="0" shrinkToFit="false"/>
      <protection locked="true" hidden="false"/>
    </xf>
    <xf numFmtId="164" fontId="25" fillId="12" borderId="3" xfId="0" applyFont="true" applyBorder="true" applyAlignment="true" applyProtection="false">
      <alignment horizontal="center" vertical="center" textRotation="0" wrapText="false" indent="0" shrinkToFit="false"/>
      <protection locked="true" hidden="false"/>
    </xf>
    <xf numFmtId="164" fontId="15" fillId="0" borderId="3" xfId="0" applyFont="true" applyBorder="tru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28" borderId="0" xfId="0" applyFont="true" applyBorder="false" applyAlignment="false" applyProtection="false">
      <alignment horizontal="general" vertical="bottom" textRotation="0" wrapText="false" indent="0" shrinkToFit="false"/>
      <protection locked="true" hidden="false"/>
    </xf>
    <xf numFmtId="164" fontId="55" fillId="28"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color rgb="FF006100"/>
      </font>
      <fill>
        <patternFill>
          <bgColor rgb="FFC6EFCE"/>
        </patternFill>
      </fill>
    </dxf>
    <dxf>
      <font>
        <color rgb="FF9C0006"/>
      </font>
      <fill>
        <patternFill>
          <bgColor rgb="FFFFC7CE"/>
        </patternFill>
      </fill>
    </dxf>
    <dxf>
      <font>
        <color rgb="FF3F3F3F"/>
      </font>
      <fill>
        <patternFill>
          <bgColor rgb="FFD9D9D9"/>
        </patternFill>
      </fill>
    </dxf>
    <dxf>
      <font>
        <color rgb="FF9C6500"/>
      </font>
      <fill>
        <patternFill>
          <bgColor rgb="FFFFEB9C"/>
        </patternFill>
      </fill>
    </dxf>
    <dxf>
      <fill>
        <patternFill>
          <bgColor rgb="FFF4CCCC"/>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E2EFDA"/>
          <bgColor rgb="FF000000"/>
        </patternFill>
      </fill>
    </dxf>
    <dxf>
      <font>
        <color rgb="FF006100"/>
      </font>
      <fill>
        <patternFill>
          <bgColor rgb="FFC6EFCE"/>
        </patternFill>
      </fill>
    </dxf>
    <dxf>
      <font>
        <color rgb="FF9C0006"/>
      </font>
      <fill>
        <patternFill>
          <bgColor rgb="FFFFC7CE"/>
        </patternFill>
      </fill>
    </dxf>
    <dxf>
      <font>
        <color rgb="FF3F3F3F"/>
      </font>
      <fill>
        <patternFill>
          <bgColor rgb="FFD9D9D9"/>
        </patternFill>
      </fill>
    </dxf>
    <dxf>
      <font>
        <color rgb="FF9C6500"/>
      </font>
      <fill>
        <patternFill>
          <bgColor rgb="FFFFEB9C"/>
        </patternFill>
      </fill>
    </dxf>
  </dxfs>
  <colors>
    <indexedColors>
      <rgbColor rgb="FF000000"/>
      <rgbColor rgb="FFFFFFFF"/>
      <rgbColor rgb="FFC00000"/>
      <rgbColor rgb="FF70AD47"/>
      <rgbColor rgb="FF0000FF"/>
      <rgbColor rgb="FFC5E0B3"/>
      <rgbColor rgb="FFE2EFDA"/>
      <rgbColor rgb="FFA8D08D"/>
      <rgbColor rgb="FF9C0006"/>
      <rgbColor rgb="FF006100"/>
      <rgbColor rgb="FF2F5496"/>
      <rgbColor rgb="FF9C6500"/>
      <rgbColor rgb="FF595959"/>
      <rgbColor rgb="FF1F6E7B"/>
      <rgbColor rgb="FFBFBFBF"/>
      <rgbColor rgb="FF808080"/>
      <rgbColor rgb="FF8DAADB"/>
      <rgbColor rgb="FF7030A0"/>
      <rgbColor rgb="FFFFF2CC"/>
      <rgbColor rgb="FFDAEEF3"/>
      <rgbColor rgb="FF404040"/>
      <rgbColor rgb="FFBD925E"/>
      <rgbColor rgb="FF0563C1"/>
      <rgbColor rgb="FFD9D9D9"/>
      <rgbColor rgb="FF7F7F7F"/>
      <rgbColor rgb="FFE2EFD9"/>
      <rgbColor rgb="FFFCE4D6"/>
      <rgbColor rgb="FFAAD08E"/>
      <rgbColor rgb="FF757575"/>
      <rgbColor rgb="FF548235"/>
      <rgbColor rgb="FF2E75B6"/>
      <rgbColor rgb="FFF2F2F2"/>
      <rgbColor rgb="FF4D81BE"/>
      <rgbColor rgb="FFDDEBF7"/>
      <rgbColor rgb="FFC6EFCE"/>
      <rgbColor rgb="FFFFEB9C"/>
      <rgbColor rgb="FFB7B7B7"/>
      <rgbColor rgb="FFFFC7CE"/>
      <rgbColor rgb="FFD9E1F2"/>
      <rgbColor rgb="FFF4CCCC"/>
      <rgbColor rgb="FF4472C4"/>
      <rgbColor rgb="FF4FA8CC"/>
      <rgbColor rgb="FF9BBB59"/>
      <rgbColor rgb="FFFFC000"/>
      <rgbColor rgb="FFC9A66B"/>
      <rgbColor rgb="FFEE7E31"/>
      <rgbColor rgb="FF8064A2"/>
      <rgbColor rgb="FFA69DB2"/>
      <rgbColor rgb="FF1F4E79"/>
      <rgbColor rgb="FF31859C"/>
      <rgbColor rgb="FF1A1A1A"/>
      <rgbColor rgb="FF1F1F1F"/>
      <rgbColor rgb="FFC55A11"/>
      <rgbColor rgb="FFC0504D"/>
      <rgbColor rgb="FF30549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Tiến độ thực thi theo ưu tiên (Tổng vs Đã chạy)</a:t>
            </a:r>
          </a:p>
        </c:rich>
      </c:tx>
      <c:overlay val="0"/>
      <c:spPr>
        <a:noFill/>
        <a:ln w="0">
          <a:noFill/>
        </a:ln>
      </c:spPr>
    </c:title>
    <c:autoTitleDeleted val="0"/>
    <c:plotArea>
      <c:layout>
        <c:manualLayout>
          <c:xMode val="edge"/>
          <c:yMode val="edge"/>
          <c:x val="0.0679203266114067"/>
          <c:y val="0.156959314775161"/>
          <c:w val="0.776568105901274"/>
          <c:h val="0.742612419700214"/>
        </c:manualLayout>
      </c:layout>
      <c:barChart>
        <c:barDir val="col"/>
        <c:grouping val="clustered"/>
        <c:varyColors val="0"/>
        <c:ser>
          <c:idx val="0"/>
          <c:order val="0"/>
          <c:tx>
            <c:strRef>
              <c:f>Summary!$C$18</c:f>
              <c:strCache>
                <c:ptCount val="1"/>
                <c:pt idx="0">
                  <c:v>Tổng TC</c:v>
                </c:pt>
              </c:strCache>
            </c:strRef>
          </c:tx>
          <c:spPr>
            <a:solidFill>
              <a:srgbClr val="A9D08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Summary!$C$19:$C$21</c:f>
              <c:numCache>
                <c:formatCode>0</c:formatCode>
                <c:ptCount val="3"/>
                <c:pt idx="0">
                  <c:v>22</c:v>
                </c:pt>
                <c:pt idx="1">
                  <c:v>145</c:v>
                </c:pt>
                <c:pt idx="2">
                  <c:v>56</c:v>
                </c:pt>
              </c:numCache>
            </c:numRef>
          </c:val>
        </c:ser>
        <c:ser>
          <c:idx val="1"/>
          <c:order val="1"/>
          <c:tx>
            <c:strRef>
              <c:f>Summary!$E$18</c:f>
              <c:strCache>
                <c:ptCount val="1"/>
                <c:pt idx="0">
                  <c:v>Đã chạy</c:v>
                </c:pt>
              </c:strCache>
            </c:strRef>
          </c:tx>
          <c:spPr>
            <a:solidFill>
              <a:srgbClr val="3D85C6"/>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Summary!$E$19:$E$21</c:f>
              <c:numCache>
                <c:formatCode>0</c:formatCode>
                <c:ptCount val="3"/>
                <c:pt idx="0">
                  <c:v>18</c:v>
                </c:pt>
                <c:pt idx="1">
                  <c:v>108</c:v>
                </c:pt>
                <c:pt idx="2">
                  <c:v>39</c:v>
                </c:pt>
              </c:numCache>
            </c:numRef>
          </c:val>
        </c:ser>
        <c:gapWidth val="150"/>
        <c:overlap val="0"/>
        <c:axId val="71055926"/>
        <c:axId val="90226807"/>
      </c:barChart>
      <c:catAx>
        <c:axId val="7105592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0226807"/>
        <c:crosses val="autoZero"/>
        <c:auto val="1"/>
        <c:lblAlgn val="ctr"/>
        <c:lblOffset val="100"/>
        <c:noMultiLvlLbl val="0"/>
      </c:catAx>
      <c:valAx>
        <c:axId val="90226807"/>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7105592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Số Test Case theo nhóm (Group)</a:t>
            </a:r>
          </a:p>
        </c:rich>
      </c:tx>
      <c:overlay val="0"/>
      <c:spPr>
        <a:noFill/>
        <a:ln w="0">
          <a:noFill/>
        </a:ln>
      </c:spPr>
    </c:title>
    <c:autoTitleDeleted val="0"/>
    <c:plotArea>
      <c:barChart>
        <c:barDir val="col"/>
        <c:grouping val="clustered"/>
        <c:varyColors val="0"/>
        <c:ser>
          <c:idx val="0"/>
          <c:order val="0"/>
          <c:tx>
            <c:strRef>
              <c:f>Summary!$J$18</c:f>
              <c:strCache>
                <c:ptCount val="1"/>
                <c:pt idx="0">
                  <c:v>Số TC</c:v>
                </c:pt>
              </c:strCache>
            </c:strRef>
          </c:tx>
          <c:spPr>
            <a:solidFill>
              <a:srgbClr val="54823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Summary!$I$19:$I$22</c:f>
              <c:strCache>
                <c:ptCount val="4"/>
                <c:pt idx="0">
                  <c:v>Functional</c:v>
                </c:pt>
                <c:pt idx="1">
                  <c:v>UI</c:v>
                </c:pt>
                <c:pt idx="2">
                  <c:v>Integration</c:v>
                </c:pt>
                <c:pt idx="3">
                  <c:v>Database</c:v>
                </c:pt>
              </c:strCache>
            </c:strRef>
          </c:cat>
          <c:val>
            <c:numRef>
              <c:f>Summary!$J$19:$J$22</c:f>
              <c:numCache>
                <c:formatCode>0</c:formatCode>
                <c:ptCount val="4"/>
                <c:pt idx="0">
                  <c:v>175</c:v>
                </c:pt>
                <c:pt idx="1">
                  <c:v>48</c:v>
                </c:pt>
                <c:pt idx="2">
                  <c:v>0</c:v>
                </c:pt>
                <c:pt idx="3">
                  <c:v>0</c:v>
                </c:pt>
              </c:numCache>
            </c:numRef>
          </c:val>
        </c:ser>
        <c:gapWidth val="150"/>
        <c:overlap val="0"/>
        <c:axId val="95573269"/>
        <c:axId val="922776"/>
      </c:barChart>
      <c:catAx>
        <c:axId val="9557326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22776"/>
        <c:crosses val="autoZero"/>
        <c:auto val="1"/>
        <c:lblAlgn val="ctr"/>
        <c:lblOffset val="100"/>
        <c:noMultiLvlLbl val="0"/>
      </c:catAx>
      <c:valAx>
        <c:axId val="92277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557326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trên tổng TC)</a:t>
            </a:r>
          </a:p>
        </c:rich>
      </c:tx>
      <c:overlay val="0"/>
      <c:spPr>
        <a:noFill/>
        <a:ln w="0">
          <a:noFill/>
        </a:ln>
      </c:spPr>
    </c:title>
    <c:autoTitleDeleted val="0"/>
    <c:plotArea>
      <c:barChart>
        <c:barDir val="bar"/>
        <c:grouping val="clustered"/>
        <c:varyColors val="0"/>
        <c:ser>
          <c:idx val="0"/>
          <c:order val="0"/>
          <c:spPr>
            <a:solidFill>
              <a:srgbClr val="54823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Summary!$B$44:$B$49</c:f>
              <c:strCache>
                <c:ptCount val="6"/>
                <c:pt idx="0">
                  <c:v>TC do AI sinh (Origin=AI)</c:v>
                </c:pt>
                <c:pt idx="1">
                  <c:v>TC do QC viết (Origin=QC)</c:v>
                </c:pt>
                <c:pt idx="2">
                  <c:v>TC đã automation (Automated=Yes)</c:v>
                </c:pt>
                <c:pt idx="3">
                  <c:v>TC Vibe-test (Yes)</c:v>
                </c:pt>
                <c:pt idx="4">
                  <c:v>TC script auto chạy Pass</c:v>
                </c:pt>
                <c:pt idx="5">
                  <c:v>TC đã TL review</c:v>
                </c:pt>
              </c:strCache>
            </c:strRef>
          </c:cat>
          <c:val>
            <c:numRef>
              <c:f>Summary!$D$44:$D$49</c:f>
              <c:numCache>
                <c:formatCode>0.0%</c:formatCode>
                <c:ptCount val="6"/>
                <c:pt idx="0">
                  <c:v>1</c:v>
                </c:pt>
                <c:pt idx="1">
                  <c:v>0</c:v>
                </c:pt>
                <c:pt idx="2">
                  <c:v>0</c:v>
                </c:pt>
                <c:pt idx="3">
                  <c:v>0.739910313901345</c:v>
                </c:pt>
                <c:pt idx="4">
                  <c:v>0</c:v>
                </c:pt>
                <c:pt idx="5">
                  <c:v>0</c:v>
                </c:pt>
              </c:numCache>
            </c:numRef>
          </c:val>
        </c:ser>
        <c:gapWidth val="150"/>
        <c:overlap val="0"/>
        <c:axId val="25307727"/>
        <c:axId val="27246604"/>
      </c:barChart>
      <c:catAx>
        <c:axId val="25307727"/>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7246604"/>
        <c:crosses val="autoZero"/>
        <c:auto val="1"/>
        <c:lblAlgn val="ctr"/>
        <c:lblOffset val="100"/>
        <c:noMultiLvlLbl val="0"/>
      </c:catAx>
      <c:valAx>
        <c:axId val="27246604"/>
        <c:scaling>
          <c:orientation val="minMax"/>
          <c:max val="1"/>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53077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1a. Bug Status theo nền tảng</a:t>
            </a:r>
          </a:p>
        </c:rich>
      </c:tx>
      <c:overlay val="0"/>
      <c:spPr>
        <a:noFill/>
        <a:ln w="0">
          <a:noFill/>
        </a:ln>
      </c:spPr>
    </c:title>
    <c:autoTitleDeleted val="0"/>
    <c:plotArea>
      <c:barChart>
        <c:barDir val="col"/>
        <c:grouping val="stacked"/>
        <c:varyColors val="0"/>
        <c:ser>
          <c:idx val="0"/>
          <c:order val="0"/>
          <c:tx>
            <c:strRef>
              <c:f>"To Do"</c:f>
              <c:strCache>
                <c:ptCount val="1"/>
                <c:pt idx="0">
                  <c:v>To Do</c:v>
                </c:pt>
              </c:strCache>
            </c:strRef>
          </c:tx>
          <c:spPr>
            <a:solidFill>
              <a:srgbClr val="5B9BD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Test'!$C$18:$C$20</c:f>
              <c:numCache>
                <c:formatCode>0</c:formatCode>
                <c:ptCount val="3"/>
                <c:pt idx="0">
                  <c:v>0</c:v>
                </c:pt>
                <c:pt idx="1">
                  <c:v>39</c:v>
                </c:pt>
                <c:pt idx="2">
                  <c:v>0</c:v>
                </c:pt>
              </c:numCache>
            </c:numRef>
          </c:val>
        </c:ser>
        <c:ser>
          <c:idx val="1"/>
          <c:order val="1"/>
          <c:tx>
            <c:strRef>
              <c:f>"In Progress"</c:f>
              <c:strCache>
                <c:ptCount val="1"/>
                <c:pt idx="0">
                  <c:v>In Progress</c:v>
                </c:pt>
              </c:strCache>
            </c:strRef>
          </c:tx>
          <c:spPr>
            <a:solidFill>
              <a:srgbClr val="ED7D31"/>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Test'!$D$18:$D$20</c:f>
              <c:numCache>
                <c:formatCode>0</c:formatCode>
                <c:ptCount val="3"/>
                <c:pt idx="0">
                  <c:v>0</c:v>
                </c:pt>
                <c:pt idx="1">
                  <c:v>0</c:v>
                </c:pt>
                <c:pt idx="2">
                  <c:v>0</c:v>
                </c:pt>
              </c:numCache>
            </c:numRef>
          </c:val>
        </c:ser>
        <c:ser>
          <c:idx val="2"/>
          <c:order val="2"/>
          <c:tx>
            <c:strRef>
              <c:f>"In Review"</c:f>
              <c:strCache>
                <c:ptCount val="1"/>
                <c:pt idx="0">
                  <c:v>In Review</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Test'!$E$18:$E$20</c:f>
              <c:numCache>
                <c:formatCode>0</c:formatCode>
                <c:ptCount val="3"/>
                <c:pt idx="0">
                  <c:v>0</c:v>
                </c:pt>
                <c:pt idx="1">
                  <c:v>1</c:v>
                </c:pt>
                <c:pt idx="2">
                  <c:v>0</c:v>
                </c:pt>
              </c:numCache>
            </c:numRef>
          </c:val>
        </c:ser>
        <c:ser>
          <c:idx val="3"/>
          <c:order val="3"/>
          <c:tx>
            <c:strRef>
              <c:f>"Pending"</c:f>
              <c:strCache>
                <c:ptCount val="1"/>
                <c:pt idx="0">
                  <c:v>Pending</c:v>
                </c:pt>
              </c:strCache>
            </c:strRef>
          </c:tx>
          <c:spPr>
            <a:solidFill>
              <a:srgbClr val="FFC00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Test'!$F$18:$F$20</c:f>
              <c:numCache>
                <c:formatCode>0</c:formatCode>
                <c:ptCount val="3"/>
                <c:pt idx="0">
                  <c:v>0</c:v>
                </c:pt>
                <c:pt idx="1">
                  <c:v>0</c:v>
                </c:pt>
                <c:pt idx="2">
                  <c:v>0</c:v>
                </c:pt>
              </c:numCache>
            </c:numRef>
          </c:val>
        </c:ser>
        <c:ser>
          <c:idx val="4"/>
          <c:order val="4"/>
          <c:tx>
            <c:strRef>
              <c:f>"Cancel"</c:f>
              <c:strCache>
                <c:ptCount val="1"/>
                <c:pt idx="0">
                  <c:v>Cancel</c:v>
                </c:pt>
              </c:strCache>
            </c:strRef>
          </c:tx>
          <c:spPr>
            <a:solidFill>
              <a:srgbClr val="A6A6A6"/>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Test'!$G$18:$G$20</c:f>
              <c:numCache>
                <c:formatCode>0</c:formatCode>
                <c:ptCount val="3"/>
                <c:pt idx="0">
                  <c:v>0</c:v>
                </c:pt>
                <c:pt idx="1">
                  <c:v>0</c:v>
                </c:pt>
                <c:pt idx="2">
                  <c:v>0</c:v>
                </c:pt>
              </c:numCache>
            </c:numRef>
          </c:val>
        </c:ser>
        <c:ser>
          <c:idx val="5"/>
          <c:order val="5"/>
          <c:tx>
            <c:strRef>
              <c:f>"Done"</c:f>
              <c:strCache>
                <c:ptCount val="1"/>
                <c:pt idx="0">
                  <c:v>Done</c:v>
                </c:pt>
              </c:strCache>
            </c:strRef>
          </c:tx>
          <c:spPr>
            <a:solidFill>
              <a:srgbClr val="70AD4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Test'!$H$18:$H$20</c:f>
              <c:numCache>
                <c:formatCode>0</c:formatCode>
                <c:ptCount val="3"/>
                <c:pt idx="0">
                  <c:v>0</c:v>
                </c:pt>
                <c:pt idx="1">
                  <c:v>0</c:v>
                </c:pt>
                <c:pt idx="2">
                  <c:v>0</c:v>
                </c:pt>
              </c:numCache>
            </c:numRef>
          </c:val>
        </c:ser>
        <c:gapWidth val="150"/>
        <c:overlap val="100"/>
        <c:axId val="61319813"/>
        <c:axId val="12543298"/>
      </c:barChart>
      <c:catAx>
        <c:axId val="6131981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Nền tảng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543298"/>
        <c:crosses val="autoZero"/>
        <c:auto val="1"/>
        <c:lblAlgn val="ctr"/>
        <c:lblOffset val="100"/>
        <c:noMultiLvlLbl val="0"/>
      </c:catAx>
      <c:valAx>
        <c:axId val="12543298"/>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1319813"/>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 Coverage theo chức năng</a:t>
            </a:r>
          </a:p>
        </c:rich>
      </c:tx>
      <c:overlay val="0"/>
      <c:spPr>
        <a:noFill/>
        <a:ln w="0">
          <a:noFill/>
        </a:ln>
      </c:spPr>
    </c:title>
    <c:autoTitleDeleted val="0"/>
    <c:plotArea>
      <c:barChart>
        <c:barDir val="col"/>
        <c:grouping val="clustered"/>
        <c:varyColors val="0"/>
        <c:ser>
          <c:idx val="0"/>
          <c:order val="0"/>
          <c:tx>
            <c:strRef>
              <c:f>"Total TC"</c:f>
              <c:strCache>
                <c:ptCount val="1"/>
                <c:pt idx="0">
                  <c:v>Total TC</c:v>
                </c:pt>
              </c:strCache>
            </c:strRef>
          </c:tx>
          <c:spPr>
            <a:solidFill>
              <a:srgbClr val="A8D08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Test'!$D$60:$D$70</c:f>
              <c:numCache>
                <c:formatCode>0</c:formatCode>
                <c:ptCount val="11"/>
                <c:pt idx="0">
                  <c:v>10</c:v>
                </c:pt>
                <c:pt idx="1">
                  <c:v>13</c:v>
                </c:pt>
                <c:pt idx="2">
                  <c:v>13</c:v>
                </c:pt>
                <c:pt idx="3">
                  <c:v>51</c:v>
                </c:pt>
                <c:pt idx="4">
                  <c:v>5</c:v>
                </c:pt>
                <c:pt idx="5">
                  <c:v>8</c:v>
                </c:pt>
                <c:pt idx="6">
                  <c:v>11</c:v>
                </c:pt>
                <c:pt idx="7">
                  <c:v>9</c:v>
                </c:pt>
                <c:pt idx="8">
                  <c:v>48</c:v>
                </c:pt>
                <c:pt idx="9">
                  <c:v>17</c:v>
                </c:pt>
                <c:pt idx="10">
                  <c:v>38</c:v>
                </c:pt>
              </c:numCache>
            </c:numRef>
          </c:val>
        </c:ser>
        <c:ser>
          <c:idx val="1"/>
          <c:order val="1"/>
          <c:tx>
            <c:strRef>
              <c:f>"Executed TC"</c:f>
              <c:strCache>
                <c:ptCount val="1"/>
                <c:pt idx="0">
                  <c:v>Executed TC</c:v>
                </c:pt>
              </c:strCache>
            </c:strRef>
          </c:tx>
          <c:spPr>
            <a:solidFill>
              <a:srgbClr val="ED7D31"/>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Test'!$E$60:$E$70</c:f>
              <c:numCache>
                <c:formatCode>0</c:formatCode>
                <c:ptCount val="11"/>
                <c:pt idx="0">
                  <c:v>10</c:v>
                </c:pt>
                <c:pt idx="1">
                  <c:v>13</c:v>
                </c:pt>
                <c:pt idx="2">
                  <c:v>13</c:v>
                </c:pt>
                <c:pt idx="3">
                  <c:v>11</c:v>
                </c:pt>
                <c:pt idx="4">
                  <c:v>5</c:v>
                </c:pt>
                <c:pt idx="5">
                  <c:v>6</c:v>
                </c:pt>
                <c:pt idx="6">
                  <c:v>7</c:v>
                </c:pt>
                <c:pt idx="7">
                  <c:v>0</c:v>
                </c:pt>
                <c:pt idx="8">
                  <c:v>45</c:v>
                </c:pt>
                <c:pt idx="9">
                  <c:v>17</c:v>
                </c:pt>
                <c:pt idx="10">
                  <c:v>38</c:v>
                </c:pt>
              </c:numCache>
            </c:numRef>
          </c:val>
        </c:ser>
        <c:gapWidth val="150"/>
        <c:overlap val="0"/>
        <c:axId val="57381174"/>
        <c:axId val="3398700"/>
      </c:barChart>
      <c:catAx>
        <c:axId val="5738117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Chức năng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398700"/>
        <c:crosses val="autoZero"/>
        <c:auto val="1"/>
        <c:lblAlgn val="ctr"/>
        <c:lblOffset val="100"/>
        <c:noMultiLvlLbl val="0"/>
      </c:catAx>
      <c:valAx>
        <c:axId val="339870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7381174"/>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3. Bug Severity (% theo mức độ)</a:t>
            </a:r>
          </a:p>
        </c:rich>
      </c:tx>
      <c:overlay val="0"/>
      <c:spPr>
        <a:noFill/>
        <a:ln w="0">
          <a:noFill/>
        </a:ln>
      </c:spPr>
    </c:title>
    <c:autoTitleDeleted val="0"/>
    <c:plotArea>
      <c:pieChart>
        <c:varyColors val="1"/>
        <c:ser>
          <c:idx val="0"/>
          <c:order val="0"/>
          <c:tx>
            <c:strRef>
              <c:f>'Report Test'!$C$101</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Test'!$B$102:$B$106</c:f>
              <c:strCache>
                <c:ptCount val="5"/>
                <c:pt idx="0">
                  <c:v>Critical Bug</c:v>
                </c:pt>
                <c:pt idx="1">
                  <c:v>Major Bug</c:v>
                </c:pt>
                <c:pt idx="2">
                  <c:v>Medium Bug</c:v>
                </c:pt>
                <c:pt idx="3">
                  <c:v>Low Bug</c:v>
                </c:pt>
                <c:pt idx="4">
                  <c:v>Suggest Bug</c:v>
                </c:pt>
              </c:strCache>
            </c:strRef>
          </c:cat>
          <c:val>
            <c:numRef>
              <c:f>'Report Test'!$C$102:$C$106</c:f>
              <c:numCache>
                <c:formatCode>0</c:formatCode>
                <c:ptCount val="5"/>
                <c:pt idx="0">
                  <c:v>0</c:v>
                </c:pt>
                <c:pt idx="1">
                  <c:v>0</c:v>
                </c:pt>
                <c:pt idx="2">
                  <c:v>9</c:v>
                </c:pt>
                <c:pt idx="3">
                  <c:v>24</c:v>
                </c:pt>
                <c:pt idx="4">
                  <c:v>7</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2b. Kết quả thực thi TC (%)</a:t>
            </a:r>
          </a:p>
        </c:rich>
      </c:tx>
      <c:overlay val="0"/>
      <c:spPr>
        <a:noFill/>
        <a:ln w="0">
          <a:noFill/>
        </a:ln>
      </c:spPr>
    </c:title>
    <c:autoTitleDeleted val="0"/>
    <c:plotArea>
      <c:pieChart>
        <c:varyColors val="1"/>
        <c:ser>
          <c:idx val="0"/>
          <c:order val="0"/>
          <c:tx>
            <c:strRef>
              <c:f>'Report Test'!$C$84</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Test'!$B$85:$B$89</c:f>
              <c:strCache>
                <c:ptCount val="5"/>
                <c:pt idx="0">
                  <c:v>Pass</c:v>
                </c:pt>
                <c:pt idx="1">
                  <c:v>Fail</c:v>
                </c:pt>
                <c:pt idx="2">
                  <c:v>Block</c:v>
                </c:pt>
                <c:pt idx="3">
                  <c:v>N/A</c:v>
                </c:pt>
                <c:pt idx="4">
                  <c:v>Chưa thực hiện</c:v>
                </c:pt>
              </c:strCache>
            </c:strRef>
          </c:cat>
          <c:val>
            <c:numRef>
              <c:f>'Report Test'!$C$85:$C$89</c:f>
              <c:numCache>
                <c:formatCode>0</c:formatCode>
                <c:ptCount val="5"/>
                <c:pt idx="0">
                  <c:v>101</c:v>
                </c:pt>
                <c:pt idx="1">
                  <c:v>37</c:v>
                </c:pt>
                <c:pt idx="2">
                  <c:v>20</c:v>
                </c:pt>
                <c:pt idx="3">
                  <c:v>7</c:v>
                </c:pt>
                <c:pt idx="4">
                  <c:v>58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4. Bug Resolution (%)</a:t>
            </a:r>
          </a:p>
        </c:rich>
      </c:tx>
      <c:overlay val="0"/>
      <c:spPr>
        <a:noFill/>
        <a:ln w="0">
          <a:noFill/>
        </a:ln>
      </c:spPr>
    </c:title>
    <c:autoTitleDeleted val="0"/>
    <c:plotArea>
      <c:pieChart>
        <c:varyColors val="1"/>
        <c:ser>
          <c:idx val="0"/>
          <c:order val="0"/>
          <c:tx>
            <c:strRef>
              <c:f>'Report Test'!$C$120</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Test'!$B$121:$B$123</c:f>
              <c:strCache>
                <c:ptCount val="3"/>
                <c:pt idx="0">
                  <c:v>Fixed</c:v>
                </c:pt>
                <c:pt idx="1">
                  <c:v>Won't fix</c:v>
                </c:pt>
                <c:pt idx="2">
                  <c:v>Chưa xác định</c:v>
                </c:pt>
              </c:strCache>
            </c:strRef>
          </c:cat>
          <c:val>
            <c:numRef>
              <c:f>'Report Test'!$C$121:$C$123</c:f>
              <c:numCache>
                <c:formatCode>0</c:formatCode>
                <c:ptCount val="3"/>
                <c:pt idx="0">
                  <c:v>1</c:v>
                </c:pt>
                <c:pt idx="1">
                  <c:v>0</c:v>
                </c:pt>
                <c:pt idx="2">
                  <c:v>39</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5. Bug Won't fix theo Lý do</a:t>
            </a:r>
          </a:p>
        </c:rich>
      </c:tx>
      <c:overlay val="0"/>
      <c:spPr>
        <a:noFill/>
        <a:ln w="0">
          <a:noFill/>
        </a:ln>
      </c:spPr>
    </c:title>
    <c:autoTitleDeleted val="0"/>
    <c:plotArea>
      <c:barChart>
        <c:barDir val="col"/>
        <c:grouping val="clustered"/>
        <c:varyColors val="0"/>
        <c:ser>
          <c:idx val="0"/>
          <c:order val="0"/>
          <c:tx>
            <c:strRef>
              <c:f>"Số lượng"</c:f>
              <c:strCache>
                <c:ptCount val="1"/>
                <c:pt idx="0">
                  <c:v>Số lượng</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Test'!$B$138:$B$147</c:f>
              <c:strCache>
                <c:ptCount val="10"/>
                <c:pt idx="0">
                  <c:v>1.1</c:v>
                </c:pt>
                <c:pt idx="1">
                  <c:v>1.2</c:v>
                </c:pt>
                <c:pt idx="2">
                  <c:v>1.3</c:v>
                </c:pt>
                <c:pt idx="3">
                  <c:v>2.1</c:v>
                </c:pt>
                <c:pt idx="4">
                  <c:v>2.2</c:v>
                </c:pt>
                <c:pt idx="5">
                  <c:v>3.1</c:v>
                </c:pt>
                <c:pt idx="6">
                  <c:v>3.2</c:v>
                </c:pt>
                <c:pt idx="7">
                  <c:v>3.3</c:v>
                </c:pt>
                <c:pt idx="8">
                  <c:v>3.4</c:v>
                </c:pt>
                <c:pt idx="9">
                  <c:v>4.1</c:v>
                </c:pt>
              </c:strCache>
            </c:strRef>
          </c:cat>
          <c:val>
            <c:numRef>
              <c:f>'Report Test'!$E$138:$E$147</c:f>
              <c:numCache>
                <c:formatCode>0</c:formatCode>
                <c:ptCount val="10"/>
                <c:pt idx="0">
                  <c:v>0</c:v>
                </c:pt>
                <c:pt idx="1">
                  <c:v>0</c:v>
                </c:pt>
                <c:pt idx="2">
                  <c:v>0</c:v>
                </c:pt>
                <c:pt idx="3">
                  <c:v>0</c:v>
                </c:pt>
                <c:pt idx="4">
                  <c:v>0</c:v>
                </c:pt>
                <c:pt idx="5">
                  <c:v>0</c:v>
                </c:pt>
                <c:pt idx="6">
                  <c:v>0</c:v>
                </c:pt>
                <c:pt idx="7">
                  <c:v>0</c:v>
                </c:pt>
                <c:pt idx="8">
                  <c:v>0</c:v>
                </c:pt>
                <c:pt idx="9">
                  <c:v>0</c:v>
                </c:pt>
              </c:numCache>
            </c:numRef>
          </c:val>
        </c:ser>
        <c:gapWidth val="150"/>
        <c:overlap val="0"/>
        <c:axId val="12359205"/>
        <c:axId val="70540647"/>
      </c:barChart>
      <c:catAx>
        <c:axId val="1235920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0540647"/>
        <c:crosses val="autoZero"/>
        <c:auto val="1"/>
        <c:lblAlgn val="ctr"/>
        <c:lblOffset val="100"/>
        <c:noMultiLvlLbl val="0"/>
      </c:catAx>
      <c:valAx>
        <c:axId val="70540647"/>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35920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6. Defect Type</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Test'!$B$154:$B$159</c:f>
              <c:strCache>
                <c:ptCount val="6"/>
                <c:pt idx="0">
                  <c:v>Data</c:v>
                </c:pt>
                <c:pt idx="1">
                  <c:v>Interface</c:v>
                </c:pt>
                <c:pt idx="2">
                  <c:v>Logic</c:v>
                </c:pt>
                <c:pt idx="3">
                  <c:v>Requirement</c:v>
                </c:pt>
                <c:pt idx="4">
                  <c:v>Server</c:v>
                </c:pt>
                <c:pt idx="5">
                  <c:v>Other</c:v>
                </c:pt>
              </c:strCache>
            </c:strRef>
          </c:cat>
          <c:val>
            <c:numRef>
              <c:f>'Report Test'!$C$154:$C$159</c:f>
              <c:numCache>
                <c:formatCode>0</c:formatCode>
                <c:ptCount val="6"/>
                <c:pt idx="0">
                  <c:v>4</c:v>
                </c:pt>
                <c:pt idx="1">
                  <c:v>16</c:v>
                </c:pt>
                <c:pt idx="2">
                  <c:v>13</c:v>
                </c:pt>
                <c:pt idx="3">
                  <c:v>6</c:v>
                </c:pt>
                <c:pt idx="4">
                  <c:v>0</c:v>
                </c:pt>
                <c:pt idx="5">
                  <c:v>1</c:v>
                </c:pt>
              </c:numCache>
            </c:numRef>
          </c:val>
        </c:ser>
        <c:gapWidth val="150"/>
        <c:overlap val="0"/>
        <c:axId val="83241774"/>
        <c:axId val="91073493"/>
      </c:barChart>
      <c:catAx>
        <c:axId val="83241774"/>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1073493"/>
        <c:crosses val="autoZero"/>
        <c:auto val="1"/>
        <c:lblAlgn val="ctr"/>
        <c:lblOffset val="100"/>
        <c:noMultiLvlLbl val="0"/>
      </c:catAx>
      <c:valAx>
        <c:axId val="9107349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3241774"/>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7. Effect</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Test'!$B$170:$B$174</c:f>
              <c:strCache>
                <c:ptCount val="5"/>
                <c:pt idx="0">
                  <c:v>Functionality</c:v>
                </c:pt>
                <c:pt idx="1">
                  <c:v>Performance</c:v>
                </c:pt>
                <c:pt idx="2">
                  <c:v>Security</c:v>
                </c:pt>
                <c:pt idx="3">
                  <c:v>Serviceability</c:v>
                </c:pt>
                <c:pt idx="4">
                  <c:v>Usability</c:v>
                </c:pt>
              </c:strCache>
            </c:strRef>
          </c:cat>
          <c:val>
            <c:numRef>
              <c:f>'Report Test'!$C$170:$C$174</c:f>
              <c:numCache>
                <c:formatCode>0</c:formatCode>
                <c:ptCount val="5"/>
                <c:pt idx="0">
                  <c:v>17</c:v>
                </c:pt>
                <c:pt idx="1">
                  <c:v>0</c:v>
                </c:pt>
                <c:pt idx="2">
                  <c:v>0</c:v>
                </c:pt>
                <c:pt idx="3">
                  <c:v>0</c:v>
                </c:pt>
                <c:pt idx="4">
                  <c:v>23</c:v>
                </c:pt>
              </c:numCache>
            </c:numRef>
          </c:val>
        </c:ser>
        <c:gapWidth val="150"/>
        <c:overlap val="0"/>
        <c:axId val="38198799"/>
        <c:axId val="128104"/>
      </c:barChart>
      <c:catAx>
        <c:axId val="3819879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8104"/>
        <c:crosses val="autoZero"/>
        <c:auto val="1"/>
        <c:lblAlgn val="ctr"/>
        <c:lblOffset val="100"/>
        <c:noMultiLvlLbl val="0"/>
      </c:catAx>
      <c:valAx>
        <c:axId val="12810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819879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8. Bug Rework</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Test'!$B$186:$B$189</c:f>
              <c:strCache>
                <c:ptCount val="4"/>
                <c:pt idx="0">
                  <c:v>1-2 lần</c:v>
                </c:pt>
                <c:pt idx="1">
                  <c:v>3-5 lần</c:v>
                </c:pt>
                <c:pt idx="2">
                  <c:v>6-7 lần</c:v>
                </c:pt>
                <c:pt idx="3">
                  <c:v>8-10 lần</c:v>
                </c:pt>
              </c:strCache>
            </c:strRef>
          </c:cat>
          <c:val>
            <c:numRef>
              <c:f>'Report Test'!$C$186:$C$189</c:f>
              <c:numCache>
                <c:formatCode>0</c:formatCode>
                <c:ptCount val="4"/>
                <c:pt idx="0">
                  <c:v>0</c:v>
                </c:pt>
                <c:pt idx="1">
                  <c:v>0</c:v>
                </c:pt>
                <c:pt idx="2">
                  <c:v>0</c:v>
                </c:pt>
                <c:pt idx="3">
                  <c:v>0</c:v>
                </c:pt>
              </c:numCache>
            </c:numRef>
          </c:val>
        </c:ser>
        <c:gapWidth val="150"/>
        <c:overlap val="0"/>
        <c:axId val="1629957"/>
        <c:axId val="14166267"/>
      </c:barChart>
      <c:catAx>
        <c:axId val="1629957"/>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4166267"/>
        <c:crosses val="autoZero"/>
        <c:auto val="1"/>
        <c:lblAlgn val="ctr"/>
        <c:lblOffset val="100"/>
        <c:noMultiLvlLbl val="0"/>
      </c:catAx>
      <c:valAx>
        <c:axId val="14166267"/>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62995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1b. Tỷ lệ Bug theo chức năng (%)</a:t>
            </a:r>
          </a:p>
        </c:rich>
      </c:tx>
      <c:overlay val="0"/>
      <c:spPr>
        <a:noFill/>
        <a:ln w="0">
          <a:noFill/>
        </a:ln>
      </c:spPr>
    </c:title>
    <c:autoTitleDeleted val="0"/>
    <c:plotArea>
      <c:pieChart>
        <c:varyColors val="1"/>
        <c:ser>
          <c:idx val="0"/>
          <c:order val="0"/>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Pt>
            <c:idx val="5"/>
            <c:spPr>
              <a:solidFill>
                <a:srgbClr val="F79646"/>
              </a:solidFill>
              <a:ln w="0">
                <a:noFill/>
              </a:ln>
            </c:spPr>
          </c:dPt>
          <c:dPt>
            <c:idx val="6"/>
            <c:spPr>
              <a:solidFill>
                <a:srgbClr val="84A7D1"/>
              </a:solidFill>
              <a:ln w="0">
                <a:noFill/>
              </a:ln>
            </c:spPr>
          </c:dPt>
          <c:dPt>
            <c:idx val="7"/>
            <c:spPr>
              <a:solidFill>
                <a:srgbClr val="D38582"/>
              </a:solidFill>
              <a:ln w="0">
                <a:noFill/>
              </a:ln>
            </c:spPr>
          </c:dPt>
          <c:dPt>
            <c:idx val="8"/>
            <c:spPr>
              <a:solidFill>
                <a:srgbClr val="B9CF8B"/>
              </a:solidFill>
              <a:ln w="0">
                <a:noFill/>
              </a:ln>
            </c:spPr>
          </c:dPt>
          <c:dPt>
            <c:idx val="9"/>
            <c:spPr>
              <a:solidFill>
                <a:srgbClr val="A693BE"/>
              </a:solidFill>
              <a:ln w="0">
                <a:noFill/>
              </a:ln>
            </c:spPr>
          </c:dPt>
          <c:dLbls>
            <c:dLbl>
              <c:idx val="0"/>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7"/>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8"/>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9"/>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Test'!$C$43:$C$52</c:f>
              <c:strCache>
                <c:ptCount val="10"/>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Khác / chưa gán chức năng</c:v>
                </c:pt>
              </c:strCache>
            </c:strRef>
          </c:cat>
          <c:val>
            <c:numRef>
              <c:f>'Report Test'!$J$43:$J$52</c:f>
              <c:numCache>
                <c:formatCode>0</c:formatCode>
                <c:ptCount val="10"/>
                <c:pt idx="0">
                  <c:v>2</c:v>
                </c:pt>
                <c:pt idx="1">
                  <c:v>1</c:v>
                </c:pt>
                <c:pt idx="2">
                  <c:v>3</c:v>
                </c:pt>
                <c:pt idx="3">
                  <c:v>7</c:v>
                </c:pt>
                <c:pt idx="4">
                  <c:v>1</c:v>
                </c:pt>
                <c:pt idx="5">
                  <c:v>1</c:v>
                </c:pt>
                <c:pt idx="6">
                  <c:v>2</c:v>
                </c:pt>
                <c:pt idx="7">
                  <c:v>1</c:v>
                </c:pt>
                <c:pt idx="8">
                  <c:v>7</c:v>
                </c:pt>
                <c:pt idx="9">
                  <c:v>15</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Automation (%)</a:t>
            </a:r>
          </a:p>
        </c:rich>
      </c:tx>
      <c:overlay val="0"/>
      <c:spPr>
        <a:noFill/>
        <a:ln w="0">
          <a:noFill/>
        </a:ln>
      </c:spPr>
    </c:title>
    <c:autoTitleDeleted val="0"/>
    <c:plotArea>
      <c:barChart>
        <c:barDir val="bar"/>
        <c:grouping val="clustered"/>
        <c:varyColors val="0"/>
        <c:ser>
          <c:idx val="0"/>
          <c:order val="0"/>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Test'!$B$203:$B$208</c:f>
              <c:strCache>
                <c:ptCount val="6"/>
                <c:pt idx="0">
                  <c:v>TC sinh bởi AI (AI-generated)</c:v>
                </c:pt>
                <c:pt idx="1">
                  <c:v>TC do QC viết tay</c:v>
                </c:pt>
                <c:pt idx="2">
                  <c:v>TC đã automation (có script)</c:v>
                </c:pt>
                <c:pt idx="3">
                  <c:v>TC Vibe-test</c:v>
                </c:pt>
                <c:pt idx="4">
                  <c:v>TC đã QC review</c:v>
                </c:pt>
                <c:pt idx="5">
                  <c:v>TC script auto chạy Pass</c:v>
                </c:pt>
              </c:strCache>
            </c:strRef>
          </c:cat>
          <c:val>
            <c:numRef>
              <c:f>'Report Test'!$D$203:$D$208</c:f>
              <c:numCache>
                <c:formatCode>0.0%</c:formatCode>
                <c:ptCount val="6"/>
                <c:pt idx="0">
                  <c:v>1</c:v>
                </c:pt>
                <c:pt idx="1">
                  <c:v>0</c:v>
                </c:pt>
                <c:pt idx="2">
                  <c:v>0</c:v>
                </c:pt>
                <c:pt idx="3">
                  <c:v>0.739910313901345</c:v>
                </c:pt>
                <c:pt idx="4">
                  <c:v>0</c:v>
                </c:pt>
                <c:pt idx="5">
                  <c:v>0</c:v>
                </c:pt>
              </c:numCache>
            </c:numRef>
          </c:val>
        </c:ser>
        <c:gapWidth val="150"/>
        <c:overlap val="0"/>
        <c:axId val="20644555"/>
        <c:axId val="74840525"/>
      </c:barChart>
      <c:catAx>
        <c:axId val="20644555"/>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4840525"/>
        <c:crosses val="autoZero"/>
        <c:auto val="1"/>
        <c:lblAlgn val="ctr"/>
        <c:lblOffset val="100"/>
        <c:noMultiLvlLbl val="0"/>
      </c:catAx>
      <c:valAx>
        <c:axId val="74840525"/>
        <c:scaling>
          <c:orientation val="minMax"/>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06445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 Fail theo Round</a:t>
            </a:r>
          </a:p>
        </c:rich>
      </c:tx>
      <c:overlay val="0"/>
      <c:spPr>
        <a:noFill/>
        <a:ln w="0">
          <a:noFill/>
        </a:ln>
      </c:spPr>
    </c:title>
    <c:autoTitleDeleted val="0"/>
    <c:plotArea>
      <c:barChart>
        <c:barDir val="col"/>
        <c:grouping val="clustered"/>
        <c:varyColors val="0"/>
        <c:ser>
          <c:idx val="0"/>
          <c:order val="0"/>
          <c:tx>
            <c:strRef>
              <c:f>'Report Test'!$F$220</c:f>
              <c:strCache>
                <c:ptCount val="1"/>
                <c:pt idx="0">
                  <c:v>Pass</c:v>
                </c:pt>
              </c:strCache>
            </c:strRef>
          </c:tx>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Test'!$F$221:$F$223</c:f>
              <c:numCache>
                <c:formatCode>0</c:formatCode>
                <c:ptCount val="3"/>
                <c:pt idx="0">
                  <c:v>101</c:v>
                </c:pt>
                <c:pt idx="1">
                  <c:v>0</c:v>
                </c:pt>
                <c:pt idx="2">
                  <c:v>0</c:v>
                </c:pt>
              </c:numCache>
            </c:numRef>
          </c:val>
        </c:ser>
        <c:ser>
          <c:idx val="1"/>
          <c:order val="1"/>
          <c:tx>
            <c:strRef>
              <c:f>'Report Test'!$G$220</c:f>
              <c:strCache>
                <c:ptCount val="1"/>
                <c:pt idx="0">
                  <c:v>Fail</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Test'!$G$221:$G$223</c:f>
              <c:numCache>
                <c:formatCode>0</c:formatCode>
                <c:ptCount val="3"/>
                <c:pt idx="0">
                  <c:v>37</c:v>
                </c:pt>
                <c:pt idx="1">
                  <c:v>0</c:v>
                </c:pt>
                <c:pt idx="2">
                  <c:v>0</c:v>
                </c:pt>
              </c:numCache>
            </c:numRef>
          </c:val>
        </c:ser>
        <c:ser>
          <c:idx val="2"/>
          <c:order val="2"/>
          <c:tx>
            <c:strRef>
              <c:f>'Report Test'!$H$220</c:f>
              <c:strCache>
                <c:ptCount val="1"/>
                <c:pt idx="0">
                  <c:v>Block</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Test'!$H$221:$H$223</c:f>
              <c:numCache>
                <c:formatCode>0</c:formatCode>
                <c:ptCount val="3"/>
                <c:pt idx="0">
                  <c:v>20</c:v>
                </c:pt>
                <c:pt idx="1">
                  <c:v>0</c:v>
                </c:pt>
                <c:pt idx="2">
                  <c:v>0</c:v>
                </c:pt>
              </c:numCache>
            </c:numRef>
          </c:val>
        </c:ser>
        <c:ser>
          <c:idx val="3"/>
          <c:order val="3"/>
          <c:tx>
            <c:strRef>
              <c:f>'Report Test'!$I$220</c:f>
              <c:strCache>
                <c:ptCount val="1"/>
                <c:pt idx="0">
                  <c:v>N/A</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Test'!$I$221:$I$223</c:f>
              <c:numCache>
                <c:formatCode>0</c:formatCode>
                <c:ptCount val="3"/>
                <c:pt idx="0">
                  <c:v>7</c:v>
                </c:pt>
                <c:pt idx="1">
                  <c:v>0</c:v>
                </c:pt>
                <c:pt idx="2">
                  <c:v>0</c:v>
                </c:pt>
              </c:numCache>
            </c:numRef>
          </c:val>
        </c:ser>
        <c:gapWidth val="150"/>
        <c:overlap val="0"/>
        <c:axId val="80868474"/>
        <c:axId val="13736636"/>
      </c:barChart>
      <c:catAx>
        <c:axId val="80868474"/>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3736636"/>
        <c:crosses val="autoZero"/>
        <c:auto val="1"/>
        <c:lblAlgn val="ctr"/>
        <c:lblOffset val="100"/>
        <c:noMultiLvlLbl val="0"/>
      </c:catAx>
      <c:valAx>
        <c:axId val="1373663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Test cases</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086847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Bug phát hiện vs đã đóng theo Round</a:t>
            </a:r>
          </a:p>
        </c:rich>
      </c:tx>
      <c:overlay val="0"/>
      <c:spPr>
        <a:noFill/>
        <a:ln w="0">
          <a:noFill/>
        </a:ln>
      </c:spPr>
    </c:title>
    <c:autoTitleDeleted val="0"/>
    <c:plotArea>
      <c:barChart>
        <c:barDir val="col"/>
        <c:grouping val="clustered"/>
        <c:varyColors val="0"/>
        <c:ser>
          <c:idx val="0"/>
          <c:order val="0"/>
          <c:tx>
            <c:strRef>
              <c:f>'Report Test'!$C$229</c:f>
              <c:strCache>
                <c:ptCount val="1"/>
                <c:pt idx="0">
                  <c:v>Phát hiện</c:v>
                </c:pt>
              </c:strCache>
            </c:strRef>
          </c:tx>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Test'!$C$230:$C$234</c:f>
              <c:numCache>
                <c:formatCode>General</c:formatCode>
                <c:ptCount val="5"/>
                <c:pt idx="0">
                  <c:v>40</c:v>
                </c:pt>
                <c:pt idx="1">
                  <c:v>0</c:v>
                </c:pt>
                <c:pt idx="2">
                  <c:v>0</c:v>
                </c:pt>
                <c:pt idx="3">
                  <c:v>0</c:v>
                </c:pt>
                <c:pt idx="4">
                  <c:v>0</c:v>
                </c:pt>
              </c:numCache>
            </c:numRef>
          </c:val>
        </c:ser>
        <c:ser>
          <c:idx val="1"/>
          <c:order val="1"/>
          <c:tx>
            <c:strRef>
              <c:f>'Report Test'!$D$229</c:f>
              <c:strCache>
                <c:ptCount val="1"/>
                <c:pt idx="0">
                  <c:v>Đã đóng</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Test'!$D$230:$D$234</c:f>
              <c:numCache>
                <c:formatCode>General</c:formatCode>
                <c:ptCount val="5"/>
                <c:pt idx="0">
                  <c:v>0</c:v>
                </c:pt>
                <c:pt idx="1">
                  <c:v>0</c:v>
                </c:pt>
                <c:pt idx="2">
                  <c:v>0</c:v>
                </c:pt>
                <c:pt idx="3">
                  <c:v>0</c:v>
                </c:pt>
                <c:pt idx="4">
                  <c:v>0</c:v>
                </c:pt>
              </c:numCache>
            </c:numRef>
          </c:val>
        </c:ser>
        <c:gapWidth val="150"/>
        <c:overlap val="0"/>
        <c:axId val="12506808"/>
        <c:axId val="26184694"/>
      </c:barChart>
      <c:catAx>
        <c:axId val="12506808"/>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6184694"/>
        <c:crosses val="autoZero"/>
        <c:auto val="1"/>
        <c:lblAlgn val="ctr"/>
        <c:lblOffset val="100"/>
        <c:noMultiLvlLbl val="0"/>
      </c:catAx>
      <c:valAx>
        <c:axId val="2618469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Bug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50680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rate % theo Round</a:t>
            </a:r>
          </a:p>
        </c:rich>
      </c:tx>
      <c:overlay val="0"/>
      <c:spPr>
        <a:noFill/>
        <a:ln w="0">
          <a:noFill/>
        </a:ln>
      </c:spPr>
    </c:title>
    <c:autoTitleDeleted val="0"/>
    <c:plotArea>
      <c:lineChart>
        <c:grouping val="standard"/>
        <c:varyColors val="0"/>
        <c:ser>
          <c:idx val="0"/>
          <c:order val="0"/>
          <c:tx>
            <c:strRef>
              <c:f>'Report Test'!$K$220</c:f>
              <c:strCache>
                <c:ptCount val="1"/>
                <c:pt idx="0">
                  <c:v>Pass rate</c:v>
                </c:pt>
              </c:strCache>
            </c:strRef>
          </c:tx>
          <c:spPr>
            <a:solidFill>
              <a:srgbClr val="4472C4"/>
            </a:solidFill>
            <a:ln w="19080">
              <a:solidFill>
                <a:srgbClr val="4472C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Test'!$K$221:$K$223</c:f>
              <c:numCache>
                <c:formatCode>0.0%</c:formatCode>
                <c:ptCount val="3"/>
                <c:pt idx="0">
                  <c:v>0.612121212121212</c:v>
                </c:pt>
              </c:numCache>
            </c:numRef>
          </c:val>
          <c:smooth val="0"/>
        </c:ser>
        <c:hiLowLines>
          <c:spPr>
            <a:ln w="0">
              <a:noFill/>
            </a:ln>
          </c:spPr>
        </c:hiLowLines>
        <c:marker val="0"/>
        <c:axId val="27065489"/>
        <c:axId val="25402071"/>
      </c:lineChart>
      <c:catAx>
        <c:axId val="2706548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5402071"/>
        <c:crosses val="autoZero"/>
        <c:auto val="1"/>
        <c:lblAlgn val="ctr"/>
        <c:lblOffset val="100"/>
        <c:noMultiLvlLbl val="0"/>
      </c:catAx>
      <c:valAx>
        <c:axId val="2540207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0%"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2706548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Độ phủ theo nhóm yêu cầu (Số TC vs Đã chạy)</a:t>
            </a:r>
          </a:p>
        </c:rich>
      </c:tx>
      <c:overlay val="0"/>
      <c:spPr>
        <a:noFill/>
        <a:ln w="0">
          <a:noFill/>
        </a:ln>
      </c:spPr>
    </c:title>
    <c:autoTitleDeleted val="0"/>
    <c:plotArea>
      <c:barChart>
        <c:barDir val="col"/>
        <c:grouping val="clustered"/>
        <c:varyColors val="0"/>
        <c:ser>
          <c:idx val="0"/>
          <c:order val="0"/>
          <c:spPr>
            <a:solidFill>
              <a:srgbClr val="A9D08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RTM!$AE$6:$AE$16</c:f>
              <c:numCache>
                <c:formatCode>General</c:formatCode>
                <c:ptCount val="11"/>
                <c:pt idx="0">
                  <c:v>10</c:v>
                </c:pt>
                <c:pt idx="1">
                  <c:v>13</c:v>
                </c:pt>
                <c:pt idx="2">
                  <c:v>16</c:v>
                </c:pt>
                <c:pt idx="3">
                  <c:v>51</c:v>
                </c:pt>
                <c:pt idx="4">
                  <c:v>5</c:v>
                </c:pt>
                <c:pt idx="5">
                  <c:v>8</c:v>
                </c:pt>
                <c:pt idx="6">
                  <c:v>12</c:v>
                </c:pt>
                <c:pt idx="7">
                  <c:v>9</c:v>
                </c:pt>
                <c:pt idx="8">
                  <c:v>50</c:v>
                </c:pt>
                <c:pt idx="9">
                  <c:v>17</c:v>
                </c:pt>
                <c:pt idx="10">
                  <c:v>40</c:v>
                </c:pt>
              </c:numCache>
            </c:numRef>
          </c:val>
        </c:ser>
        <c:ser>
          <c:idx val="1"/>
          <c:order val="1"/>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RTM!$AF$6:$AF$16</c:f>
              <c:numCache>
                <c:formatCode>General</c:formatCode>
                <c:ptCount val="11"/>
                <c:pt idx="0">
                  <c:v>10</c:v>
                </c:pt>
                <c:pt idx="1">
                  <c:v>13</c:v>
                </c:pt>
                <c:pt idx="2">
                  <c:v>16</c:v>
                </c:pt>
                <c:pt idx="3">
                  <c:v>11</c:v>
                </c:pt>
                <c:pt idx="4">
                  <c:v>5</c:v>
                </c:pt>
                <c:pt idx="5">
                  <c:v>6</c:v>
                </c:pt>
                <c:pt idx="6">
                  <c:v>8</c:v>
                </c:pt>
                <c:pt idx="7">
                  <c:v>0</c:v>
                </c:pt>
                <c:pt idx="8">
                  <c:v>47</c:v>
                </c:pt>
                <c:pt idx="9">
                  <c:v>17</c:v>
                </c:pt>
                <c:pt idx="10">
                  <c:v>40</c:v>
                </c:pt>
              </c:numCache>
            </c:numRef>
          </c:val>
        </c:ser>
        <c:gapWidth val="150"/>
        <c:overlap val="0"/>
        <c:axId val="19220807"/>
        <c:axId val="55634902"/>
      </c:barChart>
      <c:catAx>
        <c:axId val="1922080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Nhóm yêu cầu (Req ID)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5634902"/>
        <c:crosses val="autoZero"/>
        <c:auto val="1"/>
        <c:lblAlgn val="ctr"/>
        <c:lblOffset val="100"/>
        <c:noMultiLvlLbl val="0"/>
      </c:catAx>
      <c:valAx>
        <c:axId val="5563490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Test Case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922080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0"/>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 Id="rId7" Type="http://schemas.openxmlformats.org/officeDocument/2006/relationships/chart" Target="../charts/chart10.xml"/><Relationship Id="rId8" Type="http://schemas.openxmlformats.org/officeDocument/2006/relationships/chart" Target="../charts/chart11.xml"/><Relationship Id="rId9" Type="http://schemas.openxmlformats.org/officeDocument/2006/relationships/chart" Target="../charts/chart12.xml"/><Relationship Id="rId10" Type="http://schemas.openxmlformats.org/officeDocument/2006/relationships/chart" Target="../charts/chart13.xml"/><Relationship Id="rId11" Type="http://schemas.openxmlformats.org/officeDocument/2006/relationships/chart" Target="../charts/chart14.xml"/><Relationship Id="rId12" Type="http://schemas.openxmlformats.org/officeDocument/2006/relationships/chart" Target="../charts/chart15.xml"/><Relationship Id="rId13" Type="http://schemas.openxmlformats.org/officeDocument/2006/relationships/chart" Target="../charts/chart16.xml"/><Relationship Id="rId14" Type="http://schemas.openxmlformats.org/officeDocument/2006/relationships/chart" Target="../charts/chart17.xml"/>
</Relationships>
</file>

<file path=xl/drawings/_rels/drawing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66600</xdr:rowOff>
    </xdr:from>
    <xdr:to>
      <xdr:col>3</xdr:col>
      <xdr:colOff>159480</xdr:colOff>
      <xdr:row>3</xdr:row>
      <xdr:rowOff>161640</xdr:rowOff>
    </xdr:to>
    <xdr:pic>
      <xdr:nvPicPr>
        <xdr:cNvPr id="1" name="image1.png"/>
        <xdr:cNvPicPr/>
      </xdr:nvPicPr>
      <xdr:blipFill>
        <a:blip r:embed="rId1"/>
        <a:stretch/>
      </xdr:blipFill>
      <xdr:spPr>
        <a:xfrm>
          <a:off x="316080" y="66600"/>
          <a:ext cx="2028600" cy="10569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2</xdr:col>
      <xdr:colOff>830520</xdr:colOff>
      <xdr:row>2</xdr:row>
      <xdr:rowOff>294840</xdr:rowOff>
    </xdr:to>
    <xdr:pic>
      <xdr:nvPicPr>
        <xdr:cNvPr id="2" name="image1.png"/>
        <xdr:cNvPicPr/>
      </xdr:nvPicPr>
      <xdr:blipFill>
        <a:blip r:embed="rId1"/>
        <a:stretch/>
      </xdr:blipFill>
      <xdr:spPr>
        <a:xfrm>
          <a:off x="0" y="0"/>
          <a:ext cx="2028600" cy="105696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181080</xdr:colOff>
      <xdr:row>22</xdr:row>
      <xdr:rowOff>76320</xdr:rowOff>
    </xdr:from>
    <xdr:to>
      <xdr:col>6</xdr:col>
      <xdr:colOff>855000</xdr:colOff>
      <xdr:row>39</xdr:row>
      <xdr:rowOff>38160</xdr:rowOff>
    </xdr:to>
    <xdr:graphicFrame>
      <xdr:nvGraphicFramePr>
        <xdr:cNvPr id="3" name="Chart 1"/>
        <xdr:cNvGraphicFramePr/>
      </xdr:nvGraphicFramePr>
      <xdr:xfrm>
        <a:off x="181080" y="4961520"/>
        <a:ext cx="5819400" cy="3362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276120</xdr:colOff>
      <xdr:row>22</xdr:row>
      <xdr:rowOff>76320</xdr:rowOff>
    </xdr:from>
    <xdr:to>
      <xdr:col>13</xdr:col>
      <xdr:colOff>96840</xdr:colOff>
      <xdr:row>39</xdr:row>
      <xdr:rowOff>38160</xdr:rowOff>
    </xdr:to>
    <xdr:graphicFrame>
      <xdr:nvGraphicFramePr>
        <xdr:cNvPr id="4" name="Chart 2"/>
        <xdr:cNvGraphicFramePr/>
      </xdr:nvGraphicFramePr>
      <xdr:xfrm>
        <a:off x="6559560" y="4961520"/>
        <a:ext cx="5924160" cy="3362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714240</xdr:colOff>
      <xdr:row>40</xdr:row>
      <xdr:rowOff>190440</xdr:rowOff>
    </xdr:from>
    <xdr:to>
      <xdr:col>11</xdr:col>
      <xdr:colOff>4320</xdr:colOff>
      <xdr:row>54</xdr:row>
      <xdr:rowOff>132840</xdr:rowOff>
    </xdr:to>
    <xdr:graphicFrame>
      <xdr:nvGraphicFramePr>
        <xdr:cNvPr id="5" name="Chart 3"/>
        <xdr:cNvGraphicFramePr/>
      </xdr:nvGraphicFramePr>
      <xdr:xfrm>
        <a:off x="4308840" y="8676000"/>
        <a:ext cx="6048000" cy="30189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142920</xdr:colOff>
      <xdr:row>22</xdr:row>
      <xdr:rowOff>47520</xdr:rowOff>
    </xdr:from>
    <xdr:to>
      <xdr:col>5</xdr:col>
      <xdr:colOff>614880</xdr:colOff>
      <xdr:row>36</xdr:row>
      <xdr:rowOff>132840</xdr:rowOff>
    </xdr:to>
    <xdr:graphicFrame>
      <xdr:nvGraphicFramePr>
        <xdr:cNvPr id="6" name="Chart 1"/>
        <xdr:cNvGraphicFramePr/>
      </xdr:nvGraphicFramePr>
      <xdr:xfrm>
        <a:off x="142920" y="5139000"/>
        <a:ext cx="5295600" cy="2885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142920</xdr:colOff>
      <xdr:row>57</xdr:row>
      <xdr:rowOff>123840</xdr:rowOff>
    </xdr:from>
    <xdr:to>
      <xdr:col>13</xdr:col>
      <xdr:colOff>455040</xdr:colOff>
      <xdr:row>72</xdr:row>
      <xdr:rowOff>123120</xdr:rowOff>
    </xdr:to>
    <xdr:graphicFrame>
      <xdr:nvGraphicFramePr>
        <xdr:cNvPr id="7" name="Chart 2"/>
        <xdr:cNvGraphicFramePr/>
      </xdr:nvGraphicFramePr>
      <xdr:xfrm>
        <a:off x="7715160" y="12416040"/>
        <a:ext cx="5810040" cy="3104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847800</xdr:colOff>
      <xdr:row>98</xdr:row>
      <xdr:rowOff>190440</xdr:rowOff>
    </xdr:from>
    <xdr:to>
      <xdr:col>11</xdr:col>
      <xdr:colOff>11160</xdr:colOff>
      <xdr:row>113</xdr:row>
      <xdr:rowOff>123480</xdr:rowOff>
    </xdr:to>
    <xdr:graphicFrame>
      <xdr:nvGraphicFramePr>
        <xdr:cNvPr id="8" name="Chart 3"/>
        <xdr:cNvGraphicFramePr/>
      </xdr:nvGraphicFramePr>
      <xdr:xfrm>
        <a:off x="4754880" y="20929680"/>
        <a:ext cx="5295600" cy="2933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723960</xdr:colOff>
      <xdr:row>82</xdr:row>
      <xdr:rowOff>0</xdr:rowOff>
    </xdr:from>
    <xdr:to>
      <xdr:col>9</xdr:col>
      <xdr:colOff>521640</xdr:colOff>
      <xdr:row>95</xdr:row>
      <xdr:rowOff>144360</xdr:rowOff>
    </xdr:to>
    <xdr:graphicFrame>
      <xdr:nvGraphicFramePr>
        <xdr:cNvPr id="9" name="Chart 4"/>
        <xdr:cNvGraphicFramePr/>
      </xdr:nvGraphicFramePr>
      <xdr:xfrm>
        <a:off x="3714840" y="17397720"/>
        <a:ext cx="5295600" cy="2885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9360</xdr:colOff>
      <xdr:row>117</xdr:row>
      <xdr:rowOff>190440</xdr:rowOff>
    </xdr:from>
    <xdr:to>
      <xdr:col>9</xdr:col>
      <xdr:colOff>723240</xdr:colOff>
      <xdr:row>132</xdr:row>
      <xdr:rowOff>75600</xdr:rowOff>
    </xdr:to>
    <xdr:graphicFrame>
      <xdr:nvGraphicFramePr>
        <xdr:cNvPr id="10" name="Chart 5"/>
        <xdr:cNvGraphicFramePr/>
      </xdr:nvGraphicFramePr>
      <xdr:xfrm>
        <a:off x="3916440" y="24729840"/>
        <a:ext cx="5295600" cy="2885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847800</xdr:colOff>
      <xdr:row>134</xdr:row>
      <xdr:rowOff>190440</xdr:rowOff>
    </xdr:from>
    <xdr:to>
      <xdr:col>11</xdr:col>
      <xdr:colOff>11160</xdr:colOff>
      <xdr:row>149</xdr:row>
      <xdr:rowOff>75960</xdr:rowOff>
    </xdr:to>
    <xdr:graphicFrame>
      <xdr:nvGraphicFramePr>
        <xdr:cNvPr id="11" name="Chart 6"/>
        <xdr:cNvGraphicFramePr/>
      </xdr:nvGraphicFramePr>
      <xdr:xfrm>
        <a:off x="4754880" y="28130400"/>
        <a:ext cx="5295600" cy="2885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1724040</xdr:colOff>
      <xdr:row>150</xdr:row>
      <xdr:rowOff>190440</xdr:rowOff>
    </xdr:from>
    <xdr:to>
      <xdr:col>8</xdr:col>
      <xdr:colOff>605520</xdr:colOff>
      <xdr:row>165</xdr:row>
      <xdr:rowOff>75960</xdr:rowOff>
    </xdr:to>
    <xdr:graphicFrame>
      <xdr:nvGraphicFramePr>
        <xdr:cNvPr id="12" name="Chart 7"/>
        <xdr:cNvGraphicFramePr/>
      </xdr:nvGraphicFramePr>
      <xdr:xfrm>
        <a:off x="2882160" y="31330800"/>
        <a:ext cx="5295600" cy="28857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1724040</xdr:colOff>
      <xdr:row>166</xdr:row>
      <xdr:rowOff>181080</xdr:rowOff>
    </xdr:from>
    <xdr:to>
      <xdr:col>8</xdr:col>
      <xdr:colOff>605520</xdr:colOff>
      <xdr:row>180</xdr:row>
      <xdr:rowOff>66240</xdr:rowOff>
    </xdr:to>
    <xdr:graphicFrame>
      <xdr:nvGraphicFramePr>
        <xdr:cNvPr id="13" name="Chart 8"/>
        <xdr:cNvGraphicFramePr/>
      </xdr:nvGraphicFramePr>
      <xdr:xfrm>
        <a:off x="2882160" y="34521840"/>
        <a:ext cx="5295600" cy="2685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1724040</xdr:colOff>
      <xdr:row>182</xdr:row>
      <xdr:rowOff>190440</xdr:rowOff>
    </xdr:from>
    <xdr:to>
      <xdr:col>8</xdr:col>
      <xdr:colOff>605520</xdr:colOff>
      <xdr:row>196</xdr:row>
      <xdr:rowOff>75600</xdr:rowOff>
    </xdr:to>
    <xdr:graphicFrame>
      <xdr:nvGraphicFramePr>
        <xdr:cNvPr id="14" name="Chart 9"/>
        <xdr:cNvGraphicFramePr/>
      </xdr:nvGraphicFramePr>
      <xdr:xfrm>
        <a:off x="2882160" y="37731600"/>
        <a:ext cx="5295600" cy="2685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781200</xdr:colOff>
      <xdr:row>39</xdr:row>
      <xdr:rowOff>190440</xdr:rowOff>
    </xdr:from>
    <xdr:to>
      <xdr:col>15</xdr:col>
      <xdr:colOff>529560</xdr:colOff>
      <xdr:row>55</xdr:row>
      <xdr:rowOff>28080</xdr:rowOff>
    </xdr:to>
    <xdr:graphicFrame>
      <xdr:nvGraphicFramePr>
        <xdr:cNvPr id="15" name="Chart 10"/>
        <xdr:cNvGraphicFramePr/>
      </xdr:nvGraphicFramePr>
      <xdr:xfrm>
        <a:off x="10820520" y="8682120"/>
        <a:ext cx="4047840" cy="32382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xdr:col>
      <xdr:colOff>723960</xdr:colOff>
      <xdr:row>199</xdr:row>
      <xdr:rowOff>0</xdr:rowOff>
    </xdr:from>
    <xdr:to>
      <xdr:col>9</xdr:col>
      <xdr:colOff>416880</xdr:colOff>
      <xdr:row>215</xdr:row>
      <xdr:rowOff>37800</xdr:rowOff>
    </xdr:to>
    <xdr:graphicFrame>
      <xdr:nvGraphicFramePr>
        <xdr:cNvPr id="16" name="Chart 11"/>
        <xdr:cNvGraphicFramePr/>
      </xdr:nvGraphicFramePr>
      <xdr:xfrm>
        <a:off x="3714840" y="40941720"/>
        <a:ext cx="5190840" cy="32382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0</xdr:colOff>
      <xdr:row>217</xdr:row>
      <xdr:rowOff>198720</xdr:rowOff>
    </xdr:from>
    <xdr:to>
      <xdr:col>18</xdr:col>
      <xdr:colOff>855000</xdr:colOff>
      <xdr:row>228</xdr:row>
      <xdr:rowOff>74520</xdr:rowOff>
    </xdr:to>
    <xdr:graphicFrame>
      <xdr:nvGraphicFramePr>
        <xdr:cNvPr id="17" name="Chart 12"/>
        <xdr:cNvGraphicFramePr/>
      </xdr:nvGraphicFramePr>
      <xdr:xfrm>
        <a:off x="12435840" y="44740800"/>
        <a:ext cx="5810040" cy="33620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0</xdr:colOff>
      <xdr:row>229</xdr:row>
      <xdr:rowOff>47520</xdr:rowOff>
    </xdr:from>
    <xdr:to>
      <xdr:col>18</xdr:col>
      <xdr:colOff>855000</xdr:colOff>
      <xdr:row>247</xdr:row>
      <xdr:rowOff>84960</xdr:rowOff>
    </xdr:to>
    <xdr:graphicFrame>
      <xdr:nvGraphicFramePr>
        <xdr:cNvPr id="18" name="Chart 13"/>
        <xdr:cNvGraphicFramePr/>
      </xdr:nvGraphicFramePr>
      <xdr:xfrm>
        <a:off x="12435840" y="48275640"/>
        <a:ext cx="5810040" cy="36381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5</xdr:col>
      <xdr:colOff>514440</xdr:colOff>
      <xdr:row>229</xdr:row>
      <xdr:rowOff>47520</xdr:rowOff>
    </xdr:from>
    <xdr:to>
      <xdr:col>11</xdr:col>
      <xdr:colOff>1108800</xdr:colOff>
      <xdr:row>247</xdr:row>
      <xdr:rowOff>84960</xdr:rowOff>
    </xdr:to>
    <xdr:graphicFrame>
      <xdr:nvGraphicFramePr>
        <xdr:cNvPr id="19" name="Chart 14"/>
        <xdr:cNvGraphicFramePr/>
      </xdr:nvGraphicFramePr>
      <xdr:xfrm>
        <a:off x="5338080" y="48275640"/>
        <a:ext cx="5810040" cy="36381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162000</xdr:colOff>
      <xdr:row>5</xdr:row>
      <xdr:rowOff>0</xdr:rowOff>
    </xdr:from>
    <xdr:to>
      <xdr:col>17</xdr:col>
      <xdr:colOff>561600</xdr:colOff>
      <xdr:row>10</xdr:row>
      <xdr:rowOff>82800</xdr:rowOff>
    </xdr:to>
    <xdr:graphicFrame>
      <xdr:nvGraphicFramePr>
        <xdr:cNvPr id="20" name="Chart 1"/>
        <xdr:cNvGraphicFramePr/>
      </xdr:nvGraphicFramePr>
      <xdr:xfrm>
        <a:off x="10593720" y="997560"/>
        <a:ext cx="5486040" cy="3161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_rels/sheet19.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4" min="2" style="0" width="14"/>
    <col collapsed="false" customWidth="true" hidden="false" outlineLevel="0" max="6" min="5" style="0" width="18"/>
    <col collapsed="false" customWidth="true" hidden="false" outlineLevel="0" max="7" min="7" style="0" width="16"/>
    <col collapsed="false" customWidth="true" hidden="false" outlineLevel="0" max="8" min="8" style="0" width="14"/>
  </cols>
  <sheetData>
    <row r="1" customFormat="false" ht="30" hidden="false" customHeight="true" outlineLevel="0" collapsed="false">
      <c r="A1" s="1"/>
      <c r="B1" s="1"/>
      <c r="C1" s="1"/>
      <c r="D1" s="1"/>
      <c r="E1" s="1"/>
      <c r="F1" s="1"/>
      <c r="G1" s="1"/>
      <c r="H1" s="1"/>
      <c r="I1" s="1"/>
    </row>
    <row r="2" customFormat="false" ht="30" hidden="false" customHeight="true" outlineLevel="0" collapsed="false">
      <c r="A2" s="1"/>
      <c r="B2" s="1"/>
      <c r="C2" s="1"/>
      <c r="D2" s="1"/>
      <c r="E2" s="1"/>
      <c r="F2" s="2"/>
      <c r="G2" s="2"/>
      <c r="H2" s="2"/>
      <c r="I2" s="1"/>
    </row>
    <row r="3" customFormat="false" ht="15.75" hidden="false" customHeight="true" outlineLevel="0" collapsed="false">
      <c r="A3" s="1"/>
      <c r="B3" s="1"/>
      <c r="C3" s="1"/>
      <c r="D3" s="1"/>
      <c r="E3" s="1"/>
      <c r="F3" s="1"/>
      <c r="G3" s="1"/>
      <c r="H3" s="1"/>
      <c r="I3" s="1"/>
    </row>
    <row r="4" customFormat="false" ht="15" hidden="false" customHeight="false" outlineLevel="0" collapsed="false">
      <c r="A4" s="1"/>
      <c r="B4" s="1"/>
      <c r="C4" s="1"/>
      <c r="D4" s="1"/>
      <c r="E4" s="1"/>
      <c r="F4" s="1"/>
      <c r="G4" s="1"/>
      <c r="H4" s="1"/>
      <c r="I4" s="1"/>
    </row>
    <row r="5" customFormat="false" ht="15" hidden="false" customHeight="false" outlineLevel="0" collapsed="false">
      <c r="A5" s="1"/>
      <c r="B5" s="1"/>
      <c r="C5" s="1"/>
      <c r="D5" s="1"/>
      <c r="E5" s="1"/>
      <c r="F5" s="1"/>
      <c r="G5" s="1"/>
      <c r="H5" s="1"/>
      <c r="I5" s="1"/>
    </row>
    <row r="6" customFormat="false" ht="33.85" hidden="false" customHeight="false" outlineLevel="0" collapsed="false">
      <c r="A6" s="1"/>
      <c r="B6" s="3" t="s">
        <v>0</v>
      </c>
      <c r="C6" s="3"/>
      <c r="D6" s="3"/>
      <c r="E6" s="3"/>
      <c r="F6" s="3"/>
      <c r="G6" s="3"/>
      <c r="H6" s="3"/>
      <c r="I6" s="1"/>
    </row>
    <row r="7" customFormat="false" ht="15" hidden="false" customHeight="false" outlineLevel="0" collapsed="false">
      <c r="A7" s="1"/>
      <c r="B7" s="1"/>
      <c r="C7" s="1"/>
      <c r="D7" s="1"/>
      <c r="E7" s="1"/>
      <c r="F7" s="1"/>
      <c r="G7" s="1"/>
      <c r="H7" s="1"/>
      <c r="I7" s="1"/>
    </row>
    <row r="8" customFormat="false" ht="38.6" hidden="false" customHeight="false" outlineLevel="0" collapsed="false">
      <c r="A8" s="1"/>
      <c r="B8" s="4" t="s">
        <v>1</v>
      </c>
      <c r="C8" s="4"/>
      <c r="D8" s="4"/>
      <c r="E8" s="4"/>
      <c r="F8" s="4"/>
      <c r="G8" s="4"/>
      <c r="H8" s="4"/>
      <c r="I8" s="1"/>
    </row>
    <row r="9" customFormat="false" ht="16.15" hidden="false" customHeight="false" outlineLevel="0" collapsed="false">
      <c r="A9" s="1"/>
      <c r="B9" s="5" t="s">
        <v>2</v>
      </c>
      <c r="C9" s="5"/>
      <c r="D9" s="5"/>
      <c r="E9" s="5"/>
      <c r="F9" s="5"/>
      <c r="G9" s="5"/>
      <c r="H9" s="5"/>
      <c r="I9" s="1"/>
    </row>
    <row r="10" customFormat="false" ht="15" hidden="false" customHeight="false" outlineLevel="0" collapsed="false">
      <c r="A10" s="1"/>
      <c r="B10" s="1"/>
      <c r="C10" s="1"/>
      <c r="D10" s="1"/>
      <c r="E10" s="1"/>
      <c r="F10" s="1"/>
      <c r="G10" s="1"/>
      <c r="H10" s="1"/>
      <c r="I10" s="1"/>
    </row>
    <row r="11" customFormat="false" ht="15" hidden="false" customHeight="false" outlineLevel="0" collapsed="false">
      <c r="A11" s="1"/>
      <c r="B11" s="1"/>
      <c r="C11" s="1"/>
      <c r="D11" s="1"/>
      <c r="E11" s="1"/>
      <c r="F11" s="1"/>
      <c r="G11" s="1"/>
      <c r="H11" s="1"/>
      <c r="I11" s="1"/>
    </row>
    <row r="12" customFormat="false" ht="21.75" hidden="false" customHeight="true" outlineLevel="0" collapsed="false">
      <c r="A12" s="1"/>
      <c r="B12" s="1"/>
      <c r="C12" s="6" t="s">
        <v>3</v>
      </c>
      <c r="D12" s="6"/>
      <c r="E12" s="7" t="s">
        <v>4</v>
      </c>
      <c r="F12" s="7"/>
      <c r="G12" s="7"/>
      <c r="H12" s="1"/>
    </row>
    <row r="13" customFormat="false" ht="21.75" hidden="false" customHeight="true" outlineLevel="0" collapsed="false">
      <c r="A13" s="1"/>
      <c r="B13" s="1"/>
      <c r="C13" s="6" t="s">
        <v>5</v>
      </c>
      <c r="D13" s="6"/>
      <c r="E13" s="7" t="s">
        <v>6</v>
      </c>
      <c r="F13" s="7"/>
      <c r="G13" s="7"/>
      <c r="H13" s="1"/>
    </row>
    <row r="14" customFormat="false" ht="15" hidden="false" customHeight="false" outlineLevel="0" collapsed="false">
      <c r="A14" s="1"/>
      <c r="B14" s="1"/>
      <c r="C14" s="1"/>
      <c r="D14" s="1"/>
      <c r="E14" s="1"/>
      <c r="F14" s="1"/>
      <c r="G14" s="1"/>
      <c r="H14" s="1"/>
      <c r="I14" s="1"/>
    </row>
    <row r="15" customFormat="false" ht="15" hidden="false" customHeight="false" outlineLevel="0" collapsed="false">
      <c r="A15" s="1"/>
      <c r="B15" s="8" t="s">
        <v>7</v>
      </c>
      <c r="C15" s="8"/>
      <c r="D15" s="8"/>
      <c r="E15" s="8"/>
      <c r="F15" s="8"/>
      <c r="G15" s="8"/>
      <c r="H15" s="8"/>
      <c r="I15" s="1"/>
    </row>
    <row r="16" customFormat="false" ht="15" hidden="false" customHeight="false" outlineLevel="0" collapsed="false">
      <c r="A16" s="1"/>
      <c r="B16" s="9" t="s">
        <v>8</v>
      </c>
      <c r="C16" s="9"/>
      <c r="D16" s="9"/>
      <c r="E16" s="9"/>
      <c r="F16" s="9"/>
      <c r="G16" s="9"/>
      <c r="H16" s="9"/>
      <c r="I16" s="1"/>
    </row>
    <row r="17" customFormat="false" ht="15" hidden="false" customHeight="false" outlineLevel="0" collapsed="false">
      <c r="A17" s="1"/>
      <c r="B17" s="9"/>
      <c r="C17" s="9"/>
      <c r="D17" s="9"/>
      <c r="E17" s="9"/>
      <c r="F17" s="9"/>
      <c r="G17" s="9"/>
      <c r="H17" s="9"/>
      <c r="I17" s="1"/>
    </row>
    <row r="18" customFormat="false" ht="15" hidden="false" customHeight="false" outlineLevel="0" collapsed="false">
      <c r="A18" s="1"/>
      <c r="B18" s="1"/>
      <c r="C18" s="1"/>
      <c r="D18" s="1"/>
      <c r="E18" s="1"/>
      <c r="F18" s="1"/>
      <c r="G18" s="1"/>
      <c r="H18" s="1"/>
      <c r="I18" s="1"/>
    </row>
    <row r="19" customFormat="false" ht="15.75" hidden="false" customHeight="true" outlineLevel="0" collapsed="false">
      <c r="A19" s="1"/>
      <c r="B19" s="1"/>
      <c r="C19" s="1"/>
      <c r="D19" s="1"/>
      <c r="E19" s="1"/>
      <c r="F19" s="1"/>
      <c r="G19" s="1"/>
      <c r="H19" s="1"/>
      <c r="I19" s="1"/>
    </row>
    <row r="20" customFormat="false" ht="15.75" hidden="false" customHeight="true" outlineLevel="0" collapsed="false">
      <c r="A20" s="1"/>
      <c r="B20" s="1"/>
      <c r="C20" s="1"/>
      <c r="D20" s="1"/>
      <c r="E20" s="1"/>
      <c r="F20" s="1"/>
      <c r="G20" s="1"/>
      <c r="H20" s="1"/>
      <c r="I20" s="1"/>
    </row>
    <row r="21" customFormat="false" ht="15.75" hidden="false" customHeight="true" outlineLevel="0" collapsed="false">
      <c r="A21" s="1"/>
      <c r="B21" s="1"/>
      <c r="C21" s="1"/>
      <c r="D21" s="1"/>
      <c r="E21" s="1"/>
      <c r="F21" s="1"/>
      <c r="G21" s="1"/>
      <c r="H21" s="1"/>
      <c r="I21" s="1"/>
    </row>
    <row r="22" customFormat="false" ht="15.75" hidden="false" customHeight="true" outlineLevel="0" collapsed="false">
      <c r="A22" s="1"/>
      <c r="B22" s="1"/>
      <c r="C22" s="1"/>
      <c r="D22" s="1"/>
      <c r="E22" s="1"/>
      <c r="F22" s="1"/>
      <c r="G22" s="1"/>
      <c r="H22" s="1"/>
      <c r="I22" s="1"/>
    </row>
    <row r="23" customFormat="false" ht="15.75" hidden="false" customHeight="true" outlineLevel="0" collapsed="false">
      <c r="A23" s="1"/>
      <c r="B23" s="1"/>
      <c r="C23" s="1"/>
      <c r="D23" s="1"/>
      <c r="E23" s="1"/>
      <c r="F23" s="1"/>
      <c r="G23" s="1"/>
      <c r="H23" s="1"/>
      <c r="I23" s="1"/>
    </row>
    <row r="24" customFormat="false" ht="15.75" hidden="false" customHeight="true" outlineLevel="0" collapsed="false">
      <c r="A24" s="1"/>
      <c r="B24" s="1"/>
      <c r="C24" s="1"/>
      <c r="D24" s="1"/>
      <c r="E24" s="1"/>
      <c r="F24" s="1"/>
      <c r="G24" s="1"/>
      <c r="H24" s="1"/>
      <c r="I24" s="1"/>
    </row>
    <row r="25" customFormat="false" ht="15.75" hidden="false" customHeight="true" outlineLevel="0" collapsed="false">
      <c r="A25" s="1"/>
      <c r="B25" s="1"/>
      <c r="C25" s="1"/>
      <c r="D25" s="1"/>
      <c r="E25" s="1"/>
      <c r="F25" s="1"/>
      <c r="G25" s="1"/>
      <c r="H25" s="1"/>
      <c r="I25" s="1"/>
    </row>
    <row r="26" customFormat="false" ht="15.75" hidden="false" customHeight="true" outlineLevel="0" collapsed="false">
      <c r="A26" s="1"/>
      <c r="B26" s="1"/>
      <c r="C26" s="1"/>
      <c r="D26" s="1"/>
      <c r="E26" s="1"/>
      <c r="F26" s="1"/>
      <c r="G26" s="1"/>
      <c r="H26" s="1"/>
      <c r="I26" s="1"/>
    </row>
    <row r="27" customFormat="false" ht="15.75" hidden="false" customHeight="true" outlineLevel="0" collapsed="false">
      <c r="A27" s="1"/>
      <c r="B27" s="1"/>
      <c r="C27" s="1"/>
      <c r="D27" s="1"/>
      <c r="E27" s="1"/>
      <c r="F27" s="1"/>
      <c r="G27" s="1"/>
      <c r="H27" s="1"/>
      <c r="I27" s="1"/>
    </row>
    <row r="28" customFormat="false" ht="15.75" hidden="false" customHeight="true" outlineLevel="0" collapsed="false">
      <c r="A28" s="1"/>
      <c r="B28" s="1"/>
      <c r="C28" s="1"/>
      <c r="D28" s="1"/>
      <c r="E28" s="1"/>
      <c r="F28" s="1"/>
      <c r="G28" s="1"/>
      <c r="H28" s="1"/>
      <c r="I28" s="1"/>
    </row>
    <row r="29" customFormat="false" ht="15.75" hidden="false" customHeight="true" outlineLevel="0" collapsed="false">
      <c r="A29" s="1"/>
      <c r="B29" s="1"/>
      <c r="C29" s="1"/>
      <c r="D29" s="1"/>
      <c r="E29" s="1"/>
      <c r="F29" s="1"/>
      <c r="G29" s="1"/>
      <c r="H29" s="1"/>
      <c r="I29" s="1"/>
    </row>
    <row r="30" customFormat="false" ht="15.75" hidden="false" customHeight="true" outlineLevel="0" collapsed="false">
      <c r="A30" s="1"/>
      <c r="B30" s="1"/>
      <c r="C30" s="1"/>
      <c r="D30" s="1"/>
      <c r="E30" s="1"/>
      <c r="F30" s="1"/>
      <c r="G30" s="1"/>
      <c r="H30" s="1"/>
      <c r="I30" s="1"/>
    </row>
    <row r="31" customFormat="false" ht="15.75" hidden="false" customHeight="true" outlineLevel="0" collapsed="false">
      <c r="A31" s="1"/>
      <c r="B31" s="1"/>
      <c r="C31" s="1"/>
      <c r="D31" s="1"/>
      <c r="E31" s="1"/>
      <c r="F31" s="1"/>
      <c r="G31" s="1"/>
      <c r="H31" s="1"/>
      <c r="I31" s="1"/>
    </row>
    <row r="32" customFormat="false" ht="15.75" hidden="false" customHeight="true" outlineLevel="0" collapsed="false">
      <c r="A32" s="1"/>
      <c r="B32" s="1"/>
      <c r="C32" s="1"/>
      <c r="D32" s="1"/>
      <c r="E32" s="1"/>
      <c r="F32" s="1"/>
      <c r="G32" s="1"/>
      <c r="H32" s="1"/>
      <c r="I32" s="1"/>
    </row>
    <row r="33" customFormat="false" ht="15.75" hidden="false" customHeight="true" outlineLevel="0" collapsed="false">
      <c r="A33" s="1"/>
      <c r="B33" s="1"/>
      <c r="C33" s="1"/>
      <c r="D33" s="1"/>
      <c r="E33" s="1"/>
      <c r="F33" s="1"/>
      <c r="G33" s="1"/>
      <c r="H33" s="1"/>
      <c r="I33" s="1"/>
    </row>
    <row r="34" customFormat="false" ht="15.75" hidden="false" customHeight="true" outlineLevel="0" collapsed="false">
      <c r="A34" s="1"/>
      <c r="B34" s="1"/>
      <c r="C34" s="1"/>
      <c r="D34" s="1"/>
      <c r="E34" s="1"/>
      <c r="F34" s="1"/>
      <c r="G34" s="1"/>
      <c r="H34" s="1"/>
      <c r="I34" s="1"/>
    </row>
    <row r="35" customFormat="false" ht="15.75" hidden="false" customHeight="true" outlineLevel="0" collapsed="false">
      <c r="A35" s="1"/>
      <c r="B35" s="1"/>
      <c r="C35" s="1"/>
      <c r="D35" s="1"/>
      <c r="E35" s="1"/>
      <c r="F35" s="1"/>
      <c r="G35" s="1"/>
      <c r="H35" s="1"/>
      <c r="I35" s="1"/>
    </row>
    <row r="36" customFormat="false" ht="15.75" hidden="false" customHeight="true" outlineLevel="0" collapsed="false">
      <c r="A36" s="1"/>
      <c r="B36" s="1"/>
      <c r="C36" s="1"/>
      <c r="D36" s="1"/>
      <c r="E36" s="1"/>
      <c r="F36" s="1"/>
      <c r="G36" s="1"/>
      <c r="H36" s="1"/>
      <c r="I36" s="1"/>
    </row>
    <row r="37" customFormat="false" ht="15.75" hidden="false" customHeight="true" outlineLevel="0" collapsed="false">
      <c r="A37" s="1"/>
      <c r="B37" s="1"/>
      <c r="C37" s="1"/>
      <c r="D37" s="1"/>
      <c r="E37" s="1"/>
      <c r="F37" s="1"/>
      <c r="G37" s="1"/>
      <c r="H37" s="1"/>
      <c r="I37" s="1"/>
    </row>
    <row r="38" customFormat="false" ht="15.75" hidden="false" customHeight="true" outlineLevel="0" collapsed="false">
      <c r="A38" s="1"/>
      <c r="B38" s="1"/>
      <c r="C38" s="1"/>
      <c r="D38" s="1"/>
      <c r="E38" s="1"/>
      <c r="F38" s="1"/>
      <c r="G38" s="1"/>
      <c r="H38" s="1"/>
      <c r="I38" s="1"/>
    </row>
    <row r="39" customFormat="false" ht="15.75" hidden="false" customHeight="true" outlineLevel="0" collapsed="false">
      <c r="A39" s="1"/>
      <c r="B39" s="1"/>
      <c r="C39" s="1"/>
      <c r="D39" s="1"/>
      <c r="E39" s="1"/>
      <c r="F39" s="1"/>
      <c r="G39" s="1"/>
      <c r="H39" s="1"/>
      <c r="I39" s="1"/>
    </row>
    <row r="40" customFormat="false" ht="15.75" hidden="false" customHeight="true" outlineLevel="0" collapsed="false">
      <c r="A40" s="1"/>
      <c r="B40" s="1"/>
      <c r="C40" s="1"/>
      <c r="D40" s="1"/>
      <c r="E40" s="1"/>
      <c r="F40" s="1"/>
      <c r="G40" s="1"/>
      <c r="H40" s="1"/>
      <c r="I40" s="1"/>
    </row>
    <row r="41" customFormat="false" ht="15.75" hidden="false" customHeight="true" outlineLevel="0" collapsed="false">
      <c r="A41" s="1"/>
      <c r="B41" s="1"/>
      <c r="C41" s="1"/>
      <c r="D41" s="1"/>
      <c r="E41" s="1"/>
      <c r="F41" s="1"/>
      <c r="G41" s="1"/>
      <c r="H41" s="1"/>
      <c r="I41" s="1"/>
    </row>
    <row r="42" customFormat="false" ht="15.75" hidden="false" customHeight="true" outlineLevel="0" collapsed="false">
      <c r="A42" s="1"/>
      <c r="B42" s="1"/>
      <c r="C42" s="1"/>
      <c r="D42" s="1"/>
      <c r="E42" s="1"/>
      <c r="F42" s="1"/>
      <c r="G42" s="1"/>
      <c r="H42" s="1"/>
      <c r="I42" s="1"/>
    </row>
    <row r="43" customFormat="false" ht="15.75" hidden="false" customHeight="true" outlineLevel="0" collapsed="false">
      <c r="A43" s="1"/>
      <c r="B43" s="1"/>
      <c r="C43" s="1"/>
      <c r="D43" s="1"/>
      <c r="E43" s="1"/>
      <c r="F43" s="1"/>
      <c r="G43" s="1"/>
      <c r="H43" s="1"/>
      <c r="I43" s="1"/>
    </row>
    <row r="44" customFormat="false" ht="15.75" hidden="false" customHeight="true" outlineLevel="0" collapsed="false">
      <c r="A44" s="1"/>
      <c r="B44" s="1"/>
      <c r="C44" s="1"/>
      <c r="D44" s="1"/>
      <c r="E44" s="1"/>
      <c r="F44" s="1"/>
      <c r="G44" s="1"/>
      <c r="H44" s="1"/>
      <c r="I44" s="1"/>
    </row>
    <row r="45" customFormat="false" ht="15.75" hidden="false" customHeight="true" outlineLevel="0" collapsed="false">
      <c r="A45" s="1"/>
      <c r="B45" s="1"/>
      <c r="C45" s="1"/>
      <c r="D45" s="1"/>
      <c r="E45" s="1"/>
      <c r="F45" s="1"/>
      <c r="G45" s="1"/>
      <c r="H45" s="1"/>
      <c r="I45" s="1"/>
    </row>
    <row r="46" customFormat="false" ht="15.75" hidden="false" customHeight="true" outlineLevel="0" collapsed="false">
      <c r="A46" s="1"/>
      <c r="B46" s="1"/>
      <c r="C46" s="1"/>
      <c r="D46" s="1"/>
      <c r="E46" s="1"/>
      <c r="F46" s="1"/>
      <c r="G46" s="1"/>
      <c r="H46" s="1"/>
      <c r="I46" s="1"/>
    </row>
    <row r="47" customFormat="false" ht="15.75" hidden="false" customHeight="true" outlineLevel="0" collapsed="false">
      <c r="A47" s="1"/>
      <c r="B47" s="1"/>
      <c r="C47" s="1"/>
      <c r="D47" s="1"/>
      <c r="E47" s="1"/>
      <c r="F47" s="1"/>
      <c r="G47" s="1"/>
      <c r="H47" s="1"/>
      <c r="I47" s="1"/>
    </row>
    <row r="48" customFormat="false" ht="15.75" hidden="false" customHeight="true" outlineLevel="0" collapsed="false">
      <c r="A48" s="1"/>
      <c r="B48" s="1"/>
      <c r="C48" s="1"/>
      <c r="D48" s="1"/>
      <c r="E48" s="1"/>
      <c r="F48" s="1"/>
      <c r="G48" s="1"/>
      <c r="H48" s="1"/>
      <c r="I48" s="1"/>
    </row>
    <row r="49" customFormat="false" ht="15.75" hidden="false" customHeight="true" outlineLevel="0" collapsed="false">
      <c r="A49" s="1"/>
      <c r="B49" s="1"/>
      <c r="C49" s="1"/>
      <c r="D49" s="1"/>
      <c r="E49" s="1"/>
      <c r="F49" s="1"/>
      <c r="G49" s="1"/>
      <c r="H49" s="1"/>
      <c r="I49" s="1"/>
    </row>
    <row r="50" customFormat="false" ht="15.75" hidden="false" customHeight="true" outlineLevel="0" collapsed="false">
      <c r="A50" s="1"/>
      <c r="B50" s="1"/>
      <c r="C50" s="1"/>
      <c r="D50" s="1"/>
      <c r="E50" s="1"/>
      <c r="F50" s="1"/>
      <c r="G50" s="1"/>
      <c r="H50" s="1"/>
      <c r="I50" s="1"/>
    </row>
    <row r="51" customFormat="false" ht="15.75" hidden="false" customHeight="true" outlineLevel="0" collapsed="false">
      <c r="A51" s="1"/>
      <c r="B51" s="1"/>
      <c r="C51" s="1"/>
      <c r="D51" s="1"/>
      <c r="E51" s="1"/>
      <c r="F51" s="1"/>
      <c r="G51" s="1"/>
      <c r="H51" s="1"/>
      <c r="I51" s="1"/>
    </row>
    <row r="52" customFormat="false" ht="15.75" hidden="false" customHeight="true" outlineLevel="0" collapsed="false">
      <c r="A52" s="1"/>
      <c r="B52" s="1"/>
      <c r="C52" s="1"/>
      <c r="D52" s="1"/>
      <c r="E52" s="1"/>
      <c r="F52" s="1"/>
      <c r="G52" s="1"/>
      <c r="H52" s="1"/>
      <c r="I52" s="1"/>
    </row>
    <row r="53" customFormat="false" ht="15.75" hidden="false" customHeight="true" outlineLevel="0" collapsed="false">
      <c r="A53" s="1"/>
      <c r="B53" s="1"/>
      <c r="C53" s="1"/>
      <c r="D53" s="1"/>
      <c r="E53" s="1"/>
      <c r="F53" s="1"/>
      <c r="G53" s="1"/>
      <c r="H53" s="1"/>
      <c r="I53" s="1"/>
    </row>
    <row r="54" customFormat="false" ht="15.75" hidden="false" customHeight="true" outlineLevel="0" collapsed="false">
      <c r="A54" s="1"/>
      <c r="B54" s="1"/>
      <c r="C54" s="1"/>
      <c r="D54" s="1"/>
      <c r="E54" s="1"/>
      <c r="F54" s="1"/>
      <c r="G54" s="1"/>
      <c r="H54" s="1"/>
      <c r="I54" s="1"/>
    </row>
    <row r="55" customFormat="false" ht="15.75" hidden="false" customHeight="true" outlineLevel="0" collapsed="false">
      <c r="A55" s="1"/>
      <c r="B55" s="1"/>
      <c r="C55" s="1"/>
      <c r="D55" s="1"/>
      <c r="E55" s="1"/>
      <c r="F55" s="1"/>
      <c r="G55" s="1"/>
      <c r="H55" s="1"/>
      <c r="I55" s="1"/>
    </row>
    <row r="56" customFormat="false" ht="15.75" hidden="false" customHeight="true" outlineLevel="0" collapsed="false">
      <c r="A56" s="1"/>
      <c r="B56" s="1"/>
      <c r="C56" s="1"/>
      <c r="D56" s="1"/>
      <c r="E56" s="1"/>
      <c r="F56" s="1"/>
      <c r="G56" s="1"/>
      <c r="H56" s="1"/>
      <c r="I56" s="1"/>
    </row>
    <row r="57" customFormat="false" ht="15.75" hidden="false" customHeight="true" outlineLevel="0" collapsed="false">
      <c r="A57" s="1"/>
      <c r="B57" s="1"/>
      <c r="C57" s="1"/>
      <c r="D57" s="1"/>
      <c r="E57" s="1"/>
      <c r="F57" s="1"/>
      <c r="G57" s="1"/>
      <c r="H57" s="1"/>
      <c r="I57" s="1"/>
    </row>
    <row r="58" customFormat="false" ht="15.75" hidden="false" customHeight="true" outlineLevel="0" collapsed="false">
      <c r="A58" s="1"/>
      <c r="B58" s="1"/>
      <c r="C58" s="1"/>
      <c r="D58" s="1"/>
      <c r="E58" s="1"/>
      <c r="F58" s="1"/>
      <c r="G58" s="1"/>
      <c r="H58" s="1"/>
      <c r="I58" s="1"/>
    </row>
    <row r="59" customFormat="false" ht="15.75" hidden="false" customHeight="true" outlineLevel="0" collapsed="false">
      <c r="A59" s="1"/>
      <c r="B59" s="1"/>
      <c r="C59" s="1"/>
      <c r="D59" s="1"/>
      <c r="E59" s="1"/>
      <c r="F59" s="1"/>
      <c r="G59" s="1"/>
      <c r="H59" s="1"/>
      <c r="I59" s="1"/>
    </row>
    <row r="60" customFormat="false" ht="15.75" hidden="false" customHeight="true" outlineLevel="0" collapsed="false">
      <c r="A60" s="1"/>
      <c r="B60" s="1"/>
      <c r="C60" s="1"/>
      <c r="D60" s="1"/>
      <c r="E60" s="1"/>
      <c r="F60" s="1"/>
      <c r="G60" s="1"/>
      <c r="H60" s="1"/>
      <c r="I60" s="1"/>
    </row>
    <row r="61" customFormat="false" ht="15.75" hidden="false" customHeight="true" outlineLevel="0" collapsed="false">
      <c r="A61" s="1"/>
      <c r="B61" s="1"/>
      <c r="C61" s="1"/>
      <c r="D61" s="1"/>
      <c r="E61" s="1"/>
      <c r="F61" s="1"/>
      <c r="G61" s="1"/>
      <c r="H61" s="1"/>
      <c r="I61" s="1"/>
    </row>
    <row r="62" customFormat="false" ht="15.75" hidden="false" customHeight="true" outlineLevel="0" collapsed="false">
      <c r="A62" s="1"/>
      <c r="B62" s="1"/>
      <c r="C62" s="1"/>
      <c r="D62" s="1"/>
      <c r="E62" s="1"/>
      <c r="F62" s="1"/>
      <c r="G62" s="1"/>
      <c r="H62" s="1"/>
      <c r="I62" s="1"/>
    </row>
    <row r="63" customFormat="false" ht="15.75" hidden="false" customHeight="true" outlineLevel="0" collapsed="false">
      <c r="A63" s="1"/>
      <c r="B63" s="1"/>
      <c r="C63" s="1"/>
      <c r="D63" s="1"/>
      <c r="E63" s="1"/>
      <c r="F63" s="1"/>
      <c r="G63" s="1"/>
      <c r="H63" s="1"/>
      <c r="I63" s="1"/>
    </row>
    <row r="64" customFormat="false" ht="15.75" hidden="false" customHeight="true" outlineLevel="0" collapsed="false">
      <c r="A64" s="1"/>
      <c r="B64" s="1"/>
      <c r="C64" s="1"/>
      <c r="D64" s="1"/>
      <c r="E64" s="1"/>
      <c r="F64" s="1"/>
      <c r="G64" s="1"/>
      <c r="H64" s="1"/>
      <c r="I64" s="1"/>
    </row>
    <row r="65" customFormat="false" ht="15.75" hidden="false" customHeight="true" outlineLevel="0" collapsed="false">
      <c r="A65" s="1"/>
      <c r="B65" s="1"/>
      <c r="C65" s="1"/>
      <c r="D65" s="1"/>
      <c r="E65" s="1"/>
      <c r="F65" s="1"/>
      <c r="G65" s="1"/>
      <c r="H65" s="1"/>
      <c r="I65" s="1"/>
    </row>
    <row r="66" customFormat="false" ht="15.75" hidden="false" customHeight="true" outlineLevel="0" collapsed="false">
      <c r="A66" s="1"/>
      <c r="B66" s="1"/>
      <c r="C66" s="1"/>
      <c r="D66" s="1"/>
      <c r="E66" s="1"/>
      <c r="F66" s="1"/>
      <c r="G66" s="1"/>
      <c r="H66" s="1"/>
      <c r="I66" s="1"/>
    </row>
    <row r="67" customFormat="false" ht="15.75" hidden="false" customHeight="true" outlineLevel="0" collapsed="false">
      <c r="A67" s="1"/>
      <c r="B67" s="1"/>
      <c r="C67" s="1"/>
      <c r="D67" s="1"/>
      <c r="E67" s="1"/>
      <c r="F67" s="1"/>
      <c r="G67" s="1"/>
      <c r="H67" s="1"/>
      <c r="I67" s="1"/>
    </row>
    <row r="68" customFormat="false" ht="15.75" hidden="false" customHeight="true" outlineLevel="0" collapsed="false">
      <c r="A68" s="1"/>
      <c r="B68" s="1"/>
      <c r="C68" s="1"/>
      <c r="D68" s="1"/>
      <c r="E68" s="1"/>
      <c r="F68" s="1"/>
      <c r="G68" s="1"/>
      <c r="H68" s="1"/>
      <c r="I68" s="1"/>
    </row>
    <row r="69" customFormat="false" ht="15.75" hidden="false" customHeight="true" outlineLevel="0" collapsed="false">
      <c r="A69" s="1"/>
      <c r="B69" s="1"/>
      <c r="C69" s="1"/>
      <c r="D69" s="1"/>
      <c r="E69" s="1"/>
      <c r="F69" s="1"/>
      <c r="G69" s="1"/>
      <c r="H69" s="1"/>
      <c r="I69" s="1"/>
    </row>
    <row r="70" customFormat="false" ht="15.75" hidden="false" customHeight="true" outlineLevel="0" collapsed="false">
      <c r="A70" s="1"/>
      <c r="B70" s="1"/>
      <c r="C70" s="1"/>
      <c r="D70" s="1"/>
      <c r="E70" s="1"/>
      <c r="F70" s="1"/>
      <c r="G70" s="1"/>
      <c r="H70" s="1"/>
      <c r="I70" s="1"/>
    </row>
    <row r="71" customFormat="false" ht="15.75" hidden="false" customHeight="true" outlineLevel="0" collapsed="false">
      <c r="A71" s="1"/>
      <c r="B71" s="1"/>
      <c r="C71" s="1"/>
      <c r="D71" s="1"/>
      <c r="E71" s="1"/>
      <c r="F71" s="1"/>
      <c r="G71" s="1"/>
      <c r="H71" s="1"/>
      <c r="I71" s="1"/>
    </row>
    <row r="72" customFormat="false" ht="15.75" hidden="false" customHeight="true" outlineLevel="0" collapsed="false">
      <c r="A72" s="1"/>
      <c r="B72" s="1"/>
      <c r="C72" s="1"/>
      <c r="D72" s="1"/>
      <c r="E72" s="1"/>
      <c r="F72" s="1"/>
      <c r="G72" s="1"/>
      <c r="H72" s="1"/>
      <c r="I72" s="1"/>
    </row>
    <row r="73" customFormat="false" ht="15.75" hidden="false" customHeight="true" outlineLevel="0" collapsed="false">
      <c r="A73" s="1"/>
      <c r="B73" s="1"/>
      <c r="C73" s="1"/>
      <c r="D73" s="1"/>
      <c r="E73" s="1"/>
      <c r="F73" s="1"/>
      <c r="G73" s="1"/>
      <c r="H73" s="1"/>
      <c r="I73" s="1"/>
    </row>
    <row r="74" customFormat="false" ht="15.75" hidden="false" customHeight="true" outlineLevel="0" collapsed="false">
      <c r="A74" s="1"/>
      <c r="B74" s="1"/>
      <c r="C74" s="1"/>
      <c r="D74" s="1"/>
      <c r="E74" s="1"/>
      <c r="F74" s="1"/>
      <c r="G74" s="1"/>
      <c r="H74" s="1"/>
      <c r="I74" s="1"/>
    </row>
    <row r="75" customFormat="false" ht="15.75" hidden="false" customHeight="true" outlineLevel="0" collapsed="false">
      <c r="A75" s="1"/>
      <c r="B75" s="1"/>
      <c r="C75" s="1"/>
      <c r="D75" s="1"/>
      <c r="E75" s="1"/>
      <c r="F75" s="1"/>
      <c r="G75" s="1"/>
      <c r="H75" s="1"/>
      <c r="I75" s="1"/>
    </row>
    <row r="76" customFormat="false" ht="15.75" hidden="false" customHeight="true" outlineLevel="0" collapsed="false">
      <c r="A76" s="1"/>
      <c r="B76" s="1"/>
      <c r="C76" s="1"/>
      <c r="D76" s="1"/>
      <c r="E76" s="1"/>
      <c r="F76" s="1"/>
      <c r="G76" s="1"/>
      <c r="H76" s="1"/>
      <c r="I76" s="1"/>
    </row>
    <row r="77" customFormat="false" ht="15.75" hidden="false" customHeight="true" outlineLevel="0" collapsed="false">
      <c r="A77" s="1"/>
      <c r="B77" s="1"/>
      <c r="C77" s="1"/>
      <c r="D77" s="1"/>
      <c r="E77" s="1"/>
      <c r="F77" s="1"/>
      <c r="G77" s="1"/>
      <c r="H77" s="1"/>
      <c r="I77" s="1"/>
    </row>
    <row r="78" customFormat="false" ht="15.75" hidden="false" customHeight="true" outlineLevel="0" collapsed="false">
      <c r="A78" s="1"/>
      <c r="B78" s="1"/>
      <c r="C78" s="1"/>
      <c r="D78" s="1"/>
      <c r="E78" s="1"/>
      <c r="F78" s="1"/>
      <c r="G78" s="1"/>
      <c r="H78" s="1"/>
      <c r="I78" s="1"/>
    </row>
    <row r="79" customFormat="false" ht="15.75" hidden="false" customHeight="true" outlineLevel="0" collapsed="false">
      <c r="A79" s="1"/>
      <c r="B79" s="1"/>
      <c r="C79" s="1"/>
      <c r="D79" s="1"/>
      <c r="E79" s="1"/>
      <c r="F79" s="1"/>
      <c r="G79" s="1"/>
      <c r="H79" s="1"/>
      <c r="I79" s="1"/>
    </row>
    <row r="80" customFormat="false" ht="15.75" hidden="false" customHeight="true" outlineLevel="0" collapsed="false">
      <c r="A80" s="1"/>
      <c r="B80" s="1"/>
      <c r="C80" s="1"/>
      <c r="D80" s="1"/>
      <c r="E80" s="1"/>
      <c r="F80" s="1"/>
      <c r="G80" s="1"/>
      <c r="H80" s="1"/>
      <c r="I80" s="1"/>
    </row>
    <row r="81" customFormat="false" ht="15.75" hidden="false" customHeight="true" outlineLevel="0" collapsed="false">
      <c r="A81" s="1"/>
      <c r="B81" s="1"/>
      <c r="C81" s="1"/>
      <c r="D81" s="1"/>
      <c r="E81" s="1"/>
      <c r="F81" s="1"/>
      <c r="G81" s="1"/>
      <c r="H81" s="1"/>
      <c r="I81" s="1"/>
    </row>
    <row r="82" customFormat="false" ht="15.75" hidden="false" customHeight="true" outlineLevel="0" collapsed="false">
      <c r="A82" s="1"/>
      <c r="B82" s="1"/>
      <c r="C82" s="1"/>
      <c r="D82" s="1"/>
      <c r="E82" s="1"/>
      <c r="F82" s="1"/>
      <c r="G82" s="1"/>
      <c r="H82" s="1"/>
      <c r="I82" s="1"/>
    </row>
    <row r="83" customFormat="false" ht="15.75" hidden="false" customHeight="true" outlineLevel="0" collapsed="false">
      <c r="A83" s="1"/>
      <c r="B83" s="1"/>
      <c r="C83" s="1"/>
      <c r="D83" s="1"/>
      <c r="E83" s="1"/>
      <c r="F83" s="1"/>
      <c r="G83" s="1"/>
      <c r="H83" s="1"/>
      <c r="I83" s="1"/>
    </row>
    <row r="84" customFormat="false" ht="15.75" hidden="false" customHeight="true" outlineLevel="0" collapsed="false">
      <c r="A84" s="1"/>
      <c r="B84" s="1"/>
      <c r="C84" s="1"/>
      <c r="D84" s="1"/>
      <c r="E84" s="1"/>
      <c r="F84" s="1"/>
      <c r="G84" s="1"/>
      <c r="H84" s="1"/>
      <c r="I84" s="1"/>
    </row>
    <row r="85" customFormat="false" ht="15.75" hidden="false" customHeight="true" outlineLevel="0" collapsed="false">
      <c r="A85" s="1"/>
      <c r="B85" s="1"/>
      <c r="C85" s="1"/>
      <c r="D85" s="1"/>
      <c r="E85" s="1"/>
      <c r="F85" s="1"/>
      <c r="G85" s="1"/>
      <c r="H85" s="1"/>
      <c r="I85" s="1"/>
    </row>
    <row r="86" customFormat="false" ht="15.75" hidden="false" customHeight="true" outlineLevel="0" collapsed="false">
      <c r="A86" s="1"/>
      <c r="B86" s="1"/>
      <c r="C86" s="1"/>
      <c r="D86" s="1"/>
      <c r="E86" s="1"/>
      <c r="F86" s="1"/>
      <c r="G86" s="1"/>
      <c r="H86" s="1"/>
      <c r="I86" s="1"/>
    </row>
    <row r="87" customFormat="false" ht="15.75" hidden="false" customHeight="true" outlineLevel="0" collapsed="false">
      <c r="A87" s="1"/>
      <c r="B87" s="1"/>
      <c r="C87" s="1"/>
      <c r="D87" s="1"/>
      <c r="E87" s="1"/>
      <c r="F87" s="1"/>
      <c r="G87" s="1"/>
      <c r="H87" s="1"/>
      <c r="I87" s="1"/>
    </row>
    <row r="88" customFormat="false" ht="15.75" hidden="false" customHeight="true" outlineLevel="0" collapsed="false">
      <c r="A88" s="1"/>
      <c r="B88" s="1"/>
      <c r="C88" s="1"/>
      <c r="D88" s="1"/>
      <c r="E88" s="1"/>
      <c r="F88" s="1"/>
      <c r="G88" s="1"/>
      <c r="H88" s="1"/>
      <c r="I88" s="1"/>
    </row>
    <row r="89" customFormat="false" ht="15.75" hidden="false" customHeight="true" outlineLevel="0" collapsed="false">
      <c r="A89" s="1"/>
      <c r="B89" s="1"/>
      <c r="C89" s="1"/>
      <c r="D89" s="1"/>
      <c r="E89" s="1"/>
      <c r="F89" s="1"/>
      <c r="G89" s="1"/>
      <c r="H89" s="1"/>
      <c r="I89" s="1"/>
    </row>
    <row r="90" customFormat="false" ht="15.75" hidden="false" customHeight="true" outlineLevel="0" collapsed="false">
      <c r="A90" s="1"/>
      <c r="B90" s="1"/>
      <c r="C90" s="1"/>
      <c r="D90" s="1"/>
      <c r="E90" s="1"/>
      <c r="F90" s="1"/>
      <c r="G90" s="1"/>
      <c r="H90" s="1"/>
      <c r="I90" s="1"/>
    </row>
    <row r="91" customFormat="false" ht="15.75" hidden="false" customHeight="true" outlineLevel="0" collapsed="false">
      <c r="A91" s="1"/>
      <c r="B91" s="1"/>
      <c r="C91" s="1"/>
      <c r="D91" s="1"/>
      <c r="E91" s="1"/>
      <c r="F91" s="1"/>
      <c r="G91" s="1"/>
      <c r="H91" s="1"/>
      <c r="I91" s="1"/>
    </row>
    <row r="92" customFormat="false" ht="15.75" hidden="false" customHeight="true" outlineLevel="0" collapsed="false">
      <c r="A92" s="1"/>
      <c r="B92" s="1"/>
      <c r="C92" s="1"/>
      <c r="D92" s="1"/>
      <c r="E92" s="1"/>
      <c r="F92" s="1"/>
      <c r="G92" s="1"/>
      <c r="H92" s="1"/>
      <c r="I92" s="1"/>
    </row>
    <row r="93" customFormat="false" ht="15.75" hidden="false" customHeight="true" outlineLevel="0" collapsed="false">
      <c r="A93" s="1"/>
      <c r="B93" s="1"/>
      <c r="C93" s="1"/>
      <c r="D93" s="1"/>
      <c r="E93" s="1"/>
      <c r="F93" s="1"/>
      <c r="G93" s="1"/>
      <c r="H93" s="1"/>
      <c r="I93" s="1"/>
    </row>
    <row r="94" customFormat="false" ht="15.75" hidden="false" customHeight="true" outlineLevel="0" collapsed="false">
      <c r="A94" s="1"/>
      <c r="B94" s="1"/>
      <c r="C94" s="1"/>
      <c r="D94" s="1"/>
      <c r="E94" s="1"/>
      <c r="F94" s="1"/>
      <c r="G94" s="1"/>
      <c r="H94" s="1"/>
      <c r="I94" s="1"/>
    </row>
    <row r="95" customFormat="false" ht="15.75" hidden="false" customHeight="true" outlineLevel="0" collapsed="false">
      <c r="A95" s="1"/>
      <c r="B95" s="1"/>
      <c r="C95" s="1"/>
      <c r="D95" s="1"/>
      <c r="E95" s="1"/>
      <c r="F95" s="1"/>
      <c r="G95" s="1"/>
      <c r="H95" s="1"/>
      <c r="I95" s="1"/>
    </row>
    <row r="96" customFormat="false" ht="15.75" hidden="false" customHeight="true" outlineLevel="0" collapsed="false">
      <c r="A96" s="1"/>
      <c r="B96" s="1"/>
      <c r="C96" s="1"/>
      <c r="D96" s="1"/>
      <c r="E96" s="1"/>
      <c r="F96" s="1"/>
      <c r="G96" s="1"/>
      <c r="H96" s="1"/>
      <c r="I96" s="1"/>
    </row>
    <row r="97" customFormat="false" ht="15.75" hidden="false" customHeight="true" outlineLevel="0" collapsed="false">
      <c r="A97" s="1"/>
      <c r="B97" s="1"/>
      <c r="C97" s="1"/>
      <c r="D97" s="1"/>
      <c r="E97" s="1"/>
      <c r="F97" s="1"/>
      <c r="G97" s="1"/>
      <c r="H97" s="1"/>
      <c r="I97" s="1"/>
    </row>
    <row r="98" customFormat="false" ht="15.75" hidden="false" customHeight="true" outlineLevel="0" collapsed="false">
      <c r="A98" s="1"/>
      <c r="B98" s="1"/>
      <c r="C98" s="1"/>
      <c r="D98" s="1"/>
      <c r="E98" s="1"/>
      <c r="F98" s="1"/>
      <c r="G98" s="1"/>
      <c r="H98" s="1"/>
      <c r="I98" s="1"/>
    </row>
    <row r="99" customFormat="false" ht="15.75" hidden="false" customHeight="true" outlineLevel="0" collapsed="false">
      <c r="A99" s="1"/>
      <c r="B99" s="1"/>
      <c r="C99" s="1"/>
      <c r="D99" s="1"/>
      <c r="E99" s="1"/>
      <c r="F99" s="1"/>
      <c r="G99" s="1"/>
      <c r="H99" s="1"/>
      <c r="I99" s="1"/>
    </row>
    <row r="100" customFormat="false" ht="15.75" hidden="false" customHeight="true" outlineLevel="0" collapsed="false">
      <c r="A100" s="1"/>
      <c r="B100" s="1"/>
      <c r="C100" s="1"/>
      <c r="D100" s="1"/>
      <c r="E100" s="1"/>
      <c r="F100" s="1"/>
      <c r="G100" s="1"/>
      <c r="H100" s="1"/>
      <c r="I100" s="1"/>
    </row>
    <row r="101" customFormat="false" ht="15.75" hidden="false" customHeight="true" outlineLevel="0" collapsed="false">
      <c r="A101" s="1"/>
      <c r="B101" s="1"/>
      <c r="C101" s="1"/>
      <c r="D101" s="1"/>
      <c r="E101" s="1"/>
      <c r="F101" s="1"/>
      <c r="G101" s="1"/>
      <c r="H101" s="1"/>
      <c r="I101" s="1"/>
    </row>
    <row r="102" customFormat="false" ht="15.75" hidden="false" customHeight="true" outlineLevel="0" collapsed="false">
      <c r="A102" s="1"/>
      <c r="B102" s="1"/>
      <c r="C102" s="1"/>
      <c r="D102" s="1"/>
      <c r="E102" s="1"/>
      <c r="F102" s="1"/>
      <c r="G102" s="1"/>
      <c r="H102" s="1"/>
      <c r="I102" s="1"/>
    </row>
    <row r="103" customFormat="false" ht="15.75" hidden="false" customHeight="true" outlineLevel="0" collapsed="false">
      <c r="A103" s="1"/>
      <c r="B103" s="1"/>
      <c r="C103" s="1"/>
      <c r="D103" s="1"/>
      <c r="E103" s="1"/>
      <c r="F103" s="1"/>
      <c r="G103" s="1"/>
      <c r="H103" s="1"/>
      <c r="I103" s="1"/>
    </row>
    <row r="104" customFormat="false" ht="15.75" hidden="false" customHeight="true" outlineLevel="0" collapsed="false">
      <c r="A104" s="1"/>
      <c r="B104" s="1"/>
      <c r="C104" s="1"/>
      <c r="D104" s="1"/>
      <c r="E104" s="1"/>
      <c r="F104" s="1"/>
      <c r="G104" s="1"/>
      <c r="H104" s="1"/>
      <c r="I104" s="1"/>
    </row>
    <row r="105" customFormat="false" ht="15.75" hidden="false" customHeight="true" outlineLevel="0" collapsed="false">
      <c r="A105" s="1"/>
      <c r="B105" s="1"/>
      <c r="C105" s="1"/>
      <c r="D105" s="1"/>
      <c r="E105" s="1"/>
      <c r="F105" s="1"/>
      <c r="G105" s="1"/>
      <c r="H105" s="1"/>
      <c r="I105" s="1"/>
    </row>
    <row r="106" customFormat="false" ht="15.75" hidden="false" customHeight="true" outlineLevel="0" collapsed="false">
      <c r="A106" s="1"/>
      <c r="B106" s="1"/>
      <c r="C106" s="1"/>
      <c r="D106" s="1"/>
      <c r="E106" s="1"/>
      <c r="F106" s="1"/>
      <c r="G106" s="1"/>
      <c r="H106" s="1"/>
      <c r="I106" s="1"/>
    </row>
    <row r="107" customFormat="false" ht="15.75" hidden="false" customHeight="true" outlineLevel="0" collapsed="false">
      <c r="A107" s="1"/>
      <c r="B107" s="1"/>
      <c r="C107" s="1"/>
      <c r="D107" s="1"/>
      <c r="E107" s="1"/>
      <c r="F107" s="1"/>
      <c r="G107" s="1"/>
      <c r="H107" s="1"/>
      <c r="I107" s="1"/>
    </row>
    <row r="108" customFormat="false" ht="15.75" hidden="false" customHeight="true" outlineLevel="0" collapsed="false">
      <c r="A108" s="1"/>
      <c r="B108" s="1"/>
      <c r="C108" s="1"/>
      <c r="D108" s="1"/>
      <c r="E108" s="1"/>
      <c r="F108" s="1"/>
      <c r="G108" s="1"/>
      <c r="H108" s="1"/>
      <c r="I108" s="1"/>
    </row>
    <row r="109" customFormat="false" ht="15.75" hidden="false" customHeight="true" outlineLevel="0" collapsed="false">
      <c r="A109" s="1"/>
      <c r="B109" s="1"/>
      <c r="C109" s="1"/>
      <c r="D109" s="1"/>
      <c r="E109" s="1"/>
      <c r="F109" s="1"/>
      <c r="G109" s="1"/>
      <c r="H109" s="1"/>
      <c r="I109" s="1"/>
    </row>
    <row r="110" customFormat="false" ht="15.75" hidden="false" customHeight="true" outlineLevel="0" collapsed="false">
      <c r="A110" s="1"/>
      <c r="B110" s="1"/>
      <c r="C110" s="1"/>
      <c r="D110" s="1"/>
      <c r="E110" s="1"/>
      <c r="F110" s="1"/>
      <c r="G110" s="1"/>
      <c r="H110" s="1"/>
      <c r="I110" s="1"/>
    </row>
    <row r="111" customFormat="false" ht="15.75" hidden="false" customHeight="true" outlineLevel="0" collapsed="false">
      <c r="A111" s="1"/>
      <c r="B111" s="1"/>
      <c r="C111" s="1"/>
      <c r="D111" s="1"/>
      <c r="E111" s="1"/>
      <c r="F111" s="1"/>
      <c r="G111" s="1"/>
      <c r="H111" s="1"/>
      <c r="I111" s="1"/>
    </row>
    <row r="112" customFormat="false" ht="15.75" hidden="false" customHeight="true" outlineLevel="0" collapsed="false">
      <c r="A112" s="1"/>
      <c r="B112" s="1"/>
      <c r="C112" s="1"/>
      <c r="D112" s="1"/>
      <c r="E112" s="1"/>
      <c r="F112" s="1"/>
      <c r="G112" s="1"/>
      <c r="H112" s="1"/>
      <c r="I112" s="1"/>
    </row>
    <row r="113" customFormat="false" ht="15.75" hidden="false" customHeight="true" outlineLevel="0" collapsed="false">
      <c r="A113" s="1"/>
      <c r="B113" s="1"/>
      <c r="C113" s="1"/>
      <c r="D113" s="1"/>
      <c r="E113" s="1"/>
      <c r="F113" s="1"/>
      <c r="G113" s="1"/>
      <c r="H113" s="1"/>
      <c r="I113" s="1"/>
    </row>
    <row r="114" customFormat="false" ht="15.75" hidden="false" customHeight="true" outlineLevel="0" collapsed="false">
      <c r="A114" s="1"/>
      <c r="B114" s="1"/>
      <c r="C114" s="1"/>
      <c r="D114" s="1"/>
      <c r="E114" s="1"/>
      <c r="F114" s="1"/>
      <c r="G114" s="1"/>
      <c r="H114" s="1"/>
      <c r="I114" s="1"/>
    </row>
    <row r="115" customFormat="false" ht="15.75" hidden="false" customHeight="true" outlineLevel="0" collapsed="false">
      <c r="A115" s="1"/>
      <c r="B115" s="1"/>
      <c r="C115" s="1"/>
      <c r="D115" s="1"/>
      <c r="E115" s="1"/>
      <c r="F115" s="1"/>
      <c r="G115" s="1"/>
      <c r="H115" s="1"/>
      <c r="I115" s="1"/>
    </row>
    <row r="116" customFormat="false" ht="15.75" hidden="false" customHeight="true" outlineLevel="0" collapsed="false">
      <c r="A116" s="1"/>
      <c r="B116" s="1"/>
      <c r="C116" s="1"/>
      <c r="D116" s="1"/>
      <c r="E116" s="1"/>
      <c r="F116" s="1"/>
      <c r="G116" s="1"/>
      <c r="H116" s="1"/>
      <c r="I116" s="1"/>
    </row>
    <row r="117" customFormat="false" ht="15.75" hidden="false" customHeight="true" outlineLevel="0" collapsed="false">
      <c r="A117" s="1"/>
      <c r="B117" s="1"/>
      <c r="C117" s="1"/>
      <c r="D117" s="1"/>
      <c r="E117" s="1"/>
      <c r="F117" s="1"/>
      <c r="G117" s="1"/>
      <c r="H117" s="1"/>
      <c r="I117" s="1"/>
    </row>
    <row r="118" customFormat="false" ht="15.75" hidden="false" customHeight="true" outlineLevel="0" collapsed="false">
      <c r="A118" s="1"/>
      <c r="B118" s="1"/>
      <c r="C118" s="1"/>
      <c r="D118" s="1"/>
      <c r="E118" s="1"/>
      <c r="F118" s="1"/>
      <c r="G118" s="1"/>
      <c r="H118" s="1"/>
      <c r="I118" s="1"/>
    </row>
    <row r="119" customFormat="false" ht="15.75" hidden="false" customHeight="true" outlineLevel="0" collapsed="false">
      <c r="A119" s="1"/>
      <c r="B119" s="1"/>
      <c r="C119" s="1"/>
      <c r="D119" s="1"/>
      <c r="E119" s="1"/>
      <c r="F119" s="1"/>
      <c r="G119" s="1"/>
      <c r="H119" s="1"/>
      <c r="I119" s="1"/>
    </row>
    <row r="120" customFormat="false" ht="15.75" hidden="false" customHeight="true" outlineLevel="0" collapsed="false">
      <c r="A120" s="1"/>
      <c r="B120" s="1"/>
      <c r="C120" s="1"/>
      <c r="D120" s="1"/>
      <c r="E120" s="1"/>
      <c r="F120" s="1"/>
      <c r="G120" s="1"/>
      <c r="H120" s="1"/>
      <c r="I120" s="1"/>
    </row>
    <row r="121" customFormat="false" ht="15.75" hidden="false" customHeight="true" outlineLevel="0" collapsed="false">
      <c r="A121" s="1"/>
      <c r="B121" s="1"/>
      <c r="C121" s="1"/>
      <c r="D121" s="1"/>
      <c r="E121" s="1"/>
      <c r="F121" s="1"/>
      <c r="G121" s="1"/>
      <c r="H121" s="1"/>
      <c r="I121" s="1"/>
    </row>
    <row r="122" customFormat="false" ht="15.75" hidden="false" customHeight="true" outlineLevel="0" collapsed="false">
      <c r="A122" s="1"/>
      <c r="B122" s="1"/>
      <c r="C122" s="1"/>
      <c r="D122" s="1"/>
      <c r="E122" s="1"/>
      <c r="F122" s="1"/>
      <c r="G122" s="1"/>
      <c r="H122" s="1"/>
      <c r="I122" s="1"/>
    </row>
    <row r="123" customFormat="false" ht="15.75" hidden="false" customHeight="true" outlineLevel="0" collapsed="false">
      <c r="A123" s="1"/>
      <c r="B123" s="1"/>
      <c r="C123" s="1"/>
      <c r="D123" s="1"/>
      <c r="E123" s="1"/>
      <c r="F123" s="1"/>
      <c r="G123" s="1"/>
      <c r="H123" s="1"/>
      <c r="I123" s="1"/>
    </row>
    <row r="124" customFormat="false" ht="15.75" hidden="false" customHeight="true" outlineLevel="0" collapsed="false">
      <c r="A124" s="1"/>
      <c r="B124" s="1"/>
      <c r="C124" s="1"/>
      <c r="D124" s="1"/>
      <c r="E124" s="1"/>
      <c r="F124" s="1"/>
      <c r="G124" s="1"/>
      <c r="H124" s="1"/>
      <c r="I124" s="1"/>
    </row>
    <row r="125" customFormat="false" ht="15.75" hidden="false" customHeight="true" outlineLevel="0" collapsed="false">
      <c r="A125" s="1"/>
      <c r="B125" s="1"/>
      <c r="C125" s="1"/>
      <c r="D125" s="1"/>
      <c r="E125" s="1"/>
      <c r="F125" s="1"/>
      <c r="G125" s="1"/>
      <c r="H125" s="1"/>
      <c r="I125" s="1"/>
    </row>
    <row r="126" customFormat="false" ht="15.75" hidden="false" customHeight="true" outlineLevel="0" collapsed="false">
      <c r="A126" s="1"/>
      <c r="B126" s="1"/>
      <c r="C126" s="1"/>
      <c r="D126" s="1"/>
      <c r="E126" s="1"/>
      <c r="F126" s="1"/>
      <c r="G126" s="1"/>
      <c r="H126" s="1"/>
      <c r="I126" s="1"/>
    </row>
    <row r="127" customFormat="false" ht="15.75" hidden="false" customHeight="true" outlineLevel="0" collapsed="false">
      <c r="A127" s="1"/>
      <c r="B127" s="1"/>
      <c r="C127" s="1"/>
      <c r="D127" s="1"/>
      <c r="E127" s="1"/>
      <c r="F127" s="1"/>
      <c r="G127" s="1"/>
      <c r="H127" s="1"/>
      <c r="I127" s="1"/>
    </row>
    <row r="128" customFormat="false" ht="15.75" hidden="false" customHeight="true" outlineLevel="0" collapsed="false">
      <c r="A128" s="1"/>
      <c r="B128" s="1"/>
      <c r="C128" s="1"/>
      <c r="D128" s="1"/>
      <c r="E128" s="1"/>
      <c r="F128" s="1"/>
      <c r="G128" s="1"/>
      <c r="H128" s="1"/>
      <c r="I128" s="1"/>
    </row>
    <row r="129" customFormat="false" ht="15.75" hidden="false" customHeight="true" outlineLevel="0" collapsed="false">
      <c r="A129" s="1"/>
      <c r="B129" s="1"/>
      <c r="C129" s="1"/>
      <c r="D129" s="1"/>
      <c r="E129" s="1"/>
      <c r="F129" s="1"/>
      <c r="G129" s="1"/>
      <c r="H129" s="1"/>
      <c r="I129" s="1"/>
    </row>
    <row r="130" customFormat="false" ht="15.75" hidden="false" customHeight="true" outlineLevel="0" collapsed="false">
      <c r="A130" s="1"/>
      <c r="B130" s="1"/>
      <c r="C130" s="1"/>
      <c r="D130" s="1"/>
      <c r="E130" s="1"/>
      <c r="F130" s="1"/>
      <c r="G130" s="1"/>
      <c r="H130" s="1"/>
      <c r="I130" s="1"/>
    </row>
    <row r="131" customFormat="false" ht="15.75" hidden="false" customHeight="true" outlineLevel="0" collapsed="false">
      <c r="A131" s="1"/>
      <c r="B131" s="1"/>
      <c r="C131" s="1"/>
      <c r="D131" s="1"/>
      <c r="E131" s="1"/>
      <c r="F131" s="1"/>
      <c r="G131" s="1"/>
      <c r="H131" s="1"/>
      <c r="I131" s="1"/>
    </row>
    <row r="132" customFormat="false" ht="15.75" hidden="false" customHeight="true" outlineLevel="0" collapsed="false">
      <c r="A132" s="1"/>
      <c r="B132" s="1"/>
      <c r="C132" s="1"/>
      <c r="D132" s="1"/>
      <c r="E132" s="1"/>
      <c r="F132" s="1"/>
      <c r="G132" s="1"/>
      <c r="H132" s="1"/>
      <c r="I132" s="1"/>
    </row>
    <row r="133" customFormat="false" ht="15.75" hidden="false" customHeight="true" outlineLevel="0" collapsed="false">
      <c r="A133" s="1"/>
      <c r="B133" s="1"/>
      <c r="C133" s="1"/>
      <c r="D133" s="1"/>
      <c r="E133" s="1"/>
      <c r="F133" s="1"/>
      <c r="G133" s="1"/>
      <c r="H133" s="1"/>
      <c r="I133" s="1"/>
    </row>
    <row r="134" customFormat="false" ht="15.75" hidden="false" customHeight="true" outlineLevel="0" collapsed="false">
      <c r="A134" s="1"/>
      <c r="B134" s="1"/>
      <c r="C134" s="1"/>
      <c r="D134" s="1"/>
      <c r="E134" s="1"/>
      <c r="F134" s="1"/>
      <c r="G134" s="1"/>
      <c r="H134" s="1"/>
      <c r="I134" s="1"/>
    </row>
    <row r="135" customFormat="false" ht="15.75" hidden="false" customHeight="true" outlineLevel="0" collapsed="false">
      <c r="A135" s="1"/>
      <c r="B135" s="1"/>
      <c r="C135" s="1"/>
      <c r="D135" s="1"/>
      <c r="E135" s="1"/>
      <c r="F135" s="1"/>
      <c r="G135" s="1"/>
      <c r="H135" s="1"/>
      <c r="I135" s="1"/>
    </row>
    <row r="136" customFormat="false" ht="15.75" hidden="false" customHeight="true" outlineLevel="0" collapsed="false">
      <c r="A136" s="1"/>
      <c r="B136" s="1"/>
      <c r="C136" s="1"/>
      <c r="D136" s="1"/>
      <c r="E136" s="1"/>
      <c r="F136" s="1"/>
      <c r="G136" s="1"/>
      <c r="H136" s="1"/>
      <c r="I136" s="1"/>
    </row>
    <row r="137" customFormat="false" ht="15.75" hidden="false" customHeight="true" outlineLevel="0" collapsed="false">
      <c r="A137" s="1"/>
      <c r="B137" s="1"/>
      <c r="C137" s="1"/>
      <c r="D137" s="1"/>
      <c r="E137" s="1"/>
      <c r="F137" s="1"/>
      <c r="G137" s="1"/>
      <c r="H137" s="1"/>
      <c r="I137" s="1"/>
    </row>
    <row r="138" customFormat="false" ht="15.75" hidden="false" customHeight="true" outlineLevel="0" collapsed="false">
      <c r="A138" s="1"/>
      <c r="B138" s="1"/>
      <c r="C138" s="1"/>
      <c r="D138" s="1"/>
      <c r="E138" s="1"/>
      <c r="F138" s="1"/>
      <c r="G138" s="1"/>
      <c r="H138" s="1"/>
      <c r="I138" s="1"/>
    </row>
    <row r="139" customFormat="false" ht="15.75" hidden="false" customHeight="true" outlineLevel="0" collapsed="false">
      <c r="A139" s="1"/>
      <c r="B139" s="1"/>
      <c r="C139" s="1"/>
      <c r="D139" s="1"/>
      <c r="E139" s="1"/>
      <c r="F139" s="1"/>
      <c r="G139" s="1"/>
      <c r="H139" s="1"/>
      <c r="I139" s="1"/>
    </row>
    <row r="140" customFormat="false" ht="15.75" hidden="false" customHeight="true" outlineLevel="0" collapsed="false">
      <c r="A140" s="1"/>
      <c r="B140" s="1"/>
      <c r="C140" s="1"/>
      <c r="D140" s="1"/>
      <c r="E140" s="1"/>
      <c r="F140" s="1"/>
      <c r="G140" s="1"/>
      <c r="H140" s="1"/>
      <c r="I140" s="1"/>
    </row>
    <row r="141" customFormat="false" ht="15.75" hidden="false" customHeight="true" outlineLevel="0" collapsed="false">
      <c r="A141" s="1"/>
      <c r="B141" s="1"/>
      <c r="C141" s="1"/>
      <c r="D141" s="1"/>
      <c r="E141" s="1"/>
      <c r="F141" s="1"/>
      <c r="G141" s="1"/>
      <c r="H141" s="1"/>
      <c r="I141" s="1"/>
    </row>
    <row r="142" customFormat="false" ht="15.75" hidden="false" customHeight="true" outlineLevel="0" collapsed="false">
      <c r="A142" s="1"/>
      <c r="B142" s="1"/>
      <c r="C142" s="1"/>
      <c r="D142" s="1"/>
      <c r="E142" s="1"/>
      <c r="F142" s="1"/>
      <c r="G142" s="1"/>
      <c r="H142" s="1"/>
      <c r="I142" s="1"/>
    </row>
    <row r="143" customFormat="false" ht="15.75" hidden="false" customHeight="true" outlineLevel="0" collapsed="false">
      <c r="A143" s="1"/>
      <c r="B143" s="1"/>
      <c r="C143" s="1"/>
      <c r="D143" s="1"/>
      <c r="E143" s="1"/>
      <c r="F143" s="1"/>
      <c r="G143" s="1"/>
      <c r="H143" s="1"/>
      <c r="I143" s="1"/>
    </row>
    <row r="144" customFormat="false" ht="15.75" hidden="false" customHeight="true" outlineLevel="0" collapsed="false">
      <c r="A144" s="1"/>
      <c r="B144" s="1"/>
      <c r="C144" s="1"/>
      <c r="D144" s="1"/>
      <c r="E144" s="1"/>
      <c r="F144" s="1"/>
      <c r="G144" s="1"/>
      <c r="H144" s="1"/>
      <c r="I144" s="1"/>
    </row>
    <row r="145" customFormat="false" ht="15.75" hidden="false" customHeight="true" outlineLevel="0" collapsed="false">
      <c r="A145" s="1"/>
      <c r="B145" s="1"/>
      <c r="C145" s="1"/>
      <c r="D145" s="1"/>
      <c r="E145" s="1"/>
      <c r="F145" s="1"/>
      <c r="G145" s="1"/>
      <c r="H145" s="1"/>
      <c r="I145" s="1"/>
    </row>
    <row r="146" customFormat="false" ht="15.75" hidden="false" customHeight="true" outlineLevel="0" collapsed="false">
      <c r="A146" s="1"/>
      <c r="B146" s="1"/>
      <c r="C146" s="1"/>
      <c r="D146" s="1"/>
      <c r="E146" s="1"/>
      <c r="F146" s="1"/>
      <c r="G146" s="1"/>
      <c r="H146" s="1"/>
      <c r="I146" s="1"/>
    </row>
    <row r="147" customFormat="false" ht="15.75" hidden="false" customHeight="true" outlineLevel="0" collapsed="false">
      <c r="A147" s="1"/>
      <c r="B147" s="1"/>
      <c r="C147" s="1"/>
      <c r="D147" s="1"/>
      <c r="E147" s="1"/>
      <c r="F147" s="1"/>
      <c r="G147" s="1"/>
      <c r="H147" s="1"/>
      <c r="I147" s="1"/>
    </row>
    <row r="148" customFormat="false" ht="15.75" hidden="false" customHeight="true" outlineLevel="0" collapsed="false">
      <c r="A148" s="1"/>
      <c r="B148" s="1"/>
      <c r="C148" s="1"/>
      <c r="D148" s="1"/>
      <c r="E148" s="1"/>
      <c r="F148" s="1"/>
      <c r="G148" s="1"/>
      <c r="H148" s="1"/>
      <c r="I148" s="1"/>
    </row>
    <row r="149" customFormat="false" ht="15.75" hidden="false" customHeight="true" outlineLevel="0" collapsed="false">
      <c r="A149" s="1"/>
      <c r="B149" s="1"/>
      <c r="C149" s="1"/>
      <c r="D149" s="1"/>
      <c r="E149" s="1"/>
      <c r="F149" s="1"/>
      <c r="G149" s="1"/>
      <c r="H149" s="1"/>
      <c r="I149" s="1"/>
    </row>
    <row r="150" customFormat="false" ht="15.75" hidden="false" customHeight="true" outlineLevel="0" collapsed="false">
      <c r="A150" s="1"/>
      <c r="B150" s="1"/>
      <c r="C150" s="1"/>
      <c r="D150" s="1"/>
      <c r="E150" s="1"/>
      <c r="F150" s="1"/>
      <c r="G150" s="1"/>
      <c r="H150" s="1"/>
      <c r="I150" s="1"/>
    </row>
    <row r="151" customFormat="false" ht="15.75" hidden="false" customHeight="true" outlineLevel="0" collapsed="false">
      <c r="A151" s="1"/>
      <c r="B151" s="1"/>
      <c r="C151" s="1"/>
      <c r="D151" s="1"/>
      <c r="E151" s="1"/>
      <c r="F151" s="1"/>
      <c r="G151" s="1"/>
      <c r="H151" s="1"/>
      <c r="I151" s="1"/>
    </row>
    <row r="152" customFormat="false" ht="15.75" hidden="false" customHeight="true" outlineLevel="0" collapsed="false">
      <c r="A152" s="1"/>
      <c r="B152" s="1"/>
      <c r="C152" s="1"/>
      <c r="D152" s="1"/>
      <c r="E152" s="1"/>
      <c r="F152" s="1"/>
      <c r="G152" s="1"/>
      <c r="H152" s="1"/>
      <c r="I152" s="1"/>
    </row>
    <row r="153" customFormat="false" ht="15.75" hidden="false" customHeight="true" outlineLevel="0" collapsed="false">
      <c r="A153" s="1"/>
      <c r="B153" s="1"/>
      <c r="C153" s="1"/>
      <c r="D153" s="1"/>
      <c r="E153" s="1"/>
      <c r="F153" s="1"/>
      <c r="G153" s="1"/>
      <c r="H153" s="1"/>
      <c r="I153" s="1"/>
    </row>
    <row r="154" customFormat="false" ht="15.75" hidden="false" customHeight="true" outlineLevel="0" collapsed="false">
      <c r="A154" s="1"/>
      <c r="B154" s="1"/>
      <c r="C154" s="1"/>
      <c r="D154" s="1"/>
      <c r="E154" s="1"/>
      <c r="F154" s="1"/>
      <c r="G154" s="1"/>
      <c r="H154" s="1"/>
      <c r="I154" s="1"/>
    </row>
    <row r="155" customFormat="false" ht="15.75" hidden="false" customHeight="true" outlineLevel="0" collapsed="false">
      <c r="A155" s="1"/>
      <c r="B155" s="1"/>
      <c r="C155" s="1"/>
      <c r="D155" s="1"/>
      <c r="E155" s="1"/>
      <c r="F155" s="1"/>
      <c r="G155" s="1"/>
      <c r="H155" s="1"/>
      <c r="I155" s="1"/>
    </row>
    <row r="156" customFormat="false" ht="15.75" hidden="false" customHeight="true" outlineLevel="0" collapsed="false">
      <c r="A156" s="1"/>
      <c r="B156" s="1"/>
      <c r="C156" s="1"/>
      <c r="D156" s="1"/>
      <c r="E156" s="1"/>
      <c r="F156" s="1"/>
      <c r="G156" s="1"/>
      <c r="H156" s="1"/>
      <c r="I156" s="1"/>
    </row>
    <row r="157" customFormat="false" ht="15.75" hidden="false" customHeight="true" outlineLevel="0" collapsed="false">
      <c r="A157" s="1"/>
      <c r="B157" s="1"/>
      <c r="C157" s="1"/>
      <c r="D157" s="1"/>
      <c r="E157" s="1"/>
      <c r="F157" s="1"/>
      <c r="G157" s="1"/>
      <c r="H157" s="1"/>
      <c r="I157" s="1"/>
    </row>
    <row r="158" customFormat="false" ht="15.75" hidden="false" customHeight="true" outlineLevel="0" collapsed="false">
      <c r="A158" s="1"/>
      <c r="B158" s="1"/>
      <c r="C158" s="1"/>
      <c r="D158" s="1"/>
      <c r="E158" s="1"/>
      <c r="F158" s="1"/>
      <c r="G158" s="1"/>
      <c r="H158" s="1"/>
      <c r="I158" s="1"/>
    </row>
    <row r="159" customFormat="false" ht="15.75" hidden="false" customHeight="true" outlineLevel="0" collapsed="false">
      <c r="A159" s="1"/>
      <c r="B159" s="1"/>
      <c r="C159" s="1"/>
      <c r="D159" s="1"/>
      <c r="E159" s="1"/>
      <c r="F159" s="1"/>
      <c r="G159" s="1"/>
      <c r="H159" s="1"/>
      <c r="I159" s="1"/>
    </row>
    <row r="160" customFormat="false" ht="15.75" hidden="false" customHeight="true" outlineLevel="0" collapsed="false">
      <c r="A160" s="1"/>
      <c r="B160" s="1"/>
      <c r="C160" s="1"/>
      <c r="D160" s="1"/>
      <c r="E160" s="1"/>
      <c r="F160" s="1"/>
      <c r="G160" s="1"/>
      <c r="H160" s="1"/>
      <c r="I160" s="1"/>
    </row>
    <row r="161" customFormat="false" ht="15.75" hidden="false" customHeight="true" outlineLevel="0" collapsed="false">
      <c r="A161" s="1"/>
      <c r="B161" s="1"/>
      <c r="C161" s="1"/>
      <c r="D161" s="1"/>
      <c r="E161" s="1"/>
      <c r="F161" s="1"/>
      <c r="G161" s="1"/>
      <c r="H161" s="1"/>
      <c r="I161" s="1"/>
    </row>
    <row r="162" customFormat="false" ht="15.75" hidden="false" customHeight="true" outlineLevel="0" collapsed="false">
      <c r="A162" s="1"/>
      <c r="B162" s="1"/>
      <c r="C162" s="1"/>
      <c r="D162" s="1"/>
      <c r="E162" s="1"/>
      <c r="F162" s="1"/>
      <c r="G162" s="1"/>
      <c r="H162" s="1"/>
      <c r="I162" s="1"/>
    </row>
    <row r="163" customFormat="false" ht="15.75" hidden="false" customHeight="true" outlineLevel="0" collapsed="false">
      <c r="A163" s="1"/>
      <c r="B163" s="1"/>
      <c r="C163" s="1"/>
      <c r="D163" s="1"/>
      <c r="E163" s="1"/>
      <c r="F163" s="1"/>
      <c r="G163" s="1"/>
      <c r="H163" s="1"/>
      <c r="I163" s="1"/>
    </row>
    <row r="164" customFormat="false" ht="15.75" hidden="false" customHeight="true" outlineLevel="0" collapsed="false">
      <c r="A164" s="1"/>
      <c r="B164" s="1"/>
      <c r="C164" s="1"/>
      <c r="D164" s="1"/>
      <c r="E164" s="1"/>
      <c r="F164" s="1"/>
      <c r="G164" s="1"/>
      <c r="H164" s="1"/>
      <c r="I164" s="1"/>
    </row>
    <row r="165" customFormat="false" ht="15.75" hidden="false" customHeight="true" outlineLevel="0" collapsed="false">
      <c r="A165" s="1"/>
      <c r="B165" s="1"/>
      <c r="C165" s="1"/>
      <c r="D165" s="1"/>
      <c r="E165" s="1"/>
      <c r="F165" s="1"/>
      <c r="G165" s="1"/>
      <c r="H165" s="1"/>
      <c r="I165" s="1"/>
    </row>
    <row r="166" customFormat="false" ht="15.75" hidden="false" customHeight="true" outlineLevel="0" collapsed="false">
      <c r="A166" s="1"/>
      <c r="B166" s="1"/>
      <c r="C166" s="1"/>
      <c r="D166" s="1"/>
      <c r="E166" s="1"/>
      <c r="F166" s="1"/>
      <c r="G166" s="1"/>
      <c r="H166" s="1"/>
      <c r="I166" s="1"/>
    </row>
    <row r="167" customFormat="false" ht="15.75" hidden="false" customHeight="true" outlineLevel="0" collapsed="false">
      <c r="A167" s="1"/>
      <c r="B167" s="1"/>
      <c r="C167" s="1"/>
      <c r="D167" s="1"/>
      <c r="E167" s="1"/>
      <c r="F167" s="1"/>
      <c r="G167" s="1"/>
      <c r="H167" s="1"/>
      <c r="I167" s="1"/>
    </row>
    <row r="168" customFormat="false" ht="15.75" hidden="false" customHeight="true" outlineLevel="0" collapsed="false">
      <c r="A168" s="1"/>
      <c r="B168" s="1"/>
      <c r="C168" s="1"/>
      <c r="D168" s="1"/>
      <c r="E168" s="1"/>
      <c r="F168" s="1"/>
      <c r="G168" s="1"/>
      <c r="H168" s="1"/>
      <c r="I168" s="1"/>
    </row>
    <row r="169" customFormat="false" ht="15.75" hidden="false" customHeight="true" outlineLevel="0" collapsed="false">
      <c r="A169" s="1"/>
      <c r="B169" s="1"/>
      <c r="C169" s="1"/>
      <c r="D169" s="1"/>
      <c r="E169" s="1"/>
      <c r="F169" s="1"/>
      <c r="G169" s="1"/>
      <c r="H169" s="1"/>
      <c r="I169" s="1"/>
    </row>
    <row r="170" customFormat="false" ht="15.75" hidden="false" customHeight="true" outlineLevel="0" collapsed="false">
      <c r="A170" s="1"/>
      <c r="B170" s="1"/>
      <c r="C170" s="1"/>
      <c r="D170" s="1"/>
      <c r="E170" s="1"/>
      <c r="F170" s="1"/>
      <c r="G170" s="1"/>
      <c r="H170" s="1"/>
      <c r="I170" s="1"/>
    </row>
    <row r="171" customFormat="false" ht="15.75" hidden="false" customHeight="true" outlineLevel="0" collapsed="false">
      <c r="A171" s="1"/>
      <c r="B171" s="1"/>
      <c r="C171" s="1"/>
      <c r="D171" s="1"/>
      <c r="E171" s="1"/>
      <c r="F171" s="1"/>
      <c r="G171" s="1"/>
      <c r="H171" s="1"/>
      <c r="I171" s="1"/>
    </row>
    <row r="172" customFormat="false" ht="15.75" hidden="false" customHeight="true" outlineLevel="0" collapsed="false">
      <c r="A172" s="1"/>
      <c r="B172" s="1"/>
      <c r="C172" s="1"/>
      <c r="D172" s="1"/>
      <c r="E172" s="1"/>
      <c r="F172" s="1"/>
      <c r="G172" s="1"/>
      <c r="H172" s="1"/>
      <c r="I172" s="1"/>
    </row>
    <row r="173" customFormat="false" ht="15.75" hidden="false" customHeight="true" outlineLevel="0" collapsed="false">
      <c r="A173" s="1"/>
      <c r="B173" s="1"/>
      <c r="C173" s="1"/>
      <c r="D173" s="1"/>
      <c r="E173" s="1"/>
      <c r="F173" s="1"/>
      <c r="G173" s="1"/>
      <c r="H173" s="1"/>
      <c r="I173" s="1"/>
    </row>
    <row r="174" customFormat="false" ht="15.75" hidden="false" customHeight="true" outlineLevel="0" collapsed="false">
      <c r="A174" s="1"/>
      <c r="B174" s="1"/>
      <c r="C174" s="1"/>
      <c r="D174" s="1"/>
      <c r="E174" s="1"/>
      <c r="F174" s="1"/>
      <c r="G174" s="1"/>
      <c r="H174" s="1"/>
      <c r="I174" s="1"/>
    </row>
    <row r="175" customFormat="false" ht="15.75" hidden="false" customHeight="true" outlineLevel="0" collapsed="false">
      <c r="A175" s="1"/>
      <c r="B175" s="1"/>
      <c r="C175" s="1"/>
      <c r="D175" s="1"/>
      <c r="E175" s="1"/>
      <c r="F175" s="1"/>
      <c r="G175" s="1"/>
      <c r="H175" s="1"/>
      <c r="I175" s="1"/>
    </row>
    <row r="176" customFormat="false" ht="15.75" hidden="false" customHeight="true" outlineLevel="0" collapsed="false">
      <c r="A176" s="1"/>
      <c r="B176" s="1"/>
      <c r="C176" s="1"/>
      <c r="D176" s="1"/>
      <c r="E176" s="1"/>
      <c r="F176" s="1"/>
      <c r="G176" s="1"/>
      <c r="H176" s="1"/>
      <c r="I176" s="1"/>
    </row>
    <row r="177" customFormat="false" ht="15.75" hidden="false" customHeight="true" outlineLevel="0" collapsed="false">
      <c r="A177" s="1"/>
      <c r="B177" s="1"/>
      <c r="C177" s="1"/>
      <c r="D177" s="1"/>
      <c r="E177" s="1"/>
      <c r="F177" s="1"/>
      <c r="G177" s="1"/>
      <c r="H177" s="1"/>
      <c r="I177" s="1"/>
    </row>
    <row r="178" customFormat="false" ht="15.75" hidden="false" customHeight="true" outlineLevel="0" collapsed="false">
      <c r="A178" s="1"/>
      <c r="B178" s="1"/>
      <c r="C178" s="1"/>
      <c r="D178" s="1"/>
      <c r="E178" s="1"/>
      <c r="F178" s="1"/>
      <c r="G178" s="1"/>
      <c r="H178" s="1"/>
      <c r="I178" s="1"/>
    </row>
    <row r="179" customFormat="false" ht="15.75" hidden="false" customHeight="true" outlineLevel="0" collapsed="false">
      <c r="A179" s="1"/>
      <c r="B179" s="1"/>
      <c r="C179" s="1"/>
      <c r="D179" s="1"/>
      <c r="E179" s="1"/>
      <c r="F179" s="1"/>
      <c r="G179" s="1"/>
      <c r="H179" s="1"/>
      <c r="I179" s="1"/>
    </row>
    <row r="180" customFormat="false" ht="15.75" hidden="false" customHeight="true" outlineLevel="0" collapsed="false">
      <c r="A180" s="1"/>
      <c r="B180" s="1"/>
      <c r="C180" s="1"/>
      <c r="D180" s="1"/>
      <c r="E180" s="1"/>
      <c r="F180" s="1"/>
      <c r="G180" s="1"/>
      <c r="H180" s="1"/>
      <c r="I180" s="1"/>
    </row>
    <row r="181" customFormat="false" ht="15.75" hidden="false" customHeight="true" outlineLevel="0" collapsed="false">
      <c r="A181" s="1"/>
      <c r="B181" s="1"/>
      <c r="C181" s="1"/>
      <c r="D181" s="1"/>
      <c r="E181" s="1"/>
      <c r="F181" s="1"/>
      <c r="G181" s="1"/>
      <c r="H181" s="1"/>
      <c r="I181" s="1"/>
    </row>
    <row r="182" customFormat="false" ht="15.75" hidden="false" customHeight="true" outlineLevel="0" collapsed="false">
      <c r="A182" s="1"/>
      <c r="B182" s="1"/>
      <c r="C182" s="1"/>
      <c r="D182" s="1"/>
      <c r="E182" s="1"/>
      <c r="F182" s="1"/>
      <c r="G182" s="1"/>
      <c r="H182" s="1"/>
      <c r="I182" s="1"/>
    </row>
    <row r="183" customFormat="false" ht="15.75" hidden="false" customHeight="true" outlineLevel="0" collapsed="false">
      <c r="A183" s="1"/>
      <c r="B183" s="1"/>
      <c r="C183" s="1"/>
      <c r="D183" s="1"/>
      <c r="E183" s="1"/>
      <c r="F183" s="1"/>
      <c r="G183" s="1"/>
      <c r="H183" s="1"/>
      <c r="I183" s="1"/>
    </row>
    <row r="184" customFormat="false" ht="15.75" hidden="false" customHeight="true" outlineLevel="0" collapsed="false">
      <c r="A184" s="1"/>
      <c r="B184" s="1"/>
      <c r="C184" s="1"/>
      <c r="D184" s="1"/>
      <c r="E184" s="1"/>
      <c r="F184" s="1"/>
      <c r="G184" s="1"/>
      <c r="H184" s="1"/>
      <c r="I184" s="1"/>
    </row>
    <row r="185" customFormat="false" ht="15.75" hidden="false" customHeight="true" outlineLevel="0" collapsed="false">
      <c r="A185" s="1"/>
      <c r="B185" s="1"/>
      <c r="C185" s="1"/>
      <c r="D185" s="1"/>
      <c r="E185" s="1"/>
      <c r="F185" s="1"/>
      <c r="G185" s="1"/>
      <c r="H185" s="1"/>
      <c r="I185" s="1"/>
    </row>
    <row r="186" customFormat="false" ht="15.75" hidden="false" customHeight="true" outlineLevel="0" collapsed="false">
      <c r="A186" s="1"/>
      <c r="B186" s="1"/>
      <c r="C186" s="1"/>
      <c r="D186" s="1"/>
      <c r="E186" s="1"/>
      <c r="F186" s="1"/>
      <c r="G186" s="1"/>
      <c r="H186" s="1"/>
      <c r="I186" s="1"/>
    </row>
    <row r="187" customFormat="false" ht="15.75" hidden="false" customHeight="true" outlineLevel="0" collapsed="false">
      <c r="A187" s="1"/>
      <c r="B187" s="1"/>
      <c r="C187" s="1"/>
      <c r="D187" s="1"/>
      <c r="E187" s="1"/>
      <c r="F187" s="1"/>
      <c r="G187" s="1"/>
      <c r="H187" s="1"/>
      <c r="I187" s="1"/>
    </row>
    <row r="188" customFormat="false" ht="15.75" hidden="false" customHeight="true" outlineLevel="0" collapsed="false">
      <c r="A188" s="1"/>
      <c r="B188" s="1"/>
      <c r="C188" s="1"/>
      <c r="D188" s="1"/>
      <c r="E188" s="1"/>
      <c r="F188" s="1"/>
      <c r="G188" s="1"/>
      <c r="H188" s="1"/>
      <c r="I188" s="1"/>
    </row>
    <row r="189" customFormat="false" ht="15.75" hidden="false" customHeight="true" outlineLevel="0" collapsed="false">
      <c r="A189" s="1"/>
      <c r="B189" s="1"/>
      <c r="C189" s="1"/>
      <c r="D189" s="1"/>
      <c r="E189" s="1"/>
      <c r="F189" s="1"/>
      <c r="G189" s="1"/>
      <c r="H189" s="1"/>
      <c r="I189" s="1"/>
    </row>
    <row r="190" customFormat="false" ht="15.75" hidden="false" customHeight="true" outlineLevel="0" collapsed="false">
      <c r="A190" s="1"/>
      <c r="B190" s="1"/>
      <c r="C190" s="1"/>
      <c r="D190" s="1"/>
      <c r="E190" s="1"/>
      <c r="F190" s="1"/>
      <c r="G190" s="1"/>
      <c r="H190" s="1"/>
      <c r="I190" s="1"/>
    </row>
    <row r="191" customFormat="false" ht="15.75" hidden="false" customHeight="true" outlineLevel="0" collapsed="false">
      <c r="A191" s="1"/>
      <c r="B191" s="1"/>
      <c r="C191" s="1"/>
      <c r="D191" s="1"/>
      <c r="E191" s="1"/>
      <c r="F191" s="1"/>
      <c r="G191" s="1"/>
      <c r="H191" s="1"/>
      <c r="I191" s="1"/>
    </row>
    <row r="192" customFormat="false" ht="15.75" hidden="false" customHeight="true" outlineLevel="0" collapsed="false">
      <c r="A192" s="1"/>
      <c r="B192" s="1"/>
      <c r="C192" s="1"/>
      <c r="D192" s="1"/>
      <c r="E192" s="1"/>
      <c r="F192" s="1"/>
      <c r="G192" s="1"/>
      <c r="H192" s="1"/>
      <c r="I192" s="1"/>
    </row>
    <row r="193" customFormat="false" ht="15.75" hidden="false" customHeight="true" outlineLevel="0" collapsed="false">
      <c r="A193" s="1"/>
      <c r="B193" s="1"/>
      <c r="C193" s="1"/>
      <c r="D193" s="1"/>
      <c r="E193" s="1"/>
      <c r="F193" s="1"/>
      <c r="G193" s="1"/>
      <c r="H193" s="1"/>
      <c r="I193" s="1"/>
    </row>
    <row r="194" customFormat="false" ht="15.75" hidden="false" customHeight="true" outlineLevel="0" collapsed="false">
      <c r="A194" s="1"/>
      <c r="B194" s="1"/>
      <c r="C194" s="1"/>
      <c r="D194" s="1"/>
      <c r="E194" s="1"/>
      <c r="F194" s="1"/>
      <c r="G194" s="1"/>
      <c r="H194" s="1"/>
      <c r="I194" s="1"/>
    </row>
    <row r="195" customFormat="false" ht="15.75" hidden="false" customHeight="true" outlineLevel="0" collapsed="false">
      <c r="A195" s="1"/>
      <c r="B195" s="1"/>
      <c r="C195" s="1"/>
      <c r="D195" s="1"/>
      <c r="E195" s="1"/>
      <c r="F195" s="1"/>
      <c r="G195" s="1"/>
      <c r="H195" s="1"/>
      <c r="I195" s="1"/>
    </row>
    <row r="196" customFormat="false" ht="15.75" hidden="false" customHeight="true" outlineLevel="0" collapsed="false">
      <c r="A196" s="1"/>
      <c r="B196" s="1"/>
      <c r="C196" s="1"/>
      <c r="D196" s="1"/>
      <c r="E196" s="1"/>
      <c r="F196" s="1"/>
      <c r="G196" s="1"/>
      <c r="H196" s="1"/>
      <c r="I196" s="1"/>
    </row>
    <row r="197" customFormat="false" ht="15.75" hidden="false" customHeight="true" outlineLevel="0" collapsed="false">
      <c r="A197" s="1"/>
      <c r="B197" s="1"/>
      <c r="C197" s="1"/>
      <c r="D197" s="1"/>
      <c r="E197" s="1"/>
      <c r="F197" s="1"/>
      <c r="G197" s="1"/>
      <c r="H197" s="1"/>
      <c r="I197" s="1"/>
    </row>
    <row r="198" customFormat="false" ht="15.75" hidden="false" customHeight="true" outlineLevel="0" collapsed="false">
      <c r="A198" s="1"/>
      <c r="B198" s="1"/>
      <c r="C198" s="1"/>
      <c r="D198" s="1"/>
      <c r="E198" s="1"/>
      <c r="F198" s="1"/>
      <c r="G198" s="1"/>
      <c r="H198" s="1"/>
      <c r="I198" s="1"/>
    </row>
    <row r="199" customFormat="false" ht="15.75" hidden="false" customHeight="true" outlineLevel="0" collapsed="false">
      <c r="A199" s="1"/>
      <c r="B199" s="1"/>
      <c r="C199" s="1"/>
      <c r="D199" s="1"/>
      <c r="E199" s="1"/>
      <c r="F199" s="1"/>
      <c r="G199" s="1"/>
      <c r="H199" s="1"/>
      <c r="I199" s="1"/>
    </row>
    <row r="200" customFormat="false" ht="15.75" hidden="false" customHeight="true" outlineLevel="0" collapsed="false">
      <c r="A200" s="1"/>
      <c r="B200" s="1"/>
      <c r="C200" s="1"/>
      <c r="D200" s="1"/>
      <c r="E200" s="1"/>
      <c r="F200" s="1"/>
      <c r="G200" s="1"/>
      <c r="H200" s="1"/>
      <c r="I200" s="1"/>
    </row>
    <row r="201" customFormat="false" ht="15.75" hidden="false" customHeight="true" outlineLevel="0" collapsed="false">
      <c r="A201" s="1"/>
      <c r="B201" s="1"/>
      <c r="C201" s="1"/>
      <c r="D201" s="1"/>
      <c r="E201" s="1"/>
      <c r="F201" s="1"/>
      <c r="G201" s="1"/>
      <c r="H201" s="1"/>
      <c r="I201" s="1"/>
    </row>
    <row r="202" customFormat="false" ht="15.75" hidden="false" customHeight="true" outlineLevel="0" collapsed="false">
      <c r="A202" s="1"/>
      <c r="B202" s="1"/>
      <c r="C202" s="1"/>
      <c r="D202" s="1"/>
      <c r="E202" s="1"/>
      <c r="F202" s="1"/>
      <c r="G202" s="1"/>
      <c r="H202" s="1"/>
      <c r="I202" s="1"/>
    </row>
    <row r="203" customFormat="false" ht="15.75" hidden="false" customHeight="true" outlineLevel="0" collapsed="false">
      <c r="A203" s="1"/>
      <c r="B203" s="1"/>
      <c r="C203" s="1"/>
      <c r="D203" s="1"/>
      <c r="E203" s="1"/>
      <c r="F203" s="1"/>
      <c r="G203" s="1"/>
      <c r="H203" s="1"/>
      <c r="I203" s="1"/>
    </row>
    <row r="204" customFormat="false" ht="15.75" hidden="false" customHeight="true" outlineLevel="0" collapsed="false">
      <c r="A204" s="1"/>
      <c r="B204" s="1"/>
      <c r="C204" s="1"/>
      <c r="D204" s="1"/>
      <c r="E204" s="1"/>
      <c r="F204" s="1"/>
      <c r="G204" s="1"/>
      <c r="H204" s="1"/>
      <c r="I204" s="1"/>
    </row>
    <row r="205" customFormat="false" ht="15.75" hidden="false" customHeight="true" outlineLevel="0" collapsed="false">
      <c r="A205" s="1"/>
      <c r="B205" s="1"/>
      <c r="C205" s="1"/>
      <c r="D205" s="1"/>
      <c r="E205" s="1"/>
      <c r="F205" s="1"/>
      <c r="G205" s="1"/>
      <c r="H205" s="1"/>
      <c r="I205" s="1"/>
    </row>
    <row r="206" customFormat="false" ht="15.75" hidden="false" customHeight="true" outlineLevel="0" collapsed="false">
      <c r="A206" s="1"/>
      <c r="B206" s="1"/>
      <c r="C206" s="1"/>
      <c r="D206" s="1"/>
      <c r="E206" s="1"/>
      <c r="F206" s="1"/>
      <c r="G206" s="1"/>
      <c r="H206" s="1"/>
      <c r="I206" s="1"/>
    </row>
    <row r="207" customFormat="false" ht="15.75" hidden="false" customHeight="true" outlineLevel="0" collapsed="false">
      <c r="A207" s="1"/>
      <c r="B207" s="1"/>
      <c r="C207" s="1"/>
      <c r="D207" s="1"/>
      <c r="E207" s="1"/>
      <c r="F207" s="1"/>
      <c r="G207" s="1"/>
      <c r="H207" s="1"/>
      <c r="I207" s="1"/>
    </row>
    <row r="208" customFormat="false" ht="15.75" hidden="false" customHeight="true" outlineLevel="0" collapsed="false">
      <c r="A208" s="1"/>
      <c r="B208" s="1"/>
      <c r="C208" s="1"/>
      <c r="D208" s="1"/>
      <c r="E208" s="1"/>
      <c r="F208" s="1"/>
      <c r="G208" s="1"/>
      <c r="H208" s="1"/>
      <c r="I208" s="1"/>
    </row>
    <row r="209" customFormat="false" ht="15.75" hidden="false" customHeight="true" outlineLevel="0" collapsed="false">
      <c r="A209" s="1"/>
      <c r="B209" s="1"/>
      <c r="C209" s="1"/>
      <c r="D209" s="1"/>
      <c r="E209" s="1"/>
      <c r="F209" s="1"/>
      <c r="G209" s="1"/>
      <c r="H209" s="1"/>
      <c r="I209" s="1"/>
    </row>
    <row r="210" customFormat="false" ht="15.75" hidden="false" customHeight="true" outlineLevel="0" collapsed="false">
      <c r="A210" s="1"/>
      <c r="B210" s="1"/>
      <c r="C210" s="1"/>
      <c r="D210" s="1"/>
      <c r="E210" s="1"/>
      <c r="F210" s="1"/>
      <c r="G210" s="1"/>
      <c r="H210" s="1"/>
      <c r="I210" s="1"/>
    </row>
    <row r="211" customFormat="false" ht="15.75" hidden="false" customHeight="true" outlineLevel="0" collapsed="false">
      <c r="A211" s="1"/>
      <c r="B211" s="1"/>
      <c r="C211" s="1"/>
      <c r="D211" s="1"/>
      <c r="E211" s="1"/>
      <c r="F211" s="1"/>
      <c r="G211" s="1"/>
      <c r="H211" s="1"/>
      <c r="I211" s="1"/>
    </row>
    <row r="212" customFormat="false" ht="15.75" hidden="false" customHeight="true" outlineLevel="0" collapsed="false">
      <c r="A212" s="1"/>
      <c r="B212" s="1"/>
      <c r="C212" s="1"/>
      <c r="D212" s="1"/>
      <c r="E212" s="1"/>
      <c r="F212" s="1"/>
      <c r="G212" s="1"/>
      <c r="H212" s="1"/>
      <c r="I212" s="1"/>
    </row>
    <row r="213" customFormat="false" ht="15.75" hidden="false" customHeight="true" outlineLevel="0" collapsed="false">
      <c r="A213" s="1"/>
      <c r="B213" s="1"/>
      <c r="C213" s="1"/>
      <c r="D213" s="1"/>
      <c r="E213" s="1"/>
      <c r="F213" s="1"/>
      <c r="G213" s="1"/>
      <c r="H213" s="1"/>
      <c r="I213" s="1"/>
    </row>
    <row r="214" customFormat="false" ht="15.75" hidden="false" customHeight="true" outlineLevel="0" collapsed="false">
      <c r="A214" s="1"/>
      <c r="B214" s="1"/>
      <c r="C214" s="1"/>
      <c r="D214" s="1"/>
      <c r="E214" s="1"/>
      <c r="F214" s="1"/>
      <c r="G214" s="1"/>
      <c r="H214" s="1"/>
      <c r="I214" s="1"/>
    </row>
    <row r="215" customFormat="false" ht="15.75" hidden="false" customHeight="true" outlineLevel="0" collapsed="false">
      <c r="A215" s="1"/>
      <c r="B215" s="1"/>
      <c r="C215" s="1"/>
      <c r="D215" s="1"/>
      <c r="E215" s="1"/>
      <c r="F215" s="1"/>
      <c r="G215" s="1"/>
      <c r="H215" s="1"/>
      <c r="I215" s="1"/>
    </row>
    <row r="216" customFormat="false" ht="15.75" hidden="false" customHeight="true" outlineLevel="0" collapsed="false">
      <c r="A216" s="1"/>
      <c r="B216" s="1"/>
      <c r="C216" s="1"/>
      <c r="D216" s="1"/>
      <c r="E216" s="1"/>
      <c r="F216" s="1"/>
      <c r="G216" s="1"/>
      <c r="H216" s="1"/>
      <c r="I216" s="1"/>
    </row>
    <row r="217" customFormat="false" ht="15.75" hidden="false" customHeight="true" outlineLevel="0" collapsed="false">
      <c r="A217" s="1"/>
      <c r="B217" s="1"/>
      <c r="C217" s="1"/>
      <c r="D217" s="1"/>
      <c r="E217" s="1"/>
      <c r="F217" s="1"/>
      <c r="G217" s="1"/>
      <c r="H217" s="1"/>
      <c r="I217" s="1"/>
    </row>
    <row r="218" customFormat="false" ht="15.75" hidden="false" customHeight="true" outlineLevel="0" collapsed="false">
      <c r="A218" s="1"/>
      <c r="B218" s="1"/>
      <c r="C218" s="1"/>
      <c r="D218" s="1"/>
      <c r="E218" s="1"/>
      <c r="F218" s="1"/>
      <c r="G218" s="1"/>
      <c r="H218" s="1"/>
      <c r="I218" s="1"/>
    </row>
    <row r="219" customFormat="false" ht="15.75" hidden="false" customHeight="true" outlineLevel="0" collapsed="false">
      <c r="A219" s="1"/>
      <c r="B219" s="1"/>
      <c r="C219" s="1"/>
      <c r="D219" s="1"/>
      <c r="E219" s="1"/>
      <c r="F219" s="1"/>
      <c r="G219" s="1"/>
      <c r="H219" s="1"/>
    </row>
    <row r="220" customFormat="false" ht="15.75" hidden="false" customHeight="true" outlineLevel="0" collapsed="false">
      <c r="A220" s="1"/>
      <c r="B220" s="1"/>
      <c r="C220" s="1"/>
      <c r="D220" s="1"/>
      <c r="E220" s="1"/>
      <c r="F220" s="1"/>
      <c r="G220" s="1"/>
      <c r="H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1">
    <mergeCell ref="F2:H2"/>
    <mergeCell ref="B6:H6"/>
    <mergeCell ref="B8:H8"/>
    <mergeCell ref="B9:H9"/>
    <mergeCell ref="C12:D12"/>
    <mergeCell ref="E12:G12"/>
    <mergeCell ref="C13:D13"/>
    <mergeCell ref="E13:G13"/>
    <mergeCell ref="B15:H15"/>
    <mergeCell ref="B16:H16"/>
    <mergeCell ref="B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6" min="4" style="0" width="8.71"/>
  </cols>
  <sheetData>
    <row r="1" customFormat="false" ht="15" hidden="false" customHeight="false" outlineLevel="0" collapsed="false">
      <c r="A1" s="1"/>
      <c r="B1" s="1"/>
      <c r="C1" s="1"/>
      <c r="D1" s="1"/>
      <c r="E1" s="1"/>
      <c r="F1" s="1"/>
    </row>
    <row r="2" customFormat="false" ht="33" hidden="false" customHeight="true" outlineLevel="0" collapsed="false">
      <c r="A2" s="10"/>
      <c r="B2" s="11" t="s">
        <v>9</v>
      </c>
      <c r="C2" s="11"/>
      <c r="D2" s="10"/>
      <c r="E2" s="10"/>
      <c r="F2" s="10"/>
      <c r="G2" s="10"/>
      <c r="H2" s="10"/>
      <c r="I2" s="10"/>
      <c r="J2" s="10"/>
      <c r="K2" s="10"/>
      <c r="L2" s="10"/>
      <c r="M2" s="10"/>
      <c r="N2" s="10"/>
      <c r="O2" s="10"/>
      <c r="P2" s="10"/>
      <c r="Q2" s="10"/>
      <c r="R2" s="10"/>
      <c r="S2" s="10"/>
      <c r="T2" s="10"/>
      <c r="U2" s="10"/>
      <c r="V2" s="10"/>
      <c r="W2" s="10"/>
      <c r="X2" s="10"/>
      <c r="Y2" s="10"/>
      <c r="Z2" s="10"/>
    </row>
    <row r="3" customFormat="false" ht="39.75" hidden="false" customHeight="true" outlineLevel="0" collapsed="false">
      <c r="A3" s="1"/>
      <c r="B3" s="12" t="s">
        <v>10</v>
      </c>
      <c r="C3" s="13" t="s">
        <v>11</v>
      </c>
      <c r="D3" s="1"/>
      <c r="E3" s="1"/>
      <c r="F3" s="1"/>
    </row>
    <row r="4" customFormat="false" ht="15" hidden="false" customHeight="false" outlineLevel="0" collapsed="false">
      <c r="A4" s="1"/>
      <c r="B4" s="12" t="s">
        <v>12</v>
      </c>
      <c r="C4" s="13" t="s">
        <v>13</v>
      </c>
      <c r="D4" s="1"/>
      <c r="E4" s="1"/>
      <c r="F4" s="1"/>
    </row>
    <row r="5" customFormat="false" ht="15" hidden="false" customHeight="false" outlineLevel="0" collapsed="false">
      <c r="A5" s="1"/>
      <c r="B5" s="12" t="s">
        <v>14</v>
      </c>
      <c r="C5" s="13" t="s">
        <v>15</v>
      </c>
      <c r="D5" s="1"/>
      <c r="E5" s="1"/>
      <c r="F5" s="1"/>
    </row>
    <row r="6" customFormat="false" ht="15" hidden="false" customHeight="false" outlineLevel="0" collapsed="false">
      <c r="A6" s="1"/>
      <c r="B6" s="12" t="s">
        <v>16</v>
      </c>
      <c r="C6" s="13" t="s">
        <v>17</v>
      </c>
      <c r="D6" s="1"/>
      <c r="E6" s="1"/>
      <c r="F6" s="1"/>
    </row>
    <row r="7" customFormat="false" ht="23.85" hidden="false" customHeight="false" outlineLevel="0" collapsed="false">
      <c r="A7" s="1"/>
      <c r="B7" s="12" t="s">
        <v>18</v>
      </c>
      <c r="C7" s="13" t="s">
        <v>19</v>
      </c>
      <c r="D7" s="1"/>
      <c r="E7" s="1"/>
      <c r="F7" s="1"/>
    </row>
    <row r="8" customFormat="false" ht="15" hidden="false" customHeight="false" outlineLevel="0" collapsed="false">
      <c r="A8" s="1"/>
      <c r="B8" s="1"/>
      <c r="C8" s="1"/>
      <c r="D8" s="1"/>
      <c r="E8" s="1"/>
      <c r="F8" s="1"/>
    </row>
    <row r="9" customFormat="false" ht="15" hidden="false" customHeight="false" outlineLevel="0" collapsed="false">
      <c r="A9" s="1"/>
      <c r="B9" s="1"/>
      <c r="C9" s="1"/>
      <c r="D9" s="1"/>
      <c r="E9" s="1"/>
      <c r="F9" s="1"/>
    </row>
    <row r="10" customFormat="false" ht="33" hidden="false" customHeight="true" outlineLevel="0" collapsed="false">
      <c r="A10" s="10"/>
      <c r="B10" s="11" t="s">
        <v>20</v>
      </c>
      <c r="C10" s="11"/>
      <c r="D10" s="10"/>
      <c r="E10" s="10"/>
      <c r="F10" s="10"/>
      <c r="G10" s="10"/>
      <c r="H10" s="10"/>
      <c r="I10" s="10"/>
      <c r="J10" s="10"/>
      <c r="K10" s="10"/>
      <c r="L10" s="10"/>
      <c r="M10" s="10"/>
      <c r="N10" s="10"/>
      <c r="O10" s="10"/>
      <c r="P10" s="10"/>
      <c r="Q10" s="10"/>
      <c r="R10" s="10"/>
      <c r="S10" s="10"/>
      <c r="T10" s="10"/>
      <c r="U10" s="10"/>
      <c r="V10" s="10"/>
      <c r="W10" s="10"/>
      <c r="X10" s="10"/>
      <c r="Y10" s="10"/>
      <c r="Z10" s="10"/>
    </row>
    <row r="11" customFormat="false" ht="15" hidden="false" customHeight="false" outlineLevel="0" collapsed="false">
      <c r="A11" s="1"/>
      <c r="B11" s="14" t="s">
        <v>21</v>
      </c>
      <c r="C11" s="15" t="s">
        <v>22</v>
      </c>
      <c r="D11" s="1"/>
      <c r="E11" s="1"/>
      <c r="F11" s="1"/>
    </row>
    <row r="12" customFormat="false" ht="15" hidden="false" customHeight="false" outlineLevel="0" collapsed="false">
      <c r="A12" s="1"/>
      <c r="B12" s="12" t="s">
        <v>23</v>
      </c>
      <c r="C12" s="13" t="s">
        <v>24</v>
      </c>
      <c r="D12" s="1"/>
      <c r="E12" s="1"/>
      <c r="F12" s="1"/>
    </row>
    <row r="13" customFormat="false" ht="15" hidden="false" customHeight="false" outlineLevel="0" collapsed="false">
      <c r="A13" s="1"/>
      <c r="B13" s="12" t="s">
        <v>25</v>
      </c>
      <c r="C13" s="13" t="s">
        <v>26</v>
      </c>
      <c r="D13" s="1"/>
      <c r="E13" s="1"/>
      <c r="F13" s="1"/>
    </row>
    <row r="14" customFormat="false" ht="15" hidden="false" customHeight="false" outlineLevel="0" collapsed="false">
      <c r="A14" s="1"/>
      <c r="B14" s="12" t="s">
        <v>27</v>
      </c>
      <c r="C14" s="13" t="s">
        <v>28</v>
      </c>
      <c r="D14" s="1"/>
      <c r="E14" s="1"/>
      <c r="F14" s="1"/>
    </row>
    <row r="15" customFormat="false" ht="15" hidden="false" customHeight="false" outlineLevel="0" collapsed="false">
      <c r="A15" s="1"/>
      <c r="B15" s="12" t="s">
        <v>29</v>
      </c>
      <c r="C15" s="13" t="s">
        <v>30</v>
      </c>
      <c r="D15" s="1"/>
      <c r="E15" s="1"/>
      <c r="F15" s="1"/>
    </row>
    <row r="16" customFormat="false" ht="15" hidden="false" customHeight="false" outlineLevel="0" collapsed="false">
      <c r="A16" s="1"/>
      <c r="B16" s="16"/>
      <c r="C16" s="17"/>
      <c r="D16" s="1"/>
      <c r="E16" s="1"/>
      <c r="F16" s="1"/>
    </row>
    <row r="17" customFormat="false" ht="15" hidden="false" customHeight="false" outlineLevel="0" collapsed="false">
      <c r="A17" s="1"/>
      <c r="B17" s="16"/>
      <c r="C17" s="17"/>
      <c r="D17" s="1"/>
      <c r="E17" s="1"/>
      <c r="F17" s="1"/>
    </row>
    <row r="18" customFormat="false" ht="33" hidden="false" customHeight="true" outlineLevel="0" collapsed="false">
      <c r="A18" s="10"/>
      <c r="B18" s="11" t="s">
        <v>31</v>
      </c>
      <c r="C18" s="11"/>
      <c r="D18" s="10"/>
      <c r="E18" s="10"/>
      <c r="F18" s="10"/>
      <c r="G18" s="10"/>
      <c r="H18" s="10"/>
      <c r="I18" s="10"/>
      <c r="J18" s="10"/>
      <c r="K18" s="10"/>
      <c r="L18" s="10"/>
      <c r="M18" s="10"/>
      <c r="N18" s="10"/>
      <c r="O18" s="10"/>
      <c r="P18" s="10"/>
      <c r="Q18" s="10"/>
      <c r="R18" s="10"/>
      <c r="S18" s="10"/>
      <c r="T18" s="10"/>
      <c r="U18" s="10"/>
      <c r="V18" s="10"/>
      <c r="W18" s="10"/>
      <c r="X18" s="10"/>
      <c r="Y18" s="10"/>
      <c r="Z18" s="10"/>
    </row>
    <row r="19" customFormat="false" ht="15" hidden="false" customHeight="false" outlineLevel="0" collapsed="false">
      <c r="A19" s="1"/>
      <c r="B19" s="14" t="s">
        <v>32</v>
      </c>
      <c r="C19" s="15" t="s">
        <v>22</v>
      </c>
      <c r="D19" s="1"/>
      <c r="E19" s="1"/>
      <c r="F19" s="1"/>
    </row>
    <row r="20" customFormat="false" ht="15" hidden="false" customHeight="false" outlineLevel="0" collapsed="false">
      <c r="A20" s="1"/>
      <c r="B20" s="12" t="s">
        <v>33</v>
      </c>
      <c r="C20" s="13" t="s">
        <v>34</v>
      </c>
      <c r="D20" s="1"/>
      <c r="E20" s="1"/>
      <c r="F20" s="1"/>
    </row>
    <row r="21" customFormat="false" ht="15.75" hidden="false" customHeight="true" outlineLevel="0" collapsed="false">
      <c r="A21" s="1"/>
      <c r="B21" s="12" t="s">
        <v>35</v>
      </c>
      <c r="C21" s="13" t="s">
        <v>36</v>
      </c>
      <c r="D21" s="1"/>
      <c r="E21" s="1"/>
      <c r="F21" s="1"/>
    </row>
    <row r="22" customFormat="false" ht="15.75" hidden="false" customHeight="true" outlineLevel="0" collapsed="false">
      <c r="A22" s="1"/>
      <c r="B22" s="12" t="s">
        <v>37</v>
      </c>
      <c r="C22" s="13" t="s">
        <v>38</v>
      </c>
      <c r="D22" s="1"/>
      <c r="E22" s="1"/>
      <c r="F22" s="1"/>
    </row>
    <row r="23" customFormat="false" ht="15.75" hidden="false" customHeight="true" outlineLevel="0" collapsed="false">
      <c r="A23" s="1"/>
      <c r="B23" s="1"/>
      <c r="C23" s="1"/>
      <c r="D23" s="1"/>
      <c r="E23" s="1"/>
      <c r="F23" s="1"/>
    </row>
    <row r="24" customFormat="false" ht="15.75" hidden="false" customHeight="true" outlineLevel="0" collapsed="false">
      <c r="A24" s="1"/>
      <c r="B24" s="1"/>
      <c r="C24" s="1"/>
      <c r="D24" s="1"/>
      <c r="E24" s="1"/>
      <c r="F24" s="1"/>
    </row>
    <row r="25" customFormat="false" ht="33" hidden="false" customHeight="true" outlineLevel="0" collapsed="false">
      <c r="A25" s="10"/>
      <c r="B25" s="11" t="s">
        <v>39</v>
      </c>
      <c r="C25" s="11"/>
      <c r="D25" s="10"/>
      <c r="E25" s="10"/>
      <c r="F25" s="10"/>
      <c r="G25" s="10"/>
      <c r="H25" s="10"/>
      <c r="I25" s="10"/>
      <c r="J25" s="10"/>
      <c r="K25" s="10"/>
      <c r="L25" s="10"/>
      <c r="M25" s="10"/>
      <c r="N25" s="10"/>
      <c r="O25" s="10"/>
      <c r="P25" s="10"/>
      <c r="Q25" s="10"/>
      <c r="R25" s="10"/>
      <c r="S25" s="10"/>
      <c r="T25" s="10"/>
      <c r="U25" s="10"/>
      <c r="V25" s="10"/>
      <c r="W25" s="10"/>
      <c r="X25" s="10"/>
      <c r="Y25" s="10"/>
      <c r="Z25" s="10"/>
    </row>
    <row r="26" customFormat="false" ht="15.75" hidden="false" customHeight="true" outlineLevel="0" collapsed="false">
      <c r="A26" s="1"/>
      <c r="B26" s="14" t="s">
        <v>40</v>
      </c>
      <c r="C26" s="15" t="s">
        <v>22</v>
      </c>
      <c r="D26" s="1"/>
      <c r="E26" s="1"/>
      <c r="F26" s="1"/>
    </row>
    <row r="27" customFormat="false" ht="15.75" hidden="false" customHeight="true" outlineLevel="0" collapsed="false">
      <c r="A27" s="1"/>
      <c r="B27" s="12" t="s">
        <v>41</v>
      </c>
      <c r="C27" s="13" t="s">
        <v>42</v>
      </c>
      <c r="D27" s="1"/>
      <c r="E27" s="1"/>
      <c r="F27" s="1"/>
    </row>
    <row r="28" customFormat="false" ht="15.75" hidden="false" customHeight="true" outlineLevel="0" collapsed="false">
      <c r="A28" s="1"/>
      <c r="B28" s="12" t="s">
        <v>43</v>
      </c>
      <c r="C28" s="13" t="s">
        <v>44</v>
      </c>
      <c r="D28" s="1"/>
      <c r="E28" s="1"/>
      <c r="F28" s="1"/>
    </row>
    <row r="29" customFormat="false" ht="15.75" hidden="false" customHeight="true" outlineLevel="0" collapsed="false">
      <c r="A29" s="1"/>
      <c r="B29" s="12" t="s">
        <v>45</v>
      </c>
      <c r="C29" s="13" t="s">
        <v>46</v>
      </c>
      <c r="D29" s="1"/>
      <c r="E29" s="1"/>
      <c r="F29" s="1"/>
    </row>
    <row r="30" customFormat="false" ht="15.75" hidden="false" customHeight="true" outlineLevel="0" collapsed="false">
      <c r="A30" s="1"/>
      <c r="B30" s="12" t="s">
        <v>47</v>
      </c>
      <c r="C30" s="13" t="s">
        <v>48</v>
      </c>
      <c r="D30" s="1"/>
      <c r="E30" s="1"/>
      <c r="F30" s="1"/>
    </row>
    <row r="31" customFormat="false" ht="15.75" hidden="false" customHeight="true" outlineLevel="0" collapsed="false">
      <c r="A31" s="1"/>
      <c r="B31" s="16"/>
      <c r="C31" s="17"/>
      <c r="D31" s="1"/>
      <c r="E31" s="1"/>
      <c r="F31" s="1"/>
    </row>
    <row r="32" customFormat="false" ht="15.75" hidden="false" customHeight="true" outlineLevel="0" collapsed="false">
      <c r="A32" s="1"/>
      <c r="B32" s="1"/>
      <c r="C32" s="1"/>
      <c r="D32" s="1"/>
      <c r="E32" s="1"/>
      <c r="F32" s="1"/>
    </row>
    <row r="33" customFormat="false" ht="33" hidden="false" customHeight="true" outlineLevel="0" collapsed="false">
      <c r="A33" s="10"/>
      <c r="B33" s="11" t="s">
        <v>49</v>
      </c>
      <c r="C33" s="11"/>
      <c r="D33" s="10"/>
      <c r="E33" s="10"/>
      <c r="F33" s="10"/>
      <c r="G33" s="10"/>
      <c r="H33" s="10"/>
      <c r="I33" s="10"/>
      <c r="J33" s="10"/>
      <c r="K33" s="10"/>
      <c r="L33" s="10"/>
      <c r="M33" s="10"/>
      <c r="N33" s="10"/>
      <c r="O33" s="10"/>
      <c r="P33" s="10"/>
      <c r="Q33" s="10"/>
      <c r="R33" s="10"/>
      <c r="S33" s="10"/>
      <c r="T33" s="10"/>
      <c r="U33" s="10"/>
      <c r="V33" s="10"/>
      <c r="W33" s="10"/>
      <c r="X33" s="10"/>
      <c r="Y33" s="10"/>
      <c r="Z33" s="10"/>
    </row>
    <row r="34" customFormat="false" ht="15.75" hidden="false" customHeight="true" outlineLevel="0" collapsed="false">
      <c r="A34" s="1"/>
      <c r="B34" s="12" t="s">
        <v>50</v>
      </c>
      <c r="C34" s="13" t="s">
        <v>51</v>
      </c>
      <c r="D34" s="1"/>
      <c r="E34" s="1"/>
      <c r="F34" s="1"/>
    </row>
    <row r="35" customFormat="false" ht="15.75" hidden="false" customHeight="true" outlineLevel="0" collapsed="false">
      <c r="A35" s="1"/>
      <c r="B35" s="12" t="s">
        <v>52</v>
      </c>
      <c r="C35" s="13" t="s">
        <v>53</v>
      </c>
      <c r="D35" s="1"/>
      <c r="E35" s="1"/>
      <c r="F35" s="1"/>
    </row>
    <row r="36" customFormat="false" ht="15.75" hidden="false" customHeight="true" outlineLevel="0" collapsed="false">
      <c r="A36" s="1"/>
      <c r="B36" s="12" t="s">
        <v>54</v>
      </c>
      <c r="C36" s="13" t="s">
        <v>55</v>
      </c>
      <c r="D36" s="1"/>
      <c r="E36" s="1"/>
      <c r="F36" s="1"/>
    </row>
    <row r="37" customFormat="false" ht="15.75" hidden="false" customHeight="true" outlineLevel="0" collapsed="false">
      <c r="A37" s="1"/>
      <c r="B37" s="12" t="s">
        <v>56</v>
      </c>
      <c r="C37" s="13" t="s">
        <v>57</v>
      </c>
      <c r="D37" s="1"/>
      <c r="E37" s="1"/>
      <c r="F37" s="1"/>
    </row>
    <row r="38" customFormat="false" ht="15.75" hidden="false" customHeight="true" outlineLevel="0" collapsed="false">
      <c r="A38" s="1"/>
      <c r="B38" s="1"/>
      <c r="C38" s="1"/>
      <c r="D38" s="1"/>
      <c r="E38" s="1"/>
      <c r="F38" s="1"/>
    </row>
    <row r="39" customFormat="false" ht="33" hidden="false" customHeight="true" outlineLevel="0" collapsed="false">
      <c r="A39" s="10"/>
      <c r="B39" s="11" t="s">
        <v>58</v>
      </c>
      <c r="C39" s="11"/>
      <c r="D39" s="10"/>
      <c r="E39" s="10"/>
      <c r="F39" s="10"/>
      <c r="G39" s="10"/>
      <c r="H39" s="10"/>
      <c r="I39" s="10"/>
      <c r="J39" s="10"/>
      <c r="K39" s="10"/>
      <c r="L39" s="10"/>
      <c r="M39" s="10"/>
      <c r="N39" s="10"/>
      <c r="O39" s="10"/>
      <c r="P39" s="10"/>
      <c r="Q39" s="10"/>
      <c r="R39" s="10"/>
      <c r="S39" s="10"/>
      <c r="T39" s="10"/>
      <c r="U39" s="10"/>
      <c r="V39" s="10"/>
      <c r="W39" s="10"/>
      <c r="X39" s="10"/>
      <c r="Y39" s="10"/>
      <c r="Z39" s="10"/>
    </row>
    <row r="40" customFormat="false" ht="15.75" hidden="false" customHeight="true" outlineLevel="0" collapsed="false">
      <c r="A40" s="1"/>
      <c r="B40" s="18" t="s">
        <v>59</v>
      </c>
      <c r="C40" s="18"/>
      <c r="D40" s="1"/>
      <c r="E40" s="1"/>
      <c r="F40" s="1"/>
    </row>
    <row r="41" customFormat="false" ht="15.75" hidden="false" customHeight="true" outlineLevel="0" collapsed="false">
      <c r="A41" s="1"/>
      <c r="B41" s="12" t="s">
        <v>60</v>
      </c>
      <c r="C41" s="13" t="s">
        <v>61</v>
      </c>
      <c r="D41" s="1"/>
      <c r="E41" s="1"/>
      <c r="F41" s="1"/>
    </row>
    <row r="42" customFormat="false" ht="15.75" hidden="false" customHeight="true" outlineLevel="0" collapsed="false">
      <c r="A42" s="1"/>
      <c r="B42" s="12" t="s">
        <v>62</v>
      </c>
      <c r="C42" s="13" t="s">
        <v>63</v>
      </c>
      <c r="D42" s="1"/>
      <c r="E42" s="1"/>
      <c r="F42" s="1"/>
    </row>
    <row r="43" customFormat="false" ht="15.75" hidden="false" customHeight="true" outlineLevel="0" collapsed="false">
      <c r="A43" s="1"/>
      <c r="B43" s="12" t="s">
        <v>64</v>
      </c>
      <c r="C43" s="13" t="s">
        <v>65</v>
      </c>
      <c r="D43" s="1"/>
      <c r="E43" s="1"/>
      <c r="F43" s="1"/>
    </row>
    <row r="44" customFormat="false" ht="15.75" hidden="false" customHeight="true" outlineLevel="0" collapsed="false">
      <c r="A44" s="1"/>
      <c r="B44" s="12" t="s">
        <v>66</v>
      </c>
      <c r="C44" s="13" t="s">
        <v>67</v>
      </c>
      <c r="D44" s="1"/>
      <c r="E44" s="1"/>
      <c r="F44" s="1"/>
    </row>
    <row r="45" customFormat="false" ht="15.75" hidden="false" customHeight="true" outlineLevel="0" collapsed="false">
      <c r="A45" s="1"/>
      <c r="B45" s="12" t="s">
        <v>68</v>
      </c>
      <c r="C45" s="13" t="s">
        <v>69</v>
      </c>
      <c r="D45" s="1"/>
      <c r="E45" s="1"/>
      <c r="F45" s="1"/>
    </row>
    <row r="46" customFormat="false" ht="15.75" hidden="false" customHeight="true" outlineLevel="0" collapsed="false">
      <c r="A46" s="1"/>
      <c r="B46" s="12" t="s">
        <v>70</v>
      </c>
      <c r="C46" s="13" t="s">
        <v>71</v>
      </c>
      <c r="D46" s="1"/>
      <c r="E46" s="1"/>
      <c r="F46" s="1"/>
    </row>
    <row r="47" customFormat="false" ht="15.75" hidden="false" customHeight="true" outlineLevel="0" collapsed="false">
      <c r="A47" s="1"/>
      <c r="B47" s="12" t="s">
        <v>72</v>
      </c>
      <c r="C47" s="13" t="s">
        <v>73</v>
      </c>
      <c r="D47" s="1"/>
      <c r="E47" s="1"/>
      <c r="F47" s="1"/>
    </row>
    <row r="48" customFormat="false" ht="15.75" hidden="false" customHeight="true" outlineLevel="0" collapsed="false">
      <c r="A48" s="1"/>
      <c r="B48" s="1"/>
      <c r="C48" s="1"/>
      <c r="D48" s="1"/>
      <c r="E48" s="1"/>
      <c r="F48" s="1"/>
    </row>
    <row r="49" customFormat="false" ht="15.75" hidden="false" customHeight="true" outlineLevel="0" collapsed="false">
      <c r="A49" s="1"/>
      <c r="B49" s="11" t="s">
        <v>74</v>
      </c>
      <c r="C49" s="11"/>
      <c r="D49" s="1"/>
      <c r="E49" s="1"/>
      <c r="F49" s="1"/>
    </row>
    <row r="50" customFormat="false" ht="15.75" hidden="false" customHeight="true" outlineLevel="0" collapsed="false">
      <c r="A50" s="1"/>
      <c r="B50" s="12" t="s">
        <v>75</v>
      </c>
      <c r="C50" s="13" t="s">
        <v>76</v>
      </c>
      <c r="D50" s="1"/>
      <c r="E50" s="1"/>
      <c r="F50" s="1"/>
    </row>
    <row r="51" customFormat="false" ht="15.75" hidden="false" customHeight="true" outlineLevel="0" collapsed="false">
      <c r="A51" s="1"/>
      <c r="B51" s="12" t="s">
        <v>50</v>
      </c>
      <c r="C51" s="13" t="s">
        <v>77</v>
      </c>
      <c r="D51" s="1"/>
      <c r="E51" s="1"/>
      <c r="F51" s="1"/>
    </row>
    <row r="52" customFormat="false" ht="15.75" hidden="false" customHeight="true" outlineLevel="0" collapsed="false">
      <c r="A52" s="1"/>
      <c r="B52" s="12" t="s">
        <v>78</v>
      </c>
      <c r="C52" s="13" t="s">
        <v>79</v>
      </c>
      <c r="D52" s="1"/>
      <c r="E52" s="1"/>
      <c r="F52" s="1"/>
    </row>
    <row r="53" customFormat="false" ht="15.75" hidden="false" customHeight="true" outlineLevel="0" collapsed="false">
      <c r="A53" s="1"/>
      <c r="B53" s="1"/>
      <c r="C53" s="1"/>
      <c r="D53" s="1"/>
      <c r="E53" s="1"/>
      <c r="F53" s="1"/>
    </row>
    <row r="54" customFormat="false" ht="15.75" hidden="false" customHeight="true" outlineLevel="0" collapsed="false">
      <c r="A54" s="1"/>
      <c r="B54" s="1"/>
      <c r="C54" s="1"/>
      <c r="D54" s="1"/>
      <c r="E54" s="1"/>
      <c r="F54" s="1"/>
    </row>
    <row r="55" customFormat="false" ht="15.75" hidden="false" customHeight="true" outlineLevel="0" collapsed="false">
      <c r="A55" s="1"/>
      <c r="B55" s="1"/>
      <c r="C55" s="1"/>
      <c r="D55" s="1"/>
      <c r="E55" s="1"/>
      <c r="F55" s="1"/>
    </row>
    <row r="56" customFormat="false" ht="15.75" hidden="false" customHeight="true" outlineLevel="0" collapsed="false">
      <c r="A56" s="1"/>
      <c r="B56" s="1"/>
      <c r="C56" s="1"/>
      <c r="D56" s="1"/>
      <c r="E56" s="1"/>
      <c r="F56" s="1"/>
    </row>
    <row r="57" customFormat="false" ht="15.75" hidden="false" customHeight="true" outlineLevel="0" collapsed="false">
      <c r="A57" s="1"/>
      <c r="B57" s="1"/>
      <c r="C57" s="1"/>
      <c r="D57" s="1"/>
      <c r="E57" s="1"/>
      <c r="F57" s="1"/>
    </row>
    <row r="58" customFormat="false" ht="15.75" hidden="false" customHeight="true" outlineLevel="0" collapsed="false">
      <c r="A58" s="1"/>
      <c r="B58" s="1"/>
      <c r="C58" s="1"/>
      <c r="D58" s="1"/>
      <c r="E58" s="1"/>
      <c r="F58" s="1"/>
    </row>
    <row r="59" customFormat="false" ht="15.75" hidden="false" customHeight="true" outlineLevel="0" collapsed="false">
      <c r="A59" s="1"/>
      <c r="B59" s="1"/>
      <c r="C59" s="1"/>
      <c r="D59" s="1"/>
      <c r="E59" s="1"/>
      <c r="F59" s="1"/>
    </row>
    <row r="60" customFormat="false" ht="15.75" hidden="false" customHeight="true" outlineLevel="0" collapsed="false">
      <c r="A60" s="1"/>
      <c r="B60" s="1"/>
      <c r="C60" s="1"/>
      <c r="D60" s="1"/>
      <c r="E60" s="1"/>
      <c r="F60" s="1"/>
    </row>
    <row r="61" customFormat="false" ht="15.75" hidden="false" customHeight="true" outlineLevel="0" collapsed="false">
      <c r="A61" s="1"/>
      <c r="B61" s="1"/>
      <c r="C61" s="1"/>
      <c r="D61" s="1"/>
      <c r="E61" s="1"/>
      <c r="F61" s="1"/>
    </row>
    <row r="62" customFormat="false" ht="15.75" hidden="false" customHeight="true" outlineLevel="0" collapsed="false">
      <c r="A62" s="1"/>
      <c r="B62" s="1"/>
      <c r="C62" s="1"/>
      <c r="D62" s="1"/>
      <c r="E62" s="1"/>
      <c r="F62" s="1"/>
    </row>
    <row r="63" customFormat="false" ht="15.75" hidden="false" customHeight="true" outlineLevel="0" collapsed="false">
      <c r="A63" s="1"/>
      <c r="B63" s="1"/>
      <c r="C63" s="1"/>
      <c r="D63" s="1"/>
      <c r="E63" s="1"/>
      <c r="F63" s="1"/>
    </row>
    <row r="64" customFormat="false" ht="15.75" hidden="false" customHeight="true" outlineLevel="0" collapsed="false">
      <c r="A64" s="1"/>
      <c r="B64" s="1"/>
      <c r="C64" s="1"/>
      <c r="D64" s="1"/>
      <c r="E64" s="1"/>
      <c r="F64" s="1"/>
    </row>
    <row r="65" customFormat="false" ht="15.75" hidden="false" customHeight="true" outlineLevel="0" collapsed="false">
      <c r="A65" s="1"/>
      <c r="B65" s="1"/>
      <c r="C65" s="1"/>
      <c r="D65" s="1"/>
      <c r="E65" s="1"/>
      <c r="F65" s="1"/>
    </row>
    <row r="66" customFormat="false" ht="15.75" hidden="false" customHeight="true" outlineLevel="0" collapsed="false">
      <c r="A66" s="1"/>
      <c r="B66" s="1"/>
      <c r="C66" s="1"/>
      <c r="D66" s="1"/>
      <c r="E66" s="1"/>
      <c r="F66" s="1"/>
    </row>
    <row r="67" customFormat="false" ht="15.75" hidden="false" customHeight="true" outlineLevel="0" collapsed="false">
      <c r="A67" s="1"/>
      <c r="B67" s="1"/>
      <c r="C67" s="1"/>
      <c r="D67" s="1"/>
      <c r="E67" s="1"/>
      <c r="F67" s="1"/>
    </row>
    <row r="68" customFormat="false" ht="15.75" hidden="false" customHeight="true" outlineLevel="0" collapsed="false">
      <c r="A68" s="1"/>
      <c r="B68" s="1"/>
      <c r="C68" s="1"/>
      <c r="D68" s="1"/>
      <c r="E68" s="1"/>
      <c r="F68" s="1"/>
    </row>
    <row r="69" customFormat="false" ht="15.75" hidden="false" customHeight="true" outlineLevel="0" collapsed="false">
      <c r="A69" s="1"/>
      <c r="B69" s="1"/>
      <c r="C69" s="1"/>
      <c r="D69" s="1"/>
      <c r="E69" s="1"/>
      <c r="F69" s="1"/>
    </row>
    <row r="70" customFormat="false" ht="15.75" hidden="false" customHeight="true" outlineLevel="0" collapsed="false">
      <c r="A70" s="1"/>
      <c r="B70" s="1"/>
      <c r="C70" s="1"/>
      <c r="D70" s="1"/>
      <c r="E70" s="1"/>
      <c r="F70" s="1"/>
    </row>
    <row r="71" customFormat="false" ht="15.75" hidden="false" customHeight="true" outlineLevel="0" collapsed="false">
      <c r="A71" s="1"/>
      <c r="B71" s="1"/>
      <c r="C71" s="1"/>
      <c r="D71" s="1"/>
      <c r="E71" s="1"/>
      <c r="F71" s="1"/>
    </row>
    <row r="72" customFormat="false" ht="15.75" hidden="false" customHeight="true" outlineLevel="0" collapsed="false">
      <c r="A72" s="1"/>
      <c r="B72" s="1"/>
      <c r="C72" s="1"/>
      <c r="D72" s="1"/>
      <c r="E72" s="1"/>
      <c r="F72" s="1"/>
    </row>
    <row r="73" customFormat="false" ht="15.75" hidden="false" customHeight="true" outlineLevel="0" collapsed="false">
      <c r="A73" s="1"/>
      <c r="B73" s="1"/>
      <c r="C73" s="1"/>
      <c r="D73" s="1"/>
      <c r="E73" s="1"/>
      <c r="F73" s="1"/>
    </row>
    <row r="74" customFormat="false" ht="15.75" hidden="false" customHeight="true" outlineLevel="0" collapsed="false">
      <c r="A74" s="1"/>
      <c r="B74" s="1"/>
      <c r="C74" s="1"/>
      <c r="D74" s="1"/>
      <c r="E74" s="1"/>
      <c r="F74" s="1"/>
    </row>
    <row r="75" customFormat="false" ht="15.75" hidden="false" customHeight="true" outlineLevel="0" collapsed="false">
      <c r="A75" s="1"/>
      <c r="B75" s="1"/>
      <c r="C75" s="1"/>
      <c r="D75" s="1"/>
      <c r="E75" s="1"/>
      <c r="F75" s="1"/>
    </row>
    <row r="76" customFormat="false" ht="15.75" hidden="false" customHeight="true" outlineLevel="0" collapsed="false">
      <c r="A76" s="1"/>
      <c r="B76" s="1"/>
      <c r="C76" s="1"/>
      <c r="D76" s="1"/>
      <c r="E76" s="1"/>
      <c r="F76" s="1"/>
    </row>
    <row r="77" customFormat="false" ht="15.75" hidden="false" customHeight="true" outlineLevel="0" collapsed="false">
      <c r="A77" s="1"/>
      <c r="B77" s="1"/>
      <c r="C77" s="1"/>
      <c r="D77" s="1"/>
      <c r="E77" s="1"/>
      <c r="F77" s="1"/>
    </row>
    <row r="78" customFormat="false" ht="15.75" hidden="false" customHeight="true" outlineLevel="0" collapsed="false">
      <c r="A78" s="1"/>
      <c r="B78" s="1"/>
      <c r="C78" s="1"/>
      <c r="D78" s="1"/>
      <c r="E78" s="1"/>
      <c r="F78" s="1"/>
    </row>
    <row r="79" customFormat="false" ht="15.75" hidden="false" customHeight="true" outlineLevel="0" collapsed="false">
      <c r="A79" s="1"/>
      <c r="B79" s="1"/>
      <c r="C79" s="1"/>
      <c r="D79" s="1"/>
      <c r="E79" s="1"/>
      <c r="F79" s="1"/>
    </row>
    <row r="80" customFormat="false" ht="15.75" hidden="false" customHeight="true" outlineLevel="0" collapsed="false">
      <c r="A80" s="1"/>
      <c r="B80" s="1"/>
      <c r="C80" s="1"/>
      <c r="D80" s="1"/>
      <c r="E80" s="1"/>
      <c r="F80" s="1"/>
    </row>
    <row r="81" customFormat="false" ht="15.75" hidden="false" customHeight="true" outlineLevel="0" collapsed="false">
      <c r="A81" s="1"/>
      <c r="B81" s="1"/>
      <c r="C81" s="1"/>
      <c r="D81" s="1"/>
      <c r="E81" s="1"/>
      <c r="F81" s="1"/>
    </row>
    <row r="82" customFormat="false" ht="15.75" hidden="false" customHeight="true" outlineLevel="0" collapsed="false">
      <c r="A82" s="1"/>
      <c r="B82" s="1"/>
      <c r="C82" s="1"/>
      <c r="D82" s="1"/>
      <c r="E82" s="1"/>
      <c r="F82" s="1"/>
    </row>
    <row r="83" customFormat="false" ht="15.75" hidden="false" customHeight="true" outlineLevel="0" collapsed="false">
      <c r="A83" s="1"/>
      <c r="B83" s="1"/>
      <c r="C83" s="1"/>
      <c r="D83" s="1"/>
      <c r="E83" s="1"/>
      <c r="F83" s="1"/>
    </row>
    <row r="84" customFormat="false" ht="15.75" hidden="false" customHeight="true" outlineLevel="0" collapsed="false">
      <c r="A84" s="1"/>
      <c r="B84" s="1"/>
      <c r="C84" s="1"/>
      <c r="D84" s="1"/>
      <c r="E84" s="1"/>
      <c r="F84" s="1"/>
    </row>
    <row r="85" customFormat="false" ht="15.75" hidden="false" customHeight="true" outlineLevel="0" collapsed="false">
      <c r="A85" s="1"/>
      <c r="B85" s="1"/>
      <c r="C85" s="1"/>
      <c r="D85" s="1"/>
      <c r="E85" s="1"/>
      <c r="F85" s="1"/>
    </row>
    <row r="86" customFormat="false" ht="15.75" hidden="false" customHeight="true" outlineLevel="0" collapsed="false">
      <c r="A86" s="1"/>
      <c r="B86" s="1"/>
      <c r="C86" s="1"/>
      <c r="D86" s="1"/>
      <c r="E86" s="1"/>
      <c r="F86" s="1"/>
    </row>
    <row r="87" customFormat="false" ht="15.75" hidden="false" customHeight="true" outlineLevel="0" collapsed="false">
      <c r="A87" s="1"/>
      <c r="B87" s="1"/>
      <c r="C87" s="1"/>
      <c r="D87" s="1"/>
      <c r="E87" s="1"/>
      <c r="F87" s="1"/>
    </row>
    <row r="88" customFormat="false" ht="15.75" hidden="false" customHeight="true" outlineLevel="0" collapsed="false">
      <c r="A88" s="1"/>
      <c r="B88" s="1"/>
      <c r="C88" s="1"/>
      <c r="D88" s="1"/>
      <c r="E88" s="1"/>
      <c r="F88" s="1"/>
    </row>
    <row r="89" customFormat="false" ht="15.75" hidden="false" customHeight="true" outlineLevel="0" collapsed="false">
      <c r="A89" s="1"/>
      <c r="B89" s="1"/>
      <c r="C89" s="1"/>
      <c r="D89" s="1"/>
      <c r="E89" s="1"/>
      <c r="F89" s="1"/>
    </row>
    <row r="90" customFormat="false" ht="15.75" hidden="false" customHeight="true" outlineLevel="0" collapsed="false">
      <c r="A90" s="1"/>
      <c r="B90" s="1"/>
      <c r="C90" s="1"/>
      <c r="D90" s="1"/>
      <c r="E90" s="1"/>
      <c r="F90" s="1"/>
    </row>
    <row r="91" customFormat="false" ht="15.75" hidden="false" customHeight="true" outlineLevel="0" collapsed="false">
      <c r="A91" s="1"/>
      <c r="B91" s="1"/>
      <c r="C91" s="1"/>
      <c r="D91" s="1"/>
      <c r="E91" s="1"/>
      <c r="F91" s="1"/>
    </row>
    <row r="92" customFormat="false" ht="15.75" hidden="false" customHeight="true" outlineLevel="0" collapsed="false">
      <c r="A92" s="1"/>
      <c r="B92" s="1"/>
      <c r="C92" s="1"/>
      <c r="D92" s="1"/>
      <c r="E92" s="1"/>
      <c r="F92" s="1"/>
    </row>
    <row r="93" customFormat="false" ht="15.75" hidden="false" customHeight="true" outlineLevel="0" collapsed="false">
      <c r="A93" s="1"/>
      <c r="B93" s="1"/>
      <c r="C93" s="1"/>
      <c r="D93" s="1"/>
      <c r="E93" s="1"/>
      <c r="F93" s="1"/>
    </row>
    <row r="94" customFormat="false" ht="15.75" hidden="false" customHeight="true" outlineLevel="0" collapsed="false">
      <c r="A94" s="1"/>
      <c r="B94" s="1"/>
      <c r="C94" s="1"/>
      <c r="D94" s="1"/>
      <c r="E94" s="1"/>
      <c r="F94" s="1"/>
    </row>
    <row r="95" customFormat="false" ht="15.75" hidden="false" customHeight="true" outlineLevel="0" collapsed="false">
      <c r="A95" s="1"/>
      <c r="B95" s="1"/>
      <c r="C95" s="1"/>
      <c r="D95" s="1"/>
      <c r="E95" s="1"/>
      <c r="F95" s="1"/>
    </row>
    <row r="96" customFormat="false" ht="15.75" hidden="false" customHeight="true" outlineLevel="0" collapsed="false">
      <c r="A96" s="1"/>
      <c r="B96" s="1"/>
      <c r="C96" s="1"/>
      <c r="D96" s="1"/>
      <c r="E96" s="1"/>
      <c r="F96" s="1"/>
    </row>
    <row r="97" customFormat="false" ht="15.75" hidden="false" customHeight="true" outlineLevel="0" collapsed="false">
      <c r="A97" s="1"/>
      <c r="B97" s="1"/>
      <c r="C97" s="1"/>
      <c r="D97" s="1"/>
      <c r="E97" s="1"/>
      <c r="F97" s="1"/>
    </row>
    <row r="98" customFormat="false" ht="15.75" hidden="false" customHeight="true" outlineLevel="0" collapsed="false">
      <c r="A98" s="1"/>
      <c r="B98" s="1"/>
      <c r="C98" s="1"/>
      <c r="D98" s="1"/>
      <c r="E98" s="1"/>
      <c r="F98" s="1"/>
    </row>
    <row r="99" customFormat="false" ht="15.75" hidden="false" customHeight="true" outlineLevel="0" collapsed="false">
      <c r="A99" s="1"/>
      <c r="B99" s="1"/>
      <c r="C99" s="1"/>
      <c r="D99" s="1"/>
      <c r="E99" s="1"/>
      <c r="F99" s="1"/>
    </row>
    <row r="100" customFormat="false" ht="15.75" hidden="false" customHeight="true" outlineLevel="0" collapsed="false">
      <c r="A100" s="1"/>
      <c r="B100" s="1"/>
      <c r="C100" s="1"/>
      <c r="D100" s="1"/>
      <c r="E100" s="1"/>
      <c r="F100" s="1"/>
    </row>
    <row r="101" customFormat="false" ht="15.75" hidden="false" customHeight="true" outlineLevel="0" collapsed="false">
      <c r="A101" s="1"/>
      <c r="B101" s="1"/>
      <c r="C101" s="1"/>
      <c r="D101" s="1"/>
      <c r="E101" s="1"/>
      <c r="F101" s="1"/>
    </row>
    <row r="102" customFormat="false" ht="15.75" hidden="false" customHeight="true" outlineLevel="0" collapsed="false">
      <c r="A102" s="1"/>
      <c r="B102" s="1"/>
      <c r="C102" s="1"/>
      <c r="D102" s="1"/>
      <c r="E102" s="1"/>
      <c r="F102" s="1"/>
    </row>
    <row r="103" customFormat="false" ht="15.75" hidden="false" customHeight="true" outlineLevel="0" collapsed="false">
      <c r="A103" s="1"/>
      <c r="B103" s="1"/>
      <c r="C103" s="1"/>
      <c r="D103" s="1"/>
      <c r="E103" s="1"/>
      <c r="F103" s="1"/>
    </row>
    <row r="104" customFormat="false" ht="15.75" hidden="false" customHeight="true" outlineLevel="0" collapsed="false">
      <c r="A104" s="1"/>
      <c r="B104" s="1"/>
      <c r="C104" s="1"/>
      <c r="D104" s="1"/>
      <c r="E104" s="1"/>
      <c r="F104" s="1"/>
    </row>
    <row r="105" customFormat="false" ht="15.75" hidden="false" customHeight="true" outlineLevel="0" collapsed="false">
      <c r="A105" s="1"/>
      <c r="B105" s="1"/>
      <c r="C105" s="1"/>
      <c r="D105" s="1"/>
      <c r="E105" s="1"/>
      <c r="F105" s="1"/>
    </row>
    <row r="106" customFormat="false" ht="15.75" hidden="false" customHeight="true" outlineLevel="0" collapsed="false">
      <c r="A106" s="1"/>
      <c r="B106" s="1"/>
      <c r="C106" s="1"/>
      <c r="D106" s="1"/>
      <c r="E106" s="1"/>
      <c r="F106" s="1"/>
    </row>
    <row r="107" customFormat="false" ht="15.75" hidden="false" customHeight="true" outlineLevel="0" collapsed="false">
      <c r="A107" s="1"/>
      <c r="B107" s="1"/>
      <c r="C107" s="1"/>
      <c r="D107" s="1"/>
      <c r="E107" s="1"/>
      <c r="F107" s="1"/>
    </row>
    <row r="108" customFormat="false" ht="15.75" hidden="false" customHeight="true" outlineLevel="0" collapsed="false">
      <c r="A108" s="1"/>
      <c r="B108" s="1"/>
      <c r="C108" s="1"/>
      <c r="D108" s="1"/>
      <c r="E108" s="1"/>
      <c r="F108" s="1"/>
    </row>
    <row r="109" customFormat="false" ht="15.75" hidden="false" customHeight="true" outlineLevel="0" collapsed="false">
      <c r="A109" s="1"/>
      <c r="B109" s="1"/>
      <c r="C109" s="1"/>
      <c r="D109" s="1"/>
      <c r="E109" s="1"/>
      <c r="F109" s="1"/>
    </row>
    <row r="110" customFormat="false" ht="15.75" hidden="false" customHeight="true" outlineLevel="0" collapsed="false">
      <c r="A110" s="1"/>
      <c r="B110" s="1"/>
      <c r="C110" s="1"/>
      <c r="D110" s="1"/>
      <c r="E110" s="1"/>
      <c r="F110" s="1"/>
    </row>
    <row r="111" customFormat="false" ht="15.75" hidden="false" customHeight="true" outlineLevel="0" collapsed="false">
      <c r="A111" s="1"/>
      <c r="B111" s="1"/>
      <c r="C111" s="1"/>
      <c r="D111" s="1"/>
      <c r="E111" s="1"/>
      <c r="F111" s="1"/>
    </row>
    <row r="112" customFormat="false" ht="15.75" hidden="false" customHeight="true" outlineLevel="0" collapsed="false">
      <c r="A112" s="1"/>
      <c r="B112" s="1"/>
      <c r="C112" s="1"/>
      <c r="D112" s="1"/>
      <c r="E112" s="1"/>
      <c r="F112" s="1"/>
    </row>
    <row r="113" customFormat="false" ht="15.75" hidden="false" customHeight="true" outlineLevel="0" collapsed="false">
      <c r="A113" s="1"/>
      <c r="B113" s="1"/>
      <c r="C113" s="1"/>
      <c r="D113" s="1"/>
      <c r="E113" s="1"/>
      <c r="F113" s="1"/>
    </row>
    <row r="114" customFormat="false" ht="15.75" hidden="false" customHeight="true" outlineLevel="0" collapsed="false">
      <c r="A114" s="1"/>
      <c r="B114" s="1"/>
      <c r="C114" s="1"/>
      <c r="D114" s="1"/>
      <c r="E114" s="1"/>
      <c r="F114" s="1"/>
    </row>
    <row r="115" customFormat="false" ht="15.75" hidden="false" customHeight="true" outlineLevel="0" collapsed="false">
      <c r="A115" s="1"/>
      <c r="B115" s="1"/>
      <c r="C115" s="1"/>
      <c r="D115" s="1"/>
      <c r="E115" s="1"/>
      <c r="F115" s="1"/>
    </row>
    <row r="116" customFormat="false" ht="15.75" hidden="false" customHeight="true" outlineLevel="0" collapsed="false">
      <c r="A116" s="1"/>
      <c r="B116" s="1"/>
      <c r="C116" s="1"/>
      <c r="D116" s="1"/>
      <c r="E116" s="1"/>
      <c r="F116" s="1"/>
    </row>
    <row r="117" customFormat="false" ht="15.75" hidden="false" customHeight="true" outlineLevel="0" collapsed="false">
      <c r="A117" s="1"/>
      <c r="B117" s="1"/>
      <c r="C117" s="1"/>
      <c r="D117" s="1"/>
      <c r="E117" s="1"/>
      <c r="F117" s="1"/>
    </row>
    <row r="118" customFormat="false" ht="15.75" hidden="false" customHeight="true" outlineLevel="0" collapsed="false">
      <c r="A118" s="1"/>
      <c r="B118" s="1"/>
      <c r="C118" s="1"/>
      <c r="D118" s="1"/>
      <c r="E118" s="1"/>
      <c r="F118" s="1"/>
    </row>
    <row r="119" customFormat="false" ht="15.75" hidden="false" customHeight="true" outlineLevel="0" collapsed="false">
      <c r="A119" s="1"/>
      <c r="B119" s="1"/>
      <c r="C119" s="1"/>
      <c r="D119" s="1"/>
      <c r="E119" s="1"/>
      <c r="F119" s="1"/>
    </row>
    <row r="120" customFormat="false" ht="15.75" hidden="false" customHeight="true" outlineLevel="0" collapsed="false">
      <c r="A120" s="1"/>
      <c r="B120" s="1"/>
      <c r="C120" s="1"/>
      <c r="D120" s="1"/>
      <c r="E120" s="1"/>
      <c r="F120" s="1"/>
    </row>
    <row r="121" customFormat="false" ht="15.75" hidden="false" customHeight="true" outlineLevel="0" collapsed="false">
      <c r="A121" s="1"/>
      <c r="B121" s="1"/>
      <c r="C121" s="1"/>
      <c r="D121" s="1"/>
      <c r="E121" s="1"/>
      <c r="F121" s="1"/>
    </row>
    <row r="122" customFormat="false" ht="15.75" hidden="false" customHeight="true" outlineLevel="0" collapsed="false">
      <c r="A122" s="1"/>
      <c r="B122" s="1"/>
      <c r="C122" s="1"/>
      <c r="D122" s="1"/>
      <c r="E122" s="1"/>
      <c r="F122" s="1"/>
    </row>
    <row r="123" customFormat="false" ht="15.75" hidden="false" customHeight="true" outlineLevel="0" collapsed="false">
      <c r="A123" s="1"/>
      <c r="B123" s="1"/>
      <c r="C123" s="1"/>
      <c r="D123" s="1"/>
      <c r="E123" s="1"/>
      <c r="F123" s="1"/>
    </row>
    <row r="124" customFormat="false" ht="15.75" hidden="false" customHeight="true" outlineLevel="0" collapsed="false">
      <c r="A124" s="1"/>
      <c r="B124" s="1"/>
      <c r="C124" s="1"/>
      <c r="D124" s="1"/>
      <c r="E124" s="1"/>
      <c r="F124" s="1"/>
    </row>
    <row r="125" customFormat="false" ht="15.75" hidden="false" customHeight="true" outlineLevel="0" collapsed="false">
      <c r="A125" s="1"/>
      <c r="B125" s="1"/>
      <c r="C125" s="1"/>
      <c r="D125" s="1"/>
      <c r="E125" s="1"/>
      <c r="F125" s="1"/>
    </row>
    <row r="126" customFormat="false" ht="15.75" hidden="false" customHeight="true" outlineLevel="0" collapsed="false">
      <c r="A126" s="1"/>
      <c r="B126" s="1"/>
      <c r="C126" s="1"/>
      <c r="D126" s="1"/>
      <c r="E126" s="1"/>
      <c r="F126" s="1"/>
    </row>
    <row r="127" customFormat="false" ht="15.75" hidden="false" customHeight="true" outlineLevel="0" collapsed="false">
      <c r="A127" s="1"/>
      <c r="B127" s="1"/>
      <c r="C127" s="1"/>
      <c r="D127" s="1"/>
      <c r="E127" s="1"/>
      <c r="F127" s="1"/>
    </row>
    <row r="128" customFormat="false" ht="15.75" hidden="false" customHeight="true" outlineLevel="0" collapsed="false">
      <c r="A128" s="1"/>
      <c r="B128" s="1"/>
      <c r="C128" s="1"/>
      <c r="D128" s="1"/>
      <c r="E128" s="1"/>
      <c r="F128" s="1"/>
    </row>
    <row r="129" customFormat="false" ht="15.75" hidden="false" customHeight="true" outlineLevel="0" collapsed="false">
      <c r="A129" s="1"/>
      <c r="B129" s="1"/>
      <c r="C129" s="1"/>
      <c r="D129" s="1"/>
      <c r="E129" s="1"/>
      <c r="F129" s="1"/>
    </row>
    <row r="130" customFormat="false" ht="15.75" hidden="false" customHeight="true" outlineLevel="0" collapsed="false">
      <c r="A130" s="1"/>
      <c r="B130" s="1"/>
      <c r="C130" s="1"/>
      <c r="D130" s="1"/>
      <c r="E130" s="1"/>
      <c r="F130" s="1"/>
    </row>
    <row r="131" customFormat="false" ht="15.75" hidden="false" customHeight="true" outlineLevel="0" collapsed="false">
      <c r="A131" s="1"/>
      <c r="B131" s="1"/>
      <c r="C131" s="1"/>
      <c r="D131" s="1"/>
      <c r="E131" s="1"/>
      <c r="F131" s="1"/>
    </row>
    <row r="132" customFormat="false" ht="15.75" hidden="false" customHeight="true" outlineLevel="0" collapsed="false">
      <c r="A132" s="1"/>
      <c r="B132" s="1"/>
      <c r="C132" s="1"/>
      <c r="D132" s="1"/>
      <c r="E132" s="1"/>
      <c r="F132" s="1"/>
    </row>
    <row r="133" customFormat="false" ht="15.75" hidden="false" customHeight="true" outlineLevel="0" collapsed="false">
      <c r="A133" s="1"/>
      <c r="B133" s="1"/>
      <c r="C133" s="1"/>
      <c r="D133" s="1"/>
      <c r="E133" s="1"/>
      <c r="F133" s="1"/>
    </row>
    <row r="134" customFormat="false" ht="15.75" hidden="false" customHeight="true" outlineLevel="0" collapsed="false">
      <c r="A134" s="1"/>
      <c r="B134" s="1"/>
      <c r="C134" s="1"/>
      <c r="D134" s="1"/>
      <c r="E134" s="1"/>
      <c r="F134" s="1"/>
    </row>
    <row r="135" customFormat="false" ht="15.75" hidden="false" customHeight="true" outlineLevel="0" collapsed="false">
      <c r="A135" s="1"/>
      <c r="B135" s="1"/>
      <c r="C135" s="1"/>
      <c r="D135" s="1"/>
      <c r="E135" s="1"/>
      <c r="F135" s="1"/>
    </row>
    <row r="136" customFormat="false" ht="15.75" hidden="false" customHeight="true" outlineLevel="0" collapsed="false">
      <c r="A136" s="1"/>
      <c r="B136" s="1"/>
      <c r="C136" s="1"/>
      <c r="D136" s="1"/>
      <c r="E136" s="1"/>
      <c r="F136" s="1"/>
    </row>
    <row r="137" customFormat="false" ht="15.75" hidden="false" customHeight="true" outlineLevel="0" collapsed="false">
      <c r="A137" s="1"/>
      <c r="B137" s="1"/>
      <c r="C137" s="1"/>
      <c r="D137" s="1"/>
      <c r="E137" s="1"/>
      <c r="F137" s="1"/>
    </row>
    <row r="138" customFormat="false" ht="15.75" hidden="false" customHeight="true" outlineLevel="0" collapsed="false">
      <c r="A138" s="1"/>
      <c r="B138" s="1"/>
      <c r="C138" s="1"/>
      <c r="D138" s="1"/>
      <c r="E138" s="1"/>
      <c r="F138" s="1"/>
    </row>
    <row r="139" customFormat="false" ht="15.75" hidden="false" customHeight="true" outlineLevel="0" collapsed="false">
      <c r="A139" s="1"/>
      <c r="B139" s="1"/>
      <c r="C139" s="1"/>
      <c r="D139" s="1"/>
      <c r="E139" s="1"/>
      <c r="F139" s="1"/>
    </row>
    <row r="140" customFormat="false" ht="15.75" hidden="false" customHeight="true" outlineLevel="0" collapsed="false">
      <c r="A140" s="1"/>
      <c r="B140" s="1"/>
      <c r="C140" s="1"/>
      <c r="D140" s="1"/>
      <c r="E140" s="1"/>
      <c r="F140" s="1"/>
    </row>
    <row r="141" customFormat="false" ht="15.75" hidden="false" customHeight="true" outlineLevel="0" collapsed="false">
      <c r="A141" s="1"/>
      <c r="B141" s="1"/>
      <c r="C141" s="1"/>
      <c r="D141" s="1"/>
      <c r="E141" s="1"/>
      <c r="F141" s="1"/>
    </row>
    <row r="142" customFormat="false" ht="15.75" hidden="false" customHeight="true" outlineLevel="0" collapsed="false">
      <c r="A142" s="1"/>
      <c r="B142" s="1"/>
      <c r="C142" s="1"/>
      <c r="D142" s="1"/>
      <c r="E142" s="1"/>
      <c r="F142" s="1"/>
    </row>
    <row r="143" customFormat="false" ht="15.75" hidden="false" customHeight="true" outlineLevel="0" collapsed="false">
      <c r="A143" s="1"/>
      <c r="B143" s="1"/>
      <c r="C143" s="1"/>
      <c r="D143" s="1"/>
      <c r="E143" s="1"/>
      <c r="F143" s="1"/>
    </row>
    <row r="144" customFormat="false" ht="15.75" hidden="false" customHeight="true" outlineLevel="0" collapsed="false">
      <c r="A144" s="1"/>
      <c r="B144" s="1"/>
      <c r="C144" s="1"/>
      <c r="D144" s="1"/>
      <c r="E144" s="1"/>
      <c r="F144" s="1"/>
    </row>
    <row r="145" customFormat="false" ht="15.75" hidden="false" customHeight="true" outlineLevel="0" collapsed="false">
      <c r="A145" s="1"/>
      <c r="B145" s="1"/>
      <c r="C145" s="1"/>
      <c r="D145" s="1"/>
      <c r="E145" s="1"/>
      <c r="F145" s="1"/>
    </row>
    <row r="146" customFormat="false" ht="15.75" hidden="false" customHeight="true" outlineLevel="0" collapsed="false">
      <c r="A146" s="1"/>
      <c r="B146" s="1"/>
      <c r="C146" s="1"/>
      <c r="D146" s="1"/>
      <c r="E146" s="1"/>
      <c r="F146" s="1"/>
    </row>
    <row r="147" customFormat="false" ht="15.75" hidden="false" customHeight="true" outlineLevel="0" collapsed="false">
      <c r="A147" s="1"/>
      <c r="B147" s="1"/>
      <c r="C147" s="1"/>
      <c r="D147" s="1"/>
      <c r="E147" s="1"/>
      <c r="F147" s="1"/>
    </row>
    <row r="148" customFormat="false" ht="15.75" hidden="false" customHeight="true" outlineLevel="0" collapsed="false">
      <c r="A148" s="1"/>
      <c r="B148" s="1"/>
      <c r="C148" s="1"/>
      <c r="D148" s="1"/>
      <c r="E148" s="1"/>
      <c r="F148" s="1"/>
    </row>
    <row r="149" customFormat="false" ht="15.75" hidden="false" customHeight="true" outlineLevel="0" collapsed="false">
      <c r="A149" s="1"/>
      <c r="B149" s="1"/>
      <c r="C149" s="1"/>
      <c r="D149" s="1"/>
      <c r="E149" s="1"/>
      <c r="F149" s="1"/>
    </row>
    <row r="150" customFormat="false" ht="15.75" hidden="false" customHeight="true" outlineLevel="0" collapsed="false">
      <c r="A150" s="1"/>
      <c r="B150" s="1"/>
      <c r="C150" s="1"/>
      <c r="D150" s="1"/>
      <c r="E150" s="1"/>
      <c r="F150" s="1"/>
    </row>
    <row r="151" customFormat="false" ht="15.75" hidden="false" customHeight="true" outlineLevel="0" collapsed="false">
      <c r="A151" s="1"/>
      <c r="B151" s="1"/>
      <c r="C151" s="1"/>
      <c r="D151" s="1"/>
      <c r="E151" s="1"/>
      <c r="F151" s="1"/>
    </row>
    <row r="152" customFormat="false" ht="15.75" hidden="false" customHeight="true" outlineLevel="0" collapsed="false">
      <c r="A152" s="1"/>
      <c r="B152" s="1"/>
      <c r="C152" s="1"/>
      <c r="D152" s="1"/>
      <c r="E152" s="1"/>
      <c r="F152" s="1"/>
    </row>
    <row r="153" customFormat="false" ht="15.75" hidden="false" customHeight="true" outlineLevel="0" collapsed="false">
      <c r="A153" s="1"/>
      <c r="B153" s="1"/>
      <c r="C153" s="1"/>
      <c r="D153" s="1"/>
      <c r="E153" s="1"/>
      <c r="F153" s="1"/>
    </row>
    <row r="154" customFormat="false" ht="15.75" hidden="false" customHeight="true" outlineLevel="0" collapsed="false">
      <c r="A154" s="1"/>
      <c r="B154" s="1"/>
      <c r="C154" s="1"/>
      <c r="D154" s="1"/>
      <c r="E154" s="1"/>
      <c r="F154" s="1"/>
    </row>
    <row r="155" customFormat="false" ht="15.75" hidden="false" customHeight="true" outlineLevel="0" collapsed="false">
      <c r="A155" s="1"/>
      <c r="B155" s="1"/>
      <c r="C155" s="1"/>
      <c r="D155" s="1"/>
      <c r="E155" s="1"/>
      <c r="F155" s="1"/>
    </row>
    <row r="156" customFormat="false" ht="15.75" hidden="false" customHeight="true" outlineLevel="0" collapsed="false">
      <c r="A156" s="1"/>
      <c r="B156" s="1"/>
      <c r="C156" s="1"/>
      <c r="D156" s="1"/>
      <c r="E156" s="1"/>
      <c r="F156" s="1"/>
    </row>
    <row r="157" customFormat="false" ht="15.75" hidden="false" customHeight="true" outlineLevel="0" collapsed="false">
      <c r="A157" s="1"/>
      <c r="B157" s="1"/>
      <c r="C157" s="1"/>
      <c r="D157" s="1"/>
      <c r="E157" s="1"/>
      <c r="F157" s="1"/>
    </row>
    <row r="158" customFormat="false" ht="15.75" hidden="false" customHeight="true" outlineLevel="0" collapsed="false">
      <c r="A158" s="1"/>
      <c r="B158" s="1"/>
      <c r="C158" s="1"/>
      <c r="D158" s="1"/>
      <c r="E158" s="1"/>
      <c r="F158" s="1"/>
    </row>
    <row r="159" customFormat="false" ht="15.75" hidden="false" customHeight="true" outlineLevel="0" collapsed="false">
      <c r="A159" s="1"/>
      <c r="B159" s="1"/>
      <c r="C159" s="1"/>
      <c r="D159" s="1"/>
      <c r="E159" s="1"/>
      <c r="F159" s="1"/>
    </row>
    <row r="160" customFormat="false" ht="15.75" hidden="false" customHeight="true" outlineLevel="0" collapsed="false">
      <c r="A160" s="1"/>
      <c r="B160" s="1"/>
      <c r="C160" s="1"/>
      <c r="D160" s="1"/>
      <c r="E160" s="1"/>
      <c r="F160" s="1"/>
    </row>
    <row r="161" customFormat="false" ht="15.75" hidden="false" customHeight="true" outlineLevel="0" collapsed="false">
      <c r="A161" s="1"/>
      <c r="B161" s="1"/>
      <c r="C161" s="1"/>
      <c r="D161" s="1"/>
      <c r="E161" s="1"/>
      <c r="F161" s="1"/>
    </row>
    <row r="162" customFormat="false" ht="15.75" hidden="false" customHeight="true" outlineLevel="0" collapsed="false">
      <c r="A162" s="1"/>
      <c r="B162" s="1"/>
      <c r="C162" s="1"/>
      <c r="D162" s="1"/>
      <c r="E162" s="1"/>
      <c r="F162" s="1"/>
    </row>
    <row r="163" customFormat="false" ht="15.75" hidden="false" customHeight="true" outlineLevel="0" collapsed="false">
      <c r="A163" s="1"/>
      <c r="B163" s="1"/>
      <c r="C163" s="1"/>
      <c r="D163" s="1"/>
      <c r="E163" s="1"/>
      <c r="F163" s="1"/>
    </row>
    <row r="164" customFormat="false" ht="15.75" hidden="false" customHeight="true" outlineLevel="0" collapsed="false">
      <c r="A164" s="1"/>
      <c r="B164" s="1"/>
      <c r="C164" s="1"/>
      <c r="D164" s="1"/>
      <c r="E164" s="1"/>
      <c r="F164" s="1"/>
    </row>
    <row r="165" customFormat="false" ht="15.75" hidden="false" customHeight="true" outlineLevel="0" collapsed="false">
      <c r="A165" s="1"/>
      <c r="B165" s="1"/>
      <c r="C165" s="1"/>
      <c r="D165" s="1"/>
      <c r="E165" s="1"/>
      <c r="F165" s="1"/>
    </row>
    <row r="166" customFormat="false" ht="15.75" hidden="false" customHeight="true" outlineLevel="0" collapsed="false">
      <c r="A166" s="1"/>
      <c r="B166" s="1"/>
      <c r="C166" s="1"/>
      <c r="D166" s="1"/>
      <c r="E166" s="1"/>
      <c r="F166" s="1"/>
    </row>
    <row r="167" customFormat="false" ht="15.75" hidden="false" customHeight="true" outlineLevel="0" collapsed="false">
      <c r="A167" s="1"/>
      <c r="B167" s="1"/>
      <c r="C167" s="1"/>
      <c r="D167" s="1"/>
      <c r="E167" s="1"/>
      <c r="F167" s="1"/>
    </row>
    <row r="168" customFormat="false" ht="15.75" hidden="false" customHeight="true" outlineLevel="0" collapsed="false">
      <c r="A168" s="1"/>
      <c r="B168" s="1"/>
      <c r="C168" s="1"/>
      <c r="D168" s="1"/>
      <c r="E168" s="1"/>
      <c r="F168" s="1"/>
    </row>
    <row r="169" customFormat="false" ht="15.75" hidden="false" customHeight="true" outlineLevel="0" collapsed="false">
      <c r="A169" s="1"/>
      <c r="B169" s="1"/>
      <c r="C169" s="1"/>
      <c r="D169" s="1"/>
      <c r="E169" s="1"/>
      <c r="F169" s="1"/>
    </row>
    <row r="170" customFormat="false" ht="15.75" hidden="false" customHeight="true" outlineLevel="0" collapsed="false">
      <c r="A170" s="1"/>
      <c r="B170" s="1"/>
      <c r="C170" s="1"/>
      <c r="D170" s="1"/>
      <c r="E170" s="1"/>
      <c r="F170" s="1"/>
    </row>
    <row r="171" customFormat="false" ht="15.75" hidden="false" customHeight="true" outlineLevel="0" collapsed="false">
      <c r="A171" s="1"/>
      <c r="B171" s="1"/>
      <c r="C171" s="1"/>
      <c r="D171" s="1"/>
      <c r="E171" s="1"/>
      <c r="F171" s="1"/>
    </row>
    <row r="172" customFormat="false" ht="15.75" hidden="false" customHeight="true" outlineLevel="0" collapsed="false">
      <c r="A172" s="1"/>
      <c r="B172" s="1"/>
      <c r="C172" s="1"/>
      <c r="D172" s="1"/>
      <c r="E172" s="1"/>
      <c r="F172" s="1"/>
    </row>
    <row r="173" customFormat="false" ht="15.75" hidden="false" customHeight="true" outlineLevel="0" collapsed="false">
      <c r="A173" s="1"/>
      <c r="B173" s="1"/>
      <c r="C173" s="1"/>
      <c r="D173" s="1"/>
      <c r="E173" s="1"/>
      <c r="F173" s="1"/>
    </row>
    <row r="174" customFormat="false" ht="15.75" hidden="false" customHeight="true" outlineLevel="0" collapsed="false">
      <c r="A174" s="1"/>
      <c r="B174" s="1"/>
      <c r="C174" s="1"/>
      <c r="D174" s="1"/>
      <c r="E174" s="1"/>
      <c r="F174" s="1"/>
    </row>
    <row r="175" customFormat="false" ht="15.75" hidden="false" customHeight="true" outlineLevel="0" collapsed="false">
      <c r="A175" s="1"/>
      <c r="B175" s="1"/>
      <c r="C175" s="1"/>
      <c r="D175" s="1"/>
      <c r="E175" s="1"/>
      <c r="F175" s="1"/>
    </row>
    <row r="176" customFormat="false" ht="15.75" hidden="false" customHeight="true" outlineLevel="0" collapsed="false">
      <c r="A176" s="1"/>
      <c r="B176" s="1"/>
      <c r="C176" s="1"/>
      <c r="D176" s="1"/>
      <c r="E176" s="1"/>
      <c r="F176" s="1"/>
    </row>
    <row r="177" customFormat="false" ht="15.75" hidden="false" customHeight="true" outlineLevel="0" collapsed="false">
      <c r="A177" s="1"/>
      <c r="B177" s="1"/>
      <c r="C177" s="1"/>
      <c r="D177" s="1"/>
      <c r="E177" s="1"/>
      <c r="F177" s="1"/>
    </row>
    <row r="178" customFormat="false" ht="15.75" hidden="false" customHeight="true" outlineLevel="0" collapsed="false">
      <c r="A178" s="1"/>
      <c r="B178" s="1"/>
      <c r="C178" s="1"/>
      <c r="D178" s="1"/>
      <c r="E178" s="1"/>
      <c r="F178" s="1"/>
    </row>
    <row r="179" customFormat="false" ht="15.75" hidden="false" customHeight="true" outlineLevel="0" collapsed="false">
      <c r="A179" s="1"/>
      <c r="B179" s="1"/>
      <c r="C179" s="1"/>
      <c r="D179" s="1"/>
      <c r="E179" s="1"/>
      <c r="F179" s="1"/>
    </row>
    <row r="180" customFormat="false" ht="15.75" hidden="false" customHeight="true" outlineLevel="0" collapsed="false">
      <c r="A180" s="1"/>
      <c r="B180" s="1"/>
      <c r="C180" s="1"/>
      <c r="D180" s="1"/>
      <c r="E180" s="1"/>
      <c r="F180" s="1"/>
    </row>
    <row r="181" customFormat="false" ht="15.75" hidden="false" customHeight="true" outlineLevel="0" collapsed="false">
      <c r="A181" s="1"/>
      <c r="B181" s="1"/>
      <c r="C181" s="1"/>
      <c r="D181" s="1"/>
      <c r="E181" s="1"/>
      <c r="F181" s="1"/>
    </row>
    <row r="182" customFormat="false" ht="15.75" hidden="false" customHeight="true" outlineLevel="0" collapsed="false">
      <c r="A182" s="1"/>
      <c r="B182" s="1"/>
      <c r="C182" s="1"/>
      <c r="D182" s="1"/>
      <c r="E182" s="1"/>
      <c r="F182" s="1"/>
    </row>
    <row r="183" customFormat="false" ht="15.75" hidden="false" customHeight="true" outlineLevel="0" collapsed="false">
      <c r="A183" s="1"/>
      <c r="B183" s="1"/>
      <c r="C183" s="1"/>
      <c r="D183" s="1"/>
      <c r="E183" s="1"/>
      <c r="F183" s="1"/>
    </row>
    <row r="184" customFormat="false" ht="15.75" hidden="false" customHeight="true" outlineLevel="0" collapsed="false">
      <c r="A184" s="1"/>
      <c r="B184" s="1"/>
      <c r="C184" s="1"/>
      <c r="D184" s="1"/>
      <c r="E184" s="1"/>
      <c r="F184" s="1"/>
    </row>
    <row r="185" customFormat="false" ht="15.75" hidden="false" customHeight="true" outlineLevel="0" collapsed="false">
      <c r="A185" s="1"/>
      <c r="B185" s="1"/>
      <c r="C185" s="1"/>
      <c r="D185" s="1"/>
      <c r="E185" s="1"/>
      <c r="F185" s="1"/>
    </row>
    <row r="186" customFormat="false" ht="15.75" hidden="false" customHeight="true" outlineLevel="0" collapsed="false">
      <c r="A186" s="1"/>
      <c r="B186" s="1"/>
      <c r="C186" s="1"/>
      <c r="D186" s="1"/>
      <c r="E186" s="1"/>
      <c r="F186" s="1"/>
    </row>
    <row r="187" customFormat="false" ht="15.75" hidden="false" customHeight="true" outlineLevel="0" collapsed="false">
      <c r="A187" s="1"/>
      <c r="B187" s="1"/>
      <c r="C187" s="1"/>
      <c r="D187" s="1"/>
      <c r="E187" s="1"/>
      <c r="F187" s="1"/>
    </row>
    <row r="188" customFormat="false" ht="15.75" hidden="false" customHeight="true" outlineLevel="0" collapsed="false">
      <c r="A188" s="1"/>
      <c r="B188" s="1"/>
      <c r="C188" s="1"/>
      <c r="D188" s="1"/>
      <c r="E188" s="1"/>
      <c r="F188" s="1"/>
    </row>
    <row r="189" customFormat="false" ht="15.75" hidden="false" customHeight="true" outlineLevel="0" collapsed="false">
      <c r="A189" s="1"/>
      <c r="B189" s="1"/>
      <c r="C189" s="1"/>
      <c r="D189" s="1"/>
      <c r="E189" s="1"/>
      <c r="F189" s="1"/>
    </row>
    <row r="190" customFormat="false" ht="15.75" hidden="false" customHeight="true" outlineLevel="0" collapsed="false">
      <c r="A190" s="1"/>
      <c r="B190" s="1"/>
      <c r="C190" s="1"/>
      <c r="D190" s="1"/>
      <c r="E190" s="1"/>
      <c r="F190" s="1"/>
    </row>
    <row r="191" customFormat="false" ht="15.75" hidden="false" customHeight="true" outlineLevel="0" collapsed="false">
      <c r="A191" s="1"/>
      <c r="B191" s="1"/>
      <c r="C191" s="1"/>
      <c r="D191" s="1"/>
      <c r="E191" s="1"/>
      <c r="F191" s="1"/>
    </row>
    <row r="192" customFormat="false" ht="15.75" hidden="false" customHeight="true" outlineLevel="0" collapsed="false">
      <c r="A192" s="1"/>
      <c r="B192" s="1"/>
      <c r="C192" s="1"/>
      <c r="D192" s="1"/>
      <c r="E192" s="1"/>
      <c r="F192" s="1"/>
    </row>
    <row r="193" customFormat="false" ht="15.75" hidden="false" customHeight="true" outlineLevel="0" collapsed="false">
      <c r="A193" s="1"/>
      <c r="B193" s="1"/>
      <c r="C193" s="1"/>
      <c r="D193" s="1"/>
      <c r="E193" s="1"/>
      <c r="F193" s="1"/>
    </row>
    <row r="194" customFormat="false" ht="15.75" hidden="false" customHeight="true" outlineLevel="0" collapsed="false">
      <c r="A194" s="1"/>
      <c r="B194" s="1"/>
      <c r="C194" s="1"/>
      <c r="D194" s="1"/>
      <c r="E194" s="1"/>
      <c r="F194" s="1"/>
    </row>
    <row r="195" customFormat="false" ht="15.75" hidden="false" customHeight="true" outlineLevel="0" collapsed="false">
      <c r="A195" s="1"/>
      <c r="B195" s="1"/>
      <c r="C195" s="1"/>
      <c r="D195" s="1"/>
      <c r="E195" s="1"/>
      <c r="F195" s="1"/>
    </row>
    <row r="196" customFormat="false" ht="15.75" hidden="false" customHeight="true" outlineLevel="0" collapsed="false">
      <c r="A196" s="1"/>
      <c r="B196" s="1"/>
      <c r="C196" s="1"/>
      <c r="D196" s="1"/>
      <c r="E196" s="1"/>
      <c r="F196" s="1"/>
    </row>
    <row r="197" customFormat="false" ht="15.75" hidden="false" customHeight="true" outlineLevel="0" collapsed="false">
      <c r="A197" s="1"/>
      <c r="B197" s="1"/>
      <c r="C197" s="1"/>
      <c r="D197" s="1"/>
      <c r="E197" s="1"/>
      <c r="F197" s="1"/>
    </row>
    <row r="198" customFormat="false" ht="15.75" hidden="false" customHeight="true" outlineLevel="0" collapsed="false">
      <c r="A198" s="1"/>
      <c r="B198" s="1"/>
      <c r="C198" s="1"/>
      <c r="D198" s="1"/>
      <c r="E198" s="1"/>
      <c r="F198" s="1"/>
    </row>
    <row r="199" customFormat="false" ht="15.75" hidden="false" customHeight="true" outlineLevel="0" collapsed="false">
      <c r="A199" s="1"/>
      <c r="B199" s="1"/>
      <c r="C199" s="1"/>
      <c r="D199" s="1"/>
      <c r="E199" s="1"/>
      <c r="F199" s="1"/>
    </row>
    <row r="200" customFormat="false" ht="15.75" hidden="false" customHeight="true" outlineLevel="0" collapsed="false">
      <c r="A200" s="1"/>
      <c r="B200" s="1"/>
      <c r="C200" s="1"/>
      <c r="D200" s="1"/>
      <c r="E200" s="1"/>
      <c r="F200" s="1"/>
    </row>
    <row r="201" customFormat="false" ht="15.75" hidden="false" customHeight="true" outlineLevel="0" collapsed="false">
      <c r="A201" s="1"/>
      <c r="B201" s="1"/>
      <c r="C201" s="1"/>
      <c r="D201" s="1"/>
      <c r="E201" s="1"/>
      <c r="F201" s="1"/>
    </row>
    <row r="202" customFormat="false" ht="15.75" hidden="false" customHeight="true" outlineLevel="0" collapsed="false">
      <c r="A202" s="1"/>
      <c r="B202" s="1"/>
      <c r="C202" s="1"/>
      <c r="D202" s="1"/>
      <c r="E202" s="1"/>
      <c r="F202" s="1"/>
    </row>
    <row r="203" customFormat="false" ht="15.75" hidden="false" customHeight="true" outlineLevel="0" collapsed="false">
      <c r="A203" s="1"/>
      <c r="B203" s="1"/>
      <c r="C203" s="1"/>
      <c r="D203" s="1"/>
      <c r="E203" s="1"/>
      <c r="F203" s="1"/>
    </row>
    <row r="204" customFormat="false" ht="15.75" hidden="false" customHeight="true" outlineLevel="0" collapsed="false">
      <c r="A204" s="1"/>
      <c r="B204" s="1"/>
      <c r="C204" s="1"/>
      <c r="D204" s="1"/>
      <c r="E204" s="1"/>
      <c r="F204" s="1"/>
    </row>
    <row r="205" customFormat="false" ht="15.75" hidden="false" customHeight="true" outlineLevel="0" collapsed="false">
      <c r="A205" s="1"/>
      <c r="B205" s="1"/>
      <c r="C205" s="1"/>
      <c r="D205" s="1"/>
      <c r="E205" s="1"/>
      <c r="F205" s="1"/>
    </row>
    <row r="206" customFormat="false" ht="15.75" hidden="false" customHeight="true" outlineLevel="0" collapsed="false">
      <c r="A206" s="1"/>
      <c r="B206" s="1"/>
      <c r="C206" s="1"/>
      <c r="D206" s="1"/>
      <c r="E206" s="1"/>
      <c r="F206" s="1"/>
    </row>
    <row r="207" customFormat="false" ht="15.75" hidden="false" customHeight="true" outlineLevel="0" collapsed="false">
      <c r="A207" s="1"/>
      <c r="B207" s="1"/>
      <c r="C207" s="1"/>
      <c r="D207" s="1"/>
      <c r="E207" s="1"/>
      <c r="F207" s="1"/>
    </row>
    <row r="208" customFormat="false" ht="15.75" hidden="false" customHeight="true" outlineLevel="0" collapsed="false">
      <c r="A208" s="1"/>
      <c r="B208" s="1"/>
      <c r="C208" s="1"/>
      <c r="D208" s="1"/>
      <c r="E208" s="1"/>
      <c r="F208" s="1"/>
    </row>
    <row r="209" customFormat="false" ht="15.75" hidden="false" customHeight="true" outlineLevel="0" collapsed="false">
      <c r="A209" s="1"/>
      <c r="B209" s="1"/>
      <c r="C209" s="1"/>
      <c r="D209" s="1"/>
      <c r="E209" s="1"/>
      <c r="F209" s="1"/>
    </row>
    <row r="210" customFormat="false" ht="15.75" hidden="false" customHeight="true" outlineLevel="0" collapsed="false">
      <c r="A210" s="1"/>
      <c r="B210" s="1"/>
      <c r="C210" s="1"/>
      <c r="D210" s="1"/>
      <c r="E210" s="1"/>
      <c r="F210" s="1"/>
    </row>
    <row r="211" customFormat="false" ht="15.75" hidden="false" customHeight="true" outlineLevel="0" collapsed="false">
      <c r="A211" s="1"/>
      <c r="B211" s="1"/>
      <c r="C211" s="1"/>
      <c r="D211" s="1"/>
      <c r="E211" s="1"/>
      <c r="F211" s="1"/>
    </row>
    <row r="212" customFormat="false" ht="15.75" hidden="false" customHeight="true" outlineLevel="0" collapsed="false">
      <c r="A212" s="1"/>
      <c r="B212" s="1"/>
      <c r="C212" s="1"/>
      <c r="D212" s="1"/>
      <c r="E212" s="1"/>
      <c r="F212" s="1"/>
    </row>
    <row r="213" customFormat="false" ht="15.75" hidden="false" customHeight="true" outlineLevel="0" collapsed="false">
      <c r="A213" s="1"/>
      <c r="B213" s="1"/>
      <c r="C213" s="1"/>
      <c r="D213" s="1"/>
      <c r="E213" s="1"/>
      <c r="F213" s="1"/>
    </row>
    <row r="214" customFormat="false" ht="15.75" hidden="false" customHeight="true" outlineLevel="0" collapsed="false">
      <c r="A214" s="1"/>
      <c r="B214" s="1"/>
      <c r="C214" s="1"/>
      <c r="D214" s="1"/>
      <c r="E214" s="1"/>
      <c r="F214" s="1"/>
    </row>
    <row r="215" customFormat="false" ht="15.75" hidden="false" customHeight="true" outlineLevel="0" collapsed="false">
      <c r="A215" s="1"/>
      <c r="B215" s="1"/>
      <c r="C215" s="1"/>
      <c r="D215" s="1"/>
      <c r="E215" s="1"/>
      <c r="F215" s="1"/>
    </row>
    <row r="216" customFormat="false" ht="15.75" hidden="false" customHeight="true" outlineLevel="0" collapsed="false">
      <c r="A216" s="1"/>
      <c r="B216" s="1"/>
      <c r="C216" s="1"/>
      <c r="D216" s="1"/>
      <c r="E216" s="1"/>
      <c r="F216" s="1"/>
    </row>
    <row r="217" customFormat="false" ht="15.75" hidden="false" customHeight="true" outlineLevel="0" collapsed="false">
      <c r="A217" s="1"/>
      <c r="B217" s="1"/>
      <c r="C217" s="1"/>
      <c r="D217" s="1"/>
      <c r="E217" s="1"/>
      <c r="F217" s="1"/>
    </row>
    <row r="218" customFormat="false" ht="15.75" hidden="false" customHeight="true" outlineLevel="0" collapsed="false">
      <c r="A218" s="1"/>
      <c r="B218" s="1"/>
      <c r="C218" s="1"/>
      <c r="D218" s="1"/>
      <c r="E218" s="1"/>
      <c r="F218" s="1"/>
    </row>
    <row r="219" customFormat="false" ht="15.75" hidden="false" customHeight="true" outlineLevel="0" collapsed="false">
      <c r="A219" s="1"/>
      <c r="B219" s="1"/>
      <c r="C219" s="1"/>
      <c r="D219" s="1"/>
      <c r="E219" s="1"/>
      <c r="F219" s="1"/>
    </row>
    <row r="220" customFormat="false" ht="15.75" hidden="false" customHeight="true" outlineLevel="0" collapsed="false">
      <c r="A220" s="1"/>
      <c r="B220" s="1"/>
      <c r="C220" s="1"/>
      <c r="D220" s="1"/>
      <c r="E220" s="1"/>
      <c r="F220" s="1"/>
    </row>
    <row r="221" customFormat="false" ht="15.75" hidden="false" customHeight="true" outlineLevel="0" collapsed="false">
      <c r="A221" s="1"/>
      <c r="B221" s="1"/>
      <c r="C221" s="1"/>
      <c r="D221" s="1"/>
      <c r="E221" s="1"/>
      <c r="F221" s="1"/>
    </row>
    <row r="222" customFormat="false" ht="15.75" hidden="false" customHeight="true" outlineLevel="0" collapsed="false">
      <c r="A222" s="1"/>
      <c r="B222" s="1"/>
      <c r="C222" s="1"/>
      <c r="D222" s="1"/>
      <c r="E222" s="1"/>
      <c r="F222" s="1"/>
    </row>
    <row r="223" customFormat="false" ht="15.75" hidden="false" customHeight="true" outlineLevel="0" collapsed="false">
      <c r="A223" s="1"/>
      <c r="B223" s="1"/>
      <c r="C223" s="1"/>
      <c r="D223" s="1"/>
      <c r="E223" s="1"/>
      <c r="F223" s="1"/>
    </row>
    <row r="224" customFormat="false" ht="15.75" hidden="false" customHeight="true" outlineLevel="0" collapsed="false">
      <c r="A224" s="1"/>
      <c r="B224" s="1"/>
      <c r="C224" s="1"/>
      <c r="D224" s="1"/>
      <c r="E224" s="1"/>
      <c r="F224" s="1"/>
    </row>
    <row r="225" customFormat="false" ht="15.75" hidden="false" customHeight="true" outlineLevel="0" collapsed="false">
      <c r="A225" s="1"/>
      <c r="B225" s="1"/>
      <c r="C225" s="1"/>
      <c r="D225" s="1"/>
      <c r="E225" s="1"/>
      <c r="F225" s="1"/>
    </row>
    <row r="226" customFormat="false" ht="15.75" hidden="false" customHeight="true" outlineLevel="0" collapsed="false">
      <c r="A226" s="1"/>
      <c r="B226" s="1"/>
      <c r="C226" s="1"/>
      <c r="D226" s="1"/>
      <c r="E226" s="1"/>
      <c r="F226" s="1"/>
    </row>
    <row r="227" customFormat="false" ht="15.75" hidden="false" customHeight="true" outlineLevel="0" collapsed="false">
      <c r="A227" s="1"/>
      <c r="B227" s="1"/>
      <c r="C227" s="1"/>
      <c r="D227" s="1"/>
      <c r="E227" s="1"/>
      <c r="F227" s="1"/>
    </row>
    <row r="228" customFormat="false" ht="15.75" hidden="false" customHeight="true" outlineLevel="0" collapsed="false">
      <c r="A228" s="1"/>
      <c r="B228" s="1"/>
      <c r="C228" s="1"/>
      <c r="D228" s="1"/>
      <c r="E228" s="1"/>
      <c r="F228" s="1"/>
    </row>
    <row r="229" customFormat="false" ht="15.75" hidden="false" customHeight="true" outlineLevel="0" collapsed="false">
      <c r="A229" s="1"/>
      <c r="B229" s="1"/>
      <c r="C229" s="1"/>
      <c r="D229" s="1"/>
      <c r="E229" s="1"/>
      <c r="F229" s="1"/>
    </row>
    <row r="230" customFormat="false" ht="15.75" hidden="false" customHeight="true" outlineLevel="0" collapsed="false">
      <c r="A230" s="1"/>
      <c r="B230" s="1"/>
      <c r="C230" s="1"/>
      <c r="D230" s="1"/>
      <c r="E230" s="1"/>
      <c r="F230" s="1"/>
    </row>
    <row r="231" customFormat="false" ht="15.75" hidden="false" customHeight="true" outlineLevel="0" collapsed="false">
      <c r="A231" s="1"/>
      <c r="B231" s="1"/>
      <c r="C231" s="1"/>
      <c r="D231" s="1"/>
      <c r="E231" s="1"/>
      <c r="F231" s="1"/>
    </row>
    <row r="232" customFormat="false" ht="15.75" hidden="false" customHeight="true" outlineLevel="0" collapsed="false">
      <c r="A232" s="1"/>
      <c r="B232" s="1"/>
      <c r="C232" s="1"/>
      <c r="D232" s="1"/>
      <c r="E232" s="1"/>
      <c r="F232" s="1"/>
    </row>
    <row r="233" customFormat="false" ht="15.75" hidden="false" customHeight="true" outlineLevel="0" collapsed="false">
      <c r="A233" s="1"/>
      <c r="B233" s="1"/>
      <c r="C233" s="1"/>
      <c r="D233" s="1"/>
      <c r="E233" s="1"/>
      <c r="F233" s="1"/>
    </row>
    <row r="234" customFormat="false" ht="15.75" hidden="false" customHeight="true" outlineLevel="0" collapsed="false">
      <c r="A234" s="1"/>
      <c r="B234" s="1"/>
      <c r="C234" s="1"/>
      <c r="D234" s="1"/>
      <c r="E234" s="1"/>
      <c r="F234" s="1"/>
    </row>
    <row r="235" customFormat="false" ht="15.75" hidden="false" customHeight="true" outlineLevel="0" collapsed="false">
      <c r="A235" s="1"/>
      <c r="B235" s="1"/>
      <c r="C235" s="1"/>
      <c r="D235" s="1"/>
      <c r="E235" s="1"/>
      <c r="F235" s="1"/>
    </row>
    <row r="236" customFormat="false" ht="15.75" hidden="false" customHeight="true" outlineLevel="0" collapsed="false">
      <c r="A236" s="1"/>
      <c r="B236" s="1"/>
      <c r="C236" s="1"/>
      <c r="D236" s="1"/>
      <c r="E236" s="1"/>
      <c r="F236" s="1"/>
    </row>
    <row r="237" customFormat="false" ht="15.75" hidden="false" customHeight="true" outlineLevel="0" collapsed="false">
      <c r="A237" s="1"/>
      <c r="B237" s="1"/>
      <c r="C237" s="1"/>
      <c r="D237" s="1"/>
      <c r="E237" s="1"/>
      <c r="F237" s="1"/>
    </row>
    <row r="238" customFormat="false" ht="15.75" hidden="false" customHeight="true" outlineLevel="0" collapsed="false">
      <c r="A238" s="1"/>
      <c r="B238" s="1"/>
      <c r="C238" s="1"/>
      <c r="D238" s="1"/>
      <c r="E238" s="1"/>
      <c r="F238" s="1"/>
    </row>
    <row r="239" customFormat="false" ht="15.75" hidden="false" customHeight="true" outlineLevel="0" collapsed="false">
      <c r="A239" s="1"/>
      <c r="B239" s="1"/>
      <c r="C239" s="1"/>
      <c r="D239" s="1"/>
      <c r="E239" s="1"/>
      <c r="F239" s="1"/>
    </row>
    <row r="240" customFormat="false" ht="15.75" hidden="false" customHeight="true" outlineLevel="0" collapsed="false">
      <c r="A240" s="1"/>
      <c r="B240" s="1"/>
      <c r="C240" s="1"/>
      <c r="D240" s="1"/>
      <c r="E240" s="1"/>
      <c r="F240" s="1"/>
    </row>
    <row r="241" customFormat="false" ht="15.75" hidden="false" customHeight="true" outlineLevel="0" collapsed="false">
      <c r="A241" s="1"/>
      <c r="B241" s="1"/>
      <c r="C241" s="1"/>
      <c r="D241" s="1"/>
      <c r="E241" s="1"/>
      <c r="F241" s="1"/>
    </row>
    <row r="242" customFormat="false" ht="15.75" hidden="false" customHeight="true" outlineLevel="0" collapsed="false">
      <c r="A242" s="1"/>
      <c r="B242" s="1"/>
      <c r="C242" s="1"/>
      <c r="D242" s="1"/>
      <c r="E242" s="1"/>
      <c r="F242" s="1"/>
    </row>
    <row r="243" customFormat="false" ht="15.75" hidden="false" customHeight="true" outlineLevel="0" collapsed="false">
      <c r="A243" s="1"/>
      <c r="B243" s="1"/>
      <c r="C243" s="1"/>
      <c r="D243" s="1"/>
      <c r="E243" s="1"/>
      <c r="F243" s="1"/>
    </row>
    <row r="244" customFormat="false" ht="15.75" hidden="false" customHeight="true" outlineLevel="0" collapsed="false">
      <c r="A244" s="1"/>
      <c r="B244" s="1"/>
      <c r="C244" s="1"/>
      <c r="D244" s="1"/>
      <c r="E244" s="1"/>
      <c r="F244" s="1"/>
    </row>
    <row r="245" customFormat="false" ht="15.75" hidden="false" customHeight="true" outlineLevel="0" collapsed="false">
      <c r="A245" s="1"/>
      <c r="B245" s="1"/>
      <c r="C245" s="1"/>
      <c r="D245" s="1"/>
      <c r="E245" s="1"/>
      <c r="F245" s="1"/>
    </row>
    <row r="246" customFormat="false" ht="15.75" hidden="false" customHeight="true" outlineLevel="0" collapsed="false">
      <c r="A246" s="1"/>
      <c r="B246" s="1"/>
      <c r="C246" s="1"/>
      <c r="D246" s="1"/>
      <c r="E246" s="1"/>
      <c r="F246" s="1"/>
    </row>
    <row r="247" customFormat="false" ht="15.75" hidden="false" customHeight="true" outlineLevel="0" collapsed="false">
      <c r="A247" s="1"/>
      <c r="B247" s="1"/>
      <c r="C247" s="1"/>
      <c r="D247" s="1"/>
      <c r="E247" s="1"/>
      <c r="F247" s="1"/>
    </row>
    <row r="248" customFormat="false" ht="15.75" hidden="false" customHeight="true" outlineLevel="0" collapsed="false">
      <c r="A248" s="1"/>
      <c r="B248" s="1"/>
      <c r="C248" s="1"/>
      <c r="D248" s="1"/>
      <c r="E248" s="1"/>
      <c r="F248" s="1"/>
    </row>
    <row r="249" customFormat="false" ht="15.75" hidden="false" customHeight="true" outlineLevel="0" collapsed="false">
      <c r="A249" s="1"/>
      <c r="B249" s="1"/>
      <c r="C249" s="1"/>
      <c r="D249" s="1"/>
      <c r="E249" s="1"/>
      <c r="F249" s="1"/>
    </row>
    <row r="250" customFormat="false" ht="15.75" hidden="false" customHeight="true" outlineLevel="0" collapsed="false">
      <c r="A250" s="1"/>
      <c r="B250" s="1"/>
      <c r="C250" s="1"/>
      <c r="D250" s="1"/>
      <c r="E250" s="1"/>
      <c r="F250" s="1"/>
    </row>
    <row r="251" customFormat="false" ht="15.75" hidden="false" customHeight="true" outlineLevel="0" collapsed="false">
      <c r="A251" s="1"/>
      <c r="B251" s="1"/>
      <c r="C251" s="1"/>
      <c r="D251" s="1"/>
      <c r="E251" s="1"/>
      <c r="F251" s="1"/>
    </row>
    <row r="252" customFormat="false" ht="15.75" hidden="false" customHeight="true" outlineLevel="0" collapsed="false">
      <c r="A252" s="1"/>
      <c r="B252" s="1"/>
      <c r="C252" s="1"/>
      <c r="D252" s="1"/>
      <c r="E252" s="1"/>
      <c r="F252" s="1"/>
    </row>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B2:C2"/>
    <mergeCell ref="B10:C10"/>
    <mergeCell ref="B18:C18"/>
    <mergeCell ref="B25:C25"/>
    <mergeCell ref="B33:C33"/>
    <mergeCell ref="B39:C39"/>
    <mergeCell ref="B40:C40"/>
    <mergeCell ref="B49:C49"/>
  </mergeCells>
  <conditionalFormatting sqref="B12:B15">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4" min="2" style="0" width="14"/>
    <col collapsed="false" customWidth="true" hidden="false" outlineLevel="0" max="6" min="5" style="0" width="18"/>
    <col collapsed="false" customWidth="true" hidden="false" outlineLevel="0" max="7" min="7" style="0" width="48"/>
    <col collapsed="false" customWidth="true" hidden="false" outlineLevel="0" max="8" min="8" style="0" width="14"/>
  </cols>
  <sheetData>
    <row r="1" customFormat="false" ht="30" hidden="false" customHeight="true" outlineLevel="0" collapsed="false">
      <c r="A1" s="1"/>
      <c r="B1" s="1"/>
      <c r="C1" s="1"/>
      <c r="D1" s="1"/>
      <c r="E1" s="1"/>
      <c r="F1" s="1"/>
      <c r="G1" s="1"/>
      <c r="H1" s="1"/>
      <c r="I1" s="1"/>
    </row>
    <row r="2" customFormat="false" ht="30" hidden="false" customHeight="true" outlineLevel="0" collapsed="false">
      <c r="A2" s="1"/>
      <c r="B2" s="1"/>
      <c r="C2" s="1"/>
      <c r="D2" s="1"/>
      <c r="E2" s="1"/>
      <c r="F2" s="2"/>
      <c r="G2" s="2"/>
      <c r="H2" s="2"/>
      <c r="I2" s="1"/>
    </row>
    <row r="3" customFormat="false" ht="33.85" hidden="false" customHeight="false" outlineLevel="0" collapsed="false">
      <c r="A3" s="1"/>
      <c r="B3" s="1"/>
      <c r="C3" s="1"/>
      <c r="D3" s="19" t="s">
        <v>80</v>
      </c>
      <c r="E3" s="1"/>
      <c r="F3" s="1"/>
      <c r="G3" s="1"/>
      <c r="H3" s="1"/>
      <c r="I3" s="1"/>
    </row>
    <row r="4" customFormat="false" ht="15" hidden="false" customHeight="false" outlineLevel="0" collapsed="false">
      <c r="A4" s="1"/>
      <c r="B4" s="1"/>
      <c r="C4" s="1"/>
      <c r="D4" s="1"/>
      <c r="E4" s="1"/>
      <c r="F4" s="1"/>
      <c r="G4" s="1"/>
      <c r="H4" s="1"/>
      <c r="I4" s="1"/>
    </row>
    <row r="5" customFormat="false" ht="15" hidden="false" customHeight="false" outlineLevel="0" collapsed="false">
      <c r="A5" s="1"/>
      <c r="B5" s="1"/>
      <c r="C5" s="1"/>
      <c r="D5" s="1"/>
      <c r="E5" s="1"/>
      <c r="F5" s="1"/>
      <c r="G5" s="1"/>
      <c r="H5" s="1"/>
      <c r="I5" s="1"/>
    </row>
    <row r="6" customFormat="false" ht="18.75" hidden="false" customHeight="true" outlineLevel="0" collapsed="false">
      <c r="A6" s="20"/>
      <c r="B6" s="21" t="s">
        <v>81</v>
      </c>
      <c r="C6" s="21" t="s">
        <v>82</v>
      </c>
      <c r="D6" s="21" t="s">
        <v>83</v>
      </c>
      <c r="E6" s="21" t="s">
        <v>84</v>
      </c>
      <c r="F6" s="21" t="s">
        <v>85</v>
      </c>
      <c r="G6" s="21" t="s">
        <v>86</v>
      </c>
      <c r="H6" s="20"/>
      <c r="I6" s="20"/>
      <c r="J6" s="20"/>
      <c r="K6" s="20"/>
      <c r="L6" s="20"/>
      <c r="M6" s="20"/>
      <c r="N6" s="20"/>
      <c r="O6" s="20"/>
      <c r="P6" s="20"/>
      <c r="Q6" s="20"/>
      <c r="R6" s="20"/>
      <c r="S6" s="20"/>
      <c r="T6" s="20"/>
      <c r="U6" s="20"/>
      <c r="V6" s="20"/>
      <c r="W6" s="20"/>
      <c r="X6" s="20"/>
      <c r="Y6" s="20"/>
      <c r="Z6" s="20"/>
    </row>
    <row r="7" customFormat="false" ht="38.6" hidden="false" customHeight="false" outlineLevel="0" collapsed="false">
      <c r="A7" s="22"/>
      <c r="B7" s="23" t="n">
        <v>46203</v>
      </c>
      <c r="C7" s="24" t="n">
        <v>1</v>
      </c>
      <c r="D7" s="25" t="s">
        <v>87</v>
      </c>
      <c r="E7" s="25" t="s">
        <v>88</v>
      </c>
      <c r="F7" s="26" t="s">
        <v>89</v>
      </c>
      <c r="G7" s="27" t="s">
        <v>90</v>
      </c>
      <c r="H7" s="28"/>
      <c r="I7" s="22"/>
      <c r="J7" s="22"/>
      <c r="K7" s="22"/>
      <c r="L7" s="22"/>
      <c r="M7" s="22"/>
      <c r="N7" s="22"/>
      <c r="O7" s="22"/>
      <c r="P7" s="22"/>
      <c r="Q7" s="22"/>
      <c r="R7" s="22"/>
      <c r="S7" s="22"/>
      <c r="T7" s="22"/>
      <c r="U7" s="22"/>
      <c r="V7" s="22"/>
      <c r="W7" s="22"/>
      <c r="X7" s="22"/>
      <c r="Y7" s="22"/>
      <c r="Z7" s="22"/>
    </row>
    <row r="8" customFormat="false" ht="38.6" hidden="false" customHeight="false" outlineLevel="0" collapsed="false">
      <c r="A8" s="22"/>
      <c r="B8" s="23"/>
      <c r="C8" s="24"/>
      <c r="D8" s="25"/>
      <c r="E8" s="25"/>
      <c r="F8" s="26"/>
      <c r="G8" s="27"/>
      <c r="H8" s="28"/>
      <c r="I8" s="22"/>
      <c r="J8" s="22"/>
      <c r="K8" s="22"/>
      <c r="L8" s="22"/>
      <c r="M8" s="22"/>
      <c r="N8" s="22"/>
      <c r="O8" s="22"/>
      <c r="P8" s="22"/>
      <c r="Q8" s="22"/>
      <c r="R8" s="22"/>
      <c r="S8" s="22"/>
      <c r="T8" s="22"/>
      <c r="U8" s="22"/>
      <c r="V8" s="22"/>
      <c r="W8" s="22"/>
      <c r="X8" s="22"/>
      <c r="Y8" s="22"/>
      <c r="Z8" s="22"/>
    </row>
    <row r="9" customFormat="false" ht="38.6" hidden="false" customHeight="false" outlineLevel="0" collapsed="false">
      <c r="A9" s="1"/>
      <c r="B9" s="29"/>
      <c r="C9" s="30"/>
      <c r="D9" s="30"/>
      <c r="E9" s="30"/>
      <c r="F9" s="31"/>
      <c r="G9" s="32"/>
      <c r="H9" s="28"/>
      <c r="I9" s="1"/>
    </row>
    <row r="10" customFormat="false" ht="38.6" hidden="false" customHeight="false" outlineLevel="0" collapsed="false">
      <c r="A10" s="1"/>
      <c r="B10" s="29"/>
      <c r="C10" s="30"/>
      <c r="D10" s="30"/>
      <c r="E10" s="30"/>
      <c r="F10" s="31"/>
      <c r="G10" s="32"/>
      <c r="H10" s="28"/>
      <c r="I10" s="1"/>
    </row>
    <row r="11" customFormat="false" ht="38.6" hidden="false" customHeight="false" outlineLevel="0" collapsed="false">
      <c r="A11" s="1"/>
      <c r="B11" s="29"/>
      <c r="C11" s="30"/>
      <c r="D11" s="30"/>
      <c r="E11" s="30"/>
      <c r="F11" s="31"/>
      <c r="G11" s="32"/>
      <c r="H11" s="28"/>
      <c r="I11" s="1"/>
    </row>
    <row r="12" customFormat="false" ht="38.6" hidden="false" customHeight="false" outlineLevel="0" collapsed="false">
      <c r="A12" s="1"/>
      <c r="B12" s="29"/>
      <c r="C12" s="30"/>
      <c r="D12" s="30"/>
      <c r="E12" s="30"/>
      <c r="F12" s="31"/>
      <c r="G12" s="32"/>
      <c r="H12" s="28"/>
      <c r="I12" s="1"/>
    </row>
    <row r="13" customFormat="false" ht="38.6" hidden="false" customHeight="false" outlineLevel="0" collapsed="false">
      <c r="A13" s="1"/>
      <c r="B13" s="29"/>
      <c r="C13" s="30"/>
      <c r="D13" s="30"/>
      <c r="E13" s="30"/>
      <c r="F13" s="31"/>
      <c r="G13" s="32"/>
      <c r="H13" s="28"/>
      <c r="I13" s="1"/>
    </row>
    <row r="14" customFormat="false" ht="38.6" hidden="false" customHeight="false" outlineLevel="0" collapsed="false">
      <c r="A14" s="1"/>
      <c r="B14" s="29"/>
      <c r="C14" s="30"/>
      <c r="D14" s="30"/>
      <c r="E14" s="30"/>
      <c r="F14" s="31"/>
      <c r="G14" s="32"/>
      <c r="H14" s="28"/>
      <c r="I14" s="1"/>
    </row>
    <row r="15" customFormat="false" ht="15" hidden="false" customHeight="false" outlineLevel="0" collapsed="false">
      <c r="A15" s="1"/>
      <c r="B15" s="1"/>
      <c r="C15" s="1"/>
      <c r="D15" s="1"/>
      <c r="E15" s="1"/>
      <c r="F15" s="1"/>
      <c r="G15" s="1"/>
      <c r="H15" s="1"/>
      <c r="I15" s="1"/>
    </row>
    <row r="16" customFormat="false" ht="15" hidden="false" customHeight="false" outlineLevel="0" collapsed="false">
      <c r="A16" s="1"/>
      <c r="B16" s="8"/>
      <c r="C16" s="8"/>
      <c r="D16" s="8"/>
      <c r="E16" s="8"/>
      <c r="F16" s="8"/>
      <c r="G16" s="8"/>
      <c r="H16" s="8"/>
      <c r="I16" s="1"/>
    </row>
    <row r="17" customFormat="false" ht="15" hidden="false" customHeight="false" outlineLevel="0" collapsed="false">
      <c r="A17" s="1"/>
      <c r="B17" s="9"/>
      <c r="C17" s="9"/>
      <c r="D17" s="9"/>
      <c r="E17" s="9"/>
      <c r="F17" s="9"/>
      <c r="G17" s="9"/>
      <c r="H17" s="9"/>
      <c r="I17" s="1"/>
    </row>
    <row r="18" customFormat="false" ht="15" hidden="false" customHeight="false" outlineLevel="0" collapsed="false">
      <c r="A18" s="1"/>
      <c r="B18" s="9"/>
      <c r="C18" s="9"/>
      <c r="D18" s="9"/>
      <c r="E18" s="9"/>
      <c r="F18" s="9"/>
      <c r="G18" s="9"/>
      <c r="H18" s="9"/>
      <c r="I18" s="1"/>
    </row>
    <row r="19" customFormat="false" ht="15" hidden="false" customHeight="false" outlineLevel="0" collapsed="false">
      <c r="A19" s="1"/>
      <c r="B19" s="1"/>
      <c r="C19" s="1"/>
      <c r="D19" s="1"/>
      <c r="E19" s="1"/>
      <c r="F19" s="1"/>
      <c r="G19" s="1"/>
      <c r="H19" s="1"/>
      <c r="I19" s="1"/>
    </row>
    <row r="20" customFormat="false" ht="15.75" hidden="false" customHeight="true" outlineLevel="0" collapsed="false">
      <c r="A20" s="1"/>
      <c r="B20" s="1"/>
      <c r="C20" s="1"/>
      <c r="D20" s="1"/>
      <c r="E20" s="1"/>
      <c r="F20" s="1"/>
      <c r="G20" s="1"/>
      <c r="H20" s="1"/>
      <c r="I20" s="1"/>
    </row>
    <row r="21" customFormat="false" ht="15.75" hidden="false" customHeight="true" outlineLevel="0" collapsed="false">
      <c r="A21" s="1"/>
      <c r="B21" s="1"/>
      <c r="C21" s="1"/>
      <c r="D21" s="1"/>
      <c r="E21" s="1"/>
      <c r="F21" s="1"/>
      <c r="G21" s="1"/>
      <c r="H21" s="1"/>
      <c r="I21" s="1"/>
    </row>
    <row r="22" customFormat="false" ht="15.75" hidden="false" customHeight="true" outlineLevel="0" collapsed="false">
      <c r="A22" s="1"/>
      <c r="B22" s="1"/>
      <c r="C22" s="1"/>
      <c r="D22" s="1"/>
      <c r="E22" s="1"/>
      <c r="F22" s="1"/>
      <c r="G22" s="1"/>
      <c r="H22" s="1"/>
      <c r="I22" s="1"/>
    </row>
    <row r="23" customFormat="false" ht="15.75" hidden="false" customHeight="true" outlineLevel="0" collapsed="false">
      <c r="A23" s="1"/>
      <c r="B23" s="1"/>
      <c r="C23" s="1"/>
      <c r="D23" s="1"/>
      <c r="E23" s="1"/>
      <c r="F23" s="1"/>
      <c r="G23" s="1"/>
      <c r="H23" s="1"/>
      <c r="I23" s="1"/>
    </row>
    <row r="24" customFormat="false" ht="15.75" hidden="false" customHeight="true" outlineLevel="0" collapsed="false">
      <c r="A24" s="1"/>
      <c r="B24" s="1"/>
      <c r="C24" s="1"/>
      <c r="D24" s="1"/>
      <c r="E24" s="1"/>
      <c r="F24" s="1"/>
      <c r="G24" s="1"/>
      <c r="H24" s="1"/>
      <c r="I24" s="1"/>
    </row>
    <row r="25" customFormat="false" ht="15.75" hidden="false" customHeight="true" outlineLevel="0" collapsed="false">
      <c r="A25" s="1"/>
      <c r="B25" s="1"/>
      <c r="C25" s="1"/>
      <c r="D25" s="1"/>
      <c r="E25" s="1"/>
      <c r="F25" s="1"/>
      <c r="G25" s="1"/>
      <c r="H25" s="1"/>
      <c r="I25" s="1"/>
    </row>
    <row r="26" customFormat="false" ht="15.75" hidden="false" customHeight="true" outlineLevel="0" collapsed="false">
      <c r="A26" s="1"/>
      <c r="B26" s="1"/>
      <c r="C26" s="1"/>
      <c r="D26" s="1"/>
      <c r="E26" s="1"/>
      <c r="F26" s="1"/>
      <c r="G26" s="1"/>
      <c r="H26" s="1"/>
      <c r="I26" s="1"/>
    </row>
    <row r="27" customFormat="false" ht="15.75" hidden="false" customHeight="true" outlineLevel="0" collapsed="false">
      <c r="A27" s="1"/>
      <c r="B27" s="1"/>
      <c r="C27" s="1"/>
      <c r="D27" s="1"/>
      <c r="E27" s="1"/>
      <c r="F27" s="1"/>
      <c r="G27" s="1"/>
      <c r="H27" s="1"/>
      <c r="I27" s="1"/>
    </row>
    <row r="28" customFormat="false" ht="15.75" hidden="false" customHeight="true" outlineLevel="0" collapsed="false">
      <c r="A28" s="1"/>
      <c r="B28" s="1"/>
      <c r="C28" s="1"/>
      <c r="D28" s="1"/>
      <c r="E28" s="1"/>
      <c r="F28" s="1"/>
      <c r="G28" s="1"/>
      <c r="H28" s="1"/>
      <c r="I28" s="1"/>
    </row>
    <row r="29" customFormat="false" ht="15.75" hidden="false" customHeight="true" outlineLevel="0" collapsed="false">
      <c r="A29" s="1"/>
      <c r="B29" s="1"/>
      <c r="C29" s="1"/>
      <c r="D29" s="1"/>
      <c r="E29" s="1"/>
      <c r="F29" s="1"/>
      <c r="G29" s="1"/>
      <c r="H29" s="1"/>
      <c r="I29" s="1"/>
    </row>
    <row r="30" customFormat="false" ht="15.75" hidden="false" customHeight="true" outlineLevel="0" collapsed="false">
      <c r="A30" s="1"/>
      <c r="B30" s="1"/>
      <c r="C30" s="1"/>
      <c r="D30" s="1"/>
      <c r="E30" s="1"/>
      <c r="F30" s="1"/>
      <c r="G30" s="1"/>
      <c r="H30" s="1"/>
      <c r="I30" s="1"/>
    </row>
    <row r="31" customFormat="false" ht="15.75" hidden="false" customHeight="true" outlineLevel="0" collapsed="false">
      <c r="A31" s="1"/>
      <c r="B31" s="1"/>
      <c r="C31" s="1"/>
      <c r="D31" s="1"/>
      <c r="E31" s="1"/>
      <c r="F31" s="1"/>
      <c r="G31" s="1"/>
      <c r="H31" s="1"/>
      <c r="I31" s="1"/>
    </row>
    <row r="32" customFormat="false" ht="15.75" hidden="false" customHeight="true" outlineLevel="0" collapsed="false">
      <c r="A32" s="1"/>
      <c r="B32" s="1"/>
      <c r="C32" s="1"/>
      <c r="D32" s="1"/>
      <c r="E32" s="1"/>
      <c r="F32" s="1"/>
      <c r="G32" s="1"/>
      <c r="H32" s="1"/>
      <c r="I32" s="1"/>
    </row>
    <row r="33" customFormat="false" ht="15.75" hidden="false" customHeight="true" outlineLevel="0" collapsed="false">
      <c r="A33" s="1"/>
      <c r="B33" s="1"/>
      <c r="C33" s="1"/>
      <c r="D33" s="1"/>
      <c r="E33" s="1"/>
      <c r="F33" s="1"/>
      <c r="G33" s="1"/>
      <c r="H33" s="1"/>
      <c r="I33" s="1"/>
    </row>
    <row r="34" customFormat="false" ht="15.75" hidden="false" customHeight="true" outlineLevel="0" collapsed="false">
      <c r="A34" s="1"/>
      <c r="B34" s="1"/>
      <c r="C34" s="1"/>
      <c r="D34" s="1"/>
      <c r="E34" s="1"/>
      <c r="F34" s="1"/>
      <c r="G34" s="1"/>
      <c r="H34" s="1"/>
      <c r="I34" s="1"/>
    </row>
    <row r="35" customFormat="false" ht="15.75" hidden="false" customHeight="true" outlineLevel="0" collapsed="false">
      <c r="A35" s="1"/>
      <c r="B35" s="1"/>
      <c r="C35" s="1"/>
      <c r="D35" s="1"/>
      <c r="E35" s="1"/>
      <c r="F35" s="1"/>
      <c r="G35" s="1"/>
      <c r="H35" s="1"/>
      <c r="I35" s="1"/>
    </row>
    <row r="36" customFormat="false" ht="15.75" hidden="false" customHeight="true" outlineLevel="0" collapsed="false">
      <c r="A36" s="1"/>
      <c r="B36" s="1"/>
      <c r="C36" s="1"/>
      <c r="D36" s="1"/>
      <c r="E36" s="1"/>
      <c r="F36" s="1"/>
      <c r="G36" s="1"/>
      <c r="H36" s="1"/>
      <c r="I36" s="1"/>
    </row>
    <row r="37" customFormat="false" ht="15.75" hidden="false" customHeight="true" outlineLevel="0" collapsed="false">
      <c r="A37" s="1"/>
      <c r="B37" s="1"/>
      <c r="C37" s="1"/>
      <c r="D37" s="1"/>
      <c r="E37" s="1"/>
      <c r="F37" s="1"/>
      <c r="G37" s="1"/>
      <c r="H37" s="1"/>
      <c r="I37" s="1"/>
    </row>
    <row r="38" customFormat="false" ht="15.75" hidden="false" customHeight="true" outlineLevel="0" collapsed="false">
      <c r="A38" s="1"/>
      <c r="B38" s="1"/>
      <c r="C38" s="1"/>
      <c r="D38" s="1"/>
      <c r="E38" s="1"/>
      <c r="F38" s="1"/>
      <c r="G38" s="1"/>
      <c r="H38" s="1"/>
      <c r="I38" s="1"/>
    </row>
    <row r="39" customFormat="false" ht="15.75" hidden="false" customHeight="true" outlineLevel="0" collapsed="false">
      <c r="A39" s="1"/>
      <c r="B39" s="1"/>
      <c r="C39" s="1"/>
      <c r="D39" s="1"/>
      <c r="E39" s="1"/>
      <c r="F39" s="1"/>
      <c r="G39" s="1"/>
      <c r="H39" s="1"/>
      <c r="I39" s="1"/>
    </row>
    <row r="40" customFormat="false" ht="15.75" hidden="false" customHeight="true" outlineLevel="0" collapsed="false">
      <c r="A40" s="1"/>
      <c r="B40" s="1"/>
      <c r="C40" s="1"/>
      <c r="D40" s="1"/>
      <c r="E40" s="1"/>
      <c r="F40" s="1"/>
      <c r="G40" s="1"/>
      <c r="H40" s="1"/>
      <c r="I40" s="1"/>
    </row>
    <row r="41" customFormat="false" ht="15.75" hidden="false" customHeight="true" outlineLevel="0" collapsed="false">
      <c r="A41" s="1"/>
      <c r="B41" s="1"/>
      <c r="C41" s="1"/>
      <c r="D41" s="1"/>
      <c r="E41" s="1"/>
      <c r="F41" s="1"/>
      <c r="G41" s="1"/>
      <c r="H41" s="1"/>
      <c r="I41" s="1"/>
    </row>
    <row r="42" customFormat="false" ht="15.75" hidden="false" customHeight="true" outlineLevel="0" collapsed="false">
      <c r="A42" s="1"/>
      <c r="B42" s="1"/>
      <c r="C42" s="1"/>
      <c r="D42" s="1"/>
      <c r="E42" s="1"/>
      <c r="F42" s="1"/>
      <c r="G42" s="1"/>
      <c r="H42" s="1"/>
      <c r="I42" s="1"/>
    </row>
    <row r="43" customFormat="false" ht="15.75" hidden="false" customHeight="true" outlineLevel="0" collapsed="false">
      <c r="A43" s="1"/>
      <c r="B43" s="1"/>
      <c r="C43" s="1"/>
      <c r="D43" s="1"/>
      <c r="E43" s="1"/>
      <c r="F43" s="1"/>
      <c r="G43" s="1"/>
      <c r="H43" s="1"/>
      <c r="I43" s="1"/>
    </row>
    <row r="44" customFormat="false" ht="15.75" hidden="false" customHeight="true" outlineLevel="0" collapsed="false">
      <c r="A44" s="1"/>
      <c r="B44" s="1"/>
      <c r="C44" s="1"/>
      <c r="D44" s="1"/>
      <c r="E44" s="1"/>
      <c r="F44" s="1"/>
      <c r="G44" s="1"/>
      <c r="H44" s="1"/>
      <c r="I44" s="1"/>
    </row>
    <row r="45" customFormat="false" ht="15.75" hidden="false" customHeight="true" outlineLevel="0" collapsed="false">
      <c r="A45" s="1"/>
      <c r="B45" s="1"/>
      <c r="C45" s="1"/>
      <c r="D45" s="1"/>
      <c r="E45" s="1"/>
      <c r="F45" s="1"/>
      <c r="G45" s="1"/>
      <c r="H45" s="1"/>
      <c r="I45" s="1"/>
    </row>
    <row r="46" customFormat="false" ht="15.75" hidden="false" customHeight="true" outlineLevel="0" collapsed="false">
      <c r="A46" s="1"/>
      <c r="B46" s="1"/>
      <c r="C46" s="1"/>
      <c r="D46" s="1"/>
      <c r="E46" s="1"/>
      <c r="F46" s="1"/>
      <c r="G46" s="1"/>
      <c r="H46" s="1"/>
      <c r="I46" s="1"/>
    </row>
    <row r="47" customFormat="false" ht="15.75" hidden="false" customHeight="true" outlineLevel="0" collapsed="false">
      <c r="A47" s="1"/>
      <c r="B47" s="1"/>
      <c r="C47" s="1"/>
      <c r="D47" s="1"/>
      <c r="E47" s="1"/>
      <c r="F47" s="1"/>
      <c r="G47" s="1"/>
      <c r="H47" s="1"/>
      <c r="I47" s="1"/>
    </row>
    <row r="48" customFormat="false" ht="15.75" hidden="false" customHeight="true" outlineLevel="0" collapsed="false">
      <c r="A48" s="1"/>
      <c r="B48" s="1"/>
      <c r="C48" s="1"/>
      <c r="D48" s="1"/>
      <c r="E48" s="1"/>
      <c r="F48" s="1"/>
      <c r="G48" s="1"/>
      <c r="H48" s="1"/>
      <c r="I48" s="1"/>
    </row>
    <row r="49" customFormat="false" ht="15.75" hidden="false" customHeight="true" outlineLevel="0" collapsed="false">
      <c r="A49" s="1"/>
      <c r="B49" s="1"/>
      <c r="C49" s="1"/>
      <c r="D49" s="1"/>
      <c r="E49" s="1"/>
      <c r="F49" s="1"/>
      <c r="G49" s="1"/>
      <c r="H49" s="1"/>
      <c r="I49" s="1"/>
    </row>
    <row r="50" customFormat="false" ht="15.75" hidden="false" customHeight="true" outlineLevel="0" collapsed="false">
      <c r="A50" s="1"/>
      <c r="B50" s="1"/>
      <c r="C50" s="1"/>
      <c r="D50" s="1"/>
      <c r="E50" s="1"/>
      <c r="F50" s="1"/>
      <c r="G50" s="1"/>
      <c r="H50" s="1"/>
      <c r="I50" s="1"/>
    </row>
    <row r="51" customFormat="false" ht="15.75" hidden="false" customHeight="true" outlineLevel="0" collapsed="false">
      <c r="A51" s="1"/>
      <c r="B51" s="1"/>
      <c r="C51" s="1"/>
      <c r="D51" s="1"/>
      <c r="E51" s="1"/>
      <c r="F51" s="1"/>
      <c r="G51" s="1"/>
      <c r="H51" s="1"/>
      <c r="I51" s="1"/>
    </row>
    <row r="52" customFormat="false" ht="15.75" hidden="false" customHeight="true" outlineLevel="0" collapsed="false">
      <c r="A52" s="1"/>
      <c r="B52" s="1"/>
      <c r="C52" s="1"/>
      <c r="D52" s="1"/>
      <c r="E52" s="1"/>
      <c r="F52" s="1"/>
      <c r="G52" s="1"/>
      <c r="H52" s="1"/>
      <c r="I52" s="1"/>
    </row>
    <row r="53" customFormat="false" ht="15.75" hidden="false" customHeight="true" outlineLevel="0" collapsed="false">
      <c r="A53" s="1"/>
      <c r="B53" s="1"/>
      <c r="C53" s="1"/>
      <c r="D53" s="1"/>
      <c r="E53" s="1"/>
      <c r="F53" s="1"/>
      <c r="G53" s="1"/>
      <c r="H53" s="1"/>
      <c r="I53" s="1"/>
    </row>
    <row r="54" customFormat="false" ht="15.75" hidden="false" customHeight="true" outlineLevel="0" collapsed="false">
      <c r="A54" s="1"/>
      <c r="B54" s="1"/>
      <c r="C54" s="1"/>
      <c r="D54" s="1"/>
      <c r="E54" s="1"/>
      <c r="F54" s="1"/>
      <c r="G54" s="1"/>
      <c r="H54" s="1"/>
      <c r="I54" s="1"/>
    </row>
    <row r="55" customFormat="false" ht="15.75" hidden="false" customHeight="true" outlineLevel="0" collapsed="false">
      <c r="A55" s="1"/>
      <c r="B55" s="1"/>
      <c r="C55" s="1"/>
      <c r="D55" s="1"/>
      <c r="E55" s="1"/>
      <c r="F55" s="1"/>
      <c r="G55" s="1"/>
      <c r="H55" s="1"/>
      <c r="I55" s="1"/>
    </row>
    <row r="56" customFormat="false" ht="15.75" hidden="false" customHeight="true" outlineLevel="0" collapsed="false">
      <c r="A56" s="1"/>
      <c r="B56" s="1"/>
      <c r="C56" s="1"/>
      <c r="D56" s="1"/>
      <c r="E56" s="1"/>
      <c r="F56" s="1"/>
      <c r="G56" s="1"/>
      <c r="H56" s="1"/>
      <c r="I56" s="1"/>
    </row>
    <row r="57" customFormat="false" ht="15.75" hidden="false" customHeight="true" outlineLevel="0" collapsed="false">
      <c r="A57" s="1"/>
      <c r="B57" s="1"/>
      <c r="C57" s="1"/>
      <c r="D57" s="1"/>
      <c r="E57" s="1"/>
      <c r="F57" s="1"/>
      <c r="G57" s="1"/>
      <c r="H57" s="1"/>
      <c r="I57" s="1"/>
    </row>
    <row r="58" customFormat="false" ht="15.75" hidden="false" customHeight="true" outlineLevel="0" collapsed="false">
      <c r="A58" s="1"/>
      <c r="B58" s="1"/>
      <c r="C58" s="1"/>
      <c r="D58" s="1"/>
      <c r="E58" s="1"/>
      <c r="F58" s="1"/>
      <c r="G58" s="1"/>
      <c r="H58" s="1"/>
      <c r="I58" s="1"/>
    </row>
    <row r="59" customFormat="false" ht="15.75" hidden="false" customHeight="true" outlineLevel="0" collapsed="false">
      <c r="A59" s="1"/>
      <c r="B59" s="1"/>
      <c r="C59" s="1"/>
      <c r="D59" s="1"/>
      <c r="E59" s="1"/>
      <c r="F59" s="1"/>
      <c r="G59" s="1"/>
      <c r="H59" s="1"/>
      <c r="I59" s="1"/>
    </row>
    <row r="60" customFormat="false" ht="15.75" hidden="false" customHeight="true" outlineLevel="0" collapsed="false">
      <c r="A60" s="1"/>
      <c r="B60" s="1"/>
      <c r="C60" s="1"/>
      <c r="D60" s="1"/>
      <c r="E60" s="1"/>
      <c r="F60" s="1"/>
      <c r="G60" s="1"/>
      <c r="H60" s="1"/>
      <c r="I60" s="1"/>
    </row>
    <row r="61" customFormat="false" ht="15.75" hidden="false" customHeight="true" outlineLevel="0" collapsed="false">
      <c r="A61" s="1"/>
      <c r="B61" s="1"/>
      <c r="C61" s="1"/>
      <c r="D61" s="1"/>
      <c r="E61" s="1"/>
      <c r="F61" s="1"/>
      <c r="G61" s="1"/>
      <c r="H61" s="1"/>
      <c r="I61" s="1"/>
    </row>
    <row r="62" customFormat="false" ht="15.75" hidden="false" customHeight="true" outlineLevel="0" collapsed="false">
      <c r="A62" s="1"/>
      <c r="B62" s="1"/>
      <c r="C62" s="1"/>
      <c r="D62" s="1"/>
      <c r="E62" s="1"/>
      <c r="F62" s="1"/>
      <c r="G62" s="1"/>
      <c r="H62" s="1"/>
      <c r="I62" s="1"/>
    </row>
    <row r="63" customFormat="false" ht="15.75" hidden="false" customHeight="true" outlineLevel="0" collapsed="false">
      <c r="A63" s="1"/>
      <c r="B63" s="1"/>
      <c r="C63" s="1"/>
      <c r="D63" s="1"/>
      <c r="E63" s="1"/>
      <c r="F63" s="1"/>
      <c r="G63" s="1"/>
      <c r="H63" s="1"/>
      <c r="I63" s="1"/>
    </row>
    <row r="64" customFormat="false" ht="15.75" hidden="false" customHeight="true" outlineLevel="0" collapsed="false">
      <c r="A64" s="1"/>
      <c r="B64" s="1"/>
      <c r="C64" s="1"/>
      <c r="D64" s="1"/>
      <c r="E64" s="1"/>
      <c r="F64" s="1"/>
      <c r="G64" s="1"/>
      <c r="H64" s="1"/>
      <c r="I64" s="1"/>
    </row>
    <row r="65" customFormat="false" ht="15.75" hidden="false" customHeight="true" outlineLevel="0" collapsed="false">
      <c r="A65" s="1"/>
      <c r="B65" s="1"/>
      <c r="C65" s="1"/>
      <c r="D65" s="1"/>
      <c r="E65" s="1"/>
      <c r="F65" s="1"/>
      <c r="G65" s="1"/>
      <c r="H65" s="1"/>
      <c r="I65" s="1"/>
    </row>
    <row r="66" customFormat="false" ht="15.75" hidden="false" customHeight="true" outlineLevel="0" collapsed="false">
      <c r="A66" s="1"/>
      <c r="B66" s="1"/>
      <c r="C66" s="1"/>
      <c r="D66" s="1"/>
      <c r="E66" s="1"/>
      <c r="F66" s="1"/>
      <c r="G66" s="1"/>
      <c r="H66" s="1"/>
      <c r="I66" s="1"/>
    </row>
    <row r="67" customFormat="false" ht="15.75" hidden="false" customHeight="true" outlineLevel="0" collapsed="false">
      <c r="A67" s="1"/>
      <c r="B67" s="1"/>
      <c r="C67" s="1"/>
      <c r="D67" s="1"/>
      <c r="E67" s="1"/>
      <c r="F67" s="1"/>
      <c r="G67" s="1"/>
      <c r="H67" s="1"/>
      <c r="I67" s="1"/>
    </row>
    <row r="68" customFormat="false" ht="15.75" hidden="false" customHeight="true" outlineLevel="0" collapsed="false">
      <c r="A68" s="1"/>
      <c r="B68" s="1"/>
      <c r="C68" s="1"/>
      <c r="D68" s="1"/>
      <c r="E68" s="1"/>
      <c r="F68" s="1"/>
      <c r="G68" s="1"/>
      <c r="H68" s="1"/>
      <c r="I68" s="1"/>
    </row>
    <row r="69" customFormat="false" ht="15.75" hidden="false" customHeight="true" outlineLevel="0" collapsed="false">
      <c r="A69" s="1"/>
      <c r="B69" s="1"/>
      <c r="C69" s="1"/>
      <c r="D69" s="1"/>
      <c r="E69" s="1"/>
      <c r="F69" s="1"/>
      <c r="G69" s="1"/>
      <c r="H69" s="1"/>
      <c r="I69" s="1"/>
    </row>
    <row r="70" customFormat="false" ht="15.75" hidden="false" customHeight="true" outlineLevel="0" collapsed="false">
      <c r="A70" s="1"/>
      <c r="B70" s="1"/>
      <c r="C70" s="1"/>
      <c r="D70" s="1"/>
      <c r="E70" s="1"/>
      <c r="F70" s="1"/>
      <c r="G70" s="1"/>
      <c r="H70" s="1"/>
      <c r="I70" s="1"/>
    </row>
    <row r="71" customFormat="false" ht="15.75" hidden="false" customHeight="true" outlineLevel="0" collapsed="false">
      <c r="A71" s="1"/>
      <c r="B71" s="1"/>
      <c r="C71" s="1"/>
      <c r="D71" s="1"/>
      <c r="E71" s="1"/>
      <c r="F71" s="1"/>
      <c r="G71" s="1"/>
      <c r="H71" s="1"/>
      <c r="I71" s="1"/>
    </row>
    <row r="72" customFormat="false" ht="15.75" hidden="false" customHeight="true" outlineLevel="0" collapsed="false">
      <c r="A72" s="1"/>
      <c r="B72" s="1"/>
      <c r="C72" s="1"/>
      <c r="D72" s="1"/>
      <c r="E72" s="1"/>
      <c r="F72" s="1"/>
      <c r="G72" s="1"/>
      <c r="H72" s="1"/>
      <c r="I72" s="1"/>
    </row>
    <row r="73" customFormat="false" ht="15.75" hidden="false" customHeight="true" outlineLevel="0" collapsed="false">
      <c r="A73" s="1"/>
      <c r="B73" s="1"/>
      <c r="C73" s="1"/>
      <c r="D73" s="1"/>
      <c r="E73" s="1"/>
      <c r="F73" s="1"/>
      <c r="G73" s="1"/>
      <c r="H73" s="1"/>
      <c r="I73" s="1"/>
    </row>
    <row r="74" customFormat="false" ht="15.75" hidden="false" customHeight="true" outlineLevel="0" collapsed="false">
      <c r="A74" s="1"/>
      <c r="B74" s="1"/>
      <c r="C74" s="1"/>
      <c r="D74" s="1"/>
      <c r="E74" s="1"/>
      <c r="F74" s="1"/>
      <c r="G74" s="1"/>
      <c r="H74" s="1"/>
      <c r="I74" s="1"/>
    </row>
    <row r="75" customFormat="false" ht="15.75" hidden="false" customHeight="true" outlineLevel="0" collapsed="false">
      <c r="A75" s="1"/>
      <c r="B75" s="1"/>
      <c r="C75" s="1"/>
      <c r="D75" s="1"/>
      <c r="E75" s="1"/>
      <c r="F75" s="1"/>
      <c r="G75" s="1"/>
      <c r="H75" s="1"/>
      <c r="I75" s="1"/>
    </row>
    <row r="76" customFormat="false" ht="15.75" hidden="false" customHeight="true" outlineLevel="0" collapsed="false">
      <c r="A76" s="1"/>
      <c r="B76" s="1"/>
      <c r="C76" s="1"/>
      <c r="D76" s="1"/>
      <c r="E76" s="1"/>
      <c r="F76" s="1"/>
      <c r="G76" s="1"/>
      <c r="H76" s="1"/>
      <c r="I76" s="1"/>
    </row>
    <row r="77" customFormat="false" ht="15.75" hidden="false" customHeight="true" outlineLevel="0" collapsed="false">
      <c r="A77" s="1"/>
      <c r="B77" s="1"/>
      <c r="C77" s="1"/>
      <c r="D77" s="1"/>
      <c r="E77" s="1"/>
      <c r="F77" s="1"/>
      <c r="G77" s="1"/>
      <c r="H77" s="1"/>
      <c r="I77" s="1"/>
    </row>
    <row r="78" customFormat="false" ht="15.75" hidden="false" customHeight="true" outlineLevel="0" collapsed="false">
      <c r="A78" s="1"/>
      <c r="B78" s="1"/>
      <c r="C78" s="1"/>
      <c r="D78" s="1"/>
      <c r="E78" s="1"/>
      <c r="F78" s="1"/>
      <c r="G78" s="1"/>
      <c r="H78" s="1"/>
      <c r="I78" s="1"/>
    </row>
    <row r="79" customFormat="false" ht="15.75" hidden="false" customHeight="true" outlineLevel="0" collapsed="false">
      <c r="A79" s="1"/>
      <c r="B79" s="1"/>
      <c r="C79" s="1"/>
      <c r="D79" s="1"/>
      <c r="E79" s="1"/>
      <c r="F79" s="1"/>
      <c r="G79" s="1"/>
      <c r="H79" s="1"/>
      <c r="I79" s="1"/>
    </row>
    <row r="80" customFormat="false" ht="15.75" hidden="false" customHeight="true" outlineLevel="0" collapsed="false">
      <c r="A80" s="1"/>
      <c r="B80" s="1"/>
      <c r="C80" s="1"/>
      <c r="D80" s="1"/>
      <c r="E80" s="1"/>
      <c r="F80" s="1"/>
      <c r="G80" s="1"/>
      <c r="H80" s="1"/>
      <c r="I80" s="1"/>
    </row>
    <row r="81" customFormat="false" ht="15.75" hidden="false" customHeight="true" outlineLevel="0" collapsed="false">
      <c r="A81" s="1"/>
      <c r="B81" s="1"/>
      <c r="C81" s="1"/>
      <c r="D81" s="1"/>
      <c r="E81" s="1"/>
      <c r="F81" s="1"/>
      <c r="G81" s="1"/>
      <c r="H81" s="1"/>
      <c r="I81" s="1"/>
    </row>
    <row r="82" customFormat="false" ht="15.75" hidden="false" customHeight="true" outlineLevel="0" collapsed="false">
      <c r="A82" s="1"/>
      <c r="B82" s="1"/>
      <c r="C82" s="1"/>
      <c r="D82" s="1"/>
      <c r="E82" s="1"/>
      <c r="F82" s="1"/>
      <c r="G82" s="1"/>
      <c r="H82" s="1"/>
      <c r="I82" s="1"/>
    </row>
    <row r="83" customFormat="false" ht="15.75" hidden="false" customHeight="true" outlineLevel="0" collapsed="false">
      <c r="A83" s="1"/>
      <c r="B83" s="1"/>
      <c r="C83" s="1"/>
      <c r="D83" s="1"/>
      <c r="E83" s="1"/>
      <c r="F83" s="1"/>
      <c r="G83" s="1"/>
      <c r="H83" s="1"/>
      <c r="I83" s="1"/>
    </row>
    <row r="84" customFormat="false" ht="15.75" hidden="false" customHeight="true" outlineLevel="0" collapsed="false">
      <c r="A84" s="1"/>
      <c r="B84" s="1"/>
      <c r="C84" s="1"/>
      <c r="D84" s="1"/>
      <c r="E84" s="1"/>
      <c r="F84" s="1"/>
      <c r="G84" s="1"/>
      <c r="H84" s="1"/>
      <c r="I84" s="1"/>
    </row>
    <row r="85" customFormat="false" ht="15.75" hidden="false" customHeight="true" outlineLevel="0" collapsed="false">
      <c r="A85" s="1"/>
      <c r="B85" s="1"/>
      <c r="C85" s="1"/>
      <c r="D85" s="1"/>
      <c r="E85" s="1"/>
      <c r="F85" s="1"/>
      <c r="G85" s="1"/>
      <c r="H85" s="1"/>
      <c r="I85" s="1"/>
    </row>
    <row r="86" customFormat="false" ht="15.75" hidden="false" customHeight="true" outlineLevel="0" collapsed="false">
      <c r="A86" s="1"/>
      <c r="B86" s="1"/>
      <c r="C86" s="1"/>
      <c r="D86" s="1"/>
      <c r="E86" s="1"/>
      <c r="F86" s="1"/>
      <c r="G86" s="1"/>
      <c r="H86" s="1"/>
      <c r="I86" s="1"/>
    </row>
    <row r="87" customFormat="false" ht="15.75" hidden="false" customHeight="true" outlineLevel="0" collapsed="false">
      <c r="A87" s="1"/>
      <c r="B87" s="1"/>
      <c r="C87" s="1"/>
      <c r="D87" s="1"/>
      <c r="E87" s="1"/>
      <c r="F87" s="1"/>
      <c r="G87" s="1"/>
      <c r="H87" s="1"/>
      <c r="I87" s="1"/>
    </row>
    <row r="88" customFormat="false" ht="15.75" hidden="false" customHeight="true" outlineLevel="0" collapsed="false">
      <c r="A88" s="1"/>
      <c r="B88" s="1"/>
      <c r="C88" s="1"/>
      <c r="D88" s="1"/>
      <c r="E88" s="1"/>
      <c r="F88" s="1"/>
      <c r="G88" s="1"/>
      <c r="H88" s="1"/>
      <c r="I88" s="1"/>
    </row>
    <row r="89" customFormat="false" ht="15.75" hidden="false" customHeight="true" outlineLevel="0" collapsed="false">
      <c r="A89" s="1"/>
      <c r="B89" s="1"/>
      <c r="C89" s="1"/>
      <c r="D89" s="1"/>
      <c r="E89" s="1"/>
      <c r="F89" s="1"/>
      <c r="G89" s="1"/>
      <c r="H89" s="1"/>
      <c r="I89" s="1"/>
    </row>
    <row r="90" customFormat="false" ht="15.75" hidden="false" customHeight="true" outlineLevel="0" collapsed="false">
      <c r="A90" s="1"/>
      <c r="B90" s="1"/>
      <c r="C90" s="1"/>
      <c r="D90" s="1"/>
      <c r="E90" s="1"/>
      <c r="F90" s="1"/>
      <c r="G90" s="1"/>
      <c r="H90" s="1"/>
      <c r="I90" s="1"/>
    </row>
    <row r="91" customFormat="false" ht="15.75" hidden="false" customHeight="true" outlineLevel="0" collapsed="false">
      <c r="A91" s="1"/>
      <c r="B91" s="1"/>
      <c r="C91" s="1"/>
      <c r="D91" s="1"/>
      <c r="E91" s="1"/>
      <c r="F91" s="1"/>
      <c r="G91" s="1"/>
      <c r="H91" s="1"/>
      <c r="I91" s="1"/>
    </row>
    <row r="92" customFormat="false" ht="15.75" hidden="false" customHeight="true" outlineLevel="0" collapsed="false">
      <c r="A92" s="1"/>
      <c r="B92" s="1"/>
      <c r="C92" s="1"/>
      <c r="D92" s="1"/>
      <c r="E92" s="1"/>
      <c r="F92" s="1"/>
      <c r="G92" s="1"/>
      <c r="H92" s="1"/>
      <c r="I92" s="1"/>
    </row>
    <row r="93" customFormat="false" ht="15.75" hidden="false" customHeight="true" outlineLevel="0" collapsed="false">
      <c r="A93" s="1"/>
      <c r="B93" s="1"/>
      <c r="C93" s="1"/>
      <c r="D93" s="1"/>
      <c r="E93" s="1"/>
      <c r="F93" s="1"/>
      <c r="G93" s="1"/>
      <c r="H93" s="1"/>
      <c r="I93" s="1"/>
    </row>
    <row r="94" customFormat="false" ht="15.75" hidden="false" customHeight="true" outlineLevel="0" collapsed="false">
      <c r="A94" s="1"/>
      <c r="B94" s="1"/>
      <c r="C94" s="1"/>
      <c r="D94" s="1"/>
      <c r="E94" s="1"/>
      <c r="F94" s="1"/>
      <c r="G94" s="1"/>
      <c r="H94" s="1"/>
      <c r="I94" s="1"/>
    </row>
    <row r="95" customFormat="false" ht="15.75" hidden="false" customHeight="true" outlineLevel="0" collapsed="false">
      <c r="A95" s="1"/>
      <c r="B95" s="1"/>
      <c r="C95" s="1"/>
      <c r="D95" s="1"/>
      <c r="E95" s="1"/>
      <c r="F95" s="1"/>
      <c r="G95" s="1"/>
      <c r="H95" s="1"/>
      <c r="I95" s="1"/>
    </row>
    <row r="96" customFormat="false" ht="15.75" hidden="false" customHeight="true" outlineLevel="0" collapsed="false">
      <c r="A96" s="1"/>
      <c r="B96" s="1"/>
      <c r="C96" s="1"/>
      <c r="D96" s="1"/>
      <c r="E96" s="1"/>
      <c r="F96" s="1"/>
      <c r="G96" s="1"/>
      <c r="H96" s="1"/>
      <c r="I96" s="1"/>
    </row>
    <row r="97" customFormat="false" ht="15.75" hidden="false" customHeight="true" outlineLevel="0" collapsed="false">
      <c r="A97" s="1"/>
      <c r="B97" s="1"/>
      <c r="C97" s="1"/>
      <c r="D97" s="1"/>
      <c r="E97" s="1"/>
      <c r="F97" s="1"/>
      <c r="G97" s="1"/>
      <c r="H97" s="1"/>
      <c r="I97" s="1"/>
    </row>
    <row r="98" customFormat="false" ht="15.75" hidden="false" customHeight="true" outlineLevel="0" collapsed="false">
      <c r="A98" s="1"/>
      <c r="B98" s="1"/>
      <c r="C98" s="1"/>
      <c r="D98" s="1"/>
      <c r="E98" s="1"/>
      <c r="F98" s="1"/>
      <c r="G98" s="1"/>
      <c r="H98" s="1"/>
      <c r="I98" s="1"/>
    </row>
    <row r="99" customFormat="false" ht="15.75" hidden="false" customHeight="true" outlineLevel="0" collapsed="false">
      <c r="A99" s="1"/>
      <c r="B99" s="1"/>
      <c r="C99" s="1"/>
      <c r="D99" s="1"/>
      <c r="E99" s="1"/>
      <c r="F99" s="1"/>
      <c r="G99" s="1"/>
      <c r="H99" s="1"/>
      <c r="I99" s="1"/>
    </row>
    <row r="100" customFormat="false" ht="15.75" hidden="false" customHeight="true" outlineLevel="0" collapsed="false">
      <c r="A100" s="1"/>
      <c r="B100" s="1"/>
      <c r="C100" s="1"/>
      <c r="D100" s="1"/>
      <c r="E100" s="1"/>
      <c r="F100" s="1"/>
      <c r="G100" s="1"/>
      <c r="H100" s="1"/>
      <c r="I100" s="1"/>
    </row>
    <row r="101" customFormat="false" ht="15.75" hidden="false" customHeight="true" outlineLevel="0" collapsed="false">
      <c r="A101" s="1"/>
      <c r="B101" s="1"/>
      <c r="C101" s="1"/>
      <c r="D101" s="1"/>
      <c r="E101" s="1"/>
      <c r="F101" s="1"/>
      <c r="G101" s="1"/>
      <c r="H101" s="1"/>
      <c r="I101" s="1"/>
    </row>
    <row r="102" customFormat="false" ht="15.75" hidden="false" customHeight="true" outlineLevel="0" collapsed="false">
      <c r="A102" s="1"/>
      <c r="B102" s="1"/>
      <c r="C102" s="1"/>
      <c r="D102" s="1"/>
      <c r="E102" s="1"/>
      <c r="F102" s="1"/>
      <c r="G102" s="1"/>
      <c r="H102" s="1"/>
      <c r="I102" s="1"/>
    </row>
    <row r="103" customFormat="false" ht="15.75" hidden="false" customHeight="true" outlineLevel="0" collapsed="false">
      <c r="A103" s="1"/>
      <c r="B103" s="1"/>
      <c r="C103" s="1"/>
      <c r="D103" s="1"/>
      <c r="E103" s="1"/>
      <c r="F103" s="1"/>
      <c r="G103" s="1"/>
      <c r="H103" s="1"/>
      <c r="I103" s="1"/>
    </row>
    <row r="104" customFormat="false" ht="15.75" hidden="false" customHeight="true" outlineLevel="0" collapsed="false">
      <c r="A104" s="1"/>
      <c r="B104" s="1"/>
      <c r="C104" s="1"/>
      <c r="D104" s="1"/>
      <c r="E104" s="1"/>
      <c r="F104" s="1"/>
      <c r="G104" s="1"/>
      <c r="H104" s="1"/>
      <c r="I104" s="1"/>
    </row>
    <row r="105" customFormat="false" ht="15.75" hidden="false" customHeight="true" outlineLevel="0" collapsed="false">
      <c r="A105" s="1"/>
      <c r="B105" s="1"/>
      <c r="C105" s="1"/>
      <c r="D105" s="1"/>
      <c r="E105" s="1"/>
      <c r="F105" s="1"/>
      <c r="G105" s="1"/>
      <c r="H105" s="1"/>
      <c r="I105" s="1"/>
    </row>
    <row r="106" customFormat="false" ht="15.75" hidden="false" customHeight="true" outlineLevel="0" collapsed="false">
      <c r="A106" s="1"/>
      <c r="B106" s="1"/>
      <c r="C106" s="1"/>
      <c r="D106" s="1"/>
      <c r="E106" s="1"/>
      <c r="F106" s="1"/>
      <c r="G106" s="1"/>
      <c r="H106" s="1"/>
      <c r="I106" s="1"/>
    </row>
    <row r="107" customFormat="false" ht="15.75" hidden="false" customHeight="true" outlineLevel="0" collapsed="false">
      <c r="A107" s="1"/>
      <c r="B107" s="1"/>
      <c r="C107" s="1"/>
      <c r="D107" s="1"/>
      <c r="E107" s="1"/>
      <c r="F107" s="1"/>
      <c r="G107" s="1"/>
      <c r="H107" s="1"/>
      <c r="I107" s="1"/>
    </row>
    <row r="108" customFormat="false" ht="15.75" hidden="false" customHeight="true" outlineLevel="0" collapsed="false">
      <c r="A108" s="1"/>
      <c r="B108" s="1"/>
      <c r="C108" s="1"/>
      <c r="D108" s="1"/>
      <c r="E108" s="1"/>
      <c r="F108" s="1"/>
      <c r="G108" s="1"/>
      <c r="H108" s="1"/>
      <c r="I108" s="1"/>
    </row>
    <row r="109" customFormat="false" ht="15.75" hidden="false" customHeight="true" outlineLevel="0" collapsed="false">
      <c r="A109" s="1"/>
      <c r="B109" s="1"/>
      <c r="C109" s="1"/>
      <c r="D109" s="1"/>
      <c r="E109" s="1"/>
      <c r="F109" s="1"/>
      <c r="G109" s="1"/>
      <c r="H109" s="1"/>
      <c r="I109" s="1"/>
    </row>
    <row r="110" customFormat="false" ht="15.75" hidden="false" customHeight="true" outlineLevel="0" collapsed="false">
      <c r="A110" s="1"/>
      <c r="B110" s="1"/>
      <c r="C110" s="1"/>
      <c r="D110" s="1"/>
      <c r="E110" s="1"/>
      <c r="F110" s="1"/>
      <c r="G110" s="1"/>
      <c r="H110" s="1"/>
      <c r="I110" s="1"/>
    </row>
    <row r="111" customFormat="false" ht="15.75" hidden="false" customHeight="true" outlineLevel="0" collapsed="false">
      <c r="A111" s="1"/>
      <c r="B111" s="1"/>
      <c r="C111" s="1"/>
      <c r="D111" s="1"/>
      <c r="E111" s="1"/>
      <c r="F111" s="1"/>
      <c r="G111" s="1"/>
      <c r="H111" s="1"/>
      <c r="I111" s="1"/>
    </row>
    <row r="112" customFormat="false" ht="15.75" hidden="false" customHeight="true" outlineLevel="0" collapsed="false">
      <c r="A112" s="1"/>
      <c r="B112" s="1"/>
      <c r="C112" s="1"/>
      <c r="D112" s="1"/>
      <c r="E112" s="1"/>
      <c r="F112" s="1"/>
      <c r="G112" s="1"/>
      <c r="H112" s="1"/>
      <c r="I112" s="1"/>
    </row>
    <row r="113" customFormat="false" ht="15.75" hidden="false" customHeight="true" outlineLevel="0" collapsed="false">
      <c r="A113" s="1"/>
      <c r="B113" s="1"/>
      <c r="C113" s="1"/>
      <c r="D113" s="1"/>
      <c r="E113" s="1"/>
      <c r="F113" s="1"/>
      <c r="G113" s="1"/>
      <c r="H113" s="1"/>
      <c r="I113" s="1"/>
    </row>
    <row r="114" customFormat="false" ht="15.75" hidden="false" customHeight="true" outlineLevel="0" collapsed="false">
      <c r="A114" s="1"/>
      <c r="B114" s="1"/>
      <c r="C114" s="1"/>
      <c r="D114" s="1"/>
      <c r="E114" s="1"/>
      <c r="F114" s="1"/>
      <c r="G114" s="1"/>
      <c r="H114" s="1"/>
      <c r="I114" s="1"/>
    </row>
    <row r="115" customFormat="false" ht="15.75" hidden="false" customHeight="true" outlineLevel="0" collapsed="false">
      <c r="A115" s="1"/>
      <c r="B115" s="1"/>
      <c r="C115" s="1"/>
      <c r="D115" s="1"/>
      <c r="E115" s="1"/>
      <c r="F115" s="1"/>
      <c r="G115" s="1"/>
      <c r="H115" s="1"/>
      <c r="I115" s="1"/>
    </row>
    <row r="116" customFormat="false" ht="15.75" hidden="false" customHeight="true" outlineLevel="0" collapsed="false">
      <c r="A116" s="1"/>
      <c r="B116" s="1"/>
      <c r="C116" s="1"/>
      <c r="D116" s="1"/>
      <c r="E116" s="1"/>
      <c r="F116" s="1"/>
      <c r="G116" s="1"/>
      <c r="H116" s="1"/>
      <c r="I116" s="1"/>
    </row>
    <row r="117" customFormat="false" ht="15.75" hidden="false" customHeight="true" outlineLevel="0" collapsed="false">
      <c r="A117" s="1"/>
      <c r="B117" s="1"/>
      <c r="C117" s="1"/>
      <c r="D117" s="1"/>
      <c r="E117" s="1"/>
      <c r="F117" s="1"/>
      <c r="G117" s="1"/>
      <c r="H117" s="1"/>
      <c r="I117" s="1"/>
    </row>
    <row r="118" customFormat="false" ht="15.75" hidden="false" customHeight="true" outlineLevel="0" collapsed="false">
      <c r="A118" s="1"/>
      <c r="B118" s="1"/>
      <c r="C118" s="1"/>
      <c r="D118" s="1"/>
      <c r="E118" s="1"/>
      <c r="F118" s="1"/>
      <c r="G118" s="1"/>
      <c r="H118" s="1"/>
      <c r="I118" s="1"/>
    </row>
    <row r="119" customFormat="false" ht="15.75" hidden="false" customHeight="true" outlineLevel="0" collapsed="false">
      <c r="A119" s="1"/>
      <c r="B119" s="1"/>
      <c r="C119" s="1"/>
      <c r="D119" s="1"/>
      <c r="E119" s="1"/>
      <c r="F119" s="1"/>
      <c r="G119" s="1"/>
      <c r="H119" s="1"/>
      <c r="I119" s="1"/>
    </row>
    <row r="120" customFormat="false" ht="15.75" hidden="false" customHeight="true" outlineLevel="0" collapsed="false">
      <c r="A120" s="1"/>
      <c r="B120" s="1"/>
      <c r="C120" s="1"/>
      <c r="D120" s="1"/>
      <c r="E120" s="1"/>
      <c r="F120" s="1"/>
      <c r="G120" s="1"/>
      <c r="H120" s="1"/>
      <c r="I120" s="1"/>
    </row>
    <row r="121" customFormat="false" ht="15.75" hidden="false" customHeight="true" outlineLevel="0" collapsed="false">
      <c r="A121" s="1"/>
      <c r="B121" s="1"/>
      <c r="C121" s="1"/>
      <c r="D121" s="1"/>
      <c r="E121" s="1"/>
      <c r="F121" s="1"/>
      <c r="G121" s="1"/>
      <c r="H121" s="1"/>
      <c r="I121" s="1"/>
    </row>
    <row r="122" customFormat="false" ht="15.75" hidden="false" customHeight="true" outlineLevel="0" collapsed="false">
      <c r="A122" s="1"/>
      <c r="B122" s="1"/>
      <c r="C122" s="1"/>
      <c r="D122" s="1"/>
      <c r="E122" s="1"/>
      <c r="F122" s="1"/>
      <c r="G122" s="1"/>
      <c r="H122" s="1"/>
      <c r="I122" s="1"/>
    </row>
    <row r="123" customFormat="false" ht="15.75" hidden="false" customHeight="true" outlineLevel="0" collapsed="false">
      <c r="A123" s="1"/>
      <c r="B123" s="1"/>
      <c r="C123" s="1"/>
      <c r="D123" s="1"/>
      <c r="E123" s="1"/>
      <c r="F123" s="1"/>
      <c r="G123" s="1"/>
      <c r="H123" s="1"/>
      <c r="I123" s="1"/>
    </row>
    <row r="124" customFormat="false" ht="15.75" hidden="false" customHeight="true" outlineLevel="0" collapsed="false">
      <c r="A124" s="1"/>
      <c r="B124" s="1"/>
      <c r="C124" s="1"/>
      <c r="D124" s="1"/>
      <c r="E124" s="1"/>
      <c r="F124" s="1"/>
      <c r="G124" s="1"/>
      <c r="H124" s="1"/>
      <c r="I124" s="1"/>
    </row>
    <row r="125" customFormat="false" ht="15.75" hidden="false" customHeight="true" outlineLevel="0" collapsed="false">
      <c r="A125" s="1"/>
      <c r="B125" s="1"/>
      <c r="C125" s="1"/>
      <c r="D125" s="1"/>
      <c r="E125" s="1"/>
      <c r="F125" s="1"/>
      <c r="G125" s="1"/>
      <c r="H125" s="1"/>
      <c r="I125" s="1"/>
    </row>
    <row r="126" customFormat="false" ht="15.75" hidden="false" customHeight="true" outlineLevel="0" collapsed="false">
      <c r="A126" s="1"/>
      <c r="B126" s="1"/>
      <c r="C126" s="1"/>
      <c r="D126" s="1"/>
      <c r="E126" s="1"/>
      <c r="F126" s="1"/>
      <c r="G126" s="1"/>
      <c r="H126" s="1"/>
      <c r="I126" s="1"/>
    </row>
    <row r="127" customFormat="false" ht="15.75" hidden="false" customHeight="true" outlineLevel="0" collapsed="false">
      <c r="A127" s="1"/>
      <c r="B127" s="1"/>
      <c r="C127" s="1"/>
      <c r="D127" s="1"/>
      <c r="E127" s="1"/>
      <c r="F127" s="1"/>
      <c r="G127" s="1"/>
      <c r="H127" s="1"/>
      <c r="I127" s="1"/>
    </row>
    <row r="128" customFormat="false" ht="15.75" hidden="false" customHeight="true" outlineLevel="0" collapsed="false">
      <c r="A128" s="1"/>
      <c r="B128" s="1"/>
      <c r="C128" s="1"/>
      <c r="D128" s="1"/>
      <c r="E128" s="1"/>
      <c r="F128" s="1"/>
      <c r="G128" s="1"/>
      <c r="H128" s="1"/>
      <c r="I128" s="1"/>
    </row>
    <row r="129" customFormat="false" ht="15.75" hidden="false" customHeight="true" outlineLevel="0" collapsed="false">
      <c r="A129" s="1"/>
      <c r="B129" s="1"/>
      <c r="C129" s="1"/>
      <c r="D129" s="1"/>
      <c r="E129" s="1"/>
      <c r="F129" s="1"/>
      <c r="G129" s="1"/>
      <c r="H129" s="1"/>
      <c r="I129" s="1"/>
    </row>
    <row r="130" customFormat="false" ht="15.75" hidden="false" customHeight="true" outlineLevel="0" collapsed="false">
      <c r="A130" s="1"/>
      <c r="B130" s="1"/>
      <c r="C130" s="1"/>
      <c r="D130" s="1"/>
      <c r="E130" s="1"/>
      <c r="F130" s="1"/>
      <c r="G130" s="1"/>
      <c r="H130" s="1"/>
      <c r="I130" s="1"/>
    </row>
    <row r="131" customFormat="false" ht="15.75" hidden="false" customHeight="true" outlineLevel="0" collapsed="false">
      <c r="A131" s="1"/>
      <c r="B131" s="1"/>
      <c r="C131" s="1"/>
      <c r="D131" s="1"/>
      <c r="E131" s="1"/>
      <c r="F131" s="1"/>
      <c r="G131" s="1"/>
      <c r="H131" s="1"/>
      <c r="I131" s="1"/>
    </row>
    <row r="132" customFormat="false" ht="15.75" hidden="false" customHeight="true" outlineLevel="0" collapsed="false">
      <c r="A132" s="1"/>
      <c r="B132" s="1"/>
      <c r="C132" s="1"/>
      <c r="D132" s="1"/>
      <c r="E132" s="1"/>
      <c r="F132" s="1"/>
      <c r="G132" s="1"/>
      <c r="H132" s="1"/>
      <c r="I132" s="1"/>
    </row>
    <row r="133" customFormat="false" ht="15.75" hidden="false" customHeight="true" outlineLevel="0" collapsed="false">
      <c r="A133" s="1"/>
      <c r="B133" s="1"/>
      <c r="C133" s="1"/>
      <c r="D133" s="1"/>
      <c r="E133" s="1"/>
      <c r="F133" s="1"/>
      <c r="G133" s="1"/>
      <c r="H133" s="1"/>
      <c r="I133" s="1"/>
    </row>
    <row r="134" customFormat="false" ht="15.75" hidden="false" customHeight="true" outlineLevel="0" collapsed="false">
      <c r="A134" s="1"/>
      <c r="B134" s="1"/>
      <c r="C134" s="1"/>
      <c r="D134" s="1"/>
      <c r="E134" s="1"/>
      <c r="F134" s="1"/>
      <c r="G134" s="1"/>
      <c r="H134" s="1"/>
      <c r="I134" s="1"/>
    </row>
    <row r="135" customFormat="false" ht="15.75" hidden="false" customHeight="true" outlineLevel="0" collapsed="false">
      <c r="A135" s="1"/>
      <c r="B135" s="1"/>
      <c r="C135" s="1"/>
      <c r="D135" s="1"/>
      <c r="E135" s="1"/>
      <c r="F135" s="1"/>
      <c r="G135" s="1"/>
      <c r="H135" s="1"/>
      <c r="I135" s="1"/>
    </row>
    <row r="136" customFormat="false" ht="15.75" hidden="false" customHeight="true" outlineLevel="0" collapsed="false">
      <c r="A136" s="1"/>
      <c r="B136" s="1"/>
      <c r="C136" s="1"/>
      <c r="D136" s="1"/>
      <c r="E136" s="1"/>
      <c r="F136" s="1"/>
      <c r="G136" s="1"/>
      <c r="H136" s="1"/>
      <c r="I136" s="1"/>
    </row>
    <row r="137" customFormat="false" ht="15.75" hidden="false" customHeight="true" outlineLevel="0" collapsed="false">
      <c r="A137" s="1"/>
      <c r="B137" s="1"/>
      <c r="C137" s="1"/>
      <c r="D137" s="1"/>
      <c r="E137" s="1"/>
      <c r="F137" s="1"/>
      <c r="G137" s="1"/>
      <c r="H137" s="1"/>
      <c r="I137" s="1"/>
    </row>
    <row r="138" customFormat="false" ht="15.75" hidden="false" customHeight="true" outlineLevel="0" collapsed="false">
      <c r="A138" s="1"/>
      <c r="B138" s="1"/>
      <c r="C138" s="1"/>
      <c r="D138" s="1"/>
      <c r="E138" s="1"/>
      <c r="F138" s="1"/>
      <c r="G138" s="1"/>
      <c r="H138" s="1"/>
      <c r="I138" s="1"/>
    </row>
    <row r="139" customFormat="false" ht="15.75" hidden="false" customHeight="true" outlineLevel="0" collapsed="false">
      <c r="A139" s="1"/>
      <c r="B139" s="1"/>
      <c r="C139" s="1"/>
      <c r="D139" s="1"/>
      <c r="E139" s="1"/>
      <c r="F139" s="1"/>
      <c r="G139" s="1"/>
      <c r="H139" s="1"/>
      <c r="I139" s="1"/>
    </row>
    <row r="140" customFormat="false" ht="15.75" hidden="false" customHeight="true" outlineLevel="0" collapsed="false">
      <c r="A140" s="1"/>
      <c r="B140" s="1"/>
      <c r="C140" s="1"/>
      <c r="D140" s="1"/>
      <c r="E140" s="1"/>
      <c r="F140" s="1"/>
      <c r="G140" s="1"/>
      <c r="H140" s="1"/>
      <c r="I140" s="1"/>
    </row>
    <row r="141" customFormat="false" ht="15.75" hidden="false" customHeight="true" outlineLevel="0" collapsed="false">
      <c r="A141" s="1"/>
      <c r="B141" s="1"/>
      <c r="C141" s="1"/>
      <c r="D141" s="1"/>
      <c r="E141" s="1"/>
      <c r="F141" s="1"/>
      <c r="G141" s="1"/>
      <c r="H141" s="1"/>
      <c r="I141" s="1"/>
    </row>
    <row r="142" customFormat="false" ht="15.75" hidden="false" customHeight="true" outlineLevel="0" collapsed="false">
      <c r="A142" s="1"/>
      <c r="B142" s="1"/>
      <c r="C142" s="1"/>
      <c r="D142" s="1"/>
      <c r="E142" s="1"/>
      <c r="F142" s="1"/>
      <c r="G142" s="1"/>
      <c r="H142" s="1"/>
      <c r="I142" s="1"/>
    </row>
    <row r="143" customFormat="false" ht="15.75" hidden="false" customHeight="true" outlineLevel="0" collapsed="false">
      <c r="A143" s="1"/>
      <c r="B143" s="1"/>
      <c r="C143" s="1"/>
      <c r="D143" s="1"/>
      <c r="E143" s="1"/>
      <c r="F143" s="1"/>
      <c r="G143" s="1"/>
      <c r="H143" s="1"/>
      <c r="I143" s="1"/>
    </row>
    <row r="144" customFormat="false" ht="15.75" hidden="false" customHeight="true" outlineLevel="0" collapsed="false">
      <c r="A144" s="1"/>
      <c r="B144" s="1"/>
      <c r="C144" s="1"/>
      <c r="D144" s="1"/>
      <c r="E144" s="1"/>
      <c r="F144" s="1"/>
      <c r="G144" s="1"/>
      <c r="H144" s="1"/>
      <c r="I144" s="1"/>
    </row>
    <row r="145" customFormat="false" ht="15.75" hidden="false" customHeight="true" outlineLevel="0" collapsed="false">
      <c r="A145" s="1"/>
      <c r="B145" s="1"/>
      <c r="C145" s="1"/>
      <c r="D145" s="1"/>
      <c r="E145" s="1"/>
      <c r="F145" s="1"/>
      <c r="G145" s="1"/>
      <c r="H145" s="1"/>
      <c r="I145" s="1"/>
    </row>
    <row r="146" customFormat="false" ht="15.75" hidden="false" customHeight="true" outlineLevel="0" collapsed="false">
      <c r="A146" s="1"/>
      <c r="B146" s="1"/>
      <c r="C146" s="1"/>
      <c r="D146" s="1"/>
      <c r="E146" s="1"/>
      <c r="F146" s="1"/>
      <c r="G146" s="1"/>
      <c r="H146" s="1"/>
      <c r="I146" s="1"/>
    </row>
    <row r="147" customFormat="false" ht="15.75" hidden="false" customHeight="true" outlineLevel="0" collapsed="false">
      <c r="A147" s="1"/>
      <c r="B147" s="1"/>
      <c r="C147" s="1"/>
      <c r="D147" s="1"/>
      <c r="E147" s="1"/>
      <c r="F147" s="1"/>
      <c r="G147" s="1"/>
      <c r="H147" s="1"/>
      <c r="I147" s="1"/>
    </row>
    <row r="148" customFormat="false" ht="15.75" hidden="false" customHeight="true" outlineLevel="0" collapsed="false">
      <c r="A148" s="1"/>
      <c r="B148" s="1"/>
      <c r="C148" s="1"/>
      <c r="D148" s="1"/>
      <c r="E148" s="1"/>
      <c r="F148" s="1"/>
      <c r="G148" s="1"/>
      <c r="H148" s="1"/>
      <c r="I148" s="1"/>
    </row>
    <row r="149" customFormat="false" ht="15.75" hidden="false" customHeight="true" outlineLevel="0" collapsed="false">
      <c r="A149" s="1"/>
      <c r="B149" s="1"/>
      <c r="C149" s="1"/>
      <c r="D149" s="1"/>
      <c r="E149" s="1"/>
      <c r="F149" s="1"/>
      <c r="G149" s="1"/>
      <c r="H149" s="1"/>
      <c r="I149" s="1"/>
    </row>
    <row r="150" customFormat="false" ht="15.75" hidden="false" customHeight="true" outlineLevel="0" collapsed="false">
      <c r="A150" s="1"/>
      <c r="B150" s="1"/>
      <c r="C150" s="1"/>
      <c r="D150" s="1"/>
      <c r="E150" s="1"/>
      <c r="F150" s="1"/>
      <c r="G150" s="1"/>
      <c r="H150" s="1"/>
      <c r="I150" s="1"/>
    </row>
    <row r="151" customFormat="false" ht="15.75" hidden="false" customHeight="true" outlineLevel="0" collapsed="false">
      <c r="A151" s="1"/>
      <c r="B151" s="1"/>
      <c r="C151" s="1"/>
      <c r="D151" s="1"/>
      <c r="E151" s="1"/>
      <c r="F151" s="1"/>
      <c r="G151" s="1"/>
      <c r="H151" s="1"/>
      <c r="I151" s="1"/>
    </row>
    <row r="152" customFormat="false" ht="15.75" hidden="false" customHeight="true" outlineLevel="0" collapsed="false">
      <c r="A152" s="1"/>
      <c r="B152" s="1"/>
      <c r="C152" s="1"/>
      <c r="D152" s="1"/>
      <c r="E152" s="1"/>
      <c r="F152" s="1"/>
      <c r="G152" s="1"/>
      <c r="H152" s="1"/>
      <c r="I152" s="1"/>
    </row>
    <row r="153" customFormat="false" ht="15.75" hidden="false" customHeight="true" outlineLevel="0" collapsed="false">
      <c r="A153" s="1"/>
      <c r="B153" s="1"/>
      <c r="C153" s="1"/>
      <c r="D153" s="1"/>
      <c r="E153" s="1"/>
      <c r="F153" s="1"/>
      <c r="G153" s="1"/>
      <c r="H153" s="1"/>
      <c r="I153" s="1"/>
    </row>
    <row r="154" customFormat="false" ht="15.75" hidden="false" customHeight="true" outlineLevel="0" collapsed="false">
      <c r="A154" s="1"/>
      <c r="B154" s="1"/>
      <c r="C154" s="1"/>
      <c r="D154" s="1"/>
      <c r="E154" s="1"/>
      <c r="F154" s="1"/>
      <c r="G154" s="1"/>
      <c r="H154" s="1"/>
      <c r="I154" s="1"/>
    </row>
    <row r="155" customFormat="false" ht="15.75" hidden="false" customHeight="true" outlineLevel="0" collapsed="false">
      <c r="A155" s="1"/>
      <c r="B155" s="1"/>
      <c r="C155" s="1"/>
      <c r="D155" s="1"/>
      <c r="E155" s="1"/>
      <c r="F155" s="1"/>
      <c r="G155" s="1"/>
      <c r="H155" s="1"/>
      <c r="I155" s="1"/>
    </row>
    <row r="156" customFormat="false" ht="15.75" hidden="false" customHeight="true" outlineLevel="0" collapsed="false">
      <c r="A156" s="1"/>
      <c r="B156" s="1"/>
      <c r="C156" s="1"/>
      <c r="D156" s="1"/>
      <c r="E156" s="1"/>
      <c r="F156" s="1"/>
      <c r="G156" s="1"/>
      <c r="H156" s="1"/>
      <c r="I156" s="1"/>
    </row>
    <row r="157" customFormat="false" ht="15.75" hidden="false" customHeight="true" outlineLevel="0" collapsed="false">
      <c r="A157" s="1"/>
      <c r="B157" s="1"/>
      <c r="C157" s="1"/>
      <c r="D157" s="1"/>
      <c r="E157" s="1"/>
      <c r="F157" s="1"/>
      <c r="G157" s="1"/>
      <c r="H157" s="1"/>
      <c r="I157" s="1"/>
    </row>
    <row r="158" customFormat="false" ht="15.75" hidden="false" customHeight="true" outlineLevel="0" collapsed="false">
      <c r="A158" s="1"/>
      <c r="B158" s="1"/>
      <c r="C158" s="1"/>
      <c r="D158" s="1"/>
      <c r="E158" s="1"/>
      <c r="F158" s="1"/>
      <c r="G158" s="1"/>
      <c r="H158" s="1"/>
      <c r="I158" s="1"/>
    </row>
    <row r="159" customFormat="false" ht="15.75" hidden="false" customHeight="true" outlineLevel="0" collapsed="false">
      <c r="A159" s="1"/>
      <c r="B159" s="1"/>
      <c r="C159" s="1"/>
      <c r="D159" s="1"/>
      <c r="E159" s="1"/>
      <c r="F159" s="1"/>
      <c r="G159" s="1"/>
      <c r="H159" s="1"/>
      <c r="I159" s="1"/>
    </row>
    <row r="160" customFormat="false" ht="15.75" hidden="false" customHeight="true" outlineLevel="0" collapsed="false">
      <c r="A160" s="1"/>
      <c r="B160" s="1"/>
      <c r="C160" s="1"/>
      <c r="D160" s="1"/>
      <c r="E160" s="1"/>
      <c r="F160" s="1"/>
      <c r="G160" s="1"/>
      <c r="H160" s="1"/>
      <c r="I160" s="1"/>
    </row>
    <row r="161" customFormat="false" ht="15.75" hidden="false" customHeight="true" outlineLevel="0" collapsed="false">
      <c r="A161" s="1"/>
      <c r="B161" s="1"/>
      <c r="C161" s="1"/>
      <c r="D161" s="1"/>
      <c r="E161" s="1"/>
      <c r="F161" s="1"/>
      <c r="G161" s="1"/>
      <c r="H161" s="1"/>
      <c r="I161" s="1"/>
    </row>
    <row r="162" customFormat="false" ht="15.75" hidden="false" customHeight="true" outlineLevel="0" collapsed="false">
      <c r="A162" s="1"/>
      <c r="B162" s="1"/>
      <c r="C162" s="1"/>
      <c r="D162" s="1"/>
      <c r="E162" s="1"/>
      <c r="F162" s="1"/>
      <c r="G162" s="1"/>
      <c r="H162" s="1"/>
      <c r="I162" s="1"/>
    </row>
    <row r="163" customFormat="false" ht="15.75" hidden="false" customHeight="true" outlineLevel="0" collapsed="false">
      <c r="A163" s="1"/>
      <c r="B163" s="1"/>
      <c r="C163" s="1"/>
      <c r="D163" s="1"/>
      <c r="E163" s="1"/>
      <c r="F163" s="1"/>
      <c r="G163" s="1"/>
      <c r="H163" s="1"/>
      <c r="I163" s="1"/>
    </row>
    <row r="164" customFormat="false" ht="15.75" hidden="false" customHeight="true" outlineLevel="0" collapsed="false">
      <c r="A164" s="1"/>
      <c r="B164" s="1"/>
      <c r="C164" s="1"/>
      <c r="D164" s="1"/>
      <c r="E164" s="1"/>
      <c r="F164" s="1"/>
      <c r="G164" s="1"/>
      <c r="H164" s="1"/>
      <c r="I164" s="1"/>
    </row>
    <row r="165" customFormat="false" ht="15.75" hidden="false" customHeight="true" outlineLevel="0" collapsed="false">
      <c r="A165" s="1"/>
      <c r="B165" s="1"/>
      <c r="C165" s="1"/>
      <c r="D165" s="1"/>
      <c r="E165" s="1"/>
      <c r="F165" s="1"/>
      <c r="G165" s="1"/>
      <c r="H165" s="1"/>
      <c r="I165" s="1"/>
    </row>
    <row r="166" customFormat="false" ht="15.75" hidden="false" customHeight="true" outlineLevel="0" collapsed="false">
      <c r="A166" s="1"/>
      <c r="B166" s="1"/>
      <c r="C166" s="1"/>
      <c r="D166" s="1"/>
      <c r="E166" s="1"/>
      <c r="F166" s="1"/>
      <c r="G166" s="1"/>
      <c r="H166" s="1"/>
      <c r="I166" s="1"/>
    </row>
    <row r="167" customFormat="false" ht="15.75" hidden="false" customHeight="true" outlineLevel="0" collapsed="false">
      <c r="A167" s="1"/>
      <c r="B167" s="1"/>
      <c r="C167" s="1"/>
      <c r="D167" s="1"/>
      <c r="E167" s="1"/>
      <c r="F167" s="1"/>
      <c r="G167" s="1"/>
      <c r="H167" s="1"/>
      <c r="I167" s="1"/>
    </row>
    <row r="168" customFormat="false" ht="15.75" hidden="false" customHeight="true" outlineLevel="0" collapsed="false">
      <c r="A168" s="1"/>
      <c r="B168" s="1"/>
      <c r="C168" s="1"/>
      <c r="D168" s="1"/>
      <c r="E168" s="1"/>
      <c r="F168" s="1"/>
      <c r="G168" s="1"/>
      <c r="H168" s="1"/>
      <c r="I168" s="1"/>
    </row>
    <row r="169" customFormat="false" ht="15.75" hidden="false" customHeight="true" outlineLevel="0" collapsed="false">
      <c r="A169" s="1"/>
      <c r="B169" s="1"/>
      <c r="C169" s="1"/>
      <c r="D169" s="1"/>
      <c r="E169" s="1"/>
      <c r="F169" s="1"/>
      <c r="G169" s="1"/>
      <c r="H169" s="1"/>
      <c r="I169" s="1"/>
    </row>
    <row r="170" customFormat="false" ht="15.75" hidden="false" customHeight="true" outlineLevel="0" collapsed="false">
      <c r="A170" s="1"/>
      <c r="B170" s="1"/>
      <c r="C170" s="1"/>
      <c r="D170" s="1"/>
      <c r="E170" s="1"/>
      <c r="F170" s="1"/>
      <c r="G170" s="1"/>
      <c r="H170" s="1"/>
      <c r="I170" s="1"/>
    </row>
    <row r="171" customFormat="false" ht="15.75" hidden="false" customHeight="true" outlineLevel="0" collapsed="false">
      <c r="A171" s="1"/>
      <c r="B171" s="1"/>
      <c r="C171" s="1"/>
      <c r="D171" s="1"/>
      <c r="E171" s="1"/>
      <c r="F171" s="1"/>
      <c r="G171" s="1"/>
      <c r="H171" s="1"/>
      <c r="I171" s="1"/>
    </row>
    <row r="172" customFormat="false" ht="15.75" hidden="false" customHeight="true" outlineLevel="0" collapsed="false">
      <c r="A172" s="1"/>
      <c r="B172" s="1"/>
      <c r="C172" s="1"/>
      <c r="D172" s="1"/>
      <c r="E172" s="1"/>
      <c r="F172" s="1"/>
      <c r="G172" s="1"/>
      <c r="H172" s="1"/>
      <c r="I172" s="1"/>
    </row>
    <row r="173" customFormat="false" ht="15.75" hidden="false" customHeight="true" outlineLevel="0" collapsed="false">
      <c r="A173" s="1"/>
      <c r="B173" s="1"/>
      <c r="C173" s="1"/>
      <c r="D173" s="1"/>
      <c r="E173" s="1"/>
      <c r="F173" s="1"/>
      <c r="G173" s="1"/>
      <c r="H173" s="1"/>
      <c r="I173" s="1"/>
    </row>
    <row r="174" customFormat="false" ht="15.75" hidden="false" customHeight="true" outlineLevel="0" collapsed="false">
      <c r="A174" s="1"/>
      <c r="B174" s="1"/>
      <c r="C174" s="1"/>
      <c r="D174" s="1"/>
      <c r="E174" s="1"/>
      <c r="F174" s="1"/>
      <c r="G174" s="1"/>
      <c r="H174" s="1"/>
      <c r="I174" s="1"/>
    </row>
    <row r="175" customFormat="false" ht="15.75" hidden="false" customHeight="true" outlineLevel="0" collapsed="false">
      <c r="A175" s="1"/>
      <c r="B175" s="1"/>
      <c r="C175" s="1"/>
      <c r="D175" s="1"/>
      <c r="E175" s="1"/>
      <c r="F175" s="1"/>
      <c r="G175" s="1"/>
      <c r="H175" s="1"/>
      <c r="I175" s="1"/>
    </row>
    <row r="176" customFormat="false" ht="15.75" hidden="false" customHeight="true" outlineLevel="0" collapsed="false">
      <c r="A176" s="1"/>
      <c r="B176" s="1"/>
      <c r="C176" s="1"/>
      <c r="D176" s="1"/>
      <c r="E176" s="1"/>
      <c r="F176" s="1"/>
      <c r="G176" s="1"/>
      <c r="H176" s="1"/>
      <c r="I176" s="1"/>
    </row>
    <row r="177" customFormat="false" ht="15.75" hidden="false" customHeight="true" outlineLevel="0" collapsed="false">
      <c r="A177" s="1"/>
      <c r="B177" s="1"/>
      <c r="C177" s="1"/>
      <c r="D177" s="1"/>
      <c r="E177" s="1"/>
      <c r="F177" s="1"/>
      <c r="G177" s="1"/>
      <c r="H177" s="1"/>
      <c r="I177" s="1"/>
    </row>
    <row r="178" customFormat="false" ht="15.75" hidden="false" customHeight="true" outlineLevel="0" collapsed="false">
      <c r="A178" s="1"/>
      <c r="B178" s="1"/>
      <c r="C178" s="1"/>
      <c r="D178" s="1"/>
      <c r="E178" s="1"/>
      <c r="F178" s="1"/>
      <c r="G178" s="1"/>
      <c r="H178" s="1"/>
      <c r="I178" s="1"/>
    </row>
    <row r="179" customFormat="false" ht="15.75" hidden="false" customHeight="true" outlineLevel="0" collapsed="false">
      <c r="A179" s="1"/>
      <c r="B179" s="1"/>
      <c r="C179" s="1"/>
      <c r="D179" s="1"/>
      <c r="E179" s="1"/>
      <c r="F179" s="1"/>
      <c r="G179" s="1"/>
      <c r="H179" s="1"/>
      <c r="I179" s="1"/>
    </row>
    <row r="180" customFormat="false" ht="15.75" hidden="false" customHeight="true" outlineLevel="0" collapsed="false">
      <c r="A180" s="1"/>
      <c r="B180" s="1"/>
      <c r="C180" s="1"/>
      <c r="D180" s="1"/>
      <c r="E180" s="1"/>
      <c r="F180" s="1"/>
      <c r="G180" s="1"/>
      <c r="H180" s="1"/>
      <c r="I180" s="1"/>
    </row>
    <row r="181" customFormat="false" ht="15.75" hidden="false" customHeight="true" outlineLevel="0" collapsed="false">
      <c r="A181" s="1"/>
      <c r="B181" s="1"/>
      <c r="C181" s="1"/>
      <c r="D181" s="1"/>
      <c r="E181" s="1"/>
      <c r="F181" s="1"/>
      <c r="G181" s="1"/>
      <c r="H181" s="1"/>
      <c r="I181" s="1"/>
    </row>
    <row r="182" customFormat="false" ht="15.75" hidden="false" customHeight="true" outlineLevel="0" collapsed="false">
      <c r="A182" s="1"/>
      <c r="B182" s="1"/>
      <c r="C182" s="1"/>
      <c r="D182" s="1"/>
      <c r="E182" s="1"/>
      <c r="F182" s="1"/>
      <c r="G182" s="1"/>
      <c r="H182" s="1"/>
      <c r="I182" s="1"/>
    </row>
    <row r="183" customFormat="false" ht="15.75" hidden="false" customHeight="true" outlineLevel="0" collapsed="false">
      <c r="A183" s="1"/>
      <c r="B183" s="1"/>
      <c r="C183" s="1"/>
      <c r="D183" s="1"/>
      <c r="E183" s="1"/>
      <c r="F183" s="1"/>
      <c r="G183" s="1"/>
      <c r="H183" s="1"/>
      <c r="I183" s="1"/>
    </row>
    <row r="184" customFormat="false" ht="15.75" hidden="false" customHeight="true" outlineLevel="0" collapsed="false">
      <c r="A184" s="1"/>
      <c r="B184" s="1"/>
      <c r="C184" s="1"/>
      <c r="D184" s="1"/>
      <c r="E184" s="1"/>
      <c r="F184" s="1"/>
      <c r="G184" s="1"/>
      <c r="H184" s="1"/>
      <c r="I184" s="1"/>
    </row>
    <row r="185" customFormat="false" ht="15.75" hidden="false" customHeight="true" outlineLevel="0" collapsed="false">
      <c r="A185" s="1"/>
      <c r="B185" s="1"/>
      <c r="C185" s="1"/>
      <c r="D185" s="1"/>
      <c r="E185" s="1"/>
      <c r="F185" s="1"/>
      <c r="G185" s="1"/>
      <c r="H185" s="1"/>
      <c r="I185" s="1"/>
    </row>
    <row r="186" customFormat="false" ht="15.75" hidden="false" customHeight="true" outlineLevel="0" collapsed="false">
      <c r="A186" s="1"/>
      <c r="B186" s="1"/>
      <c r="C186" s="1"/>
      <c r="D186" s="1"/>
      <c r="E186" s="1"/>
      <c r="F186" s="1"/>
      <c r="G186" s="1"/>
      <c r="H186" s="1"/>
      <c r="I186" s="1"/>
    </row>
    <row r="187" customFormat="false" ht="15.75" hidden="false" customHeight="true" outlineLevel="0" collapsed="false">
      <c r="A187" s="1"/>
      <c r="B187" s="1"/>
      <c r="C187" s="1"/>
      <c r="D187" s="1"/>
      <c r="E187" s="1"/>
      <c r="F187" s="1"/>
      <c r="G187" s="1"/>
      <c r="H187" s="1"/>
      <c r="I187" s="1"/>
    </row>
    <row r="188" customFormat="false" ht="15.75" hidden="false" customHeight="true" outlineLevel="0" collapsed="false">
      <c r="A188" s="1"/>
      <c r="B188" s="1"/>
      <c r="C188" s="1"/>
      <c r="D188" s="1"/>
      <c r="E188" s="1"/>
      <c r="F188" s="1"/>
      <c r="G188" s="1"/>
      <c r="H188" s="1"/>
      <c r="I188" s="1"/>
    </row>
    <row r="189" customFormat="false" ht="15.75" hidden="false" customHeight="true" outlineLevel="0" collapsed="false">
      <c r="A189" s="1"/>
      <c r="B189" s="1"/>
      <c r="C189" s="1"/>
      <c r="D189" s="1"/>
      <c r="E189" s="1"/>
      <c r="F189" s="1"/>
      <c r="G189" s="1"/>
      <c r="H189" s="1"/>
      <c r="I189" s="1"/>
    </row>
    <row r="190" customFormat="false" ht="15.75" hidden="false" customHeight="true" outlineLevel="0" collapsed="false">
      <c r="A190" s="1"/>
      <c r="B190" s="1"/>
      <c r="C190" s="1"/>
      <c r="D190" s="1"/>
      <c r="E190" s="1"/>
      <c r="F190" s="1"/>
      <c r="G190" s="1"/>
      <c r="H190" s="1"/>
      <c r="I190" s="1"/>
    </row>
    <row r="191" customFormat="false" ht="15.75" hidden="false" customHeight="true" outlineLevel="0" collapsed="false">
      <c r="A191" s="1"/>
      <c r="B191" s="1"/>
      <c r="C191" s="1"/>
      <c r="D191" s="1"/>
      <c r="E191" s="1"/>
      <c r="F191" s="1"/>
      <c r="G191" s="1"/>
      <c r="H191" s="1"/>
      <c r="I191" s="1"/>
    </row>
    <row r="192" customFormat="false" ht="15.75" hidden="false" customHeight="true" outlineLevel="0" collapsed="false">
      <c r="A192" s="1"/>
      <c r="B192" s="1"/>
      <c r="C192" s="1"/>
      <c r="D192" s="1"/>
      <c r="E192" s="1"/>
      <c r="F192" s="1"/>
      <c r="G192" s="1"/>
      <c r="H192" s="1"/>
      <c r="I192" s="1"/>
    </row>
    <row r="193" customFormat="false" ht="15.75" hidden="false" customHeight="true" outlineLevel="0" collapsed="false">
      <c r="A193" s="1"/>
      <c r="B193" s="1"/>
      <c r="C193" s="1"/>
      <c r="D193" s="1"/>
      <c r="E193" s="1"/>
      <c r="F193" s="1"/>
      <c r="G193" s="1"/>
      <c r="H193" s="1"/>
      <c r="I193" s="1"/>
    </row>
    <row r="194" customFormat="false" ht="15.75" hidden="false" customHeight="true" outlineLevel="0" collapsed="false">
      <c r="A194" s="1"/>
      <c r="B194" s="1"/>
      <c r="C194" s="1"/>
      <c r="D194" s="1"/>
      <c r="E194" s="1"/>
      <c r="F194" s="1"/>
      <c r="G194" s="1"/>
      <c r="H194" s="1"/>
      <c r="I194" s="1"/>
    </row>
    <row r="195" customFormat="false" ht="15.75" hidden="false" customHeight="true" outlineLevel="0" collapsed="false">
      <c r="A195" s="1"/>
      <c r="B195" s="1"/>
      <c r="C195" s="1"/>
      <c r="D195" s="1"/>
      <c r="E195" s="1"/>
      <c r="F195" s="1"/>
      <c r="G195" s="1"/>
      <c r="H195" s="1"/>
      <c r="I195" s="1"/>
    </row>
    <row r="196" customFormat="false" ht="15.75" hidden="false" customHeight="true" outlineLevel="0" collapsed="false">
      <c r="A196" s="1"/>
      <c r="B196" s="1"/>
      <c r="C196" s="1"/>
      <c r="D196" s="1"/>
      <c r="E196" s="1"/>
      <c r="F196" s="1"/>
      <c r="G196" s="1"/>
      <c r="H196" s="1"/>
      <c r="I196" s="1"/>
    </row>
    <row r="197" customFormat="false" ht="15.75" hidden="false" customHeight="true" outlineLevel="0" collapsed="false">
      <c r="A197" s="1"/>
      <c r="B197" s="1"/>
      <c r="C197" s="1"/>
      <c r="D197" s="1"/>
      <c r="E197" s="1"/>
      <c r="F197" s="1"/>
      <c r="G197" s="1"/>
      <c r="H197" s="1"/>
      <c r="I197" s="1"/>
    </row>
    <row r="198" customFormat="false" ht="15.75" hidden="false" customHeight="true" outlineLevel="0" collapsed="false">
      <c r="A198" s="1"/>
      <c r="B198" s="1"/>
      <c r="C198" s="1"/>
      <c r="D198" s="1"/>
      <c r="E198" s="1"/>
      <c r="F198" s="1"/>
      <c r="G198" s="1"/>
      <c r="H198" s="1"/>
      <c r="I198" s="1"/>
    </row>
    <row r="199" customFormat="false" ht="15.75" hidden="false" customHeight="true" outlineLevel="0" collapsed="false">
      <c r="A199" s="1"/>
      <c r="B199" s="1"/>
      <c r="C199" s="1"/>
      <c r="D199" s="1"/>
      <c r="E199" s="1"/>
      <c r="F199" s="1"/>
      <c r="G199" s="1"/>
      <c r="H199" s="1"/>
      <c r="I199" s="1"/>
    </row>
    <row r="200" customFormat="false" ht="15.75" hidden="false" customHeight="true" outlineLevel="0" collapsed="false">
      <c r="A200" s="1"/>
      <c r="B200" s="1"/>
      <c r="C200" s="1"/>
      <c r="D200" s="1"/>
      <c r="E200" s="1"/>
      <c r="F200" s="1"/>
      <c r="G200" s="1"/>
      <c r="H200" s="1"/>
      <c r="I200" s="1"/>
    </row>
    <row r="201" customFormat="false" ht="15.75" hidden="false" customHeight="true" outlineLevel="0" collapsed="false">
      <c r="A201" s="1"/>
      <c r="B201" s="1"/>
      <c r="C201" s="1"/>
      <c r="D201" s="1"/>
      <c r="E201" s="1"/>
      <c r="F201" s="1"/>
      <c r="G201" s="1"/>
      <c r="H201" s="1"/>
      <c r="I201" s="1"/>
    </row>
    <row r="202" customFormat="false" ht="15.75" hidden="false" customHeight="true" outlineLevel="0" collapsed="false">
      <c r="A202" s="1"/>
      <c r="B202" s="1"/>
      <c r="C202" s="1"/>
      <c r="D202" s="1"/>
      <c r="E202" s="1"/>
      <c r="F202" s="1"/>
      <c r="G202" s="1"/>
      <c r="H202" s="1"/>
      <c r="I202" s="1"/>
    </row>
    <row r="203" customFormat="false" ht="15.75" hidden="false" customHeight="true" outlineLevel="0" collapsed="false">
      <c r="A203" s="1"/>
      <c r="B203" s="1"/>
      <c r="C203" s="1"/>
      <c r="D203" s="1"/>
      <c r="E203" s="1"/>
      <c r="F203" s="1"/>
      <c r="G203" s="1"/>
      <c r="H203" s="1"/>
      <c r="I203" s="1"/>
    </row>
    <row r="204" customFormat="false" ht="15.75" hidden="false" customHeight="true" outlineLevel="0" collapsed="false">
      <c r="A204" s="1"/>
      <c r="B204" s="1"/>
      <c r="C204" s="1"/>
      <c r="D204" s="1"/>
      <c r="E204" s="1"/>
      <c r="F204" s="1"/>
      <c r="G204" s="1"/>
      <c r="H204" s="1"/>
      <c r="I204" s="1"/>
    </row>
    <row r="205" customFormat="false" ht="15.75" hidden="false" customHeight="true" outlineLevel="0" collapsed="false">
      <c r="A205" s="1"/>
      <c r="B205" s="1"/>
      <c r="C205" s="1"/>
      <c r="D205" s="1"/>
      <c r="E205" s="1"/>
      <c r="F205" s="1"/>
      <c r="G205" s="1"/>
      <c r="H205" s="1"/>
      <c r="I205" s="1"/>
    </row>
    <row r="206" customFormat="false" ht="15.75" hidden="false" customHeight="true" outlineLevel="0" collapsed="false">
      <c r="A206" s="1"/>
      <c r="B206" s="1"/>
      <c r="C206" s="1"/>
      <c r="D206" s="1"/>
      <c r="E206" s="1"/>
      <c r="F206" s="1"/>
      <c r="G206" s="1"/>
      <c r="H206" s="1"/>
      <c r="I206" s="1"/>
    </row>
    <row r="207" customFormat="false" ht="15.75" hidden="false" customHeight="true" outlineLevel="0" collapsed="false">
      <c r="A207" s="1"/>
      <c r="B207" s="1"/>
      <c r="C207" s="1"/>
      <c r="D207" s="1"/>
      <c r="E207" s="1"/>
      <c r="F207" s="1"/>
      <c r="G207" s="1"/>
      <c r="H207" s="1"/>
      <c r="I207" s="1"/>
    </row>
    <row r="208" customFormat="false" ht="15.75" hidden="false" customHeight="true" outlineLevel="0" collapsed="false">
      <c r="A208" s="1"/>
      <c r="B208" s="1"/>
      <c r="C208" s="1"/>
      <c r="D208" s="1"/>
      <c r="E208" s="1"/>
      <c r="F208" s="1"/>
      <c r="G208" s="1"/>
      <c r="H208" s="1"/>
      <c r="I208" s="1"/>
    </row>
    <row r="209" customFormat="false" ht="15.75" hidden="false" customHeight="true" outlineLevel="0" collapsed="false">
      <c r="A209" s="1"/>
      <c r="B209" s="1"/>
      <c r="C209" s="1"/>
      <c r="D209" s="1"/>
      <c r="E209" s="1"/>
      <c r="F209" s="1"/>
      <c r="G209" s="1"/>
      <c r="H209" s="1"/>
      <c r="I209" s="1"/>
    </row>
    <row r="210" customFormat="false" ht="15.75" hidden="false" customHeight="true" outlineLevel="0" collapsed="false">
      <c r="A210" s="1"/>
      <c r="B210" s="1"/>
      <c r="C210" s="1"/>
      <c r="D210" s="1"/>
      <c r="E210" s="1"/>
      <c r="F210" s="1"/>
      <c r="G210" s="1"/>
      <c r="H210" s="1"/>
      <c r="I210" s="1"/>
    </row>
    <row r="211" customFormat="false" ht="15.75" hidden="false" customHeight="true" outlineLevel="0" collapsed="false">
      <c r="A211" s="1"/>
      <c r="B211" s="1"/>
      <c r="C211" s="1"/>
      <c r="D211" s="1"/>
      <c r="E211" s="1"/>
      <c r="F211" s="1"/>
      <c r="G211" s="1"/>
      <c r="H211" s="1"/>
      <c r="I211" s="1"/>
    </row>
    <row r="212" customFormat="false" ht="15.75" hidden="false" customHeight="true" outlineLevel="0" collapsed="false">
      <c r="A212" s="1"/>
      <c r="B212" s="1"/>
      <c r="C212" s="1"/>
      <c r="D212" s="1"/>
      <c r="E212" s="1"/>
      <c r="F212" s="1"/>
      <c r="G212" s="1"/>
      <c r="H212" s="1"/>
      <c r="I212" s="1"/>
    </row>
    <row r="213" customFormat="false" ht="15.75" hidden="false" customHeight="true" outlineLevel="0" collapsed="false">
      <c r="A213" s="1"/>
      <c r="B213" s="1"/>
      <c r="C213" s="1"/>
      <c r="D213" s="1"/>
      <c r="E213" s="1"/>
      <c r="F213" s="1"/>
      <c r="G213" s="1"/>
      <c r="H213" s="1"/>
      <c r="I213" s="1"/>
    </row>
    <row r="214" customFormat="false" ht="15.75" hidden="false" customHeight="true" outlineLevel="0" collapsed="false">
      <c r="A214" s="1"/>
      <c r="B214" s="1"/>
      <c r="C214" s="1"/>
      <c r="D214" s="1"/>
      <c r="E214" s="1"/>
      <c r="F214" s="1"/>
      <c r="G214" s="1"/>
      <c r="H214" s="1"/>
      <c r="I214" s="1"/>
    </row>
    <row r="215" customFormat="false" ht="15.75" hidden="false" customHeight="true" outlineLevel="0" collapsed="false">
      <c r="A215" s="1"/>
      <c r="B215" s="1"/>
      <c r="C215" s="1"/>
      <c r="D215" s="1"/>
      <c r="E215" s="1"/>
      <c r="F215" s="1"/>
      <c r="G215" s="1"/>
      <c r="H215" s="1"/>
      <c r="I215" s="1"/>
    </row>
    <row r="216" customFormat="false" ht="15.75" hidden="false" customHeight="true" outlineLevel="0" collapsed="false">
      <c r="A216" s="1"/>
      <c r="B216" s="1"/>
      <c r="C216" s="1"/>
      <c r="D216" s="1"/>
      <c r="E216" s="1"/>
      <c r="F216" s="1"/>
      <c r="G216" s="1"/>
      <c r="H216" s="1"/>
      <c r="I216" s="1"/>
    </row>
    <row r="217" customFormat="false" ht="15.75" hidden="false" customHeight="true" outlineLevel="0" collapsed="false">
      <c r="A217" s="1"/>
      <c r="B217" s="1"/>
      <c r="C217" s="1"/>
      <c r="D217" s="1"/>
      <c r="E217" s="1"/>
      <c r="F217" s="1"/>
      <c r="G217" s="1"/>
      <c r="H217" s="1"/>
      <c r="I217" s="1"/>
    </row>
    <row r="218" customFormat="false" ht="15.75" hidden="false" customHeight="true" outlineLevel="0" collapsed="false">
      <c r="A218" s="1"/>
      <c r="B218" s="1"/>
      <c r="C218" s="1"/>
      <c r="D218" s="1"/>
      <c r="E218" s="1"/>
      <c r="F218" s="1"/>
      <c r="G218" s="1"/>
      <c r="H218" s="1"/>
      <c r="I218" s="1"/>
    </row>
    <row r="219" customFormat="false" ht="15.75" hidden="false" customHeight="true" outlineLevel="0" collapsed="false">
      <c r="A219" s="1"/>
      <c r="B219" s="1"/>
      <c r="C219" s="1"/>
      <c r="D219" s="1"/>
      <c r="E219" s="1"/>
      <c r="F219" s="1"/>
      <c r="G219" s="1"/>
      <c r="H219" s="1"/>
      <c r="I219" s="1"/>
    </row>
    <row r="220" customFormat="false" ht="15.75" hidden="false" customHeight="true" outlineLevel="0" collapsed="false">
      <c r="A220" s="1"/>
      <c r="B220" s="1"/>
      <c r="C220" s="1"/>
      <c r="D220" s="1"/>
      <c r="E220" s="1"/>
      <c r="F220" s="1"/>
      <c r="G220" s="1"/>
      <c r="H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F2:H2"/>
    <mergeCell ref="B16:H16"/>
    <mergeCell ref="B17:H17"/>
    <mergeCell ref="B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6" min="3" style="0" width="11"/>
    <col collapsed="false" customWidth="true" hidden="false" outlineLevel="0" max="7" min="7" style="0" width="16.14"/>
  </cols>
  <sheetData>
    <row r="1" customFormat="false" ht="15" hidden="false" customHeight="false" outlineLevel="0" collapsed="false">
      <c r="A1" s="1"/>
      <c r="B1" s="1"/>
      <c r="C1" s="1"/>
      <c r="D1" s="1"/>
      <c r="E1" s="1"/>
      <c r="F1" s="1"/>
      <c r="G1" s="1"/>
    </row>
    <row r="2" customFormat="false" ht="20.9" hidden="false" customHeight="false" outlineLevel="0" collapsed="false">
      <c r="A2" s="1"/>
      <c r="B2" s="33" t="s">
        <v>91</v>
      </c>
      <c r="C2" s="1"/>
      <c r="D2" s="1"/>
      <c r="E2" s="1"/>
      <c r="F2" s="1"/>
      <c r="G2" s="1"/>
    </row>
    <row r="3" customFormat="false" ht="15" hidden="false" customHeight="false" outlineLevel="0" collapsed="false">
      <c r="A3" s="1"/>
      <c r="B3" s="34" t="s">
        <v>92</v>
      </c>
      <c r="C3" s="1"/>
      <c r="D3" s="1"/>
      <c r="E3" s="1"/>
      <c r="F3" s="1"/>
      <c r="G3" s="1"/>
    </row>
    <row r="4" customFormat="false" ht="15" hidden="false" customHeight="false" outlineLevel="0" collapsed="false">
      <c r="A4" s="1"/>
      <c r="B4" s="1"/>
      <c r="C4" s="1"/>
      <c r="D4" s="1"/>
      <c r="E4" s="1"/>
      <c r="F4" s="1"/>
      <c r="G4" s="1"/>
    </row>
    <row r="5" customFormat="false" ht="40.5" hidden="false" customHeight="true" outlineLevel="0" collapsed="false">
      <c r="A5" s="1"/>
      <c r="B5" s="35" t="s">
        <v>93</v>
      </c>
      <c r="C5" s="35"/>
      <c r="D5" s="35"/>
      <c r="E5" s="35"/>
      <c r="F5" s="1"/>
      <c r="G5" s="1"/>
    </row>
    <row r="6" customFormat="false" ht="15" hidden="false" customHeight="true" outlineLevel="0" collapsed="false">
      <c r="A6" s="1"/>
      <c r="B6" s="36" t="s">
        <v>94</v>
      </c>
      <c r="C6" s="37" t="s">
        <v>0</v>
      </c>
      <c r="D6" s="37"/>
      <c r="E6" s="37"/>
      <c r="F6" s="1"/>
      <c r="G6" s="1"/>
    </row>
    <row r="7" customFormat="false" ht="15" hidden="false" customHeight="true" outlineLevel="0" collapsed="false">
      <c r="A7" s="1"/>
      <c r="B7" s="36" t="s">
        <v>95</v>
      </c>
      <c r="C7" s="38" t="s">
        <v>4</v>
      </c>
      <c r="D7" s="38"/>
      <c r="E7" s="38"/>
      <c r="F7" s="1"/>
      <c r="G7" s="1"/>
    </row>
    <row r="8" customFormat="false" ht="15" hidden="false" customHeight="true" outlineLevel="0" collapsed="false">
      <c r="A8" s="1"/>
      <c r="B8" s="36" t="s">
        <v>82</v>
      </c>
      <c r="C8" s="37" t="s">
        <v>6</v>
      </c>
      <c r="D8" s="37"/>
      <c r="E8" s="37"/>
      <c r="F8" s="1"/>
      <c r="G8" s="1"/>
    </row>
    <row r="9" customFormat="false" ht="15" hidden="false" customHeight="true" outlineLevel="0" collapsed="false">
      <c r="A9" s="1"/>
      <c r="B9" s="36" t="s">
        <v>96</v>
      </c>
      <c r="C9" s="37" t="s">
        <v>97</v>
      </c>
      <c r="D9" s="37"/>
      <c r="E9" s="37"/>
      <c r="F9" s="1"/>
      <c r="G9" s="1"/>
    </row>
    <row r="10" customFormat="false" ht="15" hidden="false" customHeight="false" outlineLevel="0" collapsed="false">
      <c r="A10" s="1"/>
      <c r="B10" s="36" t="s">
        <v>98</v>
      </c>
      <c r="C10" s="39" t="n">
        <v>46283</v>
      </c>
      <c r="D10" s="39"/>
      <c r="E10" s="39"/>
      <c r="F10" s="1"/>
      <c r="G10" s="1"/>
    </row>
    <row r="11" customFormat="false" ht="15" hidden="false" customHeight="false" outlineLevel="0" collapsed="false">
      <c r="A11" s="1"/>
      <c r="B11" s="36" t="s">
        <v>99</v>
      </c>
      <c r="C11" s="39" t="n">
        <v>46287</v>
      </c>
      <c r="D11" s="39"/>
      <c r="E11" s="39"/>
      <c r="F11" s="1"/>
      <c r="G11" s="1"/>
    </row>
    <row r="12" customFormat="false" ht="15" hidden="false" customHeight="false" outlineLevel="0" collapsed="false">
      <c r="A12" s="1"/>
      <c r="B12" s="36" t="s">
        <v>100</v>
      </c>
      <c r="C12" s="37" t="n">
        <f aca="false">COUNTIF(Dashboard!$D$4:$D$33,"?*")</f>
        <v>11</v>
      </c>
      <c r="D12" s="37"/>
      <c r="E12" s="37"/>
      <c r="F12" s="1"/>
      <c r="G12" s="1"/>
    </row>
    <row r="13" customFormat="false" ht="15" hidden="false" customHeight="true" outlineLevel="0" collapsed="false">
      <c r="A13" s="1"/>
      <c r="B13" s="36" t="s">
        <v>101</v>
      </c>
      <c r="C13" s="39" t="s">
        <v>102</v>
      </c>
      <c r="D13" s="39"/>
      <c r="E13" s="39"/>
      <c r="F13" s="1"/>
      <c r="G13" s="1"/>
    </row>
    <row r="14" customFormat="false" ht="15" hidden="false" customHeight="false" outlineLevel="0" collapsed="false">
      <c r="A14" s="1"/>
      <c r="B14" s="40" t="s">
        <v>103</v>
      </c>
      <c r="C14" s="40"/>
      <c r="D14" s="40"/>
      <c r="E14" s="40"/>
      <c r="F14" s="1"/>
      <c r="G14" s="1"/>
    </row>
    <row r="15" customFormat="false" ht="25.5" hidden="false" customHeight="true" outlineLevel="0" collapsed="false">
      <c r="A15" s="1"/>
      <c r="B15" s="1"/>
      <c r="C15" s="1"/>
      <c r="D15" s="1"/>
      <c r="E15" s="1"/>
      <c r="F15" s="1"/>
      <c r="G15" s="1"/>
    </row>
    <row r="16" customFormat="false" ht="25.5" hidden="false" customHeight="true" outlineLevel="0" collapsed="false">
      <c r="A16" s="1"/>
      <c r="B16" s="35" t="s">
        <v>104</v>
      </c>
      <c r="C16" s="35"/>
      <c r="D16" s="35"/>
      <c r="E16" s="35"/>
      <c r="F16" s="35"/>
      <c r="G16" s="1"/>
    </row>
    <row r="17" customFormat="false" ht="15" hidden="false" customHeight="true" outlineLevel="0" collapsed="false">
      <c r="A17" s="1"/>
      <c r="B17" s="41" t="s">
        <v>105</v>
      </c>
      <c r="C17" s="42" t="n">
        <f aca="false">Dashboard!$F$34</f>
        <v>223</v>
      </c>
      <c r="D17" s="43"/>
      <c r="E17" s="1"/>
      <c r="F17" s="44"/>
      <c r="G17" s="45"/>
      <c r="I17" s="46" t="s">
        <v>106</v>
      </c>
      <c r="J17" s="46"/>
    </row>
    <row r="18" customFormat="false" ht="15" hidden="false" customHeight="false" outlineLevel="0" collapsed="false">
      <c r="A18" s="1"/>
      <c r="B18" s="47" t="s">
        <v>107</v>
      </c>
      <c r="C18" s="48" t="s">
        <v>108</v>
      </c>
      <c r="D18" s="49" t="s">
        <v>109</v>
      </c>
      <c r="E18" s="47" t="s">
        <v>110</v>
      </c>
      <c r="F18" s="47" t="s">
        <v>111</v>
      </c>
      <c r="G18" s="45"/>
      <c r="I18" s="47" t="s">
        <v>112</v>
      </c>
      <c r="J18" s="47" t="s">
        <v>113</v>
      </c>
    </row>
    <row r="19" customFormat="false" ht="15" hidden="false" customHeight="false" outlineLevel="0" collapsed="false">
      <c r="A19" s="1"/>
      <c r="B19" s="50" t="s">
        <v>33</v>
      </c>
      <c r="C19" s="51" t="n">
        <f aca="false">Dashboard!$O$34</f>
        <v>22</v>
      </c>
      <c r="D19" s="52" t="n">
        <f aca="false">IFERROR(C19/$C$17,0)</f>
        <v>0.0986547085201794</v>
      </c>
      <c r="E19" s="51" t="n">
        <f aca="false">Dashboard!$AB$34</f>
        <v>18</v>
      </c>
      <c r="F19" s="52" t="n">
        <f aca="false">IFERROR(E19/C19,0)</f>
        <v>0.818181818181818</v>
      </c>
      <c r="G19" s="45"/>
      <c r="I19" s="53" t="s">
        <v>41</v>
      </c>
      <c r="J19" s="51" t="n">
        <f aca="false">Dashboard!$R$34</f>
        <v>175</v>
      </c>
    </row>
    <row r="20" customFormat="false" ht="15.75" hidden="false" customHeight="true" outlineLevel="0" collapsed="false">
      <c r="A20" s="1"/>
      <c r="B20" s="50" t="s">
        <v>35</v>
      </c>
      <c r="C20" s="51" t="n">
        <f aca="false">Dashboard!$P$34</f>
        <v>145</v>
      </c>
      <c r="D20" s="52" t="n">
        <f aca="false">IFERROR(C20/$C$17,0)</f>
        <v>0.650224215246637</v>
      </c>
      <c r="E20" s="51" t="n">
        <f aca="false">Dashboard!$AC$34</f>
        <v>108</v>
      </c>
      <c r="F20" s="52" t="n">
        <f aca="false">IFERROR(E20/C20,0)</f>
        <v>0.744827586206897</v>
      </c>
      <c r="G20" s="45"/>
      <c r="I20" s="53" t="s">
        <v>43</v>
      </c>
      <c r="J20" s="51" t="n">
        <f aca="false">Dashboard!$S$34</f>
        <v>48</v>
      </c>
    </row>
    <row r="21" customFormat="false" ht="15.75" hidden="false" customHeight="true" outlineLevel="0" collapsed="false">
      <c r="A21" s="1"/>
      <c r="B21" s="50" t="s">
        <v>37</v>
      </c>
      <c r="C21" s="51" t="n">
        <f aca="false">Dashboard!$Q$34</f>
        <v>56</v>
      </c>
      <c r="D21" s="52" t="n">
        <f aca="false">IFERROR(C21/$C$17,0)</f>
        <v>0.251121076233184</v>
      </c>
      <c r="E21" s="51" t="n">
        <f aca="false">Dashboard!$AD$34</f>
        <v>39</v>
      </c>
      <c r="F21" s="52" t="n">
        <f aca="false">IFERROR(E21/C21,0)</f>
        <v>0.696428571428571</v>
      </c>
      <c r="G21" s="1"/>
      <c r="I21" s="53" t="s">
        <v>45</v>
      </c>
      <c r="J21" s="51" t="n">
        <f aca="false">Dashboard!$T$34</f>
        <v>0</v>
      </c>
    </row>
    <row r="22" customFormat="false" ht="15.75" hidden="false" customHeight="true" outlineLevel="0" collapsed="false">
      <c r="A22" s="1"/>
      <c r="B22" s="54" t="s">
        <v>114</v>
      </c>
      <c r="C22" s="42" t="n">
        <f aca="false">SUM(C19:C21)</f>
        <v>223</v>
      </c>
      <c r="D22" s="55" t="n">
        <f aca="false">IFERROR(C22/$C$17,0)</f>
        <v>1</v>
      </c>
      <c r="E22" s="42" t="n">
        <f aca="false">SUM(E19:E21)</f>
        <v>165</v>
      </c>
      <c r="F22" s="55" t="n">
        <f aca="false">IFERROR(E22/C22,0)</f>
        <v>0.739910313901345</v>
      </c>
      <c r="G22" s="1"/>
      <c r="I22" s="53" t="s">
        <v>47</v>
      </c>
      <c r="J22" s="51" t="n">
        <f aca="false">Dashboard!$U$34</f>
        <v>0</v>
      </c>
    </row>
    <row r="23" customFormat="false" ht="15.75" hidden="false" customHeight="true" outlineLevel="0" collapsed="false">
      <c r="A23" s="1"/>
      <c r="B23" s="1"/>
      <c r="C23" s="1"/>
      <c r="D23" s="1"/>
      <c r="E23" s="1"/>
      <c r="F23" s="1"/>
      <c r="G23" s="1"/>
    </row>
    <row r="24" customFormat="false" ht="15.75" hidden="false" customHeight="true" outlineLevel="0" collapsed="false">
      <c r="A24" s="1"/>
      <c r="B24" s="1"/>
      <c r="C24" s="1"/>
      <c r="D24" s="1"/>
      <c r="E24" s="1"/>
      <c r="F24" s="1"/>
      <c r="G24" s="1"/>
    </row>
    <row r="25" customFormat="false" ht="15.75" hidden="false" customHeight="true" outlineLevel="0" collapsed="false">
      <c r="A25" s="1"/>
      <c r="B25" s="1"/>
      <c r="C25" s="1"/>
      <c r="D25" s="1"/>
      <c r="E25" s="1"/>
      <c r="F25" s="1"/>
      <c r="G25" s="1"/>
    </row>
    <row r="26" customFormat="false" ht="15.75" hidden="false" customHeight="true" outlineLevel="0" collapsed="false">
      <c r="A26" s="1"/>
      <c r="B26" s="1"/>
      <c r="C26" s="1"/>
      <c r="D26" s="1"/>
      <c r="E26" s="1"/>
      <c r="F26" s="1"/>
      <c r="G26" s="1"/>
    </row>
    <row r="27" customFormat="false" ht="15.75" hidden="false" customHeight="true" outlineLevel="0" collapsed="false">
      <c r="A27" s="1"/>
      <c r="B27" s="1"/>
      <c r="C27" s="1"/>
      <c r="D27" s="1"/>
      <c r="E27" s="1"/>
      <c r="F27" s="1"/>
      <c r="G27" s="1"/>
    </row>
    <row r="28" customFormat="false" ht="15.75" hidden="false" customHeight="true" outlineLevel="0" collapsed="false">
      <c r="A28" s="1"/>
      <c r="B28" s="1"/>
      <c r="C28" s="1"/>
      <c r="D28" s="1"/>
      <c r="E28" s="1"/>
      <c r="F28" s="1"/>
      <c r="G28" s="1"/>
    </row>
    <row r="29" customFormat="false" ht="15.75" hidden="false" customHeight="true" outlineLevel="0" collapsed="false">
      <c r="A29" s="1"/>
      <c r="B29" s="1"/>
      <c r="C29" s="1"/>
      <c r="D29" s="1"/>
      <c r="E29" s="1"/>
      <c r="F29" s="1"/>
      <c r="G29" s="1"/>
    </row>
    <row r="30" customFormat="false" ht="15.75" hidden="false" customHeight="true" outlineLevel="0" collapsed="false">
      <c r="A30" s="1"/>
      <c r="B30" s="44"/>
      <c r="C30" s="45"/>
      <c r="D30" s="1"/>
      <c r="E30" s="1"/>
      <c r="F30" s="1"/>
      <c r="G30" s="1"/>
    </row>
    <row r="31" customFormat="false" ht="15.75" hidden="false" customHeight="true" outlineLevel="0" collapsed="false">
      <c r="A31" s="1"/>
      <c r="B31" s="1"/>
      <c r="C31" s="1"/>
      <c r="D31" s="1"/>
      <c r="E31" s="1"/>
      <c r="F31" s="1"/>
      <c r="G31" s="1"/>
    </row>
    <row r="32" customFormat="false" ht="15.75" hidden="false" customHeight="true" outlineLevel="0" collapsed="false">
      <c r="A32" s="1"/>
      <c r="B32" s="1"/>
      <c r="C32" s="1"/>
      <c r="D32" s="1"/>
      <c r="E32" s="1"/>
      <c r="F32" s="1"/>
      <c r="G32" s="1"/>
    </row>
    <row r="33" customFormat="false" ht="15.75" hidden="false" customHeight="true" outlineLevel="0" collapsed="false">
      <c r="A33" s="1"/>
      <c r="B33" s="1"/>
      <c r="C33" s="1"/>
      <c r="D33" s="1"/>
      <c r="E33" s="1"/>
      <c r="F33" s="1"/>
      <c r="G33" s="1"/>
    </row>
    <row r="34" customFormat="false" ht="15.75" hidden="false" customHeight="true" outlineLevel="0" collapsed="false">
      <c r="A34" s="1"/>
      <c r="B34" s="1"/>
      <c r="C34" s="1"/>
      <c r="D34" s="1"/>
      <c r="E34" s="1"/>
      <c r="F34" s="1"/>
      <c r="G34" s="1"/>
    </row>
    <row r="35" customFormat="false" ht="15.75" hidden="false" customHeight="true" outlineLevel="0" collapsed="false">
      <c r="A35" s="1"/>
      <c r="B35" s="1"/>
      <c r="C35" s="1"/>
      <c r="D35" s="1"/>
      <c r="E35" s="1"/>
      <c r="F35" s="1"/>
      <c r="G35" s="1"/>
    </row>
    <row r="36" customFormat="false" ht="15.75" hidden="false" customHeight="true" outlineLevel="0" collapsed="false">
      <c r="A36" s="1"/>
      <c r="B36" s="1"/>
      <c r="C36" s="1"/>
      <c r="D36" s="1"/>
      <c r="E36" s="1"/>
      <c r="F36" s="1"/>
      <c r="G36" s="1"/>
    </row>
    <row r="37" customFormat="false" ht="15.75" hidden="false" customHeight="true" outlineLevel="0" collapsed="false">
      <c r="A37" s="1"/>
      <c r="B37" s="1"/>
      <c r="C37" s="1"/>
      <c r="D37" s="1"/>
      <c r="E37" s="1"/>
      <c r="F37" s="1"/>
      <c r="G37" s="1"/>
    </row>
    <row r="38" customFormat="false" ht="15.75" hidden="false" customHeight="true" outlineLevel="0" collapsed="false">
      <c r="A38" s="1"/>
      <c r="B38" s="1"/>
      <c r="C38" s="1"/>
      <c r="D38" s="1"/>
      <c r="E38" s="1"/>
      <c r="F38" s="1"/>
      <c r="G38" s="1"/>
    </row>
    <row r="39" customFormat="false" ht="15.75" hidden="false" customHeight="true" outlineLevel="0" collapsed="false">
      <c r="A39" s="1"/>
      <c r="B39" s="1"/>
      <c r="C39" s="1"/>
      <c r="D39" s="1"/>
      <c r="E39" s="1"/>
      <c r="F39" s="1"/>
      <c r="G39" s="1"/>
    </row>
    <row r="40" customFormat="false" ht="15.75" hidden="false" customHeight="true" outlineLevel="0" collapsed="false">
      <c r="A40" s="1"/>
      <c r="B40" s="1"/>
      <c r="C40" s="1"/>
      <c r="D40" s="1"/>
      <c r="E40" s="1"/>
      <c r="F40" s="1"/>
      <c r="G40" s="1"/>
    </row>
    <row r="41" customFormat="false" ht="15.75" hidden="false" customHeight="true" outlineLevel="0" collapsed="false">
      <c r="A41" s="1"/>
      <c r="B41" s="1"/>
      <c r="C41" s="1"/>
      <c r="D41" s="1"/>
      <c r="E41" s="1"/>
      <c r="F41" s="1"/>
      <c r="G41" s="1"/>
    </row>
    <row r="42" customFormat="false" ht="37.5" hidden="false" customHeight="true" outlineLevel="0" collapsed="false">
      <c r="A42" s="1"/>
      <c r="B42" s="56" t="s">
        <v>115</v>
      </c>
      <c r="C42" s="56"/>
      <c r="D42" s="56"/>
      <c r="E42" s="56"/>
      <c r="F42" s="1"/>
      <c r="G42" s="1"/>
    </row>
    <row r="43" customFormat="false" ht="15.75" hidden="false" customHeight="true" outlineLevel="0" collapsed="false">
      <c r="A43" s="1"/>
      <c r="B43" s="57" t="s">
        <v>116</v>
      </c>
      <c r="C43" s="58" t="s">
        <v>117</v>
      </c>
      <c r="D43" s="58" t="s">
        <v>118</v>
      </c>
      <c r="E43" s="58"/>
      <c r="F43" s="1"/>
      <c r="G43" s="1"/>
    </row>
    <row r="44" customFormat="false" ht="15.75" hidden="false" customHeight="true" outlineLevel="0" collapsed="false">
      <c r="A44" s="1"/>
      <c r="B44" s="59" t="s">
        <v>119</v>
      </c>
      <c r="C44" s="60" t="n">
        <f aca="false">Dashboard!$V$34</f>
        <v>223</v>
      </c>
      <c r="D44" s="61" t="n">
        <f aca="false">IFERROR(C44/$C17,0)</f>
        <v>1</v>
      </c>
      <c r="E44" s="61"/>
      <c r="F44" s="1"/>
      <c r="G44" s="1"/>
    </row>
    <row r="45" customFormat="false" ht="15.75" hidden="false" customHeight="true" outlineLevel="0" collapsed="false">
      <c r="A45" s="1"/>
      <c r="B45" s="59" t="s">
        <v>120</v>
      </c>
      <c r="C45" s="60" t="n">
        <f aca="false">Dashboard!$W$34</f>
        <v>0</v>
      </c>
      <c r="D45" s="61" t="n">
        <f aca="false">IFERROR(C45/$C17,0)</f>
        <v>0</v>
      </c>
      <c r="E45" s="61"/>
      <c r="F45" s="1"/>
      <c r="G45" s="1"/>
    </row>
    <row r="46" customFormat="false" ht="15.75" hidden="false" customHeight="true" outlineLevel="0" collapsed="false">
      <c r="A46" s="1"/>
      <c r="B46" s="59" t="s">
        <v>121</v>
      </c>
      <c r="C46" s="60" t="n">
        <f aca="false">Dashboard!$X$34</f>
        <v>0</v>
      </c>
      <c r="D46" s="61" t="n">
        <f aca="false">IFERROR(C46/$C17,0)</f>
        <v>0</v>
      </c>
      <c r="E46" s="61"/>
      <c r="F46" s="1"/>
      <c r="G46" s="1"/>
    </row>
    <row r="47" customFormat="false" ht="15.75" hidden="false" customHeight="true" outlineLevel="0" collapsed="false">
      <c r="A47" s="1"/>
      <c r="B47" s="59" t="s">
        <v>122</v>
      </c>
      <c r="C47" s="60" t="n">
        <f aca="false">Dashboard!$Y$34</f>
        <v>165</v>
      </c>
      <c r="D47" s="61" t="n">
        <f aca="false">IFERROR(C47/$C17,0)</f>
        <v>0.739910313901345</v>
      </c>
      <c r="E47" s="61"/>
      <c r="F47" s="1"/>
      <c r="G47" s="1"/>
    </row>
    <row r="48" customFormat="false" ht="15.75" hidden="false" customHeight="true" outlineLevel="0" collapsed="false">
      <c r="A48" s="1"/>
      <c r="B48" s="59" t="s">
        <v>123</v>
      </c>
      <c r="C48" s="60" t="n">
        <f aca="false">Dashboard!$Z$34</f>
        <v>0</v>
      </c>
      <c r="D48" s="61" t="n">
        <f aca="false">IFERROR(C48/$C17,0)</f>
        <v>0</v>
      </c>
      <c r="E48" s="61"/>
      <c r="F48" s="1"/>
      <c r="G48" s="1"/>
    </row>
    <row r="49" customFormat="false" ht="15.75" hidden="false" customHeight="true" outlineLevel="0" collapsed="false">
      <c r="A49" s="1"/>
      <c r="B49" s="59" t="s">
        <v>124</v>
      </c>
      <c r="C49" s="60" t="n">
        <f aca="false">Dashboard!$AA$34</f>
        <v>0</v>
      </c>
      <c r="D49" s="61" t="n">
        <f aca="false">IFERROR(C49/$C17,0)</f>
        <v>0</v>
      </c>
      <c r="E49" s="61"/>
      <c r="F49" s="1"/>
      <c r="G49" s="1"/>
    </row>
    <row r="50" customFormat="false" ht="15.75" hidden="false" customHeight="true" outlineLevel="0" collapsed="false">
      <c r="A50" s="1"/>
      <c r="B50" s="1"/>
      <c r="C50" s="1"/>
      <c r="D50" s="1"/>
      <c r="E50" s="1"/>
      <c r="F50" s="1"/>
      <c r="G50" s="1"/>
    </row>
    <row r="51" customFormat="false" ht="15.75" hidden="false" customHeight="true" outlineLevel="0" collapsed="false">
      <c r="A51" s="1"/>
      <c r="B51" s="62" t="s">
        <v>125</v>
      </c>
      <c r="C51" s="62"/>
      <c r="D51" s="62"/>
      <c r="E51" s="62"/>
      <c r="F51" s="1"/>
      <c r="G51" s="1"/>
    </row>
    <row r="52" customFormat="false" ht="15.75" hidden="false" customHeight="true" outlineLevel="0" collapsed="false">
      <c r="A52" s="1"/>
      <c r="B52" s="1"/>
      <c r="C52" s="1"/>
      <c r="D52" s="1"/>
      <c r="E52" s="1"/>
      <c r="F52" s="1"/>
      <c r="G52" s="1"/>
    </row>
    <row r="53" customFormat="false" ht="15.75" hidden="false" customHeight="true" outlineLevel="0" collapsed="false">
      <c r="A53" s="1"/>
      <c r="B53" s="63" t="s">
        <v>126</v>
      </c>
      <c r="C53" s="63"/>
      <c r="D53" s="63"/>
      <c r="E53" s="63"/>
      <c r="F53" s="1"/>
      <c r="G53" s="1"/>
    </row>
    <row r="54" customFormat="false" ht="15.75" hidden="false" customHeight="true" outlineLevel="0" collapsed="false">
      <c r="A54" s="1"/>
      <c r="B54" s="1"/>
      <c r="C54" s="1"/>
      <c r="D54" s="1"/>
      <c r="E54" s="1"/>
      <c r="F54" s="1"/>
      <c r="G54" s="1"/>
    </row>
    <row r="55" customFormat="false" ht="15.75" hidden="false" customHeight="true" outlineLevel="0" collapsed="false">
      <c r="A55" s="1"/>
      <c r="B55" s="1"/>
      <c r="C55" s="1"/>
      <c r="D55" s="1"/>
      <c r="E55" s="1"/>
      <c r="F55" s="1"/>
      <c r="G55" s="1"/>
    </row>
    <row r="56" customFormat="false" ht="40.5" hidden="false" customHeight="true" outlineLevel="0" collapsed="false">
      <c r="A56" s="1"/>
      <c r="B56" s="35" t="s">
        <v>127</v>
      </c>
      <c r="C56" s="35"/>
      <c r="D56" s="35"/>
      <c r="E56" s="35"/>
      <c r="F56" s="35"/>
      <c r="G56" s="1"/>
    </row>
    <row r="57" customFormat="false" ht="15.75" hidden="false" customHeight="true" outlineLevel="0" collapsed="false">
      <c r="A57" s="1"/>
      <c r="B57" s="36" t="s">
        <v>128</v>
      </c>
      <c r="C57" s="37" t="s">
        <v>129</v>
      </c>
      <c r="D57" s="37"/>
      <c r="E57" s="37"/>
      <c r="F57" s="37"/>
      <c r="G57" s="1"/>
    </row>
    <row r="58" customFormat="false" ht="15.75" hidden="false" customHeight="true" outlineLevel="0" collapsed="false">
      <c r="A58" s="1"/>
      <c r="B58" s="36" t="s">
        <v>130</v>
      </c>
      <c r="C58" s="37" t="s">
        <v>131</v>
      </c>
      <c r="D58" s="37"/>
      <c r="E58" s="37"/>
      <c r="F58" s="37"/>
      <c r="G58" s="1"/>
    </row>
    <row r="59" customFormat="false" ht="15.75" hidden="false" customHeight="true" outlineLevel="0" collapsed="false">
      <c r="A59" s="1"/>
      <c r="B59" s="36" t="s">
        <v>132</v>
      </c>
      <c r="C59" s="37" t="s">
        <v>133</v>
      </c>
      <c r="D59" s="37"/>
      <c r="E59" s="37"/>
      <c r="F59" s="37"/>
      <c r="G59" s="1"/>
    </row>
    <row r="60" customFormat="false" ht="15.75" hidden="false" customHeight="true" outlineLevel="0" collapsed="false">
      <c r="A60" s="1"/>
      <c r="B60" s="36" t="s">
        <v>134</v>
      </c>
      <c r="C60" s="37" t="s">
        <v>135</v>
      </c>
      <c r="D60" s="37"/>
      <c r="E60" s="37"/>
      <c r="F60" s="37"/>
      <c r="G60" s="1"/>
    </row>
    <row r="61" customFormat="false" ht="15.75" hidden="false" customHeight="true" outlineLevel="0" collapsed="false">
      <c r="A61" s="1"/>
      <c r="B61" s="36" t="s">
        <v>136</v>
      </c>
      <c r="C61" s="37" t="s">
        <v>137</v>
      </c>
      <c r="D61" s="37"/>
      <c r="E61" s="37"/>
      <c r="F61" s="37"/>
      <c r="G61" s="1"/>
    </row>
    <row r="62" customFormat="false" ht="15.75" hidden="false" customHeight="true" outlineLevel="0" collapsed="false">
      <c r="A62" s="1"/>
      <c r="B62" s="36" t="s">
        <v>138</v>
      </c>
      <c r="C62" s="37" t="s">
        <v>139</v>
      </c>
      <c r="D62" s="37"/>
      <c r="E62" s="37"/>
      <c r="F62" s="37"/>
      <c r="G62" s="1"/>
    </row>
    <row r="63" customFormat="false" ht="15.75" hidden="false" customHeight="true" outlineLevel="0" collapsed="false">
      <c r="A63" s="1"/>
      <c r="B63" s="1"/>
      <c r="C63" s="1"/>
      <c r="D63" s="1"/>
      <c r="E63" s="1"/>
      <c r="F63" s="1"/>
      <c r="G63" s="1"/>
    </row>
    <row r="64" customFormat="false" ht="15.75" hidden="false" customHeight="true" outlineLevel="0" collapsed="false">
      <c r="A64" s="1"/>
      <c r="B64" s="64" t="s">
        <v>140</v>
      </c>
      <c r="C64" s="64"/>
      <c r="D64" s="64"/>
      <c r="E64" s="64"/>
      <c r="F64" s="64"/>
      <c r="G64" s="1"/>
    </row>
    <row r="65" customFormat="false" ht="45.75" hidden="false" customHeight="true" outlineLevel="0" collapsed="false">
      <c r="A65" s="1"/>
      <c r="B65" s="64"/>
      <c r="C65" s="64"/>
      <c r="D65" s="64"/>
      <c r="E65" s="64"/>
      <c r="F65" s="64"/>
      <c r="G65" s="1"/>
    </row>
    <row r="66" customFormat="false" ht="15.75" hidden="false" customHeight="true" outlineLevel="0" collapsed="false">
      <c r="A66" s="1"/>
      <c r="B66" s="65"/>
      <c r="C66" s="66"/>
      <c r="D66" s="67"/>
      <c r="E66" s="67"/>
      <c r="F66" s="68"/>
      <c r="G66" s="1"/>
    </row>
    <row r="67" customFormat="false" ht="15.75" hidden="false" customHeight="true" outlineLevel="0" collapsed="false">
      <c r="A67" s="1"/>
      <c r="B67" s="65"/>
      <c r="C67" s="66"/>
      <c r="D67" s="69"/>
      <c r="E67" s="69"/>
      <c r="F67" s="68"/>
      <c r="G67" s="1"/>
    </row>
    <row r="68" customFormat="false" ht="15.75" hidden="false" customHeight="true" outlineLevel="0" collapsed="false">
      <c r="A68" s="1"/>
      <c r="B68" s="65"/>
      <c r="C68" s="66"/>
      <c r="D68" s="69"/>
      <c r="E68" s="69"/>
      <c r="F68" s="68"/>
      <c r="G68" s="1"/>
    </row>
    <row r="69" customFormat="false" ht="15.75" hidden="false" customHeight="true" outlineLevel="0" collapsed="false">
      <c r="A69" s="1"/>
      <c r="B69" s="65"/>
      <c r="C69" s="66"/>
      <c r="D69" s="69"/>
      <c r="E69" s="69"/>
      <c r="F69" s="68"/>
      <c r="G69" s="1"/>
    </row>
    <row r="70" customFormat="false" ht="15.75" hidden="false" customHeight="true" outlineLevel="0" collapsed="false">
      <c r="A70" s="1"/>
      <c r="B70" s="65"/>
      <c r="C70" s="66"/>
      <c r="D70" s="69"/>
      <c r="E70" s="69"/>
      <c r="F70" s="68"/>
      <c r="G70" s="1"/>
    </row>
    <row r="71" customFormat="false" ht="15.75" hidden="false" customHeight="true" outlineLevel="0" collapsed="false">
      <c r="A71" s="1"/>
      <c r="B71" s="65"/>
      <c r="C71" s="66"/>
      <c r="D71" s="69"/>
      <c r="E71" s="69"/>
      <c r="F71" s="68"/>
      <c r="G71" s="1"/>
    </row>
    <row r="72" customFormat="false" ht="15.75" hidden="false" customHeight="true" outlineLevel="0" collapsed="false">
      <c r="A72" s="1"/>
      <c r="B72" s="65"/>
      <c r="C72" s="66"/>
      <c r="D72" s="69"/>
      <c r="E72" s="69"/>
      <c r="F72" s="68"/>
      <c r="G72" s="1"/>
    </row>
    <row r="73" customFormat="false" ht="15.75" hidden="false" customHeight="true" outlineLevel="0" collapsed="false">
      <c r="A73" s="1"/>
      <c r="B73" s="68"/>
      <c r="C73" s="1"/>
      <c r="D73" s="1"/>
      <c r="E73" s="1"/>
      <c r="F73" s="68"/>
      <c r="G73" s="1"/>
    </row>
    <row r="74" customFormat="false" ht="15.75" hidden="false" customHeight="true" outlineLevel="0" collapsed="false">
      <c r="A74" s="1"/>
      <c r="B74" s="70"/>
      <c r="C74" s="1"/>
      <c r="D74" s="1"/>
      <c r="E74" s="1"/>
      <c r="F74" s="71"/>
      <c r="G74" s="1"/>
    </row>
    <row r="75" customFormat="false" ht="15.75" hidden="false" customHeight="true" outlineLevel="0" collapsed="false">
      <c r="A75" s="1"/>
      <c r="B75" s="1"/>
      <c r="C75" s="1"/>
      <c r="D75" s="1"/>
      <c r="E75" s="1"/>
      <c r="F75" s="1"/>
      <c r="G75" s="1"/>
    </row>
    <row r="76" customFormat="false" ht="15.75" hidden="false" customHeight="true" outlineLevel="0" collapsed="false">
      <c r="A76" s="1"/>
      <c r="B76" s="1"/>
      <c r="C76" s="1"/>
      <c r="D76" s="1"/>
      <c r="E76" s="1"/>
      <c r="F76" s="1"/>
      <c r="G76" s="1"/>
    </row>
    <row r="77" customFormat="false" ht="15.75" hidden="false" customHeight="true" outlineLevel="0" collapsed="false">
      <c r="A77" s="1"/>
      <c r="B77" s="1"/>
      <c r="C77" s="1"/>
      <c r="D77" s="1"/>
      <c r="E77" s="1"/>
      <c r="F77" s="1"/>
      <c r="G77" s="1"/>
    </row>
    <row r="78" customFormat="false" ht="15.75" hidden="false" customHeight="true" outlineLevel="0" collapsed="false">
      <c r="A78" s="1"/>
      <c r="B78" s="1"/>
      <c r="C78" s="1"/>
      <c r="D78" s="1"/>
      <c r="E78" s="1"/>
      <c r="F78" s="1"/>
      <c r="G78" s="1"/>
    </row>
    <row r="79" customFormat="false" ht="15.75" hidden="false" customHeight="true" outlineLevel="0" collapsed="false">
      <c r="A79" s="1"/>
      <c r="B79" s="1"/>
      <c r="C79" s="1"/>
      <c r="D79" s="1"/>
      <c r="E79" s="1"/>
      <c r="F79" s="1"/>
      <c r="G79" s="1"/>
    </row>
    <row r="80" customFormat="false" ht="15.75" hidden="false" customHeight="true" outlineLevel="0" collapsed="false">
      <c r="A80" s="1"/>
      <c r="B80" s="1"/>
      <c r="C80" s="1"/>
      <c r="D80" s="1"/>
      <c r="E80" s="1"/>
      <c r="F80" s="1"/>
      <c r="G80" s="1"/>
    </row>
    <row r="81" customFormat="false" ht="15.75" hidden="false" customHeight="true" outlineLevel="0" collapsed="false">
      <c r="A81" s="1"/>
      <c r="B81" s="1"/>
      <c r="C81" s="1"/>
      <c r="D81" s="1"/>
      <c r="E81" s="1"/>
      <c r="F81" s="1"/>
      <c r="G81" s="1"/>
    </row>
    <row r="82" customFormat="false" ht="15.75" hidden="false" customHeight="true" outlineLevel="0" collapsed="false">
      <c r="A82" s="1"/>
      <c r="B82" s="1"/>
      <c r="C82" s="1"/>
      <c r="D82" s="1"/>
      <c r="E82" s="1"/>
      <c r="F82" s="1"/>
      <c r="G82" s="1"/>
    </row>
    <row r="83" customFormat="false" ht="15.75" hidden="false" customHeight="true" outlineLevel="0" collapsed="false">
      <c r="A83" s="1"/>
      <c r="B83" s="1"/>
      <c r="C83" s="1"/>
      <c r="D83" s="1"/>
      <c r="E83" s="1"/>
      <c r="F83" s="1"/>
      <c r="G83" s="1"/>
    </row>
    <row r="84" customFormat="false" ht="15.75" hidden="false" customHeight="true" outlineLevel="0" collapsed="false">
      <c r="A84" s="1"/>
      <c r="B84" s="1"/>
      <c r="C84" s="1"/>
      <c r="D84" s="1"/>
      <c r="E84" s="1"/>
      <c r="F84" s="1"/>
      <c r="G84" s="1"/>
    </row>
    <row r="85" customFormat="false" ht="15.75" hidden="false" customHeight="true" outlineLevel="0" collapsed="false">
      <c r="A85" s="1"/>
      <c r="B85" s="1"/>
      <c r="C85" s="1"/>
      <c r="D85" s="1"/>
      <c r="E85" s="1"/>
      <c r="F85" s="1"/>
      <c r="G85" s="1"/>
    </row>
    <row r="86" customFormat="false" ht="15.75" hidden="false" customHeight="true" outlineLevel="0" collapsed="false">
      <c r="A86" s="1"/>
      <c r="B86" s="1"/>
      <c r="C86" s="1"/>
      <c r="D86" s="1"/>
      <c r="E86" s="1"/>
      <c r="F86" s="1"/>
      <c r="G86" s="1"/>
    </row>
    <row r="87" customFormat="false" ht="15.75" hidden="false" customHeight="true" outlineLevel="0" collapsed="false">
      <c r="A87" s="1"/>
      <c r="B87" s="1"/>
      <c r="C87" s="1"/>
      <c r="D87" s="1"/>
      <c r="E87" s="1"/>
      <c r="F87" s="1"/>
      <c r="G87" s="1"/>
    </row>
    <row r="88" customFormat="false" ht="15.75" hidden="false" customHeight="true" outlineLevel="0" collapsed="false">
      <c r="A88" s="1"/>
      <c r="B88" s="1"/>
      <c r="C88" s="1"/>
      <c r="D88" s="1"/>
      <c r="E88" s="1"/>
      <c r="F88" s="1"/>
      <c r="G88" s="1"/>
    </row>
    <row r="89" customFormat="false" ht="15.75" hidden="false" customHeight="true" outlineLevel="0" collapsed="false">
      <c r="A89" s="1"/>
      <c r="B89" s="1"/>
      <c r="C89" s="1"/>
      <c r="D89" s="1"/>
      <c r="E89" s="1"/>
      <c r="F89" s="1"/>
      <c r="G89" s="1"/>
    </row>
    <row r="90" customFormat="false" ht="15.75" hidden="false" customHeight="true" outlineLevel="0" collapsed="false">
      <c r="A90" s="1"/>
      <c r="B90" s="1"/>
      <c r="C90" s="1"/>
      <c r="D90" s="1"/>
      <c r="E90" s="1"/>
      <c r="F90" s="1"/>
      <c r="G90" s="1"/>
    </row>
    <row r="91" customFormat="false" ht="15.75" hidden="false" customHeight="true" outlineLevel="0" collapsed="false">
      <c r="A91" s="1"/>
      <c r="B91" s="1"/>
      <c r="C91" s="1"/>
      <c r="D91" s="1"/>
      <c r="E91" s="1"/>
      <c r="F91" s="1"/>
      <c r="G91" s="1"/>
    </row>
    <row r="92" customFormat="false" ht="15.75" hidden="false" customHeight="true" outlineLevel="0" collapsed="false">
      <c r="A92" s="1"/>
      <c r="B92" s="1"/>
      <c r="C92" s="1"/>
      <c r="D92" s="1"/>
      <c r="E92" s="1"/>
      <c r="F92" s="1"/>
      <c r="G92" s="1"/>
    </row>
    <row r="93" customFormat="false" ht="15.75" hidden="false" customHeight="true" outlineLevel="0" collapsed="false">
      <c r="A93" s="1"/>
      <c r="B93" s="1"/>
      <c r="C93" s="1"/>
      <c r="D93" s="1"/>
      <c r="E93" s="1"/>
      <c r="F93" s="1"/>
      <c r="G93" s="1"/>
    </row>
    <row r="94" customFormat="false" ht="15.75" hidden="false" customHeight="true" outlineLevel="0" collapsed="false">
      <c r="A94" s="1"/>
      <c r="B94" s="1"/>
      <c r="C94" s="1"/>
      <c r="D94" s="1"/>
      <c r="E94" s="1"/>
      <c r="F94" s="1"/>
      <c r="G94" s="1"/>
    </row>
    <row r="95" customFormat="false" ht="15.75" hidden="false" customHeight="true" outlineLevel="0" collapsed="false">
      <c r="A95" s="1"/>
      <c r="B95" s="1"/>
      <c r="C95" s="1"/>
      <c r="D95" s="1"/>
      <c r="E95" s="1"/>
      <c r="F95" s="1"/>
      <c r="G95" s="1"/>
    </row>
    <row r="96" customFormat="false" ht="15.75" hidden="false" customHeight="true" outlineLevel="0" collapsed="false">
      <c r="A96" s="1"/>
      <c r="B96" s="1"/>
      <c r="C96" s="1"/>
      <c r="D96" s="1"/>
      <c r="E96" s="1"/>
      <c r="F96" s="1"/>
      <c r="G96" s="1"/>
    </row>
    <row r="97" customFormat="false" ht="15.75" hidden="false" customHeight="true" outlineLevel="0" collapsed="false">
      <c r="A97" s="1"/>
      <c r="B97" s="1"/>
      <c r="C97" s="1"/>
      <c r="D97" s="1"/>
      <c r="E97" s="1"/>
      <c r="F97" s="1"/>
      <c r="G97" s="1"/>
    </row>
    <row r="98" customFormat="false" ht="15.75" hidden="false" customHeight="true" outlineLevel="0" collapsed="false">
      <c r="A98" s="1"/>
      <c r="B98" s="1"/>
      <c r="C98" s="1"/>
      <c r="D98" s="1"/>
      <c r="E98" s="1"/>
      <c r="F98" s="1"/>
      <c r="G98" s="1"/>
    </row>
    <row r="99" customFormat="false" ht="15.75" hidden="false" customHeight="true" outlineLevel="0" collapsed="false">
      <c r="A99" s="1"/>
      <c r="B99" s="1"/>
      <c r="C99" s="1"/>
      <c r="D99" s="1"/>
      <c r="E99" s="1"/>
      <c r="F99" s="1"/>
      <c r="G99" s="1"/>
    </row>
    <row r="100" customFormat="false" ht="15.75" hidden="false" customHeight="true" outlineLevel="0" collapsed="false">
      <c r="A100" s="1"/>
      <c r="B100" s="1"/>
      <c r="C100" s="1"/>
      <c r="D100" s="1"/>
      <c r="E100" s="1"/>
      <c r="F100" s="1"/>
      <c r="G100" s="1"/>
    </row>
    <row r="101" customFormat="false" ht="15.75" hidden="false" customHeight="true" outlineLevel="0" collapsed="false">
      <c r="A101" s="1"/>
      <c r="B101" s="1"/>
      <c r="C101" s="1"/>
      <c r="D101" s="1"/>
      <c r="E101" s="1"/>
      <c r="F101" s="1"/>
      <c r="G101" s="1"/>
    </row>
    <row r="102" customFormat="false" ht="15.75" hidden="false" customHeight="true" outlineLevel="0" collapsed="false">
      <c r="A102" s="1"/>
      <c r="B102" s="1"/>
      <c r="C102" s="1"/>
      <c r="D102" s="1"/>
      <c r="E102" s="1"/>
      <c r="F102" s="1"/>
      <c r="G102" s="1"/>
    </row>
    <row r="103" customFormat="false" ht="15.75" hidden="false" customHeight="true" outlineLevel="0" collapsed="false">
      <c r="A103" s="1"/>
      <c r="B103" s="1"/>
      <c r="C103" s="1"/>
      <c r="D103" s="1"/>
      <c r="E103" s="1"/>
      <c r="F103" s="1"/>
      <c r="G103" s="1"/>
    </row>
    <row r="104" customFormat="false" ht="15.75" hidden="false" customHeight="true" outlineLevel="0" collapsed="false">
      <c r="A104" s="1"/>
      <c r="B104" s="1"/>
      <c r="C104" s="1"/>
      <c r="D104" s="1"/>
      <c r="E104" s="1"/>
      <c r="F104" s="1"/>
      <c r="G104" s="1"/>
    </row>
    <row r="105" customFormat="false" ht="15.75" hidden="false" customHeight="true" outlineLevel="0" collapsed="false">
      <c r="A105" s="1"/>
      <c r="B105" s="1"/>
      <c r="C105" s="1"/>
      <c r="D105" s="1"/>
      <c r="E105" s="1"/>
      <c r="F105" s="1"/>
      <c r="G105" s="1"/>
    </row>
    <row r="106" customFormat="false" ht="15.75" hidden="false" customHeight="true" outlineLevel="0" collapsed="false">
      <c r="A106" s="1"/>
      <c r="B106" s="1"/>
      <c r="C106" s="1"/>
      <c r="D106" s="1"/>
      <c r="E106" s="1"/>
      <c r="F106" s="1"/>
      <c r="G106" s="1"/>
    </row>
    <row r="107" customFormat="false" ht="15.75" hidden="false" customHeight="true" outlineLevel="0" collapsed="false">
      <c r="A107" s="1"/>
      <c r="B107" s="1"/>
      <c r="C107" s="1"/>
      <c r="D107" s="1"/>
      <c r="E107" s="1"/>
      <c r="F107" s="1"/>
      <c r="G107" s="1"/>
    </row>
    <row r="108" customFormat="false" ht="15.75" hidden="false" customHeight="true" outlineLevel="0" collapsed="false">
      <c r="A108" s="1"/>
      <c r="B108" s="1"/>
      <c r="C108" s="1"/>
      <c r="D108" s="1"/>
      <c r="E108" s="1"/>
      <c r="F108" s="1"/>
      <c r="G108" s="1"/>
    </row>
    <row r="109" customFormat="false" ht="15.75" hidden="false" customHeight="true" outlineLevel="0" collapsed="false">
      <c r="A109" s="1"/>
      <c r="B109" s="1"/>
      <c r="C109" s="1"/>
      <c r="D109" s="1"/>
      <c r="E109" s="1"/>
      <c r="F109" s="1"/>
      <c r="G109" s="1"/>
    </row>
    <row r="110" customFormat="false" ht="15.75" hidden="false" customHeight="true" outlineLevel="0" collapsed="false">
      <c r="A110" s="1"/>
      <c r="B110" s="1"/>
      <c r="C110" s="1"/>
      <c r="D110" s="1"/>
      <c r="E110" s="1"/>
      <c r="F110" s="1"/>
      <c r="G110" s="1"/>
    </row>
    <row r="111" customFormat="false" ht="15.75" hidden="false" customHeight="true" outlineLevel="0" collapsed="false">
      <c r="A111" s="1"/>
      <c r="B111" s="1"/>
      <c r="C111" s="1"/>
      <c r="D111" s="1"/>
      <c r="E111" s="1"/>
      <c r="F111" s="1"/>
      <c r="G111" s="1"/>
    </row>
    <row r="112" customFormat="false" ht="15.75" hidden="false" customHeight="true" outlineLevel="0" collapsed="false">
      <c r="A112" s="1"/>
      <c r="B112" s="1"/>
      <c r="C112" s="1"/>
      <c r="D112" s="1"/>
      <c r="E112" s="1"/>
      <c r="F112" s="1"/>
      <c r="G112" s="1"/>
    </row>
    <row r="113" customFormat="false" ht="15.75" hidden="false" customHeight="true" outlineLevel="0" collapsed="false">
      <c r="A113" s="1"/>
      <c r="B113" s="1"/>
      <c r="C113" s="1"/>
      <c r="D113" s="1"/>
      <c r="E113" s="1"/>
      <c r="F113" s="1"/>
      <c r="G113" s="1"/>
    </row>
    <row r="114" customFormat="false" ht="15.75" hidden="false" customHeight="true" outlineLevel="0" collapsed="false">
      <c r="A114" s="1"/>
      <c r="B114" s="1"/>
      <c r="C114" s="1"/>
      <c r="D114" s="1"/>
      <c r="E114" s="1"/>
      <c r="F114" s="1"/>
      <c r="G114" s="1"/>
    </row>
    <row r="115" customFormat="false" ht="15.75" hidden="false" customHeight="true" outlineLevel="0" collapsed="false">
      <c r="A115" s="1"/>
      <c r="B115" s="1"/>
      <c r="C115" s="1"/>
      <c r="D115" s="1"/>
      <c r="E115" s="1"/>
      <c r="F115" s="1"/>
      <c r="G115" s="1"/>
    </row>
    <row r="116" customFormat="false" ht="15.75" hidden="false" customHeight="true" outlineLevel="0" collapsed="false">
      <c r="A116" s="1"/>
      <c r="B116" s="1"/>
      <c r="C116" s="1"/>
      <c r="D116" s="1"/>
      <c r="E116" s="1"/>
      <c r="F116" s="1"/>
      <c r="G116" s="1"/>
    </row>
    <row r="117" customFormat="false" ht="15.75" hidden="false" customHeight="true" outlineLevel="0" collapsed="false">
      <c r="A117" s="1"/>
      <c r="B117" s="1"/>
      <c r="C117" s="1"/>
      <c r="D117" s="1"/>
      <c r="E117" s="1"/>
      <c r="F117" s="1"/>
      <c r="G117" s="1"/>
    </row>
    <row r="118" customFormat="false" ht="15.75" hidden="false" customHeight="true" outlineLevel="0" collapsed="false">
      <c r="A118" s="1"/>
      <c r="B118" s="1"/>
      <c r="C118" s="1"/>
      <c r="D118" s="1"/>
      <c r="E118" s="1"/>
      <c r="F118" s="1"/>
      <c r="G118" s="1"/>
    </row>
    <row r="119" customFormat="false" ht="15.75" hidden="false" customHeight="true" outlineLevel="0" collapsed="false">
      <c r="A119" s="1"/>
      <c r="B119" s="1"/>
      <c r="C119" s="1"/>
      <c r="D119" s="1"/>
      <c r="E119" s="1"/>
      <c r="F119" s="1"/>
      <c r="G119" s="1"/>
    </row>
    <row r="120" customFormat="false" ht="15.75" hidden="false" customHeight="true" outlineLevel="0" collapsed="false">
      <c r="A120" s="1"/>
      <c r="B120" s="1"/>
      <c r="C120" s="1"/>
      <c r="D120" s="1"/>
      <c r="E120" s="1"/>
      <c r="F120" s="1"/>
      <c r="G120" s="1"/>
    </row>
    <row r="121" customFormat="false" ht="15.75" hidden="false" customHeight="true" outlineLevel="0" collapsed="false">
      <c r="A121" s="1"/>
      <c r="B121" s="1"/>
      <c r="C121" s="1"/>
      <c r="D121" s="1"/>
      <c r="E121" s="1"/>
      <c r="F121" s="1"/>
      <c r="G121" s="1"/>
    </row>
    <row r="122" customFormat="false" ht="15.75" hidden="false" customHeight="true" outlineLevel="0" collapsed="false">
      <c r="A122" s="1"/>
      <c r="B122" s="1"/>
      <c r="C122" s="1"/>
      <c r="D122" s="1"/>
      <c r="E122" s="1"/>
      <c r="F122" s="1"/>
      <c r="G122" s="1"/>
    </row>
    <row r="123" customFormat="false" ht="15.75" hidden="false" customHeight="true" outlineLevel="0" collapsed="false">
      <c r="A123" s="1"/>
      <c r="B123" s="1"/>
      <c r="C123" s="1"/>
      <c r="D123" s="1"/>
      <c r="E123" s="1"/>
      <c r="F123" s="1"/>
      <c r="G123" s="1"/>
    </row>
    <row r="124" customFormat="false" ht="15.75" hidden="false" customHeight="true" outlineLevel="0" collapsed="false">
      <c r="A124" s="1"/>
      <c r="B124" s="1"/>
      <c r="C124" s="1"/>
      <c r="D124" s="1"/>
      <c r="E124" s="1"/>
      <c r="F124" s="1"/>
      <c r="G124" s="1"/>
    </row>
    <row r="125" customFormat="false" ht="15.75" hidden="false" customHeight="true" outlineLevel="0" collapsed="false">
      <c r="A125" s="1"/>
      <c r="B125" s="1"/>
      <c r="C125" s="1"/>
      <c r="D125" s="1"/>
      <c r="E125" s="1"/>
      <c r="F125" s="1"/>
      <c r="G125" s="1"/>
    </row>
    <row r="126" customFormat="false" ht="15.75" hidden="false" customHeight="true" outlineLevel="0" collapsed="false">
      <c r="A126" s="1"/>
      <c r="B126" s="1"/>
      <c r="C126" s="1"/>
      <c r="D126" s="1"/>
      <c r="E126" s="1"/>
      <c r="F126" s="1"/>
      <c r="G126" s="1"/>
    </row>
    <row r="127" customFormat="false" ht="15.75" hidden="false" customHeight="true" outlineLevel="0" collapsed="false">
      <c r="A127" s="1"/>
      <c r="B127" s="1"/>
      <c r="C127" s="1"/>
      <c r="D127" s="1"/>
      <c r="E127" s="1"/>
      <c r="F127" s="1"/>
      <c r="G127" s="1"/>
    </row>
    <row r="128" customFormat="false" ht="15.75" hidden="false" customHeight="true" outlineLevel="0" collapsed="false">
      <c r="A128" s="1"/>
      <c r="B128" s="1"/>
      <c r="C128" s="1"/>
      <c r="D128" s="1"/>
      <c r="E128" s="1"/>
      <c r="F128" s="1"/>
      <c r="G128" s="1"/>
    </row>
    <row r="129" customFormat="false" ht="15.75" hidden="false" customHeight="true" outlineLevel="0" collapsed="false">
      <c r="A129" s="1"/>
      <c r="B129" s="1"/>
      <c r="C129" s="1"/>
      <c r="D129" s="1"/>
      <c r="E129" s="1"/>
      <c r="F129" s="1"/>
      <c r="G129" s="1"/>
    </row>
    <row r="130" customFormat="false" ht="15.75" hidden="false" customHeight="true" outlineLevel="0" collapsed="false">
      <c r="A130" s="1"/>
      <c r="B130" s="1"/>
      <c r="C130" s="1"/>
      <c r="D130" s="1"/>
      <c r="E130" s="1"/>
      <c r="F130" s="1"/>
      <c r="G130" s="1"/>
    </row>
    <row r="131" customFormat="false" ht="15.75" hidden="false" customHeight="true" outlineLevel="0" collapsed="false">
      <c r="A131" s="1"/>
      <c r="B131" s="1"/>
      <c r="C131" s="1"/>
      <c r="D131" s="1"/>
      <c r="E131" s="1"/>
      <c r="F131" s="1"/>
      <c r="G131" s="1"/>
    </row>
    <row r="132" customFormat="false" ht="15.75" hidden="false" customHeight="true" outlineLevel="0" collapsed="false">
      <c r="A132" s="1"/>
      <c r="B132" s="1"/>
      <c r="C132" s="1"/>
      <c r="D132" s="1"/>
      <c r="E132" s="1"/>
      <c r="F132" s="1"/>
      <c r="G132" s="1"/>
    </row>
    <row r="133" customFormat="false" ht="15.75" hidden="false" customHeight="true" outlineLevel="0" collapsed="false">
      <c r="A133" s="1"/>
      <c r="B133" s="1"/>
      <c r="C133" s="1"/>
      <c r="D133" s="1"/>
      <c r="E133" s="1"/>
      <c r="F133" s="1"/>
      <c r="G133" s="1"/>
    </row>
    <row r="134" customFormat="false" ht="15.75" hidden="false" customHeight="true" outlineLevel="0" collapsed="false">
      <c r="A134" s="1"/>
      <c r="B134" s="1"/>
      <c r="C134" s="1"/>
      <c r="D134" s="1"/>
      <c r="E134" s="1"/>
      <c r="F134" s="1"/>
      <c r="G134" s="1"/>
    </row>
    <row r="135" customFormat="false" ht="15.75" hidden="false" customHeight="true" outlineLevel="0" collapsed="false">
      <c r="A135" s="1"/>
      <c r="B135" s="1"/>
      <c r="C135" s="1"/>
      <c r="D135" s="1"/>
      <c r="E135" s="1"/>
      <c r="F135" s="1"/>
      <c r="G135" s="1"/>
    </row>
    <row r="136" customFormat="false" ht="15.75" hidden="false" customHeight="true" outlineLevel="0" collapsed="false">
      <c r="A136" s="1"/>
      <c r="B136" s="1"/>
      <c r="C136" s="1"/>
      <c r="D136" s="1"/>
      <c r="E136" s="1"/>
      <c r="F136" s="1"/>
      <c r="G136" s="1"/>
    </row>
    <row r="137" customFormat="false" ht="15.75" hidden="false" customHeight="true" outlineLevel="0" collapsed="false">
      <c r="A137" s="1"/>
      <c r="B137" s="1"/>
      <c r="C137" s="1"/>
      <c r="D137" s="1"/>
      <c r="E137" s="1"/>
      <c r="F137" s="1"/>
      <c r="G137" s="1"/>
    </row>
    <row r="138" customFormat="false" ht="15.75" hidden="false" customHeight="true" outlineLevel="0" collapsed="false">
      <c r="A138" s="1"/>
      <c r="B138" s="1"/>
      <c r="C138" s="1"/>
      <c r="D138" s="1"/>
      <c r="E138" s="1"/>
      <c r="F138" s="1"/>
      <c r="G138" s="1"/>
    </row>
    <row r="139" customFormat="false" ht="15.75" hidden="false" customHeight="true" outlineLevel="0" collapsed="false">
      <c r="A139" s="1"/>
      <c r="B139" s="1"/>
      <c r="C139" s="1"/>
      <c r="D139" s="1"/>
      <c r="E139" s="1"/>
      <c r="F139" s="1"/>
      <c r="G139" s="1"/>
    </row>
    <row r="140" customFormat="false" ht="15.75" hidden="false" customHeight="true" outlineLevel="0" collapsed="false">
      <c r="A140" s="1"/>
      <c r="B140" s="1"/>
      <c r="C140" s="1"/>
      <c r="D140" s="1"/>
      <c r="E140" s="1"/>
      <c r="F140" s="1"/>
      <c r="G140" s="1"/>
    </row>
    <row r="141" customFormat="false" ht="15.75" hidden="false" customHeight="true" outlineLevel="0" collapsed="false">
      <c r="A141" s="1"/>
      <c r="B141" s="1"/>
      <c r="C141" s="1"/>
      <c r="D141" s="1"/>
      <c r="E141" s="1"/>
      <c r="F141" s="1"/>
      <c r="G141" s="1"/>
    </row>
    <row r="142" customFormat="false" ht="15.75" hidden="false" customHeight="true" outlineLevel="0" collapsed="false">
      <c r="A142" s="1"/>
      <c r="B142" s="1"/>
      <c r="C142" s="1"/>
      <c r="D142" s="1"/>
      <c r="E142" s="1"/>
      <c r="F142" s="1"/>
      <c r="G142" s="1"/>
    </row>
    <row r="143" customFormat="false" ht="15.75" hidden="false" customHeight="true" outlineLevel="0" collapsed="false">
      <c r="A143" s="1"/>
      <c r="B143" s="1"/>
      <c r="C143" s="1"/>
      <c r="D143" s="1"/>
      <c r="E143" s="1"/>
      <c r="F143" s="1"/>
      <c r="G143" s="1"/>
    </row>
    <row r="144" customFormat="false" ht="15.75" hidden="false" customHeight="true" outlineLevel="0" collapsed="false">
      <c r="A144" s="1"/>
      <c r="B144" s="1"/>
      <c r="C144" s="1"/>
      <c r="D144" s="1"/>
      <c r="E144" s="1"/>
      <c r="F144" s="1"/>
      <c r="G144" s="1"/>
    </row>
    <row r="145" customFormat="false" ht="15.75" hidden="false" customHeight="true" outlineLevel="0" collapsed="false">
      <c r="A145" s="1"/>
      <c r="B145" s="1"/>
      <c r="C145" s="1"/>
      <c r="D145" s="1"/>
      <c r="E145" s="1"/>
      <c r="F145" s="1"/>
      <c r="G145" s="1"/>
    </row>
    <row r="146" customFormat="false" ht="15.75" hidden="false" customHeight="true" outlineLevel="0" collapsed="false">
      <c r="A146" s="1"/>
      <c r="B146" s="1"/>
      <c r="C146" s="1"/>
      <c r="D146" s="1"/>
      <c r="E146" s="1"/>
      <c r="F146" s="1"/>
      <c r="G146" s="1"/>
    </row>
    <row r="147" customFormat="false" ht="15.75" hidden="false" customHeight="true" outlineLevel="0" collapsed="false">
      <c r="A147" s="1"/>
      <c r="B147" s="1"/>
      <c r="C147" s="1"/>
      <c r="D147" s="1"/>
      <c r="E147" s="1"/>
      <c r="F147" s="1"/>
      <c r="G147" s="1"/>
    </row>
    <row r="148" customFormat="false" ht="15.75" hidden="false" customHeight="true" outlineLevel="0" collapsed="false">
      <c r="A148" s="1"/>
      <c r="B148" s="1"/>
      <c r="C148" s="1"/>
      <c r="D148" s="1"/>
      <c r="E148" s="1"/>
      <c r="F148" s="1"/>
      <c r="G148" s="1"/>
    </row>
    <row r="149" customFormat="false" ht="15.75" hidden="false" customHeight="true" outlineLevel="0" collapsed="false">
      <c r="A149" s="1"/>
      <c r="B149" s="1"/>
      <c r="C149" s="1"/>
      <c r="D149" s="1"/>
      <c r="E149" s="1"/>
      <c r="F149" s="1"/>
      <c r="G149" s="1"/>
    </row>
    <row r="150" customFormat="false" ht="15.75" hidden="false" customHeight="true" outlineLevel="0" collapsed="false">
      <c r="A150" s="1"/>
      <c r="B150" s="1"/>
      <c r="C150" s="1"/>
      <c r="D150" s="1"/>
      <c r="E150" s="1"/>
      <c r="F150" s="1"/>
      <c r="G150" s="1"/>
    </row>
    <row r="151" customFormat="false" ht="15.75" hidden="false" customHeight="true" outlineLevel="0" collapsed="false">
      <c r="A151" s="1"/>
      <c r="B151" s="1"/>
      <c r="C151" s="1"/>
      <c r="D151" s="1"/>
      <c r="E151" s="1"/>
      <c r="F151" s="1"/>
      <c r="G151" s="1"/>
    </row>
    <row r="152" customFormat="false" ht="15.75" hidden="false" customHeight="true" outlineLevel="0" collapsed="false">
      <c r="A152" s="1"/>
      <c r="B152" s="1"/>
      <c r="C152" s="1"/>
      <c r="D152" s="1"/>
      <c r="E152" s="1"/>
      <c r="F152" s="1"/>
      <c r="G152" s="1"/>
    </row>
    <row r="153" customFormat="false" ht="15.75" hidden="false" customHeight="true" outlineLevel="0" collapsed="false">
      <c r="A153" s="1"/>
      <c r="B153" s="1"/>
      <c r="C153" s="1"/>
      <c r="D153" s="1"/>
      <c r="E153" s="1"/>
      <c r="F153" s="1"/>
      <c r="G153" s="1"/>
    </row>
    <row r="154" customFormat="false" ht="15.75" hidden="false" customHeight="true" outlineLevel="0" collapsed="false">
      <c r="A154" s="1"/>
      <c r="B154" s="1"/>
      <c r="C154" s="1"/>
      <c r="D154" s="1"/>
      <c r="E154" s="1"/>
      <c r="F154" s="1"/>
      <c r="G154" s="1"/>
    </row>
    <row r="155" customFormat="false" ht="15.75" hidden="false" customHeight="true" outlineLevel="0" collapsed="false">
      <c r="A155" s="1"/>
      <c r="B155" s="1"/>
      <c r="C155" s="1"/>
      <c r="D155" s="1"/>
      <c r="E155" s="1"/>
      <c r="F155" s="1"/>
      <c r="G155" s="1"/>
    </row>
    <row r="156" customFormat="false" ht="15.75" hidden="false" customHeight="true" outlineLevel="0" collapsed="false">
      <c r="A156" s="1"/>
      <c r="B156" s="1"/>
      <c r="C156" s="1"/>
      <c r="D156" s="1"/>
      <c r="E156" s="1"/>
      <c r="F156" s="1"/>
      <c r="G156" s="1"/>
    </row>
    <row r="157" customFormat="false" ht="15.75" hidden="false" customHeight="true" outlineLevel="0" collapsed="false">
      <c r="A157" s="1"/>
      <c r="B157" s="1"/>
      <c r="C157" s="1"/>
      <c r="D157" s="1"/>
      <c r="E157" s="1"/>
      <c r="F157" s="1"/>
      <c r="G157" s="1"/>
    </row>
    <row r="158" customFormat="false" ht="15.75" hidden="false" customHeight="true" outlineLevel="0" collapsed="false">
      <c r="A158" s="1"/>
      <c r="B158" s="1"/>
      <c r="C158" s="1"/>
      <c r="D158" s="1"/>
      <c r="E158" s="1"/>
      <c r="F158" s="1"/>
      <c r="G158" s="1"/>
    </row>
    <row r="159" customFormat="false" ht="15.75" hidden="false" customHeight="true" outlineLevel="0" collapsed="false">
      <c r="A159" s="1"/>
      <c r="B159" s="1"/>
      <c r="C159" s="1"/>
      <c r="D159" s="1"/>
      <c r="E159" s="1"/>
      <c r="F159" s="1"/>
      <c r="G159" s="1"/>
    </row>
    <row r="160" customFormat="false" ht="15.75" hidden="false" customHeight="true" outlineLevel="0" collapsed="false">
      <c r="A160" s="1"/>
      <c r="B160" s="1"/>
      <c r="C160" s="1"/>
      <c r="D160" s="1"/>
      <c r="E160" s="1"/>
      <c r="F160" s="1"/>
      <c r="G160" s="1"/>
    </row>
    <row r="161" customFormat="false" ht="15.75" hidden="false" customHeight="true" outlineLevel="0" collapsed="false">
      <c r="A161" s="1"/>
      <c r="B161" s="1"/>
      <c r="C161" s="1"/>
      <c r="D161" s="1"/>
      <c r="E161" s="1"/>
      <c r="F161" s="1"/>
      <c r="G161" s="1"/>
    </row>
    <row r="162" customFormat="false" ht="15.75" hidden="false" customHeight="true" outlineLevel="0" collapsed="false">
      <c r="A162" s="1"/>
      <c r="B162" s="1"/>
      <c r="C162" s="1"/>
      <c r="D162" s="1"/>
      <c r="E162" s="1"/>
      <c r="F162" s="1"/>
      <c r="G162" s="1"/>
    </row>
    <row r="163" customFormat="false" ht="15.75" hidden="false" customHeight="true" outlineLevel="0" collapsed="false">
      <c r="A163" s="1"/>
      <c r="B163" s="1"/>
      <c r="C163" s="1"/>
      <c r="D163" s="1"/>
      <c r="E163" s="1"/>
      <c r="F163" s="1"/>
      <c r="G163" s="1"/>
    </row>
    <row r="164" customFormat="false" ht="15.75" hidden="false" customHeight="true" outlineLevel="0" collapsed="false">
      <c r="A164" s="1"/>
      <c r="B164" s="1"/>
      <c r="C164" s="1"/>
      <c r="D164" s="1"/>
      <c r="E164" s="1"/>
      <c r="F164" s="1"/>
      <c r="G164" s="1"/>
    </row>
    <row r="165" customFormat="false" ht="15.75" hidden="false" customHeight="true" outlineLevel="0" collapsed="false">
      <c r="A165" s="1"/>
      <c r="B165" s="1"/>
      <c r="C165" s="1"/>
      <c r="D165" s="1"/>
      <c r="E165" s="1"/>
      <c r="F165" s="1"/>
      <c r="G165" s="1"/>
    </row>
    <row r="166" customFormat="false" ht="15.75" hidden="false" customHeight="true" outlineLevel="0" collapsed="false">
      <c r="A166" s="1"/>
      <c r="B166" s="1"/>
      <c r="C166" s="1"/>
      <c r="D166" s="1"/>
      <c r="E166" s="1"/>
      <c r="F166" s="1"/>
      <c r="G166" s="1"/>
    </row>
    <row r="167" customFormat="false" ht="15.75" hidden="false" customHeight="true" outlineLevel="0" collapsed="false">
      <c r="A167" s="1"/>
      <c r="B167" s="1"/>
      <c r="C167" s="1"/>
      <c r="D167" s="1"/>
      <c r="E167" s="1"/>
      <c r="F167" s="1"/>
      <c r="G167" s="1"/>
    </row>
    <row r="168" customFormat="false" ht="15.75" hidden="false" customHeight="true" outlineLevel="0" collapsed="false">
      <c r="A168" s="1"/>
      <c r="B168" s="1"/>
      <c r="C168" s="1"/>
      <c r="D168" s="1"/>
      <c r="E168" s="1"/>
      <c r="F168" s="1"/>
      <c r="G168" s="1"/>
    </row>
    <row r="169" customFormat="false" ht="15.75" hidden="false" customHeight="true" outlineLevel="0" collapsed="false">
      <c r="A169" s="1"/>
      <c r="B169" s="1"/>
      <c r="C169" s="1"/>
      <c r="D169" s="1"/>
      <c r="E169" s="1"/>
      <c r="F169" s="1"/>
      <c r="G169" s="1"/>
    </row>
    <row r="170" customFormat="false" ht="15.75" hidden="false" customHeight="true" outlineLevel="0" collapsed="false">
      <c r="A170" s="1"/>
      <c r="B170" s="1"/>
      <c r="C170" s="1"/>
      <c r="D170" s="1"/>
      <c r="E170" s="1"/>
      <c r="F170" s="1"/>
      <c r="G170" s="1"/>
    </row>
    <row r="171" customFormat="false" ht="15.75" hidden="false" customHeight="true" outlineLevel="0" collapsed="false">
      <c r="A171" s="1"/>
      <c r="B171" s="1"/>
      <c r="C171" s="1"/>
      <c r="D171" s="1"/>
      <c r="E171" s="1"/>
      <c r="F171" s="1"/>
      <c r="G171" s="1"/>
    </row>
    <row r="172" customFormat="false" ht="15.75" hidden="false" customHeight="true" outlineLevel="0" collapsed="false">
      <c r="A172" s="1"/>
      <c r="B172" s="1"/>
      <c r="C172" s="1"/>
      <c r="D172" s="1"/>
      <c r="E172" s="1"/>
      <c r="F172" s="1"/>
      <c r="G172" s="1"/>
    </row>
    <row r="173" customFormat="false" ht="15.75" hidden="false" customHeight="true" outlineLevel="0" collapsed="false">
      <c r="A173" s="1"/>
      <c r="B173" s="1"/>
      <c r="C173" s="1"/>
      <c r="D173" s="1"/>
      <c r="E173" s="1"/>
      <c r="F173" s="1"/>
      <c r="G173" s="1"/>
    </row>
    <row r="174" customFormat="false" ht="15.75" hidden="false" customHeight="true" outlineLevel="0" collapsed="false">
      <c r="A174" s="1"/>
      <c r="B174" s="1"/>
      <c r="C174" s="1"/>
      <c r="D174" s="1"/>
      <c r="E174" s="1"/>
      <c r="F174" s="1"/>
      <c r="G174" s="1"/>
    </row>
    <row r="175" customFormat="false" ht="15.75" hidden="false" customHeight="true" outlineLevel="0" collapsed="false">
      <c r="A175" s="1"/>
      <c r="B175" s="1"/>
      <c r="C175" s="1"/>
      <c r="D175" s="1"/>
      <c r="E175" s="1"/>
      <c r="F175" s="1"/>
      <c r="G175" s="1"/>
    </row>
    <row r="176" customFormat="false" ht="15.75" hidden="false" customHeight="true" outlineLevel="0" collapsed="false">
      <c r="A176" s="1"/>
      <c r="B176" s="1"/>
      <c r="C176" s="1"/>
      <c r="D176" s="1"/>
      <c r="E176" s="1"/>
      <c r="F176" s="1"/>
      <c r="G176" s="1"/>
    </row>
    <row r="177" customFormat="false" ht="15.75" hidden="false" customHeight="true" outlineLevel="0" collapsed="false">
      <c r="A177" s="1"/>
      <c r="B177" s="1"/>
      <c r="C177" s="1"/>
      <c r="D177" s="1"/>
      <c r="E177" s="1"/>
      <c r="F177" s="1"/>
      <c r="G177" s="1"/>
    </row>
    <row r="178" customFormat="false" ht="15.75" hidden="false" customHeight="true" outlineLevel="0" collapsed="false">
      <c r="A178" s="1"/>
      <c r="B178" s="1"/>
      <c r="C178" s="1"/>
      <c r="D178" s="1"/>
      <c r="E178" s="1"/>
      <c r="F178" s="1"/>
      <c r="G178" s="1"/>
    </row>
    <row r="179" customFormat="false" ht="15.75" hidden="false" customHeight="true" outlineLevel="0" collapsed="false">
      <c r="A179" s="1"/>
      <c r="B179" s="1"/>
      <c r="C179" s="1"/>
      <c r="D179" s="1"/>
      <c r="E179" s="1"/>
      <c r="F179" s="1"/>
      <c r="G179" s="1"/>
    </row>
    <row r="180" customFormat="false" ht="15.75" hidden="false" customHeight="true" outlineLevel="0" collapsed="false">
      <c r="A180" s="1"/>
      <c r="B180" s="1"/>
      <c r="C180" s="1"/>
      <c r="D180" s="1"/>
      <c r="E180" s="1"/>
      <c r="F180" s="1"/>
      <c r="G180" s="1"/>
    </row>
    <row r="181" customFormat="false" ht="15.75" hidden="false" customHeight="true" outlineLevel="0" collapsed="false">
      <c r="A181" s="1"/>
      <c r="B181" s="1"/>
      <c r="C181" s="1"/>
      <c r="D181" s="1"/>
      <c r="E181" s="1"/>
      <c r="F181" s="1"/>
      <c r="G181" s="1"/>
    </row>
    <row r="182" customFormat="false" ht="15.75" hidden="false" customHeight="true" outlineLevel="0" collapsed="false">
      <c r="A182" s="1"/>
      <c r="B182" s="1"/>
      <c r="C182" s="1"/>
      <c r="D182" s="1"/>
      <c r="E182" s="1"/>
      <c r="F182" s="1"/>
      <c r="G182" s="1"/>
    </row>
    <row r="183" customFormat="false" ht="15.75" hidden="false" customHeight="true" outlineLevel="0" collapsed="false">
      <c r="A183" s="1"/>
      <c r="B183" s="1"/>
      <c r="C183" s="1"/>
      <c r="D183" s="1"/>
      <c r="E183" s="1"/>
      <c r="F183" s="1"/>
      <c r="G183" s="1"/>
    </row>
    <row r="184" customFormat="false" ht="15.75" hidden="false" customHeight="true" outlineLevel="0" collapsed="false">
      <c r="A184" s="1"/>
      <c r="B184" s="1"/>
      <c r="C184" s="1"/>
      <c r="D184" s="1"/>
      <c r="E184" s="1"/>
      <c r="F184" s="1"/>
      <c r="G184" s="1"/>
    </row>
    <row r="185" customFormat="false" ht="15.75" hidden="false" customHeight="true" outlineLevel="0" collapsed="false">
      <c r="A185" s="1"/>
      <c r="B185" s="1"/>
      <c r="C185" s="1"/>
      <c r="D185" s="1"/>
      <c r="E185" s="1"/>
      <c r="F185" s="1"/>
      <c r="G185" s="1"/>
    </row>
    <row r="186" customFormat="false" ht="15.75" hidden="false" customHeight="true" outlineLevel="0" collapsed="false">
      <c r="A186" s="1"/>
      <c r="B186" s="1"/>
      <c r="C186" s="1"/>
      <c r="D186" s="1"/>
      <c r="E186" s="1"/>
      <c r="F186" s="1"/>
      <c r="G186" s="1"/>
    </row>
    <row r="187" customFormat="false" ht="15.75" hidden="false" customHeight="true" outlineLevel="0" collapsed="false">
      <c r="A187" s="1"/>
      <c r="B187" s="1"/>
      <c r="C187" s="1"/>
      <c r="D187" s="1"/>
      <c r="E187" s="1"/>
      <c r="F187" s="1"/>
      <c r="G187" s="1"/>
    </row>
    <row r="188" customFormat="false" ht="15.75" hidden="false" customHeight="true" outlineLevel="0" collapsed="false">
      <c r="A188" s="1"/>
      <c r="B188" s="1"/>
      <c r="C188" s="1"/>
      <c r="D188" s="1"/>
      <c r="E188" s="1"/>
      <c r="F188" s="1"/>
      <c r="G188" s="1"/>
    </row>
    <row r="189" customFormat="false" ht="15.75" hidden="false" customHeight="true" outlineLevel="0" collapsed="false">
      <c r="A189" s="1"/>
      <c r="B189" s="1"/>
      <c r="C189" s="1"/>
      <c r="D189" s="1"/>
      <c r="E189" s="1"/>
      <c r="F189" s="1"/>
      <c r="G189" s="1"/>
    </row>
    <row r="190" customFormat="false" ht="15.75" hidden="false" customHeight="true" outlineLevel="0" collapsed="false">
      <c r="A190" s="1"/>
      <c r="B190" s="1"/>
      <c r="C190" s="1"/>
      <c r="D190" s="1"/>
      <c r="E190" s="1"/>
      <c r="F190" s="1"/>
      <c r="G190" s="1"/>
    </row>
    <row r="191" customFormat="false" ht="15.75" hidden="false" customHeight="true" outlineLevel="0" collapsed="false">
      <c r="A191" s="1"/>
      <c r="B191" s="1"/>
      <c r="C191" s="1"/>
      <c r="D191" s="1"/>
      <c r="E191" s="1"/>
      <c r="F191" s="1"/>
      <c r="G191" s="1"/>
    </row>
    <row r="192" customFormat="false" ht="15.75" hidden="false" customHeight="true" outlineLevel="0" collapsed="false">
      <c r="A192" s="1"/>
      <c r="B192" s="1"/>
      <c r="C192" s="1"/>
      <c r="D192" s="1"/>
      <c r="E192" s="1"/>
      <c r="F192" s="1"/>
      <c r="G192" s="1"/>
    </row>
    <row r="193" customFormat="false" ht="15.75" hidden="false" customHeight="true" outlineLevel="0" collapsed="false">
      <c r="A193" s="1"/>
      <c r="B193" s="1"/>
      <c r="C193" s="1"/>
      <c r="D193" s="1"/>
      <c r="E193" s="1"/>
      <c r="F193" s="1"/>
      <c r="G193" s="1"/>
    </row>
    <row r="194" customFormat="false" ht="15.75" hidden="false" customHeight="true" outlineLevel="0" collapsed="false">
      <c r="A194" s="1"/>
      <c r="B194" s="1"/>
      <c r="C194" s="1"/>
      <c r="D194" s="1"/>
      <c r="E194" s="1"/>
      <c r="F194" s="1"/>
      <c r="G194" s="1"/>
    </row>
    <row r="195" customFormat="false" ht="15.75" hidden="false" customHeight="true" outlineLevel="0" collapsed="false">
      <c r="A195" s="1"/>
      <c r="B195" s="1"/>
      <c r="C195" s="1"/>
      <c r="D195" s="1"/>
      <c r="E195" s="1"/>
      <c r="F195" s="1"/>
      <c r="G195" s="1"/>
    </row>
    <row r="196" customFormat="false" ht="15.75" hidden="false" customHeight="true" outlineLevel="0" collapsed="false">
      <c r="A196" s="1"/>
      <c r="B196" s="1"/>
      <c r="C196" s="1"/>
      <c r="D196" s="1"/>
      <c r="E196" s="1"/>
      <c r="F196" s="1"/>
      <c r="G196" s="1"/>
    </row>
    <row r="197" customFormat="false" ht="15.75" hidden="false" customHeight="true" outlineLevel="0" collapsed="false">
      <c r="A197" s="1"/>
      <c r="B197" s="1"/>
      <c r="C197" s="1"/>
      <c r="D197" s="1"/>
      <c r="E197" s="1"/>
      <c r="F197" s="1"/>
      <c r="G197" s="1"/>
    </row>
    <row r="198" customFormat="false" ht="15.75" hidden="false" customHeight="true" outlineLevel="0" collapsed="false">
      <c r="A198" s="1"/>
      <c r="B198" s="1"/>
      <c r="C198" s="1"/>
      <c r="D198" s="1"/>
      <c r="E198" s="1"/>
      <c r="F198" s="1"/>
      <c r="G198" s="1"/>
    </row>
    <row r="199" customFormat="false" ht="15.75" hidden="false" customHeight="true" outlineLevel="0" collapsed="false">
      <c r="A199" s="1"/>
      <c r="B199" s="1"/>
      <c r="C199" s="1"/>
      <c r="D199" s="1"/>
      <c r="E199" s="1"/>
      <c r="F199" s="1"/>
      <c r="G199" s="1"/>
    </row>
    <row r="200" customFormat="false" ht="15.75" hidden="false" customHeight="true" outlineLevel="0" collapsed="false">
      <c r="A200" s="1"/>
      <c r="B200" s="1"/>
      <c r="C200" s="1"/>
      <c r="D200" s="1"/>
      <c r="E200" s="1"/>
      <c r="F200" s="1"/>
      <c r="G200" s="1"/>
    </row>
    <row r="201" customFormat="false" ht="15.75" hidden="false" customHeight="true" outlineLevel="0" collapsed="false">
      <c r="A201" s="1"/>
      <c r="B201" s="1"/>
      <c r="C201" s="1"/>
      <c r="D201" s="1"/>
      <c r="E201" s="1"/>
      <c r="F201" s="1"/>
      <c r="G201" s="1"/>
    </row>
    <row r="202" customFormat="false" ht="15.75" hidden="false" customHeight="true" outlineLevel="0" collapsed="false">
      <c r="A202" s="1"/>
      <c r="B202" s="1"/>
      <c r="C202" s="1"/>
      <c r="D202" s="1"/>
      <c r="E202" s="1"/>
      <c r="F202" s="1"/>
      <c r="G202" s="1"/>
    </row>
    <row r="203" customFormat="false" ht="15.75" hidden="false" customHeight="true" outlineLevel="0" collapsed="false">
      <c r="A203" s="1"/>
      <c r="B203" s="1"/>
      <c r="C203" s="1"/>
      <c r="D203" s="1"/>
      <c r="E203" s="1"/>
      <c r="F203" s="1"/>
      <c r="G203" s="1"/>
    </row>
    <row r="204" customFormat="false" ht="15.75" hidden="false" customHeight="true" outlineLevel="0" collapsed="false">
      <c r="A204" s="1"/>
      <c r="B204" s="1"/>
      <c r="C204" s="1"/>
      <c r="D204" s="1"/>
      <c r="E204" s="1"/>
      <c r="F204" s="1"/>
      <c r="G204" s="1"/>
    </row>
    <row r="205" customFormat="false" ht="15.75" hidden="false" customHeight="true" outlineLevel="0" collapsed="false">
      <c r="A205" s="1"/>
      <c r="B205" s="1"/>
      <c r="C205" s="1"/>
      <c r="D205" s="1"/>
      <c r="E205" s="1"/>
      <c r="F205" s="1"/>
      <c r="G205" s="1"/>
    </row>
    <row r="206" customFormat="false" ht="15.75" hidden="false" customHeight="true" outlineLevel="0" collapsed="false">
      <c r="A206" s="1"/>
      <c r="B206" s="1"/>
      <c r="C206" s="1"/>
      <c r="D206" s="1"/>
      <c r="E206" s="1"/>
      <c r="F206" s="1"/>
      <c r="G206" s="1"/>
    </row>
    <row r="207" customFormat="false" ht="15.75" hidden="false" customHeight="true" outlineLevel="0" collapsed="false">
      <c r="A207" s="1"/>
      <c r="B207" s="1"/>
      <c r="C207" s="1"/>
      <c r="D207" s="1"/>
      <c r="E207" s="1"/>
      <c r="F207" s="1"/>
      <c r="G207" s="1"/>
    </row>
    <row r="208" customFormat="false" ht="15.75" hidden="false" customHeight="true" outlineLevel="0" collapsed="false">
      <c r="A208" s="1"/>
      <c r="B208" s="1"/>
      <c r="C208" s="1"/>
      <c r="D208" s="1"/>
      <c r="E208" s="1"/>
      <c r="F208" s="1"/>
      <c r="G208" s="1"/>
    </row>
    <row r="209" customFormat="false" ht="15.75" hidden="false" customHeight="true" outlineLevel="0" collapsed="false">
      <c r="A209" s="1"/>
      <c r="B209" s="1"/>
      <c r="C209" s="1"/>
      <c r="D209" s="1"/>
      <c r="E209" s="1"/>
      <c r="F209" s="1"/>
      <c r="G209" s="1"/>
    </row>
    <row r="210" customFormat="false" ht="15.75" hidden="false" customHeight="true" outlineLevel="0" collapsed="false">
      <c r="A210" s="1"/>
      <c r="B210" s="1"/>
      <c r="C210" s="1"/>
      <c r="D210" s="1"/>
      <c r="E210" s="1"/>
      <c r="F210" s="1"/>
      <c r="G210" s="1"/>
    </row>
    <row r="211" customFormat="false" ht="15.75" hidden="false" customHeight="true" outlineLevel="0" collapsed="false">
      <c r="A211" s="1"/>
      <c r="B211" s="1"/>
      <c r="C211" s="1"/>
      <c r="D211" s="1"/>
      <c r="E211" s="1"/>
      <c r="F211" s="1"/>
      <c r="G211" s="1"/>
    </row>
    <row r="212" customFormat="false" ht="15.75" hidden="false" customHeight="true" outlineLevel="0" collapsed="false">
      <c r="A212" s="1"/>
      <c r="B212" s="1"/>
      <c r="C212" s="1"/>
      <c r="D212" s="1"/>
      <c r="E212" s="1"/>
      <c r="F212" s="1"/>
      <c r="G212" s="1"/>
    </row>
    <row r="213" customFormat="false" ht="15.75" hidden="false" customHeight="true" outlineLevel="0" collapsed="false">
      <c r="A213" s="1"/>
      <c r="B213" s="1"/>
      <c r="C213" s="1"/>
      <c r="D213" s="1"/>
      <c r="E213" s="1"/>
      <c r="F213" s="1"/>
      <c r="G213" s="1"/>
    </row>
    <row r="214" customFormat="false" ht="15.75" hidden="false" customHeight="true" outlineLevel="0" collapsed="false">
      <c r="A214" s="1"/>
      <c r="B214" s="1"/>
      <c r="C214" s="1"/>
      <c r="D214" s="1"/>
      <c r="E214" s="1"/>
      <c r="F214" s="1"/>
      <c r="G214" s="1"/>
    </row>
    <row r="215" customFormat="false" ht="15.75" hidden="false" customHeight="true" outlineLevel="0" collapsed="false">
      <c r="A215" s="1"/>
      <c r="B215" s="1"/>
      <c r="C215" s="1"/>
      <c r="D215" s="1"/>
      <c r="E215" s="1"/>
      <c r="F215" s="1"/>
      <c r="G215" s="1"/>
    </row>
    <row r="216" customFormat="false" ht="15.75" hidden="false" customHeight="true" outlineLevel="0" collapsed="false">
      <c r="A216" s="1"/>
      <c r="B216" s="1"/>
      <c r="C216" s="1"/>
      <c r="D216" s="1"/>
      <c r="E216" s="1"/>
      <c r="F216" s="1"/>
      <c r="G216" s="1"/>
    </row>
    <row r="217" customFormat="false" ht="15.75" hidden="false" customHeight="true" outlineLevel="0" collapsed="false">
      <c r="A217" s="1"/>
      <c r="B217" s="1"/>
      <c r="C217" s="1"/>
      <c r="D217" s="1"/>
      <c r="E217" s="1"/>
      <c r="F217" s="1"/>
      <c r="G217" s="1"/>
    </row>
    <row r="218" customFormat="false" ht="15.75" hidden="false" customHeight="true" outlineLevel="0" collapsed="false">
      <c r="A218" s="1"/>
      <c r="B218" s="1"/>
      <c r="C218" s="1"/>
      <c r="D218" s="1"/>
      <c r="E218" s="1"/>
      <c r="F218" s="1"/>
      <c r="G218" s="1"/>
    </row>
    <row r="219" customFormat="false" ht="15.75" hidden="false" customHeight="true" outlineLevel="0" collapsed="false">
      <c r="A219" s="1"/>
      <c r="B219" s="1"/>
      <c r="C219" s="1"/>
      <c r="D219" s="1"/>
      <c r="E219" s="1"/>
      <c r="F219" s="1"/>
      <c r="G219" s="1"/>
    </row>
    <row r="220" customFormat="false" ht="15.75" hidden="false" customHeight="true" outlineLevel="0" collapsed="false">
      <c r="A220" s="1"/>
      <c r="B220" s="1"/>
      <c r="C220" s="1"/>
      <c r="D220" s="1"/>
      <c r="E220" s="1"/>
      <c r="F220" s="1"/>
      <c r="G220" s="1"/>
    </row>
    <row r="221" customFormat="false" ht="15.75" hidden="false" customHeight="true" outlineLevel="0" collapsed="false">
      <c r="A221" s="1"/>
      <c r="B221" s="1"/>
      <c r="C221" s="1"/>
      <c r="D221" s="1"/>
      <c r="E221" s="1"/>
      <c r="F221" s="1"/>
      <c r="G221" s="1"/>
    </row>
    <row r="222" customFormat="false" ht="15.75" hidden="false" customHeight="true" outlineLevel="0" collapsed="false">
      <c r="A222" s="1"/>
      <c r="B222" s="1"/>
      <c r="C222" s="1"/>
      <c r="D222" s="1"/>
      <c r="E222" s="1"/>
      <c r="F222" s="1"/>
      <c r="G222" s="1"/>
    </row>
    <row r="223" customFormat="false" ht="15.75" hidden="false" customHeight="true" outlineLevel="0" collapsed="false">
      <c r="A223" s="1"/>
      <c r="B223" s="1"/>
      <c r="C223" s="1"/>
      <c r="D223" s="1"/>
      <c r="E223" s="1"/>
      <c r="F223" s="1"/>
      <c r="G223" s="1"/>
    </row>
    <row r="224" customFormat="false" ht="15.75" hidden="false" customHeight="true" outlineLevel="0" collapsed="false">
      <c r="A224" s="1"/>
      <c r="B224" s="1"/>
      <c r="C224" s="1"/>
      <c r="D224" s="1"/>
      <c r="E224" s="1"/>
      <c r="F224" s="1"/>
      <c r="G224" s="1"/>
    </row>
    <row r="225" customFormat="false" ht="15.75" hidden="false" customHeight="true" outlineLevel="0" collapsed="false">
      <c r="A225" s="1"/>
      <c r="B225" s="1"/>
      <c r="C225" s="1"/>
      <c r="D225" s="1"/>
      <c r="E225" s="1"/>
      <c r="F225" s="1"/>
      <c r="G225" s="1"/>
    </row>
    <row r="226" customFormat="false" ht="15.75" hidden="false" customHeight="true" outlineLevel="0" collapsed="false">
      <c r="A226" s="1"/>
      <c r="B226" s="1"/>
      <c r="C226" s="1"/>
      <c r="D226" s="1"/>
      <c r="E226" s="1"/>
      <c r="F226" s="1"/>
      <c r="G226" s="1"/>
    </row>
    <row r="227" customFormat="false" ht="15.75" hidden="false" customHeight="true" outlineLevel="0" collapsed="false">
      <c r="A227" s="1"/>
      <c r="B227" s="1"/>
      <c r="C227" s="1"/>
      <c r="D227" s="1"/>
      <c r="E227" s="1"/>
      <c r="F227" s="1"/>
      <c r="G227" s="1"/>
    </row>
    <row r="228" customFormat="false" ht="15.75" hidden="false" customHeight="true" outlineLevel="0" collapsed="false">
      <c r="A228" s="1"/>
      <c r="B228" s="1"/>
      <c r="C228" s="1"/>
      <c r="D228" s="1"/>
      <c r="E228" s="1"/>
      <c r="F228" s="1"/>
      <c r="G228" s="1"/>
    </row>
    <row r="229" customFormat="false" ht="15.75" hidden="false" customHeight="true" outlineLevel="0" collapsed="false">
      <c r="A229" s="1"/>
      <c r="B229" s="1"/>
      <c r="C229" s="1"/>
      <c r="D229" s="1"/>
      <c r="E229" s="1"/>
      <c r="F229" s="1"/>
      <c r="G229" s="1"/>
    </row>
    <row r="230" customFormat="false" ht="15.75" hidden="false" customHeight="true" outlineLevel="0" collapsed="false">
      <c r="A230" s="1"/>
      <c r="B230" s="1"/>
      <c r="C230" s="1"/>
      <c r="D230" s="1"/>
      <c r="E230" s="1"/>
      <c r="F230" s="1"/>
      <c r="G230" s="1"/>
    </row>
    <row r="231" customFormat="false" ht="15.75" hidden="false" customHeight="true" outlineLevel="0" collapsed="false">
      <c r="A231" s="1"/>
      <c r="B231" s="1"/>
      <c r="C231" s="1"/>
      <c r="D231" s="1"/>
      <c r="E231" s="1"/>
      <c r="F231" s="1"/>
      <c r="G231" s="1"/>
    </row>
    <row r="232" customFormat="false" ht="15.75" hidden="false" customHeight="true" outlineLevel="0" collapsed="false">
      <c r="A232" s="1"/>
      <c r="B232" s="1"/>
      <c r="C232" s="1"/>
      <c r="D232" s="1"/>
      <c r="E232" s="1"/>
      <c r="F232" s="1"/>
      <c r="G232" s="1"/>
    </row>
    <row r="233" customFormat="false" ht="15.75" hidden="false" customHeight="true" outlineLevel="0" collapsed="false">
      <c r="A233" s="1"/>
      <c r="B233" s="1"/>
      <c r="C233" s="1"/>
      <c r="D233" s="1"/>
      <c r="E233" s="1"/>
      <c r="F233" s="1"/>
      <c r="G233" s="1"/>
    </row>
    <row r="234" customFormat="false" ht="15.75" hidden="false" customHeight="true" outlineLevel="0" collapsed="false">
      <c r="A234" s="1"/>
      <c r="B234" s="1"/>
      <c r="C234" s="1"/>
      <c r="D234" s="1"/>
      <c r="E234" s="1"/>
      <c r="F234" s="1"/>
      <c r="G234" s="1"/>
    </row>
    <row r="235" customFormat="false" ht="15.75" hidden="false" customHeight="true" outlineLevel="0" collapsed="false">
      <c r="A235" s="1"/>
      <c r="B235" s="1"/>
      <c r="C235" s="1"/>
      <c r="D235" s="1"/>
      <c r="E235" s="1"/>
      <c r="F235" s="1"/>
      <c r="G235" s="1"/>
    </row>
    <row r="236" customFormat="false" ht="15.75" hidden="false" customHeight="true" outlineLevel="0" collapsed="false">
      <c r="A236" s="1"/>
      <c r="B236" s="1"/>
      <c r="C236" s="1"/>
      <c r="D236" s="1"/>
      <c r="E236" s="1"/>
      <c r="F236" s="1"/>
      <c r="G236" s="1"/>
    </row>
    <row r="237" customFormat="false" ht="15.75" hidden="false" customHeight="true" outlineLevel="0" collapsed="false">
      <c r="A237" s="1"/>
      <c r="B237" s="1"/>
      <c r="C237" s="1"/>
      <c r="D237" s="1"/>
      <c r="E237" s="1"/>
      <c r="F237" s="1"/>
      <c r="G237" s="1"/>
    </row>
    <row r="238" customFormat="false" ht="15.75" hidden="false" customHeight="true" outlineLevel="0" collapsed="false">
      <c r="A238" s="1"/>
      <c r="B238" s="1"/>
      <c r="C238" s="1"/>
      <c r="D238" s="1"/>
      <c r="E238" s="1"/>
      <c r="F238" s="1"/>
      <c r="G238" s="1"/>
    </row>
    <row r="239" customFormat="false" ht="15.75" hidden="false" customHeight="true" outlineLevel="0" collapsed="false">
      <c r="A239" s="1"/>
      <c r="B239" s="1"/>
      <c r="C239" s="1"/>
      <c r="D239" s="1"/>
      <c r="E239" s="1"/>
      <c r="F239" s="1"/>
      <c r="G239" s="1"/>
    </row>
    <row r="240" customFormat="false" ht="15.75" hidden="false" customHeight="true" outlineLevel="0" collapsed="false">
      <c r="A240" s="1"/>
      <c r="B240" s="1"/>
      <c r="C240" s="1"/>
      <c r="D240" s="1"/>
      <c r="E240" s="1"/>
      <c r="F240" s="1"/>
      <c r="G240" s="1"/>
    </row>
    <row r="241" customFormat="false" ht="15.75" hidden="false" customHeight="true" outlineLevel="0" collapsed="false">
      <c r="A241" s="1"/>
      <c r="B241" s="1"/>
      <c r="C241" s="1"/>
      <c r="D241" s="1"/>
      <c r="E241" s="1"/>
      <c r="F241" s="1"/>
      <c r="G241" s="1"/>
    </row>
    <row r="242" customFormat="false" ht="15.75" hidden="false" customHeight="true" outlineLevel="0" collapsed="false">
      <c r="A242" s="1"/>
      <c r="B242" s="1"/>
      <c r="C242" s="1"/>
      <c r="D242" s="1"/>
      <c r="E242" s="1"/>
      <c r="F242" s="1"/>
      <c r="G242" s="1"/>
    </row>
    <row r="243" customFormat="false" ht="15.75" hidden="false" customHeight="true" outlineLevel="0" collapsed="false">
      <c r="A243" s="1"/>
      <c r="B243" s="1"/>
      <c r="C243" s="1"/>
      <c r="D243" s="1"/>
      <c r="E243" s="1"/>
      <c r="F243" s="1"/>
      <c r="G243" s="1"/>
    </row>
    <row r="244" customFormat="false" ht="15.75" hidden="false" customHeight="true" outlineLevel="0" collapsed="false">
      <c r="A244" s="1"/>
      <c r="B244" s="1"/>
      <c r="C244" s="1"/>
      <c r="D244" s="1"/>
      <c r="E244" s="1"/>
      <c r="F244" s="1"/>
      <c r="G244" s="1"/>
    </row>
    <row r="245" customFormat="false" ht="15.75" hidden="false" customHeight="true" outlineLevel="0" collapsed="false">
      <c r="A245" s="1"/>
      <c r="B245" s="1"/>
      <c r="C245" s="1"/>
      <c r="D245" s="1"/>
      <c r="E245" s="1"/>
      <c r="F245" s="1"/>
      <c r="G245" s="1"/>
    </row>
    <row r="246" customFormat="false" ht="15.75" hidden="false" customHeight="true" outlineLevel="0" collapsed="false">
      <c r="A246" s="1"/>
      <c r="B246" s="1"/>
      <c r="C246" s="1"/>
      <c r="D246" s="1"/>
      <c r="E246" s="1"/>
      <c r="F246" s="1"/>
      <c r="G246" s="1"/>
    </row>
    <row r="247" customFormat="false" ht="15.75" hidden="false" customHeight="true" outlineLevel="0" collapsed="false">
      <c r="A247" s="1"/>
      <c r="B247" s="1"/>
      <c r="C247" s="1"/>
      <c r="D247" s="1"/>
      <c r="E247" s="1"/>
      <c r="F247" s="1"/>
      <c r="G247" s="1"/>
    </row>
    <row r="248" customFormat="false" ht="15.75" hidden="false" customHeight="true" outlineLevel="0" collapsed="false">
      <c r="A248" s="1"/>
      <c r="B248" s="1"/>
      <c r="C248" s="1"/>
      <c r="D248" s="1"/>
      <c r="E248" s="1"/>
      <c r="F248" s="1"/>
      <c r="G248" s="1"/>
    </row>
    <row r="249" customFormat="false" ht="15.75" hidden="false" customHeight="true" outlineLevel="0" collapsed="false">
      <c r="A249" s="1"/>
      <c r="B249" s="1"/>
      <c r="C249" s="1"/>
      <c r="D249" s="1"/>
      <c r="E249" s="1"/>
      <c r="F249" s="1"/>
      <c r="G249" s="1"/>
    </row>
    <row r="250" customFormat="false" ht="15.75" hidden="false" customHeight="true" outlineLevel="0" collapsed="false">
      <c r="A250" s="1"/>
      <c r="B250" s="1"/>
      <c r="C250" s="1"/>
      <c r="D250" s="1"/>
      <c r="E250" s="1"/>
      <c r="F250" s="1"/>
      <c r="G250" s="1"/>
    </row>
    <row r="251" customFormat="false" ht="15.75" hidden="false" customHeight="true" outlineLevel="0" collapsed="false">
      <c r="A251" s="1"/>
      <c r="B251" s="1"/>
      <c r="C251" s="1"/>
      <c r="D251" s="1"/>
      <c r="E251" s="1"/>
      <c r="F251" s="1"/>
      <c r="G251" s="1"/>
    </row>
    <row r="252" customFormat="false" ht="15.75" hidden="false" customHeight="true" outlineLevel="0" collapsed="false">
      <c r="A252" s="1"/>
      <c r="B252" s="1"/>
      <c r="C252" s="1"/>
      <c r="D252" s="1"/>
      <c r="E252" s="1"/>
      <c r="F252" s="1"/>
      <c r="G252" s="1"/>
    </row>
    <row r="253" customFormat="false" ht="15.75" hidden="false" customHeight="true" outlineLevel="0" collapsed="false">
      <c r="A253" s="1"/>
      <c r="B253" s="1"/>
      <c r="C253" s="1"/>
      <c r="D253" s="1"/>
      <c r="E253" s="1"/>
      <c r="F253" s="1"/>
      <c r="G253" s="1"/>
    </row>
    <row r="254" customFormat="false" ht="15.75" hidden="false" customHeight="true" outlineLevel="0" collapsed="false">
      <c r="A254" s="1"/>
      <c r="B254" s="1"/>
      <c r="C254" s="1"/>
      <c r="D254" s="1"/>
      <c r="E254" s="1"/>
      <c r="F254" s="1"/>
      <c r="G254" s="1"/>
    </row>
    <row r="255" customFormat="false" ht="15.75" hidden="false" customHeight="true" outlineLevel="0" collapsed="false">
      <c r="A255" s="1"/>
      <c r="B255" s="1"/>
      <c r="C255" s="1"/>
      <c r="D255" s="1"/>
      <c r="E255" s="1"/>
      <c r="F255" s="1"/>
      <c r="G255" s="1"/>
    </row>
    <row r="256" customFormat="false" ht="15.75" hidden="false" customHeight="true" outlineLevel="0" collapsed="false">
      <c r="A256" s="1"/>
      <c r="B256" s="1"/>
      <c r="C256" s="1"/>
      <c r="D256" s="1"/>
      <c r="E256" s="1"/>
      <c r="F256" s="1"/>
      <c r="G256" s="1"/>
    </row>
    <row r="257" customFormat="false" ht="15.75" hidden="false" customHeight="true" outlineLevel="0" collapsed="false">
      <c r="A257" s="1"/>
      <c r="B257" s="1"/>
      <c r="C257" s="1"/>
      <c r="D257" s="1"/>
      <c r="E257" s="1"/>
      <c r="F257" s="1"/>
      <c r="G257" s="1"/>
    </row>
    <row r="258" customFormat="false" ht="15.75" hidden="false" customHeight="true" outlineLevel="0" collapsed="false">
      <c r="A258" s="1"/>
      <c r="B258" s="1"/>
      <c r="C258" s="1"/>
      <c r="D258" s="1"/>
      <c r="E258" s="1"/>
      <c r="F258" s="1"/>
      <c r="G258" s="1"/>
    </row>
    <row r="259" customFormat="false" ht="15.75" hidden="false" customHeight="true" outlineLevel="0" collapsed="false">
      <c r="A259" s="1"/>
      <c r="B259" s="1"/>
      <c r="C259" s="1"/>
      <c r="D259" s="1"/>
      <c r="E259" s="1"/>
      <c r="F259" s="1"/>
      <c r="G259" s="1"/>
    </row>
    <row r="260" customFormat="false" ht="15.75" hidden="false" customHeight="true" outlineLevel="0" collapsed="false">
      <c r="A260" s="1"/>
      <c r="B260" s="1"/>
      <c r="C260" s="1"/>
      <c r="D260" s="1"/>
      <c r="E260" s="1"/>
      <c r="F260" s="1"/>
      <c r="G260" s="1"/>
    </row>
    <row r="261" customFormat="false" ht="15.75" hidden="false" customHeight="true" outlineLevel="0" collapsed="false">
      <c r="A261" s="1"/>
      <c r="B261" s="1"/>
      <c r="C261" s="1"/>
      <c r="D261" s="1"/>
      <c r="E261" s="1"/>
      <c r="F261" s="1"/>
      <c r="G261" s="1"/>
    </row>
    <row r="262" customFormat="false" ht="15.75" hidden="false" customHeight="true" outlineLevel="0" collapsed="false">
      <c r="A262" s="1"/>
      <c r="B262" s="1"/>
      <c r="C262" s="1"/>
      <c r="D262" s="1"/>
      <c r="E262" s="1"/>
      <c r="F262" s="1"/>
      <c r="G262" s="1"/>
    </row>
    <row r="263" customFormat="false" ht="15.75" hidden="false" customHeight="true" outlineLevel="0" collapsed="false">
      <c r="A263" s="1"/>
      <c r="B263" s="1"/>
      <c r="C263" s="1"/>
      <c r="D263" s="1"/>
      <c r="E263" s="1"/>
      <c r="F263" s="1"/>
      <c r="G263" s="1"/>
    </row>
    <row r="264" customFormat="false" ht="15.75" hidden="false" customHeight="true" outlineLevel="0" collapsed="false">
      <c r="A264" s="1"/>
      <c r="B264" s="1"/>
      <c r="C264" s="1"/>
      <c r="D264" s="1"/>
      <c r="E264" s="1"/>
      <c r="F264" s="1"/>
      <c r="G264" s="1"/>
    </row>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0">
    <mergeCell ref="B5:E5"/>
    <mergeCell ref="C6:E6"/>
    <mergeCell ref="C7:E7"/>
    <mergeCell ref="C8:E8"/>
    <mergeCell ref="C9:E9"/>
    <mergeCell ref="C10:E10"/>
    <mergeCell ref="C11:E11"/>
    <mergeCell ref="C12:E12"/>
    <mergeCell ref="C13:E13"/>
    <mergeCell ref="B14:E14"/>
    <mergeCell ref="B16:F16"/>
    <mergeCell ref="I17:J17"/>
    <mergeCell ref="B42:E42"/>
    <mergeCell ref="D43:E43"/>
    <mergeCell ref="D44:E44"/>
    <mergeCell ref="D45:E45"/>
    <mergeCell ref="D46:E46"/>
    <mergeCell ref="D47:E47"/>
    <mergeCell ref="D48:E48"/>
    <mergeCell ref="D49:E49"/>
    <mergeCell ref="B51:E51"/>
    <mergeCell ref="B53:E53"/>
    <mergeCell ref="B56:F56"/>
    <mergeCell ref="C57:F57"/>
    <mergeCell ref="C58:F58"/>
    <mergeCell ref="C59:F59"/>
    <mergeCell ref="C60:F60"/>
    <mergeCell ref="C61:F61"/>
    <mergeCell ref="C62:F62"/>
    <mergeCell ref="B64:F6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defaultColWidth="14.43359375" defaultRowHeight="15" customHeight="true"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8"/>
    <col collapsed="false" customWidth="true" hidden="false" outlineLevel="0" max="4" min="4" style="0" width="16"/>
    <col collapsed="false" customWidth="true" hidden="false" outlineLevel="0" max="5" min="5" style="0" width="20"/>
    <col collapsed="false" customWidth="true" hidden="false" outlineLevel="0" max="6" min="6" style="0" width="7"/>
    <col collapsed="false" customWidth="true" hidden="false" outlineLevel="0" max="10" min="7" style="0" width="6"/>
    <col collapsed="false" customWidth="true" hidden="false" outlineLevel="0" max="11" min="11" style="0" width="8"/>
    <col collapsed="false" customWidth="true" hidden="false" outlineLevel="0" max="12" min="12" style="0" width="9.57"/>
    <col collapsed="false" customWidth="true" hidden="false" outlineLevel="0" max="13" min="13" style="0" width="9"/>
    <col collapsed="false" customWidth="true" hidden="false" outlineLevel="0" max="17" min="14" style="0" width="8"/>
    <col collapsed="false" customWidth="true" hidden="false" outlineLevel="0" max="18" min="18" style="0" width="12.57"/>
    <col collapsed="false" customWidth="true" hidden="false" outlineLevel="0" max="19" min="19" style="0" width="8"/>
    <col collapsed="false" customWidth="true" hidden="false" outlineLevel="0" max="20" min="20" style="0" width="13.29"/>
    <col collapsed="false" customWidth="true" hidden="false" outlineLevel="0" max="21" min="21" style="0" width="11.85"/>
    <col collapsed="false" customWidth="true" hidden="false" outlineLevel="0" max="26" min="22" style="0" width="8"/>
    <col collapsed="false" customWidth="true" hidden="false" outlineLevel="0" max="27" min="27" style="0" width="10"/>
    <col collapsed="false" customWidth="true" hidden="false" outlineLevel="0" max="30" min="28" style="0" width="9"/>
  </cols>
  <sheetData>
    <row r="1" customFormat="false" ht="38.25" hidden="false" customHeight="true" outlineLevel="0" collapsed="false">
      <c r="A1" s="72"/>
      <c r="B1" s="73" t="s">
        <v>141</v>
      </c>
      <c r="C1" s="73"/>
      <c r="D1" s="73"/>
      <c r="E1" s="73"/>
      <c r="F1" s="73"/>
      <c r="G1" s="73"/>
      <c r="H1" s="73"/>
      <c r="I1" s="73"/>
      <c r="J1" s="73"/>
      <c r="K1" s="73"/>
      <c r="L1" s="73"/>
      <c r="M1" s="73"/>
      <c r="N1" s="73"/>
      <c r="O1" s="73"/>
      <c r="P1" s="73"/>
      <c r="Q1" s="73"/>
      <c r="R1" s="73"/>
      <c r="S1" s="73"/>
      <c r="T1" s="73"/>
      <c r="U1" s="73"/>
      <c r="V1" s="73"/>
      <c r="W1" s="73"/>
      <c r="X1" s="73"/>
      <c r="Y1" s="73"/>
      <c r="Z1" s="73"/>
      <c r="AA1" s="73"/>
      <c r="AB1" s="1"/>
      <c r="AC1" s="1"/>
      <c r="AD1" s="1"/>
    </row>
    <row r="2" customFormat="false" ht="15" hidden="false" customHeight="true" outlineLevel="0" collapsed="false">
      <c r="A2" s="1"/>
      <c r="B2" s="74"/>
      <c r="C2" s="75" t="s">
        <v>142</v>
      </c>
      <c r="D2" s="75"/>
      <c r="E2" s="75"/>
      <c r="F2" s="76" t="s">
        <v>143</v>
      </c>
      <c r="G2" s="76"/>
      <c r="H2" s="76"/>
      <c r="I2" s="76"/>
      <c r="J2" s="76"/>
      <c r="K2" s="76"/>
      <c r="L2" s="76"/>
      <c r="M2" s="76"/>
      <c r="N2" s="76"/>
      <c r="O2" s="77" t="s">
        <v>144</v>
      </c>
      <c r="P2" s="77"/>
      <c r="Q2" s="77"/>
      <c r="R2" s="78" t="s">
        <v>145</v>
      </c>
      <c r="S2" s="78"/>
      <c r="T2" s="78"/>
      <c r="U2" s="78"/>
      <c r="V2" s="79" t="s">
        <v>58</v>
      </c>
      <c r="W2" s="79"/>
      <c r="X2" s="79"/>
      <c r="Y2" s="79"/>
      <c r="Z2" s="79"/>
      <c r="AA2" s="79"/>
      <c r="AB2" s="80" t="s">
        <v>146</v>
      </c>
      <c r="AC2" s="80"/>
      <c r="AD2" s="80"/>
      <c r="AE2" s="81" t="s">
        <v>147</v>
      </c>
      <c r="AF2" s="81"/>
      <c r="AG2" s="81"/>
      <c r="AH2" s="81"/>
      <c r="AI2" s="81"/>
      <c r="AJ2" s="81"/>
      <c r="AK2" s="81"/>
      <c r="AL2" s="81"/>
      <c r="AM2" s="81"/>
      <c r="AN2" s="81"/>
      <c r="AO2" s="81"/>
      <c r="AP2" s="81"/>
      <c r="AQ2" s="81"/>
      <c r="AR2" s="81"/>
      <c r="AS2" s="81"/>
      <c r="AT2" s="81"/>
      <c r="AU2" s="81"/>
      <c r="AV2" s="81"/>
      <c r="AW2" s="81"/>
      <c r="AX2" s="81"/>
      <c r="AY2" s="81"/>
      <c r="AZ2" s="81"/>
      <c r="BA2" s="81"/>
      <c r="BB2" s="81"/>
      <c r="BC2" s="81"/>
    </row>
    <row r="3" customFormat="false" ht="33.75" hidden="false" customHeight="true" outlineLevel="0" collapsed="false">
      <c r="A3" s="1"/>
      <c r="B3" s="82" t="s">
        <v>148</v>
      </c>
      <c r="C3" s="82" t="s">
        <v>149</v>
      </c>
      <c r="D3" s="82" t="s">
        <v>150</v>
      </c>
      <c r="E3" s="82" t="s">
        <v>151</v>
      </c>
      <c r="F3" s="83" t="s">
        <v>108</v>
      </c>
      <c r="G3" s="83" t="s">
        <v>23</v>
      </c>
      <c r="H3" s="83" t="s">
        <v>25</v>
      </c>
      <c r="I3" s="83" t="s">
        <v>27</v>
      </c>
      <c r="J3" s="83" t="s">
        <v>29</v>
      </c>
      <c r="K3" s="83" t="s">
        <v>152</v>
      </c>
      <c r="L3" s="83" t="s">
        <v>153</v>
      </c>
      <c r="M3" s="83" t="s">
        <v>154</v>
      </c>
      <c r="N3" s="83" t="s">
        <v>155</v>
      </c>
      <c r="O3" s="84" t="s">
        <v>156</v>
      </c>
      <c r="P3" s="84" t="s">
        <v>157</v>
      </c>
      <c r="Q3" s="84" t="s">
        <v>158</v>
      </c>
      <c r="R3" s="85" t="s">
        <v>41</v>
      </c>
      <c r="S3" s="85" t="s">
        <v>43</v>
      </c>
      <c r="T3" s="85" t="s">
        <v>45</v>
      </c>
      <c r="U3" s="85" t="s">
        <v>47</v>
      </c>
      <c r="V3" s="86" t="s">
        <v>159</v>
      </c>
      <c r="W3" s="86" t="s">
        <v>160</v>
      </c>
      <c r="X3" s="86" t="s">
        <v>161</v>
      </c>
      <c r="Y3" s="86" t="s">
        <v>162</v>
      </c>
      <c r="Z3" s="86" t="s">
        <v>163</v>
      </c>
      <c r="AA3" s="86" t="s">
        <v>164</v>
      </c>
      <c r="AB3" s="80" t="s">
        <v>165</v>
      </c>
      <c r="AC3" s="80" t="s">
        <v>166</v>
      </c>
      <c r="AD3" s="80" t="s">
        <v>167</v>
      </c>
      <c r="AE3" s="87" t="s">
        <v>168</v>
      </c>
      <c r="AF3" s="87" t="s">
        <v>169</v>
      </c>
      <c r="AG3" s="87" t="s">
        <v>170</v>
      </c>
      <c r="AH3" s="87" t="s">
        <v>171</v>
      </c>
      <c r="AI3" s="87" t="s">
        <v>172</v>
      </c>
      <c r="AJ3" s="87" t="s">
        <v>173</v>
      </c>
      <c r="AK3" s="87" t="s">
        <v>174</v>
      </c>
      <c r="AL3" s="87" t="s">
        <v>175</v>
      </c>
      <c r="AM3" s="87" t="s">
        <v>176</v>
      </c>
      <c r="AN3" s="87" t="s">
        <v>177</v>
      </c>
      <c r="AO3" s="87" t="s">
        <v>178</v>
      </c>
      <c r="AP3" s="87" t="s">
        <v>179</v>
      </c>
      <c r="AQ3" s="87" t="s">
        <v>180</v>
      </c>
      <c r="AR3" s="87" t="s">
        <v>181</v>
      </c>
      <c r="AS3" s="87" t="s">
        <v>182</v>
      </c>
      <c r="AT3" s="87" t="s">
        <v>183</v>
      </c>
      <c r="AU3" s="87" t="s">
        <v>184</v>
      </c>
      <c r="AV3" s="87" t="s">
        <v>185</v>
      </c>
      <c r="AW3" s="87" t="s">
        <v>186</v>
      </c>
      <c r="AX3" s="87" t="s">
        <v>187</v>
      </c>
      <c r="AY3" s="87" t="s">
        <v>188</v>
      </c>
      <c r="AZ3" s="87" t="s">
        <v>189</v>
      </c>
      <c r="BA3" s="87" t="s">
        <v>190</v>
      </c>
      <c r="BB3" s="87" t="s">
        <v>191</v>
      </c>
      <c r="BC3" s="87" t="s">
        <v>192</v>
      </c>
    </row>
    <row r="4" customFormat="false" ht="22.35" hidden="false" customHeight="false" outlineLevel="0" collapsed="false">
      <c r="A4" s="1"/>
      <c r="B4" s="88" t="n">
        <f aca="false">IF($D4="","",ROW()-3)</f>
        <v>1</v>
      </c>
      <c r="C4" s="89" t="s">
        <v>193</v>
      </c>
      <c r="D4" s="89" t="s">
        <v>194</v>
      </c>
      <c r="E4" s="90" t="s">
        <v>194</v>
      </c>
      <c r="F4" s="88" t="n">
        <f aca="true">IF($D4="","",IFERROR(COUNTIF(INDIRECT("'"&amp;$D4&amp;"'!$A$7:$A$500"),"?*"),0))</f>
        <v>10</v>
      </c>
      <c r="G4" s="88" t="n">
        <f aca="true">IF($D4="","",IFERROR(COUNTIF(INDIRECT("'"&amp;$D4&amp;"'!$AT$7:$AT$500"),"Pass"),0))</f>
        <v>6</v>
      </c>
      <c r="H4" s="88" t="n">
        <f aca="true">IF($D4="","",IFERROR(COUNTIF(INDIRECT("'"&amp;$D4&amp;"'!$AT$7:$AT$500"),"Fail"),0))</f>
        <v>2</v>
      </c>
      <c r="I4" s="88" t="n">
        <f aca="true">IF($D4="","",IFERROR(COUNTIF(INDIRECT("'"&amp;$D4&amp;"'!$AT$7:$AT$500"),"Block"),0))</f>
        <v>2</v>
      </c>
      <c r="J4" s="88" t="n">
        <f aca="true">IF($D4="","",IFERROR(COUNTIF(INDIRECT("'"&amp;$D4&amp;"'!$AT$7:$AT$500"),"N/A"),0))</f>
        <v>0</v>
      </c>
      <c r="K4" s="88" t="n">
        <f aca="false">IF($D4="","",MAX(0,$F4-$G4-$H4-$I4-$J4))</f>
        <v>0</v>
      </c>
      <c r="L4" s="88" t="n">
        <f aca="false">IF($D4="","",$G4+$H4+$I4+$J4)</f>
        <v>10</v>
      </c>
      <c r="M4" s="91" t="n">
        <f aca="false">IF($D4="","",IFERROR($L4/$F4,0))</f>
        <v>1</v>
      </c>
      <c r="N4" s="91" t="n">
        <f aca="false">IF($D4="","",IFERROR($G4/$L4,0))</f>
        <v>0.6</v>
      </c>
      <c r="O4" s="88" t="n">
        <f aca="true">IF($D4="","",IFERROR(COUNTIF(INDIRECT("'"&amp;$D4&amp;"'!$E$7:$E$500"),"High"),0))</f>
        <v>0</v>
      </c>
      <c r="P4" s="88" t="n">
        <f aca="true">IF($D4="","",IFERROR(COUNTIF(INDIRECT("'"&amp;$D4&amp;"'!$E$7:$E$500"),"Medium"),0))</f>
        <v>6</v>
      </c>
      <c r="Q4" s="88" t="n">
        <f aca="true">IF($D4="","",IFERROR(COUNTIF(INDIRECT("'"&amp;$D4&amp;"'!$E$7:$E$500"),"Low"),0))</f>
        <v>4</v>
      </c>
      <c r="R4" s="88" t="n">
        <f aca="true">IF($D4="","",IFERROR(COUNTIF(INDIRECT("'"&amp;$D4&amp;"'!$D$7:$D$500"),"Functional"),0))</f>
        <v>3</v>
      </c>
      <c r="S4" s="88" t="n">
        <f aca="true">IF($D4="","",IFERROR(COUNTIF(INDIRECT("'"&amp;$D4&amp;"'!$D$7:$D$500"),"UI"),0))</f>
        <v>7</v>
      </c>
      <c r="T4" s="88" t="n">
        <f aca="true">IF($D4="","",IFERROR(COUNTIF(INDIRECT("'"&amp;$D4&amp;"'!$D$7:$D$500"),"Integration"),0))</f>
        <v>0</v>
      </c>
      <c r="U4" s="88" t="n">
        <f aca="true">IF($D4="","",IFERROR(COUNTIF(INDIRECT("'"&amp;$D4&amp;"'!$D$7:$D$500"),"Database Test Case"),0))</f>
        <v>0</v>
      </c>
      <c r="V4" s="88" t="n">
        <f aca="true">IF($D4="","",IFERROR(COUNTIF(INDIRECT("'"&amp;$D4&amp;"'!$J$7:$J$500"),"AI"),0))</f>
        <v>10</v>
      </c>
      <c r="W4" s="88" t="n">
        <f aca="true">IF($D4="","",IFERROR(COUNTIF(INDIRECT("'"&amp;$D4&amp;"'!$J$7:$J$500"),"QC"),0))</f>
        <v>0</v>
      </c>
      <c r="X4" s="88" t="n">
        <f aca="true">IF($D4="","",IFERROR(COUNTIF(INDIRECT("'"&amp;$D4&amp;"'!$L$7:$L$500"),"Yes"),0))</f>
        <v>0</v>
      </c>
      <c r="Y4" s="88" t="n">
        <f aca="true">IF($D4="","",IFERROR(COUNTIF(INDIRECT("'"&amp;$D4&amp;"'!$AR$7:$AR$500"),"Yes"),0))</f>
        <v>10</v>
      </c>
      <c r="Z4" s="88" t="n">
        <f aca="true">IF($D4="","",IFERROR(COUNTIF(INDIRECT("'"&amp;$D4&amp;"'!$AS$7:$AS$500"),"Pass"),0))</f>
        <v>0</v>
      </c>
      <c r="AA4" s="88" t="n">
        <f aca="true">IF($D4="","",IFERROR(COUNTIF(INDIRECT("'"&amp;$D4&amp;"'!$K$7:$K$500"),"Reviewed"),0))</f>
        <v>0</v>
      </c>
      <c r="AB4" s="92" t="n">
        <f aca="true">IF($D4="","",IFERROR(COUNTIFS(INDIRECT("'"&amp;$D4&amp;"'!$E$7:$E$500"),"High",INDIRECT("'"&amp;$D4&amp;"'!$AT$7:$AT$500"),"?*"),0))</f>
        <v>0</v>
      </c>
      <c r="AC4" s="92" t="n">
        <f aca="true">IF($D4="","",IFERROR(COUNTIFS(INDIRECT("'"&amp;$D4&amp;"'!$E$7:$E$500"),"Medium",INDIRECT("'"&amp;$D4&amp;"'!$AT$7:$AT$500"),"?*"),0))</f>
        <v>6</v>
      </c>
      <c r="AD4" s="92" t="n">
        <f aca="true">IF($D4="","",IFERROR(COUNTIFS(INDIRECT("'"&amp;$D4&amp;"'!$E$7:$E$500"),"Low",INDIRECT("'"&amp;$D4&amp;"'!$AT$7:$AT$500"),"?*"),0))</f>
        <v>4</v>
      </c>
      <c r="AE4" s="93" t="n">
        <f aca="true">IF($D4="","",IFERROR(COUNTIF(INDIRECT("'"&amp;$D4&amp;"'!$P$7:$P$500"),"?*"),0))</f>
        <v>10</v>
      </c>
      <c r="AF4" s="93" t="n">
        <f aca="true">IF($D4="","",IFERROR(COUNTIF(INDIRECT("'"&amp;$D4&amp;"'!$P$7:$P$500"),"Pass"),0))</f>
        <v>6</v>
      </c>
      <c r="AG4" s="93" t="n">
        <f aca="true">IF($D4="","",IFERROR(COUNTIF(INDIRECT("'"&amp;$D4&amp;"'!$P$7:$P$500"),"Fail"),0))</f>
        <v>2</v>
      </c>
      <c r="AH4" s="93" t="n">
        <f aca="true">IF($D4="","",IFERROR(COUNTIF(INDIRECT("'"&amp;$D4&amp;"'!$P$7:$P$500"),"Block"),0))</f>
        <v>2</v>
      </c>
      <c r="AI4" s="93" t="n">
        <f aca="true">IF($D4="","",IFERROR(COUNTIF(INDIRECT("'"&amp;$D4&amp;"'!$P$7:$P$500"),"N/A"),0))</f>
        <v>0</v>
      </c>
      <c r="AJ4" s="93" t="n">
        <f aca="true">IF($D4="","",IFERROR(COUNTIF(INDIRECT("'"&amp;$D4&amp;"'!$V$7:$V$500"),"?*"),0))</f>
        <v>0</v>
      </c>
      <c r="AK4" s="93" t="n">
        <f aca="true">IF($D4="","",IFERROR(COUNTIF(INDIRECT("'"&amp;$D4&amp;"'!$V$7:$V$500"),"Pass"),0))</f>
        <v>0</v>
      </c>
      <c r="AL4" s="93" t="n">
        <f aca="true">IF($D4="","",IFERROR(COUNTIF(INDIRECT("'"&amp;$D4&amp;"'!$V$7:$V$500"),"Fail"),0))</f>
        <v>0</v>
      </c>
      <c r="AM4" s="93" t="n">
        <f aca="true">IF($D4="","",IFERROR(COUNTIF(INDIRECT("'"&amp;$D4&amp;"'!$V$7:$V$500"),"Block"),0))</f>
        <v>0</v>
      </c>
      <c r="AN4" s="93" t="n">
        <f aca="true">IF($D4="","",IFERROR(COUNTIF(INDIRECT("'"&amp;$D4&amp;"'!$V$7:$V$500"),"N/A"),0))</f>
        <v>0</v>
      </c>
      <c r="AO4" s="93" t="n">
        <f aca="true">IF($D4="","",IFERROR(COUNTIF(INDIRECT("'"&amp;$D4&amp;"'!$AB$7:$AB$500"),"?*"),0))</f>
        <v>0</v>
      </c>
      <c r="AP4" s="93" t="n">
        <f aca="true">IF($D4="","",IFERROR(COUNTIF(INDIRECT("'"&amp;$D4&amp;"'!$AB$7:$AB$500"),"Pass"),0))</f>
        <v>0</v>
      </c>
      <c r="AQ4" s="93" t="n">
        <f aca="true">IF($D4="","",IFERROR(COUNTIF(INDIRECT("'"&amp;$D4&amp;"'!$AB$7:$AB$500"),"Fail"),0))</f>
        <v>0</v>
      </c>
      <c r="AR4" s="93" t="n">
        <f aca="true">IF($D4="","",IFERROR(COUNTIF(INDIRECT("'"&amp;$D4&amp;"'!$AB$7:$AB$500"),"Block"),0))</f>
        <v>0</v>
      </c>
      <c r="AS4" s="93" t="n">
        <f aca="true">IF($D4="","",IFERROR(COUNTIF(INDIRECT("'"&amp;$D4&amp;"'!$AB$7:$AB$500"),"N/A"),0))</f>
        <v>0</v>
      </c>
      <c r="AT4" s="93" t="n">
        <f aca="true">IF($D4="","",IFERROR(COUNTIF(INDIRECT("'"&amp;$D4&amp;"'!$AH$7:$AH$500"),"?*"),0))</f>
        <v>0</v>
      </c>
      <c r="AU4" s="93" t="n">
        <f aca="true">IF($D4="","",IFERROR(COUNTIF(INDIRECT("'"&amp;$D4&amp;"'!$AH$7:$AH$500"),"Pass"),0))</f>
        <v>0</v>
      </c>
      <c r="AV4" s="93" t="n">
        <f aca="true">IF($D4="","",IFERROR(COUNTIF(INDIRECT("'"&amp;$D4&amp;"'!$AH$7:$AH$500"),"Fail"),0))</f>
        <v>0</v>
      </c>
      <c r="AW4" s="93" t="n">
        <f aca="true">IF($D4="","",IFERROR(COUNTIF(INDIRECT("'"&amp;$D4&amp;"'!$AH$7:$AH$500"),"Block"),0))</f>
        <v>0</v>
      </c>
      <c r="AX4" s="93" t="n">
        <f aca="true">IF($D4="","",IFERROR(COUNTIF(INDIRECT("'"&amp;$D4&amp;"'!$AH$7:$AH$500"),"N/A"),0))</f>
        <v>0</v>
      </c>
      <c r="AY4" s="93" t="n">
        <f aca="true">IF($D4="","",IFERROR(COUNTIF(INDIRECT("'"&amp;$D4&amp;"'!$AN$7:$AN$500"),"?*"),0))</f>
        <v>0</v>
      </c>
      <c r="AZ4" s="93" t="n">
        <f aca="true">IF($D4="","",IFERROR(COUNTIF(INDIRECT("'"&amp;$D4&amp;"'!$AN$7:$AN$500"),"Pass"),0))</f>
        <v>0</v>
      </c>
      <c r="BA4" s="93" t="n">
        <f aca="true">IF($D4="","",IFERROR(COUNTIF(INDIRECT("'"&amp;$D4&amp;"'!$AN$7:$AN$500"),"Fail"),0))</f>
        <v>0</v>
      </c>
      <c r="BB4" s="93" t="n">
        <f aca="true">IF($D4="","",IFERROR(COUNTIF(INDIRECT("'"&amp;$D4&amp;"'!$AN$7:$AN$500"),"Block"),0))</f>
        <v>0</v>
      </c>
      <c r="BC4" s="1" t="n">
        <f aca="true">IF($D4="","",IFERROR(COUNTIF(INDIRECT("'"&amp;$D4&amp;"'!$AN$7:$AN$500"),"N/A"),0))</f>
        <v>0</v>
      </c>
    </row>
    <row r="5" customFormat="false" ht="15" hidden="false" customHeight="false" outlineLevel="0" collapsed="false">
      <c r="A5" s="1"/>
      <c r="B5" s="88" t="n">
        <f aca="false">IF($D5="","",ROW()-3)</f>
        <v>2</v>
      </c>
      <c r="C5" s="89" t="s">
        <v>195</v>
      </c>
      <c r="D5" s="89" t="s">
        <v>196</v>
      </c>
      <c r="E5" s="90" t="s">
        <v>196</v>
      </c>
      <c r="F5" s="88" t="n">
        <f aca="true">IF($D5="","",IFERROR(COUNTIF(INDIRECT("'"&amp;$D5&amp;"'!$A$7:$A$500"),"?*"),0))</f>
        <v>13</v>
      </c>
      <c r="G5" s="88" t="n">
        <f aca="true">IF($D5="","",IFERROR(COUNTIF(INDIRECT("'"&amp;$D5&amp;"'!$AT$7:$AT$500"),"Pass"),0))</f>
        <v>10</v>
      </c>
      <c r="H5" s="88" t="n">
        <f aca="true">IF($D5="","",IFERROR(COUNTIF(INDIRECT("'"&amp;$D5&amp;"'!$AT$7:$AT$500"),"Fail"),0))</f>
        <v>0</v>
      </c>
      <c r="I5" s="88" t="n">
        <f aca="true">IF($D5="","",IFERROR(COUNTIF(INDIRECT("'"&amp;$D5&amp;"'!$AT$7:$AT$500"),"Block"),0))</f>
        <v>3</v>
      </c>
      <c r="J5" s="88" t="n">
        <f aca="true">IF($D5="","",IFERROR(COUNTIF(INDIRECT("'"&amp;$D5&amp;"'!$AT$7:$AT$500"),"N/A"),0))</f>
        <v>0</v>
      </c>
      <c r="K5" s="88" t="n">
        <f aca="false">IF($D5="","",MAX(0,$F5-$G5-$H5-$I5-$J5))</f>
        <v>0</v>
      </c>
      <c r="L5" s="88" t="n">
        <f aca="false">IF($D5="","",$G5+$H5+$I5+$J5)</f>
        <v>13</v>
      </c>
      <c r="M5" s="91" t="n">
        <f aca="false">IF($D5="","",IFERROR($L5/$F5,0))</f>
        <v>1</v>
      </c>
      <c r="N5" s="91" t="n">
        <f aca="false">IF($D5="","",IFERROR($G5/$L5,0))</f>
        <v>0.769230769230769</v>
      </c>
      <c r="O5" s="88" t="n">
        <f aca="true">IF($D5="","",IFERROR(COUNTIF(INDIRECT("'"&amp;$D5&amp;"'!$E$7:$E$500"),"High"),0))</f>
        <v>2</v>
      </c>
      <c r="P5" s="88" t="n">
        <f aca="true">IF($D5="","",IFERROR(COUNTIF(INDIRECT("'"&amp;$D5&amp;"'!$E$7:$E$500"),"Medium"),0))</f>
        <v>10</v>
      </c>
      <c r="Q5" s="88" t="n">
        <f aca="true">IF($D5="","",IFERROR(COUNTIF(INDIRECT("'"&amp;$D5&amp;"'!$E$7:$E$500"),"Low"),0))</f>
        <v>1</v>
      </c>
      <c r="R5" s="88" t="n">
        <f aca="true">IF($D5="","",IFERROR(COUNTIF(INDIRECT("'"&amp;$D5&amp;"'!$D$7:$D$500"),"Functional"),0))</f>
        <v>13</v>
      </c>
      <c r="S5" s="88" t="n">
        <f aca="true">IF($D5="","",IFERROR(COUNTIF(INDIRECT("'"&amp;$D5&amp;"'!$D$7:$D$500"),"UI"),0))</f>
        <v>0</v>
      </c>
      <c r="T5" s="88" t="n">
        <f aca="true">IF($D5="","",IFERROR(COUNTIF(INDIRECT("'"&amp;$D5&amp;"'!$D$7:$D$500"),"Integration"),0))</f>
        <v>0</v>
      </c>
      <c r="U5" s="88" t="n">
        <f aca="true">IF($D5="","",IFERROR(COUNTIF(INDIRECT("'"&amp;$D5&amp;"'!$D$7:$D$500"),"Database Test Case"),0))</f>
        <v>0</v>
      </c>
      <c r="V5" s="88" t="n">
        <f aca="true">IF($D5="","",IFERROR(COUNTIF(INDIRECT("'"&amp;$D5&amp;"'!$J$7:$J$500"),"AI"),0))</f>
        <v>13</v>
      </c>
      <c r="W5" s="88" t="n">
        <f aca="true">IF($D5="","",IFERROR(COUNTIF(INDIRECT("'"&amp;$D5&amp;"'!$J$7:$J$500"),"QC"),0))</f>
        <v>0</v>
      </c>
      <c r="X5" s="88" t="n">
        <f aca="true">IF($D5="","",IFERROR(COUNTIF(INDIRECT("'"&amp;$D5&amp;"'!$L$7:$L$500"),"Yes"),0))</f>
        <v>0</v>
      </c>
      <c r="Y5" s="88" t="n">
        <f aca="true">IF($D5="","",IFERROR(COUNTIF(INDIRECT("'"&amp;$D5&amp;"'!$AR$7:$AR$500"),"Yes"),0))</f>
        <v>13</v>
      </c>
      <c r="Z5" s="88" t="n">
        <f aca="true">IF($D5="","",IFERROR(COUNTIF(INDIRECT("'"&amp;$D5&amp;"'!$AS$7:$AS$500"),"Pass"),0))</f>
        <v>0</v>
      </c>
      <c r="AA5" s="88" t="n">
        <f aca="true">IF($D5="","",IFERROR(COUNTIF(INDIRECT("'"&amp;$D5&amp;"'!$K$7:$K$500"),"Reviewed"),0))</f>
        <v>0</v>
      </c>
      <c r="AB5" s="92" t="n">
        <f aca="true">IF($D5="","",IFERROR(COUNTIFS(INDIRECT("'"&amp;$D5&amp;"'!$E$7:$E$500"),"High",INDIRECT("'"&amp;$D5&amp;"'!$AT$7:$AT$500"),"?*"),0))</f>
        <v>2</v>
      </c>
      <c r="AC5" s="92" t="n">
        <f aca="true">IF($D5="","",IFERROR(COUNTIFS(INDIRECT("'"&amp;$D5&amp;"'!$E$7:$E$500"),"Medium",INDIRECT("'"&amp;$D5&amp;"'!$AT$7:$AT$500"),"?*"),0))</f>
        <v>10</v>
      </c>
      <c r="AD5" s="92" t="n">
        <f aca="true">IF($D5="","",IFERROR(COUNTIFS(INDIRECT("'"&amp;$D5&amp;"'!$E$7:$E$500"),"Low",INDIRECT("'"&amp;$D5&amp;"'!$AT$7:$AT$500"),"?*"),0))</f>
        <v>1</v>
      </c>
      <c r="AE5" s="93" t="n">
        <f aca="true">IF($D5="","",IFERROR(COUNTIF(INDIRECT("'"&amp;$D5&amp;"'!$P$7:$P$500"),"?*"),0))</f>
        <v>13</v>
      </c>
      <c r="AF5" s="93" t="n">
        <f aca="true">IF($D5="","",IFERROR(COUNTIF(INDIRECT("'"&amp;$D5&amp;"'!$P$7:$P$500"),"Pass"),0))</f>
        <v>10</v>
      </c>
      <c r="AG5" s="93" t="n">
        <f aca="true">IF($D5="","",IFERROR(COUNTIF(INDIRECT("'"&amp;$D5&amp;"'!$P$7:$P$500"),"Fail"),0))</f>
        <v>0</v>
      </c>
      <c r="AH5" s="93" t="n">
        <f aca="true">IF($D5="","",IFERROR(COUNTIF(INDIRECT("'"&amp;$D5&amp;"'!$P$7:$P$500"),"Block"),0))</f>
        <v>3</v>
      </c>
      <c r="AI5" s="93" t="n">
        <f aca="true">IF($D5="","",IFERROR(COUNTIF(INDIRECT("'"&amp;$D5&amp;"'!$P$7:$P$500"),"N/A"),0))</f>
        <v>0</v>
      </c>
      <c r="AJ5" s="93" t="n">
        <f aca="true">IF($D5="","",IFERROR(COUNTIF(INDIRECT("'"&amp;$D5&amp;"'!$V$7:$V$500"),"?*"),0))</f>
        <v>0</v>
      </c>
      <c r="AK5" s="93" t="n">
        <f aca="true">IF($D5="","",IFERROR(COUNTIF(INDIRECT("'"&amp;$D5&amp;"'!$V$7:$V$500"),"Pass"),0))</f>
        <v>0</v>
      </c>
      <c r="AL5" s="93" t="n">
        <f aca="true">IF($D5="","",IFERROR(COUNTIF(INDIRECT("'"&amp;$D5&amp;"'!$V$7:$V$500"),"Fail"),0))</f>
        <v>0</v>
      </c>
      <c r="AM5" s="93" t="n">
        <f aca="true">IF($D5="","",IFERROR(COUNTIF(INDIRECT("'"&amp;$D5&amp;"'!$V$7:$V$500"),"Block"),0))</f>
        <v>0</v>
      </c>
      <c r="AN5" s="93" t="n">
        <f aca="true">IF($D5="","",IFERROR(COUNTIF(INDIRECT("'"&amp;$D5&amp;"'!$V$7:$V$500"),"N/A"),0))</f>
        <v>0</v>
      </c>
      <c r="AO5" s="93" t="n">
        <f aca="true">IF($D5="","",IFERROR(COUNTIF(INDIRECT("'"&amp;$D5&amp;"'!$AB$7:$AB$500"),"?*"),0))</f>
        <v>0</v>
      </c>
      <c r="AP5" s="93" t="n">
        <f aca="true">IF($D5="","",IFERROR(COUNTIF(INDIRECT("'"&amp;$D5&amp;"'!$AB$7:$AB$500"),"Pass"),0))</f>
        <v>0</v>
      </c>
      <c r="AQ5" s="93" t="n">
        <f aca="true">IF($D5="","",IFERROR(COUNTIF(INDIRECT("'"&amp;$D5&amp;"'!$AB$7:$AB$500"),"Fail"),0))</f>
        <v>0</v>
      </c>
      <c r="AR5" s="93" t="n">
        <f aca="true">IF($D5="","",IFERROR(COUNTIF(INDIRECT("'"&amp;$D5&amp;"'!$AB$7:$AB$500"),"Block"),0))</f>
        <v>0</v>
      </c>
      <c r="AS5" s="93" t="n">
        <f aca="true">IF($D5="","",IFERROR(COUNTIF(INDIRECT("'"&amp;$D5&amp;"'!$AB$7:$AB$500"),"N/A"),0))</f>
        <v>0</v>
      </c>
      <c r="AT5" s="93" t="n">
        <f aca="true">IF($D5="","",IFERROR(COUNTIF(INDIRECT("'"&amp;$D5&amp;"'!$AH$7:$AH$500"),"?*"),0))</f>
        <v>0</v>
      </c>
      <c r="AU5" s="93" t="n">
        <f aca="true">IF($D5="","",IFERROR(COUNTIF(INDIRECT("'"&amp;$D5&amp;"'!$AH$7:$AH$500"),"Pass"),0))</f>
        <v>0</v>
      </c>
      <c r="AV5" s="93" t="n">
        <f aca="true">IF($D5="","",IFERROR(COUNTIF(INDIRECT("'"&amp;$D5&amp;"'!$AH$7:$AH$500"),"Fail"),0))</f>
        <v>0</v>
      </c>
      <c r="AW5" s="93" t="n">
        <f aca="true">IF($D5="","",IFERROR(COUNTIF(INDIRECT("'"&amp;$D5&amp;"'!$AH$7:$AH$500"),"Block"),0))</f>
        <v>0</v>
      </c>
      <c r="AX5" s="93" t="n">
        <f aca="true">IF($D5="","",IFERROR(COUNTIF(INDIRECT("'"&amp;$D5&amp;"'!$AH$7:$AH$500"),"N/A"),0))</f>
        <v>0</v>
      </c>
      <c r="AY5" s="93" t="n">
        <f aca="true">IF($D5="","",IFERROR(COUNTIF(INDIRECT("'"&amp;$D5&amp;"'!$AN$7:$AN$500"),"?*"),0))</f>
        <v>0</v>
      </c>
      <c r="AZ5" s="93" t="n">
        <f aca="true">IF($D5="","",IFERROR(COUNTIF(INDIRECT("'"&amp;$D5&amp;"'!$AN$7:$AN$500"),"Pass"),0))</f>
        <v>0</v>
      </c>
      <c r="BA5" s="93" t="n">
        <f aca="true">IF($D5="","",IFERROR(COUNTIF(INDIRECT("'"&amp;$D5&amp;"'!$AN$7:$AN$500"),"Fail"),0))</f>
        <v>0</v>
      </c>
      <c r="BB5" s="93" t="n">
        <f aca="true">IF($D5="","",IFERROR(COUNTIF(INDIRECT("'"&amp;$D5&amp;"'!$AN$7:$AN$500"),"Block"),0))</f>
        <v>0</v>
      </c>
      <c r="BC5" s="1" t="n">
        <f aca="true">IF($D5="","",IFERROR(COUNTIF(INDIRECT("'"&amp;$D5&amp;"'!$AN$7:$AN$500"),"N/A"),0))</f>
        <v>0</v>
      </c>
    </row>
    <row r="6" customFormat="false" ht="22.35" hidden="false" customHeight="false" outlineLevel="0" collapsed="false">
      <c r="A6" s="1"/>
      <c r="B6" s="88" t="n">
        <f aca="false">IF($D6="","",ROW()-3)</f>
        <v>3</v>
      </c>
      <c r="C6" s="89" t="s">
        <v>197</v>
      </c>
      <c r="D6" s="89" t="s">
        <v>198</v>
      </c>
      <c r="E6" s="90" t="s">
        <v>198</v>
      </c>
      <c r="F6" s="88" t="n">
        <f aca="true">IF($D6="","",IFERROR(COUNTIF(INDIRECT("'"&amp;$D6&amp;"'!$A$7:$A$500"),"?*"),0))</f>
        <v>13</v>
      </c>
      <c r="G6" s="88" t="n">
        <f aca="true">IF($D6="","",IFERROR(COUNTIF(INDIRECT("'"&amp;$D6&amp;"'!$AT$7:$AT$500"),"Pass"),0))</f>
        <v>9</v>
      </c>
      <c r="H6" s="88" t="n">
        <f aca="true">IF($D6="","",IFERROR(COUNTIF(INDIRECT("'"&amp;$D6&amp;"'!$AT$7:$AT$500"),"Fail"),0))</f>
        <v>2</v>
      </c>
      <c r="I6" s="88" t="n">
        <f aca="true">IF($D6="","",IFERROR(COUNTIF(INDIRECT("'"&amp;$D6&amp;"'!$AT$7:$AT$500"),"Block"),0))</f>
        <v>2</v>
      </c>
      <c r="J6" s="88" t="n">
        <f aca="true">IF($D6="","",IFERROR(COUNTIF(INDIRECT("'"&amp;$D6&amp;"'!$AT$7:$AT$500"),"N/A"),0))</f>
        <v>0</v>
      </c>
      <c r="K6" s="88" t="n">
        <f aca="false">IF($D6="","",MAX(0,$F6-$G6-$H6-$I6-$J6))</f>
        <v>0</v>
      </c>
      <c r="L6" s="88" t="n">
        <f aca="false">IF($D6="","",$G6+$H6+$I6+$J6)</f>
        <v>13</v>
      </c>
      <c r="M6" s="91" t="n">
        <f aca="false">IF($D6="","",IFERROR($L6/$F6,0))</f>
        <v>1</v>
      </c>
      <c r="N6" s="91" t="n">
        <f aca="false">IF($D6="","",IFERROR($G6/$L6,0))</f>
        <v>0.692307692307692</v>
      </c>
      <c r="O6" s="88" t="n">
        <f aca="true">IF($D6="","",IFERROR(COUNTIF(INDIRECT("'"&amp;$D6&amp;"'!$E$7:$E$500"),"High"),0))</f>
        <v>4</v>
      </c>
      <c r="P6" s="88" t="n">
        <f aca="true">IF($D6="","",IFERROR(COUNTIF(INDIRECT("'"&amp;$D6&amp;"'!$E$7:$E$500"),"Medium"),0))</f>
        <v>7</v>
      </c>
      <c r="Q6" s="88" t="n">
        <f aca="true">IF($D6="","",IFERROR(COUNTIF(INDIRECT("'"&amp;$D6&amp;"'!$E$7:$E$500"),"Low"),0))</f>
        <v>2</v>
      </c>
      <c r="R6" s="88" t="n">
        <f aca="true">IF($D6="","",IFERROR(COUNTIF(INDIRECT("'"&amp;$D6&amp;"'!$D$7:$D$500"),"Functional"),0))</f>
        <v>13</v>
      </c>
      <c r="S6" s="88" t="n">
        <f aca="true">IF($D6="","",IFERROR(COUNTIF(INDIRECT("'"&amp;$D6&amp;"'!$D$7:$D$500"),"UI"),0))</f>
        <v>0</v>
      </c>
      <c r="T6" s="88" t="n">
        <f aca="true">IF($D6="","",IFERROR(COUNTIF(INDIRECT("'"&amp;$D6&amp;"'!$D$7:$D$500"),"Integration"),0))</f>
        <v>0</v>
      </c>
      <c r="U6" s="88" t="n">
        <f aca="true">IF($D6="","",IFERROR(COUNTIF(INDIRECT("'"&amp;$D6&amp;"'!$D$7:$D$500"),"Database Test Case"),0))</f>
        <v>0</v>
      </c>
      <c r="V6" s="88" t="n">
        <f aca="true">IF($D6="","",IFERROR(COUNTIF(INDIRECT("'"&amp;$D6&amp;"'!$J$7:$J$500"),"AI"),0))</f>
        <v>13</v>
      </c>
      <c r="W6" s="88" t="n">
        <f aca="true">IF($D6="","",IFERROR(COUNTIF(INDIRECT("'"&amp;$D6&amp;"'!$J$7:$J$500"),"QC"),0))</f>
        <v>0</v>
      </c>
      <c r="X6" s="88" t="n">
        <f aca="true">IF($D6="","",IFERROR(COUNTIF(INDIRECT("'"&amp;$D6&amp;"'!$L$7:$L$500"),"Yes"),0))</f>
        <v>0</v>
      </c>
      <c r="Y6" s="88" t="n">
        <f aca="true">IF($D6="","",IFERROR(COUNTIF(INDIRECT("'"&amp;$D6&amp;"'!$AR$7:$AR$500"),"Yes"),0))</f>
        <v>13</v>
      </c>
      <c r="Z6" s="88" t="n">
        <f aca="true">IF($D6="","",IFERROR(COUNTIF(INDIRECT("'"&amp;$D6&amp;"'!$AS$7:$AS$500"),"Pass"),0))</f>
        <v>0</v>
      </c>
      <c r="AA6" s="88" t="n">
        <f aca="true">IF($D6="","",IFERROR(COUNTIF(INDIRECT("'"&amp;$D6&amp;"'!$K$7:$K$500"),"Reviewed"),0))</f>
        <v>0</v>
      </c>
      <c r="AB6" s="92" t="n">
        <f aca="true">IF($D6="","",IFERROR(COUNTIFS(INDIRECT("'"&amp;$D6&amp;"'!$E$7:$E$500"),"High",INDIRECT("'"&amp;$D6&amp;"'!$AT$7:$AT$500"),"?*"),0))</f>
        <v>4</v>
      </c>
      <c r="AC6" s="92" t="n">
        <f aca="true">IF($D6="","",IFERROR(COUNTIFS(INDIRECT("'"&amp;$D6&amp;"'!$E$7:$E$500"),"Medium",INDIRECT("'"&amp;$D6&amp;"'!$AT$7:$AT$500"),"?*"),0))</f>
        <v>7</v>
      </c>
      <c r="AD6" s="92" t="n">
        <f aca="true">IF($D6="","",IFERROR(COUNTIFS(INDIRECT("'"&amp;$D6&amp;"'!$E$7:$E$500"),"Low",INDIRECT("'"&amp;$D6&amp;"'!$AT$7:$AT$500"),"?*"),0))</f>
        <v>2</v>
      </c>
      <c r="AE6" s="93" t="n">
        <f aca="true">IF($D6="","",IFERROR(COUNTIF(INDIRECT("'"&amp;$D6&amp;"'!$P$7:$P$500"),"?*"),0))</f>
        <v>13</v>
      </c>
      <c r="AF6" s="93" t="n">
        <f aca="true">IF($D6="","",IFERROR(COUNTIF(INDIRECT("'"&amp;$D6&amp;"'!$P$7:$P$500"),"Pass"),0))</f>
        <v>9</v>
      </c>
      <c r="AG6" s="93" t="n">
        <f aca="true">IF($D6="","",IFERROR(COUNTIF(INDIRECT("'"&amp;$D6&amp;"'!$P$7:$P$500"),"Fail"),0))</f>
        <v>2</v>
      </c>
      <c r="AH6" s="93" t="n">
        <f aca="true">IF($D6="","",IFERROR(COUNTIF(INDIRECT("'"&amp;$D6&amp;"'!$P$7:$P$500"),"Block"),0))</f>
        <v>2</v>
      </c>
      <c r="AI6" s="93" t="n">
        <f aca="true">IF($D6="","",IFERROR(COUNTIF(INDIRECT("'"&amp;$D6&amp;"'!$P$7:$P$500"),"N/A"),0))</f>
        <v>0</v>
      </c>
      <c r="AJ6" s="93" t="n">
        <f aca="true">IF($D6="","",IFERROR(COUNTIF(INDIRECT("'"&amp;$D6&amp;"'!$V$7:$V$500"),"?*"),0))</f>
        <v>0</v>
      </c>
      <c r="AK6" s="93" t="n">
        <f aca="true">IF($D6="","",IFERROR(COUNTIF(INDIRECT("'"&amp;$D6&amp;"'!$V$7:$V$500"),"Pass"),0))</f>
        <v>0</v>
      </c>
      <c r="AL6" s="93" t="n">
        <f aca="true">IF($D6="","",IFERROR(COUNTIF(INDIRECT("'"&amp;$D6&amp;"'!$V$7:$V$500"),"Fail"),0))</f>
        <v>0</v>
      </c>
      <c r="AM6" s="93" t="n">
        <f aca="true">IF($D6="","",IFERROR(COUNTIF(INDIRECT("'"&amp;$D6&amp;"'!$V$7:$V$500"),"Block"),0))</f>
        <v>0</v>
      </c>
      <c r="AN6" s="93" t="n">
        <f aca="true">IF($D6="","",IFERROR(COUNTIF(INDIRECT("'"&amp;$D6&amp;"'!$V$7:$V$500"),"N/A"),0))</f>
        <v>0</v>
      </c>
      <c r="AO6" s="93" t="n">
        <f aca="true">IF($D6="","",IFERROR(COUNTIF(INDIRECT("'"&amp;$D6&amp;"'!$AB$7:$AB$500"),"?*"),0))</f>
        <v>0</v>
      </c>
      <c r="AP6" s="93" t="n">
        <f aca="true">IF($D6="","",IFERROR(COUNTIF(INDIRECT("'"&amp;$D6&amp;"'!$AB$7:$AB$500"),"Pass"),0))</f>
        <v>0</v>
      </c>
      <c r="AQ6" s="93" t="n">
        <f aca="true">IF($D6="","",IFERROR(COUNTIF(INDIRECT("'"&amp;$D6&amp;"'!$AB$7:$AB$500"),"Fail"),0))</f>
        <v>0</v>
      </c>
      <c r="AR6" s="93" t="n">
        <f aca="true">IF($D6="","",IFERROR(COUNTIF(INDIRECT("'"&amp;$D6&amp;"'!$AB$7:$AB$500"),"Block"),0))</f>
        <v>0</v>
      </c>
      <c r="AS6" s="93" t="n">
        <f aca="true">IF($D6="","",IFERROR(COUNTIF(INDIRECT("'"&amp;$D6&amp;"'!$AB$7:$AB$500"),"N/A"),0))</f>
        <v>0</v>
      </c>
      <c r="AT6" s="93" t="n">
        <f aca="true">IF($D6="","",IFERROR(COUNTIF(INDIRECT("'"&amp;$D6&amp;"'!$AH$7:$AH$500"),"?*"),0))</f>
        <v>0</v>
      </c>
      <c r="AU6" s="93" t="n">
        <f aca="true">IF($D6="","",IFERROR(COUNTIF(INDIRECT("'"&amp;$D6&amp;"'!$AH$7:$AH$500"),"Pass"),0))</f>
        <v>0</v>
      </c>
      <c r="AV6" s="93" t="n">
        <f aca="true">IF($D6="","",IFERROR(COUNTIF(INDIRECT("'"&amp;$D6&amp;"'!$AH$7:$AH$500"),"Fail"),0))</f>
        <v>0</v>
      </c>
      <c r="AW6" s="93" t="n">
        <f aca="true">IF($D6="","",IFERROR(COUNTIF(INDIRECT("'"&amp;$D6&amp;"'!$AH$7:$AH$500"),"Block"),0))</f>
        <v>0</v>
      </c>
      <c r="AX6" s="93" t="n">
        <f aca="true">IF($D6="","",IFERROR(COUNTIF(INDIRECT("'"&amp;$D6&amp;"'!$AH$7:$AH$500"),"N/A"),0))</f>
        <v>0</v>
      </c>
      <c r="AY6" s="93" t="n">
        <f aca="true">IF($D6="","",IFERROR(COUNTIF(INDIRECT("'"&amp;$D6&amp;"'!$AN$7:$AN$500"),"?*"),0))</f>
        <v>0</v>
      </c>
      <c r="AZ6" s="93" t="n">
        <f aca="true">IF($D6="","",IFERROR(COUNTIF(INDIRECT("'"&amp;$D6&amp;"'!$AN$7:$AN$500"),"Pass"),0))</f>
        <v>0</v>
      </c>
      <c r="BA6" s="93" t="n">
        <f aca="true">IF($D6="","",IFERROR(COUNTIF(INDIRECT("'"&amp;$D6&amp;"'!$AN$7:$AN$500"),"Fail"),0))</f>
        <v>0</v>
      </c>
      <c r="BB6" s="93" t="n">
        <f aca="true">IF($D6="","",IFERROR(COUNTIF(INDIRECT("'"&amp;$D6&amp;"'!$AN$7:$AN$500"),"Block"),0))</f>
        <v>0</v>
      </c>
      <c r="BC6" s="1" t="n">
        <f aca="true">IF($D6="","",IFERROR(COUNTIF(INDIRECT("'"&amp;$D6&amp;"'!$AN$7:$AN$500"),"N/A"),0))</f>
        <v>0</v>
      </c>
    </row>
    <row r="7" customFormat="false" ht="22.35" hidden="false" customHeight="false" outlineLevel="0" collapsed="false">
      <c r="A7" s="1"/>
      <c r="B7" s="88" t="n">
        <f aca="false">IF($D7="","",ROW()-3)</f>
        <v>4</v>
      </c>
      <c r="C7" s="89" t="s">
        <v>199</v>
      </c>
      <c r="D7" s="89" t="s">
        <v>200</v>
      </c>
      <c r="E7" s="90" t="s">
        <v>200</v>
      </c>
      <c r="F7" s="88" t="n">
        <f aca="true">IF($D7="","",IFERROR(COUNTIF(INDIRECT("'"&amp;$D7&amp;"'!$A$7:$A$500"),"?*"),0))</f>
        <v>51</v>
      </c>
      <c r="G7" s="88" t="n">
        <f aca="true">IF($D7="","",IFERROR(COUNTIF(INDIRECT("'"&amp;$D7&amp;"'!$AT$7:$AT$500"),"Pass"),0))</f>
        <v>5</v>
      </c>
      <c r="H7" s="88" t="n">
        <f aca="true">IF($D7="","",IFERROR(COUNTIF(INDIRECT("'"&amp;$D7&amp;"'!$AT$7:$AT$500"),"Fail"),0))</f>
        <v>2</v>
      </c>
      <c r="I7" s="88" t="n">
        <f aca="true">IF($D7="","",IFERROR(COUNTIF(INDIRECT("'"&amp;$D7&amp;"'!$AT$7:$AT$500"),"Block"),0))</f>
        <v>0</v>
      </c>
      <c r="J7" s="88" t="n">
        <f aca="true">IF($D7="","",IFERROR(COUNTIF(INDIRECT("'"&amp;$D7&amp;"'!$AT$7:$AT$500"),"N/A"),0))</f>
        <v>4</v>
      </c>
      <c r="K7" s="88" t="n">
        <f aca="false">IF($D7="","",MAX(0,$F7-$G7-$H7-$I7-$J7))</f>
        <v>40</v>
      </c>
      <c r="L7" s="88" t="n">
        <f aca="false">IF($D7="","",$G7+$H7+$I7+$J7)</f>
        <v>11</v>
      </c>
      <c r="M7" s="91" t="n">
        <f aca="false">IF($D7="","",IFERROR($L7/$F7,0))</f>
        <v>0.215686274509804</v>
      </c>
      <c r="N7" s="91" t="n">
        <f aca="false">IF($D7="","",IFERROR($G7/$L7,0))</f>
        <v>0.454545454545455</v>
      </c>
      <c r="O7" s="88" t="n">
        <f aca="true">IF($D7="","",IFERROR(COUNTIF(INDIRECT("'"&amp;$D7&amp;"'!$E$7:$E$500"),"High"),0))</f>
        <v>8</v>
      </c>
      <c r="P7" s="88" t="n">
        <f aca="true">IF($D7="","",IFERROR(COUNTIF(INDIRECT("'"&amp;$D7&amp;"'!$E$7:$E$500"),"Medium"),0))</f>
        <v>28</v>
      </c>
      <c r="Q7" s="88" t="n">
        <f aca="true">IF($D7="","",IFERROR(COUNTIF(INDIRECT("'"&amp;$D7&amp;"'!$E$7:$E$500"),"Low"),0))</f>
        <v>15</v>
      </c>
      <c r="R7" s="88" t="n">
        <f aca="true">IF($D7="","",IFERROR(COUNTIF(INDIRECT("'"&amp;$D7&amp;"'!$D$7:$D$500"),"Functional"),0))</f>
        <v>39</v>
      </c>
      <c r="S7" s="88" t="n">
        <f aca="true">IF($D7="","",IFERROR(COUNTIF(INDIRECT("'"&amp;$D7&amp;"'!$D$7:$D$500"),"UI"),0))</f>
        <v>12</v>
      </c>
      <c r="T7" s="88" t="n">
        <f aca="true">IF($D7="","",IFERROR(COUNTIF(INDIRECT("'"&amp;$D7&amp;"'!$D$7:$D$500"),"Integration"),0))</f>
        <v>0</v>
      </c>
      <c r="U7" s="88" t="n">
        <f aca="true">IF($D7="","",IFERROR(COUNTIF(INDIRECT("'"&amp;$D7&amp;"'!$D$7:$D$500"),"Database Test Case"),0))</f>
        <v>0</v>
      </c>
      <c r="V7" s="88" t="n">
        <f aca="true">IF($D7="","",IFERROR(COUNTIF(INDIRECT("'"&amp;$D7&amp;"'!$J$7:$J$500"),"AI"),0))</f>
        <v>51</v>
      </c>
      <c r="W7" s="88" t="n">
        <f aca="true">IF($D7="","",IFERROR(COUNTIF(INDIRECT("'"&amp;$D7&amp;"'!$J$7:$J$500"),"QC"),0))</f>
        <v>0</v>
      </c>
      <c r="X7" s="88" t="n">
        <f aca="true">IF($D7="","",IFERROR(COUNTIF(INDIRECT("'"&amp;$D7&amp;"'!$L$7:$L$500"),"Yes"),0))</f>
        <v>0</v>
      </c>
      <c r="Y7" s="88" t="n">
        <f aca="true">IF($D7="","",IFERROR(COUNTIF(INDIRECT("'"&amp;$D7&amp;"'!$AR$7:$AR$500"),"Yes"),0))</f>
        <v>11</v>
      </c>
      <c r="Z7" s="88" t="n">
        <f aca="true">IF($D7="","",IFERROR(COUNTIF(INDIRECT("'"&amp;$D7&amp;"'!$AS$7:$AS$500"),"Pass"),0))</f>
        <v>0</v>
      </c>
      <c r="AA7" s="88" t="n">
        <f aca="true">IF($D7="","",IFERROR(COUNTIF(INDIRECT("'"&amp;$D7&amp;"'!$K$7:$K$500"),"Reviewed"),0))</f>
        <v>0</v>
      </c>
      <c r="AB7" s="92" t="n">
        <f aca="true">IF($D7="","",IFERROR(COUNTIFS(INDIRECT("'"&amp;$D7&amp;"'!$E$7:$E$500"),"High",INDIRECT("'"&amp;$D7&amp;"'!$AT$7:$AT$500"),"?*"),0))</f>
        <v>5</v>
      </c>
      <c r="AC7" s="92" t="n">
        <f aca="true">IF($D7="","",IFERROR(COUNTIFS(INDIRECT("'"&amp;$D7&amp;"'!$E$7:$E$500"),"Medium",INDIRECT("'"&amp;$D7&amp;"'!$AT$7:$AT$500"),"?*"),0))</f>
        <v>2</v>
      </c>
      <c r="AD7" s="92" t="n">
        <f aca="true">IF($D7="","",IFERROR(COUNTIFS(INDIRECT("'"&amp;$D7&amp;"'!$E$7:$E$500"),"Low",INDIRECT("'"&amp;$D7&amp;"'!$AT$7:$AT$500"),"?*"),0))</f>
        <v>4</v>
      </c>
      <c r="AE7" s="93" t="n">
        <f aca="true">IF($D7="","",IFERROR(COUNTIF(INDIRECT("'"&amp;$D7&amp;"'!$P$7:$P$500"),"?*"),0))</f>
        <v>11</v>
      </c>
      <c r="AF7" s="93" t="n">
        <f aca="true">IF($D7="","",IFERROR(COUNTIF(INDIRECT("'"&amp;$D7&amp;"'!$P$7:$P$500"),"Pass"),0))</f>
        <v>5</v>
      </c>
      <c r="AG7" s="93" t="n">
        <f aca="true">IF($D7="","",IFERROR(COUNTIF(INDIRECT("'"&amp;$D7&amp;"'!$P$7:$P$500"),"Fail"),0))</f>
        <v>2</v>
      </c>
      <c r="AH7" s="93" t="n">
        <f aca="true">IF($D7="","",IFERROR(COUNTIF(INDIRECT("'"&amp;$D7&amp;"'!$P$7:$P$500"),"Block"),0))</f>
        <v>0</v>
      </c>
      <c r="AI7" s="93" t="n">
        <f aca="true">IF($D7="","",IFERROR(COUNTIF(INDIRECT("'"&amp;$D7&amp;"'!$P$7:$P$500"),"N/A"),0))</f>
        <v>4</v>
      </c>
      <c r="AJ7" s="93" t="n">
        <f aca="true">IF($D7="","",IFERROR(COUNTIF(INDIRECT("'"&amp;$D7&amp;"'!$V$7:$V$500"),"?*"),0))</f>
        <v>0</v>
      </c>
      <c r="AK7" s="93" t="n">
        <f aca="true">IF($D7="","",IFERROR(COUNTIF(INDIRECT("'"&amp;$D7&amp;"'!$V$7:$V$500"),"Pass"),0))</f>
        <v>0</v>
      </c>
      <c r="AL7" s="93" t="n">
        <f aca="true">IF($D7="","",IFERROR(COUNTIF(INDIRECT("'"&amp;$D7&amp;"'!$V$7:$V$500"),"Fail"),0))</f>
        <v>0</v>
      </c>
      <c r="AM7" s="93" t="n">
        <f aca="true">IF($D7="","",IFERROR(COUNTIF(INDIRECT("'"&amp;$D7&amp;"'!$V$7:$V$500"),"Block"),0))</f>
        <v>0</v>
      </c>
      <c r="AN7" s="93" t="n">
        <f aca="true">IF($D7="","",IFERROR(COUNTIF(INDIRECT("'"&amp;$D7&amp;"'!$V$7:$V$500"),"N/A"),0))</f>
        <v>0</v>
      </c>
      <c r="AO7" s="93" t="n">
        <f aca="true">IF($D7="","",IFERROR(COUNTIF(INDIRECT("'"&amp;$D7&amp;"'!$AB$7:$AB$500"),"?*"),0))</f>
        <v>0</v>
      </c>
      <c r="AP7" s="93" t="n">
        <f aca="true">IF($D7="","",IFERROR(COUNTIF(INDIRECT("'"&amp;$D7&amp;"'!$AB$7:$AB$500"),"Pass"),0))</f>
        <v>0</v>
      </c>
      <c r="AQ7" s="93" t="n">
        <f aca="true">IF($D7="","",IFERROR(COUNTIF(INDIRECT("'"&amp;$D7&amp;"'!$AB$7:$AB$500"),"Fail"),0))</f>
        <v>0</v>
      </c>
      <c r="AR7" s="93" t="n">
        <f aca="true">IF($D7="","",IFERROR(COUNTIF(INDIRECT("'"&amp;$D7&amp;"'!$AB$7:$AB$500"),"Block"),0))</f>
        <v>0</v>
      </c>
      <c r="AS7" s="93" t="n">
        <f aca="true">IF($D7="","",IFERROR(COUNTIF(INDIRECT("'"&amp;$D7&amp;"'!$AB$7:$AB$500"),"N/A"),0))</f>
        <v>0</v>
      </c>
      <c r="AT7" s="93" t="n">
        <f aca="true">IF($D7="","",IFERROR(COUNTIF(INDIRECT("'"&amp;$D7&amp;"'!$AH$7:$AH$500"),"?*"),0))</f>
        <v>0</v>
      </c>
      <c r="AU7" s="93" t="n">
        <f aca="true">IF($D7="","",IFERROR(COUNTIF(INDIRECT("'"&amp;$D7&amp;"'!$AH$7:$AH$500"),"Pass"),0))</f>
        <v>0</v>
      </c>
      <c r="AV7" s="93" t="n">
        <f aca="true">IF($D7="","",IFERROR(COUNTIF(INDIRECT("'"&amp;$D7&amp;"'!$AH$7:$AH$500"),"Fail"),0))</f>
        <v>0</v>
      </c>
      <c r="AW7" s="93" t="n">
        <f aca="true">IF($D7="","",IFERROR(COUNTIF(INDIRECT("'"&amp;$D7&amp;"'!$AH$7:$AH$500"),"Block"),0))</f>
        <v>0</v>
      </c>
      <c r="AX7" s="93" t="n">
        <f aca="true">IF($D7="","",IFERROR(COUNTIF(INDIRECT("'"&amp;$D7&amp;"'!$AH$7:$AH$500"),"N/A"),0))</f>
        <v>0</v>
      </c>
      <c r="AY7" s="93" t="n">
        <f aca="true">IF($D7="","",IFERROR(COUNTIF(INDIRECT("'"&amp;$D7&amp;"'!$AN$7:$AN$500"),"?*"),0))</f>
        <v>0</v>
      </c>
      <c r="AZ7" s="93" t="n">
        <f aca="true">IF($D7="","",IFERROR(COUNTIF(INDIRECT("'"&amp;$D7&amp;"'!$AN$7:$AN$500"),"Pass"),0))</f>
        <v>0</v>
      </c>
      <c r="BA7" s="93" t="n">
        <f aca="true">IF($D7="","",IFERROR(COUNTIF(INDIRECT("'"&amp;$D7&amp;"'!$AN$7:$AN$500"),"Fail"),0))</f>
        <v>0</v>
      </c>
      <c r="BB7" s="93" t="n">
        <f aca="true">IF($D7="","",IFERROR(COUNTIF(INDIRECT("'"&amp;$D7&amp;"'!$AN$7:$AN$500"),"Block"),0))</f>
        <v>0</v>
      </c>
      <c r="BC7" s="1" t="n">
        <f aca="true">IF($D7="","",IFERROR(COUNTIF(INDIRECT("'"&amp;$D7&amp;"'!$AN$7:$AN$500"),"N/A"),0))</f>
        <v>0</v>
      </c>
    </row>
    <row r="8" customFormat="false" ht="22.35" hidden="false" customHeight="false" outlineLevel="0" collapsed="false">
      <c r="A8" s="1"/>
      <c r="B8" s="88" t="n">
        <f aca="false">IF($D8="","",ROW()-3)</f>
        <v>5</v>
      </c>
      <c r="C8" s="89" t="s">
        <v>201</v>
      </c>
      <c r="D8" s="89" t="s">
        <v>202</v>
      </c>
      <c r="E8" s="90" t="s">
        <v>202</v>
      </c>
      <c r="F8" s="88" t="n">
        <f aca="true">IF($D8="","",IFERROR(COUNTIF(INDIRECT("'"&amp;$D8&amp;"'!$A$7:$A$500"),"?*"),0))</f>
        <v>5</v>
      </c>
      <c r="G8" s="88" t="n">
        <f aca="true">IF($D8="","",IFERROR(COUNTIF(INDIRECT("'"&amp;$D8&amp;"'!$AT$7:$AT$500"),"Pass"),0))</f>
        <v>4</v>
      </c>
      <c r="H8" s="88" t="n">
        <f aca="true">IF($D8="","",IFERROR(COUNTIF(INDIRECT("'"&amp;$D8&amp;"'!$AT$7:$AT$500"),"Fail"),0))</f>
        <v>0</v>
      </c>
      <c r="I8" s="88" t="n">
        <f aca="true">IF($D8="","",IFERROR(COUNTIF(INDIRECT("'"&amp;$D8&amp;"'!$AT$7:$AT$500"),"Block"),0))</f>
        <v>1</v>
      </c>
      <c r="J8" s="88" t="n">
        <f aca="true">IF($D8="","",IFERROR(COUNTIF(INDIRECT("'"&amp;$D8&amp;"'!$AT$7:$AT$500"),"N/A"),0))</f>
        <v>0</v>
      </c>
      <c r="K8" s="88" t="n">
        <f aca="false">IF($D8="","",MAX(0,$F8-$G8-$H8-$I8-$J8))</f>
        <v>0</v>
      </c>
      <c r="L8" s="88" t="n">
        <f aca="false">IF($D8="","",$G8+$H8+$I8+$J8)</f>
        <v>5</v>
      </c>
      <c r="M8" s="91" t="n">
        <f aca="false">IF($D8="","",IFERROR($L8/$F8,0))</f>
        <v>1</v>
      </c>
      <c r="N8" s="91" t="n">
        <f aca="false">IF($D8="","",IFERROR($G8/$L8,0))</f>
        <v>0.8</v>
      </c>
      <c r="O8" s="88" t="n">
        <f aca="true">IF($D8="","",IFERROR(COUNTIF(INDIRECT("'"&amp;$D8&amp;"'!$E$7:$E$500"),"High"),0))</f>
        <v>0</v>
      </c>
      <c r="P8" s="88" t="n">
        <f aca="true">IF($D8="","",IFERROR(COUNTIF(INDIRECT("'"&amp;$D8&amp;"'!$E$7:$E$500"),"Medium"),0))</f>
        <v>2</v>
      </c>
      <c r="Q8" s="88" t="n">
        <f aca="true">IF($D8="","",IFERROR(COUNTIF(INDIRECT("'"&amp;$D8&amp;"'!$E$7:$E$500"),"Low"),0))</f>
        <v>3</v>
      </c>
      <c r="R8" s="88" t="n">
        <f aca="true">IF($D8="","",IFERROR(COUNTIF(INDIRECT("'"&amp;$D8&amp;"'!$D$7:$D$500"),"Functional"),0))</f>
        <v>0</v>
      </c>
      <c r="S8" s="88" t="n">
        <f aca="true">IF($D8="","",IFERROR(COUNTIF(INDIRECT("'"&amp;$D8&amp;"'!$D$7:$D$500"),"UI"),0))</f>
        <v>5</v>
      </c>
      <c r="T8" s="88" t="n">
        <f aca="true">IF($D8="","",IFERROR(COUNTIF(INDIRECT("'"&amp;$D8&amp;"'!$D$7:$D$500"),"Integration"),0))</f>
        <v>0</v>
      </c>
      <c r="U8" s="88" t="n">
        <f aca="true">IF($D8="","",IFERROR(COUNTIF(INDIRECT("'"&amp;$D8&amp;"'!$D$7:$D$500"),"Database Test Case"),0))</f>
        <v>0</v>
      </c>
      <c r="V8" s="88" t="n">
        <f aca="true">IF($D8="","",IFERROR(COUNTIF(INDIRECT("'"&amp;$D8&amp;"'!$J$7:$J$500"),"AI"),0))</f>
        <v>5</v>
      </c>
      <c r="W8" s="88" t="n">
        <f aca="true">IF($D8="","",IFERROR(COUNTIF(INDIRECT("'"&amp;$D8&amp;"'!$J$7:$J$500"),"QC"),0))</f>
        <v>0</v>
      </c>
      <c r="X8" s="88" t="n">
        <f aca="true">IF($D8="","",IFERROR(COUNTIF(INDIRECT("'"&amp;$D8&amp;"'!$L$7:$L$500"),"Yes"),0))</f>
        <v>0</v>
      </c>
      <c r="Y8" s="88" t="n">
        <f aca="true">IF($D8="","",IFERROR(COUNTIF(INDIRECT("'"&amp;$D8&amp;"'!$AR$7:$AR$500"),"Yes"),0))</f>
        <v>5</v>
      </c>
      <c r="Z8" s="88" t="n">
        <f aca="true">IF($D8="","",IFERROR(COUNTIF(INDIRECT("'"&amp;$D8&amp;"'!$AS$7:$AS$500"),"Pass"),0))</f>
        <v>0</v>
      </c>
      <c r="AA8" s="88" t="n">
        <f aca="true">IF($D8="","",IFERROR(COUNTIF(INDIRECT("'"&amp;$D8&amp;"'!$K$7:$K$500"),"Reviewed"),0))</f>
        <v>0</v>
      </c>
      <c r="AB8" s="92" t="n">
        <f aca="true">IF($D8="","",IFERROR(COUNTIFS(INDIRECT("'"&amp;$D8&amp;"'!$E$7:$E$500"),"High",INDIRECT("'"&amp;$D8&amp;"'!$AT$7:$AT$500"),"?*"),0))</f>
        <v>0</v>
      </c>
      <c r="AC8" s="92" t="n">
        <f aca="true">IF($D8="","",IFERROR(COUNTIFS(INDIRECT("'"&amp;$D8&amp;"'!$E$7:$E$500"),"Medium",INDIRECT("'"&amp;$D8&amp;"'!$AT$7:$AT$500"),"?*"),0))</f>
        <v>2</v>
      </c>
      <c r="AD8" s="92" t="n">
        <f aca="true">IF($D8="","",IFERROR(COUNTIFS(INDIRECT("'"&amp;$D8&amp;"'!$E$7:$E$500"),"Low",INDIRECT("'"&amp;$D8&amp;"'!$AT$7:$AT$500"),"?*"),0))</f>
        <v>3</v>
      </c>
      <c r="AE8" s="93" t="n">
        <f aca="true">IF($D8="","",IFERROR(COUNTIF(INDIRECT("'"&amp;$D8&amp;"'!$P$7:$P$500"),"?*"),0))</f>
        <v>5</v>
      </c>
      <c r="AF8" s="93" t="n">
        <f aca="true">IF($D8="","",IFERROR(COUNTIF(INDIRECT("'"&amp;$D8&amp;"'!$P$7:$P$500"),"Pass"),0))</f>
        <v>4</v>
      </c>
      <c r="AG8" s="93" t="n">
        <f aca="true">IF($D8="","",IFERROR(COUNTIF(INDIRECT("'"&amp;$D8&amp;"'!$P$7:$P$500"),"Fail"),0))</f>
        <v>0</v>
      </c>
      <c r="AH8" s="93" t="n">
        <f aca="true">IF($D8="","",IFERROR(COUNTIF(INDIRECT("'"&amp;$D8&amp;"'!$P$7:$P$500"),"Block"),0))</f>
        <v>1</v>
      </c>
      <c r="AI8" s="93" t="n">
        <f aca="true">IF($D8="","",IFERROR(COUNTIF(INDIRECT("'"&amp;$D8&amp;"'!$P$7:$P$500"),"N/A"),0))</f>
        <v>0</v>
      </c>
      <c r="AJ8" s="93" t="n">
        <f aca="true">IF($D8="","",IFERROR(COUNTIF(INDIRECT("'"&amp;$D8&amp;"'!$V$7:$V$500"),"?*"),0))</f>
        <v>0</v>
      </c>
      <c r="AK8" s="93" t="n">
        <f aca="true">IF($D8="","",IFERROR(COUNTIF(INDIRECT("'"&amp;$D8&amp;"'!$V$7:$V$500"),"Pass"),0))</f>
        <v>0</v>
      </c>
      <c r="AL8" s="93" t="n">
        <f aca="true">IF($D8="","",IFERROR(COUNTIF(INDIRECT("'"&amp;$D8&amp;"'!$V$7:$V$500"),"Fail"),0))</f>
        <v>0</v>
      </c>
      <c r="AM8" s="93" t="n">
        <f aca="true">IF($D8="","",IFERROR(COUNTIF(INDIRECT("'"&amp;$D8&amp;"'!$V$7:$V$500"),"Block"),0))</f>
        <v>0</v>
      </c>
      <c r="AN8" s="93" t="n">
        <f aca="true">IF($D8="","",IFERROR(COUNTIF(INDIRECT("'"&amp;$D8&amp;"'!$V$7:$V$500"),"N/A"),0))</f>
        <v>0</v>
      </c>
      <c r="AO8" s="93" t="n">
        <f aca="true">IF($D8="","",IFERROR(COUNTIF(INDIRECT("'"&amp;$D8&amp;"'!$AB$7:$AB$500"),"?*"),0))</f>
        <v>0</v>
      </c>
      <c r="AP8" s="93" t="n">
        <f aca="true">IF($D8="","",IFERROR(COUNTIF(INDIRECT("'"&amp;$D8&amp;"'!$AB$7:$AB$500"),"Pass"),0))</f>
        <v>0</v>
      </c>
      <c r="AQ8" s="93" t="n">
        <f aca="true">IF($D8="","",IFERROR(COUNTIF(INDIRECT("'"&amp;$D8&amp;"'!$AB$7:$AB$500"),"Fail"),0))</f>
        <v>0</v>
      </c>
      <c r="AR8" s="93" t="n">
        <f aca="true">IF($D8="","",IFERROR(COUNTIF(INDIRECT("'"&amp;$D8&amp;"'!$AB$7:$AB$500"),"Block"),0))</f>
        <v>0</v>
      </c>
      <c r="AS8" s="93" t="n">
        <f aca="true">IF($D8="","",IFERROR(COUNTIF(INDIRECT("'"&amp;$D8&amp;"'!$AB$7:$AB$500"),"N/A"),0))</f>
        <v>0</v>
      </c>
      <c r="AT8" s="93" t="n">
        <f aca="true">IF($D8="","",IFERROR(COUNTIF(INDIRECT("'"&amp;$D8&amp;"'!$AH$7:$AH$500"),"?*"),0))</f>
        <v>0</v>
      </c>
      <c r="AU8" s="93" t="n">
        <f aca="true">IF($D8="","",IFERROR(COUNTIF(INDIRECT("'"&amp;$D8&amp;"'!$AH$7:$AH$500"),"Pass"),0))</f>
        <v>0</v>
      </c>
      <c r="AV8" s="93" t="n">
        <f aca="true">IF($D8="","",IFERROR(COUNTIF(INDIRECT("'"&amp;$D8&amp;"'!$AH$7:$AH$500"),"Fail"),0))</f>
        <v>0</v>
      </c>
      <c r="AW8" s="93" t="n">
        <f aca="true">IF($D8="","",IFERROR(COUNTIF(INDIRECT("'"&amp;$D8&amp;"'!$AH$7:$AH$500"),"Block"),0))</f>
        <v>0</v>
      </c>
      <c r="AX8" s="93" t="n">
        <f aca="true">IF($D8="","",IFERROR(COUNTIF(INDIRECT("'"&amp;$D8&amp;"'!$AH$7:$AH$500"),"N/A"),0))</f>
        <v>0</v>
      </c>
      <c r="AY8" s="93" t="n">
        <f aca="true">IF($D8="","",IFERROR(COUNTIF(INDIRECT("'"&amp;$D8&amp;"'!$AN$7:$AN$500"),"?*"),0))</f>
        <v>0</v>
      </c>
      <c r="AZ8" s="93" t="n">
        <f aca="true">IF($D8="","",IFERROR(COUNTIF(INDIRECT("'"&amp;$D8&amp;"'!$AN$7:$AN$500"),"Pass"),0))</f>
        <v>0</v>
      </c>
      <c r="BA8" s="93" t="n">
        <f aca="true">IF($D8="","",IFERROR(COUNTIF(INDIRECT("'"&amp;$D8&amp;"'!$AN$7:$AN$500"),"Fail"),0))</f>
        <v>0</v>
      </c>
      <c r="BB8" s="93" t="n">
        <f aca="true">IF($D8="","",IFERROR(COUNTIF(INDIRECT("'"&amp;$D8&amp;"'!$AN$7:$AN$500"),"Block"),0))</f>
        <v>0</v>
      </c>
      <c r="BC8" s="1" t="n">
        <f aca="true">IF($D8="","",IFERROR(COUNTIF(INDIRECT("'"&amp;$D8&amp;"'!$AN$7:$AN$500"),"N/A"),0))</f>
        <v>0</v>
      </c>
    </row>
    <row r="9" customFormat="false" ht="15" hidden="false" customHeight="false" outlineLevel="0" collapsed="false">
      <c r="A9" s="1"/>
      <c r="B9" s="88" t="n">
        <f aca="false">IF($D9="","",ROW()-3)</f>
        <v>6</v>
      </c>
      <c r="C9" s="89" t="s">
        <v>203</v>
      </c>
      <c r="D9" s="89" t="s">
        <v>204</v>
      </c>
      <c r="E9" s="90" t="s">
        <v>204</v>
      </c>
      <c r="F9" s="88" t="n">
        <f aca="true">IF($D9="","",IFERROR(COUNTIF(INDIRECT("'"&amp;$D9&amp;"'!$A$7:$A$500"),"?*"),0))</f>
        <v>8</v>
      </c>
      <c r="G9" s="88" t="n">
        <f aca="true">IF($D9="","",IFERROR(COUNTIF(INDIRECT("'"&amp;$D9&amp;"'!$AT$7:$AT$500"),"Pass"),0))</f>
        <v>3</v>
      </c>
      <c r="H9" s="88" t="n">
        <f aca="true">IF($D9="","",IFERROR(COUNTIF(INDIRECT("'"&amp;$D9&amp;"'!$AT$7:$AT$500"),"Fail"),0))</f>
        <v>1</v>
      </c>
      <c r="I9" s="88" t="n">
        <f aca="true">IF($D9="","",IFERROR(COUNTIF(INDIRECT("'"&amp;$D9&amp;"'!$AT$7:$AT$500"),"Block"),0))</f>
        <v>2</v>
      </c>
      <c r="J9" s="88" t="n">
        <f aca="true">IF($D9="","",IFERROR(COUNTIF(INDIRECT("'"&amp;$D9&amp;"'!$AT$7:$AT$500"),"N/A"),0))</f>
        <v>0</v>
      </c>
      <c r="K9" s="88" t="n">
        <f aca="false">IF($D9="","",MAX(0,$F9-$G9-$H9-$I9-$J9))</f>
        <v>2</v>
      </c>
      <c r="L9" s="88" t="n">
        <f aca="false">IF($D9="","",$G9+$H9+$I9+$J9)</f>
        <v>6</v>
      </c>
      <c r="M9" s="91" t="n">
        <f aca="false">IF($D9="","",IFERROR($L9/$F9,0))</f>
        <v>0.75</v>
      </c>
      <c r="N9" s="91" t="n">
        <f aca="false">IF($D9="","",IFERROR($G9/$L9,0))</f>
        <v>0.5</v>
      </c>
      <c r="O9" s="88" t="n">
        <f aca="true">IF($D9="","",IFERROR(COUNTIF(INDIRECT("'"&amp;$D9&amp;"'!$E$7:$E$500"),"High"),0))</f>
        <v>0</v>
      </c>
      <c r="P9" s="88" t="n">
        <f aca="true">IF($D9="","",IFERROR(COUNTIF(INDIRECT("'"&amp;$D9&amp;"'!$E$7:$E$500"),"Medium"),0))</f>
        <v>6</v>
      </c>
      <c r="Q9" s="88" t="n">
        <f aca="true">IF($D9="","",IFERROR(COUNTIF(INDIRECT("'"&amp;$D9&amp;"'!$E$7:$E$500"),"Low"),0))</f>
        <v>2</v>
      </c>
      <c r="R9" s="88" t="n">
        <f aca="true">IF($D9="","",IFERROR(COUNTIF(INDIRECT("'"&amp;$D9&amp;"'!$D$7:$D$500"),"Functional"),0))</f>
        <v>5</v>
      </c>
      <c r="S9" s="88" t="n">
        <f aca="true">IF($D9="","",IFERROR(COUNTIF(INDIRECT("'"&amp;$D9&amp;"'!$D$7:$D$500"),"UI"),0))</f>
        <v>3</v>
      </c>
      <c r="T9" s="88" t="n">
        <f aca="true">IF($D9="","",IFERROR(COUNTIF(INDIRECT("'"&amp;$D9&amp;"'!$D$7:$D$500"),"Integration"),0))</f>
        <v>0</v>
      </c>
      <c r="U9" s="88" t="n">
        <f aca="true">IF($D9="","",IFERROR(COUNTIF(INDIRECT("'"&amp;$D9&amp;"'!$D$7:$D$500"),"Database Test Case"),0))</f>
        <v>0</v>
      </c>
      <c r="V9" s="88" t="n">
        <f aca="true">IF($D9="","",IFERROR(COUNTIF(INDIRECT("'"&amp;$D9&amp;"'!$J$7:$J$500"),"AI"),0))</f>
        <v>8</v>
      </c>
      <c r="W9" s="88" t="n">
        <f aca="true">IF($D9="","",IFERROR(COUNTIF(INDIRECT("'"&amp;$D9&amp;"'!$J$7:$J$500"),"QC"),0))</f>
        <v>0</v>
      </c>
      <c r="X9" s="88" t="n">
        <f aca="true">IF($D9="","",IFERROR(COUNTIF(INDIRECT("'"&amp;$D9&amp;"'!$L$7:$L$500"),"Yes"),0))</f>
        <v>0</v>
      </c>
      <c r="Y9" s="88" t="n">
        <f aca="true">IF($D9="","",IFERROR(COUNTIF(INDIRECT("'"&amp;$D9&amp;"'!$AR$7:$AR$500"),"Yes"),0))</f>
        <v>6</v>
      </c>
      <c r="Z9" s="88" t="n">
        <f aca="true">IF($D9="","",IFERROR(COUNTIF(INDIRECT("'"&amp;$D9&amp;"'!$AS$7:$AS$500"),"Pass"),0))</f>
        <v>0</v>
      </c>
      <c r="AA9" s="88" t="n">
        <f aca="true">IF($D9="","",IFERROR(COUNTIF(INDIRECT("'"&amp;$D9&amp;"'!$K$7:$K$500"),"Reviewed"),0))</f>
        <v>0</v>
      </c>
      <c r="AB9" s="92" t="n">
        <f aca="true">IF($D9="","",IFERROR(COUNTIFS(INDIRECT("'"&amp;$D9&amp;"'!$E$7:$E$500"),"High",INDIRECT("'"&amp;$D9&amp;"'!$AT$7:$AT$500"),"?*"),0))</f>
        <v>0</v>
      </c>
      <c r="AC9" s="92" t="n">
        <f aca="true">IF($D9="","",IFERROR(COUNTIFS(INDIRECT("'"&amp;$D9&amp;"'!$E$7:$E$500"),"Medium",INDIRECT("'"&amp;$D9&amp;"'!$AT$7:$AT$500"),"?*"),0))</f>
        <v>6</v>
      </c>
      <c r="AD9" s="92" t="n">
        <f aca="true">IF($D9="","",IFERROR(COUNTIFS(INDIRECT("'"&amp;$D9&amp;"'!$E$7:$E$500"),"Low",INDIRECT("'"&amp;$D9&amp;"'!$AT$7:$AT$500"),"?*"),0))</f>
        <v>0</v>
      </c>
      <c r="AE9" s="93" t="n">
        <f aca="true">IF($D9="","",IFERROR(COUNTIF(INDIRECT("'"&amp;$D9&amp;"'!$P$7:$P$500"),"?*"),0))</f>
        <v>6</v>
      </c>
      <c r="AF9" s="93" t="n">
        <f aca="true">IF($D9="","",IFERROR(COUNTIF(INDIRECT("'"&amp;$D9&amp;"'!$P$7:$P$500"),"Pass"),0))</f>
        <v>3</v>
      </c>
      <c r="AG9" s="93" t="n">
        <f aca="true">IF($D9="","",IFERROR(COUNTIF(INDIRECT("'"&amp;$D9&amp;"'!$P$7:$P$500"),"Fail"),0))</f>
        <v>1</v>
      </c>
      <c r="AH9" s="93" t="n">
        <f aca="true">IF($D9="","",IFERROR(COUNTIF(INDIRECT("'"&amp;$D9&amp;"'!$P$7:$P$500"),"Block"),0))</f>
        <v>2</v>
      </c>
      <c r="AI9" s="93" t="n">
        <f aca="true">IF($D9="","",IFERROR(COUNTIF(INDIRECT("'"&amp;$D9&amp;"'!$P$7:$P$500"),"N/A"),0))</f>
        <v>0</v>
      </c>
      <c r="AJ9" s="93" t="n">
        <f aca="true">IF($D9="","",IFERROR(COUNTIF(INDIRECT("'"&amp;$D9&amp;"'!$V$7:$V$500"),"?*"),0))</f>
        <v>0</v>
      </c>
      <c r="AK9" s="93" t="n">
        <f aca="true">IF($D9="","",IFERROR(COUNTIF(INDIRECT("'"&amp;$D9&amp;"'!$V$7:$V$500"),"Pass"),0))</f>
        <v>0</v>
      </c>
      <c r="AL9" s="93" t="n">
        <f aca="true">IF($D9="","",IFERROR(COUNTIF(INDIRECT("'"&amp;$D9&amp;"'!$V$7:$V$500"),"Fail"),0))</f>
        <v>0</v>
      </c>
      <c r="AM9" s="93" t="n">
        <f aca="true">IF($D9="","",IFERROR(COUNTIF(INDIRECT("'"&amp;$D9&amp;"'!$V$7:$V$500"),"Block"),0))</f>
        <v>0</v>
      </c>
      <c r="AN9" s="93" t="n">
        <f aca="true">IF($D9="","",IFERROR(COUNTIF(INDIRECT("'"&amp;$D9&amp;"'!$V$7:$V$500"),"N/A"),0))</f>
        <v>0</v>
      </c>
      <c r="AO9" s="93" t="n">
        <f aca="true">IF($D9="","",IFERROR(COUNTIF(INDIRECT("'"&amp;$D9&amp;"'!$AB$7:$AB$500"),"?*"),0))</f>
        <v>0</v>
      </c>
      <c r="AP9" s="93" t="n">
        <f aca="true">IF($D9="","",IFERROR(COUNTIF(INDIRECT("'"&amp;$D9&amp;"'!$AB$7:$AB$500"),"Pass"),0))</f>
        <v>0</v>
      </c>
      <c r="AQ9" s="93" t="n">
        <f aca="true">IF($D9="","",IFERROR(COUNTIF(INDIRECT("'"&amp;$D9&amp;"'!$AB$7:$AB$500"),"Fail"),0))</f>
        <v>0</v>
      </c>
      <c r="AR9" s="93" t="n">
        <f aca="true">IF($D9="","",IFERROR(COUNTIF(INDIRECT("'"&amp;$D9&amp;"'!$AB$7:$AB$500"),"Block"),0))</f>
        <v>0</v>
      </c>
      <c r="AS9" s="93" t="n">
        <f aca="true">IF($D9="","",IFERROR(COUNTIF(INDIRECT("'"&amp;$D9&amp;"'!$AB$7:$AB$500"),"N/A"),0))</f>
        <v>0</v>
      </c>
      <c r="AT9" s="93" t="n">
        <f aca="true">IF($D9="","",IFERROR(COUNTIF(INDIRECT("'"&amp;$D9&amp;"'!$AH$7:$AH$500"),"?*"),0))</f>
        <v>0</v>
      </c>
      <c r="AU9" s="93" t="n">
        <f aca="true">IF($D9="","",IFERROR(COUNTIF(INDIRECT("'"&amp;$D9&amp;"'!$AH$7:$AH$500"),"Pass"),0))</f>
        <v>0</v>
      </c>
      <c r="AV9" s="93" t="n">
        <f aca="true">IF($D9="","",IFERROR(COUNTIF(INDIRECT("'"&amp;$D9&amp;"'!$AH$7:$AH$500"),"Fail"),0))</f>
        <v>0</v>
      </c>
      <c r="AW9" s="93" t="n">
        <f aca="true">IF($D9="","",IFERROR(COUNTIF(INDIRECT("'"&amp;$D9&amp;"'!$AH$7:$AH$500"),"Block"),0))</f>
        <v>0</v>
      </c>
      <c r="AX9" s="93" t="n">
        <f aca="true">IF($D9="","",IFERROR(COUNTIF(INDIRECT("'"&amp;$D9&amp;"'!$AH$7:$AH$500"),"N/A"),0))</f>
        <v>0</v>
      </c>
      <c r="AY9" s="93" t="n">
        <f aca="true">IF($D9="","",IFERROR(COUNTIF(INDIRECT("'"&amp;$D9&amp;"'!$AN$7:$AN$500"),"?*"),0))</f>
        <v>0</v>
      </c>
      <c r="AZ9" s="93" t="n">
        <f aca="true">IF($D9="","",IFERROR(COUNTIF(INDIRECT("'"&amp;$D9&amp;"'!$AN$7:$AN$500"),"Pass"),0))</f>
        <v>0</v>
      </c>
      <c r="BA9" s="93" t="n">
        <f aca="true">IF($D9="","",IFERROR(COUNTIF(INDIRECT("'"&amp;$D9&amp;"'!$AN$7:$AN$500"),"Fail"),0))</f>
        <v>0</v>
      </c>
      <c r="BB9" s="93" t="n">
        <f aca="true">IF($D9="","",IFERROR(COUNTIF(INDIRECT("'"&amp;$D9&amp;"'!$AN$7:$AN$500"),"Block"),0))</f>
        <v>0</v>
      </c>
      <c r="BC9" s="1" t="n">
        <f aca="true">IF($D9="","",IFERROR(COUNTIF(INDIRECT("'"&amp;$D9&amp;"'!$AN$7:$AN$500"),"N/A"),0))</f>
        <v>0</v>
      </c>
    </row>
    <row r="10" customFormat="false" ht="15" hidden="false" customHeight="false" outlineLevel="0" collapsed="false">
      <c r="A10" s="1"/>
      <c r="B10" s="88" t="n">
        <f aca="false">IF($D10="","",ROW()-3)</f>
        <v>7</v>
      </c>
      <c r="C10" s="89" t="s">
        <v>205</v>
      </c>
      <c r="D10" s="89" t="s">
        <v>206</v>
      </c>
      <c r="E10" s="90" t="s">
        <v>206</v>
      </c>
      <c r="F10" s="88" t="n">
        <f aca="true">IF($D10="","",IFERROR(COUNTIF(INDIRECT("'"&amp;$D10&amp;"'!$A$7:$A$500"),"?*"),0))</f>
        <v>11</v>
      </c>
      <c r="G10" s="88" t="n">
        <f aca="true">IF($D10="","",IFERROR(COUNTIF(INDIRECT("'"&amp;$D10&amp;"'!$AT$7:$AT$500"),"Pass"),0))</f>
        <v>3</v>
      </c>
      <c r="H10" s="88" t="n">
        <f aca="true">IF($D10="","",IFERROR(COUNTIF(INDIRECT("'"&amp;$D10&amp;"'!$AT$7:$AT$500"),"Fail"),0))</f>
        <v>2</v>
      </c>
      <c r="I10" s="88" t="n">
        <f aca="true">IF($D10="","",IFERROR(COUNTIF(INDIRECT("'"&amp;$D10&amp;"'!$AT$7:$AT$500"),"Block"),0))</f>
        <v>1</v>
      </c>
      <c r="J10" s="88" t="n">
        <f aca="true">IF($D10="","",IFERROR(COUNTIF(INDIRECT("'"&amp;$D10&amp;"'!$AT$7:$AT$500"),"N/A"),0))</f>
        <v>1</v>
      </c>
      <c r="K10" s="88" t="n">
        <f aca="false">IF($D10="","",MAX(0,$F10-$G10-$H10-$I10-$J10))</f>
        <v>4</v>
      </c>
      <c r="L10" s="88" t="n">
        <f aca="false">IF($D10="","",$G10+$H10+$I10+$J10)</f>
        <v>7</v>
      </c>
      <c r="M10" s="91" t="n">
        <f aca="false">IF($D10="","",IFERROR($L10/$F10,0))</f>
        <v>0.636363636363636</v>
      </c>
      <c r="N10" s="91" t="n">
        <f aca="false">IF($D10="","",IFERROR($G10/$L10,0))</f>
        <v>0.428571428571429</v>
      </c>
      <c r="O10" s="88" t="n">
        <f aca="true">IF($D10="","",IFERROR(COUNTIF(INDIRECT("'"&amp;$D10&amp;"'!$E$7:$E$500"),"High"),0))</f>
        <v>0</v>
      </c>
      <c r="P10" s="88" t="n">
        <f aca="true">IF($D10="","",IFERROR(COUNTIF(INDIRECT("'"&amp;$D10&amp;"'!$E$7:$E$500"),"Medium"),0))</f>
        <v>3</v>
      </c>
      <c r="Q10" s="88" t="n">
        <f aca="true">IF($D10="","",IFERROR(COUNTIF(INDIRECT("'"&amp;$D10&amp;"'!$E$7:$E$500"),"Low"),0))</f>
        <v>8</v>
      </c>
      <c r="R10" s="88" t="n">
        <f aca="true">IF($D10="","",IFERROR(COUNTIF(INDIRECT("'"&amp;$D10&amp;"'!$D$7:$D$500"),"Functional"),0))</f>
        <v>8</v>
      </c>
      <c r="S10" s="88" t="n">
        <f aca="true">IF($D10="","",IFERROR(COUNTIF(INDIRECT("'"&amp;$D10&amp;"'!$D$7:$D$500"),"UI"),0))</f>
        <v>3</v>
      </c>
      <c r="T10" s="88" t="n">
        <f aca="true">IF($D10="","",IFERROR(COUNTIF(INDIRECT("'"&amp;$D10&amp;"'!$D$7:$D$500"),"Integration"),0))</f>
        <v>0</v>
      </c>
      <c r="U10" s="88" t="n">
        <f aca="true">IF($D10="","",IFERROR(COUNTIF(INDIRECT("'"&amp;$D10&amp;"'!$D$7:$D$500"),"Database Test Case"),0))</f>
        <v>0</v>
      </c>
      <c r="V10" s="88" t="n">
        <f aca="true">IF($D10="","",IFERROR(COUNTIF(INDIRECT("'"&amp;$D10&amp;"'!$J$7:$J$500"),"AI"),0))</f>
        <v>11</v>
      </c>
      <c r="W10" s="88" t="n">
        <f aca="true">IF($D10="","",IFERROR(COUNTIF(INDIRECT("'"&amp;$D10&amp;"'!$J$7:$J$500"),"QC"),0))</f>
        <v>0</v>
      </c>
      <c r="X10" s="88" t="n">
        <f aca="true">IF($D10="","",IFERROR(COUNTIF(INDIRECT("'"&amp;$D10&amp;"'!$L$7:$L$500"),"Yes"),0))</f>
        <v>0</v>
      </c>
      <c r="Y10" s="88" t="n">
        <f aca="true">IF($D10="","",IFERROR(COUNTIF(INDIRECT("'"&amp;$D10&amp;"'!$AR$7:$AR$500"),"Yes"),0))</f>
        <v>7</v>
      </c>
      <c r="Z10" s="88" t="n">
        <f aca="true">IF($D10="","",IFERROR(COUNTIF(INDIRECT("'"&amp;$D10&amp;"'!$AS$7:$AS$500"),"Pass"),0))</f>
        <v>0</v>
      </c>
      <c r="AA10" s="88" t="n">
        <f aca="true">IF($D10="","",IFERROR(COUNTIF(INDIRECT("'"&amp;$D10&amp;"'!$K$7:$K$500"),"Reviewed"),0))</f>
        <v>0</v>
      </c>
      <c r="AB10" s="92" t="n">
        <f aca="true">IF($D10="","",IFERROR(COUNTIFS(INDIRECT("'"&amp;$D10&amp;"'!$E$7:$E$500"),"High",INDIRECT("'"&amp;$D10&amp;"'!$AT$7:$AT$500"),"?*"),0))</f>
        <v>0</v>
      </c>
      <c r="AC10" s="92" t="n">
        <f aca="true">IF($D10="","",IFERROR(COUNTIFS(INDIRECT("'"&amp;$D10&amp;"'!$E$7:$E$500"),"Medium",INDIRECT("'"&amp;$D10&amp;"'!$AT$7:$AT$500"),"?*"),0))</f>
        <v>1</v>
      </c>
      <c r="AD10" s="92" t="n">
        <f aca="true">IF($D10="","",IFERROR(COUNTIFS(INDIRECT("'"&amp;$D10&amp;"'!$E$7:$E$500"),"Low",INDIRECT("'"&amp;$D10&amp;"'!$AT$7:$AT$500"),"?*"),0))</f>
        <v>6</v>
      </c>
      <c r="AE10" s="93" t="n">
        <f aca="true">IF($D10="","",IFERROR(COUNTIF(INDIRECT("'"&amp;$D10&amp;"'!$P$7:$P$500"),"?*"),0))</f>
        <v>7</v>
      </c>
      <c r="AF10" s="93" t="n">
        <f aca="true">IF($D10="","",IFERROR(COUNTIF(INDIRECT("'"&amp;$D10&amp;"'!$P$7:$P$500"),"Pass"),0))</f>
        <v>3</v>
      </c>
      <c r="AG10" s="93" t="n">
        <f aca="true">IF($D10="","",IFERROR(COUNTIF(INDIRECT("'"&amp;$D10&amp;"'!$P$7:$P$500"),"Fail"),0))</f>
        <v>2</v>
      </c>
      <c r="AH10" s="93" t="n">
        <f aca="true">IF($D10="","",IFERROR(COUNTIF(INDIRECT("'"&amp;$D10&amp;"'!$P$7:$P$500"),"Block"),0))</f>
        <v>1</v>
      </c>
      <c r="AI10" s="93" t="n">
        <f aca="true">IF($D10="","",IFERROR(COUNTIF(INDIRECT("'"&amp;$D10&amp;"'!$P$7:$P$500"),"N/A"),0))</f>
        <v>1</v>
      </c>
      <c r="AJ10" s="93" t="n">
        <f aca="true">IF($D10="","",IFERROR(COUNTIF(INDIRECT("'"&amp;$D10&amp;"'!$V$7:$V$500"),"?*"),0))</f>
        <v>0</v>
      </c>
      <c r="AK10" s="93" t="n">
        <f aca="true">IF($D10="","",IFERROR(COUNTIF(INDIRECT("'"&amp;$D10&amp;"'!$V$7:$V$500"),"Pass"),0))</f>
        <v>0</v>
      </c>
      <c r="AL10" s="93" t="n">
        <f aca="true">IF($D10="","",IFERROR(COUNTIF(INDIRECT("'"&amp;$D10&amp;"'!$V$7:$V$500"),"Fail"),0))</f>
        <v>0</v>
      </c>
      <c r="AM10" s="93" t="n">
        <f aca="true">IF($D10="","",IFERROR(COUNTIF(INDIRECT("'"&amp;$D10&amp;"'!$V$7:$V$500"),"Block"),0))</f>
        <v>0</v>
      </c>
      <c r="AN10" s="93" t="n">
        <f aca="true">IF($D10="","",IFERROR(COUNTIF(INDIRECT("'"&amp;$D10&amp;"'!$V$7:$V$500"),"N/A"),0))</f>
        <v>0</v>
      </c>
      <c r="AO10" s="93" t="n">
        <f aca="true">IF($D10="","",IFERROR(COUNTIF(INDIRECT("'"&amp;$D10&amp;"'!$AB$7:$AB$500"),"?*"),0))</f>
        <v>0</v>
      </c>
      <c r="AP10" s="93" t="n">
        <f aca="true">IF($D10="","",IFERROR(COUNTIF(INDIRECT("'"&amp;$D10&amp;"'!$AB$7:$AB$500"),"Pass"),0))</f>
        <v>0</v>
      </c>
      <c r="AQ10" s="93" t="n">
        <f aca="true">IF($D10="","",IFERROR(COUNTIF(INDIRECT("'"&amp;$D10&amp;"'!$AB$7:$AB$500"),"Fail"),0))</f>
        <v>0</v>
      </c>
      <c r="AR10" s="93" t="n">
        <f aca="true">IF($D10="","",IFERROR(COUNTIF(INDIRECT("'"&amp;$D10&amp;"'!$AB$7:$AB$500"),"Block"),0))</f>
        <v>0</v>
      </c>
      <c r="AS10" s="93" t="n">
        <f aca="true">IF($D10="","",IFERROR(COUNTIF(INDIRECT("'"&amp;$D10&amp;"'!$AB$7:$AB$500"),"N/A"),0))</f>
        <v>0</v>
      </c>
      <c r="AT10" s="93" t="n">
        <f aca="true">IF($D10="","",IFERROR(COUNTIF(INDIRECT("'"&amp;$D10&amp;"'!$AH$7:$AH$500"),"?*"),0))</f>
        <v>0</v>
      </c>
      <c r="AU10" s="93" t="n">
        <f aca="true">IF($D10="","",IFERROR(COUNTIF(INDIRECT("'"&amp;$D10&amp;"'!$AH$7:$AH$500"),"Pass"),0))</f>
        <v>0</v>
      </c>
      <c r="AV10" s="93" t="n">
        <f aca="true">IF($D10="","",IFERROR(COUNTIF(INDIRECT("'"&amp;$D10&amp;"'!$AH$7:$AH$500"),"Fail"),0))</f>
        <v>0</v>
      </c>
      <c r="AW10" s="93" t="n">
        <f aca="true">IF($D10="","",IFERROR(COUNTIF(INDIRECT("'"&amp;$D10&amp;"'!$AH$7:$AH$500"),"Block"),0))</f>
        <v>0</v>
      </c>
      <c r="AX10" s="93" t="n">
        <f aca="true">IF($D10="","",IFERROR(COUNTIF(INDIRECT("'"&amp;$D10&amp;"'!$AH$7:$AH$500"),"N/A"),0))</f>
        <v>0</v>
      </c>
      <c r="AY10" s="93" t="n">
        <f aca="true">IF($D10="","",IFERROR(COUNTIF(INDIRECT("'"&amp;$D10&amp;"'!$AN$7:$AN$500"),"?*"),0))</f>
        <v>0</v>
      </c>
      <c r="AZ10" s="93" t="n">
        <f aca="true">IF($D10="","",IFERROR(COUNTIF(INDIRECT("'"&amp;$D10&amp;"'!$AN$7:$AN$500"),"Pass"),0))</f>
        <v>0</v>
      </c>
      <c r="BA10" s="93" t="n">
        <f aca="true">IF($D10="","",IFERROR(COUNTIF(INDIRECT("'"&amp;$D10&amp;"'!$AN$7:$AN$500"),"Fail"),0))</f>
        <v>0</v>
      </c>
      <c r="BB10" s="93" t="n">
        <f aca="true">IF($D10="","",IFERROR(COUNTIF(INDIRECT("'"&amp;$D10&amp;"'!$AN$7:$AN$500"),"Block"),0))</f>
        <v>0</v>
      </c>
      <c r="BC10" s="1" t="n">
        <f aca="true">IF($D10="","",IFERROR(COUNTIF(INDIRECT("'"&amp;$D10&amp;"'!$AN$7:$AN$500"),"N/A"),0))</f>
        <v>0</v>
      </c>
    </row>
    <row r="11" customFormat="false" ht="15" hidden="false" customHeight="false" outlineLevel="0" collapsed="false">
      <c r="A11" s="1"/>
      <c r="B11" s="88" t="n">
        <f aca="false">IF($D11="","",ROW()-3)</f>
        <v>8</v>
      </c>
      <c r="C11" s="89" t="s">
        <v>207</v>
      </c>
      <c r="D11" s="89" t="s">
        <v>208</v>
      </c>
      <c r="E11" s="90" t="s">
        <v>208</v>
      </c>
      <c r="F11" s="88" t="n">
        <f aca="true">IF($D11="","",IFERROR(COUNTIF(INDIRECT("'"&amp;$D11&amp;"'!$A$7:$A$500"),"?*"),0))</f>
        <v>9</v>
      </c>
      <c r="G11" s="88" t="n">
        <f aca="true">IF($D11="","",IFERROR(COUNTIF(INDIRECT("'"&amp;$D11&amp;"'!$AT$7:$AT$500"),"Pass"),0))</f>
        <v>0</v>
      </c>
      <c r="H11" s="88" t="n">
        <f aca="true">IF($D11="","",IFERROR(COUNTIF(INDIRECT("'"&amp;$D11&amp;"'!$AT$7:$AT$500"),"Fail"),0))</f>
        <v>0</v>
      </c>
      <c r="I11" s="88" t="n">
        <f aca="true">IF($D11="","",IFERROR(COUNTIF(INDIRECT("'"&amp;$D11&amp;"'!$AT$7:$AT$500"),"Block"),0))</f>
        <v>0</v>
      </c>
      <c r="J11" s="88" t="n">
        <f aca="true">IF($D11="","",IFERROR(COUNTIF(INDIRECT("'"&amp;$D11&amp;"'!$AT$7:$AT$500"),"N/A"),0))</f>
        <v>0</v>
      </c>
      <c r="K11" s="88" t="n">
        <f aca="false">IF($D11="","",MAX(0,$F11-$G11-$H11-$I11-$J11))</f>
        <v>9</v>
      </c>
      <c r="L11" s="88" t="n">
        <f aca="false">IF($D11="","",$G11+$H11+$I11+$J11)</f>
        <v>0</v>
      </c>
      <c r="M11" s="91" t="n">
        <f aca="false">IF($D11="","",IFERROR($L11/$F11,0))</f>
        <v>0</v>
      </c>
      <c r="N11" s="91" t="n">
        <f aca="false">IF($D11="","",IFERROR($G11/$L11,0))</f>
        <v>0</v>
      </c>
      <c r="O11" s="88" t="n">
        <f aca="true">IF($D11="","",IFERROR(COUNTIF(INDIRECT("'"&amp;$D11&amp;"'!$E$7:$E$500"),"High"),0))</f>
        <v>1</v>
      </c>
      <c r="P11" s="88" t="n">
        <f aca="true">IF($D11="","",IFERROR(COUNTIF(INDIRECT("'"&amp;$D11&amp;"'!$E$7:$E$500"),"Medium"),0))</f>
        <v>7</v>
      </c>
      <c r="Q11" s="88" t="n">
        <f aca="true">IF($D11="","",IFERROR(COUNTIF(INDIRECT("'"&amp;$D11&amp;"'!$E$7:$E$500"),"Low"),0))</f>
        <v>1</v>
      </c>
      <c r="R11" s="88" t="n">
        <f aca="true">IF($D11="","",IFERROR(COUNTIF(INDIRECT("'"&amp;$D11&amp;"'!$D$7:$D$500"),"Functional"),0))</f>
        <v>9</v>
      </c>
      <c r="S11" s="88" t="n">
        <f aca="true">IF($D11="","",IFERROR(COUNTIF(INDIRECT("'"&amp;$D11&amp;"'!$D$7:$D$500"),"UI"),0))</f>
        <v>0</v>
      </c>
      <c r="T11" s="88" t="n">
        <f aca="true">IF($D11="","",IFERROR(COUNTIF(INDIRECT("'"&amp;$D11&amp;"'!$D$7:$D$500"),"Integration"),0))</f>
        <v>0</v>
      </c>
      <c r="U11" s="88" t="n">
        <f aca="true">IF($D11="","",IFERROR(COUNTIF(INDIRECT("'"&amp;$D11&amp;"'!$D$7:$D$500"),"Database Test Case"),0))</f>
        <v>0</v>
      </c>
      <c r="V11" s="88" t="n">
        <f aca="true">IF($D11="","",IFERROR(COUNTIF(INDIRECT("'"&amp;$D11&amp;"'!$J$7:$J$500"),"AI"),0))</f>
        <v>9</v>
      </c>
      <c r="W11" s="88" t="n">
        <f aca="true">IF($D11="","",IFERROR(COUNTIF(INDIRECT("'"&amp;$D11&amp;"'!$J$7:$J$500"),"QC"),0))</f>
        <v>0</v>
      </c>
      <c r="X11" s="88" t="n">
        <f aca="true">IF($D11="","",IFERROR(COUNTIF(INDIRECT("'"&amp;$D11&amp;"'!$L$7:$L$500"),"Yes"),0))</f>
        <v>0</v>
      </c>
      <c r="Y11" s="88" t="n">
        <f aca="true">IF($D11="","",IFERROR(COUNTIF(INDIRECT("'"&amp;$D11&amp;"'!$AR$7:$AR$500"),"Yes"),0))</f>
        <v>0</v>
      </c>
      <c r="Z11" s="88" t="n">
        <f aca="true">IF($D11="","",IFERROR(COUNTIF(INDIRECT("'"&amp;$D11&amp;"'!$AS$7:$AS$500"),"Pass"),0))</f>
        <v>0</v>
      </c>
      <c r="AA11" s="88" t="n">
        <f aca="true">IF($D11="","",IFERROR(COUNTIF(INDIRECT("'"&amp;$D11&amp;"'!$K$7:$K$500"),"Reviewed"),0))</f>
        <v>0</v>
      </c>
      <c r="AB11" s="92" t="n">
        <f aca="true">IF($D11="","",IFERROR(COUNTIFS(INDIRECT("'"&amp;$D11&amp;"'!$E$7:$E$500"),"High",INDIRECT("'"&amp;$D11&amp;"'!$AT$7:$AT$500"),"?*"),0))</f>
        <v>0</v>
      </c>
      <c r="AC11" s="92" t="n">
        <f aca="true">IF($D11="","",IFERROR(COUNTIFS(INDIRECT("'"&amp;$D11&amp;"'!$E$7:$E$500"),"Medium",INDIRECT("'"&amp;$D11&amp;"'!$AT$7:$AT$500"),"?*"),0))</f>
        <v>0</v>
      </c>
      <c r="AD11" s="92" t="n">
        <f aca="true">IF($D11="","",IFERROR(COUNTIFS(INDIRECT("'"&amp;$D11&amp;"'!$E$7:$E$500"),"Low",INDIRECT("'"&amp;$D11&amp;"'!$AT$7:$AT$500"),"?*"),0))</f>
        <v>0</v>
      </c>
      <c r="AE11" s="93" t="n">
        <f aca="true">IF($D11="","",IFERROR(COUNTIF(INDIRECT("'"&amp;$D11&amp;"'!$P$7:$P$500"),"?*"),0))</f>
        <v>0</v>
      </c>
      <c r="AF11" s="93" t="n">
        <f aca="true">IF($D11="","",IFERROR(COUNTIF(INDIRECT("'"&amp;$D11&amp;"'!$P$7:$P$500"),"Pass"),0))</f>
        <v>0</v>
      </c>
      <c r="AG11" s="93" t="n">
        <f aca="true">IF($D11="","",IFERROR(COUNTIF(INDIRECT("'"&amp;$D11&amp;"'!$P$7:$P$500"),"Fail"),0))</f>
        <v>0</v>
      </c>
      <c r="AH11" s="93" t="n">
        <f aca="true">IF($D11="","",IFERROR(COUNTIF(INDIRECT("'"&amp;$D11&amp;"'!$P$7:$P$500"),"Block"),0))</f>
        <v>0</v>
      </c>
      <c r="AI11" s="93" t="n">
        <f aca="true">IF($D11="","",IFERROR(COUNTIF(INDIRECT("'"&amp;$D11&amp;"'!$P$7:$P$500"),"N/A"),0))</f>
        <v>0</v>
      </c>
      <c r="AJ11" s="93" t="n">
        <f aca="true">IF($D11="","",IFERROR(COUNTIF(INDIRECT("'"&amp;$D11&amp;"'!$V$7:$V$500"),"?*"),0))</f>
        <v>0</v>
      </c>
      <c r="AK11" s="93" t="n">
        <f aca="true">IF($D11="","",IFERROR(COUNTIF(INDIRECT("'"&amp;$D11&amp;"'!$V$7:$V$500"),"Pass"),0))</f>
        <v>0</v>
      </c>
      <c r="AL11" s="93" t="n">
        <f aca="true">IF($D11="","",IFERROR(COUNTIF(INDIRECT("'"&amp;$D11&amp;"'!$V$7:$V$500"),"Fail"),0))</f>
        <v>0</v>
      </c>
      <c r="AM11" s="93" t="n">
        <f aca="true">IF($D11="","",IFERROR(COUNTIF(INDIRECT("'"&amp;$D11&amp;"'!$V$7:$V$500"),"Block"),0))</f>
        <v>0</v>
      </c>
      <c r="AN11" s="93" t="n">
        <f aca="true">IF($D11="","",IFERROR(COUNTIF(INDIRECT("'"&amp;$D11&amp;"'!$V$7:$V$500"),"N/A"),0))</f>
        <v>0</v>
      </c>
      <c r="AO11" s="93" t="n">
        <f aca="true">IF($D11="","",IFERROR(COUNTIF(INDIRECT("'"&amp;$D11&amp;"'!$AB$7:$AB$500"),"?*"),0))</f>
        <v>0</v>
      </c>
      <c r="AP11" s="93" t="n">
        <f aca="true">IF($D11="","",IFERROR(COUNTIF(INDIRECT("'"&amp;$D11&amp;"'!$AB$7:$AB$500"),"Pass"),0))</f>
        <v>0</v>
      </c>
      <c r="AQ11" s="93" t="n">
        <f aca="true">IF($D11="","",IFERROR(COUNTIF(INDIRECT("'"&amp;$D11&amp;"'!$AB$7:$AB$500"),"Fail"),0))</f>
        <v>0</v>
      </c>
      <c r="AR11" s="93" t="n">
        <f aca="true">IF($D11="","",IFERROR(COUNTIF(INDIRECT("'"&amp;$D11&amp;"'!$AB$7:$AB$500"),"Block"),0))</f>
        <v>0</v>
      </c>
      <c r="AS11" s="93" t="n">
        <f aca="true">IF($D11="","",IFERROR(COUNTIF(INDIRECT("'"&amp;$D11&amp;"'!$AB$7:$AB$500"),"N/A"),0))</f>
        <v>0</v>
      </c>
      <c r="AT11" s="93" t="n">
        <f aca="true">IF($D11="","",IFERROR(COUNTIF(INDIRECT("'"&amp;$D11&amp;"'!$AH$7:$AH$500"),"?*"),0))</f>
        <v>0</v>
      </c>
      <c r="AU11" s="93" t="n">
        <f aca="true">IF($D11="","",IFERROR(COUNTIF(INDIRECT("'"&amp;$D11&amp;"'!$AH$7:$AH$500"),"Pass"),0))</f>
        <v>0</v>
      </c>
      <c r="AV11" s="93" t="n">
        <f aca="true">IF($D11="","",IFERROR(COUNTIF(INDIRECT("'"&amp;$D11&amp;"'!$AH$7:$AH$500"),"Fail"),0))</f>
        <v>0</v>
      </c>
      <c r="AW11" s="93" t="n">
        <f aca="true">IF($D11="","",IFERROR(COUNTIF(INDIRECT("'"&amp;$D11&amp;"'!$AH$7:$AH$500"),"Block"),0))</f>
        <v>0</v>
      </c>
      <c r="AX11" s="93" t="n">
        <f aca="true">IF($D11="","",IFERROR(COUNTIF(INDIRECT("'"&amp;$D11&amp;"'!$AH$7:$AH$500"),"N/A"),0))</f>
        <v>0</v>
      </c>
      <c r="AY11" s="93" t="n">
        <f aca="true">IF($D11="","",IFERROR(COUNTIF(INDIRECT("'"&amp;$D11&amp;"'!$AN$7:$AN$500"),"?*"),0))</f>
        <v>0</v>
      </c>
      <c r="AZ11" s="93" t="n">
        <f aca="true">IF($D11="","",IFERROR(COUNTIF(INDIRECT("'"&amp;$D11&amp;"'!$AN$7:$AN$500"),"Pass"),0))</f>
        <v>0</v>
      </c>
      <c r="BA11" s="93" t="n">
        <f aca="true">IF($D11="","",IFERROR(COUNTIF(INDIRECT("'"&amp;$D11&amp;"'!$AN$7:$AN$500"),"Fail"),0))</f>
        <v>0</v>
      </c>
      <c r="BB11" s="93" t="n">
        <f aca="true">IF($D11="","",IFERROR(COUNTIF(INDIRECT("'"&amp;$D11&amp;"'!$AN$7:$AN$500"),"Block"),0))</f>
        <v>0</v>
      </c>
      <c r="BC11" s="1" t="n">
        <f aca="true">IF($D11="","",IFERROR(COUNTIF(INDIRECT("'"&amp;$D11&amp;"'!$AN$7:$AN$500"),"N/A"),0))</f>
        <v>0</v>
      </c>
    </row>
    <row r="12" customFormat="false" ht="22.35" hidden="false" customHeight="false" outlineLevel="0" collapsed="false">
      <c r="A12" s="1"/>
      <c r="B12" s="88" t="n">
        <f aca="false">IF($D12="","",ROW()-3)</f>
        <v>9</v>
      </c>
      <c r="C12" s="89" t="s">
        <v>209</v>
      </c>
      <c r="D12" s="89" t="s">
        <v>210</v>
      </c>
      <c r="E12" s="90" t="s">
        <v>210</v>
      </c>
      <c r="F12" s="88" t="n">
        <f aca="true">IF($D12="","",IFERROR(COUNTIF(INDIRECT("'"&amp;$D12&amp;"'!$A$7:$A$500"),"?*"),0))</f>
        <v>48</v>
      </c>
      <c r="G12" s="88" t="n">
        <f aca="true">IF($D12="","",IFERROR(COUNTIF(INDIRECT("'"&amp;$D12&amp;"'!$AT$7:$AT$500"),"Pass"),0))</f>
        <v>34</v>
      </c>
      <c r="H12" s="88" t="n">
        <f aca="true">IF($D12="","",IFERROR(COUNTIF(INDIRECT("'"&amp;$D12&amp;"'!$AT$7:$AT$500"),"Fail"),0))</f>
        <v>8</v>
      </c>
      <c r="I12" s="88" t="n">
        <f aca="true">IF($D12="","",IFERROR(COUNTIF(INDIRECT("'"&amp;$D12&amp;"'!$AT$7:$AT$500"),"Block"),0))</f>
        <v>3</v>
      </c>
      <c r="J12" s="88" t="n">
        <f aca="true">IF($D12="","",IFERROR(COUNTIF(INDIRECT("'"&amp;$D12&amp;"'!$AT$7:$AT$500"),"N/A"),0))</f>
        <v>0</v>
      </c>
      <c r="K12" s="88" t="n">
        <f aca="false">IF($D12="","",MAX(0,$F12-$G12-$H12-$I12-$J12))</f>
        <v>3</v>
      </c>
      <c r="L12" s="88" t="n">
        <f aca="false">IF($D12="","",$G12+$H12+$I12+$J12)</f>
        <v>45</v>
      </c>
      <c r="M12" s="91" t="n">
        <f aca="false">IF($D12="","",IFERROR($L12/$F12,0))</f>
        <v>0.9375</v>
      </c>
      <c r="N12" s="91" t="n">
        <f aca="false">IF($D12="","",IFERROR($G12/$L12,0))</f>
        <v>0.755555555555556</v>
      </c>
      <c r="O12" s="88" t="n">
        <f aca="true">IF($D12="","",IFERROR(COUNTIF(INDIRECT("'"&amp;$D12&amp;"'!$E$7:$E$500"),"High"),0))</f>
        <v>2</v>
      </c>
      <c r="P12" s="88" t="n">
        <f aca="true">IF($D12="","",IFERROR(COUNTIF(INDIRECT("'"&amp;$D12&amp;"'!$E$7:$E$500"),"Medium"),0))</f>
        <v>37</v>
      </c>
      <c r="Q12" s="88" t="n">
        <f aca="true">IF($D12="","",IFERROR(COUNTIF(INDIRECT("'"&amp;$D12&amp;"'!$E$7:$E$500"),"Low"),0))</f>
        <v>9</v>
      </c>
      <c r="R12" s="88" t="n">
        <f aca="true">IF($D12="","",IFERROR(COUNTIF(INDIRECT("'"&amp;$D12&amp;"'!$D$7:$D$500"),"Functional"),0))</f>
        <v>38</v>
      </c>
      <c r="S12" s="88" t="n">
        <f aca="true">IF($D12="","",IFERROR(COUNTIF(INDIRECT("'"&amp;$D12&amp;"'!$D$7:$D$500"),"UI"),0))</f>
        <v>10</v>
      </c>
      <c r="T12" s="88" t="n">
        <f aca="true">IF($D12="","",IFERROR(COUNTIF(INDIRECT("'"&amp;$D12&amp;"'!$D$7:$D$500"),"Integration"),0))</f>
        <v>0</v>
      </c>
      <c r="U12" s="88" t="n">
        <f aca="true">IF($D12="","",IFERROR(COUNTIF(INDIRECT("'"&amp;$D12&amp;"'!$D$7:$D$500"),"Database Test Case"),0))</f>
        <v>0</v>
      </c>
      <c r="V12" s="88" t="n">
        <f aca="true">IF($D12="","",IFERROR(COUNTIF(INDIRECT("'"&amp;$D12&amp;"'!$J$7:$J$500"),"AI"),0))</f>
        <v>48</v>
      </c>
      <c r="W12" s="88" t="n">
        <f aca="true">IF($D12="","",IFERROR(COUNTIF(INDIRECT("'"&amp;$D12&amp;"'!$J$7:$J$500"),"QC"),0))</f>
        <v>0</v>
      </c>
      <c r="X12" s="88" t="n">
        <f aca="true">IF($D12="","",IFERROR(COUNTIF(INDIRECT("'"&amp;$D12&amp;"'!$L$7:$L$500"),"Yes"),0))</f>
        <v>0</v>
      </c>
      <c r="Y12" s="88" t="n">
        <f aca="true">IF($D12="","",IFERROR(COUNTIF(INDIRECT("'"&amp;$D12&amp;"'!$AR$7:$AR$500"),"Yes"),0))</f>
        <v>45</v>
      </c>
      <c r="Z12" s="88" t="n">
        <f aca="true">IF($D12="","",IFERROR(COUNTIF(INDIRECT("'"&amp;$D12&amp;"'!$AS$7:$AS$500"),"Pass"),0))</f>
        <v>0</v>
      </c>
      <c r="AA12" s="88" t="n">
        <f aca="true">IF($D12="","",IFERROR(COUNTIF(INDIRECT("'"&amp;$D12&amp;"'!$K$7:$K$500"),"Reviewed"),0))</f>
        <v>0</v>
      </c>
      <c r="AB12" s="92" t="n">
        <f aca="true">IF($D12="","",IFERROR(COUNTIFS(INDIRECT("'"&amp;$D12&amp;"'!$E$7:$E$500"),"High",INDIRECT("'"&amp;$D12&amp;"'!$AT$7:$AT$500"),"?*"),0))</f>
        <v>2</v>
      </c>
      <c r="AC12" s="92" t="n">
        <f aca="true">IF($D12="","",IFERROR(COUNTIFS(INDIRECT("'"&amp;$D12&amp;"'!$E$7:$E$500"),"Medium",INDIRECT("'"&amp;$D12&amp;"'!$AT$7:$AT$500"),"?*"),0))</f>
        <v>35</v>
      </c>
      <c r="AD12" s="92" t="n">
        <f aca="true">IF($D12="","",IFERROR(COUNTIFS(INDIRECT("'"&amp;$D12&amp;"'!$E$7:$E$500"),"Low",INDIRECT("'"&amp;$D12&amp;"'!$AT$7:$AT$500"),"?*"),0))</f>
        <v>8</v>
      </c>
      <c r="AE12" s="93" t="n">
        <f aca="true">IF($D12="","",IFERROR(COUNTIF(INDIRECT("'"&amp;$D12&amp;"'!$P$7:$P$500"),"?*"),0))</f>
        <v>45</v>
      </c>
      <c r="AF12" s="93" t="n">
        <f aca="true">IF($D12="","",IFERROR(COUNTIF(INDIRECT("'"&amp;$D12&amp;"'!$P$7:$P$500"),"Pass"),0))</f>
        <v>34</v>
      </c>
      <c r="AG12" s="93" t="n">
        <f aca="true">IF($D12="","",IFERROR(COUNTIF(INDIRECT("'"&amp;$D12&amp;"'!$P$7:$P$500"),"Fail"),0))</f>
        <v>8</v>
      </c>
      <c r="AH12" s="93" t="n">
        <f aca="true">IF($D12="","",IFERROR(COUNTIF(INDIRECT("'"&amp;$D12&amp;"'!$P$7:$P$500"),"Block"),0))</f>
        <v>3</v>
      </c>
      <c r="AI12" s="93" t="n">
        <f aca="true">IF($D12="","",IFERROR(COUNTIF(INDIRECT("'"&amp;$D12&amp;"'!$P$7:$P$500"),"N/A"),0))</f>
        <v>0</v>
      </c>
      <c r="AJ12" s="93" t="n">
        <f aca="true">IF($D12="","",IFERROR(COUNTIF(INDIRECT("'"&amp;$D12&amp;"'!$V$7:$V$500"),"?*"),0))</f>
        <v>0</v>
      </c>
      <c r="AK12" s="93" t="n">
        <f aca="true">IF($D12="","",IFERROR(COUNTIF(INDIRECT("'"&amp;$D12&amp;"'!$V$7:$V$500"),"Pass"),0))</f>
        <v>0</v>
      </c>
      <c r="AL12" s="93" t="n">
        <f aca="true">IF($D12="","",IFERROR(COUNTIF(INDIRECT("'"&amp;$D12&amp;"'!$V$7:$V$500"),"Fail"),0))</f>
        <v>0</v>
      </c>
      <c r="AM12" s="93" t="n">
        <f aca="true">IF($D12="","",IFERROR(COUNTIF(INDIRECT("'"&amp;$D12&amp;"'!$V$7:$V$500"),"Block"),0))</f>
        <v>0</v>
      </c>
      <c r="AN12" s="93" t="n">
        <f aca="true">IF($D12="","",IFERROR(COUNTIF(INDIRECT("'"&amp;$D12&amp;"'!$V$7:$V$500"),"N/A"),0))</f>
        <v>0</v>
      </c>
      <c r="AO12" s="93" t="n">
        <f aca="true">IF($D12="","",IFERROR(COUNTIF(INDIRECT("'"&amp;$D12&amp;"'!$AB$7:$AB$500"),"?*"),0))</f>
        <v>0</v>
      </c>
      <c r="AP12" s="93" t="n">
        <f aca="true">IF($D12="","",IFERROR(COUNTIF(INDIRECT("'"&amp;$D12&amp;"'!$AB$7:$AB$500"),"Pass"),0))</f>
        <v>0</v>
      </c>
      <c r="AQ12" s="93" t="n">
        <f aca="true">IF($D12="","",IFERROR(COUNTIF(INDIRECT("'"&amp;$D12&amp;"'!$AB$7:$AB$500"),"Fail"),0))</f>
        <v>0</v>
      </c>
      <c r="AR12" s="93" t="n">
        <f aca="true">IF($D12="","",IFERROR(COUNTIF(INDIRECT("'"&amp;$D12&amp;"'!$AB$7:$AB$500"),"Block"),0))</f>
        <v>0</v>
      </c>
      <c r="AS12" s="93" t="n">
        <f aca="true">IF($D12="","",IFERROR(COUNTIF(INDIRECT("'"&amp;$D12&amp;"'!$AB$7:$AB$500"),"N/A"),0))</f>
        <v>0</v>
      </c>
      <c r="AT12" s="93" t="n">
        <f aca="true">IF($D12="","",IFERROR(COUNTIF(INDIRECT("'"&amp;$D12&amp;"'!$AH$7:$AH$500"),"?*"),0))</f>
        <v>0</v>
      </c>
      <c r="AU12" s="93" t="n">
        <f aca="true">IF($D12="","",IFERROR(COUNTIF(INDIRECT("'"&amp;$D12&amp;"'!$AH$7:$AH$500"),"Pass"),0))</f>
        <v>0</v>
      </c>
      <c r="AV12" s="93" t="n">
        <f aca="true">IF($D12="","",IFERROR(COUNTIF(INDIRECT("'"&amp;$D12&amp;"'!$AH$7:$AH$500"),"Fail"),0))</f>
        <v>0</v>
      </c>
      <c r="AW12" s="93" t="n">
        <f aca="true">IF($D12="","",IFERROR(COUNTIF(INDIRECT("'"&amp;$D12&amp;"'!$AH$7:$AH$500"),"Block"),0))</f>
        <v>0</v>
      </c>
      <c r="AX12" s="93" t="n">
        <f aca="true">IF($D12="","",IFERROR(COUNTIF(INDIRECT("'"&amp;$D12&amp;"'!$AH$7:$AH$500"),"N/A"),0))</f>
        <v>0</v>
      </c>
      <c r="AY12" s="93" t="n">
        <f aca="true">IF($D12="","",IFERROR(COUNTIF(INDIRECT("'"&amp;$D12&amp;"'!$AN$7:$AN$500"),"?*"),0))</f>
        <v>0</v>
      </c>
      <c r="AZ12" s="93" t="n">
        <f aca="true">IF($D12="","",IFERROR(COUNTIF(INDIRECT("'"&amp;$D12&amp;"'!$AN$7:$AN$500"),"Pass"),0))</f>
        <v>0</v>
      </c>
      <c r="BA12" s="93" t="n">
        <f aca="true">IF($D12="","",IFERROR(COUNTIF(INDIRECT("'"&amp;$D12&amp;"'!$AN$7:$AN$500"),"Fail"),0))</f>
        <v>0</v>
      </c>
      <c r="BB12" s="93" t="n">
        <f aca="true">IF($D12="","",IFERROR(COUNTIF(INDIRECT("'"&amp;$D12&amp;"'!$AN$7:$AN$500"),"Block"),0))</f>
        <v>0</v>
      </c>
      <c r="BC12" s="1" t="n">
        <f aca="true">IF($D12="","",IFERROR(COUNTIF(INDIRECT("'"&amp;$D12&amp;"'!$AN$7:$AN$500"),"N/A"),0))</f>
        <v>0</v>
      </c>
    </row>
    <row r="13" customFormat="false" ht="15" hidden="false" customHeight="false" outlineLevel="0" collapsed="false">
      <c r="A13" s="1"/>
      <c r="B13" s="88" t="n">
        <f aca="false">IF($D13="","",ROW()-3)</f>
        <v>10</v>
      </c>
      <c r="C13" s="89" t="s">
        <v>211</v>
      </c>
      <c r="D13" s="89" t="s">
        <v>212</v>
      </c>
      <c r="E13" s="90" t="s">
        <v>212</v>
      </c>
      <c r="F13" s="88" t="n">
        <f aca="true">IF($D13="","",IFERROR(COUNTIF(INDIRECT("'"&amp;$D13&amp;"'!$A$7:$A$500"),"?*"),0))</f>
        <v>17</v>
      </c>
      <c r="G13" s="88" t="n">
        <f aca="true">IF($D13="","",IFERROR(COUNTIF(INDIRECT("'"&amp;$D13&amp;"'!$AT$7:$AT$500"),"Pass"),0))</f>
        <v>11</v>
      </c>
      <c r="H13" s="88" t="n">
        <f aca="true">IF($D13="","",IFERROR(COUNTIF(INDIRECT("'"&amp;$D13&amp;"'!$AT$7:$AT$500"),"Fail"),0))</f>
        <v>5</v>
      </c>
      <c r="I13" s="88" t="n">
        <f aca="true">IF($D13="","",IFERROR(COUNTIF(INDIRECT("'"&amp;$D13&amp;"'!$AT$7:$AT$500"),"Block"),0))</f>
        <v>1</v>
      </c>
      <c r="J13" s="88" t="n">
        <f aca="true">IF($D13="","",IFERROR(COUNTIF(INDIRECT("'"&amp;$D13&amp;"'!$AT$7:$AT$500"),"N/A"),0))</f>
        <v>0</v>
      </c>
      <c r="K13" s="88" t="n">
        <f aca="false">IF($D13="","",MAX(0,$F13-$G13-$H13-$I13-$J13))</f>
        <v>0</v>
      </c>
      <c r="L13" s="88" t="n">
        <f aca="false">IF($D13="","",$G13+$H13+$I13+$J13)</f>
        <v>17</v>
      </c>
      <c r="M13" s="91" t="n">
        <f aca="false">IF($D13="","",IFERROR($L13/$F13,0))</f>
        <v>1</v>
      </c>
      <c r="N13" s="91" t="n">
        <f aca="false">IF($D13="","",IFERROR($G13/$L13,0))</f>
        <v>0.647058823529412</v>
      </c>
      <c r="O13" s="88" t="n">
        <f aca="true">IF($D13="","",IFERROR(COUNTIF(INDIRECT("'"&amp;$D13&amp;"'!$E$7:$E$500"),"High"),0))</f>
        <v>2</v>
      </c>
      <c r="P13" s="88" t="n">
        <f aca="true">IF($D13="","",IFERROR(COUNTIF(INDIRECT("'"&amp;$D13&amp;"'!$E$7:$E$500"),"Medium"),0))</f>
        <v>9</v>
      </c>
      <c r="Q13" s="88" t="n">
        <f aca="true">IF($D13="","",IFERROR(COUNTIF(INDIRECT("'"&amp;$D13&amp;"'!$E$7:$E$500"),"Low"),0))</f>
        <v>6</v>
      </c>
      <c r="R13" s="88" t="n">
        <f aca="true">IF($D13="","",IFERROR(COUNTIF(INDIRECT("'"&amp;$D13&amp;"'!$D$7:$D$500"),"Functional"),0))</f>
        <v>14</v>
      </c>
      <c r="S13" s="88" t="n">
        <f aca="true">IF($D13="","",IFERROR(COUNTIF(INDIRECT("'"&amp;$D13&amp;"'!$D$7:$D$500"),"UI"),0))</f>
        <v>3</v>
      </c>
      <c r="T13" s="88" t="n">
        <f aca="true">IF($D13="","",IFERROR(COUNTIF(INDIRECT("'"&amp;$D13&amp;"'!$D$7:$D$500"),"Integration"),0))</f>
        <v>0</v>
      </c>
      <c r="U13" s="88" t="n">
        <f aca="true">IF($D13="","",IFERROR(COUNTIF(INDIRECT("'"&amp;$D13&amp;"'!$D$7:$D$500"),"Database Test Case"),0))</f>
        <v>0</v>
      </c>
      <c r="V13" s="88" t="n">
        <f aca="true">IF($D13="","",IFERROR(COUNTIF(INDIRECT("'"&amp;$D13&amp;"'!$J$7:$J$500"),"AI"),0))</f>
        <v>17</v>
      </c>
      <c r="W13" s="88" t="n">
        <f aca="true">IF($D13="","",IFERROR(COUNTIF(INDIRECT("'"&amp;$D13&amp;"'!$J$7:$J$500"),"QC"),0))</f>
        <v>0</v>
      </c>
      <c r="X13" s="88" t="n">
        <f aca="true">IF($D13="","",IFERROR(COUNTIF(INDIRECT("'"&amp;$D13&amp;"'!$L$7:$L$500"),"Yes"),0))</f>
        <v>0</v>
      </c>
      <c r="Y13" s="88" t="n">
        <f aca="true">IF($D13="","",IFERROR(COUNTIF(INDIRECT("'"&amp;$D13&amp;"'!$AR$7:$AR$500"),"Yes"),0))</f>
        <v>17</v>
      </c>
      <c r="Z13" s="88" t="n">
        <f aca="true">IF($D13="","",IFERROR(COUNTIF(INDIRECT("'"&amp;$D13&amp;"'!$AS$7:$AS$500"),"Pass"),0))</f>
        <v>0</v>
      </c>
      <c r="AA13" s="88" t="n">
        <f aca="true">IF($D13="","",IFERROR(COUNTIF(INDIRECT("'"&amp;$D13&amp;"'!$K$7:$K$500"),"Reviewed"),0))</f>
        <v>0</v>
      </c>
      <c r="AB13" s="92" t="n">
        <f aca="true">IF($D13="","",IFERROR(COUNTIFS(INDIRECT("'"&amp;$D13&amp;"'!$E$7:$E$500"),"High",INDIRECT("'"&amp;$D13&amp;"'!$AT$7:$AT$500"),"?*"),0))</f>
        <v>2</v>
      </c>
      <c r="AC13" s="92" t="n">
        <f aca="true">IF($D13="","",IFERROR(COUNTIFS(INDIRECT("'"&amp;$D13&amp;"'!$E$7:$E$500"),"Medium",INDIRECT("'"&amp;$D13&amp;"'!$AT$7:$AT$500"),"?*"),0))</f>
        <v>9</v>
      </c>
      <c r="AD13" s="92" t="n">
        <f aca="true">IF($D13="","",IFERROR(COUNTIFS(INDIRECT("'"&amp;$D13&amp;"'!$E$7:$E$500"),"Low",INDIRECT("'"&amp;$D13&amp;"'!$AT$7:$AT$500"),"?*"),0))</f>
        <v>6</v>
      </c>
      <c r="AE13" s="93" t="n">
        <f aca="true">IF($D13="","",IFERROR(COUNTIF(INDIRECT("'"&amp;$D13&amp;"'!$P$7:$P$500"),"?*"),0))</f>
        <v>17</v>
      </c>
      <c r="AF13" s="93" t="n">
        <f aca="true">IF($D13="","",IFERROR(COUNTIF(INDIRECT("'"&amp;$D13&amp;"'!$P$7:$P$500"),"Pass"),0))</f>
        <v>11</v>
      </c>
      <c r="AG13" s="93" t="n">
        <f aca="true">IF($D13="","",IFERROR(COUNTIF(INDIRECT("'"&amp;$D13&amp;"'!$P$7:$P$500"),"Fail"),0))</f>
        <v>5</v>
      </c>
      <c r="AH13" s="93" t="n">
        <f aca="true">IF($D13="","",IFERROR(COUNTIF(INDIRECT("'"&amp;$D13&amp;"'!$P$7:$P$500"),"Block"),0))</f>
        <v>1</v>
      </c>
      <c r="AI13" s="93" t="n">
        <f aca="true">IF($D13="","",IFERROR(COUNTIF(INDIRECT("'"&amp;$D13&amp;"'!$P$7:$P$500"),"N/A"),0))</f>
        <v>0</v>
      </c>
      <c r="AJ13" s="93" t="n">
        <f aca="true">IF($D13="","",IFERROR(COUNTIF(INDIRECT("'"&amp;$D13&amp;"'!$V$7:$V$500"),"?*"),0))</f>
        <v>0</v>
      </c>
      <c r="AK13" s="93" t="n">
        <f aca="true">IF($D13="","",IFERROR(COUNTIF(INDIRECT("'"&amp;$D13&amp;"'!$V$7:$V$500"),"Pass"),0))</f>
        <v>0</v>
      </c>
      <c r="AL13" s="93" t="n">
        <f aca="true">IF($D13="","",IFERROR(COUNTIF(INDIRECT("'"&amp;$D13&amp;"'!$V$7:$V$500"),"Fail"),0))</f>
        <v>0</v>
      </c>
      <c r="AM13" s="93" t="n">
        <f aca="true">IF($D13="","",IFERROR(COUNTIF(INDIRECT("'"&amp;$D13&amp;"'!$V$7:$V$500"),"Block"),0))</f>
        <v>0</v>
      </c>
      <c r="AN13" s="93" t="n">
        <f aca="true">IF($D13="","",IFERROR(COUNTIF(INDIRECT("'"&amp;$D13&amp;"'!$V$7:$V$500"),"N/A"),0))</f>
        <v>0</v>
      </c>
      <c r="AO13" s="93" t="n">
        <f aca="true">IF($D13="","",IFERROR(COUNTIF(INDIRECT("'"&amp;$D13&amp;"'!$AB$7:$AB$500"),"?*"),0))</f>
        <v>0</v>
      </c>
      <c r="AP13" s="93" t="n">
        <f aca="true">IF($D13="","",IFERROR(COUNTIF(INDIRECT("'"&amp;$D13&amp;"'!$AB$7:$AB$500"),"Pass"),0))</f>
        <v>0</v>
      </c>
      <c r="AQ13" s="93" t="n">
        <f aca="true">IF($D13="","",IFERROR(COUNTIF(INDIRECT("'"&amp;$D13&amp;"'!$AB$7:$AB$500"),"Fail"),0))</f>
        <v>0</v>
      </c>
      <c r="AR13" s="93" t="n">
        <f aca="true">IF($D13="","",IFERROR(COUNTIF(INDIRECT("'"&amp;$D13&amp;"'!$AB$7:$AB$500"),"Block"),0))</f>
        <v>0</v>
      </c>
      <c r="AS13" s="93" t="n">
        <f aca="true">IF($D13="","",IFERROR(COUNTIF(INDIRECT("'"&amp;$D13&amp;"'!$AB$7:$AB$500"),"N/A"),0))</f>
        <v>0</v>
      </c>
      <c r="AT13" s="93" t="n">
        <f aca="true">IF($D13="","",IFERROR(COUNTIF(INDIRECT("'"&amp;$D13&amp;"'!$AH$7:$AH$500"),"?*"),0))</f>
        <v>0</v>
      </c>
      <c r="AU13" s="93" t="n">
        <f aca="true">IF($D13="","",IFERROR(COUNTIF(INDIRECT("'"&amp;$D13&amp;"'!$AH$7:$AH$500"),"Pass"),0))</f>
        <v>0</v>
      </c>
      <c r="AV13" s="93" t="n">
        <f aca="true">IF($D13="","",IFERROR(COUNTIF(INDIRECT("'"&amp;$D13&amp;"'!$AH$7:$AH$500"),"Fail"),0))</f>
        <v>0</v>
      </c>
      <c r="AW13" s="93" t="n">
        <f aca="true">IF($D13="","",IFERROR(COUNTIF(INDIRECT("'"&amp;$D13&amp;"'!$AH$7:$AH$500"),"Block"),0))</f>
        <v>0</v>
      </c>
      <c r="AX13" s="93" t="n">
        <f aca="true">IF($D13="","",IFERROR(COUNTIF(INDIRECT("'"&amp;$D13&amp;"'!$AH$7:$AH$500"),"N/A"),0))</f>
        <v>0</v>
      </c>
      <c r="AY13" s="93" t="n">
        <f aca="true">IF($D13="","",IFERROR(COUNTIF(INDIRECT("'"&amp;$D13&amp;"'!$AN$7:$AN$500"),"?*"),0))</f>
        <v>0</v>
      </c>
      <c r="AZ13" s="93" t="n">
        <f aca="true">IF($D13="","",IFERROR(COUNTIF(INDIRECT("'"&amp;$D13&amp;"'!$AN$7:$AN$500"),"Pass"),0))</f>
        <v>0</v>
      </c>
      <c r="BA13" s="93" t="n">
        <f aca="true">IF($D13="","",IFERROR(COUNTIF(INDIRECT("'"&amp;$D13&amp;"'!$AN$7:$AN$500"),"Fail"),0))</f>
        <v>0</v>
      </c>
      <c r="BB13" s="93" t="n">
        <f aca="true">IF($D13="","",IFERROR(COUNTIF(INDIRECT("'"&amp;$D13&amp;"'!$AN$7:$AN$500"),"Block"),0))</f>
        <v>0</v>
      </c>
      <c r="BC13" s="1" t="n">
        <f aca="true">IF($D13="","",IFERROR(COUNTIF(INDIRECT("'"&amp;$D13&amp;"'!$AN$7:$AN$500"),"N/A"),0))</f>
        <v>0</v>
      </c>
    </row>
    <row r="14" customFormat="false" ht="15" hidden="false" customHeight="false" outlineLevel="0" collapsed="false">
      <c r="A14" s="1"/>
      <c r="B14" s="88" t="n">
        <f aca="false">IF($D14="","",ROW()-3)</f>
        <v>11</v>
      </c>
      <c r="C14" s="89" t="s">
        <v>213</v>
      </c>
      <c r="D14" s="89" t="s">
        <v>214</v>
      </c>
      <c r="E14" s="90" t="s">
        <v>214</v>
      </c>
      <c r="F14" s="88" t="n">
        <f aca="true">IF($D14="","",IFERROR(COUNTIF(INDIRECT("'"&amp;$D14&amp;"'!$A$7:$A$500"),"?*"),0))</f>
        <v>38</v>
      </c>
      <c r="G14" s="88" t="n">
        <f aca="true">IF($D14="","",IFERROR(COUNTIF(INDIRECT("'"&amp;$D14&amp;"'!$AT$7:$AT$500"),"Pass"),0))</f>
        <v>16</v>
      </c>
      <c r="H14" s="88" t="n">
        <f aca="true">IF($D14="","",IFERROR(COUNTIF(INDIRECT("'"&amp;$D14&amp;"'!$AT$7:$AT$500"),"Fail"),0))</f>
        <v>15</v>
      </c>
      <c r="I14" s="88" t="n">
        <f aca="true">IF($D14="","",IFERROR(COUNTIF(INDIRECT("'"&amp;$D14&amp;"'!$AT$7:$AT$500"),"Block"),0))</f>
        <v>5</v>
      </c>
      <c r="J14" s="88" t="n">
        <f aca="true">IF($D14="","",IFERROR(COUNTIF(INDIRECT("'"&amp;$D14&amp;"'!$AT$7:$AT$500"),"N/A"),0))</f>
        <v>2</v>
      </c>
      <c r="K14" s="88" t="n">
        <f aca="false">IF($D14="","",MAX(0,$F14-$G14-$H14-$I14-$J14))</f>
        <v>0</v>
      </c>
      <c r="L14" s="88" t="n">
        <f aca="false">IF($D14="","",$G14+$H14+$I14+$J14)</f>
        <v>38</v>
      </c>
      <c r="M14" s="91" t="n">
        <f aca="false">IF($D14="","",IFERROR($L14/$F14,0))</f>
        <v>1</v>
      </c>
      <c r="N14" s="91" t="n">
        <f aca="false">IF($D14="","",IFERROR($G14/$L14,0))</f>
        <v>0.421052631578947</v>
      </c>
      <c r="O14" s="88" t="n">
        <f aca="true">IF($D14="","",IFERROR(COUNTIF(INDIRECT("'"&amp;$D14&amp;"'!$E$7:$E$500"),"High"),0))</f>
        <v>3</v>
      </c>
      <c r="P14" s="88" t="n">
        <f aca="true">IF($D14="","",IFERROR(COUNTIF(INDIRECT("'"&amp;$D14&amp;"'!$E$7:$E$500"),"Medium"),0))</f>
        <v>30</v>
      </c>
      <c r="Q14" s="88" t="n">
        <f aca="true">IF($D14="","",IFERROR(COUNTIF(INDIRECT("'"&amp;$D14&amp;"'!$E$7:$E$500"),"Low"),0))</f>
        <v>5</v>
      </c>
      <c r="R14" s="88" t="n">
        <f aca="true">IF($D14="","",IFERROR(COUNTIF(INDIRECT("'"&amp;$D14&amp;"'!$D$7:$D$500"),"Functional"),0))</f>
        <v>33</v>
      </c>
      <c r="S14" s="88" t="n">
        <f aca="true">IF($D14="","",IFERROR(COUNTIF(INDIRECT("'"&amp;$D14&amp;"'!$D$7:$D$500"),"UI"),0))</f>
        <v>5</v>
      </c>
      <c r="T14" s="88" t="n">
        <f aca="true">IF($D14="","",IFERROR(COUNTIF(INDIRECT("'"&amp;$D14&amp;"'!$D$7:$D$500"),"Integration"),0))</f>
        <v>0</v>
      </c>
      <c r="U14" s="88" t="n">
        <f aca="true">IF($D14="","",IFERROR(COUNTIF(INDIRECT("'"&amp;$D14&amp;"'!$D$7:$D$500"),"Database Test Case"),0))</f>
        <v>0</v>
      </c>
      <c r="V14" s="88" t="n">
        <f aca="true">IF($D14="","",IFERROR(COUNTIF(INDIRECT("'"&amp;$D14&amp;"'!$J$7:$J$500"),"AI"),0))</f>
        <v>38</v>
      </c>
      <c r="W14" s="88" t="n">
        <f aca="true">IF($D14="","",IFERROR(COUNTIF(INDIRECT("'"&amp;$D14&amp;"'!$J$7:$J$500"),"QC"),0))</f>
        <v>0</v>
      </c>
      <c r="X14" s="88" t="n">
        <f aca="true">IF($D14="","",IFERROR(COUNTIF(INDIRECT("'"&amp;$D14&amp;"'!$L$7:$L$500"),"Yes"),0))</f>
        <v>0</v>
      </c>
      <c r="Y14" s="88" t="n">
        <f aca="true">IF($D14="","",IFERROR(COUNTIF(INDIRECT("'"&amp;$D14&amp;"'!$AR$7:$AR$500"),"Yes"),0))</f>
        <v>38</v>
      </c>
      <c r="Z14" s="88" t="n">
        <f aca="true">IF($D14="","",IFERROR(COUNTIF(INDIRECT("'"&amp;$D14&amp;"'!$AS$7:$AS$500"),"Pass"),0))</f>
        <v>0</v>
      </c>
      <c r="AA14" s="88" t="n">
        <f aca="true">IF($D14="","",IFERROR(COUNTIF(INDIRECT("'"&amp;$D14&amp;"'!$K$7:$K$500"),"Reviewed"),0))</f>
        <v>0</v>
      </c>
      <c r="AB14" s="92" t="n">
        <f aca="true">IF($D14="","",IFERROR(COUNTIFS(INDIRECT("'"&amp;$D14&amp;"'!$E$7:$E$500"),"High",INDIRECT("'"&amp;$D14&amp;"'!$AT$7:$AT$500"),"?*"),0))</f>
        <v>3</v>
      </c>
      <c r="AC14" s="92" t="n">
        <f aca="true">IF($D14="","",IFERROR(COUNTIFS(INDIRECT("'"&amp;$D14&amp;"'!$E$7:$E$500"),"Medium",INDIRECT("'"&amp;$D14&amp;"'!$AT$7:$AT$500"),"?*"),0))</f>
        <v>30</v>
      </c>
      <c r="AD14" s="92" t="n">
        <f aca="true">IF($D14="","",IFERROR(COUNTIFS(INDIRECT("'"&amp;$D14&amp;"'!$E$7:$E$500"),"Low",INDIRECT("'"&amp;$D14&amp;"'!$AT$7:$AT$500"),"?*"),0))</f>
        <v>5</v>
      </c>
      <c r="AE14" s="93" t="n">
        <f aca="true">IF($D14="","",IFERROR(COUNTIF(INDIRECT("'"&amp;$D14&amp;"'!$P$7:$P$500"),"?*"),0))</f>
        <v>38</v>
      </c>
      <c r="AF14" s="93" t="n">
        <f aca="true">IF($D14="","",IFERROR(COUNTIF(INDIRECT("'"&amp;$D14&amp;"'!$P$7:$P$500"),"Pass"),0))</f>
        <v>16</v>
      </c>
      <c r="AG14" s="93" t="n">
        <f aca="true">IF($D14="","",IFERROR(COUNTIF(INDIRECT("'"&amp;$D14&amp;"'!$P$7:$P$500"),"Fail"),0))</f>
        <v>15</v>
      </c>
      <c r="AH14" s="93" t="n">
        <f aca="true">IF($D14="","",IFERROR(COUNTIF(INDIRECT("'"&amp;$D14&amp;"'!$P$7:$P$500"),"Block"),0))</f>
        <v>5</v>
      </c>
      <c r="AI14" s="93" t="n">
        <f aca="true">IF($D14="","",IFERROR(COUNTIF(INDIRECT("'"&amp;$D14&amp;"'!$P$7:$P$500"),"N/A"),0))</f>
        <v>2</v>
      </c>
      <c r="AJ14" s="93" t="n">
        <f aca="true">IF($D14="","",IFERROR(COUNTIF(INDIRECT("'"&amp;$D14&amp;"'!$V$7:$V$500"),"?*"),0))</f>
        <v>0</v>
      </c>
      <c r="AK14" s="93" t="n">
        <f aca="true">IF($D14="","",IFERROR(COUNTIF(INDIRECT("'"&amp;$D14&amp;"'!$V$7:$V$500"),"Pass"),0))</f>
        <v>0</v>
      </c>
      <c r="AL14" s="93" t="n">
        <f aca="true">IF($D14="","",IFERROR(COUNTIF(INDIRECT("'"&amp;$D14&amp;"'!$V$7:$V$500"),"Fail"),0))</f>
        <v>0</v>
      </c>
      <c r="AM14" s="93" t="n">
        <f aca="true">IF($D14="","",IFERROR(COUNTIF(INDIRECT("'"&amp;$D14&amp;"'!$V$7:$V$500"),"Block"),0))</f>
        <v>0</v>
      </c>
      <c r="AN14" s="93" t="n">
        <f aca="true">IF($D14="","",IFERROR(COUNTIF(INDIRECT("'"&amp;$D14&amp;"'!$V$7:$V$500"),"N/A"),0))</f>
        <v>0</v>
      </c>
      <c r="AO14" s="93" t="n">
        <f aca="true">IF($D14="","",IFERROR(COUNTIF(INDIRECT("'"&amp;$D14&amp;"'!$AB$7:$AB$500"),"?*"),0))</f>
        <v>0</v>
      </c>
      <c r="AP14" s="93" t="n">
        <f aca="true">IF($D14="","",IFERROR(COUNTIF(INDIRECT("'"&amp;$D14&amp;"'!$AB$7:$AB$500"),"Pass"),0))</f>
        <v>0</v>
      </c>
      <c r="AQ14" s="93" t="n">
        <f aca="true">IF($D14="","",IFERROR(COUNTIF(INDIRECT("'"&amp;$D14&amp;"'!$AB$7:$AB$500"),"Fail"),0))</f>
        <v>0</v>
      </c>
      <c r="AR14" s="93" t="n">
        <f aca="true">IF($D14="","",IFERROR(COUNTIF(INDIRECT("'"&amp;$D14&amp;"'!$AB$7:$AB$500"),"Block"),0))</f>
        <v>0</v>
      </c>
      <c r="AS14" s="93" t="n">
        <f aca="true">IF($D14="","",IFERROR(COUNTIF(INDIRECT("'"&amp;$D14&amp;"'!$AB$7:$AB$500"),"N/A"),0))</f>
        <v>0</v>
      </c>
      <c r="AT14" s="93" t="n">
        <f aca="true">IF($D14="","",IFERROR(COUNTIF(INDIRECT("'"&amp;$D14&amp;"'!$AH$7:$AH$500"),"?*"),0))</f>
        <v>0</v>
      </c>
      <c r="AU14" s="93" t="n">
        <f aca="true">IF($D14="","",IFERROR(COUNTIF(INDIRECT("'"&amp;$D14&amp;"'!$AH$7:$AH$500"),"Pass"),0))</f>
        <v>0</v>
      </c>
      <c r="AV14" s="93" t="n">
        <f aca="true">IF($D14="","",IFERROR(COUNTIF(INDIRECT("'"&amp;$D14&amp;"'!$AH$7:$AH$500"),"Fail"),0))</f>
        <v>0</v>
      </c>
      <c r="AW14" s="93" t="n">
        <f aca="true">IF($D14="","",IFERROR(COUNTIF(INDIRECT("'"&amp;$D14&amp;"'!$AH$7:$AH$500"),"Block"),0))</f>
        <v>0</v>
      </c>
      <c r="AX14" s="93" t="n">
        <f aca="true">IF($D14="","",IFERROR(COUNTIF(INDIRECT("'"&amp;$D14&amp;"'!$AH$7:$AH$500"),"N/A"),0))</f>
        <v>0</v>
      </c>
      <c r="AY14" s="93" t="n">
        <f aca="true">IF($D14="","",IFERROR(COUNTIF(INDIRECT("'"&amp;$D14&amp;"'!$AN$7:$AN$500"),"?*"),0))</f>
        <v>0</v>
      </c>
      <c r="AZ14" s="93" t="n">
        <f aca="true">IF($D14="","",IFERROR(COUNTIF(INDIRECT("'"&amp;$D14&amp;"'!$AN$7:$AN$500"),"Pass"),0))</f>
        <v>0</v>
      </c>
      <c r="BA14" s="93" t="n">
        <f aca="true">IF($D14="","",IFERROR(COUNTIF(INDIRECT("'"&amp;$D14&amp;"'!$AN$7:$AN$500"),"Fail"),0))</f>
        <v>0</v>
      </c>
      <c r="BB14" s="93" t="n">
        <f aca="true">IF($D14="","",IFERROR(COUNTIF(INDIRECT("'"&amp;$D14&amp;"'!$AN$7:$AN$500"),"Block"),0))</f>
        <v>0</v>
      </c>
      <c r="BC14" s="1" t="n">
        <f aca="true">IF($D14="","",IFERROR(COUNTIF(INDIRECT("'"&amp;$D14&amp;"'!$AN$7:$AN$500"),"N/A"),0))</f>
        <v>0</v>
      </c>
    </row>
    <row r="15" customFormat="false" ht="15" hidden="false" customHeight="false" outlineLevel="0" collapsed="false">
      <c r="A15" s="1"/>
      <c r="B15" s="88" t="str">
        <f aca="false">IF($D15="","",ROW()-3)</f>
        <v/>
      </c>
      <c r="C15" s="89"/>
      <c r="D15" s="89"/>
      <c r="E15" s="90"/>
      <c r="F15" s="88" t="str">
        <f aca="true">IF($D15="","",IFERROR(COUNTIF(INDIRECT("'"&amp;$D15&amp;"'!$A$7:$A$500"),"?*"),0))</f>
        <v/>
      </c>
      <c r="G15" s="88" t="str">
        <f aca="true">IF($D15="","",IFERROR(COUNTIF(INDIRECT("'"&amp;$D15&amp;"'!$AT$7:$AT$500"),"Pass"),0))</f>
        <v/>
      </c>
      <c r="H15" s="88" t="str">
        <f aca="true">IF($D15="","",IFERROR(COUNTIF(INDIRECT("'"&amp;$D15&amp;"'!$AT$7:$AT$500"),"Fail"),0))</f>
        <v/>
      </c>
      <c r="I15" s="88" t="str">
        <f aca="true">IF($D15="","",IFERROR(COUNTIF(INDIRECT("'"&amp;$D15&amp;"'!$AT$7:$AT$500"),"Block"),0))</f>
        <v/>
      </c>
      <c r="J15" s="88" t="str">
        <f aca="true">IF($D15="","",IFERROR(COUNTIF(INDIRECT("'"&amp;$D15&amp;"'!$AT$7:$AT$500"),"N/A"),0))</f>
        <v/>
      </c>
      <c r="K15" s="88" t="str">
        <f aca="false">IF($D15="","",MAX(0,$F15-$G15-$H15-$I15-$J15))</f>
        <v/>
      </c>
      <c r="L15" s="88" t="str">
        <f aca="false">IF($D15="","",$G15+$H15+$I15+$J15)</f>
        <v/>
      </c>
      <c r="M15" s="91" t="str">
        <f aca="false">IF($D15="","",IFERROR($L15/$F15,0))</f>
        <v/>
      </c>
      <c r="N15" s="91" t="str">
        <f aca="false">IF($D15="","",IFERROR($G15/$L15,0))</f>
        <v/>
      </c>
      <c r="O15" s="88" t="str">
        <f aca="true">IF($D15="","",IFERROR(COUNTIF(INDIRECT("'"&amp;$D15&amp;"'!$E$7:$E$500"),"High"),0))</f>
        <v/>
      </c>
      <c r="P15" s="88" t="str">
        <f aca="true">IF($D15="","",IFERROR(COUNTIF(INDIRECT("'"&amp;$D15&amp;"'!$E$7:$E$500"),"Medium"),0))</f>
        <v/>
      </c>
      <c r="Q15" s="88" t="str">
        <f aca="true">IF($D15="","",IFERROR(COUNTIF(INDIRECT("'"&amp;$D15&amp;"'!$E$7:$E$500"),"Low"),0))</f>
        <v/>
      </c>
      <c r="R15" s="88" t="str">
        <f aca="true">IF($D15="","",IFERROR(COUNTIF(INDIRECT("'"&amp;$D15&amp;"'!$D$7:$D$500"),"Functional"),0))</f>
        <v/>
      </c>
      <c r="S15" s="88" t="str">
        <f aca="true">IF($D15="","",IFERROR(COUNTIF(INDIRECT("'"&amp;$D15&amp;"'!$D$7:$D$500"),"UI"),0))</f>
        <v/>
      </c>
      <c r="T15" s="88" t="str">
        <f aca="true">IF($D15="","",IFERROR(COUNTIF(INDIRECT("'"&amp;$D15&amp;"'!$D$7:$D$500"),"Integration"),0))</f>
        <v/>
      </c>
      <c r="U15" s="88" t="str">
        <f aca="true">IF($D15="","",IFERROR(COUNTIF(INDIRECT("'"&amp;$D15&amp;"'!$D$7:$D$500"),"Database Test Case"),0))</f>
        <v/>
      </c>
      <c r="V15" s="88" t="str">
        <f aca="true">IF($D15="","",IFERROR(COUNTIF(INDIRECT("'"&amp;$D15&amp;"'!$J$7:$J$500"),"AI"),0))</f>
        <v/>
      </c>
      <c r="W15" s="88" t="str">
        <f aca="true">IF($D15="","",IFERROR(COUNTIF(INDIRECT("'"&amp;$D15&amp;"'!$J$7:$J$500"),"QC"),0))</f>
        <v/>
      </c>
      <c r="X15" s="88" t="str">
        <f aca="true">IF($D15="","",IFERROR(COUNTIF(INDIRECT("'"&amp;$D15&amp;"'!$L$7:$L$500"),"Yes"),0))</f>
        <v/>
      </c>
      <c r="Y15" s="88" t="str">
        <f aca="true">IF($D15="","",IFERROR(COUNTIF(INDIRECT("'"&amp;$D15&amp;"'!$AR$7:$AR$500"),"Yes"),0))</f>
        <v/>
      </c>
      <c r="Z15" s="88" t="str">
        <f aca="true">IF($D15="","",IFERROR(COUNTIF(INDIRECT("'"&amp;$D15&amp;"'!$AS$7:$AS$500"),"Pass"),0))</f>
        <v/>
      </c>
      <c r="AA15" s="88" t="str">
        <f aca="true">IF($D15="","",IFERROR(COUNTIF(INDIRECT("'"&amp;$D15&amp;"'!$K$7:$K$500"),"Reviewed"),0))</f>
        <v/>
      </c>
      <c r="AB15" s="92" t="str">
        <f aca="true">IF($D15="","",IFERROR(COUNTIFS(INDIRECT("'"&amp;$D15&amp;"'!$E$7:$E$500"),"High",INDIRECT("'"&amp;$D15&amp;"'!$AT$7:$AT$500"),"?*"),0))</f>
        <v/>
      </c>
      <c r="AC15" s="92" t="str">
        <f aca="true">IF($D15="","",IFERROR(COUNTIFS(INDIRECT("'"&amp;$D15&amp;"'!$E$7:$E$500"),"Medium",INDIRECT("'"&amp;$D15&amp;"'!$AT$7:$AT$500"),"?*"),0))</f>
        <v/>
      </c>
      <c r="AD15" s="92" t="str">
        <f aca="true">IF($D15="","",IFERROR(COUNTIFS(INDIRECT("'"&amp;$D15&amp;"'!$E$7:$E$500"),"Low",INDIRECT("'"&amp;$D15&amp;"'!$AT$7:$AT$500"),"?*"),0))</f>
        <v/>
      </c>
      <c r="AE15" s="93" t="str">
        <f aca="true">IF($D15="","",IFERROR(COUNTIF(INDIRECT("'"&amp;$D15&amp;"'!$P$7:$P$500"),"?*"),0))</f>
        <v/>
      </c>
      <c r="AF15" s="93" t="str">
        <f aca="true">IF($D15="","",IFERROR(COUNTIF(INDIRECT("'"&amp;$D15&amp;"'!$P$7:$P$500"),"Pass"),0))</f>
        <v/>
      </c>
      <c r="AG15" s="93" t="str">
        <f aca="true">IF($D15="","",IFERROR(COUNTIF(INDIRECT("'"&amp;$D15&amp;"'!$P$7:$P$500"),"Fail"),0))</f>
        <v/>
      </c>
      <c r="AH15" s="93" t="str">
        <f aca="true">IF($D15="","",IFERROR(COUNTIF(INDIRECT("'"&amp;$D15&amp;"'!$P$7:$P$500"),"Block"),0))</f>
        <v/>
      </c>
      <c r="AI15" s="93" t="str">
        <f aca="true">IF($D15="","",IFERROR(COUNTIF(INDIRECT("'"&amp;$D15&amp;"'!$P$7:$P$500"),"N/A"),0))</f>
        <v/>
      </c>
      <c r="AJ15" s="93" t="str">
        <f aca="true">IF($D15="","",IFERROR(COUNTIF(INDIRECT("'"&amp;$D15&amp;"'!$V$7:$V$500"),"?*"),0))</f>
        <v/>
      </c>
      <c r="AK15" s="93" t="str">
        <f aca="true">IF($D15="","",IFERROR(COUNTIF(INDIRECT("'"&amp;$D15&amp;"'!$V$7:$V$500"),"Pass"),0))</f>
        <v/>
      </c>
      <c r="AL15" s="93" t="str">
        <f aca="true">IF($D15="","",IFERROR(COUNTIF(INDIRECT("'"&amp;$D15&amp;"'!$V$7:$V$500"),"Fail"),0))</f>
        <v/>
      </c>
      <c r="AM15" s="93" t="str">
        <f aca="true">IF($D15="","",IFERROR(COUNTIF(INDIRECT("'"&amp;$D15&amp;"'!$V$7:$V$500"),"Block"),0))</f>
        <v/>
      </c>
      <c r="AN15" s="93" t="str">
        <f aca="true">IF($D15="","",IFERROR(COUNTIF(INDIRECT("'"&amp;$D15&amp;"'!$V$7:$V$500"),"N/A"),0))</f>
        <v/>
      </c>
      <c r="AO15" s="93" t="str">
        <f aca="true">IF($D15="","",IFERROR(COUNTIF(INDIRECT("'"&amp;$D15&amp;"'!$AB$7:$AB$500"),"?*"),0))</f>
        <v/>
      </c>
      <c r="AP15" s="93" t="str">
        <f aca="true">IF($D15="","",IFERROR(COUNTIF(INDIRECT("'"&amp;$D15&amp;"'!$AB$7:$AB$500"),"Pass"),0))</f>
        <v/>
      </c>
      <c r="AQ15" s="93" t="str">
        <f aca="true">IF($D15="","",IFERROR(COUNTIF(INDIRECT("'"&amp;$D15&amp;"'!$AB$7:$AB$500"),"Fail"),0))</f>
        <v/>
      </c>
      <c r="AR15" s="93" t="str">
        <f aca="true">IF($D15="","",IFERROR(COUNTIF(INDIRECT("'"&amp;$D15&amp;"'!$AB$7:$AB$500"),"Block"),0))</f>
        <v/>
      </c>
      <c r="AS15" s="93" t="str">
        <f aca="true">IF($D15="","",IFERROR(COUNTIF(INDIRECT("'"&amp;$D15&amp;"'!$AB$7:$AB$500"),"N/A"),0))</f>
        <v/>
      </c>
      <c r="AT15" s="93" t="str">
        <f aca="true">IF($D15="","",IFERROR(COUNTIF(INDIRECT("'"&amp;$D15&amp;"'!$AH$7:$AH$500"),"?*"),0))</f>
        <v/>
      </c>
      <c r="AU15" s="93" t="str">
        <f aca="true">IF($D15="","",IFERROR(COUNTIF(INDIRECT("'"&amp;$D15&amp;"'!$AH$7:$AH$500"),"Pass"),0))</f>
        <v/>
      </c>
      <c r="AV15" s="93" t="str">
        <f aca="true">IF($D15="","",IFERROR(COUNTIF(INDIRECT("'"&amp;$D15&amp;"'!$AH$7:$AH$500"),"Fail"),0))</f>
        <v/>
      </c>
      <c r="AW15" s="93" t="str">
        <f aca="true">IF($D15="","",IFERROR(COUNTIF(INDIRECT("'"&amp;$D15&amp;"'!$AH$7:$AH$500"),"Block"),0))</f>
        <v/>
      </c>
      <c r="AX15" s="93" t="str">
        <f aca="true">IF($D15="","",IFERROR(COUNTIF(INDIRECT("'"&amp;$D15&amp;"'!$AH$7:$AH$500"),"N/A"),0))</f>
        <v/>
      </c>
      <c r="AY15" s="93" t="str">
        <f aca="true">IF($D15="","",IFERROR(COUNTIF(INDIRECT("'"&amp;$D15&amp;"'!$AN$7:$AN$500"),"?*"),0))</f>
        <v/>
      </c>
      <c r="AZ15" s="93" t="str">
        <f aca="true">IF($D15="","",IFERROR(COUNTIF(INDIRECT("'"&amp;$D15&amp;"'!$AN$7:$AN$500"),"Pass"),0))</f>
        <v/>
      </c>
      <c r="BA15" s="93" t="str">
        <f aca="true">IF($D15="","",IFERROR(COUNTIF(INDIRECT("'"&amp;$D15&amp;"'!$AN$7:$AN$500"),"Fail"),0))</f>
        <v/>
      </c>
      <c r="BB15" s="93" t="str">
        <f aca="true">IF($D15="","",IFERROR(COUNTIF(INDIRECT("'"&amp;$D15&amp;"'!$AN$7:$AN$500"),"Block"),0))</f>
        <v/>
      </c>
      <c r="BC15" s="1" t="str">
        <f aca="true">IF($D15="","",IFERROR(COUNTIF(INDIRECT("'"&amp;$D15&amp;"'!$AN$7:$AN$500"),"N/A"),0))</f>
        <v/>
      </c>
    </row>
    <row r="16" customFormat="false" ht="15" hidden="false" customHeight="false" outlineLevel="0" collapsed="false">
      <c r="A16" s="1"/>
      <c r="B16" s="88" t="str">
        <f aca="false">IF($D16="","",ROW()-3)</f>
        <v/>
      </c>
      <c r="C16" s="89"/>
      <c r="D16" s="89"/>
      <c r="E16" s="90"/>
      <c r="F16" s="88" t="str">
        <f aca="true">IF($D16="","",IFERROR(COUNTIF(INDIRECT("'"&amp;$D16&amp;"'!$A$7:$A$500"),"?*"),0))</f>
        <v/>
      </c>
      <c r="G16" s="88" t="str">
        <f aca="true">IF($D16="","",IFERROR(COUNTIF(INDIRECT("'"&amp;$D16&amp;"'!$AT$7:$AT$500"),"Pass"),0))</f>
        <v/>
      </c>
      <c r="H16" s="88" t="str">
        <f aca="true">IF($D16="","",IFERROR(COUNTIF(INDIRECT("'"&amp;$D16&amp;"'!$AT$7:$AT$500"),"Fail"),0))</f>
        <v/>
      </c>
      <c r="I16" s="88" t="str">
        <f aca="true">IF($D16="","",IFERROR(COUNTIF(INDIRECT("'"&amp;$D16&amp;"'!$AT$7:$AT$500"),"Block"),0))</f>
        <v/>
      </c>
      <c r="J16" s="88" t="str">
        <f aca="true">IF($D16="","",IFERROR(COUNTIF(INDIRECT("'"&amp;$D16&amp;"'!$AT$7:$AT$500"),"N/A"),0))</f>
        <v/>
      </c>
      <c r="K16" s="88" t="str">
        <f aca="false">IF($D16="","",MAX(0,$F16-$G16-$H16-$I16-$J16))</f>
        <v/>
      </c>
      <c r="L16" s="88" t="str">
        <f aca="false">IF($D16="","",$G16+$H16+$I16+$J16)</f>
        <v/>
      </c>
      <c r="M16" s="91" t="str">
        <f aca="false">IF($D16="","",IFERROR($L16/$F16,0))</f>
        <v/>
      </c>
      <c r="N16" s="91" t="str">
        <f aca="false">IF($D16="","",IFERROR($G16/$L16,0))</f>
        <v/>
      </c>
      <c r="O16" s="88" t="str">
        <f aca="true">IF($D16="","",IFERROR(COUNTIF(INDIRECT("'"&amp;$D16&amp;"'!$E$7:$E$500"),"High"),0))</f>
        <v/>
      </c>
      <c r="P16" s="88" t="str">
        <f aca="true">IF($D16="","",IFERROR(COUNTIF(INDIRECT("'"&amp;$D16&amp;"'!$E$7:$E$500"),"Medium"),0))</f>
        <v/>
      </c>
      <c r="Q16" s="88" t="str">
        <f aca="true">IF($D16="","",IFERROR(COUNTIF(INDIRECT("'"&amp;$D16&amp;"'!$E$7:$E$500"),"Low"),0))</f>
        <v/>
      </c>
      <c r="R16" s="88" t="str">
        <f aca="true">IF($D16="","",IFERROR(COUNTIF(INDIRECT("'"&amp;$D16&amp;"'!$D$7:$D$500"),"Functional"),0))</f>
        <v/>
      </c>
      <c r="S16" s="88" t="str">
        <f aca="true">IF($D16="","",IFERROR(COUNTIF(INDIRECT("'"&amp;$D16&amp;"'!$D$7:$D$500"),"UI"),0))</f>
        <v/>
      </c>
      <c r="T16" s="88" t="str">
        <f aca="true">IF($D16="","",IFERROR(COUNTIF(INDIRECT("'"&amp;$D16&amp;"'!$D$7:$D$500"),"Integration"),0))</f>
        <v/>
      </c>
      <c r="U16" s="88" t="str">
        <f aca="true">IF($D16="","",IFERROR(COUNTIF(INDIRECT("'"&amp;$D16&amp;"'!$D$7:$D$500"),"Database Test Case"),0))</f>
        <v/>
      </c>
      <c r="V16" s="88" t="str">
        <f aca="true">IF($D16="","",IFERROR(COUNTIF(INDIRECT("'"&amp;$D16&amp;"'!$J$7:$J$500"),"AI"),0))</f>
        <v/>
      </c>
      <c r="W16" s="88" t="str">
        <f aca="true">IF($D16="","",IFERROR(COUNTIF(INDIRECT("'"&amp;$D16&amp;"'!$J$7:$J$500"),"QC"),0))</f>
        <v/>
      </c>
      <c r="X16" s="88" t="str">
        <f aca="true">IF($D16="","",IFERROR(COUNTIF(INDIRECT("'"&amp;$D16&amp;"'!$L$7:$L$500"),"Yes"),0))</f>
        <v/>
      </c>
      <c r="Y16" s="88" t="str">
        <f aca="true">IF($D16="","",IFERROR(COUNTIF(INDIRECT("'"&amp;$D16&amp;"'!$AR$7:$AR$500"),"Yes"),0))</f>
        <v/>
      </c>
      <c r="Z16" s="88" t="str">
        <f aca="true">IF($D16="","",IFERROR(COUNTIF(INDIRECT("'"&amp;$D16&amp;"'!$AS$7:$AS$500"),"Pass"),0))</f>
        <v/>
      </c>
      <c r="AA16" s="88" t="str">
        <f aca="true">IF($D16="","",IFERROR(COUNTIF(INDIRECT("'"&amp;$D16&amp;"'!$K$7:$K$500"),"Reviewed"),0))</f>
        <v/>
      </c>
      <c r="AB16" s="92" t="str">
        <f aca="true">IF($D16="","",IFERROR(COUNTIFS(INDIRECT("'"&amp;$D16&amp;"'!$E$7:$E$500"),"High",INDIRECT("'"&amp;$D16&amp;"'!$AT$7:$AT$500"),"?*"),0))</f>
        <v/>
      </c>
      <c r="AC16" s="92" t="str">
        <f aca="true">IF($D16="","",IFERROR(COUNTIFS(INDIRECT("'"&amp;$D16&amp;"'!$E$7:$E$500"),"Medium",INDIRECT("'"&amp;$D16&amp;"'!$AT$7:$AT$500"),"?*"),0))</f>
        <v/>
      </c>
      <c r="AD16" s="92" t="str">
        <f aca="true">IF($D16="","",IFERROR(COUNTIFS(INDIRECT("'"&amp;$D16&amp;"'!$E$7:$E$500"),"Low",INDIRECT("'"&amp;$D16&amp;"'!$AT$7:$AT$500"),"?*"),0))</f>
        <v/>
      </c>
      <c r="AE16" s="93" t="str">
        <f aca="true">IF($D16="","",IFERROR(COUNTIF(INDIRECT("'"&amp;$D16&amp;"'!$P$7:$P$500"),"?*"),0))</f>
        <v/>
      </c>
      <c r="AF16" s="93" t="str">
        <f aca="true">IF($D16="","",IFERROR(COUNTIF(INDIRECT("'"&amp;$D16&amp;"'!$P$7:$P$500"),"Pass"),0))</f>
        <v/>
      </c>
      <c r="AG16" s="93" t="str">
        <f aca="true">IF($D16="","",IFERROR(COUNTIF(INDIRECT("'"&amp;$D16&amp;"'!$P$7:$P$500"),"Fail"),0))</f>
        <v/>
      </c>
      <c r="AH16" s="93" t="str">
        <f aca="true">IF($D16="","",IFERROR(COUNTIF(INDIRECT("'"&amp;$D16&amp;"'!$P$7:$P$500"),"Block"),0))</f>
        <v/>
      </c>
      <c r="AI16" s="93" t="str">
        <f aca="true">IF($D16="","",IFERROR(COUNTIF(INDIRECT("'"&amp;$D16&amp;"'!$P$7:$P$500"),"N/A"),0))</f>
        <v/>
      </c>
      <c r="AJ16" s="93" t="str">
        <f aca="true">IF($D16="","",IFERROR(COUNTIF(INDIRECT("'"&amp;$D16&amp;"'!$V$7:$V$500"),"?*"),0))</f>
        <v/>
      </c>
      <c r="AK16" s="93" t="str">
        <f aca="true">IF($D16="","",IFERROR(COUNTIF(INDIRECT("'"&amp;$D16&amp;"'!$V$7:$V$500"),"Pass"),0))</f>
        <v/>
      </c>
      <c r="AL16" s="93" t="str">
        <f aca="true">IF($D16="","",IFERROR(COUNTIF(INDIRECT("'"&amp;$D16&amp;"'!$V$7:$V$500"),"Fail"),0))</f>
        <v/>
      </c>
      <c r="AM16" s="93" t="str">
        <f aca="true">IF($D16="","",IFERROR(COUNTIF(INDIRECT("'"&amp;$D16&amp;"'!$V$7:$V$500"),"Block"),0))</f>
        <v/>
      </c>
      <c r="AN16" s="93" t="str">
        <f aca="true">IF($D16="","",IFERROR(COUNTIF(INDIRECT("'"&amp;$D16&amp;"'!$V$7:$V$500"),"N/A"),0))</f>
        <v/>
      </c>
      <c r="AO16" s="93" t="str">
        <f aca="true">IF($D16="","",IFERROR(COUNTIF(INDIRECT("'"&amp;$D16&amp;"'!$AB$7:$AB$500"),"?*"),0))</f>
        <v/>
      </c>
      <c r="AP16" s="93" t="str">
        <f aca="true">IF($D16="","",IFERROR(COUNTIF(INDIRECT("'"&amp;$D16&amp;"'!$AB$7:$AB$500"),"Pass"),0))</f>
        <v/>
      </c>
      <c r="AQ16" s="93" t="str">
        <f aca="true">IF($D16="","",IFERROR(COUNTIF(INDIRECT("'"&amp;$D16&amp;"'!$AB$7:$AB$500"),"Fail"),0))</f>
        <v/>
      </c>
      <c r="AR16" s="93" t="str">
        <f aca="true">IF($D16="","",IFERROR(COUNTIF(INDIRECT("'"&amp;$D16&amp;"'!$AB$7:$AB$500"),"Block"),0))</f>
        <v/>
      </c>
      <c r="AS16" s="93" t="str">
        <f aca="true">IF($D16="","",IFERROR(COUNTIF(INDIRECT("'"&amp;$D16&amp;"'!$AB$7:$AB$500"),"N/A"),0))</f>
        <v/>
      </c>
      <c r="AT16" s="93" t="str">
        <f aca="true">IF($D16="","",IFERROR(COUNTIF(INDIRECT("'"&amp;$D16&amp;"'!$AH$7:$AH$500"),"?*"),0))</f>
        <v/>
      </c>
      <c r="AU16" s="93" t="str">
        <f aca="true">IF($D16="","",IFERROR(COUNTIF(INDIRECT("'"&amp;$D16&amp;"'!$AH$7:$AH$500"),"Pass"),0))</f>
        <v/>
      </c>
      <c r="AV16" s="93" t="str">
        <f aca="true">IF($D16="","",IFERROR(COUNTIF(INDIRECT("'"&amp;$D16&amp;"'!$AH$7:$AH$500"),"Fail"),0))</f>
        <v/>
      </c>
      <c r="AW16" s="93" t="str">
        <f aca="true">IF($D16="","",IFERROR(COUNTIF(INDIRECT("'"&amp;$D16&amp;"'!$AH$7:$AH$500"),"Block"),0))</f>
        <v/>
      </c>
      <c r="AX16" s="93" t="str">
        <f aca="true">IF($D16="","",IFERROR(COUNTIF(INDIRECT("'"&amp;$D16&amp;"'!$AH$7:$AH$500"),"N/A"),0))</f>
        <v/>
      </c>
      <c r="AY16" s="93" t="str">
        <f aca="true">IF($D16="","",IFERROR(COUNTIF(INDIRECT("'"&amp;$D16&amp;"'!$AN$7:$AN$500"),"?*"),0))</f>
        <v/>
      </c>
      <c r="AZ16" s="93" t="str">
        <f aca="true">IF($D16="","",IFERROR(COUNTIF(INDIRECT("'"&amp;$D16&amp;"'!$AN$7:$AN$500"),"Pass"),0))</f>
        <v/>
      </c>
      <c r="BA16" s="93" t="str">
        <f aca="true">IF($D16="","",IFERROR(COUNTIF(INDIRECT("'"&amp;$D16&amp;"'!$AN$7:$AN$500"),"Fail"),0))</f>
        <v/>
      </c>
      <c r="BB16" s="93" t="str">
        <f aca="true">IF($D16="","",IFERROR(COUNTIF(INDIRECT("'"&amp;$D16&amp;"'!$AN$7:$AN$500"),"Block"),0))</f>
        <v/>
      </c>
      <c r="BC16" s="1" t="str">
        <f aca="true">IF($D16="","",IFERROR(COUNTIF(INDIRECT("'"&amp;$D16&amp;"'!$AN$7:$AN$500"),"N/A"),0))</f>
        <v/>
      </c>
    </row>
    <row r="17" customFormat="false" ht="15" hidden="false" customHeight="false" outlineLevel="0" collapsed="false">
      <c r="A17" s="1"/>
      <c r="B17" s="88" t="str">
        <f aca="false">IF($D17="","",ROW()-3)</f>
        <v/>
      </c>
      <c r="C17" s="89"/>
      <c r="D17" s="89"/>
      <c r="E17" s="90"/>
      <c r="F17" s="88" t="str">
        <f aca="true">IF($D17="","",IFERROR(COUNTIF(INDIRECT("'"&amp;$D17&amp;"'!$A$7:$A$500"),"?*"),0))</f>
        <v/>
      </c>
      <c r="G17" s="88" t="str">
        <f aca="true">IF($D17="","",IFERROR(COUNTIF(INDIRECT("'"&amp;$D17&amp;"'!$AT$7:$AT$500"),"Pass"),0))</f>
        <v/>
      </c>
      <c r="H17" s="88" t="str">
        <f aca="true">IF($D17="","",IFERROR(COUNTIF(INDIRECT("'"&amp;$D17&amp;"'!$AT$7:$AT$500"),"Fail"),0))</f>
        <v/>
      </c>
      <c r="I17" s="88" t="str">
        <f aca="true">IF($D17="","",IFERROR(COUNTIF(INDIRECT("'"&amp;$D17&amp;"'!$AT$7:$AT$500"),"Block"),0))</f>
        <v/>
      </c>
      <c r="J17" s="88" t="str">
        <f aca="true">IF($D17="","",IFERROR(COUNTIF(INDIRECT("'"&amp;$D17&amp;"'!$AT$7:$AT$500"),"N/A"),0))</f>
        <v/>
      </c>
      <c r="K17" s="88" t="str">
        <f aca="false">IF($D17="","",MAX(0,$F17-$G17-$H17-$I17-$J17))</f>
        <v/>
      </c>
      <c r="L17" s="88" t="str">
        <f aca="false">IF($D17="","",$G17+$H17+$I17+$J17)</f>
        <v/>
      </c>
      <c r="M17" s="91" t="str">
        <f aca="false">IF($D17="","",IFERROR($L17/$F17,0))</f>
        <v/>
      </c>
      <c r="N17" s="91" t="str">
        <f aca="false">IF($D17="","",IFERROR($G17/$L17,0))</f>
        <v/>
      </c>
      <c r="O17" s="88" t="str">
        <f aca="true">IF($D17="","",IFERROR(COUNTIF(INDIRECT("'"&amp;$D17&amp;"'!$E$7:$E$500"),"High"),0))</f>
        <v/>
      </c>
      <c r="P17" s="88" t="str">
        <f aca="true">IF($D17="","",IFERROR(COUNTIF(INDIRECT("'"&amp;$D17&amp;"'!$E$7:$E$500"),"Medium"),0))</f>
        <v/>
      </c>
      <c r="Q17" s="88" t="str">
        <f aca="true">IF($D17="","",IFERROR(COUNTIF(INDIRECT("'"&amp;$D17&amp;"'!$E$7:$E$500"),"Low"),0))</f>
        <v/>
      </c>
      <c r="R17" s="88" t="str">
        <f aca="true">IF($D17="","",IFERROR(COUNTIF(INDIRECT("'"&amp;$D17&amp;"'!$D$7:$D$500"),"Functional"),0))</f>
        <v/>
      </c>
      <c r="S17" s="88" t="str">
        <f aca="true">IF($D17="","",IFERROR(COUNTIF(INDIRECT("'"&amp;$D17&amp;"'!$D$7:$D$500"),"UI"),0))</f>
        <v/>
      </c>
      <c r="T17" s="88" t="str">
        <f aca="true">IF($D17="","",IFERROR(COUNTIF(INDIRECT("'"&amp;$D17&amp;"'!$D$7:$D$500"),"Integration"),0))</f>
        <v/>
      </c>
      <c r="U17" s="88" t="str">
        <f aca="true">IF($D17="","",IFERROR(COUNTIF(INDIRECT("'"&amp;$D17&amp;"'!$D$7:$D$500"),"Database Test Case"),0))</f>
        <v/>
      </c>
      <c r="V17" s="88" t="str">
        <f aca="true">IF($D17="","",IFERROR(COUNTIF(INDIRECT("'"&amp;$D17&amp;"'!$J$7:$J$500"),"AI"),0))</f>
        <v/>
      </c>
      <c r="W17" s="88" t="str">
        <f aca="true">IF($D17="","",IFERROR(COUNTIF(INDIRECT("'"&amp;$D17&amp;"'!$J$7:$J$500"),"QC"),0))</f>
        <v/>
      </c>
      <c r="X17" s="88" t="str">
        <f aca="true">IF($D17="","",IFERROR(COUNTIF(INDIRECT("'"&amp;$D17&amp;"'!$L$7:$L$500"),"Yes"),0))</f>
        <v/>
      </c>
      <c r="Y17" s="88" t="str">
        <f aca="true">IF($D17="","",IFERROR(COUNTIF(INDIRECT("'"&amp;$D17&amp;"'!$AR$7:$AR$500"),"Yes"),0))</f>
        <v/>
      </c>
      <c r="Z17" s="88" t="str">
        <f aca="true">IF($D17="","",IFERROR(COUNTIF(INDIRECT("'"&amp;$D17&amp;"'!$AS$7:$AS$500"),"Pass"),0))</f>
        <v/>
      </c>
      <c r="AA17" s="88" t="str">
        <f aca="true">IF($D17="","",IFERROR(COUNTIF(INDIRECT("'"&amp;$D17&amp;"'!$K$7:$K$500"),"Reviewed"),0))</f>
        <v/>
      </c>
      <c r="AB17" s="92" t="str">
        <f aca="true">IF($D17="","",IFERROR(COUNTIFS(INDIRECT("'"&amp;$D17&amp;"'!$E$7:$E$500"),"High",INDIRECT("'"&amp;$D17&amp;"'!$AT$7:$AT$500"),"?*"),0))</f>
        <v/>
      </c>
      <c r="AC17" s="92" t="str">
        <f aca="true">IF($D17="","",IFERROR(COUNTIFS(INDIRECT("'"&amp;$D17&amp;"'!$E$7:$E$500"),"Medium",INDIRECT("'"&amp;$D17&amp;"'!$AT$7:$AT$500"),"?*"),0))</f>
        <v/>
      </c>
      <c r="AD17" s="92" t="str">
        <f aca="true">IF($D17="","",IFERROR(COUNTIFS(INDIRECT("'"&amp;$D17&amp;"'!$E$7:$E$500"),"Low",INDIRECT("'"&amp;$D17&amp;"'!$AT$7:$AT$500"),"?*"),0))</f>
        <v/>
      </c>
      <c r="AE17" s="93" t="str">
        <f aca="true">IF($D17="","",IFERROR(COUNTIF(INDIRECT("'"&amp;$D17&amp;"'!$P$7:$P$500"),"?*"),0))</f>
        <v/>
      </c>
      <c r="AF17" s="93" t="str">
        <f aca="true">IF($D17="","",IFERROR(COUNTIF(INDIRECT("'"&amp;$D17&amp;"'!$P$7:$P$500"),"Pass"),0))</f>
        <v/>
      </c>
      <c r="AG17" s="93" t="str">
        <f aca="true">IF($D17="","",IFERROR(COUNTIF(INDIRECT("'"&amp;$D17&amp;"'!$P$7:$P$500"),"Fail"),0))</f>
        <v/>
      </c>
      <c r="AH17" s="93" t="str">
        <f aca="true">IF($D17="","",IFERROR(COUNTIF(INDIRECT("'"&amp;$D17&amp;"'!$P$7:$P$500"),"Block"),0))</f>
        <v/>
      </c>
      <c r="AI17" s="93" t="str">
        <f aca="true">IF($D17="","",IFERROR(COUNTIF(INDIRECT("'"&amp;$D17&amp;"'!$P$7:$P$500"),"N/A"),0))</f>
        <v/>
      </c>
      <c r="AJ17" s="93" t="str">
        <f aca="true">IF($D17="","",IFERROR(COUNTIF(INDIRECT("'"&amp;$D17&amp;"'!$V$7:$V$500"),"?*"),0))</f>
        <v/>
      </c>
      <c r="AK17" s="93" t="str">
        <f aca="true">IF($D17="","",IFERROR(COUNTIF(INDIRECT("'"&amp;$D17&amp;"'!$V$7:$V$500"),"Pass"),0))</f>
        <v/>
      </c>
      <c r="AL17" s="93" t="str">
        <f aca="true">IF($D17="","",IFERROR(COUNTIF(INDIRECT("'"&amp;$D17&amp;"'!$V$7:$V$500"),"Fail"),0))</f>
        <v/>
      </c>
      <c r="AM17" s="93" t="str">
        <f aca="true">IF($D17="","",IFERROR(COUNTIF(INDIRECT("'"&amp;$D17&amp;"'!$V$7:$V$500"),"Block"),0))</f>
        <v/>
      </c>
      <c r="AN17" s="93" t="str">
        <f aca="true">IF($D17="","",IFERROR(COUNTIF(INDIRECT("'"&amp;$D17&amp;"'!$V$7:$V$500"),"N/A"),0))</f>
        <v/>
      </c>
      <c r="AO17" s="93" t="str">
        <f aca="true">IF($D17="","",IFERROR(COUNTIF(INDIRECT("'"&amp;$D17&amp;"'!$AB$7:$AB$500"),"?*"),0))</f>
        <v/>
      </c>
      <c r="AP17" s="93" t="str">
        <f aca="true">IF($D17="","",IFERROR(COUNTIF(INDIRECT("'"&amp;$D17&amp;"'!$AB$7:$AB$500"),"Pass"),0))</f>
        <v/>
      </c>
      <c r="AQ17" s="93" t="str">
        <f aca="true">IF($D17="","",IFERROR(COUNTIF(INDIRECT("'"&amp;$D17&amp;"'!$AB$7:$AB$500"),"Fail"),0))</f>
        <v/>
      </c>
      <c r="AR17" s="93" t="str">
        <f aca="true">IF($D17="","",IFERROR(COUNTIF(INDIRECT("'"&amp;$D17&amp;"'!$AB$7:$AB$500"),"Block"),0))</f>
        <v/>
      </c>
      <c r="AS17" s="93" t="str">
        <f aca="true">IF($D17="","",IFERROR(COUNTIF(INDIRECT("'"&amp;$D17&amp;"'!$AB$7:$AB$500"),"N/A"),0))</f>
        <v/>
      </c>
      <c r="AT17" s="93" t="str">
        <f aca="true">IF($D17="","",IFERROR(COUNTIF(INDIRECT("'"&amp;$D17&amp;"'!$AH$7:$AH$500"),"?*"),0))</f>
        <v/>
      </c>
      <c r="AU17" s="93" t="str">
        <f aca="true">IF($D17="","",IFERROR(COUNTIF(INDIRECT("'"&amp;$D17&amp;"'!$AH$7:$AH$500"),"Pass"),0))</f>
        <v/>
      </c>
      <c r="AV17" s="93" t="str">
        <f aca="true">IF($D17="","",IFERROR(COUNTIF(INDIRECT("'"&amp;$D17&amp;"'!$AH$7:$AH$500"),"Fail"),0))</f>
        <v/>
      </c>
      <c r="AW17" s="93" t="str">
        <f aca="true">IF($D17="","",IFERROR(COUNTIF(INDIRECT("'"&amp;$D17&amp;"'!$AH$7:$AH$500"),"Block"),0))</f>
        <v/>
      </c>
      <c r="AX17" s="93" t="str">
        <f aca="true">IF($D17="","",IFERROR(COUNTIF(INDIRECT("'"&amp;$D17&amp;"'!$AH$7:$AH$500"),"N/A"),0))</f>
        <v/>
      </c>
      <c r="AY17" s="93" t="str">
        <f aca="true">IF($D17="","",IFERROR(COUNTIF(INDIRECT("'"&amp;$D17&amp;"'!$AN$7:$AN$500"),"?*"),0))</f>
        <v/>
      </c>
      <c r="AZ17" s="93" t="str">
        <f aca="true">IF($D17="","",IFERROR(COUNTIF(INDIRECT("'"&amp;$D17&amp;"'!$AN$7:$AN$500"),"Pass"),0))</f>
        <v/>
      </c>
      <c r="BA17" s="93" t="str">
        <f aca="true">IF($D17="","",IFERROR(COUNTIF(INDIRECT("'"&amp;$D17&amp;"'!$AN$7:$AN$500"),"Fail"),0))</f>
        <v/>
      </c>
      <c r="BB17" s="93" t="str">
        <f aca="true">IF($D17="","",IFERROR(COUNTIF(INDIRECT("'"&amp;$D17&amp;"'!$AN$7:$AN$500"),"Block"),0))</f>
        <v/>
      </c>
      <c r="BC17" s="1" t="str">
        <f aca="true">IF($D17="","",IFERROR(COUNTIF(INDIRECT("'"&amp;$D17&amp;"'!$AN$7:$AN$500"),"N/A"),0))</f>
        <v/>
      </c>
    </row>
    <row r="18" customFormat="false" ht="15" hidden="false" customHeight="false" outlineLevel="0" collapsed="false">
      <c r="A18" s="1"/>
      <c r="B18" s="88" t="str">
        <f aca="false">IF($D18="","",ROW()-3)</f>
        <v/>
      </c>
      <c r="C18" s="89"/>
      <c r="D18" s="89"/>
      <c r="E18" s="90"/>
      <c r="F18" s="88" t="str">
        <f aca="true">IF($D18="","",IFERROR(COUNTIF(INDIRECT("'"&amp;$D18&amp;"'!$A$7:$A$500"),"?*"),0))</f>
        <v/>
      </c>
      <c r="G18" s="88" t="str">
        <f aca="true">IF($D18="","",IFERROR(COUNTIF(INDIRECT("'"&amp;$D18&amp;"'!$AT$7:$AT$500"),"Pass"),0))</f>
        <v/>
      </c>
      <c r="H18" s="88" t="str">
        <f aca="true">IF($D18="","",IFERROR(COUNTIF(INDIRECT("'"&amp;$D18&amp;"'!$AT$7:$AT$500"),"Fail"),0))</f>
        <v/>
      </c>
      <c r="I18" s="88" t="str">
        <f aca="true">IF($D18="","",IFERROR(COUNTIF(INDIRECT("'"&amp;$D18&amp;"'!$AT$7:$AT$500"),"Block"),0))</f>
        <v/>
      </c>
      <c r="J18" s="88" t="str">
        <f aca="true">IF($D18="","",IFERROR(COUNTIF(INDIRECT("'"&amp;$D18&amp;"'!$AT$7:$AT$500"),"N/A"),0))</f>
        <v/>
      </c>
      <c r="K18" s="88" t="str">
        <f aca="false">IF($D18="","",MAX(0,$F18-$G18-$H18-$I18-$J18))</f>
        <v/>
      </c>
      <c r="L18" s="88" t="str">
        <f aca="false">IF($D18="","",$G18+$H18+$I18+$J18)</f>
        <v/>
      </c>
      <c r="M18" s="91" t="str">
        <f aca="false">IF($D18="","",IFERROR($L18/$F18,0))</f>
        <v/>
      </c>
      <c r="N18" s="91" t="str">
        <f aca="false">IF($D18="","",IFERROR($G18/$L18,0))</f>
        <v/>
      </c>
      <c r="O18" s="88" t="str">
        <f aca="true">IF($D18="","",IFERROR(COUNTIF(INDIRECT("'"&amp;$D18&amp;"'!$E$7:$E$500"),"High"),0))</f>
        <v/>
      </c>
      <c r="P18" s="88" t="str">
        <f aca="true">IF($D18="","",IFERROR(COUNTIF(INDIRECT("'"&amp;$D18&amp;"'!$E$7:$E$500"),"Medium"),0))</f>
        <v/>
      </c>
      <c r="Q18" s="88" t="str">
        <f aca="true">IF($D18="","",IFERROR(COUNTIF(INDIRECT("'"&amp;$D18&amp;"'!$E$7:$E$500"),"Low"),0))</f>
        <v/>
      </c>
      <c r="R18" s="88" t="str">
        <f aca="true">IF($D18="","",IFERROR(COUNTIF(INDIRECT("'"&amp;$D18&amp;"'!$D$7:$D$500"),"Functional"),0))</f>
        <v/>
      </c>
      <c r="S18" s="88" t="str">
        <f aca="true">IF($D18="","",IFERROR(COUNTIF(INDIRECT("'"&amp;$D18&amp;"'!$D$7:$D$500"),"UI"),0))</f>
        <v/>
      </c>
      <c r="T18" s="88" t="str">
        <f aca="true">IF($D18="","",IFERROR(COUNTIF(INDIRECT("'"&amp;$D18&amp;"'!$D$7:$D$500"),"Integration"),0))</f>
        <v/>
      </c>
      <c r="U18" s="88" t="str">
        <f aca="true">IF($D18="","",IFERROR(COUNTIF(INDIRECT("'"&amp;$D18&amp;"'!$D$7:$D$500"),"Database Test Case"),0))</f>
        <v/>
      </c>
      <c r="V18" s="88" t="str">
        <f aca="true">IF($D18="","",IFERROR(COUNTIF(INDIRECT("'"&amp;$D18&amp;"'!$J$7:$J$500"),"AI"),0))</f>
        <v/>
      </c>
      <c r="W18" s="88" t="str">
        <f aca="true">IF($D18="","",IFERROR(COUNTIF(INDIRECT("'"&amp;$D18&amp;"'!$J$7:$J$500"),"QC"),0))</f>
        <v/>
      </c>
      <c r="X18" s="88" t="str">
        <f aca="true">IF($D18="","",IFERROR(COUNTIF(INDIRECT("'"&amp;$D18&amp;"'!$L$7:$L$500"),"Yes"),0))</f>
        <v/>
      </c>
      <c r="Y18" s="88" t="str">
        <f aca="true">IF($D18="","",IFERROR(COUNTIF(INDIRECT("'"&amp;$D18&amp;"'!$AR$7:$AR$500"),"Yes"),0))</f>
        <v/>
      </c>
      <c r="Z18" s="88" t="str">
        <f aca="true">IF($D18="","",IFERROR(COUNTIF(INDIRECT("'"&amp;$D18&amp;"'!$AS$7:$AS$500"),"Pass"),0))</f>
        <v/>
      </c>
      <c r="AA18" s="88" t="str">
        <f aca="true">IF($D18="","",IFERROR(COUNTIF(INDIRECT("'"&amp;$D18&amp;"'!$K$7:$K$500"),"Reviewed"),0))</f>
        <v/>
      </c>
      <c r="AB18" s="92" t="str">
        <f aca="true">IF($D18="","",IFERROR(COUNTIFS(INDIRECT("'"&amp;$D18&amp;"'!$E$7:$E$500"),"High",INDIRECT("'"&amp;$D18&amp;"'!$AT$7:$AT$500"),"?*"),0))</f>
        <v/>
      </c>
      <c r="AC18" s="92" t="str">
        <f aca="true">IF($D18="","",IFERROR(COUNTIFS(INDIRECT("'"&amp;$D18&amp;"'!$E$7:$E$500"),"Medium",INDIRECT("'"&amp;$D18&amp;"'!$AT$7:$AT$500"),"?*"),0))</f>
        <v/>
      </c>
      <c r="AD18" s="92" t="str">
        <f aca="true">IF($D18="","",IFERROR(COUNTIFS(INDIRECT("'"&amp;$D18&amp;"'!$E$7:$E$500"),"Low",INDIRECT("'"&amp;$D18&amp;"'!$AT$7:$AT$500"),"?*"),0))</f>
        <v/>
      </c>
      <c r="AE18" s="93" t="str">
        <f aca="true">IF($D18="","",IFERROR(COUNTIF(INDIRECT("'"&amp;$D18&amp;"'!$P$7:$P$500"),"?*"),0))</f>
        <v/>
      </c>
      <c r="AF18" s="93" t="str">
        <f aca="true">IF($D18="","",IFERROR(COUNTIF(INDIRECT("'"&amp;$D18&amp;"'!$P$7:$P$500"),"Pass"),0))</f>
        <v/>
      </c>
      <c r="AG18" s="93" t="str">
        <f aca="true">IF($D18="","",IFERROR(COUNTIF(INDIRECT("'"&amp;$D18&amp;"'!$P$7:$P$500"),"Fail"),0))</f>
        <v/>
      </c>
      <c r="AH18" s="93" t="str">
        <f aca="true">IF($D18="","",IFERROR(COUNTIF(INDIRECT("'"&amp;$D18&amp;"'!$P$7:$P$500"),"Block"),0))</f>
        <v/>
      </c>
      <c r="AI18" s="93" t="str">
        <f aca="true">IF($D18="","",IFERROR(COUNTIF(INDIRECT("'"&amp;$D18&amp;"'!$P$7:$P$500"),"N/A"),0))</f>
        <v/>
      </c>
      <c r="AJ18" s="93" t="str">
        <f aca="true">IF($D18="","",IFERROR(COUNTIF(INDIRECT("'"&amp;$D18&amp;"'!$V$7:$V$500"),"?*"),0))</f>
        <v/>
      </c>
      <c r="AK18" s="93" t="str">
        <f aca="true">IF($D18="","",IFERROR(COUNTIF(INDIRECT("'"&amp;$D18&amp;"'!$V$7:$V$500"),"Pass"),0))</f>
        <v/>
      </c>
      <c r="AL18" s="93" t="str">
        <f aca="true">IF($D18="","",IFERROR(COUNTIF(INDIRECT("'"&amp;$D18&amp;"'!$V$7:$V$500"),"Fail"),0))</f>
        <v/>
      </c>
      <c r="AM18" s="93" t="str">
        <f aca="true">IF($D18="","",IFERROR(COUNTIF(INDIRECT("'"&amp;$D18&amp;"'!$V$7:$V$500"),"Block"),0))</f>
        <v/>
      </c>
      <c r="AN18" s="93" t="str">
        <f aca="true">IF($D18="","",IFERROR(COUNTIF(INDIRECT("'"&amp;$D18&amp;"'!$V$7:$V$500"),"N/A"),0))</f>
        <v/>
      </c>
      <c r="AO18" s="93" t="str">
        <f aca="true">IF($D18="","",IFERROR(COUNTIF(INDIRECT("'"&amp;$D18&amp;"'!$AB$7:$AB$500"),"?*"),0))</f>
        <v/>
      </c>
      <c r="AP18" s="93" t="str">
        <f aca="true">IF($D18="","",IFERROR(COUNTIF(INDIRECT("'"&amp;$D18&amp;"'!$AB$7:$AB$500"),"Pass"),0))</f>
        <v/>
      </c>
      <c r="AQ18" s="93" t="str">
        <f aca="true">IF($D18="","",IFERROR(COUNTIF(INDIRECT("'"&amp;$D18&amp;"'!$AB$7:$AB$500"),"Fail"),0))</f>
        <v/>
      </c>
      <c r="AR18" s="93" t="str">
        <f aca="true">IF($D18="","",IFERROR(COUNTIF(INDIRECT("'"&amp;$D18&amp;"'!$AB$7:$AB$500"),"Block"),0))</f>
        <v/>
      </c>
      <c r="AS18" s="93" t="str">
        <f aca="true">IF($D18="","",IFERROR(COUNTIF(INDIRECT("'"&amp;$D18&amp;"'!$AB$7:$AB$500"),"N/A"),0))</f>
        <v/>
      </c>
      <c r="AT18" s="93" t="str">
        <f aca="true">IF($D18="","",IFERROR(COUNTIF(INDIRECT("'"&amp;$D18&amp;"'!$AH$7:$AH$500"),"?*"),0))</f>
        <v/>
      </c>
      <c r="AU18" s="93" t="str">
        <f aca="true">IF($D18="","",IFERROR(COUNTIF(INDIRECT("'"&amp;$D18&amp;"'!$AH$7:$AH$500"),"Pass"),0))</f>
        <v/>
      </c>
      <c r="AV18" s="93" t="str">
        <f aca="true">IF($D18="","",IFERROR(COUNTIF(INDIRECT("'"&amp;$D18&amp;"'!$AH$7:$AH$500"),"Fail"),0))</f>
        <v/>
      </c>
      <c r="AW18" s="93" t="str">
        <f aca="true">IF($D18="","",IFERROR(COUNTIF(INDIRECT("'"&amp;$D18&amp;"'!$AH$7:$AH$500"),"Block"),0))</f>
        <v/>
      </c>
      <c r="AX18" s="93" t="str">
        <f aca="true">IF($D18="","",IFERROR(COUNTIF(INDIRECT("'"&amp;$D18&amp;"'!$AH$7:$AH$500"),"N/A"),0))</f>
        <v/>
      </c>
      <c r="AY18" s="93" t="str">
        <f aca="true">IF($D18="","",IFERROR(COUNTIF(INDIRECT("'"&amp;$D18&amp;"'!$AN$7:$AN$500"),"?*"),0))</f>
        <v/>
      </c>
      <c r="AZ18" s="93" t="str">
        <f aca="true">IF($D18="","",IFERROR(COUNTIF(INDIRECT("'"&amp;$D18&amp;"'!$AN$7:$AN$500"),"Pass"),0))</f>
        <v/>
      </c>
      <c r="BA18" s="93" t="str">
        <f aca="true">IF($D18="","",IFERROR(COUNTIF(INDIRECT("'"&amp;$D18&amp;"'!$AN$7:$AN$500"),"Fail"),0))</f>
        <v/>
      </c>
      <c r="BB18" s="93" t="str">
        <f aca="true">IF($D18="","",IFERROR(COUNTIF(INDIRECT("'"&amp;$D18&amp;"'!$AN$7:$AN$500"),"Block"),0))</f>
        <v/>
      </c>
      <c r="BC18" s="1" t="str">
        <f aca="true">IF($D18="","",IFERROR(COUNTIF(INDIRECT("'"&amp;$D18&amp;"'!$AN$7:$AN$500"),"N/A"),0))</f>
        <v/>
      </c>
    </row>
    <row r="19" customFormat="false" ht="15" hidden="false" customHeight="false" outlineLevel="0" collapsed="false">
      <c r="A19" s="1"/>
      <c r="B19" s="88" t="str">
        <f aca="false">IF($D19="","",ROW()-3)</f>
        <v/>
      </c>
      <c r="C19" s="89"/>
      <c r="D19" s="89"/>
      <c r="E19" s="90"/>
      <c r="F19" s="88" t="str">
        <f aca="true">IF($D19="","",IFERROR(COUNTIF(INDIRECT("'"&amp;$D19&amp;"'!$A$7:$A$500"),"?*"),0))</f>
        <v/>
      </c>
      <c r="G19" s="88" t="str">
        <f aca="true">IF($D19="","",IFERROR(COUNTIF(INDIRECT("'"&amp;$D19&amp;"'!$AT$7:$AT$500"),"Pass"),0))</f>
        <v/>
      </c>
      <c r="H19" s="88" t="str">
        <f aca="true">IF($D19="","",IFERROR(COUNTIF(INDIRECT("'"&amp;$D19&amp;"'!$AT$7:$AT$500"),"Fail"),0))</f>
        <v/>
      </c>
      <c r="I19" s="88" t="str">
        <f aca="true">IF($D19="","",IFERROR(COUNTIF(INDIRECT("'"&amp;$D19&amp;"'!$AT$7:$AT$500"),"Block"),0))</f>
        <v/>
      </c>
      <c r="J19" s="88" t="str">
        <f aca="true">IF($D19="","",IFERROR(COUNTIF(INDIRECT("'"&amp;$D19&amp;"'!$AT$7:$AT$500"),"N/A"),0))</f>
        <v/>
      </c>
      <c r="K19" s="88" t="str">
        <f aca="false">IF($D19="","",MAX(0,$F19-$G19-$H19-$I19-$J19))</f>
        <v/>
      </c>
      <c r="L19" s="88" t="str">
        <f aca="false">IF($D19="","",$G19+$H19+$I19+$J19)</f>
        <v/>
      </c>
      <c r="M19" s="91" t="str">
        <f aca="false">IF($D19="","",IFERROR($L19/$F19,0))</f>
        <v/>
      </c>
      <c r="N19" s="91" t="str">
        <f aca="false">IF($D19="","",IFERROR($G19/$L19,0))</f>
        <v/>
      </c>
      <c r="O19" s="88" t="str">
        <f aca="true">IF($D19="","",IFERROR(COUNTIF(INDIRECT("'"&amp;$D19&amp;"'!$E$7:$E$500"),"High"),0))</f>
        <v/>
      </c>
      <c r="P19" s="88" t="str">
        <f aca="true">IF($D19="","",IFERROR(COUNTIF(INDIRECT("'"&amp;$D19&amp;"'!$E$7:$E$500"),"Medium"),0))</f>
        <v/>
      </c>
      <c r="Q19" s="88" t="str">
        <f aca="true">IF($D19="","",IFERROR(COUNTIF(INDIRECT("'"&amp;$D19&amp;"'!$E$7:$E$500"),"Low"),0))</f>
        <v/>
      </c>
      <c r="R19" s="88" t="str">
        <f aca="true">IF($D19="","",IFERROR(COUNTIF(INDIRECT("'"&amp;$D19&amp;"'!$D$7:$D$500"),"Functional"),0))</f>
        <v/>
      </c>
      <c r="S19" s="88" t="str">
        <f aca="true">IF($D19="","",IFERROR(COUNTIF(INDIRECT("'"&amp;$D19&amp;"'!$D$7:$D$500"),"UI"),0))</f>
        <v/>
      </c>
      <c r="T19" s="88" t="str">
        <f aca="true">IF($D19="","",IFERROR(COUNTIF(INDIRECT("'"&amp;$D19&amp;"'!$D$7:$D$500"),"Integration"),0))</f>
        <v/>
      </c>
      <c r="U19" s="88" t="str">
        <f aca="true">IF($D19="","",IFERROR(COUNTIF(INDIRECT("'"&amp;$D19&amp;"'!$D$7:$D$500"),"Database Test Case"),0))</f>
        <v/>
      </c>
      <c r="V19" s="88" t="str">
        <f aca="true">IF($D19="","",IFERROR(COUNTIF(INDIRECT("'"&amp;$D19&amp;"'!$J$7:$J$500"),"AI"),0))</f>
        <v/>
      </c>
      <c r="W19" s="88" t="str">
        <f aca="true">IF($D19="","",IFERROR(COUNTIF(INDIRECT("'"&amp;$D19&amp;"'!$J$7:$J$500"),"QC"),0))</f>
        <v/>
      </c>
      <c r="X19" s="88" t="str">
        <f aca="true">IF($D19="","",IFERROR(COUNTIF(INDIRECT("'"&amp;$D19&amp;"'!$L$7:$L$500"),"Yes"),0))</f>
        <v/>
      </c>
      <c r="Y19" s="88" t="str">
        <f aca="true">IF($D19="","",IFERROR(COUNTIF(INDIRECT("'"&amp;$D19&amp;"'!$AR$7:$AR$500"),"Yes"),0))</f>
        <v/>
      </c>
      <c r="Z19" s="88" t="str">
        <f aca="true">IF($D19="","",IFERROR(COUNTIF(INDIRECT("'"&amp;$D19&amp;"'!$AS$7:$AS$500"),"Pass"),0))</f>
        <v/>
      </c>
      <c r="AA19" s="88" t="str">
        <f aca="true">IF($D19="","",IFERROR(COUNTIF(INDIRECT("'"&amp;$D19&amp;"'!$K$7:$K$500"),"Reviewed"),0))</f>
        <v/>
      </c>
      <c r="AB19" s="92" t="str">
        <f aca="true">IF($D19="","",IFERROR(COUNTIFS(INDIRECT("'"&amp;$D19&amp;"'!$E$7:$E$500"),"High",INDIRECT("'"&amp;$D19&amp;"'!$AT$7:$AT$500"),"?*"),0))</f>
        <v/>
      </c>
      <c r="AC19" s="92" t="str">
        <f aca="true">IF($D19="","",IFERROR(COUNTIFS(INDIRECT("'"&amp;$D19&amp;"'!$E$7:$E$500"),"Medium",INDIRECT("'"&amp;$D19&amp;"'!$AT$7:$AT$500"),"?*"),0))</f>
        <v/>
      </c>
      <c r="AD19" s="92" t="str">
        <f aca="true">IF($D19="","",IFERROR(COUNTIFS(INDIRECT("'"&amp;$D19&amp;"'!$E$7:$E$500"),"Low",INDIRECT("'"&amp;$D19&amp;"'!$AT$7:$AT$500"),"?*"),0))</f>
        <v/>
      </c>
      <c r="AE19" s="93" t="str">
        <f aca="true">IF($D19="","",IFERROR(COUNTIF(INDIRECT("'"&amp;$D19&amp;"'!$P$7:$P$500"),"?*"),0))</f>
        <v/>
      </c>
      <c r="AF19" s="93" t="str">
        <f aca="true">IF($D19="","",IFERROR(COUNTIF(INDIRECT("'"&amp;$D19&amp;"'!$P$7:$P$500"),"Pass"),0))</f>
        <v/>
      </c>
      <c r="AG19" s="93" t="str">
        <f aca="true">IF($D19="","",IFERROR(COUNTIF(INDIRECT("'"&amp;$D19&amp;"'!$P$7:$P$500"),"Fail"),0))</f>
        <v/>
      </c>
      <c r="AH19" s="93" t="str">
        <f aca="true">IF($D19="","",IFERROR(COUNTIF(INDIRECT("'"&amp;$D19&amp;"'!$P$7:$P$500"),"Block"),0))</f>
        <v/>
      </c>
      <c r="AI19" s="93" t="str">
        <f aca="true">IF($D19="","",IFERROR(COUNTIF(INDIRECT("'"&amp;$D19&amp;"'!$P$7:$P$500"),"N/A"),0))</f>
        <v/>
      </c>
      <c r="AJ19" s="93" t="str">
        <f aca="true">IF($D19="","",IFERROR(COUNTIF(INDIRECT("'"&amp;$D19&amp;"'!$V$7:$V$500"),"?*"),0))</f>
        <v/>
      </c>
      <c r="AK19" s="93" t="str">
        <f aca="true">IF($D19="","",IFERROR(COUNTIF(INDIRECT("'"&amp;$D19&amp;"'!$V$7:$V$500"),"Pass"),0))</f>
        <v/>
      </c>
      <c r="AL19" s="93" t="str">
        <f aca="true">IF($D19="","",IFERROR(COUNTIF(INDIRECT("'"&amp;$D19&amp;"'!$V$7:$V$500"),"Fail"),0))</f>
        <v/>
      </c>
      <c r="AM19" s="93" t="str">
        <f aca="true">IF($D19="","",IFERROR(COUNTIF(INDIRECT("'"&amp;$D19&amp;"'!$V$7:$V$500"),"Block"),0))</f>
        <v/>
      </c>
      <c r="AN19" s="93" t="str">
        <f aca="true">IF($D19="","",IFERROR(COUNTIF(INDIRECT("'"&amp;$D19&amp;"'!$V$7:$V$500"),"N/A"),0))</f>
        <v/>
      </c>
      <c r="AO19" s="93" t="str">
        <f aca="true">IF($D19="","",IFERROR(COUNTIF(INDIRECT("'"&amp;$D19&amp;"'!$AB$7:$AB$500"),"?*"),0))</f>
        <v/>
      </c>
      <c r="AP19" s="93" t="str">
        <f aca="true">IF($D19="","",IFERROR(COUNTIF(INDIRECT("'"&amp;$D19&amp;"'!$AB$7:$AB$500"),"Pass"),0))</f>
        <v/>
      </c>
      <c r="AQ19" s="93" t="str">
        <f aca="true">IF($D19="","",IFERROR(COUNTIF(INDIRECT("'"&amp;$D19&amp;"'!$AB$7:$AB$500"),"Fail"),0))</f>
        <v/>
      </c>
      <c r="AR19" s="93" t="str">
        <f aca="true">IF($D19="","",IFERROR(COUNTIF(INDIRECT("'"&amp;$D19&amp;"'!$AB$7:$AB$500"),"Block"),0))</f>
        <v/>
      </c>
      <c r="AS19" s="93" t="str">
        <f aca="true">IF($D19="","",IFERROR(COUNTIF(INDIRECT("'"&amp;$D19&amp;"'!$AB$7:$AB$500"),"N/A"),0))</f>
        <v/>
      </c>
      <c r="AT19" s="93" t="str">
        <f aca="true">IF($D19="","",IFERROR(COUNTIF(INDIRECT("'"&amp;$D19&amp;"'!$AH$7:$AH$500"),"?*"),0))</f>
        <v/>
      </c>
      <c r="AU19" s="93" t="str">
        <f aca="true">IF($D19="","",IFERROR(COUNTIF(INDIRECT("'"&amp;$D19&amp;"'!$AH$7:$AH$500"),"Pass"),0))</f>
        <v/>
      </c>
      <c r="AV19" s="93" t="str">
        <f aca="true">IF($D19="","",IFERROR(COUNTIF(INDIRECT("'"&amp;$D19&amp;"'!$AH$7:$AH$500"),"Fail"),0))</f>
        <v/>
      </c>
      <c r="AW19" s="93" t="str">
        <f aca="true">IF($D19="","",IFERROR(COUNTIF(INDIRECT("'"&amp;$D19&amp;"'!$AH$7:$AH$500"),"Block"),0))</f>
        <v/>
      </c>
      <c r="AX19" s="93" t="str">
        <f aca="true">IF($D19="","",IFERROR(COUNTIF(INDIRECT("'"&amp;$D19&amp;"'!$AH$7:$AH$500"),"N/A"),0))</f>
        <v/>
      </c>
      <c r="AY19" s="93" t="str">
        <f aca="true">IF($D19="","",IFERROR(COUNTIF(INDIRECT("'"&amp;$D19&amp;"'!$AN$7:$AN$500"),"?*"),0))</f>
        <v/>
      </c>
      <c r="AZ19" s="93" t="str">
        <f aca="true">IF($D19="","",IFERROR(COUNTIF(INDIRECT("'"&amp;$D19&amp;"'!$AN$7:$AN$500"),"Pass"),0))</f>
        <v/>
      </c>
      <c r="BA19" s="93" t="str">
        <f aca="true">IF($D19="","",IFERROR(COUNTIF(INDIRECT("'"&amp;$D19&amp;"'!$AN$7:$AN$500"),"Fail"),0))</f>
        <v/>
      </c>
      <c r="BB19" s="93" t="str">
        <f aca="true">IF($D19="","",IFERROR(COUNTIF(INDIRECT("'"&amp;$D19&amp;"'!$AN$7:$AN$500"),"Block"),0))</f>
        <v/>
      </c>
      <c r="BC19" s="1" t="str">
        <f aca="true">IF($D19="","",IFERROR(COUNTIF(INDIRECT("'"&amp;$D19&amp;"'!$AN$7:$AN$500"),"N/A"),0))</f>
        <v/>
      </c>
    </row>
    <row r="20" customFormat="false" ht="15" hidden="false" customHeight="false" outlineLevel="0" collapsed="false">
      <c r="A20" s="1"/>
      <c r="B20" s="88" t="str">
        <f aca="false">IF($D20="","",ROW()-3)</f>
        <v/>
      </c>
      <c r="C20" s="89"/>
      <c r="D20" s="89"/>
      <c r="E20" s="90"/>
      <c r="F20" s="88" t="str">
        <f aca="true">IF($D20="","",IFERROR(COUNTIF(INDIRECT("'"&amp;$D20&amp;"'!$A$7:$A$500"),"?*"),0))</f>
        <v/>
      </c>
      <c r="G20" s="88" t="str">
        <f aca="true">IF($D20="","",IFERROR(COUNTIF(INDIRECT("'"&amp;$D20&amp;"'!$AT$7:$AT$500"),"Pass"),0))</f>
        <v/>
      </c>
      <c r="H20" s="88" t="str">
        <f aca="true">IF($D20="","",IFERROR(COUNTIF(INDIRECT("'"&amp;$D20&amp;"'!$AT$7:$AT$500"),"Fail"),0))</f>
        <v/>
      </c>
      <c r="I20" s="88" t="str">
        <f aca="true">IF($D20="","",IFERROR(COUNTIF(INDIRECT("'"&amp;$D20&amp;"'!$AT$7:$AT$500"),"Block"),0))</f>
        <v/>
      </c>
      <c r="J20" s="88" t="str">
        <f aca="true">IF($D20="","",IFERROR(COUNTIF(INDIRECT("'"&amp;$D20&amp;"'!$AT$7:$AT$500"),"N/A"),0))</f>
        <v/>
      </c>
      <c r="K20" s="88" t="str">
        <f aca="false">IF($D20="","",MAX(0,$F20-$G20-$H20-$I20-$J20))</f>
        <v/>
      </c>
      <c r="L20" s="88" t="str">
        <f aca="false">IF($D20="","",$G20+$H20+$I20+$J20)</f>
        <v/>
      </c>
      <c r="M20" s="91" t="str">
        <f aca="false">IF($D20="","",IFERROR($L20/$F20,0))</f>
        <v/>
      </c>
      <c r="N20" s="91" t="str">
        <f aca="false">IF($D20="","",IFERROR($G20/$L20,0))</f>
        <v/>
      </c>
      <c r="O20" s="88" t="str">
        <f aca="true">IF($D20="","",IFERROR(COUNTIF(INDIRECT("'"&amp;$D20&amp;"'!$E$7:$E$500"),"High"),0))</f>
        <v/>
      </c>
      <c r="P20" s="88" t="str">
        <f aca="true">IF($D20="","",IFERROR(COUNTIF(INDIRECT("'"&amp;$D20&amp;"'!$E$7:$E$500"),"Medium"),0))</f>
        <v/>
      </c>
      <c r="Q20" s="88" t="str">
        <f aca="true">IF($D20="","",IFERROR(COUNTIF(INDIRECT("'"&amp;$D20&amp;"'!$E$7:$E$500"),"Low"),0))</f>
        <v/>
      </c>
      <c r="R20" s="88" t="str">
        <f aca="true">IF($D20="","",IFERROR(COUNTIF(INDIRECT("'"&amp;$D20&amp;"'!$D$7:$D$500"),"Functional"),0))</f>
        <v/>
      </c>
      <c r="S20" s="88" t="str">
        <f aca="true">IF($D20="","",IFERROR(COUNTIF(INDIRECT("'"&amp;$D20&amp;"'!$D$7:$D$500"),"UI"),0))</f>
        <v/>
      </c>
      <c r="T20" s="88" t="str">
        <f aca="true">IF($D20="","",IFERROR(COUNTIF(INDIRECT("'"&amp;$D20&amp;"'!$D$7:$D$500"),"Integration"),0))</f>
        <v/>
      </c>
      <c r="U20" s="88" t="str">
        <f aca="true">IF($D20="","",IFERROR(COUNTIF(INDIRECT("'"&amp;$D20&amp;"'!$D$7:$D$500"),"Database Test Case"),0))</f>
        <v/>
      </c>
      <c r="V20" s="88" t="str">
        <f aca="true">IF($D20="","",IFERROR(COUNTIF(INDIRECT("'"&amp;$D20&amp;"'!$J$7:$J$500"),"AI"),0))</f>
        <v/>
      </c>
      <c r="W20" s="88" t="str">
        <f aca="true">IF($D20="","",IFERROR(COUNTIF(INDIRECT("'"&amp;$D20&amp;"'!$J$7:$J$500"),"QC"),0))</f>
        <v/>
      </c>
      <c r="X20" s="88" t="str">
        <f aca="true">IF($D20="","",IFERROR(COUNTIF(INDIRECT("'"&amp;$D20&amp;"'!$L$7:$L$500"),"Yes"),0))</f>
        <v/>
      </c>
      <c r="Y20" s="88" t="str">
        <f aca="true">IF($D20="","",IFERROR(COUNTIF(INDIRECT("'"&amp;$D20&amp;"'!$AR$7:$AR$500"),"Yes"),0))</f>
        <v/>
      </c>
      <c r="Z20" s="88" t="str">
        <f aca="true">IF($D20="","",IFERROR(COUNTIF(INDIRECT("'"&amp;$D20&amp;"'!$AS$7:$AS$500"),"Pass"),0))</f>
        <v/>
      </c>
      <c r="AA20" s="88" t="str">
        <f aca="true">IF($D20="","",IFERROR(COUNTIF(INDIRECT("'"&amp;$D20&amp;"'!$K$7:$K$500"),"Reviewed"),0))</f>
        <v/>
      </c>
      <c r="AB20" s="92" t="str">
        <f aca="true">IF($D20="","",IFERROR(COUNTIFS(INDIRECT("'"&amp;$D20&amp;"'!$E$7:$E$500"),"High",INDIRECT("'"&amp;$D20&amp;"'!$AT$7:$AT$500"),"?*"),0))</f>
        <v/>
      </c>
      <c r="AC20" s="92" t="str">
        <f aca="true">IF($D20="","",IFERROR(COUNTIFS(INDIRECT("'"&amp;$D20&amp;"'!$E$7:$E$500"),"Medium",INDIRECT("'"&amp;$D20&amp;"'!$AT$7:$AT$500"),"?*"),0))</f>
        <v/>
      </c>
      <c r="AD20" s="92" t="str">
        <f aca="true">IF($D20="","",IFERROR(COUNTIFS(INDIRECT("'"&amp;$D20&amp;"'!$E$7:$E$500"),"Low",INDIRECT("'"&amp;$D20&amp;"'!$AT$7:$AT$500"),"?*"),0))</f>
        <v/>
      </c>
      <c r="AE20" s="93" t="str">
        <f aca="true">IF($D20="","",IFERROR(COUNTIF(INDIRECT("'"&amp;$D20&amp;"'!$P$7:$P$500"),"?*"),0))</f>
        <v/>
      </c>
      <c r="AF20" s="93" t="str">
        <f aca="true">IF($D20="","",IFERROR(COUNTIF(INDIRECT("'"&amp;$D20&amp;"'!$P$7:$P$500"),"Pass"),0))</f>
        <v/>
      </c>
      <c r="AG20" s="93" t="str">
        <f aca="true">IF($D20="","",IFERROR(COUNTIF(INDIRECT("'"&amp;$D20&amp;"'!$P$7:$P$500"),"Fail"),0))</f>
        <v/>
      </c>
      <c r="AH20" s="93" t="str">
        <f aca="true">IF($D20="","",IFERROR(COUNTIF(INDIRECT("'"&amp;$D20&amp;"'!$P$7:$P$500"),"Block"),0))</f>
        <v/>
      </c>
      <c r="AI20" s="93" t="str">
        <f aca="true">IF($D20="","",IFERROR(COUNTIF(INDIRECT("'"&amp;$D20&amp;"'!$P$7:$P$500"),"N/A"),0))</f>
        <v/>
      </c>
      <c r="AJ20" s="93" t="str">
        <f aca="true">IF($D20="","",IFERROR(COUNTIF(INDIRECT("'"&amp;$D20&amp;"'!$V$7:$V$500"),"?*"),0))</f>
        <v/>
      </c>
      <c r="AK20" s="93" t="str">
        <f aca="true">IF($D20="","",IFERROR(COUNTIF(INDIRECT("'"&amp;$D20&amp;"'!$V$7:$V$500"),"Pass"),0))</f>
        <v/>
      </c>
      <c r="AL20" s="93" t="str">
        <f aca="true">IF($D20="","",IFERROR(COUNTIF(INDIRECT("'"&amp;$D20&amp;"'!$V$7:$V$500"),"Fail"),0))</f>
        <v/>
      </c>
      <c r="AM20" s="93" t="str">
        <f aca="true">IF($D20="","",IFERROR(COUNTIF(INDIRECT("'"&amp;$D20&amp;"'!$V$7:$V$500"),"Block"),0))</f>
        <v/>
      </c>
      <c r="AN20" s="93" t="str">
        <f aca="true">IF($D20="","",IFERROR(COUNTIF(INDIRECT("'"&amp;$D20&amp;"'!$V$7:$V$500"),"N/A"),0))</f>
        <v/>
      </c>
      <c r="AO20" s="93" t="str">
        <f aca="true">IF($D20="","",IFERROR(COUNTIF(INDIRECT("'"&amp;$D20&amp;"'!$AB$7:$AB$500"),"?*"),0))</f>
        <v/>
      </c>
      <c r="AP20" s="93" t="str">
        <f aca="true">IF($D20="","",IFERROR(COUNTIF(INDIRECT("'"&amp;$D20&amp;"'!$AB$7:$AB$500"),"Pass"),0))</f>
        <v/>
      </c>
      <c r="AQ20" s="93" t="str">
        <f aca="true">IF($D20="","",IFERROR(COUNTIF(INDIRECT("'"&amp;$D20&amp;"'!$AB$7:$AB$500"),"Fail"),0))</f>
        <v/>
      </c>
      <c r="AR20" s="93" t="str">
        <f aca="true">IF($D20="","",IFERROR(COUNTIF(INDIRECT("'"&amp;$D20&amp;"'!$AB$7:$AB$500"),"Block"),0))</f>
        <v/>
      </c>
      <c r="AS20" s="93" t="str">
        <f aca="true">IF($D20="","",IFERROR(COUNTIF(INDIRECT("'"&amp;$D20&amp;"'!$AB$7:$AB$500"),"N/A"),0))</f>
        <v/>
      </c>
      <c r="AT20" s="93" t="str">
        <f aca="true">IF($D20="","",IFERROR(COUNTIF(INDIRECT("'"&amp;$D20&amp;"'!$AH$7:$AH$500"),"?*"),0))</f>
        <v/>
      </c>
      <c r="AU20" s="93" t="str">
        <f aca="true">IF($D20="","",IFERROR(COUNTIF(INDIRECT("'"&amp;$D20&amp;"'!$AH$7:$AH$500"),"Pass"),0))</f>
        <v/>
      </c>
      <c r="AV20" s="93" t="str">
        <f aca="true">IF($D20="","",IFERROR(COUNTIF(INDIRECT("'"&amp;$D20&amp;"'!$AH$7:$AH$500"),"Fail"),0))</f>
        <v/>
      </c>
      <c r="AW20" s="93" t="str">
        <f aca="true">IF($D20="","",IFERROR(COUNTIF(INDIRECT("'"&amp;$D20&amp;"'!$AH$7:$AH$500"),"Block"),0))</f>
        <v/>
      </c>
      <c r="AX20" s="93" t="str">
        <f aca="true">IF($D20="","",IFERROR(COUNTIF(INDIRECT("'"&amp;$D20&amp;"'!$AH$7:$AH$500"),"N/A"),0))</f>
        <v/>
      </c>
      <c r="AY20" s="93" t="str">
        <f aca="true">IF($D20="","",IFERROR(COUNTIF(INDIRECT("'"&amp;$D20&amp;"'!$AN$7:$AN$500"),"?*"),0))</f>
        <v/>
      </c>
      <c r="AZ20" s="93" t="str">
        <f aca="true">IF($D20="","",IFERROR(COUNTIF(INDIRECT("'"&amp;$D20&amp;"'!$AN$7:$AN$500"),"Pass"),0))</f>
        <v/>
      </c>
      <c r="BA20" s="93" t="str">
        <f aca="true">IF($D20="","",IFERROR(COUNTIF(INDIRECT("'"&amp;$D20&amp;"'!$AN$7:$AN$500"),"Fail"),0))</f>
        <v/>
      </c>
      <c r="BB20" s="93" t="str">
        <f aca="true">IF($D20="","",IFERROR(COUNTIF(INDIRECT("'"&amp;$D20&amp;"'!$AN$7:$AN$500"),"Block"),0))</f>
        <v/>
      </c>
      <c r="BC20" s="1" t="str">
        <f aca="true">IF($D20="","",IFERROR(COUNTIF(INDIRECT("'"&amp;$D20&amp;"'!$AN$7:$AN$500"),"N/A"),0))</f>
        <v/>
      </c>
    </row>
    <row r="21" customFormat="false" ht="15.75" hidden="false" customHeight="true" outlineLevel="0" collapsed="false">
      <c r="A21" s="1"/>
      <c r="B21" s="88" t="str">
        <f aca="false">IF($D21="","",ROW()-3)</f>
        <v/>
      </c>
      <c r="C21" s="89"/>
      <c r="D21" s="89"/>
      <c r="E21" s="90"/>
      <c r="F21" s="88" t="str">
        <f aca="true">IF($D21="","",IFERROR(COUNTIF(INDIRECT("'"&amp;$D21&amp;"'!$A$7:$A$500"),"?*"),0))</f>
        <v/>
      </c>
      <c r="G21" s="88" t="str">
        <f aca="true">IF($D21="","",IFERROR(COUNTIF(INDIRECT("'"&amp;$D21&amp;"'!$AT$7:$AT$500"),"Pass"),0))</f>
        <v/>
      </c>
      <c r="H21" s="88" t="str">
        <f aca="true">IF($D21="","",IFERROR(COUNTIF(INDIRECT("'"&amp;$D21&amp;"'!$AT$7:$AT$500"),"Fail"),0))</f>
        <v/>
      </c>
      <c r="I21" s="88" t="str">
        <f aca="true">IF($D21="","",IFERROR(COUNTIF(INDIRECT("'"&amp;$D21&amp;"'!$AT$7:$AT$500"),"Block"),0))</f>
        <v/>
      </c>
      <c r="J21" s="88" t="str">
        <f aca="true">IF($D21="","",IFERROR(COUNTIF(INDIRECT("'"&amp;$D21&amp;"'!$AT$7:$AT$500"),"N/A"),0))</f>
        <v/>
      </c>
      <c r="K21" s="88" t="str">
        <f aca="false">IF($D21="","",MAX(0,$F21-$G21-$H21-$I21-$J21))</f>
        <v/>
      </c>
      <c r="L21" s="88" t="str">
        <f aca="false">IF($D21="","",$G21+$H21+$I21+$J21)</f>
        <v/>
      </c>
      <c r="M21" s="91" t="str">
        <f aca="false">IF($D21="","",IFERROR($L21/$F21,0))</f>
        <v/>
      </c>
      <c r="N21" s="91" t="str">
        <f aca="false">IF($D21="","",IFERROR($G21/$L21,0))</f>
        <v/>
      </c>
      <c r="O21" s="88" t="str">
        <f aca="true">IF($D21="","",IFERROR(COUNTIF(INDIRECT("'"&amp;$D21&amp;"'!$E$7:$E$500"),"High"),0))</f>
        <v/>
      </c>
      <c r="P21" s="88" t="str">
        <f aca="true">IF($D21="","",IFERROR(COUNTIF(INDIRECT("'"&amp;$D21&amp;"'!$E$7:$E$500"),"Medium"),0))</f>
        <v/>
      </c>
      <c r="Q21" s="88" t="str">
        <f aca="true">IF($D21="","",IFERROR(COUNTIF(INDIRECT("'"&amp;$D21&amp;"'!$E$7:$E$500"),"Low"),0))</f>
        <v/>
      </c>
      <c r="R21" s="88" t="str">
        <f aca="true">IF($D21="","",IFERROR(COUNTIF(INDIRECT("'"&amp;$D21&amp;"'!$D$7:$D$500"),"Functional"),0))</f>
        <v/>
      </c>
      <c r="S21" s="88" t="str">
        <f aca="true">IF($D21="","",IFERROR(COUNTIF(INDIRECT("'"&amp;$D21&amp;"'!$D$7:$D$500"),"UI"),0))</f>
        <v/>
      </c>
      <c r="T21" s="88" t="str">
        <f aca="true">IF($D21="","",IFERROR(COUNTIF(INDIRECT("'"&amp;$D21&amp;"'!$D$7:$D$500"),"Integration"),0))</f>
        <v/>
      </c>
      <c r="U21" s="88" t="str">
        <f aca="true">IF($D21="","",IFERROR(COUNTIF(INDIRECT("'"&amp;$D21&amp;"'!$D$7:$D$500"),"Database Test Case"),0))</f>
        <v/>
      </c>
      <c r="V21" s="88" t="str">
        <f aca="true">IF($D21="","",IFERROR(COUNTIF(INDIRECT("'"&amp;$D21&amp;"'!$J$7:$J$500"),"AI"),0))</f>
        <v/>
      </c>
      <c r="W21" s="88" t="str">
        <f aca="true">IF($D21="","",IFERROR(COUNTIF(INDIRECT("'"&amp;$D21&amp;"'!$J$7:$J$500"),"QC"),0))</f>
        <v/>
      </c>
      <c r="X21" s="88" t="str">
        <f aca="true">IF($D21="","",IFERROR(COUNTIF(INDIRECT("'"&amp;$D21&amp;"'!$L$7:$L$500"),"Yes"),0))</f>
        <v/>
      </c>
      <c r="Y21" s="88" t="str">
        <f aca="true">IF($D21="","",IFERROR(COUNTIF(INDIRECT("'"&amp;$D21&amp;"'!$AR$7:$AR$500"),"Yes"),0))</f>
        <v/>
      </c>
      <c r="Z21" s="88" t="str">
        <f aca="true">IF($D21="","",IFERROR(COUNTIF(INDIRECT("'"&amp;$D21&amp;"'!$AS$7:$AS$500"),"Pass"),0))</f>
        <v/>
      </c>
      <c r="AA21" s="88" t="str">
        <f aca="true">IF($D21="","",IFERROR(COUNTIF(INDIRECT("'"&amp;$D21&amp;"'!$K$7:$K$500"),"Reviewed"),0))</f>
        <v/>
      </c>
      <c r="AB21" s="92" t="str">
        <f aca="true">IF($D21="","",IFERROR(COUNTIFS(INDIRECT("'"&amp;$D21&amp;"'!$E$7:$E$500"),"High",INDIRECT("'"&amp;$D21&amp;"'!$AT$7:$AT$500"),"?*"),0))</f>
        <v/>
      </c>
      <c r="AC21" s="92" t="str">
        <f aca="true">IF($D21="","",IFERROR(COUNTIFS(INDIRECT("'"&amp;$D21&amp;"'!$E$7:$E$500"),"Medium",INDIRECT("'"&amp;$D21&amp;"'!$AT$7:$AT$500"),"?*"),0))</f>
        <v/>
      </c>
      <c r="AD21" s="92" t="str">
        <f aca="true">IF($D21="","",IFERROR(COUNTIFS(INDIRECT("'"&amp;$D21&amp;"'!$E$7:$E$500"),"Low",INDIRECT("'"&amp;$D21&amp;"'!$AT$7:$AT$500"),"?*"),0))</f>
        <v/>
      </c>
      <c r="AE21" s="93" t="str">
        <f aca="true">IF($D21="","",IFERROR(COUNTIF(INDIRECT("'"&amp;$D21&amp;"'!$P$7:$P$500"),"?*"),0))</f>
        <v/>
      </c>
      <c r="AF21" s="93" t="str">
        <f aca="true">IF($D21="","",IFERROR(COUNTIF(INDIRECT("'"&amp;$D21&amp;"'!$P$7:$P$500"),"Pass"),0))</f>
        <v/>
      </c>
      <c r="AG21" s="93" t="str">
        <f aca="true">IF($D21="","",IFERROR(COUNTIF(INDIRECT("'"&amp;$D21&amp;"'!$P$7:$P$500"),"Fail"),0))</f>
        <v/>
      </c>
      <c r="AH21" s="93" t="str">
        <f aca="true">IF($D21="","",IFERROR(COUNTIF(INDIRECT("'"&amp;$D21&amp;"'!$P$7:$P$500"),"Block"),0))</f>
        <v/>
      </c>
      <c r="AI21" s="93" t="str">
        <f aca="true">IF($D21="","",IFERROR(COUNTIF(INDIRECT("'"&amp;$D21&amp;"'!$P$7:$P$500"),"N/A"),0))</f>
        <v/>
      </c>
      <c r="AJ21" s="93" t="str">
        <f aca="true">IF($D21="","",IFERROR(COUNTIF(INDIRECT("'"&amp;$D21&amp;"'!$V$7:$V$500"),"?*"),0))</f>
        <v/>
      </c>
      <c r="AK21" s="93" t="str">
        <f aca="true">IF($D21="","",IFERROR(COUNTIF(INDIRECT("'"&amp;$D21&amp;"'!$V$7:$V$500"),"Pass"),0))</f>
        <v/>
      </c>
      <c r="AL21" s="93" t="str">
        <f aca="true">IF($D21="","",IFERROR(COUNTIF(INDIRECT("'"&amp;$D21&amp;"'!$V$7:$V$500"),"Fail"),0))</f>
        <v/>
      </c>
      <c r="AM21" s="93" t="str">
        <f aca="true">IF($D21="","",IFERROR(COUNTIF(INDIRECT("'"&amp;$D21&amp;"'!$V$7:$V$500"),"Block"),0))</f>
        <v/>
      </c>
      <c r="AN21" s="93" t="str">
        <f aca="true">IF($D21="","",IFERROR(COUNTIF(INDIRECT("'"&amp;$D21&amp;"'!$V$7:$V$500"),"N/A"),0))</f>
        <v/>
      </c>
      <c r="AO21" s="93" t="str">
        <f aca="true">IF($D21="","",IFERROR(COUNTIF(INDIRECT("'"&amp;$D21&amp;"'!$AB$7:$AB$500"),"?*"),0))</f>
        <v/>
      </c>
      <c r="AP21" s="93" t="str">
        <f aca="true">IF($D21="","",IFERROR(COUNTIF(INDIRECT("'"&amp;$D21&amp;"'!$AB$7:$AB$500"),"Pass"),0))</f>
        <v/>
      </c>
      <c r="AQ21" s="93" t="str">
        <f aca="true">IF($D21="","",IFERROR(COUNTIF(INDIRECT("'"&amp;$D21&amp;"'!$AB$7:$AB$500"),"Fail"),0))</f>
        <v/>
      </c>
      <c r="AR21" s="93" t="str">
        <f aca="true">IF($D21="","",IFERROR(COUNTIF(INDIRECT("'"&amp;$D21&amp;"'!$AB$7:$AB$500"),"Block"),0))</f>
        <v/>
      </c>
      <c r="AS21" s="93" t="str">
        <f aca="true">IF($D21="","",IFERROR(COUNTIF(INDIRECT("'"&amp;$D21&amp;"'!$AB$7:$AB$500"),"N/A"),0))</f>
        <v/>
      </c>
      <c r="AT21" s="93" t="str">
        <f aca="true">IF($D21="","",IFERROR(COUNTIF(INDIRECT("'"&amp;$D21&amp;"'!$AH$7:$AH$500"),"?*"),0))</f>
        <v/>
      </c>
      <c r="AU21" s="93" t="str">
        <f aca="true">IF($D21="","",IFERROR(COUNTIF(INDIRECT("'"&amp;$D21&amp;"'!$AH$7:$AH$500"),"Pass"),0))</f>
        <v/>
      </c>
      <c r="AV21" s="93" t="str">
        <f aca="true">IF($D21="","",IFERROR(COUNTIF(INDIRECT("'"&amp;$D21&amp;"'!$AH$7:$AH$500"),"Fail"),0))</f>
        <v/>
      </c>
      <c r="AW21" s="93" t="str">
        <f aca="true">IF($D21="","",IFERROR(COUNTIF(INDIRECT("'"&amp;$D21&amp;"'!$AH$7:$AH$500"),"Block"),0))</f>
        <v/>
      </c>
      <c r="AX21" s="93" t="str">
        <f aca="true">IF($D21="","",IFERROR(COUNTIF(INDIRECT("'"&amp;$D21&amp;"'!$AH$7:$AH$500"),"N/A"),0))</f>
        <v/>
      </c>
      <c r="AY21" s="93" t="str">
        <f aca="true">IF($D21="","",IFERROR(COUNTIF(INDIRECT("'"&amp;$D21&amp;"'!$AN$7:$AN$500"),"?*"),0))</f>
        <v/>
      </c>
      <c r="AZ21" s="93" t="str">
        <f aca="true">IF($D21="","",IFERROR(COUNTIF(INDIRECT("'"&amp;$D21&amp;"'!$AN$7:$AN$500"),"Pass"),0))</f>
        <v/>
      </c>
      <c r="BA21" s="93" t="str">
        <f aca="true">IF($D21="","",IFERROR(COUNTIF(INDIRECT("'"&amp;$D21&amp;"'!$AN$7:$AN$500"),"Fail"),0))</f>
        <v/>
      </c>
      <c r="BB21" s="93" t="str">
        <f aca="true">IF($D21="","",IFERROR(COUNTIF(INDIRECT("'"&amp;$D21&amp;"'!$AN$7:$AN$500"),"Block"),0))</f>
        <v/>
      </c>
      <c r="BC21" s="1" t="str">
        <f aca="true">IF($D21="","",IFERROR(COUNTIF(INDIRECT("'"&amp;$D21&amp;"'!$AN$7:$AN$500"),"N/A"),0))</f>
        <v/>
      </c>
    </row>
    <row r="22" customFormat="false" ht="15.75" hidden="false" customHeight="true" outlineLevel="0" collapsed="false">
      <c r="A22" s="1"/>
      <c r="B22" s="88" t="str">
        <f aca="false">IF($D22="","",ROW()-3)</f>
        <v/>
      </c>
      <c r="C22" s="89"/>
      <c r="D22" s="89"/>
      <c r="E22" s="90"/>
      <c r="F22" s="88" t="str">
        <f aca="true">IF($D22="","",IFERROR(COUNTIF(INDIRECT("'"&amp;$D22&amp;"'!$A$7:$A$500"),"?*"),0))</f>
        <v/>
      </c>
      <c r="G22" s="88" t="str">
        <f aca="true">IF($D22="","",IFERROR(COUNTIF(INDIRECT("'"&amp;$D22&amp;"'!$AT$7:$AT$500"),"Pass"),0))</f>
        <v/>
      </c>
      <c r="H22" s="88" t="str">
        <f aca="true">IF($D22="","",IFERROR(COUNTIF(INDIRECT("'"&amp;$D22&amp;"'!$AT$7:$AT$500"),"Fail"),0))</f>
        <v/>
      </c>
      <c r="I22" s="88" t="str">
        <f aca="true">IF($D22="","",IFERROR(COUNTIF(INDIRECT("'"&amp;$D22&amp;"'!$AT$7:$AT$500"),"Block"),0))</f>
        <v/>
      </c>
      <c r="J22" s="88" t="str">
        <f aca="true">IF($D22="","",IFERROR(COUNTIF(INDIRECT("'"&amp;$D22&amp;"'!$AT$7:$AT$500"),"N/A"),0))</f>
        <v/>
      </c>
      <c r="K22" s="88" t="str">
        <f aca="false">IF($D22="","",MAX(0,$F22-$G22-$H22-$I22-$J22))</f>
        <v/>
      </c>
      <c r="L22" s="88" t="str">
        <f aca="false">IF($D22="","",$G22+$H22+$I22+$J22)</f>
        <v/>
      </c>
      <c r="M22" s="91" t="str">
        <f aca="false">IF($D22="","",IFERROR($L22/$F22,0))</f>
        <v/>
      </c>
      <c r="N22" s="91" t="str">
        <f aca="false">IF($D22="","",IFERROR($G22/$L22,0))</f>
        <v/>
      </c>
      <c r="O22" s="88" t="str">
        <f aca="true">IF($D22="","",IFERROR(COUNTIF(INDIRECT("'"&amp;$D22&amp;"'!$E$7:$E$500"),"High"),0))</f>
        <v/>
      </c>
      <c r="P22" s="88" t="str">
        <f aca="true">IF($D22="","",IFERROR(COUNTIF(INDIRECT("'"&amp;$D22&amp;"'!$E$7:$E$500"),"Medium"),0))</f>
        <v/>
      </c>
      <c r="Q22" s="88" t="str">
        <f aca="true">IF($D22="","",IFERROR(COUNTIF(INDIRECT("'"&amp;$D22&amp;"'!$E$7:$E$500"),"Low"),0))</f>
        <v/>
      </c>
      <c r="R22" s="88" t="str">
        <f aca="true">IF($D22="","",IFERROR(COUNTIF(INDIRECT("'"&amp;$D22&amp;"'!$D$7:$D$500"),"Functional"),0))</f>
        <v/>
      </c>
      <c r="S22" s="88" t="str">
        <f aca="true">IF($D22="","",IFERROR(COUNTIF(INDIRECT("'"&amp;$D22&amp;"'!$D$7:$D$500"),"UI"),0))</f>
        <v/>
      </c>
      <c r="T22" s="88" t="str">
        <f aca="true">IF($D22="","",IFERROR(COUNTIF(INDIRECT("'"&amp;$D22&amp;"'!$D$7:$D$500"),"Integration"),0))</f>
        <v/>
      </c>
      <c r="U22" s="88" t="str">
        <f aca="true">IF($D22="","",IFERROR(COUNTIF(INDIRECT("'"&amp;$D22&amp;"'!$D$7:$D$500"),"Database Test Case"),0))</f>
        <v/>
      </c>
      <c r="V22" s="88" t="str">
        <f aca="true">IF($D22="","",IFERROR(COUNTIF(INDIRECT("'"&amp;$D22&amp;"'!$J$7:$J$500"),"AI"),0))</f>
        <v/>
      </c>
      <c r="W22" s="88" t="str">
        <f aca="true">IF($D22="","",IFERROR(COUNTIF(INDIRECT("'"&amp;$D22&amp;"'!$J$7:$J$500"),"QC"),0))</f>
        <v/>
      </c>
      <c r="X22" s="88" t="str">
        <f aca="true">IF($D22="","",IFERROR(COUNTIF(INDIRECT("'"&amp;$D22&amp;"'!$L$7:$L$500"),"Yes"),0))</f>
        <v/>
      </c>
      <c r="Y22" s="88" t="str">
        <f aca="true">IF($D22="","",IFERROR(COUNTIF(INDIRECT("'"&amp;$D22&amp;"'!$AR$7:$AR$500"),"Yes"),0))</f>
        <v/>
      </c>
      <c r="Z22" s="88" t="str">
        <f aca="true">IF($D22="","",IFERROR(COUNTIF(INDIRECT("'"&amp;$D22&amp;"'!$AS$7:$AS$500"),"Pass"),0))</f>
        <v/>
      </c>
      <c r="AA22" s="88" t="str">
        <f aca="true">IF($D22="","",IFERROR(COUNTIF(INDIRECT("'"&amp;$D22&amp;"'!$K$7:$K$500"),"Reviewed"),0))</f>
        <v/>
      </c>
      <c r="AB22" s="92" t="str">
        <f aca="true">IF($D22="","",IFERROR(COUNTIFS(INDIRECT("'"&amp;$D22&amp;"'!$E$7:$E$500"),"High",INDIRECT("'"&amp;$D22&amp;"'!$AT$7:$AT$500"),"?*"),0))</f>
        <v/>
      </c>
      <c r="AC22" s="92" t="str">
        <f aca="true">IF($D22="","",IFERROR(COUNTIFS(INDIRECT("'"&amp;$D22&amp;"'!$E$7:$E$500"),"Medium",INDIRECT("'"&amp;$D22&amp;"'!$AT$7:$AT$500"),"?*"),0))</f>
        <v/>
      </c>
      <c r="AD22" s="92" t="str">
        <f aca="true">IF($D22="","",IFERROR(COUNTIFS(INDIRECT("'"&amp;$D22&amp;"'!$E$7:$E$500"),"Low",INDIRECT("'"&amp;$D22&amp;"'!$AT$7:$AT$500"),"?*"),0))</f>
        <v/>
      </c>
      <c r="AE22" s="93" t="str">
        <f aca="true">IF($D22="","",IFERROR(COUNTIF(INDIRECT("'"&amp;$D22&amp;"'!$P$7:$P$500"),"?*"),0))</f>
        <v/>
      </c>
      <c r="AF22" s="93" t="str">
        <f aca="true">IF($D22="","",IFERROR(COUNTIF(INDIRECT("'"&amp;$D22&amp;"'!$P$7:$P$500"),"Pass"),0))</f>
        <v/>
      </c>
      <c r="AG22" s="93" t="str">
        <f aca="true">IF($D22="","",IFERROR(COUNTIF(INDIRECT("'"&amp;$D22&amp;"'!$P$7:$P$500"),"Fail"),0))</f>
        <v/>
      </c>
      <c r="AH22" s="93" t="str">
        <f aca="true">IF($D22="","",IFERROR(COUNTIF(INDIRECT("'"&amp;$D22&amp;"'!$P$7:$P$500"),"Block"),0))</f>
        <v/>
      </c>
      <c r="AI22" s="93" t="str">
        <f aca="true">IF($D22="","",IFERROR(COUNTIF(INDIRECT("'"&amp;$D22&amp;"'!$P$7:$P$500"),"N/A"),0))</f>
        <v/>
      </c>
      <c r="AJ22" s="93" t="str">
        <f aca="true">IF($D22="","",IFERROR(COUNTIF(INDIRECT("'"&amp;$D22&amp;"'!$V$7:$V$500"),"?*"),0))</f>
        <v/>
      </c>
      <c r="AK22" s="93" t="str">
        <f aca="true">IF($D22="","",IFERROR(COUNTIF(INDIRECT("'"&amp;$D22&amp;"'!$V$7:$V$500"),"Pass"),0))</f>
        <v/>
      </c>
      <c r="AL22" s="93" t="str">
        <f aca="true">IF($D22="","",IFERROR(COUNTIF(INDIRECT("'"&amp;$D22&amp;"'!$V$7:$V$500"),"Fail"),0))</f>
        <v/>
      </c>
      <c r="AM22" s="93" t="str">
        <f aca="true">IF($D22="","",IFERROR(COUNTIF(INDIRECT("'"&amp;$D22&amp;"'!$V$7:$V$500"),"Block"),0))</f>
        <v/>
      </c>
      <c r="AN22" s="93" t="str">
        <f aca="true">IF($D22="","",IFERROR(COUNTIF(INDIRECT("'"&amp;$D22&amp;"'!$V$7:$V$500"),"N/A"),0))</f>
        <v/>
      </c>
      <c r="AO22" s="93" t="str">
        <f aca="true">IF($D22="","",IFERROR(COUNTIF(INDIRECT("'"&amp;$D22&amp;"'!$AB$7:$AB$500"),"?*"),0))</f>
        <v/>
      </c>
      <c r="AP22" s="93" t="str">
        <f aca="true">IF($D22="","",IFERROR(COUNTIF(INDIRECT("'"&amp;$D22&amp;"'!$AB$7:$AB$500"),"Pass"),0))</f>
        <v/>
      </c>
      <c r="AQ22" s="93" t="str">
        <f aca="true">IF($D22="","",IFERROR(COUNTIF(INDIRECT("'"&amp;$D22&amp;"'!$AB$7:$AB$500"),"Fail"),0))</f>
        <v/>
      </c>
      <c r="AR22" s="93" t="str">
        <f aca="true">IF($D22="","",IFERROR(COUNTIF(INDIRECT("'"&amp;$D22&amp;"'!$AB$7:$AB$500"),"Block"),0))</f>
        <v/>
      </c>
      <c r="AS22" s="93" t="str">
        <f aca="true">IF($D22="","",IFERROR(COUNTIF(INDIRECT("'"&amp;$D22&amp;"'!$AB$7:$AB$500"),"N/A"),0))</f>
        <v/>
      </c>
      <c r="AT22" s="93" t="str">
        <f aca="true">IF($D22="","",IFERROR(COUNTIF(INDIRECT("'"&amp;$D22&amp;"'!$AH$7:$AH$500"),"?*"),0))</f>
        <v/>
      </c>
      <c r="AU22" s="93" t="str">
        <f aca="true">IF($D22="","",IFERROR(COUNTIF(INDIRECT("'"&amp;$D22&amp;"'!$AH$7:$AH$500"),"Pass"),0))</f>
        <v/>
      </c>
      <c r="AV22" s="93" t="str">
        <f aca="true">IF($D22="","",IFERROR(COUNTIF(INDIRECT("'"&amp;$D22&amp;"'!$AH$7:$AH$500"),"Fail"),0))</f>
        <v/>
      </c>
      <c r="AW22" s="93" t="str">
        <f aca="true">IF($D22="","",IFERROR(COUNTIF(INDIRECT("'"&amp;$D22&amp;"'!$AH$7:$AH$500"),"Block"),0))</f>
        <v/>
      </c>
      <c r="AX22" s="93" t="str">
        <f aca="true">IF($D22="","",IFERROR(COUNTIF(INDIRECT("'"&amp;$D22&amp;"'!$AH$7:$AH$500"),"N/A"),0))</f>
        <v/>
      </c>
      <c r="AY22" s="93" t="str">
        <f aca="true">IF($D22="","",IFERROR(COUNTIF(INDIRECT("'"&amp;$D22&amp;"'!$AN$7:$AN$500"),"?*"),0))</f>
        <v/>
      </c>
      <c r="AZ22" s="93" t="str">
        <f aca="true">IF($D22="","",IFERROR(COUNTIF(INDIRECT("'"&amp;$D22&amp;"'!$AN$7:$AN$500"),"Pass"),0))</f>
        <v/>
      </c>
      <c r="BA22" s="93" t="str">
        <f aca="true">IF($D22="","",IFERROR(COUNTIF(INDIRECT("'"&amp;$D22&amp;"'!$AN$7:$AN$500"),"Fail"),0))</f>
        <v/>
      </c>
      <c r="BB22" s="93" t="str">
        <f aca="true">IF($D22="","",IFERROR(COUNTIF(INDIRECT("'"&amp;$D22&amp;"'!$AN$7:$AN$500"),"Block"),0))</f>
        <v/>
      </c>
      <c r="BC22" s="1" t="str">
        <f aca="true">IF($D22="","",IFERROR(COUNTIF(INDIRECT("'"&amp;$D22&amp;"'!$AN$7:$AN$500"),"N/A"),0))</f>
        <v/>
      </c>
    </row>
    <row r="23" customFormat="false" ht="15.75" hidden="false" customHeight="true" outlineLevel="0" collapsed="false">
      <c r="A23" s="1"/>
      <c r="B23" s="88" t="str">
        <f aca="false">IF($D23="","",ROW()-3)</f>
        <v/>
      </c>
      <c r="C23" s="89"/>
      <c r="D23" s="89"/>
      <c r="E23" s="90"/>
      <c r="F23" s="88" t="str">
        <f aca="true">IF($D23="","",IFERROR(COUNTIF(INDIRECT("'"&amp;$D23&amp;"'!$A$7:$A$500"),"?*"),0))</f>
        <v/>
      </c>
      <c r="G23" s="88" t="str">
        <f aca="true">IF($D23="","",IFERROR(COUNTIF(INDIRECT("'"&amp;$D23&amp;"'!$AT$7:$AT$500"),"Pass"),0))</f>
        <v/>
      </c>
      <c r="H23" s="88" t="str">
        <f aca="true">IF($D23="","",IFERROR(COUNTIF(INDIRECT("'"&amp;$D23&amp;"'!$AT$7:$AT$500"),"Fail"),0))</f>
        <v/>
      </c>
      <c r="I23" s="88" t="str">
        <f aca="true">IF($D23="","",IFERROR(COUNTIF(INDIRECT("'"&amp;$D23&amp;"'!$AT$7:$AT$500"),"Block"),0))</f>
        <v/>
      </c>
      <c r="J23" s="88" t="str">
        <f aca="true">IF($D23="","",IFERROR(COUNTIF(INDIRECT("'"&amp;$D23&amp;"'!$AT$7:$AT$500"),"N/A"),0))</f>
        <v/>
      </c>
      <c r="K23" s="88" t="str">
        <f aca="false">IF($D23="","",MAX(0,$F23-$G23-$H23-$I23-$J23))</f>
        <v/>
      </c>
      <c r="L23" s="88" t="str">
        <f aca="false">IF($D23="","",$G23+$H23+$I23+$J23)</f>
        <v/>
      </c>
      <c r="M23" s="91" t="str">
        <f aca="false">IF($D23="","",IFERROR($L23/$F23,0))</f>
        <v/>
      </c>
      <c r="N23" s="91" t="str">
        <f aca="false">IF($D23="","",IFERROR($G23/$L23,0))</f>
        <v/>
      </c>
      <c r="O23" s="88" t="str">
        <f aca="true">IF($D23="","",IFERROR(COUNTIF(INDIRECT("'"&amp;$D23&amp;"'!$E$7:$E$500"),"High"),0))</f>
        <v/>
      </c>
      <c r="P23" s="88" t="str">
        <f aca="true">IF($D23="","",IFERROR(COUNTIF(INDIRECT("'"&amp;$D23&amp;"'!$E$7:$E$500"),"Medium"),0))</f>
        <v/>
      </c>
      <c r="Q23" s="88" t="str">
        <f aca="true">IF($D23="","",IFERROR(COUNTIF(INDIRECT("'"&amp;$D23&amp;"'!$E$7:$E$500"),"Low"),0))</f>
        <v/>
      </c>
      <c r="R23" s="88" t="str">
        <f aca="true">IF($D23="","",IFERROR(COUNTIF(INDIRECT("'"&amp;$D23&amp;"'!$D$7:$D$500"),"Functional"),0))</f>
        <v/>
      </c>
      <c r="S23" s="88" t="str">
        <f aca="true">IF($D23="","",IFERROR(COUNTIF(INDIRECT("'"&amp;$D23&amp;"'!$D$7:$D$500"),"UI"),0))</f>
        <v/>
      </c>
      <c r="T23" s="88" t="str">
        <f aca="true">IF($D23="","",IFERROR(COUNTIF(INDIRECT("'"&amp;$D23&amp;"'!$D$7:$D$500"),"Integration"),0))</f>
        <v/>
      </c>
      <c r="U23" s="88" t="str">
        <f aca="true">IF($D23="","",IFERROR(COUNTIF(INDIRECT("'"&amp;$D23&amp;"'!$D$7:$D$500"),"Database Test Case"),0))</f>
        <v/>
      </c>
      <c r="V23" s="88" t="str">
        <f aca="true">IF($D23="","",IFERROR(COUNTIF(INDIRECT("'"&amp;$D23&amp;"'!$J$7:$J$500"),"AI"),0))</f>
        <v/>
      </c>
      <c r="W23" s="88" t="str">
        <f aca="true">IF($D23="","",IFERROR(COUNTIF(INDIRECT("'"&amp;$D23&amp;"'!$J$7:$J$500"),"QC"),0))</f>
        <v/>
      </c>
      <c r="X23" s="88" t="str">
        <f aca="true">IF($D23="","",IFERROR(COUNTIF(INDIRECT("'"&amp;$D23&amp;"'!$L$7:$L$500"),"Yes"),0))</f>
        <v/>
      </c>
      <c r="Y23" s="88" t="str">
        <f aca="true">IF($D23="","",IFERROR(COUNTIF(INDIRECT("'"&amp;$D23&amp;"'!$AR$7:$AR$500"),"Yes"),0))</f>
        <v/>
      </c>
      <c r="Z23" s="88" t="str">
        <f aca="true">IF($D23="","",IFERROR(COUNTIF(INDIRECT("'"&amp;$D23&amp;"'!$AS$7:$AS$500"),"Pass"),0))</f>
        <v/>
      </c>
      <c r="AA23" s="88" t="str">
        <f aca="true">IF($D23="","",IFERROR(COUNTIF(INDIRECT("'"&amp;$D23&amp;"'!$K$7:$K$500"),"Reviewed"),0))</f>
        <v/>
      </c>
      <c r="AB23" s="92" t="str">
        <f aca="true">IF($D23="","",IFERROR(COUNTIFS(INDIRECT("'"&amp;$D23&amp;"'!$E$7:$E$500"),"High",INDIRECT("'"&amp;$D23&amp;"'!$AT$7:$AT$500"),"?*"),0))</f>
        <v/>
      </c>
      <c r="AC23" s="92" t="str">
        <f aca="true">IF($D23="","",IFERROR(COUNTIFS(INDIRECT("'"&amp;$D23&amp;"'!$E$7:$E$500"),"Medium",INDIRECT("'"&amp;$D23&amp;"'!$AT$7:$AT$500"),"?*"),0))</f>
        <v/>
      </c>
      <c r="AD23" s="92" t="str">
        <f aca="true">IF($D23="","",IFERROR(COUNTIFS(INDIRECT("'"&amp;$D23&amp;"'!$E$7:$E$500"),"Low",INDIRECT("'"&amp;$D23&amp;"'!$AT$7:$AT$500"),"?*"),0))</f>
        <v/>
      </c>
      <c r="AE23" s="93" t="str">
        <f aca="true">IF($D23="","",IFERROR(COUNTIF(INDIRECT("'"&amp;$D23&amp;"'!$P$7:$P$500"),"?*"),0))</f>
        <v/>
      </c>
      <c r="AF23" s="93" t="str">
        <f aca="true">IF($D23="","",IFERROR(COUNTIF(INDIRECT("'"&amp;$D23&amp;"'!$P$7:$P$500"),"Pass"),0))</f>
        <v/>
      </c>
      <c r="AG23" s="93" t="str">
        <f aca="true">IF($D23="","",IFERROR(COUNTIF(INDIRECT("'"&amp;$D23&amp;"'!$P$7:$P$500"),"Fail"),0))</f>
        <v/>
      </c>
      <c r="AH23" s="93" t="str">
        <f aca="true">IF($D23="","",IFERROR(COUNTIF(INDIRECT("'"&amp;$D23&amp;"'!$P$7:$P$500"),"Block"),0))</f>
        <v/>
      </c>
      <c r="AI23" s="93" t="str">
        <f aca="true">IF($D23="","",IFERROR(COUNTIF(INDIRECT("'"&amp;$D23&amp;"'!$P$7:$P$500"),"N/A"),0))</f>
        <v/>
      </c>
      <c r="AJ23" s="93" t="str">
        <f aca="true">IF($D23="","",IFERROR(COUNTIF(INDIRECT("'"&amp;$D23&amp;"'!$V$7:$V$500"),"?*"),0))</f>
        <v/>
      </c>
      <c r="AK23" s="93" t="str">
        <f aca="true">IF($D23="","",IFERROR(COUNTIF(INDIRECT("'"&amp;$D23&amp;"'!$V$7:$V$500"),"Pass"),0))</f>
        <v/>
      </c>
      <c r="AL23" s="93" t="str">
        <f aca="true">IF($D23="","",IFERROR(COUNTIF(INDIRECT("'"&amp;$D23&amp;"'!$V$7:$V$500"),"Fail"),0))</f>
        <v/>
      </c>
      <c r="AM23" s="93" t="str">
        <f aca="true">IF($D23="","",IFERROR(COUNTIF(INDIRECT("'"&amp;$D23&amp;"'!$V$7:$V$500"),"Block"),0))</f>
        <v/>
      </c>
      <c r="AN23" s="93" t="str">
        <f aca="true">IF($D23="","",IFERROR(COUNTIF(INDIRECT("'"&amp;$D23&amp;"'!$V$7:$V$500"),"N/A"),0))</f>
        <v/>
      </c>
      <c r="AO23" s="93" t="str">
        <f aca="true">IF($D23="","",IFERROR(COUNTIF(INDIRECT("'"&amp;$D23&amp;"'!$AB$7:$AB$500"),"?*"),0))</f>
        <v/>
      </c>
      <c r="AP23" s="93" t="str">
        <f aca="true">IF($D23="","",IFERROR(COUNTIF(INDIRECT("'"&amp;$D23&amp;"'!$AB$7:$AB$500"),"Pass"),0))</f>
        <v/>
      </c>
      <c r="AQ23" s="93" t="str">
        <f aca="true">IF($D23="","",IFERROR(COUNTIF(INDIRECT("'"&amp;$D23&amp;"'!$AB$7:$AB$500"),"Fail"),0))</f>
        <v/>
      </c>
      <c r="AR23" s="93" t="str">
        <f aca="true">IF($D23="","",IFERROR(COUNTIF(INDIRECT("'"&amp;$D23&amp;"'!$AB$7:$AB$500"),"Block"),0))</f>
        <v/>
      </c>
      <c r="AS23" s="93" t="str">
        <f aca="true">IF($D23="","",IFERROR(COUNTIF(INDIRECT("'"&amp;$D23&amp;"'!$AB$7:$AB$500"),"N/A"),0))</f>
        <v/>
      </c>
      <c r="AT23" s="93" t="str">
        <f aca="true">IF($D23="","",IFERROR(COUNTIF(INDIRECT("'"&amp;$D23&amp;"'!$AH$7:$AH$500"),"?*"),0))</f>
        <v/>
      </c>
      <c r="AU23" s="93" t="str">
        <f aca="true">IF($D23="","",IFERROR(COUNTIF(INDIRECT("'"&amp;$D23&amp;"'!$AH$7:$AH$500"),"Pass"),0))</f>
        <v/>
      </c>
      <c r="AV23" s="93" t="str">
        <f aca="true">IF($D23="","",IFERROR(COUNTIF(INDIRECT("'"&amp;$D23&amp;"'!$AH$7:$AH$500"),"Fail"),0))</f>
        <v/>
      </c>
      <c r="AW23" s="93" t="str">
        <f aca="true">IF($D23="","",IFERROR(COUNTIF(INDIRECT("'"&amp;$D23&amp;"'!$AH$7:$AH$500"),"Block"),0))</f>
        <v/>
      </c>
      <c r="AX23" s="93" t="str">
        <f aca="true">IF($D23="","",IFERROR(COUNTIF(INDIRECT("'"&amp;$D23&amp;"'!$AH$7:$AH$500"),"N/A"),0))</f>
        <v/>
      </c>
      <c r="AY23" s="93" t="str">
        <f aca="true">IF($D23="","",IFERROR(COUNTIF(INDIRECT("'"&amp;$D23&amp;"'!$AN$7:$AN$500"),"?*"),0))</f>
        <v/>
      </c>
      <c r="AZ23" s="93" t="str">
        <f aca="true">IF($D23="","",IFERROR(COUNTIF(INDIRECT("'"&amp;$D23&amp;"'!$AN$7:$AN$500"),"Pass"),0))</f>
        <v/>
      </c>
      <c r="BA23" s="93" t="str">
        <f aca="true">IF($D23="","",IFERROR(COUNTIF(INDIRECT("'"&amp;$D23&amp;"'!$AN$7:$AN$500"),"Fail"),0))</f>
        <v/>
      </c>
      <c r="BB23" s="93" t="str">
        <f aca="true">IF($D23="","",IFERROR(COUNTIF(INDIRECT("'"&amp;$D23&amp;"'!$AN$7:$AN$500"),"Block"),0))</f>
        <v/>
      </c>
      <c r="BC23" s="1" t="str">
        <f aca="true">IF($D23="","",IFERROR(COUNTIF(INDIRECT("'"&amp;$D23&amp;"'!$AN$7:$AN$500"),"N/A"),0))</f>
        <v/>
      </c>
    </row>
    <row r="24" customFormat="false" ht="15.75" hidden="false" customHeight="true" outlineLevel="0" collapsed="false">
      <c r="A24" s="1"/>
      <c r="B24" s="88" t="str">
        <f aca="false">IF($D24="","",ROW()-3)</f>
        <v/>
      </c>
      <c r="C24" s="89"/>
      <c r="D24" s="89"/>
      <c r="E24" s="90"/>
      <c r="F24" s="88" t="str">
        <f aca="true">IF($D24="","",IFERROR(COUNTIF(INDIRECT("'"&amp;$D24&amp;"'!$A$7:$A$500"),"?*"),0))</f>
        <v/>
      </c>
      <c r="G24" s="88" t="str">
        <f aca="true">IF($D24="","",IFERROR(COUNTIF(INDIRECT("'"&amp;$D24&amp;"'!$AT$7:$AT$500"),"Pass"),0))</f>
        <v/>
      </c>
      <c r="H24" s="88" t="str">
        <f aca="true">IF($D24="","",IFERROR(COUNTIF(INDIRECT("'"&amp;$D24&amp;"'!$AT$7:$AT$500"),"Fail"),0))</f>
        <v/>
      </c>
      <c r="I24" s="88" t="str">
        <f aca="true">IF($D24="","",IFERROR(COUNTIF(INDIRECT("'"&amp;$D24&amp;"'!$AT$7:$AT$500"),"Block"),0))</f>
        <v/>
      </c>
      <c r="J24" s="88" t="str">
        <f aca="true">IF($D24="","",IFERROR(COUNTIF(INDIRECT("'"&amp;$D24&amp;"'!$AT$7:$AT$500"),"N/A"),0))</f>
        <v/>
      </c>
      <c r="K24" s="88" t="str">
        <f aca="false">IF($D24="","",MAX(0,$F24-$G24-$H24-$I24-$J24))</f>
        <v/>
      </c>
      <c r="L24" s="88" t="str">
        <f aca="false">IF($D24="","",$G24+$H24+$I24+$J24)</f>
        <v/>
      </c>
      <c r="M24" s="91" t="str">
        <f aca="false">IF($D24="","",IFERROR($L24/$F24,0))</f>
        <v/>
      </c>
      <c r="N24" s="91" t="str">
        <f aca="false">IF($D24="","",IFERROR($G24/$L24,0))</f>
        <v/>
      </c>
      <c r="O24" s="88" t="str">
        <f aca="true">IF($D24="","",IFERROR(COUNTIF(INDIRECT("'"&amp;$D24&amp;"'!$E$7:$E$500"),"High"),0))</f>
        <v/>
      </c>
      <c r="P24" s="88" t="str">
        <f aca="true">IF($D24="","",IFERROR(COUNTIF(INDIRECT("'"&amp;$D24&amp;"'!$E$7:$E$500"),"Medium"),0))</f>
        <v/>
      </c>
      <c r="Q24" s="88" t="str">
        <f aca="true">IF($D24="","",IFERROR(COUNTIF(INDIRECT("'"&amp;$D24&amp;"'!$E$7:$E$500"),"Low"),0))</f>
        <v/>
      </c>
      <c r="R24" s="88" t="str">
        <f aca="true">IF($D24="","",IFERROR(COUNTIF(INDIRECT("'"&amp;$D24&amp;"'!$D$7:$D$500"),"Functional"),0))</f>
        <v/>
      </c>
      <c r="S24" s="88" t="str">
        <f aca="true">IF($D24="","",IFERROR(COUNTIF(INDIRECT("'"&amp;$D24&amp;"'!$D$7:$D$500"),"UI"),0))</f>
        <v/>
      </c>
      <c r="T24" s="88" t="str">
        <f aca="true">IF($D24="","",IFERROR(COUNTIF(INDIRECT("'"&amp;$D24&amp;"'!$D$7:$D$500"),"Integration"),0))</f>
        <v/>
      </c>
      <c r="U24" s="88" t="str">
        <f aca="true">IF($D24="","",IFERROR(COUNTIF(INDIRECT("'"&amp;$D24&amp;"'!$D$7:$D$500"),"Database Test Case"),0))</f>
        <v/>
      </c>
      <c r="V24" s="88" t="str">
        <f aca="true">IF($D24="","",IFERROR(COUNTIF(INDIRECT("'"&amp;$D24&amp;"'!$J$7:$J$500"),"AI"),0))</f>
        <v/>
      </c>
      <c r="W24" s="88" t="str">
        <f aca="true">IF($D24="","",IFERROR(COUNTIF(INDIRECT("'"&amp;$D24&amp;"'!$J$7:$J$500"),"QC"),0))</f>
        <v/>
      </c>
      <c r="X24" s="88" t="str">
        <f aca="true">IF($D24="","",IFERROR(COUNTIF(INDIRECT("'"&amp;$D24&amp;"'!$L$7:$L$500"),"Yes"),0))</f>
        <v/>
      </c>
      <c r="Y24" s="88" t="str">
        <f aca="true">IF($D24="","",IFERROR(COUNTIF(INDIRECT("'"&amp;$D24&amp;"'!$AR$7:$AR$500"),"Yes"),0))</f>
        <v/>
      </c>
      <c r="Z24" s="88" t="str">
        <f aca="true">IF($D24="","",IFERROR(COUNTIF(INDIRECT("'"&amp;$D24&amp;"'!$AS$7:$AS$500"),"Pass"),0))</f>
        <v/>
      </c>
      <c r="AA24" s="88" t="str">
        <f aca="true">IF($D24="","",IFERROR(COUNTIF(INDIRECT("'"&amp;$D24&amp;"'!$K$7:$K$500"),"Reviewed"),0))</f>
        <v/>
      </c>
      <c r="AB24" s="92" t="str">
        <f aca="true">IF($D24="","",IFERROR(COUNTIFS(INDIRECT("'"&amp;$D24&amp;"'!$E$7:$E$500"),"High",INDIRECT("'"&amp;$D24&amp;"'!$AT$7:$AT$500"),"?*"),0))</f>
        <v/>
      </c>
      <c r="AC24" s="92" t="str">
        <f aca="true">IF($D24="","",IFERROR(COUNTIFS(INDIRECT("'"&amp;$D24&amp;"'!$E$7:$E$500"),"Medium",INDIRECT("'"&amp;$D24&amp;"'!$AT$7:$AT$500"),"?*"),0))</f>
        <v/>
      </c>
      <c r="AD24" s="92" t="str">
        <f aca="true">IF($D24="","",IFERROR(COUNTIFS(INDIRECT("'"&amp;$D24&amp;"'!$E$7:$E$500"),"Low",INDIRECT("'"&amp;$D24&amp;"'!$AT$7:$AT$500"),"?*"),0))</f>
        <v/>
      </c>
      <c r="AE24" s="93" t="str">
        <f aca="true">IF($D24="","",IFERROR(COUNTIF(INDIRECT("'"&amp;$D24&amp;"'!$P$7:$P$500"),"?*"),0))</f>
        <v/>
      </c>
      <c r="AF24" s="93" t="str">
        <f aca="true">IF($D24="","",IFERROR(COUNTIF(INDIRECT("'"&amp;$D24&amp;"'!$P$7:$P$500"),"Pass"),0))</f>
        <v/>
      </c>
      <c r="AG24" s="93" t="str">
        <f aca="true">IF($D24="","",IFERROR(COUNTIF(INDIRECT("'"&amp;$D24&amp;"'!$P$7:$P$500"),"Fail"),0))</f>
        <v/>
      </c>
      <c r="AH24" s="93" t="str">
        <f aca="true">IF($D24="","",IFERROR(COUNTIF(INDIRECT("'"&amp;$D24&amp;"'!$P$7:$P$500"),"Block"),0))</f>
        <v/>
      </c>
      <c r="AI24" s="93" t="str">
        <f aca="true">IF($D24="","",IFERROR(COUNTIF(INDIRECT("'"&amp;$D24&amp;"'!$P$7:$P$500"),"N/A"),0))</f>
        <v/>
      </c>
      <c r="AJ24" s="93" t="str">
        <f aca="true">IF($D24="","",IFERROR(COUNTIF(INDIRECT("'"&amp;$D24&amp;"'!$V$7:$V$500"),"?*"),0))</f>
        <v/>
      </c>
      <c r="AK24" s="93" t="str">
        <f aca="true">IF($D24="","",IFERROR(COUNTIF(INDIRECT("'"&amp;$D24&amp;"'!$V$7:$V$500"),"Pass"),0))</f>
        <v/>
      </c>
      <c r="AL24" s="93" t="str">
        <f aca="true">IF($D24="","",IFERROR(COUNTIF(INDIRECT("'"&amp;$D24&amp;"'!$V$7:$V$500"),"Fail"),0))</f>
        <v/>
      </c>
      <c r="AM24" s="93" t="str">
        <f aca="true">IF($D24="","",IFERROR(COUNTIF(INDIRECT("'"&amp;$D24&amp;"'!$V$7:$V$500"),"Block"),0))</f>
        <v/>
      </c>
      <c r="AN24" s="93" t="str">
        <f aca="true">IF($D24="","",IFERROR(COUNTIF(INDIRECT("'"&amp;$D24&amp;"'!$V$7:$V$500"),"N/A"),0))</f>
        <v/>
      </c>
      <c r="AO24" s="93" t="str">
        <f aca="true">IF($D24="","",IFERROR(COUNTIF(INDIRECT("'"&amp;$D24&amp;"'!$AB$7:$AB$500"),"?*"),0))</f>
        <v/>
      </c>
      <c r="AP24" s="93" t="str">
        <f aca="true">IF($D24="","",IFERROR(COUNTIF(INDIRECT("'"&amp;$D24&amp;"'!$AB$7:$AB$500"),"Pass"),0))</f>
        <v/>
      </c>
      <c r="AQ24" s="93" t="str">
        <f aca="true">IF($D24="","",IFERROR(COUNTIF(INDIRECT("'"&amp;$D24&amp;"'!$AB$7:$AB$500"),"Fail"),0))</f>
        <v/>
      </c>
      <c r="AR24" s="93" t="str">
        <f aca="true">IF($D24="","",IFERROR(COUNTIF(INDIRECT("'"&amp;$D24&amp;"'!$AB$7:$AB$500"),"Block"),0))</f>
        <v/>
      </c>
      <c r="AS24" s="93" t="str">
        <f aca="true">IF($D24="","",IFERROR(COUNTIF(INDIRECT("'"&amp;$D24&amp;"'!$AB$7:$AB$500"),"N/A"),0))</f>
        <v/>
      </c>
      <c r="AT24" s="93" t="str">
        <f aca="true">IF($D24="","",IFERROR(COUNTIF(INDIRECT("'"&amp;$D24&amp;"'!$AH$7:$AH$500"),"?*"),0))</f>
        <v/>
      </c>
      <c r="AU24" s="93" t="str">
        <f aca="true">IF($D24="","",IFERROR(COUNTIF(INDIRECT("'"&amp;$D24&amp;"'!$AH$7:$AH$500"),"Pass"),0))</f>
        <v/>
      </c>
      <c r="AV24" s="93" t="str">
        <f aca="true">IF($D24="","",IFERROR(COUNTIF(INDIRECT("'"&amp;$D24&amp;"'!$AH$7:$AH$500"),"Fail"),0))</f>
        <v/>
      </c>
      <c r="AW24" s="93" t="str">
        <f aca="true">IF($D24="","",IFERROR(COUNTIF(INDIRECT("'"&amp;$D24&amp;"'!$AH$7:$AH$500"),"Block"),0))</f>
        <v/>
      </c>
      <c r="AX24" s="93" t="str">
        <f aca="true">IF($D24="","",IFERROR(COUNTIF(INDIRECT("'"&amp;$D24&amp;"'!$AH$7:$AH$500"),"N/A"),0))</f>
        <v/>
      </c>
      <c r="AY24" s="93" t="str">
        <f aca="true">IF($D24="","",IFERROR(COUNTIF(INDIRECT("'"&amp;$D24&amp;"'!$AN$7:$AN$500"),"?*"),0))</f>
        <v/>
      </c>
      <c r="AZ24" s="93" t="str">
        <f aca="true">IF($D24="","",IFERROR(COUNTIF(INDIRECT("'"&amp;$D24&amp;"'!$AN$7:$AN$500"),"Pass"),0))</f>
        <v/>
      </c>
      <c r="BA24" s="93" t="str">
        <f aca="true">IF($D24="","",IFERROR(COUNTIF(INDIRECT("'"&amp;$D24&amp;"'!$AN$7:$AN$500"),"Fail"),0))</f>
        <v/>
      </c>
      <c r="BB24" s="93" t="str">
        <f aca="true">IF($D24="","",IFERROR(COUNTIF(INDIRECT("'"&amp;$D24&amp;"'!$AN$7:$AN$500"),"Block"),0))</f>
        <v/>
      </c>
      <c r="BC24" s="1" t="str">
        <f aca="true">IF($D24="","",IFERROR(COUNTIF(INDIRECT("'"&amp;$D24&amp;"'!$AN$7:$AN$500"),"N/A"),0))</f>
        <v/>
      </c>
    </row>
    <row r="25" customFormat="false" ht="15.75" hidden="false" customHeight="true" outlineLevel="0" collapsed="false">
      <c r="A25" s="1"/>
      <c r="B25" s="88" t="str">
        <f aca="false">IF($D25="","",ROW()-3)</f>
        <v/>
      </c>
      <c r="C25" s="89"/>
      <c r="D25" s="89"/>
      <c r="E25" s="90"/>
      <c r="F25" s="88" t="str">
        <f aca="true">IF($D25="","",IFERROR(COUNTIF(INDIRECT("'"&amp;$D25&amp;"'!$A$7:$A$500"),"?*"),0))</f>
        <v/>
      </c>
      <c r="G25" s="88" t="str">
        <f aca="true">IF($D25="","",IFERROR(COUNTIF(INDIRECT("'"&amp;$D25&amp;"'!$AT$7:$AT$500"),"Pass"),0))</f>
        <v/>
      </c>
      <c r="H25" s="88" t="str">
        <f aca="true">IF($D25="","",IFERROR(COUNTIF(INDIRECT("'"&amp;$D25&amp;"'!$AT$7:$AT$500"),"Fail"),0))</f>
        <v/>
      </c>
      <c r="I25" s="88" t="str">
        <f aca="true">IF($D25="","",IFERROR(COUNTIF(INDIRECT("'"&amp;$D25&amp;"'!$AT$7:$AT$500"),"Block"),0))</f>
        <v/>
      </c>
      <c r="J25" s="88" t="str">
        <f aca="true">IF($D25="","",IFERROR(COUNTIF(INDIRECT("'"&amp;$D25&amp;"'!$AT$7:$AT$500"),"N/A"),0))</f>
        <v/>
      </c>
      <c r="K25" s="88" t="str">
        <f aca="false">IF($D25="","",MAX(0,$F25-$G25-$H25-$I25-$J25))</f>
        <v/>
      </c>
      <c r="L25" s="88" t="str">
        <f aca="false">IF($D25="","",$G25+$H25+$I25+$J25)</f>
        <v/>
      </c>
      <c r="M25" s="91" t="str">
        <f aca="false">IF($D25="","",IFERROR($L25/$F25,0))</f>
        <v/>
      </c>
      <c r="N25" s="91" t="str">
        <f aca="false">IF($D25="","",IFERROR($G25/$L25,0))</f>
        <v/>
      </c>
      <c r="O25" s="88" t="str">
        <f aca="true">IF($D25="","",IFERROR(COUNTIF(INDIRECT("'"&amp;$D25&amp;"'!$E$7:$E$500"),"High"),0))</f>
        <v/>
      </c>
      <c r="P25" s="88" t="str">
        <f aca="true">IF($D25="","",IFERROR(COUNTIF(INDIRECT("'"&amp;$D25&amp;"'!$E$7:$E$500"),"Medium"),0))</f>
        <v/>
      </c>
      <c r="Q25" s="88" t="str">
        <f aca="true">IF($D25="","",IFERROR(COUNTIF(INDIRECT("'"&amp;$D25&amp;"'!$E$7:$E$500"),"Low"),0))</f>
        <v/>
      </c>
      <c r="R25" s="88" t="str">
        <f aca="true">IF($D25="","",IFERROR(COUNTIF(INDIRECT("'"&amp;$D25&amp;"'!$D$7:$D$500"),"Functional"),0))</f>
        <v/>
      </c>
      <c r="S25" s="88" t="str">
        <f aca="true">IF($D25="","",IFERROR(COUNTIF(INDIRECT("'"&amp;$D25&amp;"'!$D$7:$D$500"),"UI"),0))</f>
        <v/>
      </c>
      <c r="T25" s="88" t="str">
        <f aca="true">IF($D25="","",IFERROR(COUNTIF(INDIRECT("'"&amp;$D25&amp;"'!$D$7:$D$500"),"Integration"),0))</f>
        <v/>
      </c>
      <c r="U25" s="88" t="str">
        <f aca="true">IF($D25="","",IFERROR(COUNTIF(INDIRECT("'"&amp;$D25&amp;"'!$D$7:$D$500"),"Database Test Case"),0))</f>
        <v/>
      </c>
      <c r="V25" s="88" t="str">
        <f aca="true">IF($D25="","",IFERROR(COUNTIF(INDIRECT("'"&amp;$D25&amp;"'!$J$7:$J$500"),"AI"),0))</f>
        <v/>
      </c>
      <c r="W25" s="88" t="str">
        <f aca="true">IF($D25="","",IFERROR(COUNTIF(INDIRECT("'"&amp;$D25&amp;"'!$J$7:$J$500"),"QC"),0))</f>
        <v/>
      </c>
      <c r="X25" s="88" t="str">
        <f aca="true">IF($D25="","",IFERROR(COUNTIF(INDIRECT("'"&amp;$D25&amp;"'!$L$7:$L$500"),"Yes"),0))</f>
        <v/>
      </c>
      <c r="Y25" s="88" t="str">
        <f aca="true">IF($D25="","",IFERROR(COUNTIF(INDIRECT("'"&amp;$D25&amp;"'!$AR$7:$AR$500"),"Yes"),0))</f>
        <v/>
      </c>
      <c r="Z25" s="88" t="str">
        <f aca="true">IF($D25="","",IFERROR(COUNTIF(INDIRECT("'"&amp;$D25&amp;"'!$AS$7:$AS$500"),"Pass"),0))</f>
        <v/>
      </c>
      <c r="AA25" s="88" t="str">
        <f aca="true">IF($D25="","",IFERROR(COUNTIF(INDIRECT("'"&amp;$D25&amp;"'!$K$7:$K$500"),"Reviewed"),0))</f>
        <v/>
      </c>
      <c r="AB25" s="92" t="str">
        <f aca="true">IF($D25="","",IFERROR(COUNTIFS(INDIRECT("'"&amp;$D25&amp;"'!$E$7:$E$500"),"High",INDIRECT("'"&amp;$D25&amp;"'!$AT$7:$AT$500"),"?*"),0))</f>
        <v/>
      </c>
      <c r="AC25" s="92" t="str">
        <f aca="true">IF($D25="","",IFERROR(COUNTIFS(INDIRECT("'"&amp;$D25&amp;"'!$E$7:$E$500"),"Medium",INDIRECT("'"&amp;$D25&amp;"'!$AT$7:$AT$500"),"?*"),0))</f>
        <v/>
      </c>
      <c r="AD25" s="92" t="str">
        <f aca="true">IF($D25="","",IFERROR(COUNTIFS(INDIRECT("'"&amp;$D25&amp;"'!$E$7:$E$500"),"Low",INDIRECT("'"&amp;$D25&amp;"'!$AT$7:$AT$500"),"?*"),0))</f>
        <v/>
      </c>
      <c r="AE25" s="93" t="str">
        <f aca="true">IF($D25="","",IFERROR(COUNTIF(INDIRECT("'"&amp;$D25&amp;"'!$P$7:$P$500"),"?*"),0))</f>
        <v/>
      </c>
      <c r="AF25" s="93" t="str">
        <f aca="true">IF($D25="","",IFERROR(COUNTIF(INDIRECT("'"&amp;$D25&amp;"'!$P$7:$P$500"),"Pass"),0))</f>
        <v/>
      </c>
      <c r="AG25" s="93" t="str">
        <f aca="true">IF($D25="","",IFERROR(COUNTIF(INDIRECT("'"&amp;$D25&amp;"'!$P$7:$P$500"),"Fail"),0))</f>
        <v/>
      </c>
      <c r="AH25" s="93" t="str">
        <f aca="true">IF($D25="","",IFERROR(COUNTIF(INDIRECT("'"&amp;$D25&amp;"'!$P$7:$P$500"),"Block"),0))</f>
        <v/>
      </c>
      <c r="AI25" s="93" t="str">
        <f aca="true">IF($D25="","",IFERROR(COUNTIF(INDIRECT("'"&amp;$D25&amp;"'!$P$7:$P$500"),"N/A"),0))</f>
        <v/>
      </c>
      <c r="AJ25" s="93" t="str">
        <f aca="true">IF($D25="","",IFERROR(COUNTIF(INDIRECT("'"&amp;$D25&amp;"'!$V$7:$V$500"),"?*"),0))</f>
        <v/>
      </c>
      <c r="AK25" s="93" t="str">
        <f aca="true">IF($D25="","",IFERROR(COUNTIF(INDIRECT("'"&amp;$D25&amp;"'!$V$7:$V$500"),"Pass"),0))</f>
        <v/>
      </c>
      <c r="AL25" s="93" t="str">
        <f aca="true">IF($D25="","",IFERROR(COUNTIF(INDIRECT("'"&amp;$D25&amp;"'!$V$7:$V$500"),"Fail"),0))</f>
        <v/>
      </c>
      <c r="AM25" s="93" t="str">
        <f aca="true">IF($D25="","",IFERROR(COUNTIF(INDIRECT("'"&amp;$D25&amp;"'!$V$7:$V$500"),"Block"),0))</f>
        <v/>
      </c>
      <c r="AN25" s="93" t="str">
        <f aca="true">IF($D25="","",IFERROR(COUNTIF(INDIRECT("'"&amp;$D25&amp;"'!$V$7:$V$500"),"N/A"),0))</f>
        <v/>
      </c>
      <c r="AO25" s="93" t="str">
        <f aca="true">IF($D25="","",IFERROR(COUNTIF(INDIRECT("'"&amp;$D25&amp;"'!$AB$7:$AB$500"),"?*"),0))</f>
        <v/>
      </c>
      <c r="AP25" s="93" t="str">
        <f aca="true">IF($D25="","",IFERROR(COUNTIF(INDIRECT("'"&amp;$D25&amp;"'!$AB$7:$AB$500"),"Pass"),0))</f>
        <v/>
      </c>
      <c r="AQ25" s="93" t="str">
        <f aca="true">IF($D25="","",IFERROR(COUNTIF(INDIRECT("'"&amp;$D25&amp;"'!$AB$7:$AB$500"),"Fail"),0))</f>
        <v/>
      </c>
      <c r="AR25" s="93" t="str">
        <f aca="true">IF($D25="","",IFERROR(COUNTIF(INDIRECT("'"&amp;$D25&amp;"'!$AB$7:$AB$500"),"Block"),0))</f>
        <v/>
      </c>
      <c r="AS25" s="93" t="str">
        <f aca="true">IF($D25="","",IFERROR(COUNTIF(INDIRECT("'"&amp;$D25&amp;"'!$AB$7:$AB$500"),"N/A"),0))</f>
        <v/>
      </c>
      <c r="AT25" s="93" t="str">
        <f aca="true">IF($D25="","",IFERROR(COUNTIF(INDIRECT("'"&amp;$D25&amp;"'!$AH$7:$AH$500"),"?*"),0))</f>
        <v/>
      </c>
      <c r="AU25" s="93" t="str">
        <f aca="true">IF($D25="","",IFERROR(COUNTIF(INDIRECT("'"&amp;$D25&amp;"'!$AH$7:$AH$500"),"Pass"),0))</f>
        <v/>
      </c>
      <c r="AV25" s="93" t="str">
        <f aca="true">IF($D25="","",IFERROR(COUNTIF(INDIRECT("'"&amp;$D25&amp;"'!$AH$7:$AH$500"),"Fail"),0))</f>
        <v/>
      </c>
      <c r="AW25" s="93" t="str">
        <f aca="true">IF($D25="","",IFERROR(COUNTIF(INDIRECT("'"&amp;$D25&amp;"'!$AH$7:$AH$500"),"Block"),0))</f>
        <v/>
      </c>
      <c r="AX25" s="93" t="str">
        <f aca="true">IF($D25="","",IFERROR(COUNTIF(INDIRECT("'"&amp;$D25&amp;"'!$AH$7:$AH$500"),"N/A"),0))</f>
        <v/>
      </c>
      <c r="AY25" s="93" t="str">
        <f aca="true">IF($D25="","",IFERROR(COUNTIF(INDIRECT("'"&amp;$D25&amp;"'!$AN$7:$AN$500"),"?*"),0))</f>
        <v/>
      </c>
      <c r="AZ25" s="93" t="str">
        <f aca="true">IF($D25="","",IFERROR(COUNTIF(INDIRECT("'"&amp;$D25&amp;"'!$AN$7:$AN$500"),"Pass"),0))</f>
        <v/>
      </c>
      <c r="BA25" s="93" t="str">
        <f aca="true">IF($D25="","",IFERROR(COUNTIF(INDIRECT("'"&amp;$D25&amp;"'!$AN$7:$AN$500"),"Fail"),0))</f>
        <v/>
      </c>
      <c r="BB25" s="93" t="str">
        <f aca="true">IF($D25="","",IFERROR(COUNTIF(INDIRECT("'"&amp;$D25&amp;"'!$AN$7:$AN$500"),"Block"),0))</f>
        <v/>
      </c>
      <c r="BC25" s="1" t="str">
        <f aca="true">IF($D25="","",IFERROR(COUNTIF(INDIRECT("'"&amp;$D25&amp;"'!$AN$7:$AN$500"),"N/A"),0))</f>
        <v/>
      </c>
    </row>
    <row r="26" customFormat="false" ht="15.75" hidden="false" customHeight="true" outlineLevel="0" collapsed="false">
      <c r="A26" s="1"/>
      <c r="B26" s="88" t="str">
        <f aca="false">IF($D26="","",ROW()-3)</f>
        <v/>
      </c>
      <c r="C26" s="89"/>
      <c r="D26" s="89"/>
      <c r="E26" s="90"/>
      <c r="F26" s="88" t="str">
        <f aca="true">IF($D26="","",IFERROR(COUNTIF(INDIRECT("'"&amp;$D26&amp;"'!$A$7:$A$500"),"?*"),0))</f>
        <v/>
      </c>
      <c r="G26" s="88" t="str">
        <f aca="true">IF($D26="","",IFERROR(COUNTIF(INDIRECT("'"&amp;$D26&amp;"'!$AT$7:$AT$500"),"Pass"),0))</f>
        <v/>
      </c>
      <c r="H26" s="88" t="str">
        <f aca="true">IF($D26="","",IFERROR(COUNTIF(INDIRECT("'"&amp;$D26&amp;"'!$AT$7:$AT$500"),"Fail"),0))</f>
        <v/>
      </c>
      <c r="I26" s="88" t="str">
        <f aca="true">IF($D26="","",IFERROR(COUNTIF(INDIRECT("'"&amp;$D26&amp;"'!$AT$7:$AT$500"),"Block"),0))</f>
        <v/>
      </c>
      <c r="J26" s="88" t="str">
        <f aca="true">IF($D26="","",IFERROR(COUNTIF(INDIRECT("'"&amp;$D26&amp;"'!$AT$7:$AT$500"),"N/A"),0))</f>
        <v/>
      </c>
      <c r="K26" s="88" t="str">
        <f aca="false">IF($D26="","",MAX(0,$F26-$G26-$H26-$I26-$J26))</f>
        <v/>
      </c>
      <c r="L26" s="88" t="str">
        <f aca="false">IF($D26="","",$G26+$H26+$I26+$J26)</f>
        <v/>
      </c>
      <c r="M26" s="91" t="str">
        <f aca="false">IF($D26="","",IFERROR($L26/$F26,0))</f>
        <v/>
      </c>
      <c r="N26" s="91" t="str">
        <f aca="false">IF($D26="","",IFERROR($G26/$L26,0))</f>
        <v/>
      </c>
      <c r="O26" s="88" t="str">
        <f aca="true">IF($D26="","",IFERROR(COUNTIF(INDIRECT("'"&amp;$D26&amp;"'!$E$7:$E$500"),"High"),0))</f>
        <v/>
      </c>
      <c r="P26" s="88" t="str">
        <f aca="true">IF($D26="","",IFERROR(COUNTIF(INDIRECT("'"&amp;$D26&amp;"'!$E$7:$E$500"),"Medium"),0))</f>
        <v/>
      </c>
      <c r="Q26" s="88" t="str">
        <f aca="true">IF($D26="","",IFERROR(COUNTIF(INDIRECT("'"&amp;$D26&amp;"'!$E$7:$E$500"),"Low"),0))</f>
        <v/>
      </c>
      <c r="R26" s="88" t="str">
        <f aca="true">IF($D26="","",IFERROR(COUNTIF(INDIRECT("'"&amp;$D26&amp;"'!$D$7:$D$500"),"Functional"),0))</f>
        <v/>
      </c>
      <c r="S26" s="88" t="str">
        <f aca="true">IF($D26="","",IFERROR(COUNTIF(INDIRECT("'"&amp;$D26&amp;"'!$D$7:$D$500"),"UI"),0))</f>
        <v/>
      </c>
      <c r="T26" s="88" t="str">
        <f aca="true">IF($D26="","",IFERROR(COUNTIF(INDIRECT("'"&amp;$D26&amp;"'!$D$7:$D$500"),"Integration"),0))</f>
        <v/>
      </c>
      <c r="U26" s="88" t="str">
        <f aca="true">IF($D26="","",IFERROR(COUNTIF(INDIRECT("'"&amp;$D26&amp;"'!$D$7:$D$500"),"Database Test Case"),0))</f>
        <v/>
      </c>
      <c r="V26" s="88" t="str">
        <f aca="true">IF($D26="","",IFERROR(COUNTIF(INDIRECT("'"&amp;$D26&amp;"'!$J$7:$J$500"),"AI"),0))</f>
        <v/>
      </c>
      <c r="W26" s="88" t="str">
        <f aca="true">IF($D26="","",IFERROR(COUNTIF(INDIRECT("'"&amp;$D26&amp;"'!$J$7:$J$500"),"QC"),0))</f>
        <v/>
      </c>
      <c r="X26" s="88" t="str">
        <f aca="true">IF($D26="","",IFERROR(COUNTIF(INDIRECT("'"&amp;$D26&amp;"'!$L$7:$L$500"),"Yes"),0))</f>
        <v/>
      </c>
      <c r="Y26" s="88" t="str">
        <f aca="true">IF($D26="","",IFERROR(COUNTIF(INDIRECT("'"&amp;$D26&amp;"'!$AR$7:$AR$500"),"Yes"),0))</f>
        <v/>
      </c>
      <c r="Z26" s="88" t="str">
        <f aca="true">IF($D26="","",IFERROR(COUNTIF(INDIRECT("'"&amp;$D26&amp;"'!$AS$7:$AS$500"),"Pass"),0))</f>
        <v/>
      </c>
      <c r="AA26" s="88" t="str">
        <f aca="true">IF($D26="","",IFERROR(COUNTIF(INDIRECT("'"&amp;$D26&amp;"'!$K$7:$K$500"),"Reviewed"),0))</f>
        <v/>
      </c>
      <c r="AB26" s="92" t="str">
        <f aca="true">IF($D26="","",IFERROR(COUNTIFS(INDIRECT("'"&amp;$D26&amp;"'!$E$7:$E$500"),"High",INDIRECT("'"&amp;$D26&amp;"'!$AT$7:$AT$500"),"?*"),0))</f>
        <v/>
      </c>
      <c r="AC26" s="92" t="str">
        <f aca="true">IF($D26="","",IFERROR(COUNTIFS(INDIRECT("'"&amp;$D26&amp;"'!$E$7:$E$500"),"Medium",INDIRECT("'"&amp;$D26&amp;"'!$AT$7:$AT$500"),"?*"),0))</f>
        <v/>
      </c>
      <c r="AD26" s="92" t="str">
        <f aca="true">IF($D26="","",IFERROR(COUNTIFS(INDIRECT("'"&amp;$D26&amp;"'!$E$7:$E$500"),"Low",INDIRECT("'"&amp;$D26&amp;"'!$AT$7:$AT$500"),"?*"),0))</f>
        <v/>
      </c>
      <c r="AE26" s="93" t="str">
        <f aca="true">IF($D26="","",IFERROR(COUNTIF(INDIRECT("'"&amp;$D26&amp;"'!$P$7:$P$500"),"?*"),0))</f>
        <v/>
      </c>
      <c r="AF26" s="93" t="str">
        <f aca="true">IF($D26="","",IFERROR(COUNTIF(INDIRECT("'"&amp;$D26&amp;"'!$P$7:$P$500"),"Pass"),0))</f>
        <v/>
      </c>
      <c r="AG26" s="93" t="str">
        <f aca="true">IF($D26="","",IFERROR(COUNTIF(INDIRECT("'"&amp;$D26&amp;"'!$P$7:$P$500"),"Fail"),0))</f>
        <v/>
      </c>
      <c r="AH26" s="93" t="str">
        <f aca="true">IF($D26="","",IFERROR(COUNTIF(INDIRECT("'"&amp;$D26&amp;"'!$P$7:$P$500"),"Block"),0))</f>
        <v/>
      </c>
      <c r="AI26" s="93" t="str">
        <f aca="true">IF($D26="","",IFERROR(COUNTIF(INDIRECT("'"&amp;$D26&amp;"'!$P$7:$P$500"),"N/A"),0))</f>
        <v/>
      </c>
      <c r="AJ26" s="93" t="str">
        <f aca="true">IF($D26="","",IFERROR(COUNTIF(INDIRECT("'"&amp;$D26&amp;"'!$V$7:$V$500"),"?*"),0))</f>
        <v/>
      </c>
      <c r="AK26" s="93" t="str">
        <f aca="true">IF($D26="","",IFERROR(COUNTIF(INDIRECT("'"&amp;$D26&amp;"'!$V$7:$V$500"),"Pass"),0))</f>
        <v/>
      </c>
      <c r="AL26" s="93" t="str">
        <f aca="true">IF($D26="","",IFERROR(COUNTIF(INDIRECT("'"&amp;$D26&amp;"'!$V$7:$V$500"),"Fail"),0))</f>
        <v/>
      </c>
      <c r="AM26" s="93" t="str">
        <f aca="true">IF($D26="","",IFERROR(COUNTIF(INDIRECT("'"&amp;$D26&amp;"'!$V$7:$V$500"),"Block"),0))</f>
        <v/>
      </c>
      <c r="AN26" s="93" t="str">
        <f aca="true">IF($D26="","",IFERROR(COUNTIF(INDIRECT("'"&amp;$D26&amp;"'!$V$7:$V$500"),"N/A"),0))</f>
        <v/>
      </c>
      <c r="AO26" s="93" t="str">
        <f aca="true">IF($D26="","",IFERROR(COUNTIF(INDIRECT("'"&amp;$D26&amp;"'!$AB$7:$AB$500"),"?*"),0))</f>
        <v/>
      </c>
      <c r="AP26" s="93" t="str">
        <f aca="true">IF($D26="","",IFERROR(COUNTIF(INDIRECT("'"&amp;$D26&amp;"'!$AB$7:$AB$500"),"Pass"),0))</f>
        <v/>
      </c>
      <c r="AQ26" s="93" t="str">
        <f aca="true">IF($D26="","",IFERROR(COUNTIF(INDIRECT("'"&amp;$D26&amp;"'!$AB$7:$AB$500"),"Fail"),0))</f>
        <v/>
      </c>
      <c r="AR26" s="93" t="str">
        <f aca="true">IF($D26="","",IFERROR(COUNTIF(INDIRECT("'"&amp;$D26&amp;"'!$AB$7:$AB$500"),"Block"),0))</f>
        <v/>
      </c>
      <c r="AS26" s="93" t="str">
        <f aca="true">IF($D26="","",IFERROR(COUNTIF(INDIRECT("'"&amp;$D26&amp;"'!$AB$7:$AB$500"),"N/A"),0))</f>
        <v/>
      </c>
      <c r="AT26" s="93" t="str">
        <f aca="true">IF($D26="","",IFERROR(COUNTIF(INDIRECT("'"&amp;$D26&amp;"'!$AH$7:$AH$500"),"?*"),0))</f>
        <v/>
      </c>
      <c r="AU26" s="93" t="str">
        <f aca="true">IF($D26="","",IFERROR(COUNTIF(INDIRECT("'"&amp;$D26&amp;"'!$AH$7:$AH$500"),"Pass"),0))</f>
        <v/>
      </c>
      <c r="AV26" s="93" t="str">
        <f aca="true">IF($D26="","",IFERROR(COUNTIF(INDIRECT("'"&amp;$D26&amp;"'!$AH$7:$AH$500"),"Fail"),0))</f>
        <v/>
      </c>
      <c r="AW26" s="93" t="str">
        <f aca="true">IF($D26="","",IFERROR(COUNTIF(INDIRECT("'"&amp;$D26&amp;"'!$AH$7:$AH$500"),"Block"),0))</f>
        <v/>
      </c>
      <c r="AX26" s="93" t="str">
        <f aca="true">IF($D26="","",IFERROR(COUNTIF(INDIRECT("'"&amp;$D26&amp;"'!$AH$7:$AH$500"),"N/A"),0))</f>
        <v/>
      </c>
      <c r="AY26" s="93" t="str">
        <f aca="true">IF($D26="","",IFERROR(COUNTIF(INDIRECT("'"&amp;$D26&amp;"'!$AN$7:$AN$500"),"?*"),0))</f>
        <v/>
      </c>
      <c r="AZ26" s="93" t="str">
        <f aca="true">IF($D26="","",IFERROR(COUNTIF(INDIRECT("'"&amp;$D26&amp;"'!$AN$7:$AN$500"),"Pass"),0))</f>
        <v/>
      </c>
      <c r="BA26" s="93" t="str">
        <f aca="true">IF($D26="","",IFERROR(COUNTIF(INDIRECT("'"&amp;$D26&amp;"'!$AN$7:$AN$500"),"Fail"),0))</f>
        <v/>
      </c>
      <c r="BB26" s="93" t="str">
        <f aca="true">IF($D26="","",IFERROR(COUNTIF(INDIRECT("'"&amp;$D26&amp;"'!$AN$7:$AN$500"),"Block"),0))</f>
        <v/>
      </c>
      <c r="BC26" s="1" t="str">
        <f aca="true">IF($D26="","",IFERROR(COUNTIF(INDIRECT("'"&amp;$D26&amp;"'!$AN$7:$AN$500"),"N/A"),0))</f>
        <v/>
      </c>
    </row>
    <row r="27" customFormat="false" ht="15.75" hidden="false" customHeight="true" outlineLevel="0" collapsed="false">
      <c r="A27" s="1"/>
      <c r="B27" s="88" t="str">
        <f aca="false">IF($D27="","",ROW()-3)</f>
        <v/>
      </c>
      <c r="C27" s="89"/>
      <c r="D27" s="89"/>
      <c r="E27" s="90"/>
      <c r="F27" s="88" t="str">
        <f aca="true">IF($D27="","",IFERROR(COUNTIF(INDIRECT("'"&amp;$D27&amp;"'!$A$7:$A$500"),"?*"),0))</f>
        <v/>
      </c>
      <c r="G27" s="88" t="str">
        <f aca="true">IF($D27="","",IFERROR(COUNTIF(INDIRECT("'"&amp;$D27&amp;"'!$AT$7:$AT$500"),"Pass"),0))</f>
        <v/>
      </c>
      <c r="H27" s="88" t="str">
        <f aca="true">IF($D27="","",IFERROR(COUNTIF(INDIRECT("'"&amp;$D27&amp;"'!$AT$7:$AT$500"),"Fail"),0))</f>
        <v/>
      </c>
      <c r="I27" s="88" t="str">
        <f aca="true">IF($D27="","",IFERROR(COUNTIF(INDIRECT("'"&amp;$D27&amp;"'!$AT$7:$AT$500"),"Block"),0))</f>
        <v/>
      </c>
      <c r="J27" s="88" t="str">
        <f aca="true">IF($D27="","",IFERROR(COUNTIF(INDIRECT("'"&amp;$D27&amp;"'!$AT$7:$AT$500"),"N/A"),0))</f>
        <v/>
      </c>
      <c r="K27" s="88" t="str">
        <f aca="false">IF($D27="","",MAX(0,$F27-$G27-$H27-$I27-$J27))</f>
        <v/>
      </c>
      <c r="L27" s="88" t="str">
        <f aca="false">IF($D27="","",$G27+$H27+$I27+$J27)</f>
        <v/>
      </c>
      <c r="M27" s="91" t="str">
        <f aca="false">IF($D27="","",IFERROR($L27/$F27,0))</f>
        <v/>
      </c>
      <c r="N27" s="91" t="str">
        <f aca="false">IF($D27="","",IFERROR($G27/$L27,0))</f>
        <v/>
      </c>
      <c r="O27" s="88" t="str">
        <f aca="true">IF($D27="","",IFERROR(COUNTIF(INDIRECT("'"&amp;$D27&amp;"'!$E$7:$E$500"),"High"),0))</f>
        <v/>
      </c>
      <c r="P27" s="88" t="str">
        <f aca="true">IF($D27="","",IFERROR(COUNTIF(INDIRECT("'"&amp;$D27&amp;"'!$E$7:$E$500"),"Medium"),0))</f>
        <v/>
      </c>
      <c r="Q27" s="88" t="str">
        <f aca="true">IF($D27="","",IFERROR(COUNTIF(INDIRECT("'"&amp;$D27&amp;"'!$E$7:$E$500"),"Low"),0))</f>
        <v/>
      </c>
      <c r="R27" s="88" t="str">
        <f aca="true">IF($D27="","",IFERROR(COUNTIF(INDIRECT("'"&amp;$D27&amp;"'!$D$7:$D$500"),"Functional"),0))</f>
        <v/>
      </c>
      <c r="S27" s="88" t="str">
        <f aca="true">IF($D27="","",IFERROR(COUNTIF(INDIRECT("'"&amp;$D27&amp;"'!$D$7:$D$500"),"UI"),0))</f>
        <v/>
      </c>
      <c r="T27" s="88" t="str">
        <f aca="true">IF($D27="","",IFERROR(COUNTIF(INDIRECT("'"&amp;$D27&amp;"'!$D$7:$D$500"),"Integration"),0))</f>
        <v/>
      </c>
      <c r="U27" s="88" t="str">
        <f aca="true">IF($D27="","",IFERROR(COUNTIF(INDIRECT("'"&amp;$D27&amp;"'!$D$7:$D$500"),"Database Test Case"),0))</f>
        <v/>
      </c>
      <c r="V27" s="88" t="str">
        <f aca="true">IF($D27="","",IFERROR(COUNTIF(INDIRECT("'"&amp;$D27&amp;"'!$J$7:$J$500"),"AI"),0))</f>
        <v/>
      </c>
      <c r="W27" s="88" t="str">
        <f aca="true">IF($D27="","",IFERROR(COUNTIF(INDIRECT("'"&amp;$D27&amp;"'!$J$7:$J$500"),"QC"),0))</f>
        <v/>
      </c>
      <c r="X27" s="88" t="str">
        <f aca="true">IF($D27="","",IFERROR(COUNTIF(INDIRECT("'"&amp;$D27&amp;"'!$L$7:$L$500"),"Yes"),0))</f>
        <v/>
      </c>
      <c r="Y27" s="88" t="str">
        <f aca="true">IF($D27="","",IFERROR(COUNTIF(INDIRECT("'"&amp;$D27&amp;"'!$AR$7:$AR$500"),"Yes"),0))</f>
        <v/>
      </c>
      <c r="Z27" s="88" t="str">
        <f aca="true">IF($D27="","",IFERROR(COUNTIF(INDIRECT("'"&amp;$D27&amp;"'!$AS$7:$AS$500"),"Pass"),0))</f>
        <v/>
      </c>
      <c r="AA27" s="88" t="str">
        <f aca="true">IF($D27="","",IFERROR(COUNTIF(INDIRECT("'"&amp;$D27&amp;"'!$K$7:$K$500"),"Reviewed"),0))</f>
        <v/>
      </c>
      <c r="AB27" s="92" t="str">
        <f aca="true">IF($D27="","",IFERROR(COUNTIFS(INDIRECT("'"&amp;$D27&amp;"'!$E$7:$E$500"),"High",INDIRECT("'"&amp;$D27&amp;"'!$AT$7:$AT$500"),"?*"),0))</f>
        <v/>
      </c>
      <c r="AC27" s="92" t="str">
        <f aca="true">IF($D27="","",IFERROR(COUNTIFS(INDIRECT("'"&amp;$D27&amp;"'!$E$7:$E$500"),"Medium",INDIRECT("'"&amp;$D27&amp;"'!$AT$7:$AT$500"),"?*"),0))</f>
        <v/>
      </c>
      <c r="AD27" s="92" t="str">
        <f aca="true">IF($D27="","",IFERROR(COUNTIFS(INDIRECT("'"&amp;$D27&amp;"'!$E$7:$E$500"),"Low",INDIRECT("'"&amp;$D27&amp;"'!$AT$7:$AT$500"),"?*"),0))</f>
        <v/>
      </c>
      <c r="AE27" s="93" t="str">
        <f aca="true">IF($D27="","",IFERROR(COUNTIF(INDIRECT("'"&amp;$D27&amp;"'!$P$7:$P$500"),"?*"),0))</f>
        <v/>
      </c>
      <c r="AF27" s="93" t="str">
        <f aca="true">IF($D27="","",IFERROR(COUNTIF(INDIRECT("'"&amp;$D27&amp;"'!$P$7:$P$500"),"Pass"),0))</f>
        <v/>
      </c>
      <c r="AG27" s="93" t="str">
        <f aca="true">IF($D27="","",IFERROR(COUNTIF(INDIRECT("'"&amp;$D27&amp;"'!$P$7:$P$500"),"Fail"),0))</f>
        <v/>
      </c>
      <c r="AH27" s="93" t="str">
        <f aca="true">IF($D27="","",IFERROR(COUNTIF(INDIRECT("'"&amp;$D27&amp;"'!$P$7:$P$500"),"Block"),0))</f>
        <v/>
      </c>
      <c r="AI27" s="93" t="str">
        <f aca="true">IF($D27="","",IFERROR(COUNTIF(INDIRECT("'"&amp;$D27&amp;"'!$P$7:$P$500"),"N/A"),0))</f>
        <v/>
      </c>
      <c r="AJ27" s="93" t="str">
        <f aca="true">IF($D27="","",IFERROR(COUNTIF(INDIRECT("'"&amp;$D27&amp;"'!$V$7:$V$500"),"?*"),0))</f>
        <v/>
      </c>
      <c r="AK27" s="93" t="str">
        <f aca="true">IF($D27="","",IFERROR(COUNTIF(INDIRECT("'"&amp;$D27&amp;"'!$V$7:$V$500"),"Pass"),0))</f>
        <v/>
      </c>
      <c r="AL27" s="93" t="str">
        <f aca="true">IF($D27="","",IFERROR(COUNTIF(INDIRECT("'"&amp;$D27&amp;"'!$V$7:$V$500"),"Fail"),0))</f>
        <v/>
      </c>
      <c r="AM27" s="93" t="str">
        <f aca="true">IF($D27="","",IFERROR(COUNTIF(INDIRECT("'"&amp;$D27&amp;"'!$V$7:$V$500"),"Block"),0))</f>
        <v/>
      </c>
      <c r="AN27" s="93" t="str">
        <f aca="true">IF($D27="","",IFERROR(COUNTIF(INDIRECT("'"&amp;$D27&amp;"'!$V$7:$V$500"),"N/A"),0))</f>
        <v/>
      </c>
      <c r="AO27" s="93" t="str">
        <f aca="true">IF($D27="","",IFERROR(COUNTIF(INDIRECT("'"&amp;$D27&amp;"'!$AB$7:$AB$500"),"?*"),0))</f>
        <v/>
      </c>
      <c r="AP27" s="93" t="str">
        <f aca="true">IF($D27="","",IFERROR(COUNTIF(INDIRECT("'"&amp;$D27&amp;"'!$AB$7:$AB$500"),"Pass"),0))</f>
        <v/>
      </c>
      <c r="AQ27" s="93" t="str">
        <f aca="true">IF($D27="","",IFERROR(COUNTIF(INDIRECT("'"&amp;$D27&amp;"'!$AB$7:$AB$500"),"Fail"),0))</f>
        <v/>
      </c>
      <c r="AR27" s="93" t="str">
        <f aca="true">IF($D27="","",IFERROR(COUNTIF(INDIRECT("'"&amp;$D27&amp;"'!$AB$7:$AB$500"),"Block"),0))</f>
        <v/>
      </c>
      <c r="AS27" s="93" t="str">
        <f aca="true">IF($D27="","",IFERROR(COUNTIF(INDIRECT("'"&amp;$D27&amp;"'!$AB$7:$AB$500"),"N/A"),0))</f>
        <v/>
      </c>
      <c r="AT27" s="93" t="str">
        <f aca="true">IF($D27="","",IFERROR(COUNTIF(INDIRECT("'"&amp;$D27&amp;"'!$AH$7:$AH$500"),"?*"),0))</f>
        <v/>
      </c>
      <c r="AU27" s="93" t="str">
        <f aca="true">IF($D27="","",IFERROR(COUNTIF(INDIRECT("'"&amp;$D27&amp;"'!$AH$7:$AH$500"),"Pass"),0))</f>
        <v/>
      </c>
      <c r="AV27" s="93" t="str">
        <f aca="true">IF($D27="","",IFERROR(COUNTIF(INDIRECT("'"&amp;$D27&amp;"'!$AH$7:$AH$500"),"Fail"),0))</f>
        <v/>
      </c>
      <c r="AW27" s="93" t="str">
        <f aca="true">IF($D27="","",IFERROR(COUNTIF(INDIRECT("'"&amp;$D27&amp;"'!$AH$7:$AH$500"),"Block"),0))</f>
        <v/>
      </c>
      <c r="AX27" s="93" t="str">
        <f aca="true">IF($D27="","",IFERROR(COUNTIF(INDIRECT("'"&amp;$D27&amp;"'!$AH$7:$AH$500"),"N/A"),0))</f>
        <v/>
      </c>
      <c r="AY27" s="93" t="str">
        <f aca="true">IF($D27="","",IFERROR(COUNTIF(INDIRECT("'"&amp;$D27&amp;"'!$AN$7:$AN$500"),"?*"),0))</f>
        <v/>
      </c>
      <c r="AZ27" s="93" t="str">
        <f aca="true">IF($D27="","",IFERROR(COUNTIF(INDIRECT("'"&amp;$D27&amp;"'!$AN$7:$AN$500"),"Pass"),0))</f>
        <v/>
      </c>
      <c r="BA27" s="93" t="str">
        <f aca="true">IF($D27="","",IFERROR(COUNTIF(INDIRECT("'"&amp;$D27&amp;"'!$AN$7:$AN$500"),"Fail"),0))</f>
        <v/>
      </c>
      <c r="BB27" s="93" t="str">
        <f aca="true">IF($D27="","",IFERROR(COUNTIF(INDIRECT("'"&amp;$D27&amp;"'!$AN$7:$AN$500"),"Block"),0))</f>
        <v/>
      </c>
      <c r="BC27" s="1" t="str">
        <f aca="true">IF($D27="","",IFERROR(COUNTIF(INDIRECT("'"&amp;$D27&amp;"'!$AN$7:$AN$500"),"N/A"),0))</f>
        <v/>
      </c>
    </row>
    <row r="28" customFormat="false" ht="15.75" hidden="false" customHeight="true" outlineLevel="0" collapsed="false">
      <c r="A28" s="1"/>
      <c r="B28" s="88" t="str">
        <f aca="false">IF($D28="","",ROW()-3)</f>
        <v/>
      </c>
      <c r="C28" s="89"/>
      <c r="D28" s="89"/>
      <c r="E28" s="90"/>
      <c r="F28" s="88" t="str">
        <f aca="true">IF($D28="","",IFERROR(COUNTIF(INDIRECT("'"&amp;$D28&amp;"'!$A$7:$A$500"),"?*"),0))</f>
        <v/>
      </c>
      <c r="G28" s="88" t="str">
        <f aca="true">IF($D28="","",IFERROR(COUNTIF(INDIRECT("'"&amp;$D28&amp;"'!$AT$7:$AT$500"),"Pass"),0))</f>
        <v/>
      </c>
      <c r="H28" s="88" t="str">
        <f aca="true">IF($D28="","",IFERROR(COUNTIF(INDIRECT("'"&amp;$D28&amp;"'!$AT$7:$AT$500"),"Fail"),0))</f>
        <v/>
      </c>
      <c r="I28" s="88" t="str">
        <f aca="true">IF($D28="","",IFERROR(COUNTIF(INDIRECT("'"&amp;$D28&amp;"'!$AT$7:$AT$500"),"Block"),0))</f>
        <v/>
      </c>
      <c r="J28" s="88" t="str">
        <f aca="true">IF($D28="","",IFERROR(COUNTIF(INDIRECT("'"&amp;$D28&amp;"'!$AT$7:$AT$500"),"N/A"),0))</f>
        <v/>
      </c>
      <c r="K28" s="88" t="str">
        <f aca="false">IF($D28="","",MAX(0,$F28-$G28-$H28-$I28-$J28))</f>
        <v/>
      </c>
      <c r="L28" s="88" t="str">
        <f aca="false">IF($D28="","",$G28+$H28+$I28+$J28)</f>
        <v/>
      </c>
      <c r="M28" s="91" t="str">
        <f aca="false">IF($D28="","",IFERROR($L28/$F28,0))</f>
        <v/>
      </c>
      <c r="N28" s="91" t="str">
        <f aca="false">IF($D28="","",IFERROR($G28/$L28,0))</f>
        <v/>
      </c>
      <c r="O28" s="88" t="str">
        <f aca="true">IF($D28="","",IFERROR(COUNTIF(INDIRECT("'"&amp;$D28&amp;"'!$E$7:$E$500"),"High"),0))</f>
        <v/>
      </c>
      <c r="P28" s="88" t="str">
        <f aca="true">IF($D28="","",IFERROR(COUNTIF(INDIRECT("'"&amp;$D28&amp;"'!$E$7:$E$500"),"Medium"),0))</f>
        <v/>
      </c>
      <c r="Q28" s="88" t="str">
        <f aca="true">IF($D28="","",IFERROR(COUNTIF(INDIRECT("'"&amp;$D28&amp;"'!$E$7:$E$500"),"Low"),0))</f>
        <v/>
      </c>
      <c r="R28" s="88" t="str">
        <f aca="true">IF($D28="","",IFERROR(COUNTIF(INDIRECT("'"&amp;$D28&amp;"'!$D$7:$D$500"),"Functional"),0))</f>
        <v/>
      </c>
      <c r="S28" s="88" t="str">
        <f aca="true">IF($D28="","",IFERROR(COUNTIF(INDIRECT("'"&amp;$D28&amp;"'!$D$7:$D$500"),"UI"),0))</f>
        <v/>
      </c>
      <c r="T28" s="88" t="str">
        <f aca="true">IF($D28="","",IFERROR(COUNTIF(INDIRECT("'"&amp;$D28&amp;"'!$D$7:$D$500"),"Integration"),0))</f>
        <v/>
      </c>
      <c r="U28" s="88" t="str">
        <f aca="true">IF($D28="","",IFERROR(COUNTIF(INDIRECT("'"&amp;$D28&amp;"'!$D$7:$D$500"),"Database Test Case"),0))</f>
        <v/>
      </c>
      <c r="V28" s="88" t="str">
        <f aca="true">IF($D28="","",IFERROR(COUNTIF(INDIRECT("'"&amp;$D28&amp;"'!$J$7:$J$500"),"AI"),0))</f>
        <v/>
      </c>
      <c r="W28" s="88" t="str">
        <f aca="true">IF($D28="","",IFERROR(COUNTIF(INDIRECT("'"&amp;$D28&amp;"'!$J$7:$J$500"),"QC"),0))</f>
        <v/>
      </c>
      <c r="X28" s="88" t="str">
        <f aca="true">IF($D28="","",IFERROR(COUNTIF(INDIRECT("'"&amp;$D28&amp;"'!$L$7:$L$500"),"Yes"),0))</f>
        <v/>
      </c>
      <c r="Y28" s="88" t="str">
        <f aca="true">IF($D28="","",IFERROR(COUNTIF(INDIRECT("'"&amp;$D28&amp;"'!$AR$7:$AR$500"),"Yes"),0))</f>
        <v/>
      </c>
      <c r="Z28" s="88" t="str">
        <f aca="true">IF($D28="","",IFERROR(COUNTIF(INDIRECT("'"&amp;$D28&amp;"'!$AS$7:$AS$500"),"Pass"),0))</f>
        <v/>
      </c>
      <c r="AA28" s="88" t="str">
        <f aca="true">IF($D28="","",IFERROR(COUNTIF(INDIRECT("'"&amp;$D28&amp;"'!$K$7:$K$500"),"Reviewed"),0))</f>
        <v/>
      </c>
      <c r="AB28" s="92" t="str">
        <f aca="true">IF($D28="","",IFERROR(COUNTIFS(INDIRECT("'"&amp;$D28&amp;"'!$E$7:$E$500"),"High",INDIRECT("'"&amp;$D28&amp;"'!$AT$7:$AT$500"),"?*"),0))</f>
        <v/>
      </c>
      <c r="AC28" s="92" t="str">
        <f aca="true">IF($D28="","",IFERROR(COUNTIFS(INDIRECT("'"&amp;$D28&amp;"'!$E$7:$E$500"),"Medium",INDIRECT("'"&amp;$D28&amp;"'!$AT$7:$AT$500"),"?*"),0))</f>
        <v/>
      </c>
      <c r="AD28" s="92" t="str">
        <f aca="true">IF($D28="","",IFERROR(COUNTIFS(INDIRECT("'"&amp;$D28&amp;"'!$E$7:$E$500"),"Low",INDIRECT("'"&amp;$D28&amp;"'!$AT$7:$AT$500"),"?*"),0))</f>
        <v/>
      </c>
      <c r="AE28" s="93" t="str">
        <f aca="true">IF($D28="","",IFERROR(COUNTIF(INDIRECT("'"&amp;$D28&amp;"'!$P$7:$P$500"),"?*"),0))</f>
        <v/>
      </c>
      <c r="AF28" s="93" t="str">
        <f aca="true">IF($D28="","",IFERROR(COUNTIF(INDIRECT("'"&amp;$D28&amp;"'!$P$7:$P$500"),"Pass"),0))</f>
        <v/>
      </c>
      <c r="AG28" s="93" t="str">
        <f aca="true">IF($D28="","",IFERROR(COUNTIF(INDIRECT("'"&amp;$D28&amp;"'!$P$7:$P$500"),"Fail"),0))</f>
        <v/>
      </c>
      <c r="AH28" s="93" t="str">
        <f aca="true">IF($D28="","",IFERROR(COUNTIF(INDIRECT("'"&amp;$D28&amp;"'!$P$7:$P$500"),"Block"),0))</f>
        <v/>
      </c>
      <c r="AI28" s="93" t="str">
        <f aca="true">IF($D28="","",IFERROR(COUNTIF(INDIRECT("'"&amp;$D28&amp;"'!$P$7:$P$500"),"N/A"),0))</f>
        <v/>
      </c>
      <c r="AJ28" s="93" t="str">
        <f aca="true">IF($D28="","",IFERROR(COUNTIF(INDIRECT("'"&amp;$D28&amp;"'!$V$7:$V$500"),"?*"),0))</f>
        <v/>
      </c>
      <c r="AK28" s="93" t="str">
        <f aca="true">IF($D28="","",IFERROR(COUNTIF(INDIRECT("'"&amp;$D28&amp;"'!$V$7:$V$500"),"Pass"),0))</f>
        <v/>
      </c>
      <c r="AL28" s="93" t="str">
        <f aca="true">IF($D28="","",IFERROR(COUNTIF(INDIRECT("'"&amp;$D28&amp;"'!$V$7:$V$500"),"Fail"),0))</f>
        <v/>
      </c>
      <c r="AM28" s="93" t="str">
        <f aca="true">IF($D28="","",IFERROR(COUNTIF(INDIRECT("'"&amp;$D28&amp;"'!$V$7:$V$500"),"Block"),0))</f>
        <v/>
      </c>
      <c r="AN28" s="93" t="str">
        <f aca="true">IF($D28="","",IFERROR(COUNTIF(INDIRECT("'"&amp;$D28&amp;"'!$V$7:$V$500"),"N/A"),0))</f>
        <v/>
      </c>
      <c r="AO28" s="93" t="str">
        <f aca="true">IF($D28="","",IFERROR(COUNTIF(INDIRECT("'"&amp;$D28&amp;"'!$AB$7:$AB$500"),"?*"),0))</f>
        <v/>
      </c>
      <c r="AP28" s="93" t="str">
        <f aca="true">IF($D28="","",IFERROR(COUNTIF(INDIRECT("'"&amp;$D28&amp;"'!$AB$7:$AB$500"),"Pass"),0))</f>
        <v/>
      </c>
      <c r="AQ28" s="93" t="str">
        <f aca="true">IF($D28="","",IFERROR(COUNTIF(INDIRECT("'"&amp;$D28&amp;"'!$AB$7:$AB$500"),"Fail"),0))</f>
        <v/>
      </c>
      <c r="AR28" s="93" t="str">
        <f aca="true">IF($D28="","",IFERROR(COUNTIF(INDIRECT("'"&amp;$D28&amp;"'!$AB$7:$AB$500"),"Block"),0))</f>
        <v/>
      </c>
      <c r="AS28" s="93" t="str">
        <f aca="true">IF($D28="","",IFERROR(COUNTIF(INDIRECT("'"&amp;$D28&amp;"'!$AB$7:$AB$500"),"N/A"),0))</f>
        <v/>
      </c>
      <c r="AT28" s="93" t="str">
        <f aca="true">IF($D28="","",IFERROR(COUNTIF(INDIRECT("'"&amp;$D28&amp;"'!$AH$7:$AH$500"),"?*"),0))</f>
        <v/>
      </c>
      <c r="AU28" s="93" t="str">
        <f aca="true">IF($D28="","",IFERROR(COUNTIF(INDIRECT("'"&amp;$D28&amp;"'!$AH$7:$AH$500"),"Pass"),0))</f>
        <v/>
      </c>
      <c r="AV28" s="93" t="str">
        <f aca="true">IF($D28="","",IFERROR(COUNTIF(INDIRECT("'"&amp;$D28&amp;"'!$AH$7:$AH$500"),"Fail"),0))</f>
        <v/>
      </c>
      <c r="AW28" s="93" t="str">
        <f aca="true">IF($D28="","",IFERROR(COUNTIF(INDIRECT("'"&amp;$D28&amp;"'!$AH$7:$AH$500"),"Block"),0))</f>
        <v/>
      </c>
      <c r="AX28" s="93" t="str">
        <f aca="true">IF($D28="","",IFERROR(COUNTIF(INDIRECT("'"&amp;$D28&amp;"'!$AH$7:$AH$500"),"N/A"),0))</f>
        <v/>
      </c>
      <c r="AY28" s="93" t="str">
        <f aca="true">IF($D28="","",IFERROR(COUNTIF(INDIRECT("'"&amp;$D28&amp;"'!$AN$7:$AN$500"),"?*"),0))</f>
        <v/>
      </c>
      <c r="AZ28" s="93" t="str">
        <f aca="true">IF($D28="","",IFERROR(COUNTIF(INDIRECT("'"&amp;$D28&amp;"'!$AN$7:$AN$500"),"Pass"),0))</f>
        <v/>
      </c>
      <c r="BA28" s="93" t="str">
        <f aca="true">IF($D28="","",IFERROR(COUNTIF(INDIRECT("'"&amp;$D28&amp;"'!$AN$7:$AN$500"),"Fail"),0))</f>
        <v/>
      </c>
      <c r="BB28" s="93" t="str">
        <f aca="true">IF($D28="","",IFERROR(COUNTIF(INDIRECT("'"&amp;$D28&amp;"'!$AN$7:$AN$500"),"Block"),0))</f>
        <v/>
      </c>
      <c r="BC28" s="1" t="str">
        <f aca="true">IF($D28="","",IFERROR(COUNTIF(INDIRECT("'"&amp;$D28&amp;"'!$AN$7:$AN$500"),"N/A"),0))</f>
        <v/>
      </c>
    </row>
    <row r="29" customFormat="false" ht="15.75" hidden="false" customHeight="true" outlineLevel="0" collapsed="false">
      <c r="A29" s="1"/>
      <c r="B29" s="88" t="str">
        <f aca="false">IF($D29="","",ROW()-3)</f>
        <v/>
      </c>
      <c r="C29" s="89"/>
      <c r="D29" s="89"/>
      <c r="E29" s="90"/>
      <c r="F29" s="88" t="str">
        <f aca="true">IF($D29="","",IFERROR(COUNTIF(INDIRECT("'"&amp;$D29&amp;"'!$A$7:$A$500"),"?*"),0))</f>
        <v/>
      </c>
      <c r="G29" s="88" t="str">
        <f aca="true">IF($D29="","",IFERROR(COUNTIF(INDIRECT("'"&amp;$D29&amp;"'!$AT$7:$AT$500"),"Pass"),0))</f>
        <v/>
      </c>
      <c r="H29" s="88" t="str">
        <f aca="true">IF($D29="","",IFERROR(COUNTIF(INDIRECT("'"&amp;$D29&amp;"'!$AT$7:$AT$500"),"Fail"),0))</f>
        <v/>
      </c>
      <c r="I29" s="88" t="str">
        <f aca="true">IF($D29="","",IFERROR(COUNTIF(INDIRECT("'"&amp;$D29&amp;"'!$AT$7:$AT$500"),"Block"),0))</f>
        <v/>
      </c>
      <c r="J29" s="88" t="str">
        <f aca="true">IF($D29="","",IFERROR(COUNTIF(INDIRECT("'"&amp;$D29&amp;"'!$AT$7:$AT$500"),"N/A"),0))</f>
        <v/>
      </c>
      <c r="K29" s="88" t="str">
        <f aca="false">IF($D29="","",MAX(0,$F29-$G29-$H29-$I29-$J29))</f>
        <v/>
      </c>
      <c r="L29" s="88" t="str">
        <f aca="false">IF($D29="","",$G29+$H29+$I29+$J29)</f>
        <v/>
      </c>
      <c r="M29" s="91" t="str">
        <f aca="false">IF($D29="","",IFERROR($L29/$F29,0))</f>
        <v/>
      </c>
      <c r="N29" s="91" t="str">
        <f aca="false">IF($D29="","",IFERROR($G29/$L29,0))</f>
        <v/>
      </c>
      <c r="O29" s="88" t="str">
        <f aca="true">IF($D29="","",IFERROR(COUNTIF(INDIRECT("'"&amp;$D29&amp;"'!$E$7:$E$500"),"High"),0))</f>
        <v/>
      </c>
      <c r="P29" s="88" t="str">
        <f aca="true">IF($D29="","",IFERROR(COUNTIF(INDIRECT("'"&amp;$D29&amp;"'!$E$7:$E$500"),"Medium"),0))</f>
        <v/>
      </c>
      <c r="Q29" s="88" t="str">
        <f aca="true">IF($D29="","",IFERROR(COUNTIF(INDIRECT("'"&amp;$D29&amp;"'!$E$7:$E$500"),"Low"),0))</f>
        <v/>
      </c>
      <c r="R29" s="88" t="str">
        <f aca="true">IF($D29="","",IFERROR(COUNTIF(INDIRECT("'"&amp;$D29&amp;"'!$D$7:$D$500"),"Functional"),0))</f>
        <v/>
      </c>
      <c r="S29" s="88" t="str">
        <f aca="true">IF($D29="","",IFERROR(COUNTIF(INDIRECT("'"&amp;$D29&amp;"'!$D$7:$D$500"),"UI"),0))</f>
        <v/>
      </c>
      <c r="T29" s="88" t="str">
        <f aca="true">IF($D29="","",IFERROR(COUNTIF(INDIRECT("'"&amp;$D29&amp;"'!$D$7:$D$500"),"Integration"),0))</f>
        <v/>
      </c>
      <c r="U29" s="88" t="str">
        <f aca="true">IF($D29="","",IFERROR(COUNTIF(INDIRECT("'"&amp;$D29&amp;"'!$D$7:$D$500"),"Database Test Case"),0))</f>
        <v/>
      </c>
      <c r="V29" s="88" t="str">
        <f aca="true">IF($D29="","",IFERROR(COUNTIF(INDIRECT("'"&amp;$D29&amp;"'!$J$7:$J$500"),"AI"),0))</f>
        <v/>
      </c>
      <c r="W29" s="88" t="str">
        <f aca="true">IF($D29="","",IFERROR(COUNTIF(INDIRECT("'"&amp;$D29&amp;"'!$J$7:$J$500"),"QC"),0))</f>
        <v/>
      </c>
      <c r="X29" s="88" t="str">
        <f aca="true">IF($D29="","",IFERROR(COUNTIF(INDIRECT("'"&amp;$D29&amp;"'!$L$7:$L$500"),"Yes"),0))</f>
        <v/>
      </c>
      <c r="Y29" s="88" t="str">
        <f aca="true">IF($D29="","",IFERROR(COUNTIF(INDIRECT("'"&amp;$D29&amp;"'!$AR$7:$AR$500"),"Yes"),0))</f>
        <v/>
      </c>
      <c r="Z29" s="88" t="str">
        <f aca="true">IF($D29="","",IFERROR(COUNTIF(INDIRECT("'"&amp;$D29&amp;"'!$AS$7:$AS$500"),"Pass"),0))</f>
        <v/>
      </c>
      <c r="AA29" s="88" t="str">
        <f aca="true">IF($D29="","",IFERROR(COUNTIF(INDIRECT("'"&amp;$D29&amp;"'!$K$7:$K$500"),"Reviewed"),0))</f>
        <v/>
      </c>
      <c r="AB29" s="92" t="str">
        <f aca="true">IF($D29="","",IFERROR(COUNTIFS(INDIRECT("'"&amp;$D29&amp;"'!$E$7:$E$500"),"High",INDIRECT("'"&amp;$D29&amp;"'!$AT$7:$AT$500"),"?*"),0))</f>
        <v/>
      </c>
      <c r="AC29" s="92" t="str">
        <f aca="true">IF($D29="","",IFERROR(COUNTIFS(INDIRECT("'"&amp;$D29&amp;"'!$E$7:$E$500"),"Medium",INDIRECT("'"&amp;$D29&amp;"'!$AT$7:$AT$500"),"?*"),0))</f>
        <v/>
      </c>
      <c r="AD29" s="92" t="str">
        <f aca="true">IF($D29="","",IFERROR(COUNTIFS(INDIRECT("'"&amp;$D29&amp;"'!$E$7:$E$500"),"Low",INDIRECT("'"&amp;$D29&amp;"'!$AT$7:$AT$500"),"?*"),0))</f>
        <v/>
      </c>
      <c r="AE29" s="93" t="str">
        <f aca="true">IF($D29="","",IFERROR(COUNTIF(INDIRECT("'"&amp;$D29&amp;"'!$P$7:$P$500"),"?*"),0))</f>
        <v/>
      </c>
      <c r="AF29" s="93" t="str">
        <f aca="true">IF($D29="","",IFERROR(COUNTIF(INDIRECT("'"&amp;$D29&amp;"'!$P$7:$P$500"),"Pass"),0))</f>
        <v/>
      </c>
      <c r="AG29" s="93" t="str">
        <f aca="true">IF($D29="","",IFERROR(COUNTIF(INDIRECT("'"&amp;$D29&amp;"'!$P$7:$P$500"),"Fail"),0))</f>
        <v/>
      </c>
      <c r="AH29" s="93" t="str">
        <f aca="true">IF($D29="","",IFERROR(COUNTIF(INDIRECT("'"&amp;$D29&amp;"'!$P$7:$P$500"),"Block"),0))</f>
        <v/>
      </c>
      <c r="AI29" s="93" t="str">
        <f aca="true">IF($D29="","",IFERROR(COUNTIF(INDIRECT("'"&amp;$D29&amp;"'!$P$7:$P$500"),"N/A"),0))</f>
        <v/>
      </c>
      <c r="AJ29" s="93" t="str">
        <f aca="true">IF($D29="","",IFERROR(COUNTIF(INDIRECT("'"&amp;$D29&amp;"'!$V$7:$V$500"),"?*"),0))</f>
        <v/>
      </c>
      <c r="AK29" s="93" t="str">
        <f aca="true">IF($D29="","",IFERROR(COUNTIF(INDIRECT("'"&amp;$D29&amp;"'!$V$7:$V$500"),"Pass"),0))</f>
        <v/>
      </c>
      <c r="AL29" s="93" t="str">
        <f aca="true">IF($D29="","",IFERROR(COUNTIF(INDIRECT("'"&amp;$D29&amp;"'!$V$7:$V$500"),"Fail"),0))</f>
        <v/>
      </c>
      <c r="AM29" s="93" t="str">
        <f aca="true">IF($D29="","",IFERROR(COUNTIF(INDIRECT("'"&amp;$D29&amp;"'!$V$7:$V$500"),"Block"),0))</f>
        <v/>
      </c>
      <c r="AN29" s="93" t="str">
        <f aca="true">IF($D29="","",IFERROR(COUNTIF(INDIRECT("'"&amp;$D29&amp;"'!$V$7:$V$500"),"N/A"),0))</f>
        <v/>
      </c>
      <c r="AO29" s="93" t="str">
        <f aca="true">IF($D29="","",IFERROR(COUNTIF(INDIRECT("'"&amp;$D29&amp;"'!$AB$7:$AB$500"),"?*"),0))</f>
        <v/>
      </c>
      <c r="AP29" s="93" t="str">
        <f aca="true">IF($D29="","",IFERROR(COUNTIF(INDIRECT("'"&amp;$D29&amp;"'!$AB$7:$AB$500"),"Pass"),0))</f>
        <v/>
      </c>
      <c r="AQ29" s="93" t="str">
        <f aca="true">IF($D29="","",IFERROR(COUNTIF(INDIRECT("'"&amp;$D29&amp;"'!$AB$7:$AB$500"),"Fail"),0))</f>
        <v/>
      </c>
      <c r="AR29" s="93" t="str">
        <f aca="true">IF($D29="","",IFERROR(COUNTIF(INDIRECT("'"&amp;$D29&amp;"'!$AB$7:$AB$500"),"Block"),0))</f>
        <v/>
      </c>
      <c r="AS29" s="93" t="str">
        <f aca="true">IF($D29="","",IFERROR(COUNTIF(INDIRECT("'"&amp;$D29&amp;"'!$AB$7:$AB$500"),"N/A"),0))</f>
        <v/>
      </c>
      <c r="AT29" s="93" t="str">
        <f aca="true">IF($D29="","",IFERROR(COUNTIF(INDIRECT("'"&amp;$D29&amp;"'!$AH$7:$AH$500"),"?*"),0))</f>
        <v/>
      </c>
      <c r="AU29" s="93" t="str">
        <f aca="true">IF($D29="","",IFERROR(COUNTIF(INDIRECT("'"&amp;$D29&amp;"'!$AH$7:$AH$500"),"Pass"),0))</f>
        <v/>
      </c>
      <c r="AV29" s="93" t="str">
        <f aca="true">IF($D29="","",IFERROR(COUNTIF(INDIRECT("'"&amp;$D29&amp;"'!$AH$7:$AH$500"),"Fail"),0))</f>
        <v/>
      </c>
      <c r="AW29" s="93" t="str">
        <f aca="true">IF($D29="","",IFERROR(COUNTIF(INDIRECT("'"&amp;$D29&amp;"'!$AH$7:$AH$500"),"Block"),0))</f>
        <v/>
      </c>
      <c r="AX29" s="93" t="str">
        <f aca="true">IF($D29="","",IFERROR(COUNTIF(INDIRECT("'"&amp;$D29&amp;"'!$AH$7:$AH$500"),"N/A"),0))</f>
        <v/>
      </c>
      <c r="AY29" s="93" t="str">
        <f aca="true">IF($D29="","",IFERROR(COUNTIF(INDIRECT("'"&amp;$D29&amp;"'!$AN$7:$AN$500"),"?*"),0))</f>
        <v/>
      </c>
      <c r="AZ29" s="93" t="str">
        <f aca="true">IF($D29="","",IFERROR(COUNTIF(INDIRECT("'"&amp;$D29&amp;"'!$AN$7:$AN$500"),"Pass"),0))</f>
        <v/>
      </c>
      <c r="BA29" s="93" t="str">
        <f aca="true">IF($D29="","",IFERROR(COUNTIF(INDIRECT("'"&amp;$D29&amp;"'!$AN$7:$AN$500"),"Fail"),0))</f>
        <v/>
      </c>
      <c r="BB29" s="93" t="str">
        <f aca="true">IF($D29="","",IFERROR(COUNTIF(INDIRECT("'"&amp;$D29&amp;"'!$AN$7:$AN$500"),"Block"),0))</f>
        <v/>
      </c>
      <c r="BC29" s="1" t="str">
        <f aca="true">IF($D29="","",IFERROR(COUNTIF(INDIRECT("'"&amp;$D29&amp;"'!$AN$7:$AN$500"),"N/A"),0))</f>
        <v/>
      </c>
    </row>
    <row r="30" customFormat="false" ht="15.75" hidden="false" customHeight="true" outlineLevel="0" collapsed="false">
      <c r="A30" s="1"/>
      <c r="B30" s="88" t="str">
        <f aca="false">IF($D30="","",ROW()-3)</f>
        <v/>
      </c>
      <c r="C30" s="89"/>
      <c r="D30" s="89"/>
      <c r="E30" s="90"/>
      <c r="F30" s="88" t="str">
        <f aca="true">IF($D30="","",IFERROR(COUNTIF(INDIRECT("'"&amp;$D30&amp;"'!$A$7:$A$500"),"?*"),0))</f>
        <v/>
      </c>
      <c r="G30" s="88" t="str">
        <f aca="true">IF($D30="","",IFERROR(COUNTIF(INDIRECT("'"&amp;$D30&amp;"'!$AT$7:$AT$500"),"Pass"),0))</f>
        <v/>
      </c>
      <c r="H30" s="88" t="str">
        <f aca="true">IF($D30="","",IFERROR(COUNTIF(INDIRECT("'"&amp;$D30&amp;"'!$AT$7:$AT$500"),"Fail"),0))</f>
        <v/>
      </c>
      <c r="I30" s="88" t="str">
        <f aca="true">IF($D30="","",IFERROR(COUNTIF(INDIRECT("'"&amp;$D30&amp;"'!$AT$7:$AT$500"),"Block"),0))</f>
        <v/>
      </c>
      <c r="J30" s="88" t="str">
        <f aca="true">IF($D30="","",IFERROR(COUNTIF(INDIRECT("'"&amp;$D30&amp;"'!$AT$7:$AT$500"),"N/A"),0))</f>
        <v/>
      </c>
      <c r="K30" s="88" t="str">
        <f aca="false">IF($D30="","",MAX(0,$F30-$G30-$H30-$I30-$J30))</f>
        <v/>
      </c>
      <c r="L30" s="88" t="str">
        <f aca="false">IF($D30="","",$G30+$H30+$I30+$J30)</f>
        <v/>
      </c>
      <c r="M30" s="91" t="str">
        <f aca="false">IF($D30="","",IFERROR($L30/$F30,0))</f>
        <v/>
      </c>
      <c r="N30" s="91" t="str">
        <f aca="false">IF($D30="","",IFERROR($G30/$L30,0))</f>
        <v/>
      </c>
      <c r="O30" s="88" t="str">
        <f aca="true">IF($D30="","",IFERROR(COUNTIF(INDIRECT("'"&amp;$D30&amp;"'!$E$7:$E$500"),"High"),0))</f>
        <v/>
      </c>
      <c r="P30" s="88" t="str">
        <f aca="true">IF($D30="","",IFERROR(COUNTIF(INDIRECT("'"&amp;$D30&amp;"'!$E$7:$E$500"),"Medium"),0))</f>
        <v/>
      </c>
      <c r="Q30" s="88" t="str">
        <f aca="true">IF($D30="","",IFERROR(COUNTIF(INDIRECT("'"&amp;$D30&amp;"'!$E$7:$E$500"),"Low"),0))</f>
        <v/>
      </c>
      <c r="R30" s="88" t="str">
        <f aca="true">IF($D30="","",IFERROR(COUNTIF(INDIRECT("'"&amp;$D30&amp;"'!$D$7:$D$500"),"Functional"),0))</f>
        <v/>
      </c>
      <c r="S30" s="88" t="str">
        <f aca="true">IF($D30="","",IFERROR(COUNTIF(INDIRECT("'"&amp;$D30&amp;"'!$D$7:$D$500"),"UI"),0))</f>
        <v/>
      </c>
      <c r="T30" s="88" t="str">
        <f aca="true">IF($D30="","",IFERROR(COUNTIF(INDIRECT("'"&amp;$D30&amp;"'!$D$7:$D$500"),"Integration"),0))</f>
        <v/>
      </c>
      <c r="U30" s="88" t="str">
        <f aca="true">IF($D30="","",IFERROR(COUNTIF(INDIRECT("'"&amp;$D30&amp;"'!$D$7:$D$500"),"Database Test Case"),0))</f>
        <v/>
      </c>
      <c r="V30" s="88" t="str">
        <f aca="true">IF($D30="","",IFERROR(COUNTIF(INDIRECT("'"&amp;$D30&amp;"'!$J$7:$J$500"),"AI"),0))</f>
        <v/>
      </c>
      <c r="W30" s="88" t="str">
        <f aca="true">IF($D30="","",IFERROR(COUNTIF(INDIRECT("'"&amp;$D30&amp;"'!$J$7:$J$500"),"QC"),0))</f>
        <v/>
      </c>
      <c r="X30" s="88" t="str">
        <f aca="true">IF($D30="","",IFERROR(COUNTIF(INDIRECT("'"&amp;$D30&amp;"'!$L$7:$L$500"),"Yes"),0))</f>
        <v/>
      </c>
      <c r="Y30" s="88" t="str">
        <f aca="true">IF($D30="","",IFERROR(COUNTIF(INDIRECT("'"&amp;$D30&amp;"'!$AR$7:$AR$500"),"Yes"),0))</f>
        <v/>
      </c>
      <c r="Z30" s="88" t="str">
        <f aca="true">IF($D30="","",IFERROR(COUNTIF(INDIRECT("'"&amp;$D30&amp;"'!$AS$7:$AS$500"),"Pass"),0))</f>
        <v/>
      </c>
      <c r="AA30" s="88" t="str">
        <f aca="true">IF($D30="","",IFERROR(COUNTIF(INDIRECT("'"&amp;$D30&amp;"'!$K$7:$K$500"),"Reviewed"),0))</f>
        <v/>
      </c>
      <c r="AB30" s="92" t="str">
        <f aca="true">IF($D30="","",IFERROR(COUNTIFS(INDIRECT("'"&amp;$D30&amp;"'!$E$7:$E$500"),"High",INDIRECT("'"&amp;$D30&amp;"'!$AT$7:$AT$500"),"?*"),0))</f>
        <v/>
      </c>
      <c r="AC30" s="92" t="str">
        <f aca="true">IF($D30="","",IFERROR(COUNTIFS(INDIRECT("'"&amp;$D30&amp;"'!$E$7:$E$500"),"Medium",INDIRECT("'"&amp;$D30&amp;"'!$AT$7:$AT$500"),"?*"),0))</f>
        <v/>
      </c>
      <c r="AD30" s="92" t="str">
        <f aca="true">IF($D30="","",IFERROR(COUNTIFS(INDIRECT("'"&amp;$D30&amp;"'!$E$7:$E$500"),"Low",INDIRECT("'"&amp;$D30&amp;"'!$AT$7:$AT$500"),"?*"),0))</f>
        <v/>
      </c>
      <c r="AE30" s="93" t="str">
        <f aca="true">IF($D30="","",IFERROR(COUNTIF(INDIRECT("'"&amp;$D30&amp;"'!$P$7:$P$500"),"?*"),0))</f>
        <v/>
      </c>
      <c r="AF30" s="93" t="str">
        <f aca="true">IF($D30="","",IFERROR(COUNTIF(INDIRECT("'"&amp;$D30&amp;"'!$P$7:$P$500"),"Pass"),0))</f>
        <v/>
      </c>
      <c r="AG30" s="93" t="str">
        <f aca="true">IF($D30="","",IFERROR(COUNTIF(INDIRECT("'"&amp;$D30&amp;"'!$P$7:$P$500"),"Fail"),0))</f>
        <v/>
      </c>
      <c r="AH30" s="93" t="str">
        <f aca="true">IF($D30="","",IFERROR(COUNTIF(INDIRECT("'"&amp;$D30&amp;"'!$P$7:$P$500"),"Block"),0))</f>
        <v/>
      </c>
      <c r="AI30" s="93" t="str">
        <f aca="true">IF($D30="","",IFERROR(COUNTIF(INDIRECT("'"&amp;$D30&amp;"'!$P$7:$P$500"),"N/A"),0))</f>
        <v/>
      </c>
      <c r="AJ30" s="93" t="str">
        <f aca="true">IF($D30="","",IFERROR(COUNTIF(INDIRECT("'"&amp;$D30&amp;"'!$V$7:$V$500"),"?*"),0))</f>
        <v/>
      </c>
      <c r="AK30" s="93" t="str">
        <f aca="true">IF($D30="","",IFERROR(COUNTIF(INDIRECT("'"&amp;$D30&amp;"'!$V$7:$V$500"),"Pass"),0))</f>
        <v/>
      </c>
      <c r="AL30" s="93" t="str">
        <f aca="true">IF($D30="","",IFERROR(COUNTIF(INDIRECT("'"&amp;$D30&amp;"'!$V$7:$V$500"),"Fail"),0))</f>
        <v/>
      </c>
      <c r="AM30" s="93" t="str">
        <f aca="true">IF($D30="","",IFERROR(COUNTIF(INDIRECT("'"&amp;$D30&amp;"'!$V$7:$V$500"),"Block"),0))</f>
        <v/>
      </c>
      <c r="AN30" s="93" t="str">
        <f aca="true">IF($D30="","",IFERROR(COUNTIF(INDIRECT("'"&amp;$D30&amp;"'!$V$7:$V$500"),"N/A"),0))</f>
        <v/>
      </c>
      <c r="AO30" s="93" t="str">
        <f aca="true">IF($D30="","",IFERROR(COUNTIF(INDIRECT("'"&amp;$D30&amp;"'!$AB$7:$AB$500"),"?*"),0))</f>
        <v/>
      </c>
      <c r="AP30" s="93" t="str">
        <f aca="true">IF($D30="","",IFERROR(COUNTIF(INDIRECT("'"&amp;$D30&amp;"'!$AB$7:$AB$500"),"Pass"),0))</f>
        <v/>
      </c>
      <c r="AQ30" s="93" t="str">
        <f aca="true">IF($D30="","",IFERROR(COUNTIF(INDIRECT("'"&amp;$D30&amp;"'!$AB$7:$AB$500"),"Fail"),0))</f>
        <v/>
      </c>
      <c r="AR30" s="93" t="str">
        <f aca="true">IF($D30="","",IFERROR(COUNTIF(INDIRECT("'"&amp;$D30&amp;"'!$AB$7:$AB$500"),"Block"),0))</f>
        <v/>
      </c>
      <c r="AS30" s="93" t="str">
        <f aca="true">IF($D30="","",IFERROR(COUNTIF(INDIRECT("'"&amp;$D30&amp;"'!$AB$7:$AB$500"),"N/A"),0))</f>
        <v/>
      </c>
      <c r="AT30" s="93" t="str">
        <f aca="true">IF($D30="","",IFERROR(COUNTIF(INDIRECT("'"&amp;$D30&amp;"'!$AH$7:$AH$500"),"?*"),0))</f>
        <v/>
      </c>
      <c r="AU30" s="93" t="str">
        <f aca="true">IF($D30="","",IFERROR(COUNTIF(INDIRECT("'"&amp;$D30&amp;"'!$AH$7:$AH$500"),"Pass"),0))</f>
        <v/>
      </c>
      <c r="AV30" s="93" t="str">
        <f aca="true">IF($D30="","",IFERROR(COUNTIF(INDIRECT("'"&amp;$D30&amp;"'!$AH$7:$AH$500"),"Fail"),0))</f>
        <v/>
      </c>
      <c r="AW30" s="93" t="str">
        <f aca="true">IF($D30="","",IFERROR(COUNTIF(INDIRECT("'"&amp;$D30&amp;"'!$AH$7:$AH$500"),"Block"),0))</f>
        <v/>
      </c>
      <c r="AX30" s="93" t="str">
        <f aca="true">IF($D30="","",IFERROR(COUNTIF(INDIRECT("'"&amp;$D30&amp;"'!$AH$7:$AH$500"),"N/A"),0))</f>
        <v/>
      </c>
      <c r="AY30" s="93" t="str">
        <f aca="true">IF($D30="","",IFERROR(COUNTIF(INDIRECT("'"&amp;$D30&amp;"'!$AN$7:$AN$500"),"?*"),0))</f>
        <v/>
      </c>
      <c r="AZ30" s="93" t="str">
        <f aca="true">IF($D30="","",IFERROR(COUNTIF(INDIRECT("'"&amp;$D30&amp;"'!$AN$7:$AN$500"),"Pass"),0))</f>
        <v/>
      </c>
      <c r="BA30" s="93" t="str">
        <f aca="true">IF($D30="","",IFERROR(COUNTIF(INDIRECT("'"&amp;$D30&amp;"'!$AN$7:$AN$500"),"Fail"),0))</f>
        <v/>
      </c>
      <c r="BB30" s="93" t="str">
        <f aca="true">IF($D30="","",IFERROR(COUNTIF(INDIRECT("'"&amp;$D30&amp;"'!$AN$7:$AN$500"),"Block"),0))</f>
        <v/>
      </c>
      <c r="BC30" s="1" t="str">
        <f aca="true">IF($D30="","",IFERROR(COUNTIF(INDIRECT("'"&amp;$D30&amp;"'!$AN$7:$AN$500"),"N/A"),0))</f>
        <v/>
      </c>
    </row>
    <row r="31" customFormat="false" ht="15.75" hidden="false" customHeight="true" outlineLevel="0" collapsed="false">
      <c r="A31" s="1"/>
      <c r="B31" s="88" t="str">
        <f aca="false">IF($D31="","",ROW()-3)</f>
        <v/>
      </c>
      <c r="C31" s="89"/>
      <c r="D31" s="89"/>
      <c r="E31" s="90"/>
      <c r="F31" s="88" t="str">
        <f aca="true">IF($D31="","",IFERROR(COUNTIF(INDIRECT("'"&amp;$D31&amp;"'!$A$7:$A$500"),"?*"),0))</f>
        <v/>
      </c>
      <c r="G31" s="88" t="str">
        <f aca="true">IF($D31="","",IFERROR(COUNTIF(INDIRECT("'"&amp;$D31&amp;"'!$AT$7:$AT$500"),"Pass"),0))</f>
        <v/>
      </c>
      <c r="H31" s="88" t="str">
        <f aca="true">IF($D31="","",IFERROR(COUNTIF(INDIRECT("'"&amp;$D31&amp;"'!$AT$7:$AT$500"),"Fail"),0))</f>
        <v/>
      </c>
      <c r="I31" s="88" t="str">
        <f aca="true">IF($D31="","",IFERROR(COUNTIF(INDIRECT("'"&amp;$D31&amp;"'!$AT$7:$AT$500"),"Block"),0))</f>
        <v/>
      </c>
      <c r="J31" s="88" t="str">
        <f aca="true">IF($D31="","",IFERROR(COUNTIF(INDIRECT("'"&amp;$D31&amp;"'!$AT$7:$AT$500"),"N/A"),0))</f>
        <v/>
      </c>
      <c r="K31" s="88" t="str">
        <f aca="false">IF($D31="","",MAX(0,$F31-$G31-$H31-$I31-$J31))</f>
        <v/>
      </c>
      <c r="L31" s="88" t="str">
        <f aca="false">IF($D31="","",$G31+$H31+$I31+$J31)</f>
        <v/>
      </c>
      <c r="M31" s="91" t="str">
        <f aca="false">IF($D31="","",IFERROR($L31/$F31,0))</f>
        <v/>
      </c>
      <c r="N31" s="91" t="str">
        <f aca="false">IF($D31="","",IFERROR($G31/$L31,0))</f>
        <v/>
      </c>
      <c r="O31" s="88" t="str">
        <f aca="true">IF($D31="","",IFERROR(COUNTIF(INDIRECT("'"&amp;$D31&amp;"'!$E$7:$E$500"),"High"),0))</f>
        <v/>
      </c>
      <c r="P31" s="88" t="str">
        <f aca="true">IF($D31="","",IFERROR(COUNTIF(INDIRECT("'"&amp;$D31&amp;"'!$E$7:$E$500"),"Medium"),0))</f>
        <v/>
      </c>
      <c r="Q31" s="88" t="str">
        <f aca="true">IF($D31="","",IFERROR(COUNTIF(INDIRECT("'"&amp;$D31&amp;"'!$E$7:$E$500"),"Low"),0))</f>
        <v/>
      </c>
      <c r="R31" s="88" t="str">
        <f aca="true">IF($D31="","",IFERROR(COUNTIF(INDIRECT("'"&amp;$D31&amp;"'!$D$7:$D$500"),"Functional"),0))</f>
        <v/>
      </c>
      <c r="S31" s="88" t="str">
        <f aca="true">IF($D31="","",IFERROR(COUNTIF(INDIRECT("'"&amp;$D31&amp;"'!$D$7:$D$500"),"UI"),0))</f>
        <v/>
      </c>
      <c r="T31" s="88" t="str">
        <f aca="true">IF($D31="","",IFERROR(COUNTIF(INDIRECT("'"&amp;$D31&amp;"'!$D$7:$D$500"),"Integration"),0))</f>
        <v/>
      </c>
      <c r="U31" s="88" t="str">
        <f aca="true">IF($D31="","",IFERROR(COUNTIF(INDIRECT("'"&amp;$D31&amp;"'!$D$7:$D$500"),"Database Test Case"),0))</f>
        <v/>
      </c>
      <c r="V31" s="88" t="str">
        <f aca="true">IF($D31="","",IFERROR(COUNTIF(INDIRECT("'"&amp;$D31&amp;"'!$J$7:$J$500"),"AI"),0))</f>
        <v/>
      </c>
      <c r="W31" s="88" t="str">
        <f aca="true">IF($D31="","",IFERROR(COUNTIF(INDIRECT("'"&amp;$D31&amp;"'!$J$7:$J$500"),"QC"),0))</f>
        <v/>
      </c>
      <c r="X31" s="88" t="str">
        <f aca="true">IF($D31="","",IFERROR(COUNTIF(INDIRECT("'"&amp;$D31&amp;"'!$L$7:$L$500"),"Yes"),0))</f>
        <v/>
      </c>
      <c r="Y31" s="88" t="str">
        <f aca="true">IF($D31="","",IFERROR(COUNTIF(INDIRECT("'"&amp;$D31&amp;"'!$AR$7:$AR$500"),"Yes"),0))</f>
        <v/>
      </c>
      <c r="Z31" s="88" t="str">
        <f aca="true">IF($D31="","",IFERROR(COUNTIF(INDIRECT("'"&amp;$D31&amp;"'!$AS$7:$AS$500"),"Pass"),0))</f>
        <v/>
      </c>
      <c r="AA31" s="88" t="str">
        <f aca="true">IF($D31="","",IFERROR(COUNTIF(INDIRECT("'"&amp;$D31&amp;"'!$K$7:$K$500"),"Reviewed"),0))</f>
        <v/>
      </c>
      <c r="AB31" s="92" t="str">
        <f aca="true">IF($D31="","",IFERROR(COUNTIFS(INDIRECT("'"&amp;$D31&amp;"'!$E$7:$E$500"),"High",INDIRECT("'"&amp;$D31&amp;"'!$AT$7:$AT$500"),"?*"),0))</f>
        <v/>
      </c>
      <c r="AC31" s="92" t="str">
        <f aca="true">IF($D31="","",IFERROR(COUNTIFS(INDIRECT("'"&amp;$D31&amp;"'!$E$7:$E$500"),"Medium",INDIRECT("'"&amp;$D31&amp;"'!$AT$7:$AT$500"),"?*"),0))</f>
        <v/>
      </c>
      <c r="AD31" s="92" t="str">
        <f aca="true">IF($D31="","",IFERROR(COUNTIFS(INDIRECT("'"&amp;$D31&amp;"'!$E$7:$E$500"),"Low",INDIRECT("'"&amp;$D31&amp;"'!$AT$7:$AT$500"),"?*"),0))</f>
        <v/>
      </c>
      <c r="AE31" s="93" t="str">
        <f aca="true">IF($D31="","",IFERROR(COUNTIF(INDIRECT("'"&amp;$D31&amp;"'!$P$7:$P$500"),"?*"),0))</f>
        <v/>
      </c>
      <c r="AF31" s="93" t="str">
        <f aca="true">IF($D31="","",IFERROR(COUNTIF(INDIRECT("'"&amp;$D31&amp;"'!$P$7:$P$500"),"Pass"),0))</f>
        <v/>
      </c>
      <c r="AG31" s="93" t="str">
        <f aca="true">IF($D31="","",IFERROR(COUNTIF(INDIRECT("'"&amp;$D31&amp;"'!$P$7:$P$500"),"Fail"),0))</f>
        <v/>
      </c>
      <c r="AH31" s="93" t="str">
        <f aca="true">IF($D31="","",IFERROR(COUNTIF(INDIRECT("'"&amp;$D31&amp;"'!$P$7:$P$500"),"Block"),0))</f>
        <v/>
      </c>
      <c r="AI31" s="93" t="str">
        <f aca="true">IF($D31="","",IFERROR(COUNTIF(INDIRECT("'"&amp;$D31&amp;"'!$P$7:$P$500"),"N/A"),0))</f>
        <v/>
      </c>
      <c r="AJ31" s="93" t="str">
        <f aca="true">IF($D31="","",IFERROR(COUNTIF(INDIRECT("'"&amp;$D31&amp;"'!$V$7:$V$500"),"?*"),0))</f>
        <v/>
      </c>
      <c r="AK31" s="93" t="str">
        <f aca="true">IF($D31="","",IFERROR(COUNTIF(INDIRECT("'"&amp;$D31&amp;"'!$V$7:$V$500"),"Pass"),0))</f>
        <v/>
      </c>
      <c r="AL31" s="93" t="str">
        <f aca="true">IF($D31="","",IFERROR(COUNTIF(INDIRECT("'"&amp;$D31&amp;"'!$V$7:$V$500"),"Fail"),0))</f>
        <v/>
      </c>
      <c r="AM31" s="93" t="str">
        <f aca="true">IF($D31="","",IFERROR(COUNTIF(INDIRECT("'"&amp;$D31&amp;"'!$V$7:$V$500"),"Block"),0))</f>
        <v/>
      </c>
      <c r="AN31" s="93" t="str">
        <f aca="true">IF($D31="","",IFERROR(COUNTIF(INDIRECT("'"&amp;$D31&amp;"'!$V$7:$V$500"),"N/A"),0))</f>
        <v/>
      </c>
      <c r="AO31" s="93" t="str">
        <f aca="true">IF($D31="","",IFERROR(COUNTIF(INDIRECT("'"&amp;$D31&amp;"'!$AB$7:$AB$500"),"?*"),0))</f>
        <v/>
      </c>
      <c r="AP31" s="93" t="str">
        <f aca="true">IF($D31="","",IFERROR(COUNTIF(INDIRECT("'"&amp;$D31&amp;"'!$AB$7:$AB$500"),"Pass"),0))</f>
        <v/>
      </c>
      <c r="AQ31" s="93" t="str">
        <f aca="true">IF($D31="","",IFERROR(COUNTIF(INDIRECT("'"&amp;$D31&amp;"'!$AB$7:$AB$500"),"Fail"),0))</f>
        <v/>
      </c>
      <c r="AR31" s="93" t="str">
        <f aca="true">IF($D31="","",IFERROR(COUNTIF(INDIRECT("'"&amp;$D31&amp;"'!$AB$7:$AB$500"),"Block"),0))</f>
        <v/>
      </c>
      <c r="AS31" s="93" t="str">
        <f aca="true">IF($D31="","",IFERROR(COUNTIF(INDIRECT("'"&amp;$D31&amp;"'!$AB$7:$AB$500"),"N/A"),0))</f>
        <v/>
      </c>
      <c r="AT31" s="93" t="str">
        <f aca="true">IF($D31="","",IFERROR(COUNTIF(INDIRECT("'"&amp;$D31&amp;"'!$AH$7:$AH$500"),"?*"),0))</f>
        <v/>
      </c>
      <c r="AU31" s="93" t="str">
        <f aca="true">IF($D31="","",IFERROR(COUNTIF(INDIRECT("'"&amp;$D31&amp;"'!$AH$7:$AH$500"),"Pass"),0))</f>
        <v/>
      </c>
      <c r="AV31" s="93" t="str">
        <f aca="true">IF($D31="","",IFERROR(COUNTIF(INDIRECT("'"&amp;$D31&amp;"'!$AH$7:$AH$500"),"Fail"),0))</f>
        <v/>
      </c>
      <c r="AW31" s="93" t="str">
        <f aca="true">IF($D31="","",IFERROR(COUNTIF(INDIRECT("'"&amp;$D31&amp;"'!$AH$7:$AH$500"),"Block"),0))</f>
        <v/>
      </c>
      <c r="AX31" s="93" t="str">
        <f aca="true">IF($D31="","",IFERROR(COUNTIF(INDIRECT("'"&amp;$D31&amp;"'!$AH$7:$AH$500"),"N/A"),0))</f>
        <v/>
      </c>
      <c r="AY31" s="93" t="str">
        <f aca="true">IF($D31="","",IFERROR(COUNTIF(INDIRECT("'"&amp;$D31&amp;"'!$AN$7:$AN$500"),"?*"),0))</f>
        <v/>
      </c>
      <c r="AZ31" s="93" t="str">
        <f aca="true">IF($D31="","",IFERROR(COUNTIF(INDIRECT("'"&amp;$D31&amp;"'!$AN$7:$AN$500"),"Pass"),0))</f>
        <v/>
      </c>
      <c r="BA31" s="93" t="str">
        <f aca="true">IF($D31="","",IFERROR(COUNTIF(INDIRECT("'"&amp;$D31&amp;"'!$AN$7:$AN$500"),"Fail"),0))</f>
        <v/>
      </c>
      <c r="BB31" s="93" t="str">
        <f aca="true">IF($D31="","",IFERROR(COUNTIF(INDIRECT("'"&amp;$D31&amp;"'!$AN$7:$AN$500"),"Block"),0))</f>
        <v/>
      </c>
      <c r="BC31" s="1" t="str">
        <f aca="true">IF($D31="","",IFERROR(COUNTIF(INDIRECT("'"&amp;$D31&amp;"'!$AN$7:$AN$500"),"N/A"),0))</f>
        <v/>
      </c>
    </row>
    <row r="32" customFormat="false" ht="15.75" hidden="false" customHeight="true" outlineLevel="0" collapsed="false">
      <c r="A32" s="1"/>
      <c r="B32" s="88" t="str">
        <f aca="false">IF($D32="","",ROW()-3)</f>
        <v/>
      </c>
      <c r="C32" s="89"/>
      <c r="D32" s="89"/>
      <c r="E32" s="90"/>
      <c r="F32" s="88" t="str">
        <f aca="true">IF($D32="","",IFERROR(COUNTIF(INDIRECT("'"&amp;$D32&amp;"'!$A$7:$A$500"),"?*"),0))</f>
        <v/>
      </c>
      <c r="G32" s="88" t="str">
        <f aca="true">IF($D32="","",IFERROR(COUNTIF(INDIRECT("'"&amp;$D32&amp;"'!$AT$7:$AT$500"),"Pass"),0))</f>
        <v/>
      </c>
      <c r="H32" s="88" t="str">
        <f aca="true">IF($D32="","",IFERROR(COUNTIF(INDIRECT("'"&amp;$D32&amp;"'!$AT$7:$AT$500"),"Fail"),0))</f>
        <v/>
      </c>
      <c r="I32" s="88" t="str">
        <f aca="true">IF($D32="","",IFERROR(COUNTIF(INDIRECT("'"&amp;$D32&amp;"'!$AT$7:$AT$500"),"Block"),0))</f>
        <v/>
      </c>
      <c r="J32" s="88" t="str">
        <f aca="true">IF($D32="","",IFERROR(COUNTIF(INDIRECT("'"&amp;$D32&amp;"'!$AT$7:$AT$500"),"N/A"),0))</f>
        <v/>
      </c>
      <c r="K32" s="88" t="str">
        <f aca="false">IF($D32="","",MAX(0,$F32-$G32-$H32-$I32-$J32))</f>
        <v/>
      </c>
      <c r="L32" s="88" t="str">
        <f aca="false">IF($D32="","",$G32+$H32+$I32+$J32)</f>
        <v/>
      </c>
      <c r="M32" s="91" t="str">
        <f aca="false">IF($D32="","",IFERROR($L32/$F32,0))</f>
        <v/>
      </c>
      <c r="N32" s="91" t="str">
        <f aca="false">IF($D32="","",IFERROR($G32/$L32,0))</f>
        <v/>
      </c>
      <c r="O32" s="88" t="str">
        <f aca="true">IF($D32="","",IFERROR(COUNTIF(INDIRECT("'"&amp;$D32&amp;"'!$E$7:$E$500"),"High"),0))</f>
        <v/>
      </c>
      <c r="P32" s="88" t="str">
        <f aca="true">IF($D32="","",IFERROR(COUNTIF(INDIRECT("'"&amp;$D32&amp;"'!$E$7:$E$500"),"Medium"),0))</f>
        <v/>
      </c>
      <c r="Q32" s="88" t="str">
        <f aca="true">IF($D32="","",IFERROR(COUNTIF(INDIRECT("'"&amp;$D32&amp;"'!$E$7:$E$500"),"Low"),0))</f>
        <v/>
      </c>
      <c r="R32" s="88" t="str">
        <f aca="true">IF($D32="","",IFERROR(COUNTIF(INDIRECT("'"&amp;$D32&amp;"'!$D$7:$D$500"),"Functional"),0))</f>
        <v/>
      </c>
      <c r="S32" s="88" t="str">
        <f aca="true">IF($D32="","",IFERROR(COUNTIF(INDIRECT("'"&amp;$D32&amp;"'!$D$7:$D$500"),"UI"),0))</f>
        <v/>
      </c>
      <c r="T32" s="88" t="str">
        <f aca="true">IF($D32="","",IFERROR(COUNTIF(INDIRECT("'"&amp;$D32&amp;"'!$D$7:$D$500"),"Integration"),0))</f>
        <v/>
      </c>
      <c r="U32" s="88" t="str">
        <f aca="true">IF($D32="","",IFERROR(COUNTIF(INDIRECT("'"&amp;$D32&amp;"'!$D$7:$D$500"),"Database Test Case"),0))</f>
        <v/>
      </c>
      <c r="V32" s="88" t="str">
        <f aca="true">IF($D32="","",IFERROR(COUNTIF(INDIRECT("'"&amp;$D32&amp;"'!$J$7:$J$500"),"AI"),0))</f>
        <v/>
      </c>
      <c r="W32" s="88" t="str">
        <f aca="true">IF($D32="","",IFERROR(COUNTIF(INDIRECT("'"&amp;$D32&amp;"'!$J$7:$J$500"),"QC"),0))</f>
        <v/>
      </c>
      <c r="X32" s="88" t="str">
        <f aca="true">IF($D32="","",IFERROR(COUNTIF(INDIRECT("'"&amp;$D32&amp;"'!$L$7:$L$500"),"Yes"),0))</f>
        <v/>
      </c>
      <c r="Y32" s="88" t="str">
        <f aca="true">IF($D32="","",IFERROR(COUNTIF(INDIRECT("'"&amp;$D32&amp;"'!$AR$7:$AR$500"),"Yes"),0))</f>
        <v/>
      </c>
      <c r="Z32" s="88" t="str">
        <f aca="true">IF($D32="","",IFERROR(COUNTIF(INDIRECT("'"&amp;$D32&amp;"'!$AS$7:$AS$500"),"Pass"),0))</f>
        <v/>
      </c>
      <c r="AA32" s="88" t="str">
        <f aca="true">IF($D32="","",IFERROR(COUNTIF(INDIRECT("'"&amp;$D32&amp;"'!$K$7:$K$500"),"Reviewed"),0))</f>
        <v/>
      </c>
      <c r="AB32" s="92" t="str">
        <f aca="true">IF($D32="","",IFERROR(COUNTIFS(INDIRECT("'"&amp;$D32&amp;"'!$E$7:$E$500"),"High",INDIRECT("'"&amp;$D32&amp;"'!$AT$7:$AT$500"),"?*"),0))</f>
        <v/>
      </c>
      <c r="AC32" s="92" t="str">
        <f aca="true">IF($D32="","",IFERROR(COUNTIFS(INDIRECT("'"&amp;$D32&amp;"'!$E$7:$E$500"),"Medium",INDIRECT("'"&amp;$D32&amp;"'!$AT$7:$AT$500"),"?*"),0))</f>
        <v/>
      </c>
      <c r="AD32" s="92" t="str">
        <f aca="true">IF($D32="","",IFERROR(COUNTIFS(INDIRECT("'"&amp;$D32&amp;"'!$E$7:$E$500"),"Low",INDIRECT("'"&amp;$D32&amp;"'!$AT$7:$AT$500"),"?*"),0))</f>
        <v/>
      </c>
      <c r="AE32" s="93" t="str">
        <f aca="true">IF($D32="","",IFERROR(COUNTIF(INDIRECT("'"&amp;$D32&amp;"'!$P$7:$P$500"),"?*"),0))</f>
        <v/>
      </c>
      <c r="AF32" s="93" t="str">
        <f aca="true">IF($D32="","",IFERROR(COUNTIF(INDIRECT("'"&amp;$D32&amp;"'!$P$7:$P$500"),"Pass"),0))</f>
        <v/>
      </c>
      <c r="AG32" s="93" t="str">
        <f aca="true">IF($D32="","",IFERROR(COUNTIF(INDIRECT("'"&amp;$D32&amp;"'!$P$7:$P$500"),"Fail"),0))</f>
        <v/>
      </c>
      <c r="AH32" s="93" t="str">
        <f aca="true">IF($D32="","",IFERROR(COUNTIF(INDIRECT("'"&amp;$D32&amp;"'!$P$7:$P$500"),"Block"),0))</f>
        <v/>
      </c>
      <c r="AI32" s="93" t="str">
        <f aca="true">IF($D32="","",IFERROR(COUNTIF(INDIRECT("'"&amp;$D32&amp;"'!$P$7:$P$500"),"N/A"),0))</f>
        <v/>
      </c>
      <c r="AJ32" s="93" t="str">
        <f aca="true">IF($D32="","",IFERROR(COUNTIF(INDIRECT("'"&amp;$D32&amp;"'!$V$7:$V$500"),"?*"),0))</f>
        <v/>
      </c>
      <c r="AK32" s="93" t="str">
        <f aca="true">IF($D32="","",IFERROR(COUNTIF(INDIRECT("'"&amp;$D32&amp;"'!$V$7:$V$500"),"Pass"),0))</f>
        <v/>
      </c>
      <c r="AL32" s="93" t="str">
        <f aca="true">IF($D32="","",IFERROR(COUNTIF(INDIRECT("'"&amp;$D32&amp;"'!$V$7:$V$500"),"Fail"),0))</f>
        <v/>
      </c>
      <c r="AM32" s="93" t="str">
        <f aca="true">IF($D32="","",IFERROR(COUNTIF(INDIRECT("'"&amp;$D32&amp;"'!$V$7:$V$500"),"Block"),0))</f>
        <v/>
      </c>
      <c r="AN32" s="93" t="str">
        <f aca="true">IF($D32="","",IFERROR(COUNTIF(INDIRECT("'"&amp;$D32&amp;"'!$V$7:$V$500"),"N/A"),0))</f>
        <v/>
      </c>
      <c r="AO32" s="93" t="str">
        <f aca="true">IF($D32="","",IFERROR(COUNTIF(INDIRECT("'"&amp;$D32&amp;"'!$AB$7:$AB$500"),"?*"),0))</f>
        <v/>
      </c>
      <c r="AP32" s="93" t="str">
        <f aca="true">IF($D32="","",IFERROR(COUNTIF(INDIRECT("'"&amp;$D32&amp;"'!$AB$7:$AB$500"),"Pass"),0))</f>
        <v/>
      </c>
      <c r="AQ32" s="93" t="str">
        <f aca="true">IF($D32="","",IFERROR(COUNTIF(INDIRECT("'"&amp;$D32&amp;"'!$AB$7:$AB$500"),"Fail"),0))</f>
        <v/>
      </c>
      <c r="AR32" s="93" t="str">
        <f aca="true">IF($D32="","",IFERROR(COUNTIF(INDIRECT("'"&amp;$D32&amp;"'!$AB$7:$AB$500"),"Block"),0))</f>
        <v/>
      </c>
      <c r="AS32" s="93" t="str">
        <f aca="true">IF($D32="","",IFERROR(COUNTIF(INDIRECT("'"&amp;$D32&amp;"'!$AB$7:$AB$500"),"N/A"),0))</f>
        <v/>
      </c>
      <c r="AT32" s="93" t="str">
        <f aca="true">IF($D32="","",IFERROR(COUNTIF(INDIRECT("'"&amp;$D32&amp;"'!$AH$7:$AH$500"),"?*"),0))</f>
        <v/>
      </c>
      <c r="AU32" s="93" t="str">
        <f aca="true">IF($D32="","",IFERROR(COUNTIF(INDIRECT("'"&amp;$D32&amp;"'!$AH$7:$AH$500"),"Pass"),0))</f>
        <v/>
      </c>
      <c r="AV32" s="93" t="str">
        <f aca="true">IF($D32="","",IFERROR(COUNTIF(INDIRECT("'"&amp;$D32&amp;"'!$AH$7:$AH$500"),"Fail"),0))</f>
        <v/>
      </c>
      <c r="AW32" s="93" t="str">
        <f aca="true">IF($D32="","",IFERROR(COUNTIF(INDIRECT("'"&amp;$D32&amp;"'!$AH$7:$AH$500"),"Block"),0))</f>
        <v/>
      </c>
      <c r="AX32" s="93" t="str">
        <f aca="true">IF($D32="","",IFERROR(COUNTIF(INDIRECT("'"&amp;$D32&amp;"'!$AH$7:$AH$500"),"N/A"),0))</f>
        <v/>
      </c>
      <c r="AY32" s="93" t="str">
        <f aca="true">IF($D32="","",IFERROR(COUNTIF(INDIRECT("'"&amp;$D32&amp;"'!$AN$7:$AN$500"),"?*"),0))</f>
        <v/>
      </c>
      <c r="AZ32" s="93" t="str">
        <f aca="true">IF($D32="","",IFERROR(COUNTIF(INDIRECT("'"&amp;$D32&amp;"'!$AN$7:$AN$500"),"Pass"),0))</f>
        <v/>
      </c>
      <c r="BA32" s="93" t="str">
        <f aca="true">IF($D32="","",IFERROR(COUNTIF(INDIRECT("'"&amp;$D32&amp;"'!$AN$7:$AN$500"),"Fail"),0))</f>
        <v/>
      </c>
      <c r="BB32" s="93" t="str">
        <f aca="true">IF($D32="","",IFERROR(COUNTIF(INDIRECT("'"&amp;$D32&amp;"'!$AN$7:$AN$500"),"Block"),0))</f>
        <v/>
      </c>
      <c r="BC32" s="1" t="str">
        <f aca="true">IF($D32="","",IFERROR(COUNTIF(INDIRECT("'"&amp;$D32&amp;"'!$AN$7:$AN$500"),"N/A"),0))</f>
        <v/>
      </c>
    </row>
    <row r="33" customFormat="false" ht="15.75" hidden="false" customHeight="true" outlineLevel="0" collapsed="false">
      <c r="A33" s="1"/>
      <c r="B33" s="88" t="str">
        <f aca="false">IF($D33="","",ROW()-3)</f>
        <v/>
      </c>
      <c r="C33" s="89"/>
      <c r="D33" s="89"/>
      <c r="E33" s="90"/>
      <c r="F33" s="88" t="str">
        <f aca="true">IF($D33="","",IFERROR(COUNTIF(INDIRECT("'"&amp;$D33&amp;"'!$A$7:$A$500"),"?*"),0))</f>
        <v/>
      </c>
      <c r="G33" s="88" t="str">
        <f aca="true">IF($D33="","",IFERROR(COUNTIF(INDIRECT("'"&amp;$D33&amp;"'!$AT$7:$AT$500"),"Pass"),0))</f>
        <v/>
      </c>
      <c r="H33" s="88" t="str">
        <f aca="true">IF($D33="","",IFERROR(COUNTIF(INDIRECT("'"&amp;$D33&amp;"'!$AT$7:$AT$500"),"Fail"),0))</f>
        <v/>
      </c>
      <c r="I33" s="88" t="str">
        <f aca="true">IF($D33="","",IFERROR(COUNTIF(INDIRECT("'"&amp;$D33&amp;"'!$AT$7:$AT$500"),"Block"),0))</f>
        <v/>
      </c>
      <c r="J33" s="88" t="str">
        <f aca="true">IF($D33="","",IFERROR(COUNTIF(INDIRECT("'"&amp;$D33&amp;"'!$AT$7:$AT$500"),"N/A"),0))</f>
        <v/>
      </c>
      <c r="K33" s="88" t="str">
        <f aca="false">IF($D33="","",MAX(0,$F33-$G33-$H33-$I33-$J33))</f>
        <v/>
      </c>
      <c r="L33" s="88" t="str">
        <f aca="false">IF($D33="","",$G33+$H33+$I33+$J33)</f>
        <v/>
      </c>
      <c r="M33" s="91" t="str">
        <f aca="false">IF($D33="","",IFERROR($L33/$F33,0))</f>
        <v/>
      </c>
      <c r="N33" s="91" t="str">
        <f aca="false">IF($D33="","",IFERROR($G33/$L33,0))</f>
        <v/>
      </c>
      <c r="O33" s="88" t="str">
        <f aca="true">IF($D33="","",IFERROR(COUNTIF(INDIRECT("'"&amp;$D33&amp;"'!$E$7:$E$500"),"High"),0))</f>
        <v/>
      </c>
      <c r="P33" s="88" t="str">
        <f aca="true">IF($D33="","",IFERROR(COUNTIF(INDIRECT("'"&amp;$D33&amp;"'!$E$7:$E$500"),"Medium"),0))</f>
        <v/>
      </c>
      <c r="Q33" s="88" t="str">
        <f aca="true">IF($D33="","",IFERROR(COUNTIF(INDIRECT("'"&amp;$D33&amp;"'!$E$7:$E$500"),"Low"),0))</f>
        <v/>
      </c>
      <c r="R33" s="88" t="str">
        <f aca="true">IF($D33="","",IFERROR(COUNTIF(INDIRECT("'"&amp;$D33&amp;"'!$D$7:$D$500"),"Functional"),0))</f>
        <v/>
      </c>
      <c r="S33" s="88" t="str">
        <f aca="true">IF($D33="","",IFERROR(COUNTIF(INDIRECT("'"&amp;$D33&amp;"'!$D$7:$D$500"),"UI"),0))</f>
        <v/>
      </c>
      <c r="T33" s="88" t="str">
        <f aca="true">IF($D33="","",IFERROR(COUNTIF(INDIRECT("'"&amp;$D33&amp;"'!$D$7:$D$500"),"Integration"),0))</f>
        <v/>
      </c>
      <c r="U33" s="88" t="str">
        <f aca="true">IF($D33="","",IFERROR(COUNTIF(INDIRECT("'"&amp;$D33&amp;"'!$D$7:$D$500"),"Database Test Case"),0))</f>
        <v/>
      </c>
      <c r="V33" s="88" t="str">
        <f aca="true">IF($D33="","",IFERROR(COUNTIF(INDIRECT("'"&amp;$D33&amp;"'!$J$7:$J$500"),"AI"),0))</f>
        <v/>
      </c>
      <c r="W33" s="88" t="str">
        <f aca="true">IF($D33="","",IFERROR(COUNTIF(INDIRECT("'"&amp;$D33&amp;"'!$J$7:$J$500"),"QC"),0))</f>
        <v/>
      </c>
      <c r="X33" s="88" t="str">
        <f aca="true">IF($D33="","",IFERROR(COUNTIF(INDIRECT("'"&amp;$D33&amp;"'!$L$7:$L$500"),"Yes"),0))</f>
        <v/>
      </c>
      <c r="Y33" s="88" t="str">
        <f aca="true">IF($D33="","",IFERROR(COUNTIF(INDIRECT("'"&amp;$D33&amp;"'!$AR$7:$AR$500"),"Yes"),0))</f>
        <v/>
      </c>
      <c r="Z33" s="88" t="str">
        <f aca="true">IF($D33="","",IFERROR(COUNTIF(INDIRECT("'"&amp;$D33&amp;"'!$AS$7:$AS$500"),"Pass"),0))</f>
        <v/>
      </c>
      <c r="AA33" s="88" t="str">
        <f aca="true">IF($D33="","",IFERROR(COUNTIF(INDIRECT("'"&amp;$D33&amp;"'!$K$7:$K$500"),"Reviewed"),0))</f>
        <v/>
      </c>
      <c r="AB33" s="92" t="str">
        <f aca="true">IF($D33="","",IFERROR(COUNTIFS(INDIRECT("'"&amp;$D33&amp;"'!$E$7:$E$500"),"High",INDIRECT("'"&amp;$D33&amp;"'!$AT$7:$AT$500"),"?*"),0))</f>
        <v/>
      </c>
      <c r="AC33" s="92" t="str">
        <f aca="true">IF($D33="","",IFERROR(COUNTIFS(INDIRECT("'"&amp;$D33&amp;"'!$E$7:$E$500"),"Medium",INDIRECT("'"&amp;$D33&amp;"'!$AT$7:$AT$500"),"?*"),0))</f>
        <v/>
      </c>
      <c r="AD33" s="92" t="str">
        <f aca="true">IF($D33="","",IFERROR(COUNTIFS(INDIRECT("'"&amp;$D33&amp;"'!$E$7:$E$500"),"Low",INDIRECT("'"&amp;$D33&amp;"'!$AT$7:$AT$500"),"?*"),0))</f>
        <v/>
      </c>
      <c r="AE33" s="93" t="str">
        <f aca="true">IF($D33="","",IFERROR(COUNTIF(INDIRECT("'"&amp;$D33&amp;"'!$P$7:$P$500"),"?*"),0))</f>
        <v/>
      </c>
      <c r="AF33" s="93" t="str">
        <f aca="true">IF($D33="","",IFERROR(COUNTIF(INDIRECT("'"&amp;$D33&amp;"'!$P$7:$P$500"),"Pass"),0))</f>
        <v/>
      </c>
      <c r="AG33" s="93" t="str">
        <f aca="true">IF($D33="","",IFERROR(COUNTIF(INDIRECT("'"&amp;$D33&amp;"'!$P$7:$P$500"),"Fail"),0))</f>
        <v/>
      </c>
      <c r="AH33" s="93" t="str">
        <f aca="true">IF($D33="","",IFERROR(COUNTIF(INDIRECT("'"&amp;$D33&amp;"'!$P$7:$P$500"),"Block"),0))</f>
        <v/>
      </c>
      <c r="AI33" s="93" t="str">
        <f aca="true">IF($D33="","",IFERROR(COUNTIF(INDIRECT("'"&amp;$D33&amp;"'!$P$7:$P$500"),"N/A"),0))</f>
        <v/>
      </c>
      <c r="AJ33" s="93" t="str">
        <f aca="true">IF($D33="","",IFERROR(COUNTIF(INDIRECT("'"&amp;$D33&amp;"'!$V$7:$V$500"),"?*"),0))</f>
        <v/>
      </c>
      <c r="AK33" s="93" t="str">
        <f aca="true">IF($D33="","",IFERROR(COUNTIF(INDIRECT("'"&amp;$D33&amp;"'!$V$7:$V$500"),"Pass"),0))</f>
        <v/>
      </c>
      <c r="AL33" s="93" t="str">
        <f aca="true">IF($D33="","",IFERROR(COUNTIF(INDIRECT("'"&amp;$D33&amp;"'!$V$7:$V$500"),"Fail"),0))</f>
        <v/>
      </c>
      <c r="AM33" s="93" t="str">
        <f aca="true">IF($D33="","",IFERROR(COUNTIF(INDIRECT("'"&amp;$D33&amp;"'!$V$7:$V$500"),"Block"),0))</f>
        <v/>
      </c>
      <c r="AN33" s="93" t="str">
        <f aca="true">IF($D33="","",IFERROR(COUNTIF(INDIRECT("'"&amp;$D33&amp;"'!$V$7:$V$500"),"N/A"),0))</f>
        <v/>
      </c>
      <c r="AO33" s="93" t="str">
        <f aca="true">IF($D33="","",IFERROR(COUNTIF(INDIRECT("'"&amp;$D33&amp;"'!$AB$7:$AB$500"),"?*"),0))</f>
        <v/>
      </c>
      <c r="AP33" s="93" t="str">
        <f aca="true">IF($D33="","",IFERROR(COUNTIF(INDIRECT("'"&amp;$D33&amp;"'!$AB$7:$AB$500"),"Pass"),0))</f>
        <v/>
      </c>
      <c r="AQ33" s="93" t="str">
        <f aca="true">IF($D33="","",IFERROR(COUNTIF(INDIRECT("'"&amp;$D33&amp;"'!$AB$7:$AB$500"),"Fail"),0))</f>
        <v/>
      </c>
      <c r="AR33" s="93" t="str">
        <f aca="true">IF($D33="","",IFERROR(COUNTIF(INDIRECT("'"&amp;$D33&amp;"'!$AB$7:$AB$500"),"Block"),0))</f>
        <v/>
      </c>
      <c r="AS33" s="93" t="str">
        <f aca="true">IF($D33="","",IFERROR(COUNTIF(INDIRECT("'"&amp;$D33&amp;"'!$AB$7:$AB$500"),"N/A"),0))</f>
        <v/>
      </c>
      <c r="AT33" s="93" t="str">
        <f aca="true">IF($D33="","",IFERROR(COUNTIF(INDIRECT("'"&amp;$D33&amp;"'!$AH$7:$AH$500"),"?*"),0))</f>
        <v/>
      </c>
      <c r="AU33" s="93" t="str">
        <f aca="true">IF($D33="","",IFERROR(COUNTIF(INDIRECT("'"&amp;$D33&amp;"'!$AH$7:$AH$500"),"Pass"),0))</f>
        <v/>
      </c>
      <c r="AV33" s="93" t="str">
        <f aca="true">IF($D33="","",IFERROR(COUNTIF(INDIRECT("'"&amp;$D33&amp;"'!$AH$7:$AH$500"),"Fail"),0))</f>
        <v/>
      </c>
      <c r="AW33" s="93" t="str">
        <f aca="true">IF($D33="","",IFERROR(COUNTIF(INDIRECT("'"&amp;$D33&amp;"'!$AH$7:$AH$500"),"Block"),0))</f>
        <v/>
      </c>
      <c r="AX33" s="93" t="str">
        <f aca="true">IF($D33="","",IFERROR(COUNTIF(INDIRECT("'"&amp;$D33&amp;"'!$AH$7:$AH$500"),"N/A"),0))</f>
        <v/>
      </c>
      <c r="AY33" s="93" t="str">
        <f aca="true">IF($D33="","",IFERROR(COUNTIF(INDIRECT("'"&amp;$D33&amp;"'!$AN$7:$AN$500"),"?*"),0))</f>
        <v/>
      </c>
      <c r="AZ33" s="93" t="str">
        <f aca="true">IF($D33="","",IFERROR(COUNTIF(INDIRECT("'"&amp;$D33&amp;"'!$AN$7:$AN$500"),"Pass"),0))</f>
        <v/>
      </c>
      <c r="BA33" s="93" t="str">
        <f aca="true">IF($D33="","",IFERROR(COUNTIF(INDIRECT("'"&amp;$D33&amp;"'!$AN$7:$AN$500"),"Fail"),0))</f>
        <v/>
      </c>
      <c r="BB33" s="93" t="str">
        <f aca="true">IF($D33="","",IFERROR(COUNTIF(INDIRECT("'"&amp;$D33&amp;"'!$AN$7:$AN$500"),"Block"),0))</f>
        <v/>
      </c>
      <c r="BC33" s="1" t="str">
        <f aca="true">IF($D33="","",IFERROR(COUNTIF(INDIRECT("'"&amp;$D33&amp;"'!$AN$7:$AN$500"),"N/A"),0))</f>
        <v/>
      </c>
    </row>
    <row r="34" customFormat="false" ht="15.75" hidden="false" customHeight="true" outlineLevel="0" collapsed="false">
      <c r="A34" s="1"/>
      <c r="B34" s="94" t="s">
        <v>215</v>
      </c>
      <c r="C34" s="94"/>
      <c r="D34" s="94" t="str">
        <f aca="false">COUNTIF($D$4:$D$33,"?*")&amp;" sheet"</f>
        <v>11 sheet</v>
      </c>
      <c r="E34" s="95"/>
      <c r="F34" s="94" t="n">
        <f aca="false">SUM(F4:F33)</f>
        <v>223</v>
      </c>
      <c r="G34" s="94" t="n">
        <f aca="false">SUM(G4:G33)</f>
        <v>101</v>
      </c>
      <c r="H34" s="94" t="n">
        <f aca="false">SUM(H4:H33)</f>
        <v>37</v>
      </c>
      <c r="I34" s="94" t="n">
        <f aca="false">SUM(I4:I33)</f>
        <v>20</v>
      </c>
      <c r="J34" s="94" t="n">
        <f aca="false">SUM(J4:J33)</f>
        <v>7</v>
      </c>
      <c r="K34" s="94" t="n">
        <f aca="false">SUM(K4:K33)</f>
        <v>58</v>
      </c>
      <c r="L34" s="94" t="n">
        <f aca="false">SUM(L4:L33)</f>
        <v>165</v>
      </c>
      <c r="M34" s="96" t="n">
        <f aca="false">IFERROR($L34/$F34,0)</f>
        <v>0.739910313901345</v>
      </c>
      <c r="N34" s="96" t="n">
        <f aca="false">IFERROR($G34/$L34,0)</f>
        <v>0.612121212121212</v>
      </c>
      <c r="O34" s="94" t="n">
        <f aca="false">SUM(O4:O33)</f>
        <v>22</v>
      </c>
      <c r="P34" s="94" t="n">
        <f aca="false">SUM(P4:P33)</f>
        <v>145</v>
      </c>
      <c r="Q34" s="94" t="n">
        <f aca="false">SUM(Q4:Q33)</f>
        <v>56</v>
      </c>
      <c r="R34" s="94" t="n">
        <f aca="false">SUM(R4:R33)</f>
        <v>175</v>
      </c>
      <c r="S34" s="94" t="n">
        <f aca="false">SUM(S4:S33)</f>
        <v>48</v>
      </c>
      <c r="T34" s="94" t="n">
        <f aca="false">SUM(T4:T33)</f>
        <v>0</v>
      </c>
      <c r="U34" s="94" t="n">
        <f aca="false">SUM(U4:U33)</f>
        <v>0</v>
      </c>
      <c r="V34" s="94" t="n">
        <f aca="false">SUM(V4:V33)</f>
        <v>223</v>
      </c>
      <c r="W34" s="94" t="n">
        <f aca="false">SUM(W4:W33)</f>
        <v>0</v>
      </c>
      <c r="X34" s="94" t="n">
        <f aca="false">SUM(X4:X33)</f>
        <v>0</v>
      </c>
      <c r="Y34" s="94" t="n">
        <f aca="false">SUM(Y4:Y33)</f>
        <v>165</v>
      </c>
      <c r="Z34" s="94" t="n">
        <f aca="false">SUM(Z4:Z33)</f>
        <v>0</v>
      </c>
      <c r="AA34" s="94" t="n">
        <f aca="false">SUM(AA4:AA33)</f>
        <v>0</v>
      </c>
      <c r="AB34" s="97" t="n">
        <f aca="false">SUM(AB4:AB33)</f>
        <v>18</v>
      </c>
      <c r="AC34" s="97" t="n">
        <f aca="false">SUM(AC4:AC33)</f>
        <v>108</v>
      </c>
      <c r="AD34" s="97" t="n">
        <f aca="false">SUM(AD4:AD33)</f>
        <v>39</v>
      </c>
      <c r="AE34" s="98" t="n">
        <f aca="false">SUM(AE4:AE33)</f>
        <v>165</v>
      </c>
      <c r="AF34" s="98" t="n">
        <f aca="false">SUM(AF4:AF33)</f>
        <v>101</v>
      </c>
      <c r="AG34" s="98" t="n">
        <f aca="false">SUM(AG4:AG33)</f>
        <v>37</v>
      </c>
      <c r="AH34" s="98" t="n">
        <f aca="false">SUM(AH4:AH33)</f>
        <v>20</v>
      </c>
      <c r="AI34" s="98" t="n">
        <f aca="false">SUM(AI4:AI33)</f>
        <v>7</v>
      </c>
      <c r="AJ34" s="98" t="n">
        <f aca="false">SUM(AJ4:AJ33)</f>
        <v>0</v>
      </c>
      <c r="AK34" s="98" t="n">
        <f aca="false">SUM(AK4:AK33)</f>
        <v>0</v>
      </c>
      <c r="AL34" s="98" t="n">
        <f aca="false">SUM(AL4:AL33)</f>
        <v>0</v>
      </c>
      <c r="AM34" s="98" t="n">
        <f aca="false">SUM(AM4:AM33)</f>
        <v>0</v>
      </c>
      <c r="AN34" s="98" t="n">
        <f aca="false">SUM(AN4:AN33)</f>
        <v>0</v>
      </c>
      <c r="AO34" s="98" t="n">
        <f aca="false">SUM(AO4:AO33)</f>
        <v>0</v>
      </c>
      <c r="AP34" s="98" t="n">
        <f aca="false">SUM(AP4:AP33)</f>
        <v>0</v>
      </c>
      <c r="AQ34" s="98" t="n">
        <f aca="false">SUM(AQ4:AQ33)</f>
        <v>0</v>
      </c>
      <c r="AR34" s="98" t="n">
        <f aca="false">SUM(AR4:AR33)</f>
        <v>0</v>
      </c>
      <c r="AS34" s="98" t="n">
        <f aca="false">SUM(AS4:AS33)</f>
        <v>0</v>
      </c>
      <c r="AT34" s="98" t="n">
        <f aca="false">SUM(AT4:AT33)</f>
        <v>0</v>
      </c>
      <c r="AU34" s="98" t="n">
        <f aca="false">SUM(AU4:AU33)</f>
        <v>0</v>
      </c>
      <c r="AV34" s="98" t="n">
        <f aca="false">SUM(AV4:AV33)</f>
        <v>0</v>
      </c>
      <c r="AW34" s="98" t="n">
        <f aca="false">SUM(AW4:AW33)</f>
        <v>0</v>
      </c>
      <c r="AX34" s="98" t="n">
        <f aca="false">SUM(AX4:AX33)</f>
        <v>0</v>
      </c>
      <c r="AY34" s="98" t="n">
        <f aca="false">SUM(AY4:AY33)</f>
        <v>0</v>
      </c>
      <c r="AZ34" s="98" t="n">
        <f aca="false">SUM(AZ4:AZ33)</f>
        <v>0</v>
      </c>
      <c r="BA34" s="98" t="n">
        <f aca="false">SUM(BA4:BA33)</f>
        <v>0</v>
      </c>
      <c r="BB34" s="98" t="n">
        <f aca="false">SUM(BB4:BB33)</f>
        <v>0</v>
      </c>
      <c r="BC34" s="99" t="n">
        <f aca="false">SUM(BC4:BC33)</f>
        <v>0</v>
      </c>
    </row>
    <row r="35" customFormat="false" ht="15.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customFormat="false" ht="15" hidden="false" customHeight="true" outlineLevel="0" collapsed="false">
      <c r="A36" s="1"/>
      <c r="B36" s="100" t="s">
        <v>216</v>
      </c>
      <c r="C36" s="100"/>
      <c r="D36" s="100"/>
      <c r="E36" s="100"/>
      <c r="F36" s="100"/>
      <c r="G36" s="100"/>
      <c r="H36" s="100"/>
      <c r="I36" s="100"/>
      <c r="J36" s="100"/>
      <c r="K36" s="100"/>
      <c r="L36" s="100"/>
      <c r="M36" s="100"/>
      <c r="N36" s="100"/>
      <c r="O36" s="1"/>
      <c r="P36" s="1"/>
      <c r="Q36" s="1"/>
      <c r="R36" s="1"/>
      <c r="S36" s="1"/>
      <c r="T36" s="1"/>
      <c r="U36" s="1"/>
      <c r="V36" s="1"/>
      <c r="W36" s="1"/>
      <c r="X36" s="1"/>
      <c r="Y36" s="1"/>
      <c r="Z36" s="1"/>
      <c r="AA36" s="1"/>
      <c r="AB36" s="1"/>
      <c r="AC36" s="1"/>
      <c r="AD36" s="1"/>
    </row>
    <row r="37" customFormat="false" ht="15" hidden="false" customHeight="true" outlineLevel="0" collapsed="false">
      <c r="A37" s="1"/>
      <c r="B37" s="101" t="s">
        <v>217</v>
      </c>
      <c r="C37" s="101"/>
      <c r="D37" s="101"/>
      <c r="E37" s="101"/>
      <c r="F37" s="101"/>
      <c r="G37" s="101"/>
      <c r="H37" s="101"/>
      <c r="I37" s="101"/>
      <c r="J37" s="101"/>
      <c r="K37" s="101"/>
      <c r="L37" s="101"/>
      <c r="M37" s="101"/>
      <c r="N37" s="101"/>
      <c r="O37" s="1"/>
      <c r="P37" s="1"/>
      <c r="Q37" s="1"/>
      <c r="R37" s="1"/>
      <c r="S37" s="1"/>
      <c r="T37" s="1"/>
      <c r="U37" s="1"/>
      <c r="V37" s="1"/>
      <c r="W37" s="1"/>
      <c r="X37" s="1"/>
      <c r="Y37" s="1"/>
      <c r="Z37" s="1"/>
      <c r="AA37" s="1"/>
      <c r="AB37" s="1"/>
      <c r="AC37" s="1"/>
      <c r="AD37" s="1"/>
    </row>
    <row r="38" customFormat="false" ht="15" hidden="false" customHeight="true" outlineLevel="0" collapsed="false">
      <c r="A38" s="1"/>
      <c r="B38" s="101" t="s">
        <v>218</v>
      </c>
      <c r="C38" s="101"/>
      <c r="D38" s="101"/>
      <c r="E38" s="101"/>
      <c r="F38" s="101"/>
      <c r="G38" s="101"/>
      <c r="H38" s="101"/>
      <c r="I38" s="101"/>
      <c r="J38" s="101"/>
      <c r="K38" s="101"/>
      <c r="L38" s="101"/>
      <c r="M38" s="101"/>
      <c r="N38" s="101"/>
      <c r="O38" s="1"/>
      <c r="P38" s="1"/>
      <c r="Q38" s="1"/>
      <c r="R38" s="1"/>
      <c r="S38" s="1"/>
      <c r="T38" s="1"/>
      <c r="U38" s="1"/>
      <c r="V38" s="1"/>
      <c r="W38" s="1"/>
      <c r="X38" s="1"/>
      <c r="Y38" s="1"/>
      <c r="Z38" s="1"/>
      <c r="AA38" s="1"/>
      <c r="AB38" s="1"/>
      <c r="AC38" s="1"/>
      <c r="AD38" s="1"/>
    </row>
    <row r="39" customFormat="false" ht="15" hidden="false" customHeight="true" outlineLevel="0" collapsed="false">
      <c r="A39" s="1"/>
      <c r="B39" s="101" t="s">
        <v>219</v>
      </c>
      <c r="C39" s="101"/>
      <c r="D39" s="101"/>
      <c r="E39" s="101"/>
      <c r="F39" s="101"/>
      <c r="G39" s="101"/>
      <c r="H39" s="101"/>
      <c r="I39" s="101"/>
      <c r="J39" s="101"/>
      <c r="K39" s="101"/>
      <c r="L39" s="101"/>
      <c r="M39" s="101"/>
      <c r="N39" s="101"/>
      <c r="O39" s="1"/>
      <c r="P39" s="1"/>
      <c r="Q39" s="1"/>
      <c r="R39" s="1"/>
      <c r="S39" s="1"/>
      <c r="T39" s="1"/>
      <c r="U39" s="1"/>
      <c r="V39" s="1"/>
      <c r="W39" s="1"/>
      <c r="X39" s="1"/>
      <c r="Y39" s="1"/>
      <c r="Z39" s="1"/>
      <c r="AA39" s="1"/>
      <c r="AB39" s="1"/>
      <c r="AC39" s="1"/>
      <c r="AD39" s="1"/>
    </row>
    <row r="40" customFormat="false" ht="15" hidden="false" customHeight="true" outlineLevel="0" collapsed="false">
      <c r="A40" s="1"/>
      <c r="B40" s="101" t="s">
        <v>220</v>
      </c>
      <c r="C40" s="101"/>
      <c r="D40" s="101"/>
      <c r="E40" s="101"/>
      <c r="F40" s="101"/>
      <c r="G40" s="101"/>
      <c r="H40" s="101"/>
      <c r="I40" s="101"/>
      <c r="J40" s="101"/>
      <c r="K40" s="101"/>
      <c r="L40" s="101"/>
      <c r="M40" s="101"/>
      <c r="N40" s="101"/>
      <c r="O40" s="1"/>
      <c r="P40" s="1"/>
      <c r="Q40" s="1"/>
      <c r="R40" s="1"/>
      <c r="S40" s="1"/>
      <c r="T40" s="1"/>
      <c r="U40" s="1"/>
      <c r="V40" s="1"/>
      <c r="W40" s="1"/>
      <c r="X40" s="1"/>
      <c r="Y40" s="1"/>
      <c r="Z40" s="1"/>
      <c r="AA40" s="1"/>
      <c r="AB40" s="1"/>
      <c r="AC40" s="1"/>
      <c r="AD40" s="1"/>
    </row>
    <row r="41" customFormat="false" ht="15.75" hidden="false" customHeight="true" outlineLevel="0" collapsed="false">
      <c r="A41" s="1"/>
      <c r="B41" s="101" t="s">
        <v>221</v>
      </c>
      <c r="C41" s="101"/>
      <c r="D41" s="101"/>
      <c r="E41" s="101"/>
      <c r="F41" s="101"/>
      <c r="G41" s="101"/>
      <c r="H41" s="101"/>
      <c r="I41" s="101"/>
      <c r="J41" s="101"/>
      <c r="K41" s="101"/>
      <c r="L41" s="101"/>
      <c r="M41" s="101"/>
      <c r="N41" s="101"/>
      <c r="O41" s="1"/>
      <c r="P41" s="1"/>
      <c r="Q41" s="1"/>
      <c r="R41" s="1"/>
      <c r="S41" s="1"/>
      <c r="T41" s="1"/>
      <c r="U41" s="1"/>
      <c r="V41" s="1"/>
      <c r="W41" s="1"/>
      <c r="X41" s="1"/>
      <c r="Y41" s="1"/>
      <c r="Z41" s="1"/>
      <c r="AA41" s="1"/>
      <c r="AB41" s="1"/>
      <c r="AC41" s="1"/>
      <c r="AD41" s="1"/>
    </row>
    <row r="42" customFormat="false" ht="15.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customFormat="false" ht="15.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customFormat="false" ht="15.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customFormat="false" ht="15.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customFormat="false" ht="15.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customFormat="false" ht="15.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customFormat="false" ht="15.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customFormat="false" ht="15.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customFormat="false" ht="15.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customFormat="false" ht="15.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customFormat="false" ht="15.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customFormat="false" ht="15.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customFormat="false" ht="15.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customFormat="false" ht="15.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customFormat="false" ht="15.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customFormat="false" ht="15.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customFormat="false" ht="15.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customFormat="false" ht="15.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customFormat="false" ht="15.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customFormat="false" ht="15.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customFormat="false" ht="15.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customFormat="false" ht="15.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customFormat="false" ht="15.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customFormat="false" ht="15.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customFormat="false" ht="15.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customFormat="false" ht="15.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customFormat="false" ht="15.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customFormat="false" ht="15.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customFormat="false" ht="15.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customFormat="false" ht="15.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customFormat="false" ht="15.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customFormat="false" ht="15.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customFormat="false" ht="15.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customFormat="false" ht="15.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customFormat="false" ht="15.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customFormat="false" ht="15.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customFormat="false" ht="15.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customFormat="false" ht="15.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customFormat="false" ht="15.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customFormat="false" ht="15.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customFormat="false" ht="15.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customFormat="false" ht="15.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customFormat="false" ht="15.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customFormat="false" ht="15.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customFormat="false" ht="15.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customFormat="false" ht="15.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customFormat="false" ht="15.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customFormat="false" ht="15.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customFormat="false" ht="15.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customFormat="false" ht="15.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customFormat="false" ht="15.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customFormat="false" ht="15.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customFormat="false" ht="15.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customFormat="false" ht="15.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customFormat="false" ht="15.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customFormat="false" ht="15.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customFormat="false" ht="15.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customFormat="false" ht="15.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customFormat="false" ht="15.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customFormat="false" ht="15.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customFormat="false" ht="15.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customFormat="false" ht="15.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customFormat="false" ht="15.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customFormat="false" ht="15.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customFormat="false" ht="15.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customFormat="false" ht="15.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customFormat="false" ht="15.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customFormat="false" ht="15.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customFormat="false" ht="15.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customFormat="false" ht="15.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customFormat="false" ht="15.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customFormat="false" ht="15.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customFormat="false" ht="15.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customFormat="false" ht="15.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customFormat="false" ht="15.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customFormat="false" ht="15.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customFormat="false" ht="15.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customFormat="false" ht="15.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customFormat="false" ht="15.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customFormat="false" ht="15.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customFormat="false" ht="15.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customFormat="false" ht="15.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customFormat="false" ht="15.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customFormat="false" ht="15.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customFormat="false" ht="15.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customFormat="false" ht="15.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customFormat="false" ht="15.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customFormat="false" ht="15.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customFormat="false" ht="15.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customFormat="false" ht="15.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customFormat="false" ht="15.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customFormat="false" ht="15.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customFormat="false" ht="15.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customFormat="false" ht="15.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customFormat="false" ht="15.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customFormat="false" ht="15.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customFormat="false" ht="15.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customFormat="false" ht="15.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customFormat="false" ht="15.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customFormat="false" ht="15.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customFormat="false" ht="15.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customFormat="false" ht="15.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customFormat="false" ht="15.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customFormat="false" ht="15.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customFormat="false" ht="15.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customFormat="false" ht="15.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customFormat="false" ht="15.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customFormat="false" ht="15.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customFormat="false" ht="15.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customFormat="false" ht="15.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customFormat="false" ht="15.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customFormat="false" ht="15.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customFormat="false" ht="15.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customFormat="false" ht="15.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customFormat="false" ht="15.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customFormat="false" ht="15.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customFormat="false" ht="15.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customFormat="false" ht="15.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customFormat="false" ht="15.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customFormat="false" ht="15.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customFormat="false" ht="15.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customFormat="false" ht="15.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customFormat="false" ht="15.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customFormat="false" ht="15.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customFormat="false" ht="15.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customFormat="false" ht="15.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customFormat="false" ht="15.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customFormat="false" ht="15.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customFormat="false" ht="15.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customFormat="false" ht="15.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customFormat="false" ht="15.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customFormat="false" ht="15.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customFormat="false" ht="15.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customFormat="false" ht="15.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customFormat="false" ht="15.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customFormat="false" ht="15.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customFormat="false" ht="15.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customFormat="false" ht="15.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customFormat="false" ht="15.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customFormat="false" ht="15.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customFormat="false" ht="15.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customFormat="false" ht="15.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customFormat="false" ht="15.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customFormat="false" ht="15.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customFormat="false" ht="15.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customFormat="false" ht="15.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customFormat="false" ht="15.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customFormat="false" ht="15.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customFormat="false" ht="15.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customFormat="false" ht="15.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customFormat="false" ht="15.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customFormat="false" ht="15.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customFormat="false" ht="15.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customFormat="false" ht="15.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customFormat="false" ht="15.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customFormat="false" ht="15.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customFormat="false" ht="15.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customFormat="false" ht="15.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customFormat="false" ht="15.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customFormat="false" ht="15.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customFormat="false" ht="15.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customFormat="false" ht="15.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customFormat="false" ht="15.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customFormat="false" ht="15.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customFormat="false" ht="15.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customFormat="false" ht="15.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customFormat="false" ht="15.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customFormat="false" ht="15.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customFormat="false" ht="15.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customFormat="false" ht="15.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customFormat="false" ht="15.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customFormat="false" ht="15.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customFormat="false" ht="15.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customFormat="false" ht="15.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customFormat="false" ht="15.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customFormat="false" ht="15.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customFormat="false" ht="15.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customFormat="false" ht="15.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customFormat="false" ht="15.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customFormat="false" ht="15.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customFormat="false" ht="15.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B1:AA1"/>
    <mergeCell ref="C2:E2"/>
    <mergeCell ref="F2:N2"/>
    <mergeCell ref="O2:Q2"/>
    <mergeCell ref="R2:U2"/>
    <mergeCell ref="V2:AA2"/>
    <mergeCell ref="AB2:AD2"/>
    <mergeCell ref="AE2:BC2"/>
    <mergeCell ref="B36:N36"/>
    <mergeCell ref="B37:N37"/>
    <mergeCell ref="B38:N38"/>
    <mergeCell ref="B39:N39"/>
    <mergeCell ref="B40:N40"/>
    <mergeCell ref="B41:N4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2.43"/>
    <col collapsed="false" customWidth="true" hidden="false" outlineLevel="0" max="2" min="2" style="0" width="14"/>
    <col collapsed="false" customWidth="true" hidden="false" outlineLevel="0" max="3" min="3" style="0" width="26"/>
    <col collapsed="false" customWidth="true" hidden="false" outlineLevel="0" max="9" min="4" style="0" width="13"/>
    <col collapsed="false" customWidth="true" hidden="false" outlineLevel="0" max="11" min="10" style="0" width="11"/>
    <col collapsed="false" customWidth="true" hidden="false" outlineLevel="0" max="12" min="12" style="0" width="34"/>
    <col collapsed="false" customWidth="true" hidden="false" outlineLevel="0" max="15" min="13" style="0" width="9"/>
  </cols>
  <sheetData>
    <row r="1" customFormat="false" ht="15" hidden="false" customHeight="false" outlineLevel="0" collapsed="false">
      <c r="A1" s="1"/>
      <c r="B1" s="1"/>
      <c r="C1" s="1"/>
      <c r="D1" s="1"/>
      <c r="E1" s="1"/>
      <c r="F1" s="1"/>
      <c r="G1" s="1"/>
      <c r="H1" s="1"/>
      <c r="I1" s="1"/>
      <c r="J1" s="1"/>
      <c r="K1" s="1"/>
      <c r="L1" s="1"/>
      <c r="M1" s="1"/>
      <c r="N1" s="1"/>
      <c r="O1" s="1"/>
    </row>
    <row r="2" customFormat="false" ht="24.75" hidden="false" customHeight="true" outlineLevel="0" collapsed="false">
      <c r="A2" s="1"/>
      <c r="B2" s="102" t="s">
        <v>222</v>
      </c>
      <c r="C2" s="1"/>
      <c r="D2" s="1"/>
      <c r="E2" s="1"/>
      <c r="F2" s="103" t="s">
        <v>223</v>
      </c>
      <c r="G2" s="103"/>
      <c r="H2" s="103"/>
      <c r="I2" s="103"/>
      <c r="J2" s="103"/>
      <c r="K2" s="1"/>
      <c r="L2" s="1"/>
      <c r="M2" s="1"/>
      <c r="N2" s="1"/>
      <c r="O2" s="1"/>
    </row>
    <row r="3" customFormat="false" ht="19.5" hidden="false" customHeight="true" outlineLevel="0" collapsed="false">
      <c r="A3" s="1"/>
      <c r="B3" s="104" t="s">
        <v>94</v>
      </c>
      <c r="C3" s="38" t="str">
        <f aca="false">Summary!$C$6</f>
        <v>FoxEco</v>
      </c>
      <c r="D3" s="38"/>
      <c r="E3" s="1"/>
      <c r="F3" s="105" t="s">
        <v>224</v>
      </c>
      <c r="G3" s="105"/>
      <c r="H3" s="105"/>
      <c r="I3" s="106" t="n">
        <f aca="false">I21</f>
        <v>40</v>
      </c>
      <c r="J3" s="106"/>
      <c r="K3" s="1"/>
      <c r="L3" s="1"/>
      <c r="M3" s="1"/>
      <c r="N3" s="1"/>
      <c r="O3" s="1"/>
    </row>
    <row r="4" customFormat="false" ht="19.5" hidden="false" customHeight="true" outlineLevel="0" collapsed="false">
      <c r="A4" s="1"/>
      <c r="B4" s="104" t="s">
        <v>82</v>
      </c>
      <c r="C4" s="38" t="str">
        <f aca="false">Summary!$C$8</f>
        <v>v1.1</v>
      </c>
      <c r="D4" s="38"/>
      <c r="E4" s="1"/>
      <c r="F4" s="107" t="s">
        <v>225</v>
      </c>
      <c r="G4" s="107"/>
      <c r="H4" s="107"/>
      <c r="I4" s="106" t="n">
        <f aca="false">C102+C103</f>
        <v>0</v>
      </c>
      <c r="J4" s="106"/>
      <c r="K4" s="1"/>
      <c r="L4" s="1"/>
      <c r="M4" s="1"/>
      <c r="N4" s="1"/>
      <c r="O4" s="1"/>
    </row>
    <row r="5" customFormat="false" ht="19.5" hidden="false" customHeight="true" outlineLevel="0" collapsed="false">
      <c r="A5" s="1"/>
      <c r="B5" s="104" t="s">
        <v>96</v>
      </c>
      <c r="C5" s="38" t="str">
        <f aca="false">Summary!$C$9</f>
        <v>R1</v>
      </c>
      <c r="D5" s="38"/>
      <c r="E5" s="1"/>
      <c r="F5" s="108" t="s">
        <v>226</v>
      </c>
      <c r="G5" s="108"/>
      <c r="H5" s="108"/>
      <c r="I5" s="109" t="n">
        <f aca="false">IFERROR(((COUNTIFS('Bug Data'!$D:$D,"Done")+COUNTIFS('Bug Data'!$D:$D,"Closed")+COUNTIFS('Bug Data'!$D:$D,"Resolved"))+(COUNTIFS('Bug Data'!$D:$D,"Cancel")+COUNTIFS('Bug Data'!$D:$D,"Cancelled")+COUNTIFS('Bug Data'!$D:$D,"Canceled")))/COUNTIF('Bug Data'!$D$2:$D$250,"?*"),0)</f>
        <v>0</v>
      </c>
      <c r="J5" s="109"/>
      <c r="K5" s="1"/>
      <c r="L5" s="1"/>
      <c r="M5" s="1"/>
      <c r="N5" s="1"/>
      <c r="O5" s="1"/>
    </row>
    <row r="6" customFormat="false" ht="19.5" hidden="false" customHeight="true" outlineLevel="0" collapsed="false">
      <c r="A6" s="1"/>
      <c r="B6" s="104" t="s">
        <v>227</v>
      </c>
      <c r="C6" s="38" t="str">
        <f aca="false">TEXT(Summary!$C$10,"DD/MM/YYYY")&amp;"  →  "&amp;TEXT(Summary!$C$11,"DD/MM/YYYY")</f>
        <v>18/09/2026  →  22/09/2026</v>
      </c>
      <c r="D6" s="38"/>
      <c r="E6" s="1"/>
      <c r="F6" s="110" t="s">
        <v>228</v>
      </c>
      <c r="G6" s="110"/>
      <c r="H6" s="110"/>
      <c r="I6" s="109" t="n">
        <f aca="false">IFERROR(Dashboard!$L$34/Dashboard!$F$34,0)</f>
        <v>0.739910313901345</v>
      </c>
      <c r="J6" s="109"/>
      <c r="K6" s="1"/>
      <c r="L6" s="1"/>
      <c r="M6" s="1"/>
      <c r="N6" s="1"/>
      <c r="O6" s="1"/>
    </row>
    <row r="7" customFormat="false" ht="19.5" hidden="false" customHeight="true" outlineLevel="0" collapsed="false">
      <c r="A7" s="1"/>
      <c r="B7" s="111" t="s">
        <v>229</v>
      </c>
      <c r="C7" s="111"/>
      <c r="D7" s="111"/>
      <c r="E7" s="1"/>
      <c r="F7" s="112" t="s">
        <v>230</v>
      </c>
      <c r="G7" s="112"/>
      <c r="H7" s="112"/>
      <c r="I7" s="109" t="n">
        <f aca="false">D205</f>
        <v>0</v>
      </c>
      <c r="J7" s="109"/>
      <c r="K7" s="1"/>
      <c r="L7" s="1"/>
      <c r="M7" s="1"/>
      <c r="N7" s="1"/>
      <c r="O7" s="1"/>
    </row>
    <row r="8" customFormat="false" ht="19.5" hidden="false" customHeight="true" outlineLevel="0" collapsed="false">
      <c r="A8" s="1"/>
      <c r="B8" s="111"/>
      <c r="C8" s="111"/>
      <c r="D8" s="111"/>
      <c r="E8" s="1"/>
      <c r="F8" s="113" t="s">
        <v>231</v>
      </c>
      <c r="G8" s="113"/>
      <c r="H8" s="113"/>
      <c r="I8" s="109" t="n">
        <f aca="false">D209</f>
        <v>1</v>
      </c>
      <c r="J8" s="109"/>
      <c r="K8" s="1"/>
      <c r="L8" s="1"/>
      <c r="M8" s="1"/>
      <c r="N8" s="1"/>
      <c r="O8" s="1"/>
    </row>
    <row r="9" customFormat="false" ht="19.5" hidden="false" customHeight="true" outlineLevel="0" collapsed="false">
      <c r="A9" s="1"/>
      <c r="B9" s="111"/>
      <c r="C9" s="111"/>
      <c r="D9" s="111"/>
      <c r="E9" s="1"/>
      <c r="F9" s="114" t="s">
        <v>232</v>
      </c>
      <c r="G9" s="114"/>
      <c r="H9" s="114"/>
      <c r="I9" s="109" t="n">
        <f aca="false">IFERROR(C85/C90,0)</f>
        <v>0.452914798206278</v>
      </c>
      <c r="J9" s="109"/>
      <c r="K9" s="1"/>
      <c r="L9" s="1"/>
      <c r="M9" s="1"/>
      <c r="N9" s="1"/>
      <c r="O9" s="1"/>
    </row>
    <row r="10" customFormat="false" ht="19.5" hidden="false" customHeight="true" outlineLevel="0" collapsed="false">
      <c r="A10" s="1"/>
      <c r="B10" s="1"/>
      <c r="C10" s="1"/>
      <c r="D10" s="1"/>
      <c r="E10" s="1"/>
      <c r="F10" s="107" t="s">
        <v>233</v>
      </c>
      <c r="G10" s="107"/>
      <c r="H10" s="107"/>
      <c r="I10" s="106" t="n">
        <f aca="false">(COUNTIFS('Bug Data'!$D:$D,"?*",'Bug Data'!$L:$L,20)-(COUNTIFS('Bug Data'!$D:$D,"Done",'Bug Data'!$L:$L,20)+COUNTIFS('Bug Data'!$D:$D,"Closed",'Bug Data'!$L:$L,20)+COUNTIFS('Bug Data'!$D:$D,"Resolved",'Bug Data'!$L:$L,20))-(COUNTIFS('Bug Data'!$D:$D,"Cancel",'Bug Data'!$L:$L,20)+COUNTIFS('Bug Data'!$D:$D,"Cancelled",'Bug Data'!$L:$L,20)+COUNTIFS('Bug Data'!$D:$D,"Canceled",'Bug Data'!$L:$L,20)))+(COUNTIFS('Bug Data'!$D:$D,"?*",'Bug Data'!$L:$L,10)-(COUNTIFS('Bug Data'!$D:$D,"Done",'Bug Data'!$L:$L,10)+COUNTIFS('Bug Data'!$D:$D,"Closed",'Bug Data'!$L:$L,10)+COUNTIFS('Bug Data'!$D:$D,"Resolved",'Bug Data'!$L:$L,10))-(COUNTIFS('Bug Data'!$D:$D,"Cancel",'Bug Data'!$L:$L,10)+COUNTIFS('Bug Data'!$D:$D,"Cancelled",'Bug Data'!$L:$L,10)+COUNTIFS('Bug Data'!$D:$D,"Canceled",'Bug Data'!$L:$L,10)))</f>
        <v>0</v>
      </c>
      <c r="J10" s="106"/>
      <c r="K10" s="1"/>
      <c r="L10" s="1"/>
      <c r="M10" s="1"/>
      <c r="N10" s="1"/>
      <c r="O10" s="1"/>
    </row>
    <row r="11" customFormat="false" ht="19.4" hidden="false" customHeight="true" outlineLevel="0" collapsed="false">
      <c r="A11" s="1"/>
      <c r="B11" s="102" t="s">
        <v>234</v>
      </c>
      <c r="C11" s="1"/>
      <c r="D11" s="1"/>
      <c r="E11" s="1"/>
      <c r="F11" s="115" t="s">
        <v>235</v>
      </c>
      <c r="G11" s="115"/>
      <c r="H11" s="115"/>
      <c r="I11" s="115"/>
      <c r="J11" s="115"/>
      <c r="K11" s="1"/>
      <c r="L11" s="1"/>
      <c r="M11" s="1"/>
      <c r="N11" s="1"/>
      <c r="O11" s="1"/>
    </row>
    <row r="12" customFormat="false" ht="15" hidden="false" customHeight="false" outlineLevel="0" collapsed="false">
      <c r="A12" s="1"/>
      <c r="B12" s="1"/>
      <c r="C12" s="1"/>
      <c r="D12" s="1"/>
      <c r="E12" s="1"/>
      <c r="F12" s="1"/>
      <c r="G12" s="1"/>
      <c r="H12" s="1"/>
      <c r="I12" s="1"/>
      <c r="J12" s="1"/>
      <c r="K12" s="1"/>
      <c r="L12" s="1"/>
      <c r="M12" s="1"/>
      <c r="N12" s="1"/>
      <c r="O12" s="1"/>
    </row>
    <row r="13" customFormat="false" ht="17.35" hidden="false" customHeight="true" outlineLevel="0" collapsed="false">
      <c r="A13" s="1"/>
      <c r="B13" s="116" t="s">
        <v>236</v>
      </c>
      <c r="C13" s="116"/>
      <c r="D13" s="116"/>
      <c r="E13" s="116"/>
      <c r="F13" s="116"/>
      <c r="G13" s="116"/>
      <c r="H13" s="116"/>
      <c r="I13" s="116"/>
      <c r="J13" s="1"/>
      <c r="K13" s="1"/>
      <c r="L13" s="1"/>
      <c r="M13" s="1"/>
      <c r="N13" s="1"/>
      <c r="O13" s="1"/>
    </row>
    <row r="14" customFormat="false" ht="15" hidden="false" customHeight="false" outlineLevel="0" collapsed="false">
      <c r="A14" s="1"/>
      <c r="B14" s="1"/>
      <c r="C14" s="1"/>
      <c r="D14" s="1"/>
      <c r="E14" s="1"/>
      <c r="F14" s="1"/>
      <c r="G14" s="1"/>
      <c r="H14" s="1"/>
      <c r="I14" s="1"/>
      <c r="J14" s="1"/>
      <c r="K14" s="1"/>
      <c r="L14" s="1"/>
      <c r="M14" s="1"/>
      <c r="N14" s="1"/>
      <c r="O14" s="1"/>
    </row>
    <row r="15" customFormat="false" ht="16.15" hidden="false" customHeight="false" outlineLevel="0" collapsed="false">
      <c r="A15" s="1"/>
      <c r="B15" s="117" t="s">
        <v>237</v>
      </c>
      <c r="C15" s="1"/>
      <c r="D15" s="1"/>
      <c r="E15" s="1"/>
      <c r="F15" s="1"/>
      <c r="G15" s="1"/>
      <c r="H15" s="1"/>
      <c r="I15" s="1"/>
      <c r="J15" s="1"/>
      <c r="K15" s="1"/>
      <c r="L15" s="1"/>
      <c r="M15" s="1"/>
      <c r="N15" s="1"/>
      <c r="O15" s="1"/>
    </row>
    <row r="16" customFormat="false" ht="15" hidden="false" customHeight="true" outlineLevel="0" collapsed="false">
      <c r="A16" s="1"/>
      <c r="B16" s="118" t="s">
        <v>238</v>
      </c>
      <c r="C16" s="118"/>
      <c r="D16" s="118"/>
      <c r="E16" s="118"/>
      <c r="F16" s="118"/>
      <c r="G16" s="118"/>
      <c r="H16" s="118"/>
      <c r="I16" s="118"/>
      <c r="J16" s="1"/>
      <c r="K16" s="1"/>
      <c r="L16" s="1"/>
      <c r="M16" s="1"/>
      <c r="N16" s="1"/>
      <c r="O16" s="1"/>
    </row>
    <row r="17" customFormat="false" ht="15" hidden="false" customHeight="false" outlineLevel="0" collapsed="false">
      <c r="A17" s="1"/>
      <c r="B17" s="119" t="s">
        <v>239</v>
      </c>
      <c r="C17" s="119" t="s">
        <v>240</v>
      </c>
      <c r="D17" s="119" t="s">
        <v>241</v>
      </c>
      <c r="E17" s="119" t="s">
        <v>242</v>
      </c>
      <c r="F17" s="119" t="s">
        <v>243</v>
      </c>
      <c r="G17" s="119" t="s">
        <v>244</v>
      </c>
      <c r="H17" s="119" t="s">
        <v>245</v>
      </c>
      <c r="I17" s="119" t="s">
        <v>246</v>
      </c>
      <c r="J17" s="1"/>
      <c r="K17" s="1"/>
      <c r="L17" s="1"/>
      <c r="M17" s="1"/>
      <c r="N17" s="1"/>
      <c r="O17" s="1"/>
    </row>
    <row r="18" customFormat="false" ht="15" hidden="false" customHeight="false" outlineLevel="0" collapsed="false">
      <c r="A18" s="1"/>
      <c r="B18" s="104" t="s">
        <v>247</v>
      </c>
      <c r="C18" s="120" t="n">
        <f aca="false">COUNTIFS('Bug Data'!$D:$D,"To Do",'Bug Data'!$N:$N,$B18)+COUNTIFS('Bug Data'!$D:$D,"Todo",'Bug Data'!$N:$N,$B18)</f>
        <v>0</v>
      </c>
      <c r="D18" s="120" t="n">
        <f aca="false">COUNTIFS('Bug Data'!$D:$D,"In Progress",'Bug Data'!$N:$N,$B18)</f>
        <v>0</v>
      </c>
      <c r="E18" s="120" t="n">
        <f aca="false">COUNTIFS('Bug Data'!$D:$D,"In Review",'Bug Data'!$N:$N,$B18)</f>
        <v>0</v>
      </c>
      <c r="F18" s="120" t="n">
        <f aca="false">COUNTIFS('Bug Data'!$D:$D,"Pending",'Bug Data'!$N:$N,$B18)</f>
        <v>0</v>
      </c>
      <c r="G18" s="120" t="n">
        <f aca="false">COUNTIFS('Bug Data'!$D:$D,"Cancel",'Bug Data'!$N:$N,$B18)+COUNTIFS('Bug Data'!$D:$D,"Cancelled",'Bug Data'!$N:$N,$B18)+COUNTIFS('Bug Data'!$D:$D,"Canceled",'Bug Data'!$N:$N,$B18)</f>
        <v>0</v>
      </c>
      <c r="H18" s="120" t="n">
        <f aca="false">COUNTIFS('Bug Data'!$D:$D,"Done",'Bug Data'!$N:$N,$B18)+COUNTIFS('Bug Data'!$D:$D,"Closed",'Bug Data'!$N:$N,$B18)+COUNTIFS('Bug Data'!$D:$D,"Resolved",'Bug Data'!$N:$N,$B18)</f>
        <v>0</v>
      </c>
      <c r="I18" s="121" t="n">
        <f aca="false">SUM(C18:H18)</f>
        <v>0</v>
      </c>
      <c r="J18" s="1"/>
      <c r="K18" s="1"/>
      <c r="L18" s="1"/>
      <c r="M18" s="1"/>
      <c r="N18" s="1"/>
      <c r="O18" s="1"/>
    </row>
    <row r="19" customFormat="false" ht="15" hidden="false" customHeight="false" outlineLevel="0" collapsed="false">
      <c r="A19" s="1"/>
      <c r="B19" s="104" t="s">
        <v>131</v>
      </c>
      <c r="C19" s="120" t="n">
        <f aca="false">COUNTIFS('Bug Data'!$D:$D,"To Do",'Bug Data'!$N:$N,$B19)+COUNTIFS('Bug Data'!$D:$D,"Todo",'Bug Data'!$N:$N,$B19)</f>
        <v>39</v>
      </c>
      <c r="D19" s="120" t="n">
        <f aca="false">COUNTIFS('Bug Data'!$D:$D,"In Progress",'Bug Data'!$N:$N,$B19)</f>
        <v>0</v>
      </c>
      <c r="E19" s="120" t="n">
        <f aca="false">COUNTIFS('Bug Data'!$D:$D,"In Review",'Bug Data'!$N:$N,$B19)</f>
        <v>1</v>
      </c>
      <c r="F19" s="120" t="n">
        <f aca="false">COUNTIFS('Bug Data'!$D:$D,"Pending",'Bug Data'!$N:$N,$B19)</f>
        <v>0</v>
      </c>
      <c r="G19" s="120" t="n">
        <f aca="false">COUNTIFS('Bug Data'!$D:$D,"Cancel",'Bug Data'!$N:$N,$B19)+COUNTIFS('Bug Data'!$D:$D,"Cancelled",'Bug Data'!$N:$N,$B19)+COUNTIFS('Bug Data'!$D:$D,"Canceled",'Bug Data'!$N:$N,$B19)</f>
        <v>0</v>
      </c>
      <c r="H19" s="120" t="n">
        <f aca="false">COUNTIFS('Bug Data'!$D:$D,"Done",'Bug Data'!$N:$N,$B19)+COUNTIFS('Bug Data'!$D:$D,"Closed",'Bug Data'!$N:$N,$B19)+COUNTIFS('Bug Data'!$D:$D,"Resolved",'Bug Data'!$N:$N,$B19)</f>
        <v>0</v>
      </c>
      <c r="I19" s="121" t="n">
        <f aca="false">SUM(C19:H19)</f>
        <v>40</v>
      </c>
      <c r="J19" s="1"/>
      <c r="K19" s="1"/>
      <c r="L19" s="1"/>
      <c r="M19" s="1"/>
      <c r="N19" s="1"/>
      <c r="O19" s="1"/>
    </row>
    <row r="20" customFormat="false" ht="15" hidden="false" customHeight="false" outlineLevel="0" collapsed="false">
      <c r="A20" s="1"/>
      <c r="B20" s="104" t="s">
        <v>248</v>
      </c>
      <c r="C20" s="120" t="n">
        <f aca="false">COUNTIFS('Bug Data'!$D:$D,"To Do",'Bug Data'!$N:$N,$B20)+COUNTIFS('Bug Data'!$D:$D,"Todo",'Bug Data'!$N:$N,$B20)</f>
        <v>0</v>
      </c>
      <c r="D20" s="120" t="n">
        <f aca="false">COUNTIFS('Bug Data'!$D:$D,"In Progress",'Bug Data'!$N:$N,$B20)</f>
        <v>0</v>
      </c>
      <c r="E20" s="120" t="n">
        <f aca="false">COUNTIFS('Bug Data'!$D:$D,"In Review",'Bug Data'!$N:$N,$B20)</f>
        <v>0</v>
      </c>
      <c r="F20" s="120" t="n">
        <f aca="false">COUNTIFS('Bug Data'!$D:$D,"Pending",'Bug Data'!$N:$N,$B20)</f>
        <v>0</v>
      </c>
      <c r="G20" s="120" t="n">
        <f aca="false">COUNTIFS('Bug Data'!$D:$D,"Cancel",'Bug Data'!$N:$N,$B20)+COUNTIFS('Bug Data'!$D:$D,"Cancelled",'Bug Data'!$N:$N,$B20)+COUNTIFS('Bug Data'!$D:$D,"Canceled",'Bug Data'!$N:$N,$B20)</f>
        <v>0</v>
      </c>
      <c r="H20" s="120" t="n">
        <f aca="false">COUNTIFS('Bug Data'!$D:$D,"Done",'Bug Data'!$N:$N,$B20)+COUNTIFS('Bug Data'!$D:$D,"Closed",'Bug Data'!$N:$N,$B20)+COUNTIFS('Bug Data'!$D:$D,"Resolved",'Bug Data'!$N:$N,$B20)</f>
        <v>0</v>
      </c>
      <c r="I20" s="121" t="n">
        <f aca="false">SUM(C20:H20)</f>
        <v>0</v>
      </c>
      <c r="J20" s="1"/>
      <c r="K20" s="1"/>
      <c r="L20" s="1"/>
      <c r="M20" s="1"/>
      <c r="N20" s="1"/>
      <c r="O20" s="1"/>
    </row>
    <row r="21" customFormat="false" ht="15.75" hidden="false" customHeight="true" outlineLevel="0" collapsed="false">
      <c r="A21" s="1"/>
      <c r="B21" s="36" t="s">
        <v>246</v>
      </c>
      <c r="C21" s="122" t="n">
        <f aca="false">SUM(C18:C20)</f>
        <v>39</v>
      </c>
      <c r="D21" s="122" t="n">
        <f aca="false">SUM(D18:D20)</f>
        <v>0</v>
      </c>
      <c r="E21" s="122" t="n">
        <f aca="false">SUM(E18:E20)</f>
        <v>1</v>
      </c>
      <c r="F21" s="122" t="n">
        <f aca="false">SUM(F18:F20)</f>
        <v>0</v>
      </c>
      <c r="G21" s="122" t="n">
        <f aca="false">SUM(G18:G20)</f>
        <v>0</v>
      </c>
      <c r="H21" s="122" t="n">
        <f aca="false">SUM(H18:H20)</f>
        <v>0</v>
      </c>
      <c r="I21" s="122" t="n">
        <f aca="false">SUM(I18:I20)</f>
        <v>40</v>
      </c>
      <c r="J21" s="1"/>
      <c r="K21" s="1"/>
      <c r="L21" s="1"/>
      <c r="M21" s="1"/>
      <c r="N21" s="1"/>
      <c r="O21" s="1"/>
    </row>
    <row r="22" customFormat="false" ht="31.5" hidden="false" customHeight="true" outlineLevel="0" collapsed="false">
      <c r="A22" s="1"/>
      <c r="B22" s="123" t="s">
        <v>249</v>
      </c>
      <c r="C22" s="123"/>
      <c r="D22" s="123"/>
      <c r="E22" s="123"/>
      <c r="F22" s="123"/>
      <c r="G22" s="123"/>
      <c r="H22" s="123"/>
      <c r="I22" s="123"/>
      <c r="J22" s="1"/>
      <c r="K22" s="1"/>
      <c r="L22" s="1"/>
      <c r="M22" s="1"/>
      <c r="N22" s="1"/>
      <c r="O22" s="1"/>
    </row>
    <row r="23" customFormat="false" ht="15.75" hidden="false" customHeight="true" outlineLevel="0" collapsed="false">
      <c r="A23" s="1"/>
      <c r="B23" s="1"/>
      <c r="C23" s="1"/>
      <c r="D23" s="1"/>
      <c r="E23" s="1"/>
      <c r="F23" s="1"/>
      <c r="G23" s="1"/>
      <c r="H23" s="1"/>
      <c r="I23" s="1"/>
      <c r="J23" s="1"/>
      <c r="K23" s="1"/>
      <c r="L23" s="1"/>
      <c r="M23" s="1"/>
      <c r="N23" s="1"/>
      <c r="O23" s="1"/>
    </row>
    <row r="24" customFormat="false" ht="15.75" hidden="false" customHeight="true" outlineLevel="0" collapsed="false">
      <c r="A24" s="1"/>
      <c r="B24" s="1"/>
      <c r="C24" s="1"/>
      <c r="D24" s="1"/>
      <c r="E24" s="1"/>
      <c r="F24" s="1"/>
      <c r="G24" s="1"/>
      <c r="H24" s="1"/>
      <c r="I24" s="1"/>
      <c r="J24" s="1"/>
      <c r="K24" s="1"/>
      <c r="L24" s="1"/>
      <c r="M24" s="1"/>
      <c r="N24" s="1"/>
      <c r="O24" s="1"/>
    </row>
    <row r="25" customFormat="false" ht="15.75" hidden="false" customHeight="true" outlineLevel="0" collapsed="false">
      <c r="A25" s="1"/>
      <c r="B25" s="1"/>
      <c r="C25" s="1"/>
      <c r="D25" s="1"/>
      <c r="E25" s="1"/>
      <c r="F25" s="1"/>
      <c r="G25" s="1"/>
      <c r="H25" s="1"/>
      <c r="I25" s="1"/>
      <c r="J25" s="1"/>
      <c r="K25" s="1"/>
      <c r="L25" s="1"/>
      <c r="M25" s="1"/>
      <c r="N25" s="1"/>
      <c r="O25" s="1"/>
    </row>
    <row r="26" customFormat="false" ht="15.75" hidden="false" customHeight="true" outlineLevel="0" collapsed="false">
      <c r="A26" s="1"/>
      <c r="B26" s="1"/>
      <c r="C26" s="1"/>
      <c r="D26" s="1"/>
      <c r="E26" s="1"/>
      <c r="F26" s="1"/>
      <c r="G26" s="1"/>
      <c r="H26" s="1"/>
      <c r="I26" s="1"/>
      <c r="J26" s="1"/>
      <c r="K26" s="1"/>
      <c r="L26" s="1"/>
      <c r="M26" s="1"/>
      <c r="N26" s="1"/>
      <c r="O26" s="1"/>
    </row>
    <row r="27" customFormat="false" ht="15.75" hidden="false" customHeight="true" outlineLevel="0" collapsed="false">
      <c r="A27" s="1"/>
      <c r="B27" s="1"/>
      <c r="C27" s="1"/>
      <c r="D27" s="1"/>
      <c r="E27" s="1"/>
      <c r="F27" s="1"/>
      <c r="G27" s="1"/>
      <c r="H27" s="1"/>
      <c r="I27" s="1"/>
      <c r="J27" s="1"/>
      <c r="K27" s="1"/>
      <c r="L27" s="1"/>
      <c r="M27" s="1"/>
      <c r="N27" s="1"/>
      <c r="O27" s="1"/>
    </row>
    <row r="28" customFormat="false" ht="15.75" hidden="false" customHeight="true" outlineLevel="0" collapsed="false">
      <c r="A28" s="1"/>
      <c r="B28" s="1"/>
      <c r="C28" s="1"/>
      <c r="D28" s="1"/>
      <c r="E28" s="1"/>
      <c r="F28" s="1"/>
      <c r="G28" s="1"/>
      <c r="H28" s="1"/>
      <c r="I28" s="1"/>
      <c r="J28" s="1"/>
      <c r="K28" s="1"/>
      <c r="L28" s="1"/>
      <c r="M28" s="1"/>
      <c r="N28" s="1"/>
      <c r="O28" s="1"/>
    </row>
    <row r="29" customFormat="false" ht="15.75" hidden="false" customHeight="true" outlineLevel="0" collapsed="false">
      <c r="A29" s="1"/>
      <c r="B29" s="1"/>
      <c r="C29" s="1"/>
      <c r="D29" s="1"/>
      <c r="E29" s="1"/>
      <c r="F29" s="1"/>
      <c r="G29" s="1"/>
      <c r="H29" s="1"/>
      <c r="I29" s="1"/>
      <c r="J29" s="1"/>
      <c r="K29" s="1"/>
      <c r="L29" s="1"/>
      <c r="M29" s="1"/>
      <c r="N29" s="1"/>
      <c r="O29" s="1"/>
    </row>
    <row r="30" customFormat="false" ht="15.75" hidden="false" customHeight="true" outlineLevel="0" collapsed="false">
      <c r="A30" s="1"/>
      <c r="B30" s="1"/>
      <c r="C30" s="1"/>
      <c r="D30" s="1"/>
      <c r="E30" s="1"/>
      <c r="F30" s="1"/>
      <c r="G30" s="1"/>
      <c r="H30" s="1"/>
      <c r="I30" s="1"/>
      <c r="J30" s="1"/>
      <c r="K30" s="1"/>
      <c r="L30" s="1"/>
      <c r="M30" s="1"/>
      <c r="N30" s="1"/>
      <c r="O30" s="1"/>
    </row>
    <row r="31" customFormat="false" ht="15.75" hidden="false" customHeight="true" outlineLevel="0" collapsed="false">
      <c r="A31" s="1"/>
      <c r="B31" s="1"/>
      <c r="C31" s="1"/>
      <c r="D31" s="1"/>
      <c r="E31" s="1"/>
      <c r="F31" s="1"/>
      <c r="G31" s="1"/>
      <c r="H31" s="1"/>
      <c r="I31" s="1"/>
      <c r="J31" s="1"/>
      <c r="K31" s="1"/>
      <c r="L31" s="1"/>
      <c r="M31" s="1"/>
      <c r="N31" s="1"/>
      <c r="O31" s="1"/>
    </row>
    <row r="32" customFormat="false" ht="15.75" hidden="false" customHeight="true" outlineLevel="0" collapsed="false">
      <c r="A32" s="1"/>
      <c r="B32" s="1"/>
      <c r="C32" s="1"/>
      <c r="D32" s="1"/>
      <c r="E32" s="1"/>
      <c r="F32" s="1"/>
      <c r="G32" s="1"/>
      <c r="H32" s="1"/>
      <c r="I32" s="1"/>
      <c r="J32" s="1"/>
      <c r="K32" s="1"/>
      <c r="L32" s="1"/>
      <c r="M32" s="1"/>
      <c r="N32" s="1"/>
      <c r="O32" s="1"/>
    </row>
    <row r="33" customFormat="false" ht="15.75" hidden="false" customHeight="true" outlineLevel="0" collapsed="false">
      <c r="A33" s="1"/>
      <c r="B33" s="1"/>
      <c r="C33" s="1"/>
      <c r="D33" s="1"/>
      <c r="E33" s="1"/>
      <c r="F33" s="1"/>
      <c r="G33" s="1"/>
      <c r="H33" s="1"/>
      <c r="I33" s="1"/>
      <c r="J33" s="1"/>
      <c r="K33" s="1"/>
      <c r="L33" s="1"/>
      <c r="M33" s="1"/>
      <c r="N33" s="1"/>
      <c r="O33" s="1"/>
    </row>
    <row r="34" customFormat="false" ht="15.75" hidden="false" customHeight="true" outlineLevel="0" collapsed="false">
      <c r="A34" s="1"/>
      <c r="B34" s="1"/>
      <c r="C34" s="1"/>
      <c r="D34" s="1"/>
      <c r="E34" s="1"/>
      <c r="F34" s="1"/>
      <c r="G34" s="1"/>
      <c r="H34" s="1"/>
      <c r="I34" s="1"/>
      <c r="J34" s="1"/>
      <c r="K34" s="1"/>
      <c r="L34" s="1"/>
      <c r="M34" s="1"/>
      <c r="N34" s="1"/>
      <c r="O34" s="1"/>
    </row>
    <row r="35" customFormat="false" ht="15.75" hidden="false" customHeight="true" outlineLevel="0" collapsed="false">
      <c r="A35" s="1"/>
      <c r="B35" s="1"/>
      <c r="C35" s="1"/>
      <c r="D35" s="1"/>
      <c r="E35" s="1"/>
      <c r="F35" s="1"/>
      <c r="G35" s="1"/>
      <c r="H35" s="1"/>
      <c r="I35" s="1"/>
      <c r="J35" s="1"/>
      <c r="K35" s="1"/>
      <c r="L35" s="1"/>
      <c r="M35" s="1"/>
      <c r="N35" s="1"/>
      <c r="O35" s="1"/>
    </row>
    <row r="36" customFormat="false" ht="15.75" hidden="false" customHeight="true" outlineLevel="0" collapsed="false">
      <c r="A36" s="1"/>
      <c r="B36" s="1"/>
      <c r="C36" s="1"/>
      <c r="D36" s="1"/>
      <c r="E36" s="1"/>
      <c r="F36" s="1"/>
      <c r="G36" s="1"/>
      <c r="H36" s="1"/>
      <c r="I36" s="1"/>
      <c r="J36" s="1"/>
      <c r="K36" s="1"/>
      <c r="L36" s="1"/>
      <c r="M36" s="1"/>
      <c r="N36" s="1"/>
      <c r="O36" s="1"/>
    </row>
    <row r="37" customFormat="false" ht="15.75" hidden="false" customHeight="true" outlineLevel="0" collapsed="false">
      <c r="A37" s="1"/>
      <c r="B37" s="1"/>
      <c r="C37" s="1"/>
      <c r="D37" s="1"/>
      <c r="E37" s="1"/>
      <c r="F37" s="1"/>
      <c r="G37" s="1"/>
      <c r="H37" s="1"/>
      <c r="I37" s="1"/>
      <c r="J37" s="1"/>
      <c r="K37" s="1"/>
      <c r="L37" s="1"/>
      <c r="M37" s="1"/>
      <c r="N37" s="1"/>
      <c r="O37" s="1"/>
    </row>
    <row r="38" customFormat="false" ht="15.75" hidden="false" customHeight="true" outlineLevel="0" collapsed="false">
      <c r="A38" s="1"/>
      <c r="B38" s="1"/>
      <c r="C38" s="1"/>
      <c r="D38" s="1"/>
      <c r="E38" s="1"/>
      <c r="F38" s="1"/>
      <c r="G38" s="1"/>
      <c r="H38" s="1"/>
      <c r="I38" s="1"/>
      <c r="J38" s="1"/>
      <c r="K38" s="1"/>
      <c r="L38" s="1"/>
      <c r="M38" s="1"/>
      <c r="N38" s="1"/>
      <c r="O38" s="1"/>
    </row>
    <row r="39" customFormat="false" ht="15.75" hidden="false" customHeight="true" outlineLevel="0" collapsed="false">
      <c r="A39" s="1"/>
      <c r="B39" s="1"/>
      <c r="C39" s="1"/>
      <c r="D39" s="1"/>
      <c r="E39" s="1"/>
      <c r="F39" s="1"/>
      <c r="G39" s="1"/>
      <c r="H39" s="1"/>
      <c r="I39" s="1"/>
      <c r="J39" s="1"/>
      <c r="K39" s="1"/>
      <c r="L39" s="1"/>
      <c r="M39" s="1"/>
      <c r="N39" s="1"/>
      <c r="O39" s="1"/>
    </row>
    <row r="40" customFormat="false" ht="15.75" hidden="false" customHeight="true" outlineLevel="0" collapsed="false">
      <c r="A40" s="1"/>
      <c r="B40" s="117" t="s">
        <v>250</v>
      </c>
      <c r="C40" s="1"/>
      <c r="D40" s="1"/>
      <c r="E40" s="1"/>
      <c r="F40" s="1"/>
      <c r="G40" s="1"/>
      <c r="H40" s="1"/>
      <c r="I40" s="1"/>
      <c r="J40" s="1"/>
      <c r="K40" s="1"/>
      <c r="L40" s="1"/>
      <c r="M40" s="1"/>
      <c r="N40" s="1"/>
      <c r="O40" s="1"/>
    </row>
    <row r="41" customFormat="false" ht="15.75" hidden="false" customHeight="true" outlineLevel="0" collapsed="false">
      <c r="A41" s="1"/>
      <c r="B41" s="118" t="s">
        <v>251</v>
      </c>
      <c r="C41" s="118"/>
      <c r="D41" s="118"/>
      <c r="E41" s="118"/>
      <c r="F41" s="118"/>
      <c r="G41" s="118"/>
      <c r="H41" s="118"/>
      <c r="I41" s="118"/>
      <c r="J41" s="118"/>
      <c r="K41" s="118"/>
      <c r="L41" s="1"/>
      <c r="M41" s="1"/>
      <c r="N41" s="1"/>
      <c r="O41" s="1"/>
    </row>
    <row r="42" customFormat="false" ht="15.75" hidden="false" customHeight="true" outlineLevel="0" collapsed="false">
      <c r="A42" s="1"/>
      <c r="B42" s="119" t="s">
        <v>252</v>
      </c>
      <c r="C42" s="119" t="s">
        <v>253</v>
      </c>
      <c r="D42" s="119" t="s">
        <v>240</v>
      </c>
      <c r="E42" s="119" t="s">
        <v>241</v>
      </c>
      <c r="F42" s="119" t="s">
        <v>242</v>
      </c>
      <c r="G42" s="119" t="s">
        <v>243</v>
      </c>
      <c r="H42" s="119" t="s">
        <v>244</v>
      </c>
      <c r="I42" s="119" t="s">
        <v>245</v>
      </c>
      <c r="J42" s="119" t="s">
        <v>246</v>
      </c>
      <c r="K42" s="119" t="s">
        <v>254</v>
      </c>
      <c r="L42" s="1"/>
      <c r="M42" s="1"/>
      <c r="N42" s="1"/>
      <c r="O42" s="1"/>
    </row>
    <row r="43" customFormat="false" ht="15.75" hidden="false" customHeight="true" outlineLevel="0" collapsed="false">
      <c r="A43" s="1"/>
      <c r="B43" s="124" t="s">
        <v>193</v>
      </c>
      <c r="C43" s="53" t="s">
        <v>194</v>
      </c>
      <c r="D43" s="51" t="n">
        <f aca="false">COUNTIFS('Bug Data'!$D:$D,"To Do",'Bug Data'!$M:$M,$C43)+COUNTIFS('Bug Data'!$D:$D,"Todo",'Bug Data'!$M:$M,$C43)</f>
        <v>2</v>
      </c>
      <c r="E43" s="51" t="n">
        <f aca="false">COUNTIFS('Bug Data'!$D:$D,"In Progress",'Bug Data'!$M:$M,$C43)</f>
        <v>0</v>
      </c>
      <c r="F43" s="51" t="n">
        <f aca="false">COUNTIFS('Bug Data'!$D:$D,"In Review",'Bug Data'!$M:$M,$C43)</f>
        <v>0</v>
      </c>
      <c r="G43" s="51" t="n">
        <f aca="false">COUNTIFS('Bug Data'!$D:$D,"Pending",'Bug Data'!$M:$M,$C43)</f>
        <v>0</v>
      </c>
      <c r="H43" s="51" t="n">
        <f aca="false">COUNTIFS('Bug Data'!$D:$D,"Cancel",'Bug Data'!$M:$M,$C43)+COUNTIFS('Bug Data'!$D:$D,"Cancelled",'Bug Data'!$M:$M,$C43)+COUNTIFS('Bug Data'!$D:$D,"Canceled",'Bug Data'!$M:$M,$C43)</f>
        <v>0</v>
      </c>
      <c r="I43" s="51" t="n">
        <f aca="false">COUNTIFS('Bug Data'!$D:$D,"Done",'Bug Data'!$M:$M,$C43)+COUNTIFS('Bug Data'!$D:$D,"Closed",'Bug Data'!$M:$M,$C43)+COUNTIFS('Bug Data'!$D:$D,"Resolved",'Bug Data'!$M:$M,$C43)</f>
        <v>0</v>
      </c>
      <c r="J43" s="125" t="n">
        <f aca="false">SUM(D43:I43)</f>
        <v>2</v>
      </c>
      <c r="K43" s="52" t="n">
        <f aca="false">IFERROR(J43/$J$53,0)</f>
        <v>0.05</v>
      </c>
      <c r="L43" s="1"/>
      <c r="M43" s="1"/>
      <c r="N43" s="1"/>
      <c r="O43" s="1"/>
    </row>
    <row r="44" customFormat="false" ht="15.75" hidden="false" customHeight="true" outlineLevel="0" collapsed="false">
      <c r="A44" s="1"/>
      <c r="B44" s="124" t="s">
        <v>195</v>
      </c>
      <c r="C44" s="53" t="s">
        <v>196</v>
      </c>
      <c r="D44" s="51" t="n">
        <f aca="false">COUNTIFS('Bug Data'!$D:$D,"To Do",'Bug Data'!$M:$M,$C44)+COUNTIFS('Bug Data'!$D:$D,"Todo",'Bug Data'!$M:$M,$C44)</f>
        <v>1</v>
      </c>
      <c r="E44" s="51" t="n">
        <f aca="false">COUNTIFS('Bug Data'!$D:$D,"In Progress",'Bug Data'!$M:$M,$C44)</f>
        <v>0</v>
      </c>
      <c r="F44" s="51" t="n">
        <f aca="false">COUNTIFS('Bug Data'!$D:$D,"In Review",'Bug Data'!$M:$M,$C44)</f>
        <v>0</v>
      </c>
      <c r="G44" s="51" t="n">
        <f aca="false">COUNTIFS('Bug Data'!$D:$D,"Pending",'Bug Data'!$M:$M,$C44)</f>
        <v>0</v>
      </c>
      <c r="H44" s="51" t="n">
        <f aca="false">COUNTIFS('Bug Data'!$D:$D,"Cancel",'Bug Data'!$M:$M,$C44)+COUNTIFS('Bug Data'!$D:$D,"Cancelled",'Bug Data'!$M:$M,$C44)+COUNTIFS('Bug Data'!$D:$D,"Canceled",'Bug Data'!$M:$M,$C44)</f>
        <v>0</v>
      </c>
      <c r="I44" s="51" t="n">
        <f aca="false">COUNTIFS('Bug Data'!$D:$D,"Done",'Bug Data'!$M:$M,$C44)+COUNTIFS('Bug Data'!$D:$D,"Closed",'Bug Data'!$M:$M,$C44)+COUNTIFS('Bug Data'!$D:$D,"Resolved",'Bug Data'!$M:$M,$C44)</f>
        <v>0</v>
      </c>
      <c r="J44" s="125" t="n">
        <f aca="false">SUM(D44:I44)</f>
        <v>1</v>
      </c>
      <c r="K44" s="52" t="n">
        <f aca="false">IFERROR(J44/$J$53,0)</f>
        <v>0.025</v>
      </c>
      <c r="L44" s="1"/>
      <c r="M44" s="1"/>
      <c r="N44" s="1"/>
      <c r="O44" s="1"/>
    </row>
    <row r="45" customFormat="false" ht="15.75" hidden="false" customHeight="true" outlineLevel="0" collapsed="false">
      <c r="A45" s="1"/>
      <c r="B45" s="124" t="s">
        <v>197</v>
      </c>
      <c r="C45" s="53" t="s">
        <v>198</v>
      </c>
      <c r="D45" s="51" t="n">
        <f aca="false">COUNTIFS('Bug Data'!$D:$D,"To Do",'Bug Data'!$M:$M,$C45)+COUNTIFS('Bug Data'!$D:$D,"Todo",'Bug Data'!$M:$M,$C45)</f>
        <v>3</v>
      </c>
      <c r="E45" s="51" t="n">
        <f aca="false">COUNTIFS('Bug Data'!$D:$D,"In Progress",'Bug Data'!$M:$M,$C45)</f>
        <v>0</v>
      </c>
      <c r="F45" s="51" t="n">
        <f aca="false">COUNTIFS('Bug Data'!$D:$D,"In Review",'Bug Data'!$M:$M,$C45)</f>
        <v>0</v>
      </c>
      <c r="G45" s="51" t="n">
        <f aca="false">COUNTIFS('Bug Data'!$D:$D,"Pending",'Bug Data'!$M:$M,$C45)</f>
        <v>0</v>
      </c>
      <c r="H45" s="51" t="n">
        <f aca="false">COUNTIFS('Bug Data'!$D:$D,"Cancel",'Bug Data'!$M:$M,$C45)+COUNTIFS('Bug Data'!$D:$D,"Cancelled",'Bug Data'!$M:$M,$C45)+COUNTIFS('Bug Data'!$D:$D,"Canceled",'Bug Data'!$M:$M,$C45)</f>
        <v>0</v>
      </c>
      <c r="I45" s="51" t="n">
        <f aca="false">COUNTIFS('Bug Data'!$D:$D,"Done",'Bug Data'!$M:$M,$C45)+COUNTIFS('Bug Data'!$D:$D,"Closed",'Bug Data'!$M:$M,$C45)+COUNTIFS('Bug Data'!$D:$D,"Resolved",'Bug Data'!$M:$M,$C45)</f>
        <v>0</v>
      </c>
      <c r="J45" s="125" t="n">
        <f aca="false">SUM(D45:I45)</f>
        <v>3</v>
      </c>
      <c r="K45" s="52" t="n">
        <f aca="false">IFERROR(J45/$J$53,0)</f>
        <v>0.075</v>
      </c>
      <c r="L45" s="1"/>
      <c r="M45" s="1"/>
      <c r="N45" s="1"/>
      <c r="O45" s="1"/>
    </row>
    <row r="46" customFormat="false" ht="15.75" hidden="false" customHeight="true" outlineLevel="0" collapsed="false">
      <c r="A46" s="1"/>
      <c r="B46" s="124" t="s">
        <v>199</v>
      </c>
      <c r="C46" s="53" t="s">
        <v>200</v>
      </c>
      <c r="D46" s="51" t="n">
        <f aca="false">COUNTIFS('Bug Data'!$D:$D,"To Do",'Bug Data'!$M:$M,$C46)+COUNTIFS('Bug Data'!$D:$D,"Todo",'Bug Data'!$M:$M,$C46)</f>
        <v>7</v>
      </c>
      <c r="E46" s="51" t="n">
        <f aca="false">COUNTIFS('Bug Data'!$D:$D,"In Progress",'Bug Data'!$M:$M,$C46)</f>
        <v>0</v>
      </c>
      <c r="F46" s="51" t="n">
        <f aca="false">COUNTIFS('Bug Data'!$D:$D,"In Review",'Bug Data'!$M:$M,$C46)</f>
        <v>0</v>
      </c>
      <c r="G46" s="51" t="n">
        <f aca="false">COUNTIFS('Bug Data'!$D:$D,"Pending",'Bug Data'!$M:$M,$C46)</f>
        <v>0</v>
      </c>
      <c r="H46" s="51" t="n">
        <f aca="false">COUNTIFS('Bug Data'!$D:$D,"Cancel",'Bug Data'!$M:$M,$C46)+COUNTIFS('Bug Data'!$D:$D,"Cancelled",'Bug Data'!$M:$M,$C46)+COUNTIFS('Bug Data'!$D:$D,"Canceled",'Bug Data'!$M:$M,$C46)</f>
        <v>0</v>
      </c>
      <c r="I46" s="51" t="n">
        <f aca="false">COUNTIFS('Bug Data'!$D:$D,"Done",'Bug Data'!$M:$M,$C46)+COUNTIFS('Bug Data'!$D:$D,"Closed",'Bug Data'!$M:$M,$C46)+COUNTIFS('Bug Data'!$D:$D,"Resolved",'Bug Data'!$M:$M,$C46)</f>
        <v>0</v>
      </c>
      <c r="J46" s="125" t="n">
        <f aca="false">SUM(D46:I46)</f>
        <v>7</v>
      </c>
      <c r="K46" s="52" t="n">
        <f aca="false">IFERROR(J46/$J$53,0)</f>
        <v>0.175</v>
      </c>
      <c r="L46" s="1"/>
      <c r="M46" s="1"/>
      <c r="N46" s="1"/>
      <c r="O46" s="1"/>
    </row>
    <row r="47" customFormat="false" ht="15.75" hidden="false" customHeight="true" outlineLevel="0" collapsed="false">
      <c r="A47" s="1"/>
      <c r="B47" s="124" t="s">
        <v>201</v>
      </c>
      <c r="C47" s="53" t="s">
        <v>202</v>
      </c>
      <c r="D47" s="51" t="n">
        <f aca="false">COUNTIFS('Bug Data'!$D:$D,"To Do",'Bug Data'!$M:$M,$C47)+COUNTIFS('Bug Data'!$D:$D,"Todo",'Bug Data'!$M:$M,$C47)</f>
        <v>1</v>
      </c>
      <c r="E47" s="51" t="n">
        <f aca="false">COUNTIFS('Bug Data'!$D:$D,"In Progress",'Bug Data'!$M:$M,$C47)</f>
        <v>0</v>
      </c>
      <c r="F47" s="51" t="n">
        <f aca="false">COUNTIFS('Bug Data'!$D:$D,"In Review",'Bug Data'!$M:$M,$C47)</f>
        <v>0</v>
      </c>
      <c r="G47" s="51" t="n">
        <f aca="false">COUNTIFS('Bug Data'!$D:$D,"Pending",'Bug Data'!$M:$M,$C47)</f>
        <v>0</v>
      </c>
      <c r="H47" s="51" t="n">
        <f aca="false">COUNTIFS('Bug Data'!$D:$D,"Cancel",'Bug Data'!$M:$M,$C47)+COUNTIFS('Bug Data'!$D:$D,"Cancelled",'Bug Data'!$M:$M,$C47)+COUNTIFS('Bug Data'!$D:$D,"Canceled",'Bug Data'!$M:$M,$C47)</f>
        <v>0</v>
      </c>
      <c r="I47" s="51" t="n">
        <f aca="false">COUNTIFS('Bug Data'!$D:$D,"Done",'Bug Data'!$M:$M,$C47)+COUNTIFS('Bug Data'!$D:$D,"Closed",'Bug Data'!$M:$M,$C47)+COUNTIFS('Bug Data'!$D:$D,"Resolved",'Bug Data'!$M:$M,$C47)</f>
        <v>0</v>
      </c>
      <c r="J47" s="125" t="n">
        <f aca="false">SUM(D47:I47)</f>
        <v>1</v>
      </c>
      <c r="K47" s="52" t="n">
        <f aca="false">IFERROR(J47/$J$53,0)</f>
        <v>0.025</v>
      </c>
      <c r="L47" s="1"/>
      <c r="M47" s="1"/>
      <c r="N47" s="1"/>
      <c r="O47" s="1"/>
    </row>
    <row r="48" customFormat="false" ht="15.75" hidden="false" customHeight="true" outlineLevel="0" collapsed="false">
      <c r="A48" s="1"/>
      <c r="B48" s="124" t="s">
        <v>203</v>
      </c>
      <c r="C48" s="53" t="s">
        <v>204</v>
      </c>
      <c r="D48" s="51" t="n">
        <f aca="false">COUNTIFS('Bug Data'!$D:$D,"To Do",'Bug Data'!$M:$M,$C48)+COUNTIFS('Bug Data'!$D:$D,"Todo",'Bug Data'!$M:$M,$C48)</f>
        <v>1</v>
      </c>
      <c r="E48" s="51" t="n">
        <f aca="false">COUNTIFS('Bug Data'!$D:$D,"In Progress",'Bug Data'!$M:$M,$C48)</f>
        <v>0</v>
      </c>
      <c r="F48" s="51" t="n">
        <f aca="false">COUNTIFS('Bug Data'!$D:$D,"In Review",'Bug Data'!$M:$M,$C48)</f>
        <v>0</v>
      </c>
      <c r="G48" s="51" t="n">
        <f aca="false">COUNTIFS('Bug Data'!$D:$D,"Pending",'Bug Data'!$M:$M,$C48)</f>
        <v>0</v>
      </c>
      <c r="H48" s="51" t="n">
        <f aca="false">COUNTIFS('Bug Data'!$D:$D,"Cancel",'Bug Data'!$M:$M,$C48)+COUNTIFS('Bug Data'!$D:$D,"Cancelled",'Bug Data'!$M:$M,$C48)+COUNTIFS('Bug Data'!$D:$D,"Canceled",'Bug Data'!$M:$M,$C48)</f>
        <v>0</v>
      </c>
      <c r="I48" s="51" t="n">
        <f aca="false">COUNTIFS('Bug Data'!$D:$D,"Done",'Bug Data'!$M:$M,$C48)+COUNTIFS('Bug Data'!$D:$D,"Closed",'Bug Data'!$M:$M,$C48)+COUNTIFS('Bug Data'!$D:$D,"Resolved",'Bug Data'!$M:$M,$C48)</f>
        <v>0</v>
      </c>
      <c r="J48" s="125" t="n">
        <f aca="false">SUM(D48:I48)</f>
        <v>1</v>
      </c>
      <c r="K48" s="52" t="n">
        <f aca="false">IFERROR(J48/$J$53,0)</f>
        <v>0.025</v>
      </c>
      <c r="L48" s="1"/>
      <c r="M48" s="1"/>
      <c r="N48" s="1"/>
      <c r="O48" s="1"/>
    </row>
    <row r="49" customFormat="false" ht="15.75" hidden="false" customHeight="true" outlineLevel="0" collapsed="false">
      <c r="A49" s="1"/>
      <c r="B49" s="124" t="s">
        <v>205</v>
      </c>
      <c r="C49" s="53" t="s">
        <v>206</v>
      </c>
      <c r="D49" s="51" t="n">
        <f aca="false">COUNTIFS('Bug Data'!$D:$D,"To Do",'Bug Data'!$M:$M,$C49)+COUNTIFS('Bug Data'!$D:$D,"Todo",'Bug Data'!$M:$M,$C49)</f>
        <v>2</v>
      </c>
      <c r="E49" s="51" t="n">
        <f aca="false">COUNTIFS('Bug Data'!$D:$D,"In Progress",'Bug Data'!$M:$M,$C49)</f>
        <v>0</v>
      </c>
      <c r="F49" s="51" t="n">
        <f aca="false">COUNTIFS('Bug Data'!$D:$D,"In Review",'Bug Data'!$M:$M,$C49)</f>
        <v>0</v>
      </c>
      <c r="G49" s="51" t="n">
        <f aca="false">COUNTIFS('Bug Data'!$D:$D,"Pending",'Bug Data'!$M:$M,$C49)</f>
        <v>0</v>
      </c>
      <c r="H49" s="51" t="n">
        <f aca="false">COUNTIFS('Bug Data'!$D:$D,"Cancel",'Bug Data'!$M:$M,$C49)+COUNTIFS('Bug Data'!$D:$D,"Cancelled",'Bug Data'!$M:$M,$C49)+COUNTIFS('Bug Data'!$D:$D,"Canceled",'Bug Data'!$M:$M,$C49)</f>
        <v>0</v>
      </c>
      <c r="I49" s="51" t="n">
        <f aca="false">COUNTIFS('Bug Data'!$D:$D,"Done",'Bug Data'!$M:$M,$C49)+COUNTIFS('Bug Data'!$D:$D,"Closed",'Bug Data'!$M:$M,$C49)+COUNTIFS('Bug Data'!$D:$D,"Resolved",'Bug Data'!$M:$M,$C49)</f>
        <v>0</v>
      </c>
      <c r="J49" s="125" t="n">
        <f aca="false">SUM(D49:I49)</f>
        <v>2</v>
      </c>
      <c r="K49" s="52" t="n">
        <f aca="false">IFERROR(J49/$J$53,0)</f>
        <v>0.05</v>
      </c>
      <c r="L49" s="1"/>
      <c r="M49" s="1"/>
      <c r="N49" s="1"/>
      <c r="O49" s="1"/>
    </row>
    <row r="50" customFormat="false" ht="15.75" hidden="false" customHeight="true" outlineLevel="0" collapsed="false">
      <c r="A50" s="1"/>
      <c r="B50" s="124" t="s">
        <v>207</v>
      </c>
      <c r="C50" s="53" t="s">
        <v>208</v>
      </c>
      <c r="D50" s="51" t="n">
        <f aca="false">COUNTIFS('Bug Data'!$D:$D,"To Do",'Bug Data'!$M:$M,$C50)+COUNTIFS('Bug Data'!$D:$D,"Todo",'Bug Data'!$M:$M,$C50)</f>
        <v>0</v>
      </c>
      <c r="E50" s="51" t="n">
        <f aca="false">COUNTIFS('Bug Data'!$D:$D,"In Progress",'Bug Data'!$M:$M,$C50)</f>
        <v>0</v>
      </c>
      <c r="F50" s="51" t="n">
        <f aca="false">COUNTIFS('Bug Data'!$D:$D,"In Review",'Bug Data'!$M:$M,$C50)</f>
        <v>1</v>
      </c>
      <c r="G50" s="51" t="n">
        <f aca="false">COUNTIFS('Bug Data'!$D:$D,"Pending",'Bug Data'!$M:$M,$C50)</f>
        <v>0</v>
      </c>
      <c r="H50" s="51" t="n">
        <f aca="false">COUNTIFS('Bug Data'!$D:$D,"Cancel",'Bug Data'!$M:$M,$C50)+COUNTIFS('Bug Data'!$D:$D,"Cancelled",'Bug Data'!$M:$M,$C50)+COUNTIFS('Bug Data'!$D:$D,"Canceled",'Bug Data'!$M:$M,$C50)</f>
        <v>0</v>
      </c>
      <c r="I50" s="51" t="n">
        <f aca="false">COUNTIFS('Bug Data'!$D:$D,"Done",'Bug Data'!$M:$M,$C50)+COUNTIFS('Bug Data'!$D:$D,"Closed",'Bug Data'!$M:$M,$C50)+COUNTIFS('Bug Data'!$D:$D,"Resolved",'Bug Data'!$M:$M,$C50)</f>
        <v>0</v>
      </c>
      <c r="J50" s="125" t="n">
        <f aca="false">SUM(D50:I50)</f>
        <v>1</v>
      </c>
      <c r="K50" s="52" t="n">
        <f aca="false">IFERROR(J50/$J$53,0)</f>
        <v>0.025</v>
      </c>
      <c r="L50" s="1"/>
      <c r="M50" s="1"/>
      <c r="N50" s="1"/>
      <c r="O50" s="1"/>
    </row>
    <row r="51" customFormat="false" ht="15.75" hidden="false" customHeight="true" outlineLevel="0" collapsed="false">
      <c r="A51" s="1"/>
      <c r="B51" s="124" t="s">
        <v>209</v>
      </c>
      <c r="C51" s="53" t="s">
        <v>210</v>
      </c>
      <c r="D51" s="51" t="n">
        <f aca="false">COUNTIFS('Bug Data'!$D:$D,"To Do",'Bug Data'!$M:$M,$C51)+COUNTIFS('Bug Data'!$D:$D,"Todo",'Bug Data'!$M:$M,$C51)</f>
        <v>7</v>
      </c>
      <c r="E51" s="51" t="n">
        <f aca="false">COUNTIFS('Bug Data'!$D:$D,"In Progress",'Bug Data'!$M:$M,$C51)</f>
        <v>0</v>
      </c>
      <c r="F51" s="51" t="n">
        <f aca="false">COUNTIFS('Bug Data'!$D:$D,"In Review",'Bug Data'!$M:$M,$C51)</f>
        <v>0</v>
      </c>
      <c r="G51" s="51" t="n">
        <f aca="false">COUNTIFS('Bug Data'!$D:$D,"Pending",'Bug Data'!$M:$M,$C51)</f>
        <v>0</v>
      </c>
      <c r="H51" s="51" t="n">
        <f aca="false">COUNTIFS('Bug Data'!$D:$D,"Cancel",'Bug Data'!$M:$M,$C51)+COUNTIFS('Bug Data'!$D:$D,"Cancelled",'Bug Data'!$M:$M,$C51)+COUNTIFS('Bug Data'!$D:$D,"Canceled",'Bug Data'!$M:$M,$C51)</f>
        <v>0</v>
      </c>
      <c r="I51" s="51" t="n">
        <f aca="false">COUNTIFS('Bug Data'!$D:$D,"Done",'Bug Data'!$M:$M,$C51)+COUNTIFS('Bug Data'!$D:$D,"Closed",'Bug Data'!$M:$M,$C51)+COUNTIFS('Bug Data'!$D:$D,"Resolved",'Bug Data'!$M:$M,$C51)</f>
        <v>0</v>
      </c>
      <c r="J51" s="125" t="n">
        <f aca="false">SUM(D51:I51)</f>
        <v>7</v>
      </c>
      <c r="K51" s="52" t="n">
        <f aca="false">IFERROR(J51/$J$53,0)</f>
        <v>0.175</v>
      </c>
      <c r="L51" s="1"/>
      <c r="M51" s="1"/>
      <c r="N51" s="1"/>
      <c r="O51" s="1"/>
    </row>
    <row r="52" customFormat="false" ht="15.75" hidden="false" customHeight="true" outlineLevel="0" collapsed="false">
      <c r="A52" s="1"/>
      <c r="B52" s="124" t="s">
        <v>255</v>
      </c>
      <c r="C52" s="53" t="s">
        <v>256</v>
      </c>
      <c r="D52" s="51" t="n">
        <f aca="false">COUNTIFS('Bug Data'!$D:$D,"To Do")+COUNTIFS('Bug Data'!$D:$D,"Todo")-SUM(D43:D51)</f>
        <v>15</v>
      </c>
      <c r="E52" s="51" t="n">
        <f aca="false">COUNTIFS('Bug Data'!$D:$D,"In Progress")-SUM(E43:E51)</f>
        <v>0</v>
      </c>
      <c r="F52" s="51" t="n">
        <f aca="false">COUNTIFS('Bug Data'!$D:$D,"In Review")-SUM(F43:F51)</f>
        <v>0</v>
      </c>
      <c r="G52" s="51" t="n">
        <f aca="false">COUNTIFS('Bug Data'!$D:$D,"Pending")-SUM(G43:G51)</f>
        <v>0</v>
      </c>
      <c r="H52" s="51" t="n">
        <f aca="false">COUNTIFS('Bug Data'!$D:$D,"Cancel")+COUNTIFS('Bug Data'!$D:$D,"Cancelled")+COUNTIFS('Bug Data'!$D:$D,"Canceled")-SUM(H43:H51)</f>
        <v>0</v>
      </c>
      <c r="I52" s="51" t="n">
        <f aca="false">COUNTIFS('Bug Data'!$D:$D,"Done")+COUNTIFS('Bug Data'!$D:$D,"Closed")+COUNTIFS('Bug Data'!$D:$D,"Resolved")-SUM(I43:I51)</f>
        <v>0</v>
      </c>
      <c r="J52" s="125" t="n">
        <f aca="false">SUM(D52:I52)</f>
        <v>15</v>
      </c>
      <c r="K52" s="52" t="n">
        <f aca="false">IFERROR(J52/$J$53,0)</f>
        <v>0.375</v>
      </c>
      <c r="L52" s="1"/>
      <c r="M52" s="1"/>
      <c r="N52" s="1"/>
      <c r="O52" s="1"/>
    </row>
    <row r="53" customFormat="false" ht="15.75" hidden="false" customHeight="true" outlineLevel="0" collapsed="false">
      <c r="A53" s="1"/>
      <c r="B53" s="126" t="s">
        <v>246</v>
      </c>
      <c r="C53" s="127"/>
      <c r="D53" s="42" t="n">
        <f aca="false">SUM(D43:D52)</f>
        <v>39</v>
      </c>
      <c r="E53" s="42" t="n">
        <f aca="false">SUM(E43:E52)</f>
        <v>0</v>
      </c>
      <c r="F53" s="42" t="n">
        <f aca="false">SUM(F43:F52)</f>
        <v>1</v>
      </c>
      <c r="G53" s="42" t="n">
        <f aca="false">SUM(G43:G52)</f>
        <v>0</v>
      </c>
      <c r="H53" s="42" t="n">
        <f aca="false">SUM(H43:H52)</f>
        <v>0</v>
      </c>
      <c r="I53" s="42" t="n">
        <f aca="false">SUM(I43:I52)</f>
        <v>0</v>
      </c>
      <c r="J53" s="42" t="n">
        <f aca="false">SUM(J43:J52)</f>
        <v>40</v>
      </c>
      <c r="K53" s="55" t="n">
        <f aca="false">IFERROR(J53/J53,0)</f>
        <v>1</v>
      </c>
      <c r="L53" s="1"/>
      <c r="M53" s="1"/>
      <c r="N53" s="1"/>
      <c r="O53" s="1"/>
    </row>
    <row r="54" customFormat="false" ht="15.75" hidden="false" customHeight="true" outlineLevel="0" collapsed="false">
      <c r="A54" s="1"/>
      <c r="B54" s="1"/>
      <c r="C54" s="1"/>
      <c r="D54" s="1"/>
      <c r="E54" s="1"/>
      <c r="F54" s="1"/>
      <c r="G54" s="1"/>
      <c r="H54" s="1"/>
      <c r="I54" s="1"/>
      <c r="J54" s="1"/>
      <c r="K54" s="1"/>
      <c r="L54" s="1"/>
      <c r="M54" s="1"/>
      <c r="N54" s="1"/>
      <c r="O54" s="1"/>
    </row>
    <row r="55" customFormat="false" ht="31.5" hidden="false" customHeight="true" outlineLevel="0" collapsed="false">
      <c r="A55" s="1"/>
      <c r="B55" s="128" t="s">
        <v>257</v>
      </c>
      <c r="C55" s="128"/>
      <c r="D55" s="128"/>
      <c r="E55" s="128"/>
      <c r="F55" s="128"/>
      <c r="G55" s="128"/>
      <c r="H55" s="128"/>
      <c r="I55" s="128"/>
      <c r="J55" s="128"/>
      <c r="K55" s="128"/>
      <c r="L55" s="1"/>
      <c r="M55" s="1"/>
      <c r="N55" s="1"/>
      <c r="O55" s="1"/>
    </row>
    <row r="56" customFormat="false" ht="15.75" hidden="false" customHeight="true" outlineLevel="0" collapsed="false">
      <c r="A56" s="1"/>
      <c r="B56" s="1"/>
      <c r="C56" s="1"/>
      <c r="D56" s="1"/>
      <c r="E56" s="1"/>
      <c r="F56" s="1"/>
      <c r="G56" s="1"/>
      <c r="H56" s="1"/>
      <c r="I56" s="1"/>
      <c r="J56" s="1"/>
      <c r="K56" s="1"/>
      <c r="L56" s="1"/>
      <c r="M56" s="1"/>
      <c r="N56" s="1"/>
      <c r="O56" s="1"/>
    </row>
    <row r="57" customFormat="false" ht="15.75" hidden="false" customHeight="true" outlineLevel="0" collapsed="false">
      <c r="A57" s="1"/>
      <c r="B57" s="117" t="s">
        <v>258</v>
      </c>
      <c r="C57" s="1"/>
      <c r="D57" s="1"/>
      <c r="E57" s="1"/>
      <c r="F57" s="1"/>
      <c r="G57" s="1"/>
      <c r="H57" s="1"/>
      <c r="I57" s="1"/>
      <c r="J57" s="1"/>
      <c r="K57" s="1"/>
      <c r="L57" s="1"/>
      <c r="M57" s="1"/>
      <c r="N57" s="1"/>
      <c r="O57" s="1"/>
    </row>
    <row r="58" customFormat="false" ht="15.75" hidden="false" customHeight="true" outlineLevel="0" collapsed="false">
      <c r="A58" s="1"/>
      <c r="B58" s="118" t="s">
        <v>259</v>
      </c>
      <c r="C58" s="118"/>
      <c r="D58" s="118"/>
      <c r="E58" s="118"/>
      <c r="F58" s="118"/>
      <c r="G58" s="118"/>
      <c r="H58" s="1"/>
      <c r="I58" s="1"/>
      <c r="J58" s="1"/>
      <c r="K58" s="1"/>
      <c r="L58" s="1"/>
      <c r="M58" s="1"/>
      <c r="N58" s="1"/>
      <c r="O58" s="1"/>
    </row>
    <row r="59" customFormat="false" ht="15.75" hidden="false" customHeight="true" outlineLevel="0" collapsed="false">
      <c r="A59" s="1"/>
      <c r="B59" s="119" t="s">
        <v>252</v>
      </c>
      <c r="C59" s="119" t="s">
        <v>253</v>
      </c>
      <c r="D59" s="119" t="s">
        <v>260</v>
      </c>
      <c r="E59" s="119" t="s">
        <v>261</v>
      </c>
      <c r="F59" s="119" t="s">
        <v>262</v>
      </c>
      <c r="G59" s="119" t="s">
        <v>263</v>
      </c>
      <c r="H59" s="1"/>
      <c r="I59" s="1"/>
      <c r="J59" s="1"/>
      <c r="K59" s="1"/>
      <c r="L59" s="1"/>
      <c r="M59" s="1"/>
      <c r="N59" s="1"/>
      <c r="O59" s="1"/>
    </row>
    <row r="60" customFormat="false" ht="15.75" hidden="false" customHeight="true" outlineLevel="0" collapsed="false">
      <c r="A60" s="1"/>
      <c r="B60" s="129" t="str">
        <f aca="false">IF(Dashboard!$D4="","",Dashboard!$C4)</f>
        <v>TC_01</v>
      </c>
      <c r="C60" s="38" t="str">
        <f aca="false">IF(Dashboard!$D4="","",Dashboard!$E4)</f>
        <v>Hoạt động (Đơn của tôi)</v>
      </c>
      <c r="D60" s="120" t="n">
        <f aca="false">IF(Dashboard!$D4="","",Dashboard!$F4)</f>
        <v>10</v>
      </c>
      <c r="E60" s="120" t="n">
        <f aca="false">IF(Dashboard!$D4="","",Dashboard!$L4)</f>
        <v>10</v>
      </c>
      <c r="F60" s="130" t="n">
        <f aca="false">IFERROR(E60/D60,0)</f>
        <v>1</v>
      </c>
      <c r="G60" s="38"/>
      <c r="H60" s="1"/>
      <c r="I60" s="1"/>
      <c r="J60" s="1"/>
      <c r="K60" s="1"/>
      <c r="L60" s="1"/>
      <c r="M60" s="1"/>
      <c r="N60" s="1"/>
      <c r="O60" s="1"/>
    </row>
    <row r="61" customFormat="false" ht="15.75" hidden="false" customHeight="true" outlineLevel="0" collapsed="false">
      <c r="A61" s="1"/>
      <c r="B61" s="129" t="str">
        <f aca="false">IF(Dashboard!$D5="","",Dashboard!$C5)</f>
        <v>TC_02</v>
      </c>
      <c r="C61" s="38" t="str">
        <f aca="false">IF(Dashboard!$D5="","",Dashboard!$E5)</f>
        <v>Ghép nối</v>
      </c>
      <c r="D61" s="120" t="n">
        <f aca="false">IF(Dashboard!$D5="","",Dashboard!$F5)</f>
        <v>13</v>
      </c>
      <c r="E61" s="120" t="n">
        <f aca="false">IF(Dashboard!$D5="","",Dashboard!$L5)</f>
        <v>13</v>
      </c>
      <c r="F61" s="130" t="n">
        <f aca="false">IFERROR(E61/D61,0)</f>
        <v>1</v>
      </c>
      <c r="G61" s="38"/>
      <c r="H61" s="1"/>
      <c r="I61" s="1"/>
      <c r="J61" s="1"/>
      <c r="K61" s="1"/>
      <c r="L61" s="1"/>
      <c r="M61" s="1"/>
      <c r="N61" s="1"/>
      <c r="O61" s="1"/>
    </row>
    <row r="62" customFormat="false" ht="15.75" hidden="false" customHeight="true" outlineLevel="0" collapsed="false">
      <c r="A62" s="1"/>
      <c r="B62" s="129" t="str">
        <f aca="false">IF(Dashboard!$D6="","",Dashboard!$C6)</f>
        <v>TC_03</v>
      </c>
      <c r="C62" s="38" t="str">
        <f aca="false">IF(Dashboard!$D6="","",Dashboard!$E6)</f>
        <v>Huỷ đơn - Huỷ nhận đơn</v>
      </c>
      <c r="D62" s="120" t="n">
        <f aca="false">IF(Dashboard!$D6="","",Dashboard!$F6)</f>
        <v>13</v>
      </c>
      <c r="E62" s="120" t="n">
        <f aca="false">IF(Dashboard!$D6="","",Dashboard!$L6)</f>
        <v>13</v>
      </c>
      <c r="F62" s="130" t="n">
        <f aca="false">IFERROR(E62/D62,0)</f>
        <v>1</v>
      </c>
      <c r="G62" s="38"/>
      <c r="H62" s="1"/>
      <c r="I62" s="1"/>
      <c r="J62" s="1"/>
      <c r="K62" s="1"/>
      <c r="L62" s="1"/>
      <c r="M62" s="1"/>
      <c r="N62" s="1"/>
      <c r="O62" s="1"/>
    </row>
    <row r="63" customFormat="false" ht="15.75" hidden="false" customHeight="true" outlineLevel="0" collapsed="false">
      <c r="A63" s="1"/>
      <c r="B63" s="129" t="str">
        <f aca="false">IF(Dashboard!$D7="","",Dashboard!$C7)</f>
        <v>TC_04</v>
      </c>
      <c r="C63" s="38" t="str">
        <f aca="false">IF(Dashboard!$D7="","",Dashboard!$E7)</f>
        <v>Giao nhận &amp; Theo dõi đơn</v>
      </c>
      <c r="D63" s="120" t="n">
        <f aca="false">IF(Dashboard!$D7="","",Dashboard!$F7)</f>
        <v>51</v>
      </c>
      <c r="E63" s="120" t="n">
        <f aca="false">IF(Dashboard!$D7="","",Dashboard!$L7)</f>
        <v>11</v>
      </c>
      <c r="F63" s="130" t="n">
        <f aca="false">IFERROR(E63/D63,0)</f>
        <v>0.215686274509804</v>
      </c>
      <c r="G63" s="38"/>
      <c r="H63" s="1"/>
      <c r="I63" s="1"/>
      <c r="J63" s="1"/>
      <c r="K63" s="1"/>
      <c r="L63" s="1"/>
      <c r="M63" s="1"/>
      <c r="N63" s="1"/>
      <c r="O63" s="1"/>
    </row>
    <row r="64" customFormat="false" ht="24" hidden="false" customHeight="true" outlineLevel="0" collapsed="false">
      <c r="A64" s="1"/>
      <c r="B64" s="129" t="str">
        <f aca="false">IF(Dashboard!$D8="","",Dashboard!$C8)</f>
        <v>TC_05</v>
      </c>
      <c r="C64" s="38" t="str">
        <f aca="false">IF(Dashboard!$D8="","",Dashboard!$E8)</f>
        <v>Bảng tin &amp; Chi tiết tin</v>
      </c>
      <c r="D64" s="120" t="n">
        <f aca="false">IF(Dashboard!$D8="","",Dashboard!$F8)</f>
        <v>5</v>
      </c>
      <c r="E64" s="120" t="n">
        <f aca="false">IF(Dashboard!$D8="","",Dashboard!$L8)</f>
        <v>5</v>
      </c>
      <c r="F64" s="130" t="n">
        <f aca="false">IFERROR(E64/D64,0)</f>
        <v>1</v>
      </c>
      <c r="G64" s="38"/>
      <c r="H64" s="1"/>
      <c r="I64" s="1"/>
      <c r="J64" s="1"/>
      <c r="K64" s="1"/>
      <c r="L64" s="1"/>
      <c r="M64" s="1"/>
      <c r="N64" s="1"/>
      <c r="O64" s="1"/>
    </row>
    <row r="65" customFormat="false" ht="15.75" hidden="false" customHeight="true" outlineLevel="0" collapsed="false">
      <c r="A65" s="1"/>
      <c r="B65" s="129" t="str">
        <f aca="false">IF(Dashboard!$D9="","",Dashboard!$C9)</f>
        <v>TC_06</v>
      </c>
      <c r="C65" s="38" t="str">
        <f aca="false">IF(Dashboard!$D9="","",Dashboard!$E9)</f>
        <v>Quà cảm ơn</v>
      </c>
      <c r="D65" s="120" t="n">
        <f aca="false">IF(Dashboard!$D9="","",Dashboard!$F9)</f>
        <v>8</v>
      </c>
      <c r="E65" s="120" t="n">
        <f aca="false">IF(Dashboard!$D9="","",Dashboard!$L9)</f>
        <v>6</v>
      </c>
      <c r="F65" s="130" t="n">
        <f aca="false">IFERROR(E65/D65,0)</f>
        <v>0.75</v>
      </c>
      <c r="G65" s="38"/>
      <c r="H65" s="131"/>
      <c r="I65" s="131"/>
      <c r="J65" s="1"/>
      <c r="K65" s="1"/>
      <c r="L65" s="1"/>
      <c r="M65" s="1"/>
      <c r="N65" s="1"/>
      <c r="O65" s="1"/>
    </row>
    <row r="66" customFormat="false" ht="15.75" hidden="false" customHeight="true" outlineLevel="0" collapsed="false">
      <c r="A66" s="1"/>
      <c r="B66" s="129" t="str">
        <f aca="false">IF(Dashboard!$D10="","",Dashboard!$C10)</f>
        <v>TC_07</v>
      </c>
      <c r="C66" s="38" t="str">
        <f aca="false">IF(Dashboard!$D10="","",Dashboard!$E10)</f>
        <v>Trang chủ</v>
      </c>
      <c r="D66" s="120" t="n">
        <f aca="false">IF(Dashboard!$D10="","",Dashboard!$F10)</f>
        <v>11</v>
      </c>
      <c r="E66" s="120" t="n">
        <f aca="false">IF(Dashboard!$D10="","",Dashboard!$L10)</f>
        <v>7</v>
      </c>
      <c r="F66" s="130" t="n">
        <f aca="false">IFERROR(E66/D66,0)</f>
        <v>0.636363636363636</v>
      </c>
      <c r="G66" s="38"/>
      <c r="H66" s="1"/>
      <c r="I66" s="1"/>
      <c r="J66" s="1"/>
      <c r="K66" s="1"/>
      <c r="L66" s="1"/>
      <c r="M66" s="1"/>
      <c r="N66" s="1"/>
      <c r="O66" s="1"/>
    </row>
    <row r="67" customFormat="false" ht="15.75" hidden="false" customHeight="true" outlineLevel="0" collapsed="false">
      <c r="A67" s="1"/>
      <c r="B67" s="129" t="str">
        <f aca="false">IF(Dashboard!$D11="","",Dashboard!$C11)</f>
        <v>TC_08</v>
      </c>
      <c r="C67" s="38" t="str">
        <f aca="false">IF(Dashboard!$D11="","",Dashboard!$E11)</f>
        <v>Thông báo</v>
      </c>
      <c r="D67" s="120" t="n">
        <f aca="false">IF(Dashboard!$D11="","",Dashboard!$F11)</f>
        <v>9</v>
      </c>
      <c r="E67" s="120" t="n">
        <f aca="false">IF(Dashboard!$D11="","",Dashboard!$L11)</f>
        <v>0</v>
      </c>
      <c r="F67" s="130" t="n">
        <f aca="false">IFERROR(E67/D67,0)</f>
        <v>0</v>
      </c>
      <c r="G67" s="38"/>
      <c r="H67" s="1"/>
      <c r="I67" s="1"/>
      <c r="J67" s="1"/>
      <c r="K67" s="1"/>
      <c r="L67" s="1"/>
      <c r="M67" s="1"/>
      <c r="N67" s="1"/>
      <c r="O67" s="1"/>
    </row>
    <row r="68" customFormat="false" ht="15.75" hidden="false" customHeight="true" outlineLevel="0" collapsed="false">
      <c r="A68" s="1"/>
      <c r="B68" s="129" t="str">
        <f aca="false">IF(Dashboard!$D12="","",Dashboard!$C12)</f>
        <v>TC_09</v>
      </c>
      <c r="C68" s="38" t="str">
        <f aca="false">IF(Dashboard!$D12="","",Dashboard!$E12)</f>
        <v>Đăng tin &amp; Quản lý tin</v>
      </c>
      <c r="D68" s="120" t="n">
        <f aca="false">IF(Dashboard!$D12="","",Dashboard!$F12)</f>
        <v>48</v>
      </c>
      <c r="E68" s="120" t="n">
        <f aca="false">IF(Dashboard!$D12="","",Dashboard!$L12)</f>
        <v>45</v>
      </c>
      <c r="F68" s="130" t="n">
        <f aca="false">IFERROR(E68/D68,0)</f>
        <v>0.9375</v>
      </c>
      <c r="G68" s="38"/>
      <c r="H68" s="1"/>
      <c r="I68" s="1"/>
      <c r="J68" s="1"/>
      <c r="K68" s="1"/>
      <c r="L68" s="1"/>
      <c r="M68" s="1"/>
      <c r="N68" s="1"/>
      <c r="O68" s="1"/>
    </row>
    <row r="69" customFormat="false" ht="15.75" hidden="false" customHeight="true" outlineLevel="0" collapsed="false">
      <c r="A69" s="1"/>
      <c r="B69" s="129" t="str">
        <f aca="false">IF(Dashboard!$D13="","",Dashboard!$C13)</f>
        <v>TC_10</v>
      </c>
      <c r="C69" s="38" t="str">
        <f aca="false">IF(Dashboard!$D13="","",Dashboard!$E13)</f>
        <v>Trust &amp; Safety</v>
      </c>
      <c r="D69" s="120" t="n">
        <f aca="false">IF(Dashboard!$D13="","",Dashboard!$F13)</f>
        <v>17</v>
      </c>
      <c r="E69" s="120" t="n">
        <f aca="false">IF(Dashboard!$D13="","",Dashboard!$L13)</f>
        <v>17</v>
      </c>
      <c r="F69" s="130" t="n">
        <f aca="false">IFERROR(E69/D69,0)</f>
        <v>1</v>
      </c>
      <c r="G69" s="38"/>
      <c r="H69" s="1"/>
      <c r="I69" s="1"/>
      <c r="J69" s="1"/>
      <c r="K69" s="1"/>
      <c r="L69" s="1"/>
      <c r="M69" s="1"/>
      <c r="N69" s="1"/>
      <c r="O69" s="1"/>
    </row>
    <row r="70" customFormat="false" ht="15.75" hidden="false" customHeight="true" outlineLevel="0" collapsed="false">
      <c r="A70" s="1"/>
      <c r="B70" s="129" t="str">
        <f aca="false">IF(Dashboard!$D14="","",Dashboard!$C14)</f>
        <v>TC_11</v>
      </c>
      <c r="C70" s="38" t="str">
        <f aca="false">IF(Dashboard!$D14="","",Dashboard!$E14)</f>
        <v>Tài khoản &amp; Hồ sơ</v>
      </c>
      <c r="D70" s="120" t="n">
        <f aca="false">IF(Dashboard!$D14="","",Dashboard!$F14)</f>
        <v>38</v>
      </c>
      <c r="E70" s="120" t="n">
        <f aca="false">IF(Dashboard!$D14="","",Dashboard!$L14)</f>
        <v>38</v>
      </c>
      <c r="F70" s="130" t="n">
        <f aca="false">IFERROR(E70/D70,0)</f>
        <v>1</v>
      </c>
      <c r="G70" s="38"/>
      <c r="H70" s="1"/>
      <c r="I70" s="1"/>
      <c r="J70" s="1"/>
      <c r="K70" s="1"/>
      <c r="L70" s="1"/>
      <c r="M70" s="1"/>
      <c r="N70" s="1"/>
      <c r="O70" s="1"/>
    </row>
    <row r="71" customFormat="false" ht="15.75" hidden="false" customHeight="true" outlineLevel="0" collapsed="false">
      <c r="A71" s="1"/>
      <c r="B71" s="119" t="s">
        <v>246</v>
      </c>
      <c r="C71" s="132"/>
      <c r="D71" s="122" t="n">
        <f aca="false">Dashboard!$F$34</f>
        <v>223</v>
      </c>
      <c r="E71" s="122" t="n">
        <f aca="false">Dashboard!$L$34</f>
        <v>165</v>
      </c>
      <c r="F71" s="133" t="n">
        <f aca="false">IFERROR(E71/D71,0)</f>
        <v>0.739910313901345</v>
      </c>
      <c r="G71" s="132"/>
      <c r="H71" s="1"/>
      <c r="I71" s="1"/>
      <c r="J71" s="1"/>
      <c r="K71" s="1"/>
      <c r="L71" s="1"/>
      <c r="M71" s="1"/>
      <c r="N71" s="1"/>
      <c r="O71" s="1"/>
    </row>
    <row r="72" customFormat="false" ht="15.75" hidden="false" customHeight="true" outlineLevel="0" collapsed="false">
      <c r="A72" s="1"/>
      <c r="B72" s="134" t="s">
        <v>264</v>
      </c>
      <c r="C72" s="134"/>
      <c r="D72" s="134"/>
      <c r="E72" s="134"/>
      <c r="F72" s="134"/>
      <c r="G72" s="134"/>
      <c r="H72" s="1"/>
      <c r="I72" s="1"/>
      <c r="J72" s="1"/>
      <c r="K72" s="1"/>
      <c r="L72" s="1"/>
      <c r="M72" s="1"/>
      <c r="N72" s="1"/>
      <c r="O72" s="1"/>
    </row>
    <row r="73" customFormat="false" ht="15.75" hidden="false" customHeight="true" outlineLevel="0" collapsed="false">
      <c r="A73" s="1"/>
      <c r="B73" s="1"/>
      <c r="C73" s="1"/>
      <c r="D73" s="1"/>
      <c r="E73" s="1"/>
      <c r="F73" s="1"/>
      <c r="G73" s="1"/>
      <c r="H73" s="1"/>
      <c r="I73" s="1"/>
      <c r="J73" s="1"/>
      <c r="K73" s="1"/>
      <c r="L73" s="1"/>
      <c r="M73" s="1"/>
      <c r="N73" s="1"/>
      <c r="O73" s="1"/>
    </row>
    <row r="74" customFormat="false" ht="15.75" hidden="false" customHeight="true" outlineLevel="0" collapsed="false">
      <c r="A74" s="1"/>
      <c r="B74" s="1"/>
      <c r="C74" s="1"/>
      <c r="D74" s="1"/>
      <c r="E74" s="1"/>
      <c r="F74" s="1"/>
      <c r="G74" s="1"/>
      <c r="H74" s="1"/>
      <c r="I74" s="1"/>
      <c r="J74" s="1"/>
      <c r="K74" s="1"/>
      <c r="L74" s="1"/>
      <c r="M74" s="1"/>
      <c r="N74" s="1"/>
      <c r="O74" s="1"/>
    </row>
    <row r="75" customFormat="false" ht="15.75" hidden="false" customHeight="true" outlineLevel="0" collapsed="false">
      <c r="A75" s="1"/>
      <c r="B75" s="1"/>
      <c r="C75" s="1"/>
      <c r="D75" s="1"/>
      <c r="E75" s="1"/>
      <c r="F75" s="1"/>
      <c r="G75" s="1"/>
      <c r="H75" s="1"/>
      <c r="I75" s="1"/>
      <c r="J75" s="1"/>
      <c r="K75" s="1"/>
      <c r="L75" s="1"/>
      <c r="M75" s="1"/>
      <c r="N75" s="1"/>
      <c r="O75" s="1"/>
    </row>
    <row r="76" customFormat="false" ht="15.75" hidden="false" customHeight="true" outlineLevel="0" collapsed="false">
      <c r="A76" s="1"/>
      <c r="B76" s="1"/>
      <c r="C76" s="1"/>
      <c r="D76" s="1"/>
      <c r="E76" s="1"/>
      <c r="F76" s="1"/>
      <c r="G76" s="1"/>
      <c r="H76" s="1"/>
      <c r="I76" s="1"/>
      <c r="J76" s="1"/>
      <c r="K76" s="1"/>
      <c r="L76" s="1"/>
      <c r="M76" s="1"/>
      <c r="N76" s="1"/>
      <c r="O76" s="1"/>
    </row>
    <row r="77" customFormat="false" ht="15.75" hidden="false" customHeight="true" outlineLevel="0" collapsed="false">
      <c r="A77" s="1"/>
      <c r="B77" s="1"/>
      <c r="C77" s="1"/>
      <c r="D77" s="1"/>
      <c r="E77" s="1"/>
      <c r="F77" s="1"/>
      <c r="G77" s="1"/>
      <c r="H77" s="1"/>
      <c r="I77" s="1"/>
      <c r="J77" s="1"/>
      <c r="K77" s="1"/>
      <c r="L77" s="1"/>
      <c r="M77" s="1"/>
      <c r="N77" s="1"/>
      <c r="O77" s="1"/>
    </row>
    <row r="78" customFormat="false" ht="15.75" hidden="false" customHeight="true" outlineLevel="0" collapsed="false">
      <c r="A78" s="1"/>
      <c r="B78" s="1"/>
      <c r="C78" s="1"/>
      <c r="D78" s="1"/>
      <c r="E78" s="1"/>
      <c r="F78" s="1"/>
      <c r="G78" s="1"/>
      <c r="H78" s="1"/>
      <c r="I78" s="1"/>
      <c r="J78" s="1"/>
      <c r="K78" s="1"/>
      <c r="L78" s="1"/>
      <c r="M78" s="1"/>
      <c r="N78" s="1"/>
      <c r="O78" s="1"/>
    </row>
    <row r="79" customFormat="false" ht="15.75" hidden="false" customHeight="true" outlineLevel="0" collapsed="false">
      <c r="A79" s="1"/>
      <c r="B79" s="1"/>
      <c r="C79" s="1"/>
      <c r="D79" s="1"/>
      <c r="E79" s="1"/>
      <c r="F79" s="1"/>
      <c r="G79" s="1"/>
      <c r="H79" s="1"/>
      <c r="I79" s="1"/>
      <c r="J79" s="1"/>
      <c r="K79" s="1"/>
      <c r="L79" s="1"/>
      <c r="M79" s="1"/>
      <c r="N79" s="1"/>
      <c r="O79" s="1"/>
    </row>
    <row r="80" customFormat="false" ht="15.75" hidden="false" customHeight="true" outlineLevel="0" collapsed="false">
      <c r="A80" s="1"/>
      <c r="B80" s="1"/>
      <c r="C80" s="1"/>
      <c r="D80" s="1"/>
      <c r="E80" s="1"/>
      <c r="F80" s="1"/>
      <c r="G80" s="1"/>
      <c r="H80" s="1"/>
      <c r="I80" s="1"/>
      <c r="J80" s="1"/>
      <c r="K80" s="1"/>
      <c r="L80" s="1"/>
      <c r="M80" s="1"/>
      <c r="N80" s="1"/>
      <c r="O80" s="1"/>
    </row>
    <row r="81" customFormat="false" ht="15.75" hidden="false" customHeight="true" outlineLevel="0" collapsed="false">
      <c r="A81" s="1"/>
      <c r="B81" s="1"/>
      <c r="C81" s="1"/>
      <c r="D81" s="1"/>
      <c r="E81" s="1"/>
      <c r="F81" s="1"/>
      <c r="G81" s="1"/>
      <c r="H81" s="1"/>
      <c r="I81" s="1"/>
      <c r="J81" s="1"/>
      <c r="K81" s="1"/>
      <c r="L81" s="1"/>
      <c r="M81" s="1"/>
      <c r="N81" s="1"/>
      <c r="O81" s="1"/>
    </row>
    <row r="82" customFormat="false" ht="15.75" hidden="false" customHeight="true" outlineLevel="0" collapsed="false">
      <c r="A82" s="1"/>
      <c r="B82" s="117" t="s">
        <v>265</v>
      </c>
      <c r="C82" s="1"/>
      <c r="D82" s="1"/>
      <c r="E82" s="1"/>
      <c r="F82" s="1"/>
      <c r="G82" s="1"/>
      <c r="H82" s="1"/>
      <c r="I82" s="1"/>
      <c r="J82" s="1"/>
      <c r="K82" s="1"/>
      <c r="L82" s="1"/>
      <c r="M82" s="1"/>
      <c r="N82" s="1"/>
      <c r="O82" s="1"/>
    </row>
    <row r="83" customFormat="false" ht="15.75" hidden="false" customHeight="true" outlineLevel="0" collapsed="false">
      <c r="A83" s="1"/>
      <c r="B83" s="118" t="s">
        <v>266</v>
      </c>
      <c r="C83" s="118"/>
      <c r="D83" s="118"/>
      <c r="E83" s="1"/>
      <c r="F83" s="1"/>
      <c r="G83" s="1"/>
      <c r="H83" s="1"/>
      <c r="I83" s="1"/>
      <c r="J83" s="1"/>
      <c r="K83" s="1"/>
      <c r="L83" s="1"/>
      <c r="M83" s="1"/>
      <c r="N83" s="1"/>
      <c r="O83" s="1"/>
    </row>
    <row r="84" customFormat="false" ht="15.75" hidden="false" customHeight="true" outlineLevel="0" collapsed="false">
      <c r="A84" s="1"/>
      <c r="B84" s="119" t="s">
        <v>21</v>
      </c>
      <c r="C84" s="119" t="s">
        <v>117</v>
      </c>
      <c r="D84" s="119" t="s">
        <v>254</v>
      </c>
      <c r="E84" s="1"/>
      <c r="F84" s="1"/>
      <c r="G84" s="1"/>
      <c r="H84" s="1"/>
      <c r="I84" s="1"/>
      <c r="J84" s="1"/>
      <c r="K84" s="1"/>
      <c r="L84" s="1"/>
      <c r="M84" s="1"/>
      <c r="N84" s="1"/>
      <c r="O84" s="1"/>
    </row>
    <row r="85" customFormat="false" ht="15.75" hidden="false" customHeight="true" outlineLevel="0" collapsed="false">
      <c r="A85" s="1"/>
      <c r="B85" s="104" t="s">
        <v>23</v>
      </c>
      <c r="C85" s="120" t="n">
        <f aca="false">Dashboard!$G$34</f>
        <v>101</v>
      </c>
      <c r="D85" s="130" t="n">
        <f aca="false">IFERROR(C85/$C$90,0)</f>
        <v>0.452914798206278</v>
      </c>
      <c r="E85" s="1"/>
      <c r="F85" s="1"/>
      <c r="G85" s="1"/>
      <c r="H85" s="1"/>
      <c r="I85" s="1"/>
      <c r="J85" s="1"/>
      <c r="K85" s="1"/>
      <c r="L85" s="1"/>
      <c r="M85" s="1"/>
      <c r="N85" s="1"/>
      <c r="O85" s="1"/>
    </row>
    <row r="86" customFormat="false" ht="15.75" hidden="false" customHeight="true" outlineLevel="0" collapsed="false">
      <c r="A86" s="1"/>
      <c r="B86" s="104" t="s">
        <v>25</v>
      </c>
      <c r="C86" s="120" t="n">
        <f aca="false">Dashboard!$H$34</f>
        <v>37</v>
      </c>
      <c r="D86" s="130" t="n">
        <f aca="false">IFERROR(C86/$C$90,0)</f>
        <v>0.165919282511211</v>
      </c>
      <c r="E86" s="1"/>
      <c r="F86" s="1"/>
      <c r="G86" s="1"/>
      <c r="H86" s="1"/>
      <c r="I86" s="1"/>
      <c r="J86" s="1"/>
      <c r="K86" s="1"/>
      <c r="L86" s="1"/>
      <c r="M86" s="1"/>
      <c r="N86" s="1"/>
      <c r="O86" s="1"/>
    </row>
    <row r="87" customFormat="false" ht="15.75" hidden="false" customHeight="true" outlineLevel="0" collapsed="false">
      <c r="A87" s="1"/>
      <c r="B87" s="104" t="s">
        <v>27</v>
      </c>
      <c r="C87" s="120" t="n">
        <f aca="false">Dashboard!$I$34</f>
        <v>20</v>
      </c>
      <c r="D87" s="130" t="n">
        <f aca="false">IFERROR(C87/$C$90,0)</f>
        <v>0.0896860986547085</v>
      </c>
      <c r="E87" s="1"/>
      <c r="F87" s="1"/>
      <c r="G87" s="1"/>
      <c r="H87" s="1"/>
      <c r="I87" s="1"/>
      <c r="J87" s="1"/>
      <c r="K87" s="1"/>
      <c r="L87" s="1"/>
      <c r="M87" s="1"/>
      <c r="N87" s="1"/>
      <c r="O87" s="1"/>
    </row>
    <row r="88" customFormat="false" ht="15.75" hidden="false" customHeight="true" outlineLevel="0" collapsed="false">
      <c r="A88" s="1"/>
      <c r="B88" s="104" t="s">
        <v>29</v>
      </c>
      <c r="C88" s="120" t="n">
        <f aca="false">Dashboard!$J$34</f>
        <v>7</v>
      </c>
      <c r="D88" s="130" t="n">
        <f aca="false">IFERROR(C88/$C$90,0)</f>
        <v>0.031390134529148</v>
      </c>
      <c r="E88" s="1"/>
      <c r="F88" s="1"/>
      <c r="G88" s="1"/>
      <c r="H88" s="1"/>
      <c r="I88" s="1"/>
      <c r="J88" s="1"/>
      <c r="K88" s="1"/>
      <c r="L88" s="1"/>
      <c r="M88" s="1"/>
      <c r="N88" s="1"/>
      <c r="O88" s="1"/>
    </row>
    <row r="89" customFormat="false" ht="26.85" hidden="false" customHeight="false" outlineLevel="0" collapsed="false">
      <c r="A89" s="1"/>
      <c r="B89" s="104" t="s">
        <v>267</v>
      </c>
      <c r="C89" s="120" t="n">
        <f aca="false">Dashboard!$K$34</f>
        <v>58</v>
      </c>
      <c r="D89" s="130" t="n">
        <f aca="false">IFERROR(C89/$C$90,0)</f>
        <v>0.260089686098655</v>
      </c>
      <c r="E89" s="1"/>
      <c r="F89" s="1"/>
      <c r="G89" s="1"/>
      <c r="H89" s="1"/>
      <c r="I89" s="1"/>
      <c r="J89" s="1"/>
      <c r="K89" s="1"/>
      <c r="L89" s="1"/>
      <c r="M89" s="1"/>
      <c r="N89" s="1"/>
      <c r="O89" s="1"/>
    </row>
    <row r="90" customFormat="false" ht="15.75" hidden="false" customHeight="true" outlineLevel="0" collapsed="false">
      <c r="A90" s="1"/>
      <c r="B90" s="36" t="s">
        <v>246</v>
      </c>
      <c r="C90" s="122" t="n">
        <f aca="false">SUM(C85:C89)</f>
        <v>223</v>
      </c>
      <c r="D90" s="133" t="n">
        <f aca="false">IFERROR(SUM(D85:D89),0)</f>
        <v>1</v>
      </c>
      <c r="E90" s="1"/>
      <c r="F90" s="1"/>
      <c r="G90" s="1"/>
      <c r="H90" s="1"/>
      <c r="I90" s="1"/>
      <c r="J90" s="1"/>
      <c r="K90" s="1"/>
      <c r="L90" s="1"/>
      <c r="M90" s="1"/>
      <c r="N90" s="1"/>
      <c r="O90" s="1"/>
    </row>
    <row r="91" customFormat="false" ht="15.75" hidden="false" customHeight="true" outlineLevel="0" collapsed="false">
      <c r="A91" s="1"/>
      <c r="B91" s="1"/>
      <c r="C91" s="1"/>
      <c r="D91" s="1"/>
      <c r="E91" s="1"/>
      <c r="F91" s="1"/>
      <c r="G91" s="1"/>
      <c r="H91" s="1"/>
      <c r="I91" s="1"/>
      <c r="J91" s="1"/>
      <c r="K91" s="1"/>
      <c r="L91" s="1"/>
      <c r="M91" s="1"/>
      <c r="N91" s="1"/>
      <c r="O91" s="1"/>
    </row>
    <row r="92" customFormat="false" ht="15.75" hidden="false" customHeight="true" outlineLevel="0" collapsed="false">
      <c r="A92" s="1"/>
      <c r="B92" s="1"/>
      <c r="C92" s="1"/>
      <c r="D92" s="1"/>
      <c r="E92" s="1"/>
      <c r="F92" s="1"/>
      <c r="G92" s="1"/>
      <c r="H92" s="1"/>
      <c r="I92" s="1"/>
      <c r="J92" s="1"/>
      <c r="K92" s="1"/>
      <c r="L92" s="1"/>
      <c r="M92" s="1"/>
      <c r="N92" s="1"/>
      <c r="O92" s="1"/>
    </row>
    <row r="93" customFormat="false" ht="15.75" hidden="false" customHeight="true" outlineLevel="0" collapsed="false">
      <c r="A93" s="1"/>
      <c r="B93" s="1"/>
      <c r="C93" s="1"/>
      <c r="D93" s="1"/>
      <c r="E93" s="1"/>
      <c r="F93" s="1"/>
      <c r="G93" s="1"/>
      <c r="H93" s="1"/>
      <c r="I93" s="1"/>
      <c r="J93" s="1"/>
      <c r="K93" s="1"/>
      <c r="L93" s="1"/>
      <c r="M93" s="1"/>
      <c r="N93" s="1"/>
      <c r="O93" s="1"/>
    </row>
    <row r="94" customFormat="false" ht="15.75" hidden="false" customHeight="true" outlineLevel="0" collapsed="false">
      <c r="A94" s="1"/>
      <c r="B94" s="1"/>
      <c r="C94" s="1"/>
      <c r="D94" s="1"/>
      <c r="E94" s="1"/>
      <c r="F94" s="1"/>
      <c r="G94" s="1"/>
      <c r="H94" s="1"/>
      <c r="I94" s="1"/>
      <c r="J94" s="1"/>
      <c r="K94" s="1"/>
      <c r="L94" s="1"/>
      <c r="M94" s="1"/>
      <c r="N94" s="1"/>
      <c r="O94" s="1"/>
    </row>
    <row r="95" customFormat="false" ht="15.75" hidden="false" customHeight="true" outlineLevel="0" collapsed="false">
      <c r="A95" s="1"/>
      <c r="B95" s="1"/>
      <c r="C95" s="1"/>
      <c r="D95" s="1"/>
      <c r="E95" s="1"/>
      <c r="F95" s="1"/>
      <c r="G95" s="1"/>
      <c r="H95" s="1"/>
      <c r="I95" s="1"/>
      <c r="J95" s="1"/>
      <c r="K95" s="1"/>
      <c r="L95" s="1"/>
      <c r="M95" s="1"/>
      <c r="N95" s="1"/>
      <c r="O95" s="1"/>
    </row>
    <row r="96" customFormat="false" ht="15.75" hidden="false" customHeight="true" outlineLevel="0" collapsed="false">
      <c r="A96" s="1"/>
      <c r="B96" s="1"/>
      <c r="C96" s="1"/>
      <c r="D96" s="1"/>
      <c r="E96" s="1"/>
      <c r="F96" s="1"/>
      <c r="G96" s="1"/>
      <c r="H96" s="1"/>
      <c r="I96" s="1"/>
      <c r="J96" s="1"/>
      <c r="K96" s="1"/>
      <c r="L96" s="1"/>
      <c r="M96" s="1"/>
      <c r="N96" s="1"/>
      <c r="O96" s="1"/>
    </row>
    <row r="97" customFormat="false" ht="15.75" hidden="false" customHeight="true" outlineLevel="0" collapsed="false">
      <c r="A97" s="1"/>
      <c r="B97" s="1"/>
      <c r="C97" s="1"/>
      <c r="D97" s="1"/>
      <c r="E97" s="1"/>
      <c r="F97" s="1"/>
      <c r="G97" s="1"/>
      <c r="H97" s="1"/>
      <c r="I97" s="1"/>
      <c r="J97" s="1"/>
      <c r="K97" s="1"/>
      <c r="L97" s="1"/>
      <c r="M97" s="1"/>
      <c r="N97" s="1"/>
      <c r="O97" s="1"/>
    </row>
    <row r="98" customFormat="false" ht="15.75" hidden="false" customHeight="true" outlineLevel="0" collapsed="false">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c r="Z98" s="135"/>
    </row>
    <row r="99" customFormat="false" ht="15.75" hidden="false" customHeight="true" outlineLevel="0" collapsed="false">
      <c r="A99" s="1"/>
      <c r="B99" s="117" t="s">
        <v>268</v>
      </c>
      <c r="C99" s="1"/>
      <c r="D99" s="1"/>
      <c r="E99" s="1"/>
      <c r="F99" s="1"/>
      <c r="G99" s="1"/>
      <c r="H99" s="1"/>
      <c r="I99" s="1"/>
      <c r="J99" s="1"/>
      <c r="K99" s="1"/>
      <c r="L99" s="1"/>
      <c r="M99" s="1"/>
      <c r="N99" s="1"/>
      <c r="O99" s="1"/>
    </row>
    <row r="100" customFormat="false" ht="15.75" hidden="false" customHeight="true" outlineLevel="0" collapsed="false">
      <c r="A100" s="1"/>
      <c r="B100" s="118" t="s">
        <v>269</v>
      </c>
      <c r="C100" s="118"/>
      <c r="D100" s="118"/>
      <c r="E100" s="118"/>
      <c r="F100" s="1"/>
      <c r="G100" s="1"/>
      <c r="H100" s="1"/>
      <c r="I100" s="1"/>
      <c r="J100" s="1"/>
      <c r="K100" s="1"/>
      <c r="L100" s="1"/>
      <c r="M100" s="1"/>
      <c r="N100" s="1"/>
      <c r="O100" s="1"/>
    </row>
    <row r="101" customFormat="false" ht="15.75" hidden="false" customHeight="true" outlineLevel="0" collapsed="false">
      <c r="A101" s="1"/>
      <c r="B101" s="119" t="s">
        <v>270</v>
      </c>
      <c r="C101" s="119" t="s">
        <v>117</v>
      </c>
      <c r="D101" s="119" t="s">
        <v>271</v>
      </c>
      <c r="E101" s="119" t="s">
        <v>254</v>
      </c>
      <c r="F101" s="1"/>
      <c r="G101" s="1"/>
      <c r="H101" s="1"/>
      <c r="I101" s="1"/>
      <c r="J101" s="1"/>
      <c r="K101" s="1"/>
      <c r="L101" s="1"/>
      <c r="M101" s="1"/>
      <c r="N101" s="1"/>
      <c r="O101" s="1"/>
    </row>
    <row r="102" customFormat="false" ht="15.75" hidden="false" customHeight="true" outlineLevel="0" collapsed="false">
      <c r="A102" s="1"/>
      <c r="B102" s="104" t="s">
        <v>272</v>
      </c>
      <c r="C102" s="120" t="n">
        <f aca="false">COUNTIF('Bug Data'!$L:$L,20)</f>
        <v>0</v>
      </c>
      <c r="D102" s="129" t="n">
        <v>20</v>
      </c>
      <c r="E102" s="130" t="n">
        <f aca="false">IFERROR(C102/$C$107,0)</f>
        <v>0</v>
      </c>
      <c r="F102" s="1"/>
      <c r="G102" s="1"/>
      <c r="H102" s="1"/>
      <c r="I102" s="1"/>
      <c r="J102" s="1"/>
      <c r="K102" s="1"/>
      <c r="L102" s="1"/>
      <c r="M102" s="1"/>
      <c r="N102" s="1"/>
      <c r="O102" s="1"/>
    </row>
    <row r="103" customFormat="false" ht="15.75" hidden="false" customHeight="true" outlineLevel="0" collapsed="false">
      <c r="A103" s="1"/>
      <c r="B103" s="104" t="s">
        <v>273</v>
      </c>
      <c r="C103" s="120" t="n">
        <f aca="false">COUNTIF('Bug Data'!$L:$L,10)</f>
        <v>0</v>
      </c>
      <c r="D103" s="129" t="n">
        <v>10</v>
      </c>
      <c r="E103" s="130" t="n">
        <f aca="false">IFERROR(C103/$C$107,0)</f>
        <v>0</v>
      </c>
      <c r="F103" s="1"/>
      <c r="G103" s="1"/>
      <c r="H103" s="1"/>
      <c r="I103" s="1"/>
      <c r="J103" s="1"/>
      <c r="K103" s="1"/>
      <c r="L103" s="1"/>
      <c r="M103" s="1"/>
      <c r="N103" s="1"/>
      <c r="O103" s="1"/>
    </row>
    <row r="104" customFormat="false" ht="15.75" hidden="false" customHeight="true" outlineLevel="0" collapsed="false">
      <c r="A104" s="1"/>
      <c r="B104" s="104" t="s">
        <v>274</v>
      </c>
      <c r="C104" s="120" t="n">
        <f aca="false">COUNTIF('Bug Data'!$L:$L,5)</f>
        <v>9</v>
      </c>
      <c r="D104" s="129" t="n">
        <v>5</v>
      </c>
      <c r="E104" s="130" t="n">
        <f aca="false">IFERROR(C104/$C$107,0)</f>
        <v>0.225</v>
      </c>
      <c r="F104" s="1"/>
      <c r="G104" s="1"/>
      <c r="H104" s="1"/>
      <c r="I104" s="1"/>
      <c r="J104" s="1"/>
      <c r="K104" s="1"/>
      <c r="L104" s="1"/>
      <c r="M104" s="1"/>
      <c r="N104" s="1"/>
      <c r="O104" s="1"/>
    </row>
    <row r="105" customFormat="false" ht="15.75" hidden="false" customHeight="true" outlineLevel="0" collapsed="false">
      <c r="A105" s="1"/>
      <c r="B105" s="104" t="s">
        <v>275</v>
      </c>
      <c r="C105" s="120" t="n">
        <f aca="false">COUNTIF('Bug Data'!$L:$L,2)</f>
        <v>24</v>
      </c>
      <c r="D105" s="129" t="n">
        <v>2</v>
      </c>
      <c r="E105" s="130" t="n">
        <f aca="false">IFERROR(C105/$C$107,0)</f>
        <v>0.6</v>
      </c>
      <c r="F105" s="1"/>
      <c r="G105" s="1"/>
      <c r="H105" s="1"/>
      <c r="I105" s="1"/>
      <c r="J105" s="1"/>
      <c r="K105" s="1"/>
      <c r="L105" s="1"/>
      <c r="M105" s="1"/>
      <c r="N105" s="1"/>
      <c r="O105" s="1"/>
    </row>
    <row r="106" customFormat="false" ht="15.75" hidden="false" customHeight="true" outlineLevel="0" collapsed="false">
      <c r="A106" s="1"/>
      <c r="B106" s="104" t="s">
        <v>276</v>
      </c>
      <c r="C106" s="120" t="n">
        <f aca="false">COUNTIF('Bug Data'!$L:$L,0)</f>
        <v>7</v>
      </c>
      <c r="D106" s="129" t="n">
        <v>0</v>
      </c>
      <c r="E106" s="130" t="n">
        <f aca="false">IFERROR(C106/$C$107,0)</f>
        <v>0.175</v>
      </c>
      <c r="F106" s="1"/>
      <c r="G106" s="1"/>
      <c r="H106" s="1"/>
      <c r="I106" s="1"/>
      <c r="J106" s="1"/>
      <c r="K106" s="1"/>
      <c r="L106" s="1"/>
      <c r="M106" s="1"/>
      <c r="N106" s="1"/>
      <c r="O106" s="1"/>
    </row>
    <row r="107" customFormat="false" ht="15.75" hidden="false" customHeight="true" outlineLevel="0" collapsed="false">
      <c r="A107" s="1"/>
      <c r="B107" s="36" t="s">
        <v>246</v>
      </c>
      <c r="C107" s="122" t="n">
        <f aca="false">SUM(C102:C106)</f>
        <v>40</v>
      </c>
      <c r="D107" s="132"/>
      <c r="E107" s="133" t="n">
        <f aca="false">IFERROR(SUM(E102:E106),0)</f>
        <v>1</v>
      </c>
      <c r="F107" s="1"/>
      <c r="G107" s="1"/>
      <c r="H107" s="1"/>
      <c r="I107" s="1"/>
      <c r="J107" s="1"/>
      <c r="K107" s="1"/>
      <c r="L107" s="1"/>
      <c r="M107" s="1"/>
      <c r="N107" s="1"/>
      <c r="O107" s="1"/>
    </row>
    <row r="108" customFormat="false" ht="15.75" hidden="false" customHeight="true" outlineLevel="0" collapsed="false">
      <c r="A108" s="1"/>
      <c r="B108" s="40" t="s">
        <v>277</v>
      </c>
      <c r="C108" s="40"/>
      <c r="D108" s="40"/>
      <c r="E108" s="40"/>
      <c r="F108" s="1"/>
      <c r="G108" s="1"/>
      <c r="H108" s="1"/>
      <c r="I108" s="1"/>
      <c r="J108" s="1"/>
      <c r="K108" s="1"/>
      <c r="L108" s="1"/>
      <c r="M108" s="1"/>
      <c r="N108" s="1"/>
      <c r="O108" s="1"/>
    </row>
    <row r="109" customFormat="false" ht="15.75" hidden="false" customHeight="true" outlineLevel="0" collapsed="false">
      <c r="A109" s="1"/>
      <c r="B109" s="1"/>
      <c r="C109" s="1"/>
      <c r="D109" s="1"/>
      <c r="E109" s="1"/>
      <c r="F109" s="1"/>
      <c r="G109" s="1"/>
      <c r="H109" s="1"/>
      <c r="I109" s="1"/>
      <c r="J109" s="1"/>
      <c r="K109" s="1"/>
      <c r="L109" s="1"/>
      <c r="M109" s="1"/>
      <c r="N109" s="1"/>
      <c r="O109" s="1"/>
    </row>
    <row r="110" customFormat="false" ht="15.75" hidden="false" customHeight="true" outlineLevel="0" collapsed="false">
      <c r="A110" s="1"/>
      <c r="B110" s="1"/>
      <c r="C110" s="1"/>
      <c r="D110" s="1"/>
      <c r="E110" s="1"/>
      <c r="F110" s="1"/>
      <c r="G110" s="1"/>
      <c r="H110" s="1"/>
      <c r="I110" s="1"/>
      <c r="J110" s="1"/>
      <c r="K110" s="1"/>
      <c r="L110" s="1"/>
      <c r="M110" s="1"/>
      <c r="N110" s="1"/>
      <c r="O110" s="1"/>
    </row>
    <row r="111" customFormat="false" ht="15.75" hidden="false" customHeight="true" outlineLevel="0" collapsed="false">
      <c r="A111" s="1"/>
      <c r="B111" s="1"/>
      <c r="C111" s="1"/>
      <c r="D111" s="1"/>
      <c r="E111" s="1"/>
      <c r="F111" s="1"/>
      <c r="G111" s="1"/>
      <c r="H111" s="1"/>
      <c r="I111" s="1"/>
      <c r="J111" s="1"/>
      <c r="K111" s="1"/>
      <c r="L111" s="1"/>
      <c r="M111" s="1"/>
      <c r="N111" s="1"/>
      <c r="O111" s="1"/>
    </row>
    <row r="112" customFormat="false" ht="15.75" hidden="false" customHeight="true" outlineLevel="0" collapsed="false">
      <c r="A112" s="1"/>
      <c r="B112" s="1"/>
      <c r="C112" s="1"/>
      <c r="D112" s="1"/>
      <c r="E112" s="1"/>
      <c r="F112" s="1"/>
      <c r="G112" s="1"/>
      <c r="H112" s="1"/>
      <c r="I112" s="1"/>
      <c r="J112" s="1"/>
      <c r="K112" s="1"/>
      <c r="L112" s="1"/>
      <c r="M112" s="1"/>
      <c r="N112" s="1"/>
      <c r="O112" s="1"/>
    </row>
    <row r="113" customFormat="false" ht="15.75" hidden="false" customHeight="true" outlineLevel="0" collapsed="false">
      <c r="A113" s="1"/>
      <c r="B113" s="1"/>
      <c r="C113" s="1"/>
      <c r="D113" s="1"/>
      <c r="E113" s="1"/>
      <c r="F113" s="1"/>
      <c r="G113" s="1"/>
      <c r="H113" s="1"/>
      <c r="I113" s="1"/>
      <c r="J113" s="1"/>
      <c r="K113" s="1"/>
      <c r="L113" s="1"/>
      <c r="M113" s="1"/>
      <c r="N113" s="1"/>
      <c r="O113" s="1"/>
    </row>
    <row r="114" customFormat="false" ht="15.75" hidden="false" customHeight="true" outlineLevel="0" collapsed="false">
      <c r="A114" s="1"/>
      <c r="B114" s="1"/>
      <c r="C114" s="1"/>
      <c r="D114" s="1"/>
      <c r="E114" s="1"/>
      <c r="F114" s="1"/>
      <c r="G114" s="1"/>
      <c r="H114" s="1"/>
      <c r="I114" s="1"/>
      <c r="J114" s="1"/>
      <c r="K114" s="1"/>
      <c r="L114" s="1"/>
      <c r="M114" s="1"/>
      <c r="N114" s="1"/>
      <c r="O114" s="1"/>
    </row>
    <row r="115" customFormat="false" ht="15.75" hidden="false" customHeight="true" outlineLevel="0" collapsed="false">
      <c r="A115" s="1"/>
      <c r="B115" s="1"/>
      <c r="C115" s="1"/>
      <c r="D115" s="1"/>
      <c r="E115" s="1"/>
      <c r="F115" s="1"/>
      <c r="G115" s="1"/>
      <c r="H115" s="1"/>
      <c r="I115" s="1"/>
      <c r="J115" s="1"/>
      <c r="K115" s="1"/>
      <c r="L115" s="1"/>
      <c r="M115" s="1"/>
      <c r="N115" s="1"/>
      <c r="O115" s="1"/>
    </row>
    <row r="116" customFormat="false" ht="15.75" hidden="false" customHeight="true" outlineLevel="0" collapsed="false">
      <c r="A116" s="1"/>
      <c r="B116" s="116" t="s">
        <v>278</v>
      </c>
      <c r="C116" s="116"/>
      <c r="D116" s="116"/>
      <c r="E116" s="116"/>
      <c r="F116" s="116"/>
      <c r="G116" s="116"/>
      <c r="H116" s="116"/>
      <c r="I116" s="116"/>
      <c r="J116" s="1"/>
      <c r="K116" s="1"/>
      <c r="L116" s="1"/>
      <c r="M116" s="1"/>
      <c r="N116" s="1"/>
      <c r="O116" s="1"/>
    </row>
    <row r="117" customFormat="false" ht="15.75" hidden="false" customHeight="true" outlineLevel="0" collapsed="false">
      <c r="A117" s="1"/>
      <c r="B117" s="1"/>
      <c r="C117" s="1"/>
      <c r="D117" s="1"/>
      <c r="E117" s="1"/>
      <c r="F117" s="1"/>
      <c r="G117" s="1"/>
      <c r="H117" s="1"/>
      <c r="I117" s="1"/>
      <c r="J117" s="1"/>
      <c r="K117" s="1"/>
      <c r="L117" s="1"/>
      <c r="M117" s="1"/>
      <c r="N117" s="1"/>
      <c r="O117" s="1"/>
    </row>
    <row r="118" customFormat="false" ht="15.75" hidden="false" customHeight="true" outlineLevel="0" collapsed="false">
      <c r="A118" s="1"/>
      <c r="B118" s="117" t="s">
        <v>279</v>
      </c>
      <c r="C118" s="1"/>
      <c r="D118" s="1"/>
      <c r="E118" s="1"/>
      <c r="F118" s="1"/>
      <c r="G118" s="1"/>
      <c r="H118" s="1"/>
      <c r="I118" s="1"/>
      <c r="J118" s="1"/>
      <c r="K118" s="1"/>
      <c r="L118" s="1"/>
      <c r="M118" s="1"/>
      <c r="N118" s="1"/>
      <c r="O118" s="1"/>
    </row>
    <row r="119" customFormat="false" ht="15.75" hidden="false" customHeight="true" outlineLevel="0" collapsed="false">
      <c r="A119" s="1"/>
      <c r="B119" s="118" t="s">
        <v>280</v>
      </c>
      <c r="C119" s="118"/>
      <c r="D119" s="118"/>
      <c r="E119" s="1"/>
      <c r="F119" s="1"/>
      <c r="G119" s="1"/>
      <c r="H119" s="1"/>
      <c r="I119" s="1"/>
      <c r="J119" s="1"/>
      <c r="K119" s="1"/>
      <c r="L119" s="1"/>
      <c r="M119" s="1"/>
      <c r="N119" s="1"/>
      <c r="O119" s="1"/>
    </row>
    <row r="120" customFormat="false" ht="15.75" hidden="false" customHeight="true" outlineLevel="0" collapsed="false">
      <c r="A120" s="1"/>
      <c r="B120" s="119" t="s">
        <v>281</v>
      </c>
      <c r="C120" s="119" t="s">
        <v>117</v>
      </c>
      <c r="D120" s="119" t="s">
        <v>254</v>
      </c>
      <c r="E120" s="1"/>
      <c r="F120" s="1"/>
      <c r="G120" s="1"/>
      <c r="H120" s="1"/>
      <c r="I120" s="1"/>
      <c r="J120" s="1"/>
      <c r="K120" s="1"/>
      <c r="L120" s="1"/>
      <c r="M120" s="1"/>
      <c r="N120" s="1"/>
      <c r="O120" s="1"/>
    </row>
    <row r="121" customFormat="false" ht="15.75" hidden="false" customHeight="true" outlineLevel="0" collapsed="false">
      <c r="A121" s="1"/>
      <c r="B121" s="104" t="s">
        <v>282</v>
      </c>
      <c r="C121" s="120" t="n">
        <f aca="false">COUNTIF('Bug Data'!$O:$O,$B121)</f>
        <v>1</v>
      </c>
      <c r="D121" s="130" t="n">
        <f aca="false">IFERROR(C121/$C$124,0)</f>
        <v>0.025</v>
      </c>
      <c r="E121" s="1"/>
      <c r="F121" s="1"/>
      <c r="G121" s="1"/>
      <c r="H121" s="1"/>
      <c r="I121" s="1"/>
      <c r="J121" s="1"/>
      <c r="K121" s="1"/>
      <c r="L121" s="1"/>
      <c r="M121" s="1"/>
      <c r="N121" s="1"/>
      <c r="O121" s="1"/>
    </row>
    <row r="122" customFormat="false" ht="15.75" hidden="false" customHeight="true" outlineLevel="0" collapsed="false">
      <c r="A122" s="1"/>
      <c r="B122" s="104" t="s">
        <v>283</v>
      </c>
      <c r="C122" s="120" t="n">
        <f aca="false">COUNTIF('Bug Data'!$O:$O,$B122)</f>
        <v>0</v>
      </c>
      <c r="D122" s="130" t="n">
        <f aca="false">IFERROR(C122/$C$124,0)</f>
        <v>0</v>
      </c>
      <c r="E122" s="1"/>
      <c r="F122" s="1"/>
      <c r="G122" s="1"/>
      <c r="H122" s="1"/>
      <c r="I122" s="1"/>
      <c r="J122" s="1"/>
      <c r="K122" s="1"/>
      <c r="L122" s="1"/>
      <c r="M122" s="1"/>
      <c r="N122" s="1"/>
      <c r="O122" s="1"/>
    </row>
    <row r="123" customFormat="false" ht="15.75" hidden="false" customHeight="true" outlineLevel="0" collapsed="false">
      <c r="A123" s="1"/>
      <c r="B123" s="104" t="s">
        <v>284</v>
      </c>
      <c r="C123" s="120" t="n">
        <f aca="false">COUNTIFS('Bug Data'!$A:$A, "&lt;&gt;", 'Bug Data'!$O:$O, "")</f>
        <v>39</v>
      </c>
      <c r="D123" s="130" t="n">
        <f aca="false">IFERROR(C123/$C$124,0)</f>
        <v>0.975</v>
      </c>
      <c r="E123" s="1"/>
      <c r="F123" s="1"/>
      <c r="G123" s="1"/>
      <c r="H123" s="1"/>
      <c r="I123" s="1"/>
      <c r="J123" s="1"/>
      <c r="K123" s="1"/>
      <c r="L123" s="1"/>
      <c r="M123" s="1"/>
      <c r="N123" s="1"/>
      <c r="O123" s="1"/>
    </row>
    <row r="124" customFormat="false" ht="15.75" hidden="false" customHeight="true" outlineLevel="0" collapsed="false">
      <c r="A124" s="1"/>
      <c r="B124" s="36" t="s">
        <v>246</v>
      </c>
      <c r="C124" s="122" t="n">
        <f aca="false">SUM(C121:C123)</f>
        <v>40</v>
      </c>
      <c r="D124" s="133" t="n">
        <f aca="false">IFERROR(SUM(D121:D123),0)</f>
        <v>1</v>
      </c>
      <c r="E124" s="1"/>
      <c r="F124" s="1"/>
      <c r="G124" s="1"/>
      <c r="H124" s="1"/>
      <c r="I124" s="1"/>
      <c r="J124" s="1"/>
      <c r="K124" s="1"/>
      <c r="L124" s="1"/>
      <c r="M124" s="1"/>
      <c r="N124" s="1"/>
      <c r="O124" s="1"/>
    </row>
    <row r="125" customFormat="false" ht="15.75" hidden="false" customHeight="true" outlineLevel="0" collapsed="false">
      <c r="A125" s="1"/>
      <c r="B125" s="1"/>
      <c r="C125" s="1"/>
      <c r="D125" s="1"/>
      <c r="E125" s="1"/>
      <c r="F125" s="1"/>
      <c r="G125" s="1"/>
      <c r="H125" s="1"/>
      <c r="I125" s="1"/>
      <c r="J125" s="1"/>
      <c r="K125" s="1"/>
      <c r="L125" s="1"/>
      <c r="M125" s="1"/>
      <c r="N125" s="1"/>
      <c r="O125" s="1"/>
    </row>
    <row r="126" customFormat="false" ht="15.75" hidden="false" customHeight="true" outlineLevel="0" collapsed="false">
      <c r="A126" s="1"/>
      <c r="B126" s="1"/>
      <c r="C126" s="1"/>
      <c r="D126" s="1"/>
      <c r="E126" s="1"/>
      <c r="F126" s="1"/>
      <c r="G126" s="1"/>
      <c r="H126" s="1"/>
      <c r="I126" s="1"/>
      <c r="J126" s="1"/>
      <c r="K126" s="1"/>
      <c r="L126" s="1"/>
      <c r="M126" s="1"/>
      <c r="N126" s="1"/>
      <c r="O126" s="1"/>
    </row>
    <row r="127" customFormat="false" ht="15.75" hidden="false" customHeight="true" outlineLevel="0" collapsed="false">
      <c r="A127" s="1"/>
      <c r="B127" s="1"/>
      <c r="C127" s="1"/>
      <c r="D127" s="1"/>
      <c r="E127" s="1"/>
      <c r="F127" s="1"/>
      <c r="G127" s="1"/>
      <c r="H127" s="1"/>
      <c r="I127" s="1"/>
      <c r="J127" s="1"/>
      <c r="K127" s="1"/>
      <c r="L127" s="1"/>
      <c r="M127" s="1"/>
      <c r="N127" s="1"/>
      <c r="O127" s="1"/>
    </row>
    <row r="128" customFormat="false" ht="15.75" hidden="false" customHeight="true" outlineLevel="0" collapsed="false">
      <c r="A128" s="1"/>
      <c r="B128" s="1"/>
      <c r="C128" s="1"/>
      <c r="D128" s="1"/>
      <c r="E128" s="1"/>
      <c r="F128" s="1"/>
      <c r="G128" s="1"/>
      <c r="H128" s="1"/>
      <c r="I128" s="1"/>
      <c r="J128" s="1"/>
      <c r="K128" s="1"/>
      <c r="L128" s="1"/>
      <c r="M128" s="1"/>
      <c r="N128" s="1"/>
      <c r="O128" s="1"/>
    </row>
    <row r="129" customFormat="false" ht="15.75" hidden="false" customHeight="true" outlineLevel="0" collapsed="false">
      <c r="A129" s="1"/>
      <c r="B129" s="1"/>
      <c r="C129" s="1"/>
      <c r="D129" s="1"/>
      <c r="E129" s="1"/>
      <c r="F129" s="1"/>
      <c r="G129" s="1"/>
      <c r="H129" s="1"/>
      <c r="I129" s="1"/>
      <c r="J129" s="1"/>
      <c r="K129" s="1"/>
      <c r="L129" s="1"/>
      <c r="M129" s="1"/>
      <c r="N129" s="1"/>
      <c r="O129" s="1"/>
    </row>
    <row r="130" customFormat="false" ht="15.75" hidden="false" customHeight="true" outlineLevel="0" collapsed="false">
      <c r="A130" s="1"/>
      <c r="B130" s="1"/>
      <c r="C130" s="1"/>
      <c r="D130" s="1"/>
      <c r="E130" s="1"/>
      <c r="F130" s="1"/>
      <c r="G130" s="1"/>
      <c r="H130" s="1"/>
      <c r="I130" s="1"/>
      <c r="J130" s="1"/>
      <c r="K130" s="1"/>
      <c r="L130" s="1"/>
      <c r="M130" s="1"/>
      <c r="N130" s="1"/>
      <c r="O130" s="1"/>
    </row>
    <row r="131" customFormat="false" ht="15.75" hidden="false" customHeight="true" outlineLevel="0" collapsed="false">
      <c r="A131" s="1"/>
      <c r="B131" s="1"/>
      <c r="C131" s="1"/>
      <c r="D131" s="1"/>
      <c r="E131" s="1"/>
      <c r="F131" s="1"/>
      <c r="G131" s="1"/>
      <c r="H131" s="1"/>
      <c r="I131" s="1"/>
      <c r="J131" s="1"/>
      <c r="K131" s="1"/>
      <c r="L131" s="1"/>
      <c r="M131" s="1"/>
      <c r="N131" s="1"/>
      <c r="O131" s="1"/>
    </row>
    <row r="132" customFormat="false" ht="15.75" hidden="false" customHeight="true" outlineLevel="0" collapsed="false">
      <c r="A132" s="1"/>
      <c r="B132" s="1"/>
      <c r="C132" s="1"/>
      <c r="D132" s="1"/>
      <c r="E132" s="1"/>
      <c r="F132" s="1"/>
      <c r="G132" s="1"/>
      <c r="H132" s="1"/>
      <c r="I132" s="1"/>
      <c r="J132" s="1"/>
      <c r="K132" s="1"/>
      <c r="L132" s="1"/>
      <c r="M132" s="1"/>
      <c r="N132" s="1"/>
      <c r="O132" s="1"/>
    </row>
    <row r="133" customFormat="false" ht="15.75" hidden="false" customHeight="true" outlineLevel="0" collapsed="false">
      <c r="A133" s="1"/>
      <c r="B133" s="1"/>
      <c r="C133" s="1"/>
      <c r="D133" s="1"/>
      <c r="E133" s="1"/>
      <c r="F133" s="1"/>
      <c r="G133" s="1"/>
      <c r="H133" s="1"/>
      <c r="I133" s="1"/>
      <c r="J133" s="1"/>
      <c r="K133" s="1"/>
      <c r="L133" s="1"/>
      <c r="M133" s="1"/>
      <c r="N133" s="1"/>
      <c r="O133" s="1"/>
    </row>
    <row r="134" customFormat="false" ht="15.75" hidden="false" customHeight="true" outlineLevel="0" collapsed="false">
      <c r="A134" s="1"/>
      <c r="B134" s="1"/>
      <c r="C134" s="1"/>
      <c r="D134" s="1"/>
      <c r="E134" s="1"/>
      <c r="F134" s="1"/>
      <c r="G134" s="1"/>
      <c r="H134" s="1"/>
      <c r="I134" s="1"/>
      <c r="J134" s="1"/>
      <c r="K134" s="1"/>
      <c r="L134" s="1"/>
      <c r="M134" s="1"/>
      <c r="N134" s="1"/>
      <c r="O134" s="1"/>
    </row>
    <row r="135" customFormat="false" ht="15.75" hidden="false" customHeight="true" outlineLevel="0" collapsed="false">
      <c r="A135" s="1"/>
      <c r="B135" s="117" t="s">
        <v>285</v>
      </c>
      <c r="C135" s="1"/>
      <c r="D135" s="1"/>
      <c r="E135" s="1"/>
      <c r="F135" s="1"/>
      <c r="G135" s="1"/>
      <c r="H135" s="1"/>
      <c r="I135" s="1"/>
      <c r="J135" s="1"/>
      <c r="K135" s="1"/>
      <c r="L135" s="1"/>
      <c r="M135" s="1"/>
      <c r="N135" s="1"/>
      <c r="O135" s="1"/>
    </row>
    <row r="136" customFormat="false" ht="15.75" hidden="false" customHeight="true" outlineLevel="0" collapsed="false">
      <c r="A136" s="1"/>
      <c r="B136" s="118" t="s">
        <v>286</v>
      </c>
      <c r="C136" s="118"/>
      <c r="D136" s="118"/>
      <c r="E136" s="118"/>
      <c r="F136" s="1"/>
      <c r="G136" s="1"/>
      <c r="H136" s="1"/>
      <c r="I136" s="1"/>
      <c r="J136" s="1"/>
      <c r="K136" s="1"/>
      <c r="L136" s="1"/>
      <c r="M136" s="1"/>
      <c r="N136" s="1"/>
      <c r="O136" s="1"/>
    </row>
    <row r="137" customFormat="false" ht="15.75" hidden="false" customHeight="true" outlineLevel="0" collapsed="false">
      <c r="A137" s="1"/>
      <c r="B137" s="119" t="s">
        <v>287</v>
      </c>
      <c r="C137" s="119" t="s">
        <v>288</v>
      </c>
      <c r="D137" s="119"/>
      <c r="E137" s="119" t="s">
        <v>117</v>
      </c>
      <c r="F137" s="1"/>
      <c r="G137" s="1"/>
      <c r="H137" s="1"/>
      <c r="I137" s="1"/>
      <c r="J137" s="1"/>
      <c r="K137" s="1"/>
      <c r="L137" s="1"/>
      <c r="M137" s="1"/>
      <c r="N137" s="1"/>
      <c r="O137" s="1"/>
    </row>
    <row r="138" customFormat="false" ht="15.75" hidden="false" customHeight="true" outlineLevel="0" collapsed="false">
      <c r="A138" s="1"/>
      <c r="B138" s="136" t="s">
        <v>289</v>
      </c>
      <c r="C138" s="38" t="s">
        <v>290</v>
      </c>
      <c r="D138" s="38"/>
      <c r="E138" s="120" t="n">
        <f aca="false">COUNTIF('Bug Data'!$P:$P,$B138&amp;" "&amp;$C138)</f>
        <v>0</v>
      </c>
      <c r="F138" s="1"/>
      <c r="G138" s="1"/>
      <c r="H138" s="1"/>
      <c r="I138" s="1"/>
      <c r="J138" s="1"/>
      <c r="K138" s="1"/>
      <c r="L138" s="1"/>
      <c r="M138" s="1"/>
      <c r="N138" s="1"/>
      <c r="O138" s="1"/>
    </row>
    <row r="139" customFormat="false" ht="15.75" hidden="false" customHeight="true" outlineLevel="0" collapsed="false">
      <c r="A139" s="1"/>
      <c r="B139" s="136" t="s">
        <v>291</v>
      </c>
      <c r="C139" s="38" t="s">
        <v>292</v>
      </c>
      <c r="D139" s="38"/>
      <c r="E139" s="120" t="n">
        <f aca="false">COUNTIF('Bug Data'!$P:$P,$B139&amp;" "&amp;$C139)</f>
        <v>0</v>
      </c>
      <c r="F139" s="1"/>
      <c r="G139" s="1"/>
      <c r="H139" s="1"/>
      <c r="I139" s="1"/>
      <c r="J139" s="1"/>
      <c r="K139" s="1"/>
      <c r="L139" s="1"/>
      <c r="M139" s="1"/>
      <c r="N139" s="1"/>
      <c r="O139" s="1"/>
    </row>
    <row r="140" customFormat="false" ht="15.75" hidden="false" customHeight="true" outlineLevel="0" collapsed="false">
      <c r="A140" s="1"/>
      <c r="B140" s="136" t="s">
        <v>293</v>
      </c>
      <c r="C140" s="38" t="s">
        <v>294</v>
      </c>
      <c r="D140" s="38"/>
      <c r="E140" s="120" t="n">
        <f aca="false">COUNTIF('Bug Data'!$P:$P,$B140&amp;" "&amp;$C140)</f>
        <v>0</v>
      </c>
      <c r="F140" s="1"/>
      <c r="G140" s="1"/>
      <c r="H140" s="1"/>
      <c r="I140" s="1"/>
      <c r="J140" s="1"/>
      <c r="K140" s="1"/>
      <c r="L140" s="1"/>
      <c r="M140" s="1"/>
      <c r="N140" s="1"/>
      <c r="O140" s="1"/>
    </row>
    <row r="141" customFormat="false" ht="15.75" hidden="false" customHeight="true" outlineLevel="0" collapsed="false">
      <c r="A141" s="1"/>
      <c r="B141" s="136" t="s">
        <v>295</v>
      </c>
      <c r="C141" s="38" t="s">
        <v>296</v>
      </c>
      <c r="D141" s="38"/>
      <c r="E141" s="120" t="n">
        <f aca="false">COUNTIF('Bug Data'!$P:$P,$B141&amp;" "&amp;$C141)</f>
        <v>0</v>
      </c>
      <c r="F141" s="1"/>
      <c r="G141" s="1"/>
      <c r="H141" s="1"/>
      <c r="I141" s="1"/>
      <c r="J141" s="1"/>
      <c r="K141" s="1"/>
      <c r="L141" s="1"/>
      <c r="M141" s="1"/>
      <c r="N141" s="1"/>
      <c r="O141" s="1"/>
    </row>
    <row r="142" customFormat="false" ht="15.75" hidden="false" customHeight="true" outlineLevel="0" collapsed="false">
      <c r="A142" s="1"/>
      <c r="B142" s="136" t="s">
        <v>297</v>
      </c>
      <c r="C142" s="38" t="s">
        <v>298</v>
      </c>
      <c r="D142" s="38"/>
      <c r="E142" s="120" t="n">
        <f aca="false">COUNTIF('Bug Data'!$P:$P,$B142&amp;" "&amp;$C142)</f>
        <v>0</v>
      </c>
      <c r="F142" s="1"/>
      <c r="G142" s="1"/>
      <c r="H142" s="1"/>
      <c r="I142" s="1"/>
      <c r="J142" s="1"/>
      <c r="K142" s="1"/>
      <c r="L142" s="1"/>
      <c r="M142" s="1"/>
      <c r="N142" s="1"/>
      <c r="O142" s="1"/>
    </row>
    <row r="143" customFormat="false" ht="15.75" hidden="false" customHeight="true" outlineLevel="0" collapsed="false">
      <c r="A143" s="1"/>
      <c r="B143" s="136" t="s">
        <v>299</v>
      </c>
      <c r="C143" s="38" t="s">
        <v>300</v>
      </c>
      <c r="D143" s="38"/>
      <c r="E143" s="120" t="n">
        <f aca="false">COUNTIF('Bug Data'!$P:$P,$B143&amp;" "&amp;$C143)</f>
        <v>0</v>
      </c>
      <c r="F143" s="1"/>
      <c r="G143" s="1"/>
      <c r="H143" s="1"/>
      <c r="I143" s="1"/>
      <c r="J143" s="1"/>
      <c r="K143" s="1"/>
      <c r="L143" s="1"/>
      <c r="M143" s="1"/>
      <c r="N143" s="1"/>
      <c r="O143" s="1"/>
    </row>
    <row r="144" customFormat="false" ht="15.75" hidden="false" customHeight="true" outlineLevel="0" collapsed="false">
      <c r="A144" s="1"/>
      <c r="B144" s="136" t="s">
        <v>301</v>
      </c>
      <c r="C144" s="38" t="s">
        <v>302</v>
      </c>
      <c r="D144" s="38"/>
      <c r="E144" s="120" t="n">
        <f aca="false">COUNTIF('Bug Data'!$P:$P,$B144&amp;" "&amp;$C144)</f>
        <v>0</v>
      </c>
      <c r="F144" s="1"/>
      <c r="G144" s="1"/>
      <c r="H144" s="1"/>
      <c r="I144" s="1"/>
      <c r="J144" s="1"/>
      <c r="K144" s="1"/>
      <c r="L144" s="1"/>
      <c r="M144" s="1"/>
      <c r="N144" s="1"/>
      <c r="O144" s="1"/>
    </row>
    <row r="145" customFormat="false" ht="15.75" hidden="false" customHeight="true" outlineLevel="0" collapsed="false">
      <c r="A145" s="1"/>
      <c r="B145" s="136" t="s">
        <v>303</v>
      </c>
      <c r="C145" s="38" t="s">
        <v>304</v>
      </c>
      <c r="D145" s="38"/>
      <c r="E145" s="120" t="n">
        <f aca="false">COUNTIF('Bug Data'!$P:$P,$B145&amp;" "&amp;$C145)</f>
        <v>0</v>
      </c>
      <c r="F145" s="1"/>
      <c r="G145" s="1"/>
      <c r="H145" s="1"/>
      <c r="I145" s="1"/>
      <c r="J145" s="1"/>
      <c r="K145" s="1"/>
      <c r="L145" s="1"/>
      <c r="M145" s="1"/>
      <c r="N145" s="1"/>
      <c r="O145" s="1"/>
    </row>
    <row r="146" customFormat="false" ht="15.75" hidden="false" customHeight="true" outlineLevel="0" collapsed="false">
      <c r="A146" s="1"/>
      <c r="B146" s="136" t="s">
        <v>305</v>
      </c>
      <c r="C146" s="38" t="s">
        <v>306</v>
      </c>
      <c r="D146" s="38"/>
      <c r="E146" s="120" t="n">
        <f aca="false">COUNTIF('Bug Data'!$P:$P,$B146&amp;" "&amp;$C146)</f>
        <v>0</v>
      </c>
      <c r="F146" s="1"/>
      <c r="G146" s="1"/>
      <c r="H146" s="1"/>
      <c r="I146" s="1"/>
      <c r="J146" s="1"/>
      <c r="K146" s="1"/>
      <c r="L146" s="1"/>
      <c r="M146" s="1"/>
      <c r="N146" s="1"/>
      <c r="O146" s="1"/>
    </row>
    <row r="147" customFormat="false" ht="15.75" hidden="false" customHeight="true" outlineLevel="0" collapsed="false">
      <c r="A147" s="1"/>
      <c r="B147" s="136" t="s">
        <v>307</v>
      </c>
      <c r="C147" s="38" t="s">
        <v>308</v>
      </c>
      <c r="D147" s="38"/>
      <c r="E147" s="120" t="n">
        <f aca="false">COUNTIF('Bug Data'!$P:$P,$B147&amp;" "&amp;$C147)</f>
        <v>0</v>
      </c>
      <c r="F147" s="1"/>
      <c r="G147" s="1"/>
      <c r="H147" s="1"/>
      <c r="I147" s="1"/>
      <c r="J147" s="1"/>
      <c r="K147" s="1"/>
      <c r="L147" s="1"/>
      <c r="M147" s="1"/>
      <c r="N147" s="1"/>
      <c r="O147" s="1"/>
    </row>
    <row r="148" customFormat="false" ht="15.75" hidden="false" customHeight="true" outlineLevel="0" collapsed="false">
      <c r="A148" s="1"/>
      <c r="B148" s="136" t="s">
        <v>246</v>
      </c>
      <c r="C148" s="38"/>
      <c r="D148" s="38"/>
      <c r="E148" s="120" t="n">
        <f aca="false">SUM(E138:E147)</f>
        <v>0</v>
      </c>
      <c r="F148" s="1"/>
      <c r="G148" s="1"/>
      <c r="H148" s="1"/>
      <c r="I148" s="1"/>
      <c r="J148" s="1"/>
      <c r="K148" s="1"/>
      <c r="L148" s="1"/>
      <c r="M148" s="1"/>
      <c r="N148" s="1"/>
      <c r="O148" s="1"/>
    </row>
    <row r="149" customFormat="false" ht="15.75" hidden="false" customHeight="true" outlineLevel="0" collapsed="false">
      <c r="A149" s="1"/>
      <c r="B149" s="1"/>
      <c r="C149" s="1"/>
      <c r="D149" s="1"/>
      <c r="E149" s="1"/>
      <c r="F149" s="1"/>
      <c r="G149" s="1"/>
      <c r="H149" s="1"/>
      <c r="I149" s="1"/>
      <c r="J149" s="1"/>
      <c r="K149" s="1"/>
      <c r="L149" s="1"/>
      <c r="M149" s="1"/>
      <c r="N149" s="1"/>
      <c r="O149" s="1"/>
    </row>
    <row r="150" customFormat="false" ht="15.75" hidden="false" customHeight="true" outlineLevel="0" collapsed="false">
      <c r="A150" s="1"/>
      <c r="B150" s="1"/>
      <c r="C150" s="1"/>
      <c r="D150" s="1"/>
      <c r="E150" s="1"/>
      <c r="F150" s="1"/>
      <c r="G150" s="1"/>
      <c r="H150" s="1"/>
      <c r="I150" s="1"/>
      <c r="J150" s="1"/>
      <c r="K150" s="1"/>
      <c r="L150" s="1"/>
      <c r="M150" s="1"/>
      <c r="N150" s="1"/>
      <c r="O150" s="1"/>
    </row>
    <row r="151" customFormat="false" ht="15.75" hidden="false" customHeight="true" outlineLevel="0" collapsed="false">
      <c r="A151" s="1"/>
      <c r="B151" s="117" t="s">
        <v>309</v>
      </c>
      <c r="C151" s="1"/>
      <c r="D151" s="1"/>
      <c r="E151" s="1"/>
      <c r="F151" s="1"/>
      <c r="G151" s="1"/>
      <c r="H151" s="1"/>
      <c r="I151" s="1"/>
      <c r="J151" s="1"/>
      <c r="K151" s="1"/>
      <c r="L151" s="1"/>
      <c r="M151" s="1"/>
      <c r="N151" s="1"/>
      <c r="O151" s="1"/>
    </row>
    <row r="152" customFormat="false" ht="15.75" hidden="false" customHeight="true" outlineLevel="0" collapsed="false">
      <c r="A152" s="1"/>
      <c r="B152" s="118" t="s">
        <v>310</v>
      </c>
      <c r="C152" s="118"/>
      <c r="D152" s="1"/>
      <c r="E152" s="1"/>
      <c r="F152" s="1"/>
      <c r="G152" s="1"/>
      <c r="H152" s="1"/>
      <c r="I152" s="1"/>
      <c r="J152" s="1"/>
      <c r="K152" s="1"/>
      <c r="L152" s="1"/>
      <c r="M152" s="1"/>
      <c r="N152" s="1"/>
      <c r="O152" s="1"/>
    </row>
    <row r="153" customFormat="false" ht="15.75" hidden="false" customHeight="true" outlineLevel="0" collapsed="false">
      <c r="A153" s="1"/>
      <c r="B153" s="119" t="s">
        <v>311</v>
      </c>
      <c r="C153" s="119" t="s">
        <v>312</v>
      </c>
      <c r="D153" s="1"/>
      <c r="E153" s="1"/>
      <c r="F153" s="1"/>
      <c r="G153" s="1"/>
      <c r="H153" s="1"/>
      <c r="I153" s="1"/>
      <c r="J153" s="1"/>
      <c r="K153" s="1"/>
      <c r="L153" s="1"/>
      <c r="M153" s="1"/>
      <c r="N153" s="1"/>
      <c r="O153" s="1"/>
    </row>
    <row r="154" customFormat="false" ht="15.75" hidden="false" customHeight="true" outlineLevel="0" collapsed="false">
      <c r="A154" s="1"/>
      <c r="B154" s="104" t="s">
        <v>313</v>
      </c>
      <c r="C154" s="120" t="n">
        <f aca="false">COUNTIF('Bug Data'!$Q:$Q,$B154)</f>
        <v>4</v>
      </c>
      <c r="D154" s="1"/>
      <c r="E154" s="1"/>
      <c r="F154" s="1"/>
      <c r="G154" s="1"/>
      <c r="H154" s="1"/>
      <c r="I154" s="1"/>
      <c r="J154" s="1"/>
      <c r="K154" s="1"/>
      <c r="L154" s="1"/>
      <c r="M154" s="1"/>
      <c r="N154" s="1"/>
      <c r="O154" s="1"/>
    </row>
    <row r="155" customFormat="false" ht="15.75" hidden="false" customHeight="true" outlineLevel="0" collapsed="false">
      <c r="A155" s="1"/>
      <c r="B155" s="104" t="s">
        <v>314</v>
      </c>
      <c r="C155" s="120" t="n">
        <f aca="false">COUNTIF('Bug Data'!$Q:$Q,$B155)</f>
        <v>16</v>
      </c>
      <c r="D155" s="1"/>
      <c r="E155" s="1"/>
      <c r="F155" s="1"/>
      <c r="G155" s="1"/>
      <c r="H155" s="1"/>
      <c r="I155" s="1"/>
      <c r="J155" s="1"/>
      <c r="K155" s="1"/>
      <c r="L155" s="1"/>
      <c r="M155" s="1"/>
      <c r="N155" s="1"/>
      <c r="O155" s="1"/>
    </row>
    <row r="156" customFormat="false" ht="15.75" hidden="false" customHeight="true" outlineLevel="0" collapsed="false">
      <c r="A156" s="1"/>
      <c r="B156" s="104" t="s">
        <v>315</v>
      </c>
      <c r="C156" s="120" t="n">
        <f aca="false">COUNTIF('Bug Data'!$Q:$Q,$B156)</f>
        <v>13</v>
      </c>
      <c r="D156" s="1"/>
      <c r="E156" s="1"/>
      <c r="F156" s="1"/>
      <c r="G156" s="1"/>
      <c r="H156" s="1"/>
      <c r="I156" s="1"/>
      <c r="J156" s="1"/>
      <c r="K156" s="1"/>
      <c r="L156" s="1"/>
      <c r="M156" s="1"/>
      <c r="N156" s="1"/>
      <c r="O156" s="1"/>
    </row>
    <row r="157" customFormat="false" ht="15.75" hidden="false" customHeight="true" outlineLevel="0" collapsed="false">
      <c r="A157" s="1"/>
      <c r="B157" s="104" t="s">
        <v>316</v>
      </c>
      <c r="C157" s="120" t="n">
        <f aca="false">COUNTIF('Bug Data'!$Q:$Q,$B157)</f>
        <v>6</v>
      </c>
      <c r="D157" s="1"/>
      <c r="E157" s="1"/>
      <c r="F157" s="1"/>
      <c r="G157" s="1"/>
      <c r="H157" s="1"/>
      <c r="I157" s="1"/>
      <c r="J157" s="1"/>
      <c r="K157" s="1"/>
      <c r="L157" s="1"/>
      <c r="M157" s="1"/>
      <c r="N157" s="1"/>
      <c r="O157" s="1"/>
    </row>
    <row r="158" customFormat="false" ht="15.75" hidden="false" customHeight="true" outlineLevel="0" collapsed="false">
      <c r="A158" s="1"/>
      <c r="B158" s="104" t="s">
        <v>317</v>
      </c>
      <c r="C158" s="120" t="n">
        <f aca="false">COUNTIF('Bug Data'!$Q:$Q,$B158)</f>
        <v>0</v>
      </c>
      <c r="D158" s="1"/>
      <c r="E158" s="1"/>
      <c r="F158" s="1"/>
      <c r="G158" s="1"/>
      <c r="H158" s="1"/>
      <c r="I158" s="1"/>
      <c r="J158" s="1"/>
      <c r="K158" s="1"/>
      <c r="L158" s="1"/>
      <c r="M158" s="1"/>
      <c r="N158" s="1"/>
      <c r="O158" s="1"/>
    </row>
    <row r="159" customFormat="false" ht="15.75" hidden="false" customHeight="true" outlineLevel="0" collapsed="false">
      <c r="A159" s="1"/>
      <c r="B159" s="104" t="s">
        <v>318</v>
      </c>
      <c r="C159" s="120" t="n">
        <f aca="false">COUNTIF('Bug Data'!$Q:$Q,$B159)</f>
        <v>1</v>
      </c>
      <c r="D159" s="1"/>
      <c r="E159" s="1"/>
      <c r="F159" s="1"/>
      <c r="G159" s="1"/>
      <c r="H159" s="1"/>
      <c r="I159" s="1"/>
      <c r="J159" s="1"/>
      <c r="K159" s="1"/>
      <c r="L159" s="1"/>
      <c r="M159" s="1"/>
      <c r="N159" s="1"/>
      <c r="O159" s="1"/>
    </row>
    <row r="160" customFormat="false" ht="15.75" hidden="false" customHeight="true" outlineLevel="0" collapsed="false">
      <c r="A160" s="1"/>
      <c r="B160" s="36" t="s">
        <v>246</v>
      </c>
      <c r="C160" s="122" t="n">
        <f aca="false">SUM(C154:C159)</f>
        <v>40</v>
      </c>
      <c r="D160" s="1"/>
      <c r="E160" s="1"/>
      <c r="F160" s="1"/>
      <c r="G160" s="1"/>
      <c r="H160" s="1"/>
      <c r="I160" s="1"/>
      <c r="J160" s="1"/>
      <c r="K160" s="1"/>
      <c r="L160" s="1"/>
      <c r="M160" s="1"/>
      <c r="N160" s="1"/>
      <c r="O160" s="1"/>
    </row>
    <row r="161" customFormat="false" ht="15.75" hidden="false" customHeight="true" outlineLevel="0" collapsed="false">
      <c r="A161" s="1"/>
      <c r="B161" s="1"/>
      <c r="C161" s="1"/>
      <c r="D161" s="1"/>
      <c r="E161" s="1"/>
      <c r="F161" s="1"/>
      <c r="G161" s="1"/>
      <c r="H161" s="1"/>
      <c r="I161" s="1"/>
      <c r="J161" s="1"/>
      <c r="K161" s="1"/>
      <c r="L161" s="1"/>
      <c r="M161" s="1"/>
      <c r="N161" s="1"/>
      <c r="O161" s="1"/>
    </row>
    <row r="162" customFormat="false" ht="15.75" hidden="false" customHeight="true" outlineLevel="0" collapsed="false">
      <c r="A162" s="1"/>
      <c r="B162" s="1"/>
      <c r="C162" s="1"/>
      <c r="D162" s="1"/>
      <c r="E162" s="1"/>
      <c r="F162" s="1"/>
      <c r="G162" s="1"/>
      <c r="H162" s="1"/>
      <c r="I162" s="1"/>
      <c r="J162" s="1"/>
      <c r="K162" s="1"/>
      <c r="L162" s="1"/>
      <c r="M162" s="1"/>
      <c r="N162" s="1"/>
      <c r="O162" s="1"/>
    </row>
    <row r="163" customFormat="false" ht="15.75" hidden="false" customHeight="true" outlineLevel="0" collapsed="false">
      <c r="A163" s="1"/>
      <c r="B163" s="1"/>
      <c r="C163" s="1"/>
      <c r="D163" s="1"/>
      <c r="E163" s="1"/>
      <c r="F163" s="1"/>
      <c r="G163" s="1"/>
      <c r="H163" s="1"/>
      <c r="I163" s="1"/>
      <c r="J163" s="1"/>
      <c r="K163" s="1"/>
      <c r="L163" s="1"/>
      <c r="M163" s="1"/>
      <c r="N163" s="1"/>
      <c r="O163" s="1"/>
    </row>
    <row r="164" customFormat="false" ht="15.75" hidden="false" customHeight="true" outlineLevel="0" collapsed="false">
      <c r="A164" s="1"/>
      <c r="B164" s="1"/>
      <c r="C164" s="1"/>
      <c r="D164" s="1"/>
      <c r="E164" s="1"/>
      <c r="F164" s="1"/>
      <c r="G164" s="1"/>
      <c r="H164" s="1"/>
      <c r="I164" s="1"/>
      <c r="J164" s="1"/>
      <c r="K164" s="1"/>
      <c r="L164" s="1"/>
      <c r="M164" s="1"/>
      <c r="N164" s="1"/>
      <c r="O164" s="1"/>
    </row>
    <row r="165" customFormat="false" ht="15.75" hidden="false" customHeight="true" outlineLevel="0" collapsed="false">
      <c r="A165" s="1"/>
      <c r="B165" s="1"/>
      <c r="C165" s="1"/>
      <c r="D165" s="1"/>
      <c r="E165" s="1"/>
      <c r="F165" s="1"/>
      <c r="G165" s="1"/>
      <c r="H165" s="1"/>
      <c r="I165" s="1"/>
      <c r="J165" s="1"/>
      <c r="K165" s="1"/>
      <c r="L165" s="1"/>
      <c r="M165" s="1"/>
      <c r="N165" s="1"/>
      <c r="O165" s="1"/>
    </row>
    <row r="166" customFormat="false" ht="15.75" hidden="false" customHeight="true" outlineLevel="0" collapsed="false">
      <c r="A166" s="1"/>
      <c r="B166" s="1"/>
      <c r="C166" s="1"/>
      <c r="D166" s="1"/>
      <c r="E166" s="1"/>
      <c r="F166" s="1"/>
      <c r="G166" s="1"/>
      <c r="H166" s="1"/>
      <c r="I166" s="1"/>
      <c r="J166" s="1"/>
      <c r="K166" s="1"/>
      <c r="L166" s="1"/>
      <c r="M166" s="1"/>
      <c r="N166" s="1"/>
      <c r="O166" s="1"/>
    </row>
    <row r="167" customFormat="false" ht="15.75" hidden="false" customHeight="true" outlineLevel="0" collapsed="false">
      <c r="A167" s="1"/>
      <c r="B167" s="117" t="s">
        <v>319</v>
      </c>
      <c r="C167" s="1"/>
      <c r="D167" s="1"/>
      <c r="E167" s="1"/>
      <c r="F167" s="1"/>
      <c r="G167" s="1"/>
      <c r="H167" s="1"/>
      <c r="I167" s="1"/>
      <c r="J167" s="1"/>
      <c r="K167" s="1"/>
      <c r="L167" s="1"/>
      <c r="M167" s="1"/>
      <c r="N167" s="1"/>
      <c r="O167" s="1"/>
    </row>
    <row r="168" customFormat="false" ht="15.75" hidden="false" customHeight="true" outlineLevel="0" collapsed="false">
      <c r="A168" s="1"/>
      <c r="B168" s="118" t="s">
        <v>320</v>
      </c>
      <c r="C168" s="118"/>
      <c r="D168" s="1"/>
      <c r="E168" s="1"/>
      <c r="F168" s="1"/>
      <c r="G168" s="1"/>
      <c r="H168" s="1"/>
      <c r="I168" s="1"/>
      <c r="J168" s="1"/>
      <c r="K168" s="1"/>
      <c r="L168" s="1"/>
      <c r="M168" s="1"/>
      <c r="N168" s="1"/>
      <c r="O168" s="1"/>
    </row>
    <row r="169" customFormat="false" ht="15.75" hidden="false" customHeight="true" outlineLevel="0" collapsed="false">
      <c r="A169" s="1"/>
      <c r="B169" s="119" t="s">
        <v>311</v>
      </c>
      <c r="C169" s="119" t="s">
        <v>312</v>
      </c>
      <c r="D169" s="1"/>
      <c r="E169" s="1"/>
      <c r="F169" s="1"/>
      <c r="G169" s="1"/>
      <c r="H169" s="1"/>
      <c r="I169" s="1"/>
      <c r="J169" s="1"/>
      <c r="K169" s="1"/>
      <c r="L169" s="1"/>
      <c r="M169" s="1"/>
      <c r="N169" s="1"/>
      <c r="O169" s="1"/>
    </row>
    <row r="170" customFormat="false" ht="15.75" hidden="false" customHeight="true" outlineLevel="0" collapsed="false">
      <c r="A170" s="1"/>
      <c r="B170" s="104" t="s">
        <v>321</v>
      </c>
      <c r="C170" s="120" t="n">
        <f aca="false">COUNTIF('Bug Data'!$R:$R,$B170)</f>
        <v>17</v>
      </c>
      <c r="D170" s="1"/>
      <c r="E170" s="1"/>
      <c r="F170" s="1"/>
      <c r="G170" s="1"/>
      <c r="H170" s="1"/>
      <c r="I170" s="1"/>
      <c r="J170" s="1"/>
      <c r="K170" s="1"/>
      <c r="L170" s="1"/>
      <c r="M170" s="1"/>
      <c r="N170" s="1"/>
      <c r="O170" s="1"/>
    </row>
    <row r="171" customFormat="false" ht="15.75" hidden="false" customHeight="true" outlineLevel="0" collapsed="false">
      <c r="A171" s="1"/>
      <c r="B171" s="104" t="s">
        <v>322</v>
      </c>
      <c r="C171" s="120" t="n">
        <f aca="false">COUNTIF('Bug Data'!$R:$R,$B171)</f>
        <v>0</v>
      </c>
      <c r="D171" s="1"/>
      <c r="E171" s="1"/>
      <c r="F171" s="1"/>
      <c r="G171" s="1"/>
      <c r="H171" s="1"/>
      <c r="I171" s="1"/>
      <c r="J171" s="1"/>
      <c r="K171" s="1"/>
      <c r="L171" s="1"/>
      <c r="M171" s="1"/>
      <c r="N171" s="1"/>
      <c r="O171" s="1"/>
    </row>
    <row r="172" customFormat="false" ht="15.75" hidden="false" customHeight="true" outlineLevel="0" collapsed="false">
      <c r="A172" s="1"/>
      <c r="B172" s="104" t="s">
        <v>323</v>
      </c>
      <c r="C172" s="120" t="n">
        <f aca="false">COUNTIF('Bug Data'!$R:$R,$B172)</f>
        <v>0</v>
      </c>
      <c r="D172" s="1"/>
      <c r="E172" s="1"/>
      <c r="F172" s="1"/>
      <c r="G172" s="1"/>
      <c r="H172" s="1"/>
      <c r="I172" s="1"/>
      <c r="J172" s="1"/>
      <c r="K172" s="1"/>
      <c r="L172" s="1"/>
      <c r="M172" s="1"/>
      <c r="N172" s="1"/>
      <c r="O172" s="1"/>
    </row>
    <row r="173" customFormat="false" ht="15.75" hidden="false" customHeight="true" outlineLevel="0" collapsed="false">
      <c r="A173" s="1"/>
      <c r="B173" s="104" t="s">
        <v>324</v>
      </c>
      <c r="C173" s="120" t="n">
        <f aca="false">COUNTIF('Bug Data'!$R:$R,$B173)</f>
        <v>0</v>
      </c>
      <c r="D173" s="1"/>
      <c r="E173" s="1"/>
      <c r="F173" s="1"/>
      <c r="G173" s="1"/>
      <c r="H173" s="1"/>
      <c r="I173" s="1"/>
      <c r="J173" s="1"/>
      <c r="K173" s="1"/>
      <c r="L173" s="1"/>
      <c r="M173" s="1"/>
      <c r="N173" s="1"/>
      <c r="O173" s="1"/>
    </row>
    <row r="174" customFormat="false" ht="15.75" hidden="false" customHeight="true" outlineLevel="0" collapsed="false">
      <c r="A174" s="1"/>
      <c r="B174" s="104" t="s">
        <v>325</v>
      </c>
      <c r="C174" s="120" t="n">
        <f aca="false">COUNTIF('Bug Data'!$R:$R,$B174)</f>
        <v>23</v>
      </c>
      <c r="D174" s="1"/>
      <c r="E174" s="1"/>
      <c r="F174" s="1"/>
      <c r="G174" s="1"/>
      <c r="H174" s="1"/>
      <c r="I174" s="1"/>
      <c r="J174" s="1"/>
      <c r="K174" s="1"/>
      <c r="L174" s="1"/>
      <c r="M174" s="1"/>
      <c r="N174" s="1"/>
      <c r="O174" s="1"/>
    </row>
    <row r="175" customFormat="false" ht="15.75" hidden="false" customHeight="true" outlineLevel="0" collapsed="false">
      <c r="A175" s="1"/>
      <c r="B175" s="36" t="s">
        <v>246</v>
      </c>
      <c r="C175" s="122" t="n">
        <f aca="false">SUM(C170:C174)</f>
        <v>40</v>
      </c>
      <c r="D175" s="1"/>
      <c r="E175" s="1"/>
      <c r="F175" s="1"/>
      <c r="G175" s="1"/>
      <c r="H175" s="1"/>
      <c r="I175" s="1"/>
      <c r="J175" s="1"/>
      <c r="K175" s="1"/>
      <c r="L175" s="1"/>
      <c r="M175" s="1"/>
      <c r="N175" s="1"/>
      <c r="O175" s="1"/>
    </row>
    <row r="176" customFormat="false" ht="15.75" hidden="false" customHeight="true" outlineLevel="0" collapsed="false">
      <c r="A176" s="1"/>
      <c r="B176" s="1"/>
      <c r="C176" s="1"/>
      <c r="D176" s="1"/>
      <c r="E176" s="1"/>
      <c r="F176" s="1"/>
      <c r="G176" s="1"/>
      <c r="H176" s="1"/>
      <c r="I176" s="1"/>
      <c r="J176" s="1"/>
      <c r="K176" s="1"/>
      <c r="L176" s="1"/>
      <c r="M176" s="1"/>
      <c r="N176" s="1"/>
      <c r="O176" s="1"/>
    </row>
    <row r="177" customFormat="false" ht="15.75" hidden="false" customHeight="true" outlineLevel="0" collapsed="false">
      <c r="A177" s="1"/>
      <c r="B177" s="1"/>
      <c r="C177" s="1"/>
      <c r="D177" s="1"/>
      <c r="E177" s="1"/>
      <c r="F177" s="1"/>
      <c r="G177" s="1"/>
      <c r="H177" s="1"/>
      <c r="I177" s="1"/>
      <c r="J177" s="1"/>
      <c r="K177" s="1"/>
      <c r="L177" s="1"/>
      <c r="M177" s="1"/>
      <c r="N177" s="1"/>
      <c r="O177" s="1"/>
    </row>
    <row r="178" customFormat="false" ht="15.75" hidden="false" customHeight="true" outlineLevel="0" collapsed="false">
      <c r="A178" s="1"/>
      <c r="B178" s="1"/>
      <c r="C178" s="1"/>
      <c r="D178" s="1"/>
      <c r="E178" s="1"/>
      <c r="F178" s="1"/>
      <c r="G178" s="1"/>
      <c r="H178" s="1"/>
      <c r="I178" s="1"/>
      <c r="J178" s="1"/>
      <c r="K178" s="1"/>
      <c r="L178" s="1"/>
      <c r="M178" s="1"/>
      <c r="N178" s="1"/>
      <c r="O178" s="1"/>
    </row>
    <row r="179" customFormat="false" ht="15.75" hidden="false" customHeight="true" outlineLevel="0" collapsed="false">
      <c r="A179" s="1"/>
      <c r="B179" s="1"/>
      <c r="C179" s="1"/>
      <c r="D179" s="1"/>
      <c r="E179" s="1"/>
      <c r="F179" s="1"/>
      <c r="G179" s="1"/>
      <c r="H179" s="1"/>
      <c r="I179" s="1"/>
      <c r="J179" s="1"/>
      <c r="K179" s="1"/>
      <c r="L179" s="1"/>
      <c r="M179" s="1"/>
      <c r="N179" s="1"/>
      <c r="O179" s="1"/>
    </row>
    <row r="180" customFormat="false" ht="15.75" hidden="false" customHeight="true" outlineLevel="0" collapsed="false">
      <c r="A180" s="1"/>
      <c r="B180" s="1"/>
      <c r="C180" s="1"/>
      <c r="D180" s="1"/>
      <c r="E180" s="1"/>
      <c r="F180" s="1"/>
      <c r="G180" s="1"/>
      <c r="H180" s="1"/>
      <c r="I180" s="1"/>
      <c r="J180" s="1"/>
      <c r="K180" s="1"/>
      <c r="L180" s="1"/>
      <c r="M180" s="1"/>
      <c r="N180" s="1"/>
      <c r="O180" s="1"/>
    </row>
    <row r="181" customFormat="false" ht="15.75" hidden="false" customHeight="true" outlineLevel="0" collapsed="false">
      <c r="A181" s="1"/>
      <c r="B181" s="1"/>
      <c r="C181" s="1"/>
      <c r="D181" s="1"/>
      <c r="E181" s="1"/>
      <c r="F181" s="1"/>
      <c r="G181" s="1"/>
      <c r="H181" s="1"/>
      <c r="I181" s="1"/>
      <c r="J181" s="1"/>
      <c r="K181" s="1"/>
      <c r="L181" s="1"/>
      <c r="M181" s="1"/>
      <c r="N181" s="1"/>
      <c r="O181" s="1"/>
    </row>
    <row r="182" customFormat="false" ht="15.75" hidden="false" customHeight="true" outlineLevel="0" collapsed="false">
      <c r="A182" s="1"/>
      <c r="B182" s="1"/>
      <c r="C182" s="1"/>
      <c r="D182" s="1"/>
      <c r="E182" s="1"/>
      <c r="F182" s="1"/>
      <c r="G182" s="1"/>
      <c r="H182" s="1"/>
      <c r="I182" s="1"/>
      <c r="J182" s="1"/>
      <c r="K182" s="1"/>
      <c r="L182" s="1"/>
      <c r="M182" s="1"/>
      <c r="N182" s="1"/>
      <c r="O182" s="1"/>
    </row>
    <row r="183" customFormat="false" ht="15.75" hidden="false" customHeight="true" outlineLevel="0" collapsed="false">
      <c r="A183" s="1"/>
      <c r="B183" s="117" t="s">
        <v>326</v>
      </c>
      <c r="C183" s="1"/>
      <c r="D183" s="1"/>
      <c r="E183" s="1"/>
      <c r="F183" s="1"/>
      <c r="G183" s="1"/>
      <c r="H183" s="1"/>
      <c r="I183" s="1"/>
      <c r="J183" s="1"/>
      <c r="K183" s="1"/>
      <c r="L183" s="1"/>
      <c r="M183" s="1"/>
      <c r="N183" s="1"/>
      <c r="O183" s="1"/>
    </row>
    <row r="184" customFormat="false" ht="15.75" hidden="false" customHeight="true" outlineLevel="0" collapsed="false">
      <c r="A184" s="1"/>
      <c r="B184" s="118" t="s">
        <v>327</v>
      </c>
      <c r="C184" s="118"/>
      <c r="D184" s="1"/>
      <c r="E184" s="1"/>
      <c r="F184" s="1"/>
      <c r="G184" s="1"/>
      <c r="H184" s="1"/>
      <c r="I184" s="1"/>
      <c r="J184" s="1"/>
      <c r="K184" s="1"/>
      <c r="L184" s="1"/>
      <c r="M184" s="1"/>
      <c r="N184" s="1"/>
      <c r="O184" s="1"/>
    </row>
    <row r="185" customFormat="false" ht="15.75" hidden="false" customHeight="true" outlineLevel="0" collapsed="false">
      <c r="A185" s="1"/>
      <c r="B185" s="119" t="s">
        <v>328</v>
      </c>
      <c r="C185" s="119" t="s">
        <v>312</v>
      </c>
      <c r="D185" s="1"/>
      <c r="E185" s="1"/>
      <c r="F185" s="1"/>
      <c r="G185" s="1"/>
      <c r="H185" s="1"/>
      <c r="I185" s="1"/>
      <c r="J185" s="1"/>
      <c r="K185" s="1"/>
      <c r="L185" s="1"/>
      <c r="M185" s="1"/>
      <c r="N185" s="1"/>
      <c r="O185" s="1"/>
    </row>
    <row r="186" customFormat="false" ht="15.75" hidden="false" customHeight="true" outlineLevel="0" collapsed="false">
      <c r="A186" s="1"/>
      <c r="B186" s="104" t="s">
        <v>329</v>
      </c>
      <c r="C186" s="120" t="n">
        <f aca="false">COUNTIFS('Bug Data'!$S:$S,"&gt;="&amp;1,'Bug Data'!$S:$S,"&lt;="&amp;2)</f>
        <v>0</v>
      </c>
      <c r="D186" s="1"/>
      <c r="E186" s="1"/>
      <c r="F186" s="1"/>
      <c r="G186" s="1"/>
      <c r="H186" s="1"/>
      <c r="I186" s="1"/>
      <c r="J186" s="1"/>
      <c r="K186" s="1"/>
      <c r="L186" s="1"/>
      <c r="M186" s="1"/>
      <c r="N186" s="1"/>
      <c r="O186" s="1"/>
    </row>
    <row r="187" customFormat="false" ht="15.75" hidden="false" customHeight="true" outlineLevel="0" collapsed="false">
      <c r="A187" s="1"/>
      <c r="B187" s="104" t="s">
        <v>330</v>
      </c>
      <c r="C187" s="120" t="n">
        <f aca="false">COUNTIFS('Bug Data'!$S:$S,"&gt;="&amp;3,'Bug Data'!$S:$S,"&lt;="&amp;5)</f>
        <v>0</v>
      </c>
      <c r="D187" s="1"/>
      <c r="E187" s="1"/>
      <c r="F187" s="1"/>
      <c r="G187" s="1"/>
      <c r="H187" s="1"/>
      <c r="I187" s="1"/>
      <c r="J187" s="1"/>
      <c r="K187" s="1"/>
      <c r="L187" s="1"/>
      <c r="M187" s="1"/>
      <c r="N187" s="1"/>
      <c r="O187" s="1"/>
    </row>
    <row r="188" customFormat="false" ht="15.75" hidden="false" customHeight="true" outlineLevel="0" collapsed="false">
      <c r="A188" s="1"/>
      <c r="B188" s="104" t="s">
        <v>331</v>
      </c>
      <c r="C188" s="120" t="n">
        <f aca="false">COUNTIFS('Bug Data'!$S:$S,"&gt;="&amp;6,'Bug Data'!$S:$S,"&lt;="&amp;7)</f>
        <v>0</v>
      </c>
      <c r="D188" s="1"/>
      <c r="E188" s="1"/>
      <c r="F188" s="1"/>
      <c r="G188" s="1"/>
      <c r="H188" s="1"/>
      <c r="I188" s="1"/>
      <c r="J188" s="1"/>
      <c r="K188" s="1"/>
      <c r="L188" s="1"/>
      <c r="M188" s="1"/>
      <c r="N188" s="1"/>
      <c r="O188" s="1"/>
    </row>
    <row r="189" customFormat="false" ht="15.75" hidden="false" customHeight="true" outlineLevel="0" collapsed="false">
      <c r="A189" s="1"/>
      <c r="B189" s="104" t="s">
        <v>332</v>
      </c>
      <c r="C189" s="120" t="n">
        <f aca="false">COUNTIFS('Bug Data'!$S:$S,"&gt;="&amp;8,'Bug Data'!$S:$S,"&lt;="&amp;10)</f>
        <v>0</v>
      </c>
      <c r="D189" s="1"/>
      <c r="E189" s="1"/>
      <c r="F189" s="1"/>
      <c r="G189" s="1"/>
      <c r="H189" s="1"/>
      <c r="I189" s="1"/>
      <c r="J189" s="1"/>
      <c r="K189" s="1"/>
      <c r="L189" s="1"/>
      <c r="M189" s="1"/>
      <c r="N189" s="1"/>
      <c r="O189" s="1"/>
    </row>
    <row r="190" customFormat="false" ht="15.75" hidden="false" customHeight="true" outlineLevel="0" collapsed="false">
      <c r="A190" s="1"/>
      <c r="B190" s="36" t="s">
        <v>246</v>
      </c>
      <c r="C190" s="122" t="n">
        <f aca="false">SUM(C186:C189)</f>
        <v>0</v>
      </c>
      <c r="D190" s="1"/>
      <c r="E190" s="1"/>
      <c r="F190" s="1"/>
      <c r="G190" s="1"/>
      <c r="H190" s="1"/>
      <c r="I190" s="1"/>
      <c r="J190" s="1"/>
      <c r="K190" s="1"/>
      <c r="L190" s="1"/>
      <c r="M190" s="1"/>
      <c r="N190" s="1"/>
      <c r="O190" s="1"/>
    </row>
    <row r="191" customFormat="false" ht="15.75" hidden="false" customHeight="true" outlineLevel="0" collapsed="false">
      <c r="A191" s="1"/>
      <c r="B191" s="1"/>
      <c r="C191" s="1"/>
      <c r="D191" s="1"/>
      <c r="E191" s="1"/>
      <c r="F191" s="1"/>
      <c r="G191" s="1"/>
      <c r="H191" s="1"/>
      <c r="I191" s="1"/>
      <c r="J191" s="1"/>
      <c r="K191" s="1"/>
      <c r="L191" s="1"/>
      <c r="M191" s="1"/>
      <c r="N191" s="1"/>
      <c r="O191" s="1"/>
    </row>
    <row r="192" customFormat="false" ht="15.75" hidden="false" customHeight="true" outlineLevel="0" collapsed="false">
      <c r="A192" s="1"/>
      <c r="B192" s="1"/>
      <c r="C192" s="1"/>
      <c r="D192" s="1"/>
      <c r="E192" s="1"/>
      <c r="F192" s="1"/>
      <c r="G192" s="1"/>
      <c r="H192" s="1"/>
      <c r="I192" s="1"/>
      <c r="J192" s="1"/>
      <c r="K192" s="1"/>
      <c r="L192" s="1"/>
      <c r="M192" s="1"/>
      <c r="N192" s="1"/>
      <c r="O192" s="1"/>
    </row>
    <row r="193" customFormat="false" ht="15.75" hidden="false" customHeight="true" outlineLevel="0" collapsed="false">
      <c r="A193" s="1"/>
      <c r="B193" s="1"/>
      <c r="C193" s="1"/>
      <c r="D193" s="1"/>
      <c r="E193" s="1"/>
      <c r="F193" s="1"/>
      <c r="G193" s="1"/>
      <c r="H193" s="1"/>
      <c r="I193" s="1"/>
      <c r="J193" s="1"/>
      <c r="K193" s="1"/>
      <c r="L193" s="1"/>
      <c r="M193" s="1"/>
      <c r="N193" s="1"/>
      <c r="O193" s="1"/>
    </row>
    <row r="194" customFormat="false" ht="15.75" hidden="false" customHeight="true" outlineLevel="0" collapsed="false">
      <c r="A194" s="1"/>
      <c r="B194" s="1"/>
      <c r="C194" s="1"/>
      <c r="D194" s="1"/>
      <c r="E194" s="1"/>
      <c r="F194" s="1"/>
      <c r="G194" s="1"/>
      <c r="H194" s="1"/>
      <c r="I194" s="1"/>
      <c r="J194" s="1"/>
      <c r="K194" s="1"/>
      <c r="L194" s="1"/>
      <c r="M194" s="1"/>
      <c r="N194" s="1"/>
      <c r="O194" s="1"/>
    </row>
    <row r="195" customFormat="false" ht="15.75" hidden="false" customHeight="true" outlineLevel="0" collapsed="false">
      <c r="A195" s="1"/>
      <c r="B195" s="1"/>
      <c r="C195" s="1"/>
      <c r="D195" s="1"/>
      <c r="E195" s="1"/>
      <c r="F195" s="1"/>
      <c r="G195" s="1"/>
      <c r="H195" s="1"/>
      <c r="I195" s="1"/>
      <c r="J195" s="1"/>
      <c r="K195" s="1"/>
      <c r="L195" s="1"/>
      <c r="M195" s="1"/>
      <c r="N195" s="1"/>
      <c r="O195" s="1"/>
    </row>
    <row r="196" customFormat="false" ht="15.75" hidden="false" customHeight="true" outlineLevel="0" collapsed="false">
      <c r="A196" s="1"/>
      <c r="B196" s="1"/>
      <c r="C196" s="1"/>
      <c r="D196" s="1"/>
      <c r="E196" s="1"/>
      <c r="F196" s="1"/>
      <c r="G196" s="1"/>
      <c r="H196" s="1"/>
      <c r="I196" s="1"/>
      <c r="J196" s="1"/>
      <c r="K196" s="1"/>
      <c r="L196" s="1"/>
      <c r="M196" s="1"/>
      <c r="N196" s="1"/>
      <c r="O196" s="1"/>
    </row>
    <row r="197" customFormat="false" ht="15.75" hidden="false" customHeight="true" outlineLevel="0" collapsed="false">
      <c r="A197" s="1"/>
      <c r="B197" s="1"/>
      <c r="C197" s="1"/>
      <c r="D197" s="1"/>
      <c r="E197" s="1"/>
      <c r="F197" s="1"/>
      <c r="G197" s="1"/>
      <c r="H197" s="1"/>
      <c r="I197" s="1"/>
      <c r="J197" s="1"/>
      <c r="K197" s="1"/>
      <c r="L197" s="1"/>
      <c r="M197" s="1"/>
      <c r="N197" s="1"/>
      <c r="O197" s="1"/>
    </row>
    <row r="198" customFormat="false" ht="15.75" hidden="false" customHeight="true" outlineLevel="0" collapsed="false">
      <c r="A198" s="1"/>
      <c r="B198" s="1"/>
      <c r="C198" s="1"/>
      <c r="D198" s="1"/>
      <c r="E198" s="1"/>
      <c r="F198" s="1"/>
      <c r="G198" s="1"/>
      <c r="H198" s="1"/>
      <c r="I198" s="1"/>
      <c r="J198" s="1"/>
      <c r="K198" s="1"/>
      <c r="L198" s="1"/>
      <c r="M198" s="1"/>
      <c r="N198" s="1"/>
      <c r="O198" s="1"/>
    </row>
    <row r="199" customFormat="false" ht="15.75" hidden="false" customHeight="true" outlineLevel="0" collapsed="false">
      <c r="A199" s="1"/>
      <c r="B199" s="117" t="s">
        <v>333</v>
      </c>
      <c r="C199" s="1"/>
      <c r="D199" s="1"/>
      <c r="E199" s="1"/>
      <c r="F199" s="1"/>
      <c r="G199" s="1"/>
      <c r="H199" s="1"/>
      <c r="I199" s="1"/>
      <c r="J199" s="1"/>
      <c r="K199" s="1"/>
      <c r="L199" s="1"/>
      <c r="M199" s="1"/>
      <c r="N199" s="1"/>
      <c r="O199" s="1"/>
    </row>
    <row r="200" customFormat="false" ht="15.75" hidden="false" customHeight="true" outlineLevel="0" collapsed="false">
      <c r="A200" s="1"/>
      <c r="B200" s="137" t="s">
        <v>334</v>
      </c>
      <c r="C200" s="137"/>
      <c r="D200" s="137"/>
      <c r="E200" s="1"/>
      <c r="F200" s="1"/>
      <c r="G200" s="1"/>
      <c r="H200" s="1"/>
      <c r="I200" s="1"/>
      <c r="J200" s="1"/>
      <c r="K200" s="1"/>
      <c r="L200" s="1"/>
      <c r="M200" s="1"/>
      <c r="N200" s="1"/>
      <c r="O200" s="1"/>
    </row>
    <row r="201" customFormat="false" ht="15.75" hidden="false" customHeight="true" outlineLevel="0" collapsed="false">
      <c r="A201" s="1"/>
      <c r="B201" s="114" t="s">
        <v>116</v>
      </c>
      <c r="C201" s="138" t="s">
        <v>117</v>
      </c>
      <c r="D201" s="138" t="s">
        <v>118</v>
      </c>
      <c r="E201" s="1"/>
      <c r="F201" s="1"/>
      <c r="G201" s="1"/>
      <c r="H201" s="1"/>
      <c r="I201" s="1"/>
      <c r="J201" s="1"/>
      <c r="K201" s="1"/>
      <c r="L201" s="1"/>
      <c r="M201" s="1"/>
      <c r="N201" s="1"/>
      <c r="O201" s="1"/>
    </row>
    <row r="202" customFormat="false" ht="15.75" hidden="false" customHeight="true" outlineLevel="0" collapsed="false">
      <c r="A202" s="1"/>
      <c r="B202" s="139" t="s">
        <v>105</v>
      </c>
      <c r="C202" s="51" t="n">
        <f aca="false">Summary!$C$17</f>
        <v>223</v>
      </c>
      <c r="D202" s="140" t="n">
        <v>1</v>
      </c>
      <c r="E202" s="1"/>
      <c r="F202" s="1"/>
      <c r="G202" s="1"/>
      <c r="H202" s="1"/>
      <c r="I202" s="1"/>
      <c r="J202" s="1"/>
      <c r="K202" s="1"/>
      <c r="L202" s="1"/>
      <c r="M202" s="1"/>
      <c r="N202" s="1"/>
      <c r="O202" s="1"/>
    </row>
    <row r="203" customFormat="false" ht="15.75" hidden="false" customHeight="true" outlineLevel="0" collapsed="false">
      <c r="A203" s="1"/>
      <c r="B203" s="139" t="s">
        <v>335</v>
      </c>
      <c r="C203" s="51" t="n">
        <f aca="false">Summary!$C$44</f>
        <v>223</v>
      </c>
      <c r="D203" s="141" t="n">
        <f aca="false">IFERROR(C203/$C$202,0)</f>
        <v>1</v>
      </c>
      <c r="E203" s="1"/>
      <c r="F203" s="1"/>
      <c r="G203" s="1"/>
      <c r="H203" s="1"/>
      <c r="I203" s="1"/>
      <c r="J203" s="1"/>
      <c r="K203" s="1"/>
      <c r="L203" s="1"/>
      <c r="M203" s="1"/>
      <c r="N203" s="1"/>
      <c r="O203" s="1"/>
    </row>
    <row r="204" customFormat="false" ht="15.75" hidden="false" customHeight="true" outlineLevel="0" collapsed="false">
      <c r="A204" s="1"/>
      <c r="B204" s="139" t="s">
        <v>336</v>
      </c>
      <c r="C204" s="51" t="n">
        <f aca="false">Summary!$C$45</f>
        <v>0</v>
      </c>
      <c r="D204" s="52" t="n">
        <f aca="false">IFERROR(C204/$C$202,0)</f>
        <v>0</v>
      </c>
      <c r="E204" s="1"/>
      <c r="F204" s="1"/>
      <c r="G204" s="1"/>
      <c r="H204" s="1"/>
      <c r="I204" s="1"/>
      <c r="J204" s="1"/>
      <c r="K204" s="1"/>
      <c r="L204" s="1"/>
      <c r="M204" s="1"/>
      <c r="N204" s="1"/>
      <c r="O204" s="1"/>
    </row>
    <row r="205" customFormat="false" ht="15.75" hidden="false" customHeight="true" outlineLevel="0" collapsed="false">
      <c r="A205" s="1"/>
      <c r="B205" s="139" t="s">
        <v>337</v>
      </c>
      <c r="C205" s="51" t="n">
        <f aca="false">Summary!$C$46</f>
        <v>0</v>
      </c>
      <c r="D205" s="141" t="n">
        <f aca="false">IFERROR(C205/$C$202,0)</f>
        <v>0</v>
      </c>
      <c r="E205" s="1"/>
      <c r="F205" s="1"/>
      <c r="G205" s="1"/>
      <c r="H205" s="1"/>
      <c r="I205" s="1"/>
      <c r="J205" s="1"/>
      <c r="K205" s="1"/>
      <c r="L205" s="1"/>
      <c r="M205" s="1"/>
      <c r="N205" s="1"/>
      <c r="O205" s="1"/>
    </row>
    <row r="206" customFormat="false" ht="15.75" hidden="false" customHeight="true" outlineLevel="0" collapsed="false">
      <c r="A206" s="1"/>
      <c r="B206" s="139" t="s">
        <v>338</v>
      </c>
      <c r="C206" s="51" t="n">
        <f aca="false">Summary!$C$47</f>
        <v>165</v>
      </c>
      <c r="D206" s="141" t="n">
        <f aca="false">IFERROR(C206/$C$202,0)</f>
        <v>0.739910313901345</v>
      </c>
      <c r="E206" s="1"/>
      <c r="F206" s="1"/>
      <c r="G206" s="1"/>
      <c r="H206" s="1"/>
      <c r="I206" s="1"/>
      <c r="J206" s="1"/>
      <c r="K206" s="1"/>
      <c r="L206" s="1"/>
      <c r="M206" s="1"/>
      <c r="N206" s="1"/>
      <c r="O206" s="1"/>
    </row>
    <row r="207" customFormat="false" ht="15.75" hidden="false" customHeight="true" outlineLevel="0" collapsed="false">
      <c r="A207" s="1"/>
      <c r="B207" s="139" t="s">
        <v>339</v>
      </c>
      <c r="C207" s="51" t="n">
        <f aca="false">Summary!$C$49</f>
        <v>0</v>
      </c>
      <c r="D207" s="52" t="n">
        <f aca="false">IFERROR(C207/$C$202,0)</f>
        <v>0</v>
      </c>
      <c r="E207" s="1"/>
      <c r="F207" s="1"/>
      <c r="G207" s="1"/>
      <c r="H207" s="1"/>
      <c r="I207" s="1"/>
      <c r="J207" s="1"/>
      <c r="K207" s="1"/>
      <c r="L207" s="1"/>
      <c r="M207" s="1"/>
      <c r="N207" s="1"/>
      <c r="O207" s="1"/>
    </row>
    <row r="208" customFormat="false" ht="15.75" hidden="false" customHeight="true" outlineLevel="0" collapsed="false">
      <c r="A208" s="1"/>
      <c r="B208" s="139" t="s">
        <v>123</v>
      </c>
      <c r="C208" s="51" t="n">
        <f aca="false">Summary!$C$48</f>
        <v>0</v>
      </c>
      <c r="D208" s="141" t="n">
        <f aca="false">IFERROR(C208/$C$202,0)</f>
        <v>0</v>
      </c>
      <c r="E208" s="1"/>
      <c r="F208" s="1"/>
      <c r="G208" s="1"/>
      <c r="H208" s="1"/>
      <c r="I208" s="1"/>
      <c r="J208" s="1"/>
      <c r="K208" s="1"/>
      <c r="L208" s="1"/>
      <c r="M208" s="1"/>
      <c r="N208" s="1"/>
      <c r="O208" s="1"/>
    </row>
    <row r="209" customFormat="false" ht="15.75" hidden="false" customHeight="true" outlineLevel="0" collapsed="false">
      <c r="A209" s="1"/>
      <c r="B209" s="139" t="s">
        <v>340</v>
      </c>
      <c r="C209" s="142" t="n">
        <v>40</v>
      </c>
      <c r="D209" s="141" t="n">
        <f aca="false">IFERROR(C209/COUNTIF('Bug Data'!$D$2:$D$250,"?*"),0)</f>
        <v>1</v>
      </c>
      <c r="E209" s="1"/>
      <c r="F209" s="1"/>
      <c r="G209" s="1"/>
      <c r="H209" s="1"/>
      <c r="I209" s="1"/>
      <c r="J209" s="1"/>
      <c r="K209" s="1"/>
      <c r="L209" s="1"/>
      <c r="M209" s="1"/>
      <c r="N209" s="1"/>
      <c r="O209" s="1"/>
    </row>
    <row r="210" customFormat="false" ht="15.75" hidden="false" customHeight="true" outlineLevel="0" collapsed="false">
      <c r="A210" s="1"/>
      <c r="B210" s="143"/>
      <c r="C210" s="1"/>
      <c r="D210" s="144"/>
      <c r="E210" s="1"/>
      <c r="F210" s="1"/>
      <c r="G210" s="1"/>
      <c r="H210" s="1"/>
      <c r="I210" s="1"/>
      <c r="J210" s="1"/>
      <c r="K210" s="1"/>
      <c r="L210" s="1"/>
      <c r="M210" s="1"/>
      <c r="N210" s="1"/>
      <c r="O210" s="1"/>
    </row>
    <row r="211" customFormat="false" ht="15.75" hidden="false" customHeight="true" outlineLevel="0" collapsed="false">
      <c r="A211" s="1"/>
      <c r="B211" s="145" t="s">
        <v>341</v>
      </c>
      <c r="C211" s="145"/>
      <c r="D211" s="145"/>
      <c r="E211" s="1"/>
      <c r="F211" s="1"/>
      <c r="G211" s="1"/>
      <c r="H211" s="1"/>
      <c r="I211" s="1"/>
      <c r="J211" s="1"/>
      <c r="K211" s="1"/>
      <c r="L211" s="1"/>
      <c r="M211" s="1"/>
      <c r="N211" s="1"/>
      <c r="O211" s="1"/>
    </row>
    <row r="212" customFormat="false" ht="15.75" hidden="false" customHeight="true" outlineLevel="0" collapsed="false">
      <c r="A212" s="1"/>
      <c r="B212" s="1"/>
      <c r="C212" s="1"/>
      <c r="D212" s="1"/>
      <c r="E212" s="1"/>
      <c r="F212" s="1"/>
      <c r="G212" s="1"/>
      <c r="H212" s="1"/>
      <c r="I212" s="1"/>
      <c r="J212" s="1"/>
      <c r="K212" s="1"/>
      <c r="L212" s="1"/>
      <c r="M212" s="1"/>
      <c r="N212" s="1"/>
      <c r="O212" s="1"/>
    </row>
    <row r="213" customFormat="false" ht="15.75" hidden="false" customHeight="true" outlineLevel="0" collapsed="false">
      <c r="A213" s="1"/>
      <c r="B213" s="1"/>
      <c r="C213" s="1"/>
      <c r="D213" s="1"/>
      <c r="E213" s="1"/>
      <c r="F213" s="1"/>
      <c r="G213" s="1"/>
      <c r="H213" s="1"/>
      <c r="I213" s="1"/>
      <c r="J213" s="1"/>
      <c r="K213" s="1"/>
      <c r="L213" s="1"/>
      <c r="M213" s="1"/>
      <c r="N213" s="1"/>
      <c r="O213" s="1"/>
    </row>
    <row r="214" customFormat="false" ht="15.75" hidden="false" customHeight="true" outlineLevel="0" collapsed="false">
      <c r="A214" s="1"/>
      <c r="B214" s="1"/>
      <c r="C214" s="1"/>
      <c r="D214" s="1"/>
      <c r="E214" s="1"/>
      <c r="F214" s="1"/>
      <c r="G214" s="1"/>
      <c r="H214" s="1"/>
      <c r="I214" s="1"/>
      <c r="J214" s="1"/>
      <c r="K214" s="1"/>
      <c r="L214" s="1"/>
      <c r="M214" s="1"/>
      <c r="N214" s="1"/>
      <c r="O214" s="1"/>
    </row>
    <row r="215" customFormat="false" ht="15.75" hidden="false" customHeight="true" outlineLevel="0" collapsed="false">
      <c r="A215" s="1"/>
      <c r="B215" s="1"/>
      <c r="C215" s="1"/>
      <c r="D215" s="1"/>
      <c r="E215" s="1"/>
      <c r="F215" s="1"/>
      <c r="G215" s="1"/>
      <c r="H215" s="1"/>
      <c r="I215" s="1"/>
      <c r="J215" s="1"/>
      <c r="K215" s="1"/>
      <c r="L215" s="1"/>
      <c r="M215" s="1"/>
      <c r="N215" s="1"/>
      <c r="O215" s="1"/>
    </row>
    <row r="216" customFormat="false" ht="15.75" hidden="false" customHeight="true" outlineLevel="0" collapsed="false">
      <c r="A216" s="1"/>
      <c r="B216" s="1"/>
      <c r="C216" s="1"/>
      <c r="D216" s="1"/>
      <c r="E216" s="1"/>
      <c r="F216" s="1"/>
      <c r="G216" s="1"/>
      <c r="H216" s="1"/>
      <c r="I216" s="1"/>
      <c r="J216" s="1"/>
      <c r="K216" s="1"/>
      <c r="L216" s="1"/>
      <c r="M216" s="1"/>
      <c r="N216" s="1"/>
      <c r="O216" s="1"/>
    </row>
    <row r="217" customFormat="false" ht="15.75" hidden="false" customHeight="true" outlineLevel="0" collapsed="false">
      <c r="A217" s="1"/>
      <c r="B217" s="146" t="s">
        <v>342</v>
      </c>
      <c r="C217" s="146"/>
      <c r="D217" s="146"/>
      <c r="E217" s="146"/>
      <c r="F217" s="146"/>
      <c r="G217" s="146"/>
      <c r="H217" s="146"/>
      <c r="I217" s="146"/>
      <c r="J217" s="146"/>
      <c r="K217" s="146"/>
      <c r="L217" s="146"/>
      <c r="M217" s="1"/>
      <c r="N217" s="1"/>
      <c r="O217" s="1"/>
    </row>
    <row r="218" customFormat="false" ht="15.75" hidden="false" customHeight="true" outlineLevel="0" collapsed="false">
      <c r="A218" s="1"/>
      <c r="B218" s="62" t="s">
        <v>343</v>
      </c>
      <c r="C218" s="62"/>
      <c r="D218" s="62"/>
      <c r="E218" s="62"/>
      <c r="F218" s="62"/>
      <c r="G218" s="62"/>
      <c r="H218" s="62"/>
      <c r="I218" s="62"/>
      <c r="J218" s="62"/>
      <c r="K218" s="62"/>
      <c r="L218" s="62"/>
      <c r="M218" s="1"/>
      <c r="N218" s="1"/>
      <c r="O218" s="1"/>
    </row>
    <row r="219" customFormat="false" ht="15.75" hidden="false" customHeight="true" outlineLevel="0" collapsed="false">
      <c r="A219" s="1"/>
      <c r="B219" s="147" t="s">
        <v>344</v>
      </c>
      <c r="C219" s="147"/>
      <c r="D219" s="147"/>
      <c r="E219" s="147"/>
      <c r="F219" s="147"/>
      <c r="G219" s="147"/>
      <c r="H219" s="147"/>
      <c r="I219" s="147"/>
      <c r="J219" s="147"/>
      <c r="K219" s="147"/>
      <c r="L219" s="147"/>
      <c r="M219" s="1"/>
      <c r="N219" s="1"/>
      <c r="O219" s="1"/>
    </row>
    <row r="220" customFormat="false" ht="31.5" hidden="false" customHeight="true" outlineLevel="0" collapsed="false">
      <c r="A220" s="1"/>
      <c r="B220" s="148" t="s">
        <v>345</v>
      </c>
      <c r="C220" s="149" t="s">
        <v>346</v>
      </c>
      <c r="D220" s="149" t="s">
        <v>260</v>
      </c>
      <c r="E220" s="149" t="s">
        <v>153</v>
      </c>
      <c r="F220" s="150" t="s">
        <v>23</v>
      </c>
      <c r="G220" s="150" t="s">
        <v>25</v>
      </c>
      <c r="H220" s="148" t="s">
        <v>27</v>
      </c>
      <c r="I220" s="148" t="s">
        <v>29</v>
      </c>
      <c r="J220" s="148" t="s">
        <v>347</v>
      </c>
      <c r="K220" s="148" t="s">
        <v>348</v>
      </c>
      <c r="L220" s="148" t="s">
        <v>349</v>
      </c>
      <c r="M220" s="1"/>
      <c r="N220" s="1"/>
      <c r="O220" s="1"/>
    </row>
    <row r="221" customFormat="false" ht="30" hidden="false" customHeight="true" outlineLevel="0" collapsed="false">
      <c r="A221" s="1"/>
      <c r="B221" s="151" t="s">
        <v>350</v>
      </c>
      <c r="C221" s="152" t="s">
        <v>351</v>
      </c>
      <c r="D221" s="153" t="n">
        <f aca="false">Dashboard!$F$34</f>
        <v>223</v>
      </c>
      <c r="E221" s="153" t="n">
        <f aca="false">Dashboard!$AE$34</f>
        <v>165</v>
      </c>
      <c r="F221" s="153" t="n">
        <f aca="false">Dashboard!$AF$34</f>
        <v>101</v>
      </c>
      <c r="G221" s="153" t="n">
        <f aca="false">Dashboard!$AG$34</f>
        <v>37</v>
      </c>
      <c r="H221" s="153" t="n">
        <f aca="false">Dashboard!$AH$34</f>
        <v>20</v>
      </c>
      <c r="I221" s="153" t="n">
        <f aca="false">Dashboard!$AI$34</f>
        <v>7</v>
      </c>
      <c r="J221" s="154" t="n">
        <f aca="false">IFERROR(IF(E221=0,"",E221/D221),"")</f>
        <v>0.739910313901345</v>
      </c>
      <c r="K221" s="154" t="n">
        <f aca="false">IFERROR(IF(E221=0,"",F221/E221),"")</f>
        <v>0.612121212121212</v>
      </c>
      <c r="L221" s="152" t="s">
        <v>352</v>
      </c>
      <c r="M221" s="1"/>
      <c r="N221" s="1"/>
      <c r="O221" s="1"/>
    </row>
    <row r="222" customFormat="false" ht="30" hidden="false" customHeight="true" outlineLevel="0" collapsed="false">
      <c r="A222" s="1"/>
      <c r="B222" s="151" t="s">
        <v>353</v>
      </c>
      <c r="C222" s="152"/>
      <c r="D222" s="153" t="n">
        <f aca="false">Dashboard!$F$34</f>
        <v>223</v>
      </c>
      <c r="E222" s="153" t="n">
        <f aca="false">Dashboard!$AJ$34</f>
        <v>0</v>
      </c>
      <c r="F222" s="153" t="n">
        <f aca="false">Dashboard!$AK$34</f>
        <v>0</v>
      </c>
      <c r="G222" s="153" t="n">
        <f aca="false">Dashboard!$AL$34</f>
        <v>0</v>
      </c>
      <c r="H222" s="153" t="n">
        <f aca="false">Dashboard!$AM$34</f>
        <v>0</v>
      </c>
      <c r="I222" s="153" t="n">
        <f aca="false">Dashboard!$AN$34</f>
        <v>0</v>
      </c>
      <c r="J222" s="154" t="str">
        <f aca="false">IFERROR(IF(E222=0,"",E222/D222),"")</f>
        <v/>
      </c>
      <c r="K222" s="154" t="str">
        <f aca="false">IFERROR(IF(E222=0,"",F222/E222),"")</f>
        <v/>
      </c>
      <c r="L222" s="152"/>
      <c r="M222" s="1"/>
      <c r="N222" s="1"/>
      <c r="O222" s="1"/>
    </row>
    <row r="223" customFormat="false" ht="30" hidden="false" customHeight="true" outlineLevel="0" collapsed="false">
      <c r="A223" s="1"/>
      <c r="B223" s="151" t="s">
        <v>354</v>
      </c>
      <c r="C223" s="152"/>
      <c r="D223" s="153" t="n">
        <f aca="false">Dashboard!$F$34</f>
        <v>223</v>
      </c>
      <c r="E223" s="153" t="n">
        <f aca="false">Dashboard!$AO$34</f>
        <v>0</v>
      </c>
      <c r="F223" s="153" t="n">
        <f aca="false">Dashboard!$AP$34</f>
        <v>0</v>
      </c>
      <c r="G223" s="153" t="n">
        <f aca="false">Dashboard!$AQ$34</f>
        <v>0</v>
      </c>
      <c r="H223" s="153" t="n">
        <f aca="false">Dashboard!$AR$34</f>
        <v>0</v>
      </c>
      <c r="I223" s="153" t="n">
        <f aca="false">Dashboard!$AS$34</f>
        <v>0</v>
      </c>
      <c r="J223" s="154" t="str">
        <f aca="false">IFERROR(IF(E223=0,"",E223/D223),"")</f>
        <v/>
      </c>
      <c r="K223" s="154" t="str">
        <f aca="false">IFERROR(IF(E223=0,"",F223/E223),"")</f>
        <v/>
      </c>
      <c r="L223" s="152"/>
      <c r="M223" s="1"/>
      <c r="N223" s="1"/>
      <c r="O223" s="1"/>
    </row>
    <row r="224" customFormat="false" ht="30" hidden="false" customHeight="true" outlineLevel="0" collapsed="false">
      <c r="A224" s="1"/>
      <c r="B224" s="151" t="s">
        <v>355</v>
      </c>
      <c r="C224" s="152"/>
      <c r="D224" s="153" t="n">
        <f aca="false">Dashboard!$F$34</f>
        <v>223</v>
      </c>
      <c r="E224" s="153" t="n">
        <f aca="false">Dashboard!$AT$34</f>
        <v>0</v>
      </c>
      <c r="F224" s="153" t="n">
        <f aca="false">Dashboard!$AU$34</f>
        <v>0</v>
      </c>
      <c r="G224" s="153" t="n">
        <f aca="false">Dashboard!$AV$34</f>
        <v>0</v>
      </c>
      <c r="H224" s="153" t="n">
        <f aca="false">Dashboard!$AW$34</f>
        <v>0</v>
      </c>
      <c r="I224" s="153" t="n">
        <f aca="false">Dashboard!$AX$34</f>
        <v>0</v>
      </c>
      <c r="J224" s="154" t="str">
        <f aca="false">IFERROR(IF(E224=0,"",E224/D224),"")</f>
        <v/>
      </c>
      <c r="K224" s="154" t="str">
        <f aca="false">IFERROR(IF(E224=0,"",F224/E224),"")</f>
        <v/>
      </c>
      <c r="L224" s="152"/>
      <c r="M224" s="1"/>
      <c r="N224" s="1"/>
      <c r="O224" s="1"/>
    </row>
    <row r="225" customFormat="false" ht="30" hidden="false" customHeight="true" outlineLevel="0" collapsed="false">
      <c r="A225" s="1"/>
      <c r="B225" s="151" t="s">
        <v>356</v>
      </c>
      <c r="C225" s="152"/>
      <c r="D225" s="153" t="n">
        <f aca="false">Dashboard!$F$34</f>
        <v>223</v>
      </c>
      <c r="E225" s="153" t="n">
        <f aca="false">Dashboard!$AY$34</f>
        <v>0</v>
      </c>
      <c r="F225" s="153" t="n">
        <f aca="false">Dashboard!$AZ$34</f>
        <v>0</v>
      </c>
      <c r="G225" s="153" t="n">
        <f aca="false">Dashboard!$BA$34</f>
        <v>0</v>
      </c>
      <c r="H225" s="153" t="n">
        <f aca="false">Dashboard!$BB$34</f>
        <v>0</v>
      </c>
      <c r="I225" s="153" t="n">
        <f aca="false">Dashboard!$BC$34</f>
        <v>0</v>
      </c>
      <c r="J225" s="154" t="str">
        <f aca="false">IFERROR(IF(E225=0,"",E225/D225),"")</f>
        <v/>
      </c>
      <c r="K225" s="154" t="str">
        <f aca="false">IFERROR(IF(E225=0,"",F225/E225),"")</f>
        <v/>
      </c>
      <c r="L225" s="152"/>
      <c r="M225" s="1"/>
      <c r="N225" s="1"/>
      <c r="O225" s="1"/>
    </row>
    <row r="226" customFormat="false" ht="30" hidden="false" customHeight="true" outlineLevel="0" collapsed="false">
      <c r="A226" s="1"/>
      <c r="B226" s="155" t="s">
        <v>357</v>
      </c>
      <c r="C226" s="156" t="str">
        <f aca="false">IF(OR(Summary!$C$10="",Summary!$C$11=""),"",TEXT(Summary!$C$10,"DD/MM/YYYY")&amp;"  →  "&amp;TEXT(Summary!$C$11,"DD/MM/YYYY"))</f>
        <v>18/09/2026  →  22/09/2026</v>
      </c>
      <c r="D226" s="156" t="n">
        <f aca="false">Dashboard!$F$34</f>
        <v>223</v>
      </c>
      <c r="E226" s="156" t="n">
        <f aca="false">Dashboard!$L$34</f>
        <v>165</v>
      </c>
      <c r="F226" s="156" t="n">
        <f aca="false">Dashboard!$G$34</f>
        <v>101</v>
      </c>
      <c r="G226" s="156" t="n">
        <f aca="false">Dashboard!$H$34</f>
        <v>37</v>
      </c>
      <c r="H226" s="156" t="n">
        <f aca="false">Dashboard!$I$34</f>
        <v>20</v>
      </c>
      <c r="I226" s="156" t="n">
        <f aca="false">Dashboard!$J$34</f>
        <v>7</v>
      </c>
      <c r="J226" s="157" t="n">
        <f aca="false">IFERROR(E226/D226,0)</f>
        <v>0.739910313901345</v>
      </c>
      <c r="K226" s="157" t="n">
        <f aca="false">IFERROR(F226/E226,0)</f>
        <v>0.612121212121212</v>
      </c>
      <c r="L226" s="156" t="s">
        <v>352</v>
      </c>
      <c r="M226" s="1"/>
      <c r="N226" s="1"/>
      <c r="O226" s="1"/>
    </row>
    <row r="227" customFormat="false" ht="15.75" hidden="false" customHeight="true" outlineLevel="0" collapsed="false">
      <c r="A227" s="1"/>
      <c r="B227" s="158"/>
      <c r="C227" s="159"/>
      <c r="D227" s="159"/>
      <c r="E227" s="159"/>
      <c r="F227" s="160"/>
      <c r="G227" s="160"/>
      <c r="H227" s="22"/>
      <c r="I227" s="22"/>
      <c r="J227" s="22"/>
      <c r="K227" s="22"/>
      <c r="L227" s="1"/>
      <c r="M227" s="1"/>
      <c r="N227" s="1"/>
      <c r="O227" s="1"/>
    </row>
    <row r="228" customFormat="false" ht="15.75" hidden="false" customHeight="true" outlineLevel="0" collapsed="false">
      <c r="A228" s="1"/>
      <c r="B228" s="147" t="s">
        <v>358</v>
      </c>
      <c r="C228" s="147"/>
      <c r="D228" s="147"/>
      <c r="E228" s="22"/>
      <c r="F228" s="22"/>
      <c r="G228" s="22"/>
      <c r="H228" s="22"/>
      <c r="I228" s="22"/>
      <c r="J228" s="22"/>
      <c r="K228" s="22"/>
      <c r="L228" s="1"/>
      <c r="M228" s="1"/>
      <c r="N228" s="1"/>
      <c r="O228" s="1"/>
    </row>
    <row r="229" customFormat="false" ht="15.75" hidden="false" customHeight="true" outlineLevel="0" collapsed="false">
      <c r="A229" s="1"/>
      <c r="B229" s="148" t="s">
        <v>345</v>
      </c>
      <c r="C229" s="148" t="s">
        <v>359</v>
      </c>
      <c r="D229" s="148" t="s">
        <v>360</v>
      </c>
      <c r="E229" s="22"/>
      <c r="F229" s="22"/>
      <c r="G229" s="22"/>
      <c r="H229" s="22"/>
      <c r="I229" s="22"/>
      <c r="J229" s="22"/>
      <c r="K229" s="22"/>
      <c r="L229" s="1"/>
      <c r="M229" s="1"/>
      <c r="N229" s="1"/>
      <c r="O229" s="1"/>
    </row>
    <row r="230" customFormat="false" ht="15.75" hidden="false" customHeight="true" outlineLevel="0" collapsed="false">
      <c r="A230" s="1"/>
      <c r="B230" s="161" t="n">
        <v>1</v>
      </c>
      <c r="C230" s="162" t="n">
        <f aca="false">COUNTIF('Bug Data'!$T:$T,$B230)</f>
        <v>40</v>
      </c>
      <c r="D230" s="162" t="n">
        <f aca="false">COUNTIF('Bug Data'!$U:$U,$B230)</f>
        <v>0</v>
      </c>
      <c r="E230" s="22"/>
      <c r="F230" s="22"/>
      <c r="G230" s="22"/>
      <c r="H230" s="22"/>
      <c r="I230" s="22"/>
      <c r="J230" s="22"/>
      <c r="K230" s="22"/>
      <c r="L230" s="1"/>
      <c r="M230" s="1"/>
      <c r="N230" s="1"/>
      <c r="O230" s="1"/>
    </row>
    <row r="231" customFormat="false" ht="15.75" hidden="false" customHeight="true" outlineLevel="0" collapsed="false">
      <c r="A231" s="1"/>
      <c r="B231" s="161" t="n">
        <v>2</v>
      </c>
      <c r="C231" s="162" t="n">
        <f aca="false">COUNTIF('Bug Data'!$T:$T,$B231)</f>
        <v>0</v>
      </c>
      <c r="D231" s="162" t="n">
        <f aca="false">COUNTIF('Bug Data'!$U:$U,$B231)</f>
        <v>0</v>
      </c>
      <c r="E231" s="22"/>
      <c r="F231" s="22"/>
      <c r="G231" s="22"/>
      <c r="H231" s="22"/>
      <c r="I231" s="22"/>
      <c r="J231" s="22"/>
      <c r="K231" s="22"/>
      <c r="L231" s="1"/>
      <c r="M231" s="1"/>
      <c r="N231" s="1"/>
      <c r="O231" s="1"/>
    </row>
    <row r="232" customFormat="false" ht="15.75" hidden="false" customHeight="true" outlineLevel="0" collapsed="false">
      <c r="A232" s="1"/>
      <c r="B232" s="161" t="n">
        <v>3</v>
      </c>
      <c r="C232" s="162" t="n">
        <f aca="false">COUNTIF('Bug Data'!$T:$T,$B232)</f>
        <v>0</v>
      </c>
      <c r="D232" s="162" t="n">
        <f aca="false">COUNTIF('Bug Data'!$U:$U,$B232)</f>
        <v>0</v>
      </c>
      <c r="E232" s="22"/>
      <c r="F232" s="22"/>
      <c r="G232" s="22"/>
      <c r="H232" s="22"/>
      <c r="I232" s="22"/>
      <c r="J232" s="22"/>
      <c r="K232" s="22"/>
      <c r="L232" s="1"/>
      <c r="M232" s="1"/>
      <c r="N232" s="1"/>
      <c r="O232" s="1"/>
    </row>
    <row r="233" customFormat="false" ht="15.75" hidden="false" customHeight="true" outlineLevel="0" collapsed="false">
      <c r="A233" s="1"/>
      <c r="B233" s="163" t="n">
        <v>4</v>
      </c>
      <c r="C233" s="153" t="n">
        <f aca="false">COUNTIF('Bug Data'!$T:$T,$B233)</f>
        <v>0</v>
      </c>
      <c r="D233" s="162" t="n">
        <f aca="false">COUNTIF('Bug Data'!$U:$U,$B233)</f>
        <v>0</v>
      </c>
      <c r="E233" s="22"/>
      <c r="F233" s="22"/>
      <c r="G233" s="22"/>
      <c r="H233" s="22"/>
      <c r="I233" s="22"/>
      <c r="J233" s="22"/>
      <c r="K233" s="22"/>
      <c r="L233" s="1"/>
      <c r="M233" s="1"/>
      <c r="N233" s="1"/>
      <c r="O233" s="1"/>
    </row>
    <row r="234" customFormat="false" ht="15.75" hidden="false" customHeight="true" outlineLevel="0" collapsed="false">
      <c r="A234" s="1"/>
      <c r="B234" s="163" t="n">
        <v>5</v>
      </c>
      <c r="C234" s="153" t="n">
        <f aca="false">COUNTIF('Bug Data'!$T:$T,$B234)</f>
        <v>0</v>
      </c>
      <c r="D234" s="162" t="n">
        <f aca="false">COUNTIF('Bug Data'!$U:$U,$B234)</f>
        <v>0</v>
      </c>
      <c r="E234" s="22"/>
      <c r="F234" s="22"/>
      <c r="G234" s="22"/>
      <c r="H234" s="22"/>
      <c r="I234" s="22"/>
      <c r="J234" s="22"/>
      <c r="K234" s="22"/>
      <c r="L234" s="1"/>
      <c r="M234" s="1"/>
      <c r="N234" s="1"/>
      <c r="O234" s="1"/>
    </row>
    <row r="235" customFormat="false" ht="15.75" hidden="false" customHeight="true" outlineLevel="0" collapsed="false">
      <c r="A235" s="1"/>
      <c r="B235" s="164" t="s">
        <v>246</v>
      </c>
      <c r="C235" s="164" t="n">
        <f aca="false">SUM(C230:C234)</f>
        <v>40</v>
      </c>
      <c r="D235" s="165" t="n">
        <f aca="false">SUM(D230:D234)</f>
        <v>0</v>
      </c>
      <c r="E235" s="22"/>
      <c r="F235" s="22"/>
      <c r="G235" s="22"/>
      <c r="H235" s="22"/>
      <c r="I235" s="22"/>
      <c r="J235" s="22"/>
      <c r="K235" s="22"/>
      <c r="L235" s="1"/>
      <c r="M235" s="1"/>
      <c r="N235" s="1"/>
      <c r="O235" s="1"/>
    </row>
    <row r="236" customFormat="false" ht="15.75" hidden="false" customHeight="true" outlineLevel="0" collapsed="false">
      <c r="A236" s="1"/>
      <c r="B236" s="166" t="s">
        <v>361</v>
      </c>
      <c r="C236" s="166"/>
      <c r="D236" s="166"/>
      <c r="E236" s="166"/>
      <c r="F236" s="166"/>
      <c r="G236" s="166"/>
      <c r="H236" s="166"/>
      <c r="I236" s="166"/>
      <c r="J236" s="166"/>
      <c r="K236" s="166"/>
      <c r="L236" s="1"/>
      <c r="M236" s="1"/>
      <c r="N236" s="1"/>
      <c r="O236" s="1"/>
    </row>
    <row r="237" customFormat="false" ht="15.75" hidden="false" customHeight="true" outlineLevel="0" collapsed="false">
      <c r="A237" s="1"/>
      <c r="B237" s="159"/>
      <c r="C237" s="159"/>
      <c r="D237" s="22"/>
      <c r="E237" s="22"/>
      <c r="F237" s="22"/>
      <c r="G237" s="22"/>
      <c r="H237" s="22"/>
      <c r="I237" s="22"/>
      <c r="J237" s="22"/>
      <c r="K237" s="22"/>
      <c r="L237" s="1"/>
      <c r="M237" s="1"/>
      <c r="N237" s="1"/>
      <c r="O237" s="1"/>
    </row>
    <row r="238" customFormat="false" ht="15.75" hidden="false" customHeight="true" outlineLevel="0" collapsed="false">
      <c r="A238" s="1"/>
      <c r="B238" s="159"/>
      <c r="C238" s="159"/>
      <c r="D238" s="22"/>
      <c r="E238" s="22"/>
      <c r="F238" s="22"/>
      <c r="G238" s="22"/>
      <c r="H238" s="22"/>
      <c r="I238" s="22"/>
      <c r="J238" s="22"/>
      <c r="K238" s="22"/>
      <c r="L238" s="1"/>
      <c r="M238" s="1"/>
      <c r="N238" s="1"/>
      <c r="O238" s="1"/>
    </row>
    <row r="239" customFormat="false" ht="15.75" hidden="false" customHeight="true" outlineLevel="0" collapsed="false">
      <c r="A239" s="1"/>
      <c r="B239" s="159"/>
      <c r="C239" s="159"/>
      <c r="D239" s="22"/>
      <c r="E239" s="22"/>
      <c r="F239" s="22"/>
      <c r="G239" s="22"/>
      <c r="H239" s="22"/>
      <c r="I239" s="22"/>
      <c r="J239" s="22"/>
      <c r="K239" s="22"/>
      <c r="L239" s="1"/>
      <c r="M239" s="1"/>
      <c r="N239" s="1"/>
      <c r="O239" s="1"/>
    </row>
    <row r="240" customFormat="false" ht="15.75" hidden="false" customHeight="true" outlineLevel="0" collapsed="false">
      <c r="A240" s="1"/>
      <c r="B240" s="159"/>
      <c r="C240" s="159"/>
      <c r="D240" s="22"/>
      <c r="E240" s="22"/>
      <c r="F240" s="22"/>
      <c r="G240" s="22"/>
      <c r="H240" s="22"/>
      <c r="I240" s="22"/>
      <c r="J240" s="22"/>
      <c r="K240" s="22"/>
      <c r="L240" s="1"/>
      <c r="M240" s="1"/>
      <c r="N240" s="1"/>
      <c r="O240" s="1"/>
    </row>
    <row r="241" customFormat="false" ht="15.75" hidden="false" customHeight="true" outlineLevel="0" collapsed="false">
      <c r="A241" s="1"/>
      <c r="B241" s="167"/>
      <c r="C241" s="159"/>
      <c r="D241" s="22"/>
      <c r="E241" s="22"/>
      <c r="F241" s="22"/>
      <c r="G241" s="22"/>
      <c r="H241" s="22"/>
      <c r="I241" s="22"/>
      <c r="J241" s="22"/>
      <c r="K241" s="22"/>
      <c r="L241" s="1"/>
      <c r="M241" s="1"/>
      <c r="N241" s="1"/>
      <c r="O241" s="1"/>
    </row>
    <row r="242" customFormat="false" ht="15.75" hidden="false" customHeight="true" outlineLevel="0" collapsed="false">
      <c r="A242" s="1"/>
      <c r="B242" s="168"/>
      <c r="C242" s="22"/>
      <c r="D242" s="22"/>
      <c r="E242" s="22"/>
      <c r="F242" s="22"/>
      <c r="G242" s="22"/>
      <c r="H242" s="22"/>
      <c r="I242" s="22"/>
      <c r="J242" s="22"/>
      <c r="K242" s="22"/>
      <c r="L242" s="1"/>
      <c r="M242" s="1"/>
      <c r="N242" s="1"/>
      <c r="O242" s="1"/>
    </row>
    <row r="243" customFormat="false" ht="15.75" hidden="false" customHeight="true" outlineLevel="0" collapsed="false">
      <c r="A243" s="1"/>
      <c r="B243" s="22"/>
      <c r="C243" s="22"/>
      <c r="D243" s="22"/>
      <c r="E243" s="22"/>
      <c r="F243" s="22"/>
      <c r="G243" s="22"/>
      <c r="H243" s="22"/>
      <c r="I243" s="22"/>
      <c r="J243" s="22"/>
      <c r="K243" s="22"/>
      <c r="L243" s="1"/>
      <c r="M243" s="1"/>
      <c r="N243" s="1"/>
      <c r="O243" s="1"/>
    </row>
    <row r="244" customFormat="false" ht="15.75" hidden="false" customHeight="true" outlineLevel="0" collapsed="false">
      <c r="A244" s="1"/>
      <c r="B244" s="1"/>
      <c r="C244" s="1"/>
      <c r="D244" s="1"/>
      <c r="E244" s="1"/>
      <c r="F244" s="1"/>
      <c r="G244" s="1"/>
      <c r="H244" s="1"/>
      <c r="I244" s="1"/>
      <c r="J244" s="1"/>
      <c r="K244" s="1"/>
      <c r="L244" s="1"/>
      <c r="M244" s="1"/>
      <c r="N244" s="1"/>
      <c r="O244" s="1"/>
    </row>
    <row r="245" customFormat="false" ht="15.75" hidden="false" customHeight="true" outlineLevel="0" collapsed="false">
      <c r="A245" s="1"/>
      <c r="B245" s="1"/>
      <c r="C245" s="1"/>
      <c r="D245" s="1"/>
      <c r="E245" s="1"/>
      <c r="F245" s="1"/>
      <c r="G245" s="1"/>
      <c r="H245" s="1"/>
      <c r="I245" s="1"/>
      <c r="J245" s="1"/>
      <c r="K245" s="1"/>
      <c r="L245" s="1"/>
      <c r="M245" s="1"/>
      <c r="N245" s="1"/>
      <c r="O245" s="1"/>
    </row>
    <row r="246" customFormat="false" ht="15.75" hidden="false" customHeight="true" outlineLevel="0" collapsed="false">
      <c r="A246" s="1"/>
      <c r="B246" s="1"/>
      <c r="C246" s="1"/>
      <c r="D246" s="1"/>
      <c r="E246" s="1"/>
      <c r="F246" s="1"/>
      <c r="G246" s="1"/>
      <c r="H246" s="1"/>
      <c r="I246" s="1"/>
      <c r="J246" s="1"/>
      <c r="K246" s="1"/>
      <c r="L246" s="1"/>
      <c r="M246" s="1"/>
      <c r="N246" s="1"/>
      <c r="O246" s="1"/>
    </row>
    <row r="247" customFormat="false" ht="15.75" hidden="false" customHeight="true" outlineLevel="0" collapsed="false">
      <c r="A247" s="1"/>
      <c r="B247" s="1"/>
      <c r="C247" s="1"/>
      <c r="D247" s="1"/>
      <c r="E247" s="1"/>
      <c r="F247" s="1"/>
      <c r="G247" s="1"/>
      <c r="H247" s="1"/>
      <c r="I247" s="1"/>
      <c r="J247" s="1"/>
      <c r="K247" s="1"/>
      <c r="L247" s="1"/>
      <c r="M247" s="1"/>
      <c r="N247" s="1"/>
      <c r="O247" s="1"/>
    </row>
    <row r="248" customFormat="false" ht="15.75" hidden="false" customHeight="true" outlineLevel="0" collapsed="false">
      <c r="A248" s="1"/>
      <c r="B248" s="1"/>
      <c r="C248" s="1"/>
      <c r="D248" s="1"/>
      <c r="E248" s="1"/>
      <c r="F248" s="1"/>
      <c r="G248" s="1"/>
      <c r="H248" s="1"/>
      <c r="I248" s="1"/>
      <c r="J248" s="1"/>
      <c r="K248" s="1"/>
      <c r="L248" s="1"/>
      <c r="M248" s="1"/>
      <c r="N248" s="1"/>
      <c r="O248" s="1"/>
    </row>
    <row r="249" customFormat="false" ht="15.75" hidden="false" customHeight="true" outlineLevel="0" collapsed="false">
      <c r="A249" s="1"/>
      <c r="B249" s="1"/>
      <c r="C249" s="1"/>
      <c r="D249" s="1"/>
      <c r="E249" s="1"/>
      <c r="F249" s="1"/>
      <c r="G249" s="1"/>
      <c r="H249" s="1"/>
      <c r="I249" s="1"/>
      <c r="J249" s="1"/>
      <c r="K249" s="1"/>
      <c r="L249" s="1"/>
      <c r="M249" s="1"/>
      <c r="N249" s="1"/>
      <c r="O249" s="1"/>
    </row>
    <row r="250" customFormat="false" ht="15.75" hidden="false" customHeight="true" outlineLevel="0" collapsed="false">
      <c r="A250" s="1"/>
      <c r="B250" s="1"/>
      <c r="C250" s="1"/>
      <c r="D250" s="1"/>
      <c r="E250" s="1"/>
      <c r="F250" s="1"/>
      <c r="G250" s="1"/>
      <c r="H250" s="1"/>
      <c r="I250" s="1"/>
      <c r="J250" s="1"/>
      <c r="K250" s="1"/>
      <c r="L250" s="1"/>
      <c r="M250" s="1"/>
      <c r="N250" s="1"/>
      <c r="O250" s="1"/>
    </row>
    <row r="251" customFormat="false" ht="15.75" hidden="false" customHeight="true" outlineLevel="0" collapsed="false">
      <c r="A251" s="1"/>
      <c r="B251" s="1"/>
      <c r="C251" s="1"/>
      <c r="D251" s="1"/>
      <c r="E251" s="1"/>
      <c r="F251" s="1"/>
      <c r="G251" s="1"/>
      <c r="H251" s="1"/>
      <c r="I251" s="1"/>
      <c r="J251" s="1"/>
      <c r="K251" s="1"/>
      <c r="L251" s="1"/>
      <c r="M251" s="1"/>
      <c r="N251" s="1"/>
      <c r="O251" s="1"/>
    </row>
    <row r="252" customFormat="false" ht="15.75" hidden="false" customHeight="true" outlineLevel="0" collapsed="false">
      <c r="A252" s="1"/>
      <c r="B252" s="1"/>
      <c r="C252" s="1"/>
      <c r="D252" s="1"/>
      <c r="E252" s="1"/>
      <c r="F252" s="1"/>
      <c r="G252" s="1"/>
      <c r="H252" s="1"/>
      <c r="I252" s="1"/>
      <c r="J252" s="1"/>
      <c r="K252" s="1"/>
      <c r="L252" s="1"/>
      <c r="M252" s="1"/>
      <c r="N252" s="1"/>
      <c r="O252" s="1"/>
    </row>
    <row r="253" customFormat="false" ht="15.75" hidden="false" customHeight="true" outlineLevel="0" collapsed="false">
      <c r="A253" s="1"/>
      <c r="B253" s="1"/>
      <c r="C253" s="1"/>
      <c r="D253" s="1"/>
      <c r="E253" s="1"/>
      <c r="F253" s="1"/>
      <c r="G253" s="1"/>
      <c r="H253" s="1"/>
      <c r="I253" s="1"/>
      <c r="J253" s="1"/>
      <c r="K253" s="1"/>
      <c r="L253" s="1"/>
      <c r="M253" s="1"/>
      <c r="N253" s="1"/>
      <c r="O253" s="1"/>
    </row>
    <row r="254" customFormat="false" ht="15.75" hidden="false" customHeight="true" outlineLevel="0" collapsed="false">
      <c r="A254" s="1"/>
      <c r="B254" s="1"/>
      <c r="C254" s="1"/>
      <c r="D254" s="1"/>
      <c r="E254" s="1"/>
      <c r="F254" s="1"/>
      <c r="G254" s="1"/>
      <c r="H254" s="1"/>
      <c r="I254" s="1"/>
      <c r="J254" s="1"/>
      <c r="K254" s="1"/>
      <c r="L254" s="1"/>
      <c r="M254" s="1"/>
      <c r="N254" s="1"/>
      <c r="O254" s="1"/>
    </row>
    <row r="255" customFormat="false" ht="15.75" hidden="false" customHeight="true" outlineLevel="0" collapsed="false">
      <c r="A255" s="1"/>
      <c r="B255" s="1"/>
      <c r="C255" s="1"/>
      <c r="D255" s="1"/>
      <c r="E255" s="1"/>
      <c r="F255" s="1"/>
      <c r="G255" s="1"/>
      <c r="H255" s="1"/>
      <c r="I255" s="1"/>
      <c r="J255" s="1"/>
      <c r="K255" s="1"/>
      <c r="L255" s="1"/>
      <c r="M255" s="1"/>
      <c r="N255" s="1"/>
      <c r="O255" s="1"/>
    </row>
    <row r="256" customFormat="false" ht="15.75" hidden="false" customHeight="true" outlineLevel="0" collapsed="false">
      <c r="A256" s="1"/>
      <c r="B256" s="1"/>
      <c r="C256" s="1"/>
      <c r="D256" s="1"/>
      <c r="E256" s="1"/>
      <c r="F256" s="1"/>
      <c r="G256" s="1"/>
      <c r="H256" s="1"/>
      <c r="I256" s="1"/>
      <c r="J256" s="1"/>
      <c r="K256" s="1"/>
      <c r="L256" s="1"/>
      <c r="M256" s="1"/>
      <c r="N256" s="1"/>
      <c r="O256" s="1"/>
    </row>
    <row r="257" customFormat="false" ht="15.75" hidden="false" customHeight="true" outlineLevel="0" collapsed="false">
      <c r="A257" s="1"/>
      <c r="B257" s="1"/>
      <c r="C257" s="1"/>
      <c r="D257" s="1"/>
      <c r="E257" s="1"/>
      <c r="F257" s="1"/>
      <c r="G257" s="1"/>
      <c r="H257" s="1"/>
      <c r="I257" s="1"/>
      <c r="J257" s="1"/>
      <c r="K257" s="1"/>
      <c r="L257" s="1"/>
      <c r="M257" s="1"/>
      <c r="N257" s="1"/>
      <c r="O257" s="1"/>
    </row>
    <row r="258" customFormat="false" ht="15.75" hidden="false" customHeight="true" outlineLevel="0" collapsed="false">
      <c r="A258" s="1"/>
      <c r="B258" s="1"/>
      <c r="C258" s="1"/>
      <c r="D258" s="1"/>
      <c r="E258" s="1"/>
      <c r="F258" s="1"/>
      <c r="G258" s="1"/>
      <c r="H258" s="1"/>
      <c r="I258" s="1"/>
      <c r="J258" s="1"/>
      <c r="K258" s="1"/>
      <c r="L258" s="1"/>
      <c r="M258" s="1"/>
      <c r="N258" s="1"/>
      <c r="O258" s="1"/>
    </row>
    <row r="259" customFormat="false" ht="15.75" hidden="false" customHeight="true" outlineLevel="0" collapsed="false">
      <c r="A259" s="1"/>
      <c r="B259" s="1"/>
      <c r="C259" s="1"/>
      <c r="D259" s="1"/>
      <c r="E259" s="1"/>
      <c r="F259" s="1"/>
      <c r="G259" s="1"/>
      <c r="H259" s="1"/>
      <c r="I259" s="1"/>
      <c r="J259" s="1"/>
      <c r="K259" s="1"/>
      <c r="L259" s="1"/>
      <c r="M259" s="1"/>
      <c r="N259" s="1"/>
      <c r="O259" s="1"/>
    </row>
    <row r="260" customFormat="false" ht="15.75" hidden="false" customHeight="true" outlineLevel="0" collapsed="false">
      <c r="A260" s="1"/>
      <c r="B260" s="1"/>
      <c r="C260" s="1"/>
      <c r="D260" s="1"/>
      <c r="E260" s="1"/>
      <c r="F260" s="1"/>
      <c r="G260" s="1"/>
      <c r="H260" s="1"/>
      <c r="I260" s="1"/>
      <c r="J260" s="1"/>
      <c r="K260" s="1"/>
      <c r="L260" s="1"/>
      <c r="M260" s="1"/>
      <c r="N260" s="1"/>
      <c r="O260" s="1"/>
    </row>
    <row r="261" customFormat="false" ht="15.75" hidden="false" customHeight="true" outlineLevel="0" collapsed="false">
      <c r="A261" s="1"/>
      <c r="B261" s="1"/>
      <c r="C261" s="1"/>
      <c r="D261" s="1"/>
      <c r="E261" s="1"/>
      <c r="F261" s="1"/>
      <c r="G261" s="1"/>
      <c r="H261" s="1"/>
      <c r="I261" s="1"/>
      <c r="J261" s="1"/>
      <c r="K261" s="1"/>
      <c r="L261" s="1"/>
      <c r="M261" s="1"/>
      <c r="N261" s="1"/>
      <c r="O261" s="1"/>
    </row>
    <row r="262" customFormat="false" ht="15.75" hidden="false" customHeight="true" outlineLevel="0" collapsed="false">
      <c r="A262" s="1"/>
      <c r="B262" s="1"/>
      <c r="C262" s="1"/>
      <c r="D262" s="1"/>
      <c r="E262" s="1"/>
      <c r="F262" s="1"/>
      <c r="G262" s="1"/>
      <c r="H262" s="1"/>
      <c r="I262" s="1"/>
      <c r="J262" s="1"/>
      <c r="K262" s="1"/>
      <c r="L262" s="1"/>
      <c r="M262" s="1"/>
      <c r="N262" s="1"/>
      <c r="O262" s="1"/>
    </row>
    <row r="263" customFormat="false" ht="15.75" hidden="false" customHeight="true" outlineLevel="0" collapsed="false">
      <c r="A263" s="1"/>
      <c r="B263" s="1"/>
      <c r="C263" s="1"/>
      <c r="D263" s="1"/>
      <c r="E263" s="1"/>
      <c r="F263" s="1"/>
      <c r="G263" s="1"/>
      <c r="H263" s="1"/>
      <c r="I263" s="1"/>
      <c r="J263" s="1"/>
      <c r="K263" s="1"/>
      <c r="L263" s="1"/>
      <c r="M263" s="1"/>
      <c r="N263" s="1"/>
      <c r="O263" s="1"/>
    </row>
    <row r="264" customFormat="false" ht="15.75" hidden="false" customHeight="true" outlineLevel="0" collapsed="false">
      <c r="A264" s="1"/>
      <c r="B264" s="1"/>
      <c r="C264" s="1"/>
      <c r="D264" s="1"/>
      <c r="E264" s="1"/>
      <c r="F264" s="1"/>
      <c r="G264" s="1"/>
      <c r="H264" s="1"/>
      <c r="I264" s="1"/>
      <c r="J264" s="1"/>
      <c r="K264" s="1"/>
      <c r="L264" s="1"/>
      <c r="M264" s="1"/>
      <c r="N264" s="1"/>
      <c r="O264" s="1"/>
    </row>
    <row r="265" customFormat="false" ht="15.75" hidden="false" customHeight="true" outlineLevel="0" collapsed="false">
      <c r="A265" s="1"/>
      <c r="B265" s="1"/>
      <c r="C265" s="1"/>
      <c r="D265" s="1"/>
      <c r="E265" s="1"/>
      <c r="F265" s="1"/>
      <c r="G265" s="1"/>
      <c r="H265" s="1"/>
      <c r="I265" s="1"/>
      <c r="J265" s="1"/>
      <c r="K265" s="1"/>
      <c r="L265" s="1"/>
      <c r="M265" s="1"/>
      <c r="N265" s="1"/>
      <c r="O265" s="1"/>
    </row>
    <row r="266" customFormat="false" ht="15.75" hidden="false" customHeight="true" outlineLevel="0" collapsed="false">
      <c r="A266" s="1"/>
      <c r="B266" s="1"/>
      <c r="C266" s="1"/>
      <c r="D266" s="1"/>
      <c r="E266" s="1"/>
      <c r="F266" s="1"/>
      <c r="G266" s="1"/>
      <c r="H266" s="1"/>
      <c r="I266" s="1"/>
      <c r="J266" s="1"/>
      <c r="K266" s="1"/>
      <c r="L266" s="1"/>
      <c r="M266" s="1"/>
      <c r="N266" s="1"/>
      <c r="O266" s="1"/>
    </row>
    <row r="267" customFormat="false" ht="15.75" hidden="false" customHeight="true" outlineLevel="0" collapsed="false">
      <c r="A267" s="1"/>
      <c r="B267" s="1"/>
      <c r="C267" s="1"/>
      <c r="D267" s="1"/>
      <c r="E267" s="1"/>
      <c r="F267" s="1"/>
      <c r="G267" s="1"/>
      <c r="H267" s="1"/>
      <c r="I267" s="1"/>
      <c r="J267" s="1"/>
      <c r="K267" s="1"/>
      <c r="L267" s="1"/>
      <c r="M267" s="1"/>
      <c r="N267" s="1"/>
      <c r="O267" s="1"/>
    </row>
    <row r="268" customFormat="false" ht="15.75" hidden="false" customHeight="true" outlineLevel="0" collapsed="false">
      <c r="A268" s="1"/>
      <c r="B268" s="1"/>
      <c r="C268" s="1"/>
      <c r="D268" s="1"/>
      <c r="E268" s="1"/>
      <c r="F268" s="1"/>
      <c r="G268" s="1"/>
      <c r="H268" s="1"/>
      <c r="I268" s="1"/>
      <c r="J268" s="1"/>
      <c r="K268" s="1"/>
      <c r="L268" s="1"/>
      <c r="M268" s="1"/>
      <c r="N268" s="1"/>
      <c r="O268" s="1"/>
    </row>
    <row r="269" customFormat="false" ht="15.75" hidden="false" customHeight="true" outlineLevel="0" collapsed="false">
      <c r="A269" s="1"/>
      <c r="B269" s="1"/>
      <c r="C269" s="1"/>
      <c r="D269" s="1"/>
      <c r="E269" s="1"/>
      <c r="F269" s="1"/>
      <c r="G269" s="1"/>
      <c r="H269" s="1"/>
      <c r="I269" s="1"/>
      <c r="J269" s="1"/>
      <c r="K269" s="1"/>
      <c r="L269" s="1"/>
      <c r="M269" s="1"/>
      <c r="N269" s="1"/>
      <c r="O269" s="1"/>
    </row>
    <row r="270" customFormat="false" ht="15.75" hidden="false" customHeight="true" outlineLevel="0" collapsed="false">
      <c r="A270" s="1"/>
      <c r="B270" s="1"/>
      <c r="C270" s="1"/>
      <c r="D270" s="1"/>
      <c r="E270" s="1"/>
      <c r="F270" s="1"/>
      <c r="G270" s="1"/>
      <c r="H270" s="1"/>
      <c r="I270" s="1"/>
      <c r="J270" s="1"/>
      <c r="K270" s="1"/>
      <c r="L270" s="1"/>
      <c r="M270" s="1"/>
      <c r="N270" s="1"/>
      <c r="O270" s="1"/>
    </row>
    <row r="271" customFormat="false" ht="15.75" hidden="false" customHeight="true" outlineLevel="0" collapsed="false">
      <c r="A271" s="1"/>
      <c r="B271" s="1"/>
      <c r="C271" s="1"/>
      <c r="D271" s="1"/>
      <c r="E271" s="1"/>
      <c r="F271" s="1"/>
      <c r="G271" s="1"/>
      <c r="H271" s="1"/>
      <c r="I271" s="1"/>
      <c r="J271" s="1"/>
      <c r="K271" s="1"/>
      <c r="L271" s="1"/>
      <c r="M271" s="1"/>
      <c r="N271" s="1"/>
      <c r="O271" s="1"/>
    </row>
    <row r="272" customFormat="false" ht="15.75" hidden="false" customHeight="true" outlineLevel="0" collapsed="false">
      <c r="A272" s="1"/>
      <c r="B272" s="1"/>
      <c r="C272" s="1"/>
      <c r="D272" s="1"/>
      <c r="E272" s="1"/>
      <c r="F272" s="1"/>
      <c r="G272" s="1"/>
      <c r="H272" s="1"/>
      <c r="I272" s="1"/>
      <c r="J272" s="1"/>
      <c r="K272" s="1"/>
      <c r="L272" s="1"/>
      <c r="M272" s="1"/>
      <c r="N272" s="1"/>
      <c r="O272" s="1"/>
    </row>
    <row r="273" customFormat="false" ht="15.75" hidden="false" customHeight="true" outlineLevel="0" collapsed="false">
      <c r="A273" s="1"/>
      <c r="B273" s="1"/>
      <c r="C273" s="1"/>
      <c r="D273" s="1"/>
      <c r="E273" s="1"/>
      <c r="F273" s="1"/>
      <c r="G273" s="1"/>
      <c r="H273" s="1"/>
      <c r="I273" s="1"/>
      <c r="J273" s="1"/>
      <c r="K273" s="1"/>
      <c r="L273" s="1"/>
      <c r="M273" s="1"/>
      <c r="N273" s="1"/>
      <c r="O273" s="1"/>
    </row>
    <row r="274" customFormat="false" ht="15.75" hidden="false" customHeight="true" outlineLevel="0" collapsed="false">
      <c r="A274" s="1"/>
      <c r="B274" s="1"/>
      <c r="C274" s="1"/>
      <c r="D274" s="1"/>
      <c r="E274" s="1"/>
      <c r="F274" s="1"/>
      <c r="G274" s="1"/>
      <c r="H274" s="1"/>
      <c r="I274" s="1"/>
      <c r="J274" s="1"/>
      <c r="K274" s="1"/>
      <c r="L274" s="1"/>
      <c r="M274" s="1"/>
      <c r="N274" s="1"/>
      <c r="O274" s="1"/>
    </row>
    <row r="275" customFormat="false" ht="15.75" hidden="false" customHeight="true" outlineLevel="0" collapsed="false">
      <c r="A275" s="1"/>
      <c r="B275" s="1"/>
      <c r="C275" s="1"/>
      <c r="D275" s="1"/>
      <c r="E275" s="1"/>
      <c r="F275" s="1"/>
      <c r="G275" s="1"/>
      <c r="H275" s="1"/>
      <c r="I275" s="1"/>
      <c r="J275" s="1"/>
      <c r="K275" s="1"/>
      <c r="L275" s="1"/>
      <c r="M275" s="1"/>
      <c r="N275" s="1"/>
      <c r="O275" s="1"/>
    </row>
    <row r="276" customFormat="false" ht="15.75" hidden="false" customHeight="true" outlineLevel="0" collapsed="false">
      <c r="A276" s="1"/>
      <c r="B276" s="1"/>
      <c r="C276" s="1"/>
      <c r="D276" s="1"/>
      <c r="E276" s="1"/>
      <c r="F276" s="1"/>
      <c r="G276" s="1"/>
      <c r="H276" s="1"/>
      <c r="I276" s="1"/>
      <c r="J276" s="1"/>
      <c r="K276" s="1"/>
      <c r="L276" s="1"/>
      <c r="M276" s="1"/>
      <c r="N276" s="1"/>
      <c r="O276" s="1"/>
    </row>
    <row r="277" customFormat="false" ht="15.75" hidden="false" customHeight="true" outlineLevel="0" collapsed="false">
      <c r="A277" s="1"/>
      <c r="B277" s="1"/>
      <c r="C277" s="1"/>
      <c r="D277" s="1"/>
      <c r="E277" s="1"/>
      <c r="F277" s="1"/>
      <c r="G277" s="1"/>
      <c r="H277" s="1"/>
      <c r="I277" s="1"/>
      <c r="J277" s="1"/>
      <c r="K277" s="1"/>
      <c r="L277" s="1"/>
      <c r="M277" s="1"/>
      <c r="N277" s="1"/>
      <c r="O277" s="1"/>
    </row>
    <row r="278" customFormat="false" ht="15.75" hidden="false" customHeight="true" outlineLevel="0" collapsed="false">
      <c r="A278" s="1"/>
      <c r="B278" s="1"/>
      <c r="C278" s="1"/>
      <c r="D278" s="1"/>
      <c r="E278" s="1"/>
      <c r="F278" s="1"/>
      <c r="G278" s="1"/>
      <c r="H278" s="1"/>
      <c r="I278" s="1"/>
      <c r="J278" s="1"/>
      <c r="K278" s="1"/>
      <c r="L278" s="1"/>
      <c r="M278" s="1"/>
      <c r="N278" s="1"/>
      <c r="O278" s="1"/>
    </row>
    <row r="279" customFormat="false" ht="15.75" hidden="false" customHeight="true" outlineLevel="0" collapsed="false">
      <c r="A279" s="1"/>
      <c r="B279" s="1"/>
      <c r="C279" s="1"/>
      <c r="D279" s="1"/>
      <c r="E279" s="1"/>
      <c r="F279" s="1"/>
      <c r="G279" s="1"/>
      <c r="H279" s="1"/>
      <c r="I279" s="1"/>
      <c r="J279" s="1"/>
      <c r="K279" s="1"/>
      <c r="L279" s="1"/>
      <c r="M279" s="1"/>
      <c r="N279" s="1"/>
      <c r="O279" s="1"/>
    </row>
    <row r="280" customFormat="false" ht="15.75" hidden="false" customHeight="true" outlineLevel="0" collapsed="false">
      <c r="A280" s="1"/>
      <c r="B280" s="1"/>
      <c r="C280" s="1"/>
      <c r="D280" s="1"/>
      <c r="E280" s="1"/>
      <c r="F280" s="1"/>
      <c r="G280" s="1"/>
      <c r="H280" s="1"/>
      <c r="I280" s="1"/>
      <c r="J280" s="1"/>
      <c r="K280" s="1"/>
      <c r="L280" s="1"/>
      <c r="M280" s="1"/>
      <c r="N280" s="1"/>
      <c r="O280" s="1"/>
    </row>
    <row r="281" customFormat="false" ht="15.75" hidden="false" customHeight="true" outlineLevel="0" collapsed="false">
      <c r="A281" s="1"/>
      <c r="B281" s="1"/>
      <c r="C281" s="1"/>
      <c r="D281" s="1"/>
      <c r="E281" s="1"/>
      <c r="F281" s="1"/>
      <c r="G281" s="1"/>
      <c r="H281" s="1"/>
      <c r="I281" s="1"/>
      <c r="J281" s="1"/>
      <c r="K281" s="1"/>
      <c r="L281" s="1"/>
      <c r="M281" s="1"/>
      <c r="N281" s="1"/>
      <c r="O281" s="1"/>
    </row>
    <row r="282" customFormat="false" ht="15.75" hidden="false" customHeight="true" outlineLevel="0" collapsed="false">
      <c r="A282" s="1"/>
      <c r="B282" s="1"/>
      <c r="C282" s="1"/>
      <c r="D282" s="1"/>
      <c r="E282" s="1"/>
      <c r="F282" s="1"/>
      <c r="G282" s="1"/>
      <c r="H282" s="1"/>
      <c r="I282" s="1"/>
      <c r="J282" s="1"/>
      <c r="K282" s="1"/>
      <c r="L282" s="1"/>
      <c r="M282" s="1"/>
      <c r="N282" s="1"/>
      <c r="O282" s="1"/>
    </row>
    <row r="283" customFormat="false" ht="15.75" hidden="false" customHeight="true" outlineLevel="0" collapsed="false">
      <c r="A283" s="1"/>
      <c r="B283" s="1"/>
      <c r="C283" s="1"/>
      <c r="D283" s="1"/>
      <c r="E283" s="1"/>
      <c r="F283" s="1"/>
      <c r="G283" s="1"/>
      <c r="H283" s="1"/>
      <c r="I283" s="1"/>
      <c r="J283" s="1"/>
      <c r="K283" s="1"/>
      <c r="L283" s="1"/>
      <c r="M283" s="1"/>
      <c r="N283" s="1"/>
      <c r="O283" s="1"/>
    </row>
    <row r="284" customFormat="false" ht="15.75" hidden="false" customHeight="true" outlineLevel="0" collapsed="false">
      <c r="A284" s="1"/>
      <c r="B284" s="1"/>
      <c r="C284" s="1"/>
      <c r="D284" s="1"/>
      <c r="E284" s="1"/>
      <c r="F284" s="1"/>
      <c r="G284" s="1"/>
      <c r="H284" s="1"/>
      <c r="I284" s="1"/>
      <c r="J284" s="1"/>
      <c r="K284" s="1"/>
      <c r="L284" s="1"/>
      <c r="M284" s="1"/>
      <c r="N284" s="1"/>
      <c r="O284" s="1"/>
    </row>
    <row r="285" customFormat="false" ht="15.75" hidden="false" customHeight="true" outlineLevel="0" collapsed="false">
      <c r="A285" s="1"/>
      <c r="B285" s="1"/>
      <c r="C285" s="1"/>
      <c r="D285" s="1"/>
      <c r="E285" s="1"/>
      <c r="F285" s="1"/>
      <c r="G285" s="1"/>
      <c r="H285" s="1"/>
      <c r="I285" s="1"/>
      <c r="J285" s="1"/>
      <c r="K285" s="1"/>
      <c r="L285" s="1"/>
      <c r="M285" s="1"/>
      <c r="N285" s="1"/>
      <c r="O285" s="1"/>
    </row>
    <row r="286" customFormat="false" ht="15.75" hidden="false" customHeight="true" outlineLevel="0" collapsed="false">
      <c r="A286" s="1"/>
      <c r="B286" s="1"/>
      <c r="C286" s="1"/>
      <c r="D286" s="1"/>
      <c r="E286" s="1"/>
      <c r="F286" s="1"/>
      <c r="G286" s="1"/>
      <c r="H286" s="1"/>
      <c r="I286" s="1"/>
      <c r="J286" s="1"/>
      <c r="K286" s="1"/>
      <c r="L286" s="1"/>
      <c r="M286" s="1"/>
      <c r="N286" s="1"/>
      <c r="O286" s="1"/>
    </row>
    <row r="287" customFormat="false" ht="15.75" hidden="false" customHeight="true" outlineLevel="0" collapsed="false">
      <c r="A287" s="1"/>
      <c r="B287" s="1"/>
      <c r="C287" s="1"/>
      <c r="D287" s="1"/>
      <c r="E287" s="1"/>
      <c r="F287" s="1"/>
      <c r="G287" s="1"/>
      <c r="H287" s="1"/>
      <c r="I287" s="1"/>
      <c r="J287" s="1"/>
      <c r="K287" s="1"/>
      <c r="L287" s="1"/>
      <c r="M287" s="1"/>
      <c r="N287" s="1"/>
      <c r="O287" s="1"/>
    </row>
    <row r="288" customFormat="false" ht="15.75" hidden="false" customHeight="true" outlineLevel="0" collapsed="false">
      <c r="A288" s="1"/>
      <c r="B288" s="1"/>
      <c r="C288" s="1"/>
      <c r="D288" s="1"/>
      <c r="E288" s="1"/>
      <c r="F288" s="1"/>
      <c r="G288" s="1"/>
      <c r="H288" s="1"/>
      <c r="I288" s="1"/>
      <c r="J288" s="1"/>
      <c r="K288" s="1"/>
      <c r="L288" s="1"/>
      <c r="M288" s="1"/>
      <c r="N288" s="1"/>
      <c r="O288" s="1"/>
    </row>
    <row r="289" customFormat="false" ht="15.75" hidden="false" customHeight="true" outlineLevel="0" collapsed="false">
      <c r="A289" s="1"/>
      <c r="B289" s="1"/>
      <c r="C289" s="1"/>
      <c r="D289" s="1"/>
      <c r="E289" s="1"/>
      <c r="F289" s="1"/>
      <c r="G289" s="1"/>
      <c r="H289" s="1"/>
      <c r="I289" s="1"/>
      <c r="J289" s="1"/>
      <c r="K289" s="1"/>
      <c r="L289" s="1"/>
      <c r="M289" s="1"/>
      <c r="N289" s="1"/>
      <c r="O289" s="1"/>
    </row>
    <row r="290" customFormat="false" ht="15.75" hidden="false" customHeight="true" outlineLevel="0" collapsed="false">
      <c r="A290" s="1"/>
      <c r="B290" s="1"/>
      <c r="C290" s="1"/>
      <c r="D290" s="1"/>
      <c r="E290" s="1"/>
      <c r="F290" s="1"/>
      <c r="G290" s="1"/>
      <c r="H290" s="1"/>
      <c r="I290" s="1"/>
      <c r="J290" s="1"/>
      <c r="K290" s="1"/>
      <c r="L290" s="1"/>
      <c r="M290" s="1"/>
      <c r="N290" s="1"/>
      <c r="O290" s="1"/>
    </row>
    <row r="291" customFormat="false" ht="15.75" hidden="false" customHeight="true" outlineLevel="0" collapsed="false">
      <c r="A291" s="1"/>
      <c r="B291" s="1"/>
      <c r="C291" s="1"/>
      <c r="D291" s="1"/>
      <c r="E291" s="1"/>
      <c r="F291" s="1"/>
      <c r="G291" s="1"/>
      <c r="H291" s="1"/>
      <c r="I291" s="1"/>
      <c r="J291" s="1"/>
      <c r="K291" s="1"/>
      <c r="L291" s="1"/>
      <c r="M291" s="1"/>
      <c r="N291" s="1"/>
      <c r="O291" s="1"/>
    </row>
    <row r="292" customFormat="false" ht="15.75" hidden="false" customHeight="true" outlineLevel="0" collapsed="false">
      <c r="A292" s="1"/>
      <c r="B292" s="1"/>
      <c r="C292" s="1"/>
      <c r="D292" s="1"/>
      <c r="E292" s="1"/>
      <c r="F292" s="1"/>
      <c r="G292" s="1"/>
      <c r="H292" s="1"/>
      <c r="I292" s="1"/>
      <c r="J292" s="1"/>
      <c r="K292" s="1"/>
      <c r="L292" s="1"/>
      <c r="M292" s="1"/>
      <c r="N292" s="1"/>
      <c r="O292" s="1"/>
    </row>
    <row r="293" customFormat="false" ht="15.75" hidden="false" customHeight="true" outlineLevel="0" collapsed="false">
      <c r="A293" s="1"/>
      <c r="B293" s="1"/>
      <c r="C293" s="1"/>
      <c r="D293" s="1"/>
      <c r="E293" s="1"/>
      <c r="F293" s="1"/>
      <c r="G293" s="1"/>
      <c r="H293" s="1"/>
      <c r="I293" s="1"/>
      <c r="J293" s="1"/>
      <c r="K293" s="1"/>
      <c r="L293" s="1"/>
      <c r="M293" s="1"/>
      <c r="N293" s="1"/>
      <c r="O293" s="1"/>
    </row>
    <row r="294" customFormat="false" ht="15.75" hidden="false" customHeight="true" outlineLevel="0" collapsed="false">
      <c r="A294" s="1"/>
      <c r="B294" s="1"/>
      <c r="C294" s="1"/>
      <c r="D294" s="1"/>
      <c r="E294" s="1"/>
      <c r="F294" s="1"/>
      <c r="G294" s="1"/>
      <c r="H294" s="1"/>
      <c r="I294" s="1"/>
      <c r="J294" s="1"/>
      <c r="K294" s="1"/>
      <c r="L294" s="1"/>
      <c r="M294" s="1"/>
      <c r="N294" s="1"/>
      <c r="O294" s="1"/>
    </row>
    <row r="295" customFormat="false" ht="15.75" hidden="false" customHeight="true" outlineLevel="0" collapsed="false">
      <c r="A295" s="1"/>
      <c r="B295" s="1"/>
      <c r="C295" s="1"/>
      <c r="D295" s="1"/>
      <c r="E295" s="1"/>
      <c r="F295" s="1"/>
      <c r="G295" s="1"/>
      <c r="H295" s="1"/>
      <c r="I295" s="1"/>
      <c r="J295" s="1"/>
      <c r="K295" s="1"/>
      <c r="L295" s="1"/>
      <c r="M295" s="1"/>
      <c r="N295" s="1"/>
      <c r="O295" s="1"/>
    </row>
    <row r="296" customFormat="false" ht="15.75" hidden="false" customHeight="true" outlineLevel="0" collapsed="false">
      <c r="A296" s="1"/>
      <c r="B296" s="1"/>
      <c r="C296" s="1"/>
      <c r="D296" s="1"/>
      <c r="E296" s="1"/>
      <c r="F296" s="1"/>
      <c r="G296" s="1"/>
      <c r="H296" s="1"/>
      <c r="I296" s="1"/>
      <c r="J296" s="1"/>
      <c r="K296" s="1"/>
      <c r="L296" s="1"/>
      <c r="M296" s="1"/>
      <c r="N296" s="1"/>
      <c r="O296" s="1"/>
    </row>
    <row r="297" customFormat="false" ht="15.75" hidden="false" customHeight="true" outlineLevel="0" collapsed="false">
      <c r="A297" s="1"/>
      <c r="B297" s="1"/>
      <c r="C297" s="1"/>
      <c r="D297" s="1"/>
      <c r="E297" s="1"/>
      <c r="F297" s="1"/>
      <c r="G297" s="1"/>
      <c r="H297" s="1"/>
      <c r="I297" s="1"/>
      <c r="J297" s="1"/>
      <c r="K297" s="1"/>
      <c r="L297" s="1"/>
      <c r="M297" s="1"/>
      <c r="N297" s="1"/>
      <c r="O297" s="1"/>
    </row>
    <row r="298" customFormat="false" ht="15.75" hidden="false" customHeight="true" outlineLevel="0" collapsed="false">
      <c r="A298" s="1"/>
      <c r="B298" s="1"/>
      <c r="C298" s="1"/>
      <c r="D298" s="1"/>
      <c r="E298" s="1"/>
      <c r="F298" s="1"/>
      <c r="G298" s="1"/>
      <c r="H298" s="1"/>
      <c r="I298" s="1"/>
      <c r="J298" s="1"/>
      <c r="K298" s="1"/>
      <c r="L298" s="1"/>
      <c r="M298" s="1"/>
      <c r="N298" s="1"/>
      <c r="O298" s="1"/>
    </row>
    <row r="299" customFormat="false" ht="15.75" hidden="false" customHeight="true" outlineLevel="0" collapsed="false">
      <c r="A299" s="1"/>
      <c r="B299" s="1"/>
      <c r="C299" s="1"/>
      <c r="D299" s="1"/>
      <c r="E299" s="1"/>
      <c r="F299" s="1"/>
      <c r="G299" s="1"/>
      <c r="H299" s="1"/>
      <c r="I299" s="1"/>
      <c r="J299" s="1"/>
      <c r="K299" s="1"/>
      <c r="L299" s="1"/>
      <c r="M299" s="1"/>
      <c r="N299" s="1"/>
      <c r="O299" s="1"/>
    </row>
    <row r="300" customFormat="false" ht="15.75" hidden="false" customHeight="true" outlineLevel="0" collapsed="false">
      <c r="A300" s="1"/>
      <c r="B300" s="1"/>
      <c r="C300" s="1"/>
      <c r="D300" s="1"/>
      <c r="E300" s="1"/>
      <c r="F300" s="1"/>
      <c r="G300" s="1"/>
      <c r="H300" s="1"/>
      <c r="I300" s="1"/>
      <c r="J300" s="1"/>
      <c r="K300" s="1"/>
      <c r="L300" s="1"/>
      <c r="M300" s="1"/>
      <c r="N300" s="1"/>
      <c r="O300" s="1"/>
    </row>
    <row r="301" customFormat="false" ht="15.75" hidden="false" customHeight="true" outlineLevel="0" collapsed="false">
      <c r="A301" s="1"/>
      <c r="B301" s="1"/>
      <c r="C301" s="1"/>
      <c r="D301" s="1"/>
      <c r="E301" s="1"/>
      <c r="F301" s="1"/>
      <c r="G301" s="1"/>
      <c r="H301" s="1"/>
      <c r="I301" s="1"/>
      <c r="J301" s="1"/>
      <c r="K301" s="1"/>
      <c r="L301" s="1"/>
      <c r="M301" s="1"/>
      <c r="N301" s="1"/>
      <c r="O301" s="1"/>
    </row>
    <row r="302" customFormat="false" ht="15.75" hidden="false" customHeight="true" outlineLevel="0" collapsed="false">
      <c r="A302" s="1"/>
      <c r="B302" s="1"/>
      <c r="C302" s="1"/>
      <c r="D302" s="1"/>
      <c r="E302" s="1"/>
      <c r="F302" s="1"/>
      <c r="G302" s="1"/>
      <c r="H302" s="1"/>
      <c r="I302" s="1"/>
      <c r="J302" s="1"/>
      <c r="K302" s="1"/>
      <c r="L302" s="1"/>
      <c r="M302" s="1"/>
      <c r="N302" s="1"/>
      <c r="O302" s="1"/>
    </row>
    <row r="303" customFormat="false" ht="15.75" hidden="false" customHeight="true" outlineLevel="0" collapsed="false">
      <c r="A303" s="1"/>
      <c r="B303" s="1"/>
      <c r="C303" s="1"/>
      <c r="D303" s="1"/>
      <c r="E303" s="1"/>
      <c r="F303" s="1"/>
      <c r="G303" s="1"/>
      <c r="H303" s="1"/>
      <c r="I303" s="1"/>
      <c r="J303" s="1"/>
      <c r="K303" s="1"/>
      <c r="L303" s="1"/>
      <c r="M303" s="1"/>
      <c r="N303" s="1"/>
      <c r="O303" s="1"/>
    </row>
    <row r="304" customFormat="false" ht="15.75" hidden="false" customHeight="true" outlineLevel="0" collapsed="false">
      <c r="A304" s="1"/>
      <c r="B304" s="1"/>
      <c r="C304" s="1"/>
      <c r="D304" s="1"/>
      <c r="E304" s="1"/>
      <c r="F304" s="1"/>
      <c r="G304" s="1"/>
      <c r="H304" s="1"/>
      <c r="I304" s="1"/>
      <c r="J304" s="1"/>
      <c r="K304" s="1"/>
      <c r="L304" s="1"/>
      <c r="M304" s="1"/>
      <c r="N304" s="1"/>
      <c r="O304" s="1"/>
    </row>
    <row r="305" customFormat="false" ht="15.75" hidden="false" customHeight="true" outlineLevel="0" collapsed="false">
      <c r="A305" s="1"/>
      <c r="B305" s="1"/>
      <c r="C305" s="1"/>
      <c r="D305" s="1"/>
      <c r="E305" s="1"/>
      <c r="F305" s="1"/>
      <c r="G305" s="1"/>
      <c r="H305" s="1"/>
      <c r="I305" s="1"/>
      <c r="J305" s="1"/>
      <c r="K305" s="1"/>
      <c r="L305" s="1"/>
      <c r="M305" s="1"/>
      <c r="N305" s="1"/>
      <c r="O305" s="1"/>
    </row>
    <row r="306" customFormat="false" ht="15.75" hidden="false" customHeight="true" outlineLevel="0" collapsed="false">
      <c r="A306" s="1"/>
      <c r="B306" s="1"/>
      <c r="C306" s="1"/>
      <c r="D306" s="1"/>
      <c r="E306" s="1"/>
      <c r="F306" s="1"/>
      <c r="G306" s="1"/>
      <c r="H306" s="1"/>
      <c r="I306" s="1"/>
      <c r="J306" s="1"/>
      <c r="K306" s="1"/>
      <c r="L306" s="1"/>
      <c r="M306" s="1"/>
      <c r="N306" s="1"/>
      <c r="O306" s="1"/>
    </row>
    <row r="307" customFormat="false" ht="15.75" hidden="false" customHeight="true" outlineLevel="0" collapsed="false">
      <c r="A307" s="1"/>
      <c r="B307" s="1"/>
      <c r="C307" s="1"/>
      <c r="D307" s="1"/>
      <c r="E307" s="1"/>
      <c r="F307" s="1"/>
      <c r="G307" s="1"/>
      <c r="H307" s="1"/>
      <c r="I307" s="1"/>
      <c r="J307" s="1"/>
      <c r="K307" s="1"/>
      <c r="L307" s="1"/>
      <c r="M307" s="1"/>
      <c r="N307" s="1"/>
      <c r="O307" s="1"/>
    </row>
    <row r="308" customFormat="false" ht="15.75" hidden="false" customHeight="true" outlineLevel="0" collapsed="false">
      <c r="A308" s="1"/>
      <c r="B308" s="1"/>
      <c r="C308" s="1"/>
      <c r="D308" s="1"/>
      <c r="E308" s="1"/>
      <c r="F308" s="1"/>
      <c r="G308" s="1"/>
      <c r="H308" s="1"/>
      <c r="I308" s="1"/>
      <c r="J308" s="1"/>
      <c r="K308" s="1"/>
      <c r="L308" s="1"/>
      <c r="M308" s="1"/>
      <c r="N308" s="1"/>
      <c r="O308" s="1"/>
    </row>
    <row r="309" customFormat="false" ht="15.75" hidden="false" customHeight="true" outlineLevel="0" collapsed="false">
      <c r="A309" s="1"/>
      <c r="B309" s="1"/>
      <c r="C309" s="1"/>
      <c r="D309" s="1"/>
      <c r="E309" s="1"/>
      <c r="F309" s="1"/>
      <c r="G309" s="1"/>
      <c r="H309" s="1"/>
      <c r="I309" s="1"/>
      <c r="J309" s="1"/>
      <c r="K309" s="1"/>
      <c r="L309" s="1"/>
      <c r="M309" s="1"/>
      <c r="N309" s="1"/>
      <c r="O309" s="1"/>
    </row>
    <row r="310" customFormat="false" ht="15.75" hidden="false" customHeight="true" outlineLevel="0" collapsed="false">
      <c r="A310" s="1"/>
      <c r="B310" s="1"/>
      <c r="C310" s="1"/>
      <c r="D310" s="1"/>
      <c r="E310" s="1"/>
      <c r="F310" s="1"/>
      <c r="G310" s="1"/>
      <c r="H310" s="1"/>
      <c r="I310" s="1"/>
      <c r="J310" s="1"/>
      <c r="K310" s="1"/>
      <c r="L310" s="1"/>
      <c r="M310" s="1"/>
      <c r="N310" s="1"/>
      <c r="O310" s="1"/>
    </row>
    <row r="311" customFormat="false" ht="15.75" hidden="false" customHeight="true" outlineLevel="0" collapsed="false">
      <c r="A311" s="1"/>
      <c r="B311" s="1"/>
      <c r="C311" s="1"/>
      <c r="D311" s="1"/>
      <c r="E311" s="1"/>
      <c r="F311" s="1"/>
      <c r="G311" s="1"/>
      <c r="H311" s="1"/>
      <c r="I311" s="1"/>
      <c r="J311" s="1"/>
      <c r="K311" s="1"/>
      <c r="L311" s="1"/>
      <c r="M311" s="1"/>
      <c r="N311" s="1"/>
      <c r="O311" s="1"/>
    </row>
    <row r="312" customFormat="false" ht="15.75" hidden="false" customHeight="true" outlineLevel="0" collapsed="false">
      <c r="A312" s="1"/>
      <c r="B312" s="1"/>
      <c r="C312" s="1"/>
      <c r="D312" s="1"/>
      <c r="E312" s="1"/>
      <c r="F312" s="1"/>
      <c r="G312" s="1"/>
      <c r="H312" s="1"/>
      <c r="I312" s="1"/>
      <c r="J312" s="1"/>
      <c r="K312" s="1"/>
      <c r="L312" s="1"/>
      <c r="M312" s="1"/>
      <c r="N312" s="1"/>
      <c r="O312" s="1"/>
    </row>
    <row r="313" customFormat="false" ht="15.75" hidden="false" customHeight="true" outlineLevel="0" collapsed="false">
      <c r="A313" s="1"/>
      <c r="B313" s="1"/>
      <c r="C313" s="1"/>
      <c r="D313" s="1"/>
      <c r="E313" s="1"/>
      <c r="F313" s="1"/>
      <c r="G313" s="1"/>
      <c r="H313" s="1"/>
      <c r="I313" s="1"/>
      <c r="J313" s="1"/>
      <c r="K313" s="1"/>
      <c r="L313" s="1"/>
      <c r="M313" s="1"/>
      <c r="N313" s="1"/>
      <c r="O313" s="1"/>
    </row>
    <row r="314" customFormat="false" ht="15.75" hidden="false" customHeight="true" outlineLevel="0" collapsed="false">
      <c r="A314" s="1"/>
      <c r="B314" s="1"/>
      <c r="C314" s="1"/>
      <c r="D314" s="1"/>
      <c r="E314" s="1"/>
      <c r="F314" s="1"/>
      <c r="G314" s="1"/>
      <c r="H314" s="1"/>
      <c r="I314" s="1"/>
      <c r="J314" s="1"/>
      <c r="K314" s="1"/>
      <c r="L314" s="1"/>
      <c r="M314" s="1"/>
      <c r="N314" s="1"/>
      <c r="O314" s="1"/>
    </row>
    <row r="315" customFormat="false" ht="15.75" hidden="false" customHeight="true" outlineLevel="0" collapsed="false">
      <c r="A315" s="1"/>
      <c r="B315" s="1"/>
      <c r="C315" s="1"/>
      <c r="D315" s="1"/>
      <c r="E315" s="1"/>
      <c r="F315" s="1"/>
      <c r="G315" s="1"/>
      <c r="H315" s="1"/>
      <c r="I315" s="1"/>
      <c r="J315" s="1"/>
      <c r="K315" s="1"/>
      <c r="L315" s="1"/>
      <c r="M315" s="1"/>
      <c r="N315" s="1"/>
      <c r="O315" s="1"/>
    </row>
    <row r="316" customFormat="false" ht="15.75" hidden="false" customHeight="true" outlineLevel="0" collapsed="false">
      <c r="A316" s="1"/>
      <c r="B316" s="1"/>
      <c r="C316" s="1"/>
      <c r="D316" s="1"/>
      <c r="E316" s="1"/>
      <c r="F316" s="1"/>
      <c r="G316" s="1"/>
      <c r="H316" s="1"/>
      <c r="I316" s="1"/>
      <c r="J316" s="1"/>
      <c r="K316" s="1"/>
      <c r="L316" s="1"/>
      <c r="M316" s="1"/>
      <c r="N316" s="1"/>
      <c r="O316" s="1"/>
    </row>
    <row r="317" customFormat="false" ht="15.75" hidden="false" customHeight="true" outlineLevel="0" collapsed="false">
      <c r="A317" s="1"/>
      <c r="B317" s="1"/>
      <c r="C317" s="1"/>
      <c r="D317" s="1"/>
      <c r="E317" s="1"/>
      <c r="F317" s="1"/>
      <c r="G317" s="1"/>
      <c r="H317" s="1"/>
      <c r="I317" s="1"/>
      <c r="J317" s="1"/>
      <c r="K317" s="1"/>
      <c r="L317" s="1"/>
      <c r="M317" s="1"/>
      <c r="N317" s="1"/>
      <c r="O317" s="1"/>
    </row>
    <row r="318" customFormat="false" ht="15.75" hidden="false" customHeight="true" outlineLevel="0" collapsed="false">
      <c r="A318" s="1"/>
      <c r="B318" s="1"/>
      <c r="C318" s="1"/>
      <c r="D318" s="1"/>
      <c r="E318" s="1"/>
      <c r="F318" s="1"/>
      <c r="G318" s="1"/>
      <c r="H318" s="1"/>
      <c r="I318" s="1"/>
      <c r="J318" s="1"/>
      <c r="K318" s="1"/>
      <c r="L318" s="1"/>
      <c r="M318" s="1"/>
      <c r="N318" s="1"/>
      <c r="O318" s="1"/>
    </row>
    <row r="319" customFormat="false" ht="15.75" hidden="false" customHeight="true" outlineLevel="0" collapsed="false">
      <c r="A319" s="1"/>
      <c r="B319" s="1"/>
      <c r="C319" s="1"/>
      <c r="D319" s="1"/>
      <c r="E319" s="1"/>
      <c r="F319" s="1"/>
      <c r="G319" s="1"/>
      <c r="H319" s="1"/>
      <c r="I319" s="1"/>
      <c r="J319" s="1"/>
      <c r="K319" s="1"/>
      <c r="L319" s="1"/>
      <c r="M319" s="1"/>
      <c r="N319" s="1"/>
      <c r="O319" s="1"/>
    </row>
    <row r="320" customFormat="false" ht="15.75" hidden="false" customHeight="true" outlineLevel="0" collapsed="false">
      <c r="A320" s="1"/>
      <c r="B320" s="1"/>
      <c r="C320" s="1"/>
      <c r="D320" s="1"/>
      <c r="E320" s="1"/>
      <c r="F320" s="1"/>
      <c r="G320" s="1"/>
      <c r="H320" s="1"/>
      <c r="I320" s="1"/>
      <c r="J320" s="1"/>
      <c r="K320" s="1"/>
      <c r="L320" s="1"/>
      <c r="M320" s="1"/>
      <c r="N320" s="1"/>
      <c r="O320" s="1"/>
    </row>
    <row r="321" customFormat="false" ht="15.75" hidden="false" customHeight="true" outlineLevel="0" collapsed="false">
      <c r="A321" s="1"/>
      <c r="B321" s="1"/>
      <c r="C321" s="1"/>
      <c r="D321" s="1"/>
      <c r="E321" s="1"/>
      <c r="F321" s="1"/>
      <c r="G321" s="1"/>
      <c r="H321" s="1"/>
      <c r="I321" s="1"/>
      <c r="J321" s="1"/>
      <c r="K321" s="1"/>
      <c r="L321" s="1"/>
      <c r="M321" s="1"/>
      <c r="N321" s="1"/>
      <c r="O321" s="1"/>
    </row>
    <row r="322" customFormat="false" ht="15.75" hidden="false" customHeight="true" outlineLevel="0" collapsed="false">
      <c r="A322" s="1"/>
      <c r="B322" s="1"/>
      <c r="C322" s="1"/>
      <c r="D322" s="1"/>
      <c r="E322" s="1"/>
      <c r="F322" s="1"/>
      <c r="G322" s="1"/>
      <c r="H322" s="1"/>
      <c r="I322" s="1"/>
      <c r="J322" s="1"/>
      <c r="K322" s="1"/>
      <c r="L322" s="1"/>
      <c r="M322" s="1"/>
      <c r="N322" s="1"/>
      <c r="O322" s="1"/>
    </row>
    <row r="323" customFormat="false" ht="15.75" hidden="false" customHeight="true" outlineLevel="0" collapsed="false">
      <c r="A323" s="1"/>
      <c r="B323" s="1"/>
      <c r="C323" s="1"/>
      <c r="D323" s="1"/>
      <c r="E323" s="1"/>
      <c r="F323" s="1"/>
      <c r="G323" s="1"/>
      <c r="H323" s="1"/>
      <c r="I323" s="1"/>
      <c r="J323" s="1"/>
      <c r="K323" s="1"/>
      <c r="L323" s="1"/>
      <c r="M323" s="1"/>
      <c r="N323" s="1"/>
      <c r="O323" s="1"/>
    </row>
    <row r="324" customFormat="false" ht="15.75" hidden="false" customHeight="true" outlineLevel="0" collapsed="false">
      <c r="A324" s="1"/>
      <c r="B324" s="1"/>
      <c r="C324" s="1"/>
      <c r="D324" s="1"/>
      <c r="E324" s="1"/>
      <c r="F324" s="1"/>
      <c r="G324" s="1"/>
      <c r="H324" s="1"/>
      <c r="I324" s="1"/>
      <c r="J324" s="1"/>
      <c r="K324" s="1"/>
      <c r="L324" s="1"/>
      <c r="M324" s="1"/>
      <c r="N324" s="1"/>
      <c r="O324" s="1"/>
    </row>
    <row r="325" customFormat="false" ht="15.75" hidden="false" customHeight="true" outlineLevel="0" collapsed="false">
      <c r="A325" s="1"/>
      <c r="B325" s="1"/>
      <c r="C325" s="1"/>
      <c r="D325" s="1"/>
      <c r="E325" s="1"/>
      <c r="F325" s="1"/>
      <c r="G325" s="1"/>
      <c r="H325" s="1"/>
      <c r="I325" s="1"/>
      <c r="J325" s="1"/>
      <c r="K325" s="1"/>
      <c r="L325" s="1"/>
      <c r="M325" s="1"/>
      <c r="N325" s="1"/>
      <c r="O325" s="1"/>
    </row>
    <row r="326" customFormat="false" ht="15.75" hidden="false" customHeight="true" outlineLevel="0" collapsed="false">
      <c r="A326" s="1"/>
      <c r="B326" s="1"/>
      <c r="C326" s="1"/>
      <c r="D326" s="1"/>
      <c r="E326" s="1"/>
      <c r="F326" s="1"/>
      <c r="G326" s="1"/>
      <c r="H326" s="1"/>
      <c r="I326" s="1"/>
      <c r="J326" s="1"/>
      <c r="K326" s="1"/>
      <c r="L326" s="1"/>
      <c r="M326" s="1"/>
      <c r="N326" s="1"/>
      <c r="O326" s="1"/>
    </row>
    <row r="327" customFormat="false" ht="15.75" hidden="false" customHeight="true" outlineLevel="0" collapsed="false">
      <c r="A327" s="1"/>
      <c r="B327" s="1"/>
      <c r="C327" s="1"/>
      <c r="D327" s="1"/>
      <c r="E327" s="1"/>
      <c r="F327" s="1"/>
      <c r="G327" s="1"/>
      <c r="H327" s="1"/>
      <c r="I327" s="1"/>
      <c r="J327" s="1"/>
      <c r="K327" s="1"/>
      <c r="L327" s="1"/>
      <c r="M327" s="1"/>
      <c r="N327" s="1"/>
      <c r="O327" s="1"/>
    </row>
    <row r="328" customFormat="false" ht="15.75" hidden="false" customHeight="true" outlineLevel="0" collapsed="false">
      <c r="A328" s="1"/>
      <c r="B328" s="1"/>
      <c r="C328" s="1"/>
      <c r="D328" s="1"/>
      <c r="E328" s="1"/>
      <c r="F328" s="1"/>
      <c r="G328" s="1"/>
      <c r="H328" s="1"/>
      <c r="I328" s="1"/>
      <c r="J328" s="1"/>
      <c r="K328" s="1"/>
      <c r="L328" s="1"/>
      <c r="M328" s="1"/>
      <c r="N328" s="1"/>
      <c r="O328" s="1"/>
    </row>
    <row r="329" customFormat="false" ht="15.75" hidden="false" customHeight="true" outlineLevel="0" collapsed="false">
      <c r="A329" s="1"/>
      <c r="B329" s="1"/>
      <c r="C329" s="1"/>
      <c r="D329" s="1"/>
      <c r="E329" s="1"/>
      <c r="F329" s="1"/>
      <c r="G329" s="1"/>
      <c r="H329" s="1"/>
      <c r="I329" s="1"/>
      <c r="J329" s="1"/>
      <c r="K329" s="1"/>
      <c r="L329" s="1"/>
      <c r="M329" s="1"/>
      <c r="N329" s="1"/>
      <c r="O329" s="1"/>
    </row>
    <row r="330" customFormat="false" ht="15.75" hidden="false" customHeight="true" outlineLevel="0" collapsed="false">
      <c r="A330" s="1"/>
      <c r="B330" s="1"/>
      <c r="C330" s="1"/>
      <c r="D330" s="1"/>
      <c r="E330" s="1"/>
      <c r="F330" s="1"/>
      <c r="G330" s="1"/>
      <c r="H330" s="1"/>
      <c r="I330" s="1"/>
      <c r="J330" s="1"/>
      <c r="K330" s="1"/>
      <c r="L330" s="1"/>
      <c r="M330" s="1"/>
      <c r="N330" s="1"/>
      <c r="O330" s="1"/>
    </row>
    <row r="331" customFormat="false" ht="15.75" hidden="false" customHeight="true" outlineLevel="0" collapsed="false">
      <c r="A331" s="1"/>
      <c r="B331" s="1"/>
      <c r="C331" s="1"/>
      <c r="D331" s="1"/>
      <c r="E331" s="1"/>
      <c r="F331" s="1"/>
      <c r="G331" s="1"/>
      <c r="H331" s="1"/>
      <c r="I331" s="1"/>
      <c r="J331" s="1"/>
      <c r="K331" s="1"/>
      <c r="L331" s="1"/>
      <c r="M331" s="1"/>
      <c r="N331" s="1"/>
      <c r="O331" s="1"/>
    </row>
    <row r="332" customFormat="false" ht="15.75" hidden="false" customHeight="true" outlineLevel="0" collapsed="false">
      <c r="A332" s="1"/>
      <c r="B332" s="1"/>
      <c r="C332" s="1"/>
      <c r="D332" s="1"/>
      <c r="E332" s="1"/>
      <c r="F332" s="1"/>
      <c r="G332" s="1"/>
      <c r="H332" s="1"/>
      <c r="I332" s="1"/>
      <c r="J332" s="1"/>
      <c r="K332" s="1"/>
      <c r="L332" s="1"/>
      <c r="M332" s="1"/>
      <c r="N332" s="1"/>
      <c r="O332" s="1"/>
    </row>
    <row r="333" customFormat="false" ht="15.75" hidden="false" customHeight="true" outlineLevel="0" collapsed="false">
      <c r="A333" s="1"/>
      <c r="B333" s="1"/>
      <c r="C333" s="1"/>
      <c r="D333" s="1"/>
      <c r="E333" s="1"/>
      <c r="F333" s="1"/>
      <c r="G333" s="1"/>
      <c r="H333" s="1"/>
      <c r="I333" s="1"/>
      <c r="J333" s="1"/>
      <c r="K333" s="1"/>
      <c r="L333" s="1"/>
      <c r="M333" s="1"/>
      <c r="N333" s="1"/>
      <c r="O333" s="1"/>
    </row>
    <row r="334" customFormat="false" ht="15.75" hidden="false" customHeight="true" outlineLevel="0" collapsed="false">
      <c r="A334" s="1"/>
      <c r="B334" s="1"/>
      <c r="C334" s="1"/>
      <c r="D334" s="1"/>
      <c r="E334" s="1"/>
      <c r="F334" s="1"/>
      <c r="G334" s="1"/>
      <c r="H334" s="1"/>
      <c r="I334" s="1"/>
      <c r="J334" s="1"/>
      <c r="K334" s="1"/>
      <c r="L334" s="1"/>
      <c r="M334" s="1"/>
      <c r="N334" s="1"/>
      <c r="O334" s="1"/>
    </row>
    <row r="335" customFormat="false" ht="15.75" hidden="false" customHeight="true" outlineLevel="0" collapsed="false">
      <c r="A335" s="1"/>
      <c r="B335" s="1"/>
      <c r="C335" s="1"/>
      <c r="D335" s="1"/>
      <c r="E335" s="1"/>
      <c r="F335" s="1"/>
      <c r="G335" s="1"/>
      <c r="H335" s="1"/>
      <c r="I335" s="1"/>
      <c r="J335" s="1"/>
      <c r="K335" s="1"/>
      <c r="L335" s="1"/>
      <c r="M335" s="1"/>
      <c r="N335" s="1"/>
      <c r="O335" s="1"/>
    </row>
    <row r="336" customFormat="false" ht="15.75" hidden="false" customHeight="true" outlineLevel="0" collapsed="false">
      <c r="A336" s="1"/>
      <c r="B336" s="1"/>
      <c r="C336" s="1"/>
      <c r="D336" s="1"/>
      <c r="E336" s="1"/>
      <c r="F336" s="1"/>
      <c r="G336" s="1"/>
      <c r="H336" s="1"/>
      <c r="I336" s="1"/>
      <c r="J336" s="1"/>
      <c r="K336" s="1"/>
      <c r="L336" s="1"/>
      <c r="M336" s="1"/>
      <c r="N336" s="1"/>
      <c r="O336" s="1"/>
    </row>
    <row r="337" customFormat="false" ht="15.75" hidden="false" customHeight="true" outlineLevel="0" collapsed="false">
      <c r="A337" s="1"/>
      <c r="B337" s="1"/>
      <c r="C337" s="1"/>
      <c r="D337" s="1"/>
      <c r="E337" s="1"/>
      <c r="F337" s="1"/>
      <c r="G337" s="1"/>
      <c r="H337" s="1"/>
      <c r="I337" s="1"/>
      <c r="J337" s="1"/>
      <c r="K337" s="1"/>
      <c r="L337" s="1"/>
      <c r="M337" s="1"/>
      <c r="N337" s="1"/>
      <c r="O337" s="1"/>
    </row>
    <row r="338" customFormat="false" ht="15.75" hidden="false" customHeight="true" outlineLevel="0" collapsed="false">
      <c r="A338" s="1"/>
      <c r="B338" s="1"/>
      <c r="C338" s="1"/>
      <c r="D338" s="1"/>
      <c r="E338" s="1"/>
      <c r="F338" s="1"/>
      <c r="G338" s="1"/>
      <c r="H338" s="1"/>
      <c r="I338" s="1"/>
      <c r="J338" s="1"/>
      <c r="K338" s="1"/>
      <c r="L338" s="1"/>
      <c r="M338" s="1"/>
      <c r="N338" s="1"/>
      <c r="O338" s="1"/>
    </row>
    <row r="339" customFormat="false" ht="15.75" hidden="false" customHeight="true" outlineLevel="0" collapsed="false">
      <c r="A339" s="1"/>
      <c r="B339" s="1"/>
      <c r="C339" s="1"/>
      <c r="D339" s="1"/>
      <c r="E339" s="1"/>
      <c r="F339" s="1"/>
      <c r="G339" s="1"/>
      <c r="H339" s="1"/>
      <c r="I339" s="1"/>
      <c r="J339" s="1"/>
      <c r="K339" s="1"/>
      <c r="L339" s="1"/>
      <c r="M339" s="1"/>
      <c r="N339" s="1"/>
      <c r="O339" s="1"/>
    </row>
    <row r="340" customFormat="false" ht="15.75" hidden="false" customHeight="true" outlineLevel="0" collapsed="false">
      <c r="A340" s="1"/>
      <c r="B340" s="1"/>
      <c r="C340" s="1"/>
      <c r="D340" s="1"/>
      <c r="E340" s="1"/>
      <c r="F340" s="1"/>
      <c r="G340" s="1"/>
      <c r="H340" s="1"/>
      <c r="I340" s="1"/>
      <c r="J340" s="1"/>
      <c r="K340" s="1"/>
      <c r="L340" s="1"/>
      <c r="M340" s="1"/>
      <c r="N340" s="1"/>
      <c r="O340" s="1"/>
    </row>
    <row r="341" customFormat="false" ht="15.75" hidden="false" customHeight="true" outlineLevel="0" collapsed="false">
      <c r="A341" s="1"/>
      <c r="B341" s="1"/>
      <c r="C341" s="1"/>
      <c r="D341" s="1"/>
      <c r="E341" s="1"/>
      <c r="F341" s="1"/>
      <c r="G341" s="1"/>
      <c r="H341" s="1"/>
      <c r="I341" s="1"/>
      <c r="J341" s="1"/>
      <c r="K341" s="1"/>
      <c r="L341" s="1"/>
      <c r="M341" s="1"/>
      <c r="N341" s="1"/>
      <c r="O341" s="1"/>
    </row>
    <row r="342" customFormat="false" ht="15.75" hidden="false" customHeight="true" outlineLevel="0" collapsed="false">
      <c r="A342" s="1"/>
      <c r="B342" s="1"/>
      <c r="C342" s="1"/>
      <c r="D342" s="1"/>
      <c r="E342" s="1"/>
      <c r="F342" s="1"/>
      <c r="G342" s="1"/>
      <c r="H342" s="1"/>
      <c r="I342" s="1"/>
      <c r="J342" s="1"/>
      <c r="K342" s="1"/>
      <c r="L342" s="1"/>
      <c r="M342" s="1"/>
      <c r="N342" s="1"/>
      <c r="O342" s="1"/>
    </row>
    <row r="343" customFormat="false" ht="15.75" hidden="false" customHeight="true" outlineLevel="0" collapsed="false">
      <c r="A343" s="1"/>
      <c r="B343" s="1"/>
      <c r="C343" s="1"/>
      <c r="D343" s="1"/>
      <c r="E343" s="1"/>
      <c r="F343" s="1"/>
      <c r="G343" s="1"/>
      <c r="H343" s="1"/>
      <c r="I343" s="1"/>
      <c r="J343" s="1"/>
      <c r="K343" s="1"/>
      <c r="L343" s="1"/>
      <c r="M343" s="1"/>
      <c r="N343" s="1"/>
      <c r="O343" s="1"/>
    </row>
    <row r="344" customFormat="false" ht="15.75" hidden="false" customHeight="true" outlineLevel="0" collapsed="false">
      <c r="A344" s="1"/>
      <c r="B344" s="1"/>
      <c r="C344" s="1"/>
      <c r="D344" s="1"/>
      <c r="E344" s="1"/>
      <c r="F344" s="1"/>
      <c r="G344" s="1"/>
      <c r="H344" s="1"/>
      <c r="I344" s="1"/>
      <c r="J344" s="1"/>
      <c r="K344" s="1"/>
      <c r="L344" s="1"/>
      <c r="M344" s="1"/>
      <c r="N344" s="1"/>
      <c r="O344" s="1"/>
    </row>
    <row r="345" customFormat="false" ht="15.75" hidden="false" customHeight="true" outlineLevel="0" collapsed="false">
      <c r="A345" s="1"/>
      <c r="B345" s="1"/>
      <c r="C345" s="1"/>
      <c r="D345" s="1"/>
      <c r="E345" s="1"/>
      <c r="F345" s="1"/>
      <c r="G345" s="1"/>
      <c r="H345" s="1"/>
      <c r="I345" s="1"/>
      <c r="J345" s="1"/>
      <c r="K345" s="1"/>
      <c r="L345" s="1"/>
      <c r="M345" s="1"/>
      <c r="N345" s="1"/>
      <c r="O345" s="1"/>
    </row>
    <row r="346" customFormat="false" ht="15.75" hidden="false" customHeight="true" outlineLevel="0" collapsed="false">
      <c r="A346" s="1"/>
      <c r="B346" s="1"/>
      <c r="C346" s="1"/>
      <c r="D346" s="1"/>
      <c r="E346" s="1"/>
      <c r="F346" s="1"/>
      <c r="G346" s="1"/>
      <c r="H346" s="1"/>
      <c r="I346" s="1"/>
      <c r="J346" s="1"/>
      <c r="K346" s="1"/>
      <c r="L346" s="1"/>
      <c r="M346" s="1"/>
      <c r="N346" s="1"/>
      <c r="O346" s="1"/>
    </row>
    <row r="347" customFormat="false" ht="15.75" hidden="false" customHeight="true" outlineLevel="0" collapsed="false">
      <c r="A347" s="1"/>
      <c r="B347" s="1"/>
      <c r="C347" s="1"/>
      <c r="D347" s="1"/>
      <c r="E347" s="1"/>
      <c r="F347" s="1"/>
      <c r="G347" s="1"/>
      <c r="H347" s="1"/>
      <c r="I347" s="1"/>
      <c r="J347" s="1"/>
      <c r="K347" s="1"/>
      <c r="L347" s="1"/>
      <c r="M347" s="1"/>
      <c r="N347" s="1"/>
      <c r="O347" s="1"/>
    </row>
    <row r="348" customFormat="false" ht="15.75" hidden="false" customHeight="true" outlineLevel="0" collapsed="false">
      <c r="A348" s="1"/>
      <c r="B348" s="1"/>
      <c r="C348" s="1"/>
      <c r="D348" s="1"/>
      <c r="E348" s="1"/>
      <c r="F348" s="1"/>
      <c r="G348" s="1"/>
      <c r="H348" s="1"/>
      <c r="I348" s="1"/>
      <c r="J348" s="1"/>
      <c r="K348" s="1"/>
      <c r="L348" s="1"/>
      <c r="M348" s="1"/>
      <c r="N348" s="1"/>
      <c r="O348" s="1"/>
    </row>
    <row r="349" customFormat="false" ht="15.75" hidden="false" customHeight="true" outlineLevel="0" collapsed="false">
      <c r="A349" s="1"/>
      <c r="B349" s="1"/>
      <c r="C349" s="1"/>
      <c r="D349" s="1"/>
      <c r="E349" s="1"/>
      <c r="F349" s="1"/>
      <c r="G349" s="1"/>
      <c r="H349" s="1"/>
      <c r="I349" s="1"/>
      <c r="J349" s="1"/>
      <c r="K349" s="1"/>
      <c r="L349" s="1"/>
      <c r="M349" s="1"/>
      <c r="N349" s="1"/>
      <c r="O349" s="1"/>
    </row>
    <row r="350" customFormat="false" ht="15.75" hidden="false" customHeight="true" outlineLevel="0" collapsed="false">
      <c r="A350" s="1"/>
      <c r="B350" s="1"/>
      <c r="C350" s="1"/>
      <c r="D350" s="1"/>
      <c r="E350" s="1"/>
      <c r="F350" s="1"/>
      <c r="G350" s="1"/>
      <c r="H350" s="1"/>
      <c r="I350" s="1"/>
      <c r="J350" s="1"/>
      <c r="K350" s="1"/>
      <c r="L350" s="1"/>
      <c r="M350" s="1"/>
      <c r="N350" s="1"/>
      <c r="O350" s="1"/>
    </row>
    <row r="351" customFormat="false" ht="15.75" hidden="false" customHeight="true" outlineLevel="0" collapsed="false">
      <c r="A351" s="1"/>
      <c r="B351" s="1"/>
      <c r="C351" s="1"/>
      <c r="D351" s="1"/>
      <c r="E351" s="1"/>
      <c r="F351" s="1"/>
      <c r="G351" s="1"/>
      <c r="H351" s="1"/>
      <c r="I351" s="1"/>
      <c r="J351" s="1"/>
      <c r="K351" s="1"/>
      <c r="L351" s="1"/>
      <c r="M351" s="1"/>
      <c r="N351" s="1"/>
      <c r="O351" s="1"/>
    </row>
    <row r="352" customFormat="false" ht="15.75" hidden="false" customHeight="true" outlineLevel="0" collapsed="false">
      <c r="A352" s="1"/>
      <c r="B352" s="1"/>
      <c r="C352" s="1"/>
      <c r="D352" s="1"/>
      <c r="E352" s="1"/>
      <c r="F352" s="1"/>
      <c r="G352" s="1"/>
      <c r="H352" s="1"/>
      <c r="I352" s="1"/>
      <c r="J352" s="1"/>
      <c r="K352" s="1"/>
      <c r="L352" s="1"/>
      <c r="M352" s="1"/>
      <c r="N352" s="1"/>
      <c r="O352" s="1"/>
    </row>
    <row r="353" customFormat="false" ht="15.75" hidden="false" customHeight="true" outlineLevel="0" collapsed="false">
      <c r="A353" s="1"/>
      <c r="B353" s="1"/>
      <c r="C353" s="1"/>
      <c r="D353" s="1"/>
      <c r="E353" s="1"/>
      <c r="F353" s="1"/>
      <c r="G353" s="1"/>
      <c r="H353" s="1"/>
      <c r="I353" s="1"/>
      <c r="J353" s="1"/>
      <c r="K353" s="1"/>
      <c r="L353" s="1"/>
      <c r="M353" s="1"/>
      <c r="N353" s="1"/>
      <c r="O353" s="1"/>
    </row>
    <row r="354" customFormat="false" ht="15.75" hidden="false" customHeight="true" outlineLevel="0" collapsed="false">
      <c r="A354" s="1"/>
      <c r="B354" s="1"/>
      <c r="C354" s="1"/>
      <c r="D354" s="1"/>
      <c r="E354" s="1"/>
      <c r="F354" s="1"/>
      <c r="G354" s="1"/>
      <c r="H354" s="1"/>
      <c r="I354" s="1"/>
      <c r="J354" s="1"/>
      <c r="K354" s="1"/>
      <c r="L354" s="1"/>
      <c r="M354" s="1"/>
      <c r="N354" s="1"/>
      <c r="O354" s="1"/>
    </row>
    <row r="355" customFormat="false" ht="15.75" hidden="false" customHeight="true" outlineLevel="0" collapsed="false">
      <c r="A355" s="1"/>
      <c r="B355" s="1"/>
      <c r="C355" s="1"/>
      <c r="D355" s="1"/>
      <c r="E355" s="1"/>
      <c r="F355" s="1"/>
      <c r="G355" s="1"/>
      <c r="H355" s="1"/>
      <c r="I355" s="1"/>
      <c r="J355" s="1"/>
      <c r="K355" s="1"/>
      <c r="L355" s="1"/>
      <c r="M355" s="1"/>
      <c r="N355" s="1"/>
      <c r="O355" s="1"/>
    </row>
    <row r="356" customFormat="false" ht="15.75" hidden="false" customHeight="true" outlineLevel="0" collapsed="false">
      <c r="A356" s="1"/>
      <c r="B356" s="1"/>
      <c r="C356" s="1"/>
      <c r="D356" s="1"/>
      <c r="E356" s="1"/>
      <c r="F356" s="1"/>
      <c r="G356" s="1"/>
      <c r="H356" s="1"/>
      <c r="I356" s="1"/>
      <c r="J356" s="1"/>
      <c r="K356" s="1"/>
      <c r="L356" s="1"/>
      <c r="M356" s="1"/>
      <c r="N356" s="1"/>
      <c r="O356" s="1"/>
    </row>
    <row r="357" customFormat="false" ht="15.75" hidden="false" customHeight="true" outlineLevel="0" collapsed="false">
      <c r="A357" s="1"/>
      <c r="B357" s="1"/>
      <c r="C357" s="1"/>
      <c r="D357" s="1"/>
      <c r="E357" s="1"/>
      <c r="F357" s="1"/>
      <c r="G357" s="1"/>
      <c r="H357" s="1"/>
      <c r="I357" s="1"/>
      <c r="J357" s="1"/>
      <c r="K357" s="1"/>
      <c r="L357" s="1"/>
      <c r="M357" s="1"/>
      <c r="N357" s="1"/>
      <c r="O357" s="1"/>
    </row>
    <row r="358" customFormat="false" ht="15.75" hidden="false" customHeight="true" outlineLevel="0" collapsed="false">
      <c r="A358" s="1"/>
      <c r="B358" s="1"/>
      <c r="C358" s="1"/>
      <c r="D358" s="1"/>
      <c r="E358" s="1"/>
      <c r="F358" s="1"/>
      <c r="G358" s="1"/>
      <c r="H358" s="1"/>
      <c r="I358" s="1"/>
      <c r="J358" s="1"/>
      <c r="K358" s="1"/>
      <c r="L358" s="1"/>
      <c r="M358" s="1"/>
      <c r="N358" s="1"/>
      <c r="O358" s="1"/>
    </row>
    <row r="359" customFormat="false" ht="15.75" hidden="false" customHeight="true" outlineLevel="0" collapsed="false">
      <c r="A359" s="1"/>
      <c r="B359" s="1"/>
      <c r="C359" s="1"/>
      <c r="D359" s="1"/>
      <c r="E359" s="1"/>
      <c r="F359" s="1"/>
      <c r="G359" s="1"/>
      <c r="H359" s="1"/>
      <c r="I359" s="1"/>
      <c r="J359" s="1"/>
      <c r="K359" s="1"/>
      <c r="L359" s="1"/>
      <c r="M359" s="1"/>
      <c r="N359" s="1"/>
      <c r="O359" s="1"/>
    </row>
    <row r="360" customFormat="false" ht="15.75" hidden="false" customHeight="true" outlineLevel="0" collapsed="false">
      <c r="A360" s="1"/>
      <c r="B360" s="1"/>
      <c r="C360" s="1"/>
      <c r="D360" s="1"/>
      <c r="E360" s="1"/>
      <c r="F360" s="1"/>
      <c r="G360" s="1"/>
      <c r="H360" s="1"/>
      <c r="I360" s="1"/>
      <c r="J360" s="1"/>
      <c r="K360" s="1"/>
      <c r="L360" s="1"/>
      <c r="M360" s="1"/>
      <c r="N360" s="1"/>
      <c r="O360" s="1"/>
    </row>
    <row r="361" customFormat="false" ht="15.75" hidden="false" customHeight="true" outlineLevel="0" collapsed="false">
      <c r="A361" s="1"/>
      <c r="B361" s="1"/>
      <c r="C361" s="1"/>
      <c r="D361" s="1"/>
      <c r="E361" s="1"/>
      <c r="F361" s="1"/>
      <c r="G361" s="1"/>
      <c r="H361" s="1"/>
      <c r="I361" s="1"/>
      <c r="J361" s="1"/>
      <c r="K361" s="1"/>
      <c r="L361" s="1"/>
      <c r="M361" s="1"/>
      <c r="N361" s="1"/>
      <c r="O361" s="1"/>
    </row>
    <row r="362" customFormat="false" ht="15.75" hidden="false" customHeight="true" outlineLevel="0" collapsed="false">
      <c r="A362" s="1"/>
      <c r="B362" s="1"/>
      <c r="C362" s="1"/>
      <c r="D362" s="1"/>
      <c r="E362" s="1"/>
      <c r="F362" s="1"/>
      <c r="G362" s="1"/>
      <c r="H362" s="1"/>
      <c r="I362" s="1"/>
      <c r="J362" s="1"/>
      <c r="K362" s="1"/>
      <c r="L362" s="1"/>
      <c r="M362" s="1"/>
      <c r="N362" s="1"/>
      <c r="O362" s="1"/>
    </row>
    <row r="363" customFormat="false" ht="15.75" hidden="false" customHeight="true" outlineLevel="0" collapsed="false">
      <c r="A363" s="1"/>
      <c r="B363" s="1"/>
      <c r="C363" s="1"/>
      <c r="D363" s="1"/>
      <c r="E363" s="1"/>
      <c r="F363" s="1"/>
      <c r="G363" s="1"/>
      <c r="H363" s="1"/>
      <c r="I363" s="1"/>
      <c r="J363" s="1"/>
      <c r="K363" s="1"/>
      <c r="L363" s="1"/>
      <c r="M363" s="1"/>
      <c r="N363" s="1"/>
      <c r="O363" s="1"/>
    </row>
    <row r="364" customFormat="false" ht="15.75" hidden="false" customHeight="true" outlineLevel="0" collapsed="false">
      <c r="A364" s="1"/>
      <c r="B364" s="1"/>
      <c r="C364" s="1"/>
      <c r="D364" s="1"/>
      <c r="E364" s="1"/>
      <c r="F364" s="1"/>
      <c r="G364" s="1"/>
      <c r="H364" s="1"/>
      <c r="I364" s="1"/>
      <c r="J364" s="1"/>
      <c r="K364" s="1"/>
      <c r="L364" s="1"/>
      <c r="M364" s="1"/>
      <c r="N364" s="1"/>
      <c r="O364" s="1"/>
    </row>
    <row r="365" customFormat="false" ht="15.75" hidden="false" customHeight="true" outlineLevel="0" collapsed="false">
      <c r="A365" s="1"/>
      <c r="B365" s="1"/>
      <c r="C365" s="1"/>
      <c r="D365" s="1"/>
      <c r="E365" s="1"/>
      <c r="F365" s="1"/>
      <c r="G365" s="1"/>
      <c r="H365" s="1"/>
      <c r="I365" s="1"/>
      <c r="J365" s="1"/>
      <c r="K365" s="1"/>
      <c r="L365" s="1"/>
      <c r="M365" s="1"/>
      <c r="N365" s="1"/>
      <c r="O365" s="1"/>
    </row>
    <row r="366" customFormat="false" ht="15.75" hidden="false" customHeight="true" outlineLevel="0" collapsed="false">
      <c r="A366" s="1"/>
      <c r="B366" s="1"/>
      <c r="C366" s="1"/>
      <c r="D366" s="1"/>
      <c r="E366" s="1"/>
      <c r="F366" s="1"/>
      <c r="G366" s="1"/>
      <c r="H366" s="1"/>
      <c r="I366" s="1"/>
      <c r="J366" s="1"/>
      <c r="K366" s="1"/>
      <c r="L366" s="1"/>
      <c r="M366" s="1"/>
      <c r="N366" s="1"/>
      <c r="O366" s="1"/>
    </row>
    <row r="367" customFormat="false" ht="15.75" hidden="false" customHeight="true" outlineLevel="0" collapsed="false">
      <c r="A367" s="1"/>
      <c r="B367" s="1"/>
      <c r="C367" s="1"/>
      <c r="D367" s="1"/>
      <c r="E367" s="1"/>
      <c r="F367" s="1"/>
      <c r="G367" s="1"/>
      <c r="H367" s="1"/>
      <c r="I367" s="1"/>
      <c r="J367" s="1"/>
      <c r="K367" s="1"/>
      <c r="L367" s="1"/>
      <c r="M367" s="1"/>
      <c r="N367" s="1"/>
      <c r="O367" s="1"/>
    </row>
    <row r="368" customFormat="false" ht="15.75" hidden="false" customHeight="true" outlineLevel="0" collapsed="false">
      <c r="A368" s="1"/>
      <c r="B368" s="1"/>
      <c r="C368" s="1"/>
      <c r="D368" s="1"/>
      <c r="E368" s="1"/>
      <c r="F368" s="1"/>
      <c r="G368" s="1"/>
      <c r="H368" s="1"/>
      <c r="I368" s="1"/>
      <c r="J368" s="1"/>
      <c r="K368" s="1"/>
      <c r="L368" s="1"/>
      <c r="M368" s="1"/>
      <c r="N368" s="1"/>
      <c r="O368" s="1"/>
    </row>
    <row r="369" customFormat="false" ht="15.75" hidden="false" customHeight="true" outlineLevel="0" collapsed="false">
      <c r="A369" s="1"/>
      <c r="B369" s="1"/>
      <c r="C369" s="1"/>
      <c r="D369" s="1"/>
      <c r="E369" s="1"/>
      <c r="F369" s="1"/>
      <c r="G369" s="1"/>
      <c r="H369" s="1"/>
      <c r="I369" s="1"/>
      <c r="J369" s="1"/>
      <c r="K369" s="1"/>
      <c r="L369" s="1"/>
      <c r="M369" s="1"/>
      <c r="N369" s="1"/>
      <c r="O369" s="1"/>
    </row>
    <row r="370" customFormat="false" ht="15.75" hidden="false" customHeight="true" outlineLevel="0" collapsed="false">
      <c r="A370" s="1"/>
      <c r="B370" s="1"/>
      <c r="C370" s="1"/>
      <c r="D370" s="1"/>
      <c r="E370" s="1"/>
      <c r="F370" s="1"/>
      <c r="G370" s="1"/>
      <c r="H370" s="1"/>
      <c r="I370" s="1"/>
      <c r="J370" s="1"/>
      <c r="K370" s="1"/>
      <c r="L370" s="1"/>
      <c r="M370" s="1"/>
      <c r="N370" s="1"/>
      <c r="O370" s="1"/>
    </row>
    <row r="371" customFormat="false" ht="15.75" hidden="false" customHeight="true" outlineLevel="0" collapsed="false">
      <c r="A371" s="1"/>
      <c r="B371" s="1"/>
      <c r="C371" s="1"/>
      <c r="D371" s="1"/>
      <c r="E371" s="1"/>
      <c r="F371" s="1"/>
      <c r="G371" s="1"/>
      <c r="H371" s="1"/>
      <c r="I371" s="1"/>
      <c r="J371" s="1"/>
      <c r="K371" s="1"/>
      <c r="L371" s="1"/>
      <c r="M371" s="1"/>
      <c r="N371" s="1"/>
      <c r="O371" s="1"/>
    </row>
    <row r="372" customFormat="false" ht="15.75" hidden="false" customHeight="true" outlineLevel="0" collapsed="false">
      <c r="A372" s="1"/>
      <c r="B372" s="1"/>
      <c r="C372" s="1"/>
      <c r="D372" s="1"/>
      <c r="E372" s="1"/>
      <c r="F372" s="1"/>
      <c r="G372" s="1"/>
      <c r="H372" s="1"/>
      <c r="I372" s="1"/>
      <c r="J372" s="1"/>
      <c r="K372" s="1"/>
      <c r="L372" s="1"/>
      <c r="M372" s="1"/>
      <c r="N372" s="1"/>
      <c r="O372" s="1"/>
    </row>
    <row r="373" customFormat="false" ht="15.75" hidden="false" customHeight="true" outlineLevel="0" collapsed="false">
      <c r="A373" s="1"/>
      <c r="B373" s="1"/>
      <c r="C373" s="1"/>
      <c r="D373" s="1"/>
      <c r="E373" s="1"/>
      <c r="F373" s="1"/>
      <c r="G373" s="1"/>
      <c r="H373" s="1"/>
      <c r="I373" s="1"/>
      <c r="J373" s="1"/>
      <c r="K373" s="1"/>
      <c r="L373" s="1"/>
      <c r="M373" s="1"/>
      <c r="N373" s="1"/>
      <c r="O373" s="1"/>
    </row>
    <row r="374" customFormat="false" ht="15.75" hidden="false" customHeight="true" outlineLevel="0" collapsed="false">
      <c r="A374" s="1"/>
      <c r="B374" s="1"/>
      <c r="C374" s="1"/>
      <c r="D374" s="1"/>
      <c r="E374" s="1"/>
      <c r="F374" s="1"/>
      <c r="G374" s="1"/>
      <c r="H374" s="1"/>
      <c r="I374" s="1"/>
      <c r="J374" s="1"/>
      <c r="K374" s="1"/>
      <c r="L374" s="1"/>
      <c r="M374" s="1"/>
      <c r="N374" s="1"/>
      <c r="O374" s="1"/>
    </row>
    <row r="375" customFormat="false" ht="15.75" hidden="false" customHeight="true" outlineLevel="0" collapsed="false">
      <c r="A375" s="1"/>
      <c r="B375" s="1"/>
      <c r="C375" s="1"/>
      <c r="D375" s="1"/>
      <c r="E375" s="1"/>
      <c r="F375" s="1"/>
      <c r="G375" s="1"/>
      <c r="H375" s="1"/>
      <c r="I375" s="1"/>
      <c r="J375" s="1"/>
      <c r="K375" s="1"/>
      <c r="L375" s="1"/>
      <c r="M375" s="1"/>
      <c r="N375" s="1"/>
      <c r="O375" s="1"/>
    </row>
    <row r="376" customFormat="false" ht="15.75" hidden="false" customHeight="true" outlineLevel="0" collapsed="false">
      <c r="A376" s="1"/>
      <c r="B376" s="1"/>
      <c r="C376" s="1"/>
      <c r="D376" s="1"/>
      <c r="E376" s="1"/>
      <c r="F376" s="1"/>
      <c r="G376" s="1"/>
      <c r="H376" s="1"/>
      <c r="I376" s="1"/>
      <c r="J376" s="1"/>
      <c r="K376" s="1"/>
      <c r="L376" s="1"/>
      <c r="M376" s="1"/>
      <c r="N376" s="1"/>
      <c r="O376" s="1"/>
    </row>
    <row r="377" customFormat="false" ht="15.75" hidden="false" customHeight="true" outlineLevel="0" collapsed="false">
      <c r="A377" s="1"/>
      <c r="B377" s="1"/>
      <c r="C377" s="1"/>
      <c r="D377" s="1"/>
      <c r="E377" s="1"/>
      <c r="F377" s="1"/>
      <c r="G377" s="1"/>
      <c r="H377" s="1"/>
      <c r="I377" s="1"/>
      <c r="J377" s="1"/>
      <c r="K377" s="1"/>
      <c r="L377" s="1"/>
      <c r="M377" s="1"/>
      <c r="N377" s="1"/>
      <c r="O377" s="1"/>
    </row>
    <row r="378" customFormat="false" ht="15.75" hidden="false" customHeight="true" outlineLevel="0" collapsed="false">
      <c r="A378" s="1"/>
      <c r="B378" s="1"/>
      <c r="C378" s="1"/>
      <c r="D378" s="1"/>
      <c r="E378" s="1"/>
      <c r="F378" s="1"/>
      <c r="G378" s="1"/>
      <c r="H378" s="1"/>
      <c r="I378" s="1"/>
      <c r="J378" s="1"/>
      <c r="K378" s="1"/>
      <c r="L378" s="1"/>
      <c r="M378" s="1"/>
      <c r="N378" s="1"/>
      <c r="O378" s="1"/>
    </row>
    <row r="379" customFormat="false" ht="15.75" hidden="false" customHeight="true" outlineLevel="0" collapsed="false">
      <c r="A379" s="1"/>
      <c r="B379" s="1"/>
      <c r="C379" s="1"/>
      <c r="D379" s="1"/>
      <c r="E379" s="1"/>
      <c r="F379" s="1"/>
      <c r="G379" s="1"/>
      <c r="H379" s="1"/>
      <c r="I379" s="1"/>
      <c r="J379" s="1"/>
      <c r="K379" s="1"/>
      <c r="L379" s="1"/>
      <c r="M379" s="1"/>
      <c r="N379" s="1"/>
      <c r="O379" s="1"/>
    </row>
    <row r="380" customFormat="false" ht="15.75" hidden="false" customHeight="true" outlineLevel="0" collapsed="false">
      <c r="A380" s="1"/>
      <c r="B380" s="1"/>
      <c r="C380" s="1"/>
      <c r="D380" s="1"/>
      <c r="E380" s="1"/>
      <c r="F380" s="1"/>
      <c r="G380" s="1"/>
      <c r="H380" s="1"/>
      <c r="I380" s="1"/>
      <c r="J380" s="1"/>
      <c r="K380" s="1"/>
      <c r="L380" s="1"/>
      <c r="M380" s="1"/>
      <c r="N380" s="1"/>
      <c r="O380" s="1"/>
    </row>
    <row r="381" customFormat="false" ht="15.75" hidden="false" customHeight="true" outlineLevel="0" collapsed="false">
      <c r="A381" s="1"/>
      <c r="B381" s="1"/>
      <c r="C381" s="1"/>
      <c r="D381" s="1"/>
      <c r="E381" s="1"/>
      <c r="F381" s="1"/>
      <c r="G381" s="1"/>
      <c r="H381" s="1"/>
      <c r="I381" s="1"/>
      <c r="J381" s="1"/>
      <c r="K381" s="1"/>
      <c r="L381" s="1"/>
      <c r="M381" s="1"/>
      <c r="N381" s="1"/>
      <c r="O381" s="1"/>
    </row>
    <row r="382" customFormat="false" ht="15.75" hidden="false" customHeight="true" outlineLevel="0" collapsed="false">
      <c r="A382" s="1"/>
      <c r="B382" s="1"/>
      <c r="C382" s="1"/>
      <c r="D382" s="1"/>
      <c r="E382" s="1"/>
      <c r="F382" s="1"/>
      <c r="G382" s="1"/>
      <c r="H382" s="1"/>
      <c r="I382" s="1"/>
      <c r="J382" s="1"/>
      <c r="K382" s="1"/>
      <c r="L382" s="1"/>
      <c r="M382" s="1"/>
      <c r="N382" s="1"/>
      <c r="O382" s="1"/>
    </row>
    <row r="383" customFormat="false" ht="15.75" hidden="false" customHeight="true" outlineLevel="0" collapsed="false">
      <c r="A383" s="1"/>
      <c r="B383" s="1"/>
      <c r="C383" s="1"/>
      <c r="D383" s="1"/>
      <c r="E383" s="1"/>
      <c r="F383" s="1"/>
      <c r="G383" s="1"/>
      <c r="H383" s="1"/>
      <c r="I383" s="1"/>
      <c r="J383" s="1"/>
      <c r="K383" s="1"/>
      <c r="L383" s="1"/>
      <c r="M383" s="1"/>
      <c r="N383" s="1"/>
      <c r="O383" s="1"/>
    </row>
    <row r="384" customFormat="false" ht="15.75" hidden="false" customHeight="true" outlineLevel="0" collapsed="false">
      <c r="A384" s="1"/>
      <c r="B384" s="1"/>
      <c r="C384" s="1"/>
      <c r="D384" s="1"/>
      <c r="E384" s="1"/>
      <c r="F384" s="1"/>
      <c r="G384" s="1"/>
      <c r="H384" s="1"/>
      <c r="I384" s="1"/>
      <c r="J384" s="1"/>
      <c r="K384" s="1"/>
      <c r="L384" s="1"/>
      <c r="M384" s="1"/>
      <c r="N384" s="1"/>
      <c r="O384" s="1"/>
    </row>
    <row r="385" customFormat="false" ht="15.75" hidden="false" customHeight="true" outlineLevel="0" collapsed="false">
      <c r="A385" s="1"/>
      <c r="B385" s="1"/>
      <c r="C385" s="1"/>
      <c r="D385" s="1"/>
      <c r="E385" s="1"/>
      <c r="F385" s="1"/>
      <c r="G385" s="1"/>
      <c r="H385" s="1"/>
      <c r="I385" s="1"/>
      <c r="J385" s="1"/>
      <c r="K385" s="1"/>
      <c r="L385" s="1"/>
      <c r="M385" s="1"/>
      <c r="N385" s="1"/>
      <c r="O385" s="1"/>
    </row>
    <row r="386" customFormat="false" ht="15.75" hidden="false" customHeight="true" outlineLevel="0" collapsed="false">
      <c r="A386" s="1"/>
      <c r="B386" s="1"/>
      <c r="C386" s="1"/>
      <c r="D386" s="1"/>
      <c r="E386" s="1"/>
      <c r="F386" s="1"/>
      <c r="G386" s="1"/>
      <c r="H386" s="1"/>
      <c r="I386" s="1"/>
      <c r="J386" s="1"/>
      <c r="K386" s="1"/>
      <c r="L386" s="1"/>
      <c r="M386" s="1"/>
      <c r="N386" s="1"/>
      <c r="O386" s="1"/>
    </row>
    <row r="387" customFormat="false" ht="15.75" hidden="false" customHeight="true" outlineLevel="0" collapsed="false">
      <c r="A387" s="1"/>
      <c r="B387" s="1"/>
      <c r="C387" s="1"/>
      <c r="D387" s="1"/>
      <c r="E387" s="1"/>
      <c r="F387" s="1"/>
      <c r="G387" s="1"/>
      <c r="H387" s="1"/>
      <c r="I387" s="1"/>
      <c r="J387" s="1"/>
      <c r="K387" s="1"/>
      <c r="L387" s="1"/>
      <c r="M387" s="1"/>
      <c r="N387" s="1"/>
      <c r="O387" s="1"/>
    </row>
    <row r="388" customFormat="false" ht="15.75" hidden="false" customHeight="true" outlineLevel="0" collapsed="false">
      <c r="A388" s="1"/>
      <c r="B388" s="1"/>
      <c r="C388" s="1"/>
      <c r="D388" s="1"/>
      <c r="E388" s="1"/>
      <c r="F388" s="1"/>
      <c r="G388" s="1"/>
      <c r="H388" s="1"/>
      <c r="I388" s="1"/>
      <c r="J388" s="1"/>
      <c r="K388" s="1"/>
      <c r="L388" s="1"/>
      <c r="M388" s="1"/>
      <c r="N388" s="1"/>
      <c r="O388" s="1"/>
    </row>
    <row r="389" customFormat="false" ht="15.75" hidden="false" customHeight="true" outlineLevel="0" collapsed="false">
      <c r="A389" s="1"/>
      <c r="B389" s="1"/>
      <c r="C389" s="1"/>
      <c r="D389" s="1"/>
      <c r="E389" s="1"/>
      <c r="F389" s="1"/>
      <c r="G389" s="1"/>
      <c r="H389" s="1"/>
      <c r="I389" s="1"/>
      <c r="J389" s="1"/>
      <c r="K389" s="1"/>
      <c r="L389" s="1"/>
      <c r="M389" s="1"/>
      <c r="N389" s="1"/>
      <c r="O389" s="1"/>
    </row>
    <row r="390" customFormat="false" ht="15.75" hidden="false" customHeight="true" outlineLevel="0" collapsed="false">
      <c r="A390" s="1"/>
      <c r="B390" s="1"/>
      <c r="C390" s="1"/>
      <c r="D390" s="1"/>
      <c r="E390" s="1"/>
      <c r="F390" s="1"/>
      <c r="G390" s="1"/>
      <c r="H390" s="1"/>
      <c r="I390" s="1"/>
      <c r="J390" s="1"/>
      <c r="K390" s="1"/>
      <c r="L390" s="1"/>
      <c r="M390" s="1"/>
      <c r="N390" s="1"/>
      <c r="O390" s="1"/>
    </row>
    <row r="391" customFormat="false" ht="15.75" hidden="false" customHeight="true" outlineLevel="0" collapsed="false">
      <c r="A391" s="1"/>
      <c r="B391" s="1"/>
      <c r="C391" s="1"/>
      <c r="D391" s="1"/>
      <c r="E391" s="1"/>
      <c r="F391" s="1"/>
      <c r="G391" s="1"/>
      <c r="H391" s="1"/>
      <c r="I391" s="1"/>
      <c r="J391" s="1"/>
      <c r="K391" s="1"/>
      <c r="L391" s="1"/>
      <c r="M391" s="1"/>
      <c r="N391" s="1"/>
      <c r="O391" s="1"/>
    </row>
    <row r="392" customFormat="false" ht="15.75" hidden="false" customHeight="true" outlineLevel="0" collapsed="false">
      <c r="A392" s="1"/>
      <c r="B392" s="1"/>
      <c r="C392" s="1"/>
      <c r="D392" s="1"/>
      <c r="E392" s="1"/>
      <c r="F392" s="1"/>
      <c r="G392" s="1"/>
      <c r="H392" s="1"/>
      <c r="I392" s="1"/>
      <c r="J392" s="1"/>
      <c r="K392" s="1"/>
      <c r="L392" s="1"/>
      <c r="M392" s="1"/>
      <c r="N392" s="1"/>
      <c r="O392" s="1"/>
    </row>
    <row r="393" customFormat="false" ht="15.75" hidden="false" customHeight="true" outlineLevel="0" collapsed="false">
      <c r="A393" s="1"/>
      <c r="B393" s="1"/>
      <c r="C393" s="1"/>
      <c r="D393" s="1"/>
      <c r="E393" s="1"/>
      <c r="F393" s="1"/>
      <c r="G393" s="1"/>
      <c r="H393" s="1"/>
      <c r="I393" s="1"/>
      <c r="J393" s="1"/>
      <c r="K393" s="1"/>
      <c r="L393" s="1"/>
      <c r="M393" s="1"/>
      <c r="N393" s="1"/>
      <c r="O393" s="1"/>
    </row>
    <row r="394" customFormat="false" ht="15.75" hidden="false" customHeight="true" outlineLevel="0" collapsed="false">
      <c r="A394" s="1"/>
      <c r="B394" s="1"/>
      <c r="C394" s="1"/>
      <c r="D394" s="1"/>
      <c r="E394" s="1"/>
      <c r="F394" s="1"/>
      <c r="G394" s="1"/>
      <c r="H394" s="1"/>
      <c r="I394" s="1"/>
      <c r="J394" s="1"/>
      <c r="K394" s="1"/>
      <c r="L394" s="1"/>
      <c r="M394" s="1"/>
      <c r="N394" s="1"/>
      <c r="O394" s="1"/>
    </row>
    <row r="395" customFormat="false" ht="15.75" hidden="false" customHeight="true" outlineLevel="0" collapsed="false">
      <c r="A395" s="1"/>
      <c r="B395" s="1"/>
      <c r="C395" s="1"/>
      <c r="D395" s="1"/>
      <c r="E395" s="1"/>
      <c r="F395" s="1"/>
      <c r="G395" s="1"/>
      <c r="H395" s="1"/>
      <c r="I395" s="1"/>
      <c r="J395" s="1"/>
      <c r="K395" s="1"/>
      <c r="L395" s="1"/>
      <c r="M395" s="1"/>
      <c r="N395" s="1"/>
      <c r="O395" s="1"/>
    </row>
    <row r="396" customFormat="false" ht="15.75" hidden="false" customHeight="true" outlineLevel="0" collapsed="false">
      <c r="A396" s="1"/>
      <c r="B396" s="1"/>
      <c r="C396" s="1"/>
      <c r="D396" s="1"/>
      <c r="E396" s="1"/>
      <c r="F396" s="1"/>
      <c r="G396" s="1"/>
      <c r="H396" s="1"/>
      <c r="I396" s="1"/>
      <c r="J396" s="1"/>
      <c r="K396" s="1"/>
      <c r="L396" s="1"/>
      <c r="M396" s="1"/>
      <c r="N396" s="1"/>
      <c r="O396" s="1"/>
    </row>
    <row r="397" customFormat="false" ht="15.75" hidden="false" customHeight="true" outlineLevel="0" collapsed="false">
      <c r="A397" s="1"/>
      <c r="B397" s="1"/>
      <c r="C397" s="1"/>
      <c r="D397" s="1"/>
      <c r="E397" s="1"/>
      <c r="F397" s="1"/>
      <c r="G397" s="1"/>
      <c r="H397" s="1"/>
      <c r="I397" s="1"/>
      <c r="J397" s="1"/>
      <c r="K397" s="1"/>
      <c r="L397" s="1"/>
      <c r="M397" s="1"/>
      <c r="N397" s="1"/>
      <c r="O397" s="1"/>
    </row>
    <row r="398" customFormat="false" ht="15.75" hidden="false" customHeight="true" outlineLevel="0" collapsed="false">
      <c r="A398" s="1"/>
      <c r="B398" s="1"/>
      <c r="C398" s="1"/>
      <c r="D398" s="1"/>
      <c r="E398" s="1"/>
      <c r="F398" s="1"/>
      <c r="G398" s="1"/>
      <c r="H398" s="1"/>
      <c r="I398" s="1"/>
      <c r="J398" s="1"/>
      <c r="K398" s="1"/>
      <c r="L398" s="1"/>
      <c r="M398" s="1"/>
      <c r="N398" s="1"/>
      <c r="O398" s="1"/>
    </row>
    <row r="399" customFormat="false" ht="15.75" hidden="false" customHeight="true" outlineLevel="0" collapsed="false">
      <c r="A399" s="1"/>
      <c r="B399" s="1"/>
      <c r="C399" s="1"/>
      <c r="D399" s="1"/>
      <c r="E399" s="1"/>
      <c r="F399" s="1"/>
      <c r="G399" s="1"/>
      <c r="H399" s="1"/>
      <c r="I399" s="1"/>
      <c r="J399" s="1"/>
      <c r="K399" s="1"/>
      <c r="L399" s="1"/>
      <c r="M399" s="1"/>
      <c r="N399" s="1"/>
      <c r="O399" s="1"/>
    </row>
    <row r="400" customFormat="false" ht="15.75" hidden="false" customHeight="true" outlineLevel="0" collapsed="false">
      <c r="A400" s="1"/>
      <c r="B400" s="1"/>
      <c r="C400" s="1"/>
      <c r="D400" s="1"/>
      <c r="E400" s="1"/>
      <c r="F400" s="1"/>
      <c r="G400" s="1"/>
      <c r="H400" s="1"/>
      <c r="I400" s="1"/>
      <c r="J400" s="1"/>
      <c r="K400" s="1"/>
      <c r="L400" s="1"/>
      <c r="M400" s="1"/>
      <c r="N400" s="1"/>
      <c r="O400" s="1"/>
    </row>
    <row r="401" customFormat="false" ht="15.75" hidden="false" customHeight="true" outlineLevel="0" collapsed="false">
      <c r="A401" s="1"/>
      <c r="B401" s="1"/>
      <c r="C401" s="1"/>
      <c r="D401" s="1"/>
      <c r="E401" s="1"/>
      <c r="F401" s="1"/>
      <c r="G401" s="1"/>
      <c r="H401" s="1"/>
      <c r="I401" s="1"/>
      <c r="J401" s="1"/>
      <c r="K401" s="1"/>
      <c r="L401" s="1"/>
      <c r="M401" s="1"/>
      <c r="N401" s="1"/>
      <c r="O401" s="1"/>
    </row>
    <row r="402" customFormat="false" ht="15.75" hidden="false" customHeight="true" outlineLevel="0" collapsed="false">
      <c r="A402" s="1"/>
      <c r="B402" s="1"/>
      <c r="C402" s="1"/>
      <c r="D402" s="1"/>
      <c r="E402" s="1"/>
      <c r="F402" s="1"/>
      <c r="G402" s="1"/>
      <c r="H402" s="1"/>
      <c r="I402" s="1"/>
      <c r="J402" s="1"/>
      <c r="K402" s="1"/>
      <c r="L402" s="1"/>
      <c r="M402" s="1"/>
      <c r="N402" s="1"/>
      <c r="O402" s="1"/>
    </row>
    <row r="403" customFormat="false" ht="15.75" hidden="false" customHeight="true" outlineLevel="0" collapsed="false">
      <c r="A403" s="1"/>
      <c r="B403" s="1"/>
      <c r="C403" s="1"/>
      <c r="D403" s="1"/>
      <c r="E403" s="1"/>
      <c r="F403" s="1"/>
      <c r="G403" s="1"/>
      <c r="H403" s="1"/>
      <c r="I403" s="1"/>
      <c r="J403" s="1"/>
      <c r="K403" s="1"/>
      <c r="L403" s="1"/>
      <c r="M403" s="1"/>
      <c r="N403" s="1"/>
      <c r="O403" s="1"/>
    </row>
    <row r="404" customFormat="false" ht="15.75" hidden="false" customHeight="true" outlineLevel="0" collapsed="false">
      <c r="A404" s="1"/>
      <c r="B404" s="1"/>
      <c r="C404" s="1"/>
      <c r="D404" s="1"/>
      <c r="E404" s="1"/>
      <c r="F404" s="1"/>
      <c r="G404" s="1"/>
      <c r="H404" s="1"/>
      <c r="I404" s="1"/>
      <c r="J404" s="1"/>
      <c r="K404" s="1"/>
      <c r="L404" s="1"/>
      <c r="M404" s="1"/>
      <c r="N404" s="1"/>
      <c r="O404" s="1"/>
    </row>
    <row r="405" customFormat="false" ht="15.75" hidden="false" customHeight="true" outlineLevel="0" collapsed="false">
      <c r="A405" s="1"/>
      <c r="B405" s="1"/>
      <c r="C405" s="1"/>
      <c r="D405" s="1"/>
      <c r="E405" s="1"/>
      <c r="F405" s="1"/>
      <c r="G405" s="1"/>
      <c r="H405" s="1"/>
      <c r="I405" s="1"/>
      <c r="J405" s="1"/>
      <c r="K405" s="1"/>
      <c r="L405" s="1"/>
      <c r="M405" s="1"/>
      <c r="N405" s="1"/>
      <c r="O405" s="1"/>
    </row>
    <row r="406" customFormat="false" ht="15.75" hidden="false" customHeight="true" outlineLevel="0" collapsed="false">
      <c r="A406" s="1"/>
      <c r="B406" s="1"/>
      <c r="C406" s="1"/>
      <c r="D406" s="1"/>
      <c r="E406" s="1"/>
      <c r="F406" s="1"/>
      <c r="G406" s="1"/>
      <c r="H406" s="1"/>
      <c r="I406" s="1"/>
      <c r="J406" s="1"/>
      <c r="K406" s="1"/>
      <c r="L406" s="1"/>
      <c r="M406" s="1"/>
      <c r="N406" s="1"/>
      <c r="O406" s="1"/>
    </row>
    <row r="407" customFormat="false" ht="15.75" hidden="false" customHeight="true" outlineLevel="0" collapsed="false">
      <c r="A407" s="1"/>
      <c r="B407" s="1"/>
      <c r="C407" s="1"/>
      <c r="D407" s="1"/>
      <c r="E407" s="1"/>
      <c r="F407" s="1"/>
      <c r="G407" s="1"/>
      <c r="H407" s="1"/>
      <c r="I407" s="1"/>
      <c r="J407" s="1"/>
      <c r="K407" s="1"/>
      <c r="L407" s="1"/>
      <c r="M407" s="1"/>
      <c r="N407" s="1"/>
      <c r="O407" s="1"/>
    </row>
    <row r="408" customFormat="false" ht="15.75" hidden="false" customHeight="true" outlineLevel="0" collapsed="false">
      <c r="A408" s="1"/>
      <c r="B408" s="1"/>
      <c r="C408" s="1"/>
      <c r="D408" s="1"/>
      <c r="E408" s="1"/>
      <c r="F408" s="1"/>
      <c r="G408" s="1"/>
      <c r="H408" s="1"/>
      <c r="I408" s="1"/>
      <c r="J408" s="1"/>
      <c r="K408" s="1"/>
      <c r="L408" s="1"/>
      <c r="M408" s="1"/>
      <c r="N408" s="1"/>
      <c r="O408" s="1"/>
    </row>
    <row r="409" customFormat="false" ht="15.75" hidden="false" customHeight="true" outlineLevel="0" collapsed="false">
      <c r="A409" s="1"/>
      <c r="B409" s="1"/>
      <c r="C409" s="1"/>
      <c r="D409" s="1"/>
      <c r="E409" s="1"/>
      <c r="F409" s="1"/>
      <c r="G409" s="1"/>
      <c r="H409" s="1"/>
      <c r="I409" s="1"/>
      <c r="J409" s="1"/>
      <c r="K409" s="1"/>
      <c r="L409" s="1"/>
      <c r="M409" s="1"/>
      <c r="N409" s="1"/>
      <c r="O409" s="1"/>
    </row>
    <row r="410" customFormat="false" ht="15.75" hidden="false" customHeight="true" outlineLevel="0" collapsed="false">
      <c r="A410" s="1"/>
      <c r="B410" s="1"/>
      <c r="C410" s="1"/>
      <c r="D410" s="1"/>
      <c r="E410" s="1"/>
      <c r="F410" s="1"/>
      <c r="G410" s="1"/>
      <c r="H410" s="1"/>
      <c r="I410" s="1"/>
      <c r="J410" s="1"/>
      <c r="K410" s="1"/>
      <c r="L410" s="1"/>
      <c r="M410" s="1"/>
      <c r="N410" s="1"/>
      <c r="O410" s="1"/>
    </row>
    <row r="411" customFormat="false" ht="15.75" hidden="false" customHeight="true" outlineLevel="0" collapsed="false">
      <c r="A411" s="1"/>
      <c r="B411" s="1"/>
      <c r="C411" s="1"/>
      <c r="D411" s="1"/>
      <c r="E411" s="1"/>
      <c r="F411" s="1"/>
      <c r="G411" s="1"/>
      <c r="H411" s="1"/>
      <c r="I411" s="1"/>
      <c r="J411" s="1"/>
      <c r="K411" s="1"/>
      <c r="L411" s="1"/>
      <c r="M411" s="1"/>
      <c r="N411" s="1"/>
      <c r="O411" s="1"/>
    </row>
    <row r="412" customFormat="false" ht="15.75" hidden="false" customHeight="true" outlineLevel="0" collapsed="false">
      <c r="A412" s="1"/>
      <c r="B412" s="1"/>
      <c r="C412" s="1"/>
      <c r="D412" s="1"/>
      <c r="E412" s="1"/>
      <c r="F412" s="1"/>
      <c r="G412" s="1"/>
      <c r="H412" s="1"/>
      <c r="I412" s="1"/>
      <c r="J412" s="1"/>
      <c r="K412" s="1"/>
      <c r="L412" s="1"/>
      <c r="M412" s="1"/>
      <c r="N412" s="1"/>
      <c r="O412" s="1"/>
    </row>
    <row r="413" customFormat="false" ht="15.75" hidden="false" customHeight="true" outlineLevel="0" collapsed="false">
      <c r="A413" s="1"/>
      <c r="B413" s="1"/>
      <c r="C413" s="1"/>
      <c r="D413" s="1"/>
      <c r="E413" s="1"/>
      <c r="F413" s="1"/>
      <c r="G413" s="1"/>
      <c r="H413" s="1"/>
      <c r="I413" s="1"/>
      <c r="J413" s="1"/>
      <c r="K413" s="1"/>
      <c r="L413" s="1"/>
      <c r="M413" s="1"/>
      <c r="N413" s="1"/>
      <c r="O413" s="1"/>
    </row>
    <row r="414" customFormat="false" ht="15.75" hidden="false" customHeight="true" outlineLevel="0" collapsed="false">
      <c r="A414" s="1"/>
      <c r="B414" s="1"/>
      <c r="C414" s="1"/>
      <c r="D414" s="1"/>
      <c r="E414" s="1"/>
      <c r="F414" s="1"/>
      <c r="G414" s="1"/>
      <c r="H414" s="1"/>
      <c r="I414" s="1"/>
      <c r="J414" s="1"/>
      <c r="K414" s="1"/>
      <c r="L414" s="1"/>
      <c r="M414" s="1"/>
      <c r="N414" s="1"/>
      <c r="O414" s="1"/>
    </row>
    <row r="415" customFormat="false" ht="15.75" hidden="false" customHeight="true" outlineLevel="0" collapsed="false">
      <c r="A415" s="1"/>
      <c r="B415" s="1"/>
      <c r="C415" s="1"/>
      <c r="D415" s="1"/>
      <c r="E415" s="1"/>
      <c r="F415" s="1"/>
      <c r="G415" s="1"/>
      <c r="H415" s="1"/>
      <c r="I415" s="1"/>
      <c r="J415" s="1"/>
      <c r="K415" s="1"/>
      <c r="L415" s="1"/>
      <c r="M415" s="1"/>
      <c r="N415" s="1"/>
      <c r="O415" s="1"/>
    </row>
    <row r="416" customFormat="false" ht="15.75" hidden="false" customHeight="true" outlineLevel="0" collapsed="false">
      <c r="A416" s="1"/>
      <c r="B416" s="1"/>
      <c r="C416" s="1"/>
      <c r="D416" s="1"/>
      <c r="E416" s="1"/>
      <c r="F416" s="1"/>
      <c r="G416" s="1"/>
      <c r="H416" s="1"/>
      <c r="I416" s="1"/>
      <c r="J416" s="1"/>
      <c r="K416" s="1"/>
      <c r="L416" s="1"/>
      <c r="M416" s="1"/>
      <c r="N416" s="1"/>
      <c r="O416" s="1"/>
    </row>
    <row r="417" customFormat="false" ht="15.75" hidden="false" customHeight="true" outlineLevel="0" collapsed="false">
      <c r="A417" s="1"/>
      <c r="B417" s="1"/>
      <c r="C417" s="1"/>
      <c r="D417" s="1"/>
      <c r="E417" s="1"/>
      <c r="F417" s="1"/>
      <c r="G417" s="1"/>
      <c r="H417" s="1"/>
      <c r="I417" s="1"/>
      <c r="J417" s="1"/>
      <c r="K417" s="1"/>
      <c r="L417" s="1"/>
      <c r="M417" s="1"/>
      <c r="N417" s="1"/>
      <c r="O417" s="1"/>
    </row>
    <row r="418" customFormat="false" ht="15.75" hidden="false" customHeight="true" outlineLevel="0" collapsed="false">
      <c r="A418" s="1"/>
      <c r="B418" s="1"/>
      <c r="C418" s="1"/>
      <c r="D418" s="1"/>
      <c r="E418" s="1"/>
      <c r="F418" s="1"/>
      <c r="G418" s="1"/>
      <c r="H418" s="1"/>
      <c r="I418" s="1"/>
      <c r="J418" s="1"/>
      <c r="K418" s="1"/>
      <c r="L418" s="1"/>
      <c r="M418" s="1"/>
      <c r="N418" s="1"/>
      <c r="O418" s="1"/>
    </row>
    <row r="419" customFormat="false" ht="15.75" hidden="false" customHeight="true" outlineLevel="0" collapsed="false">
      <c r="A419" s="1"/>
      <c r="B419" s="1"/>
      <c r="C419" s="1"/>
      <c r="D419" s="1"/>
      <c r="E419" s="1"/>
      <c r="F419" s="1"/>
      <c r="G419" s="1"/>
      <c r="H419" s="1"/>
      <c r="I419" s="1"/>
      <c r="J419" s="1"/>
      <c r="K419" s="1"/>
      <c r="L419" s="1"/>
      <c r="M419" s="1"/>
      <c r="N419" s="1"/>
      <c r="O419" s="1"/>
    </row>
    <row r="420" customFormat="false" ht="15.75" hidden="false" customHeight="true" outlineLevel="0" collapsed="false">
      <c r="A420" s="1"/>
      <c r="B420" s="1"/>
      <c r="C420" s="1"/>
      <c r="D420" s="1"/>
      <c r="E420" s="1"/>
      <c r="F420" s="1"/>
      <c r="G420" s="1"/>
      <c r="H420" s="1"/>
      <c r="I420" s="1"/>
      <c r="J420" s="1"/>
      <c r="K420" s="1"/>
      <c r="L420" s="1"/>
      <c r="M420" s="1"/>
      <c r="N420" s="1"/>
      <c r="O420" s="1"/>
    </row>
    <row r="421" customFormat="false" ht="15.75" hidden="false" customHeight="true" outlineLevel="0" collapsed="false">
      <c r="A421" s="1"/>
      <c r="B421" s="1"/>
      <c r="C421" s="1"/>
      <c r="D421" s="1"/>
      <c r="E421" s="1"/>
      <c r="F421" s="1"/>
      <c r="G421" s="1"/>
      <c r="H421" s="1"/>
      <c r="I421" s="1"/>
      <c r="J421" s="1"/>
      <c r="K421" s="1"/>
      <c r="L421" s="1"/>
      <c r="M421" s="1"/>
      <c r="N421" s="1"/>
      <c r="O421" s="1"/>
    </row>
    <row r="422" customFormat="false" ht="15.75" hidden="false" customHeight="true" outlineLevel="0" collapsed="false">
      <c r="A422" s="1"/>
      <c r="B422" s="1"/>
      <c r="C422" s="1"/>
      <c r="D422" s="1"/>
      <c r="E422" s="1"/>
      <c r="F422" s="1"/>
      <c r="G422" s="1"/>
      <c r="H422" s="1"/>
      <c r="I422" s="1"/>
      <c r="J422" s="1"/>
      <c r="K422" s="1"/>
      <c r="L422" s="1"/>
      <c r="M422" s="1"/>
      <c r="N422" s="1"/>
      <c r="O422" s="1"/>
    </row>
    <row r="423" customFormat="false" ht="15.75" hidden="false" customHeight="true" outlineLevel="0" collapsed="false">
      <c r="A423" s="1"/>
      <c r="B423" s="1"/>
      <c r="C423" s="1"/>
      <c r="D423" s="1"/>
      <c r="E423" s="1"/>
      <c r="F423" s="1"/>
      <c r="G423" s="1"/>
      <c r="H423" s="1"/>
      <c r="I423" s="1"/>
      <c r="J423" s="1"/>
      <c r="K423" s="1"/>
      <c r="L423" s="1"/>
      <c r="M423" s="1"/>
      <c r="N423" s="1"/>
      <c r="O423" s="1"/>
    </row>
    <row r="424" customFormat="false" ht="15.75" hidden="false" customHeight="true" outlineLevel="0" collapsed="false">
      <c r="A424" s="1"/>
      <c r="B424" s="1"/>
      <c r="C424" s="1"/>
      <c r="D424" s="1"/>
      <c r="E424" s="1"/>
      <c r="F424" s="1"/>
      <c r="G424" s="1"/>
      <c r="H424" s="1"/>
      <c r="I424" s="1"/>
      <c r="J424" s="1"/>
      <c r="K424" s="1"/>
      <c r="L424" s="1"/>
      <c r="M424" s="1"/>
      <c r="N424" s="1"/>
      <c r="O424" s="1"/>
    </row>
    <row r="425" customFormat="false" ht="15.75" hidden="false" customHeight="true" outlineLevel="0" collapsed="false">
      <c r="A425" s="1"/>
      <c r="B425" s="1"/>
      <c r="C425" s="1"/>
      <c r="D425" s="1"/>
      <c r="E425" s="1"/>
      <c r="F425" s="1"/>
      <c r="G425" s="1"/>
      <c r="H425" s="1"/>
      <c r="I425" s="1"/>
      <c r="J425" s="1"/>
      <c r="K425" s="1"/>
      <c r="L425" s="1"/>
      <c r="M425" s="1"/>
      <c r="N425" s="1"/>
      <c r="O425" s="1"/>
    </row>
    <row r="426" customFormat="false" ht="15.75" hidden="false" customHeight="true" outlineLevel="0" collapsed="false">
      <c r="A426" s="1"/>
      <c r="B426" s="1"/>
      <c r="C426" s="1"/>
      <c r="D426" s="1"/>
      <c r="E426" s="1"/>
      <c r="F426" s="1"/>
      <c r="G426" s="1"/>
      <c r="H426" s="1"/>
      <c r="I426" s="1"/>
      <c r="J426" s="1"/>
      <c r="K426" s="1"/>
      <c r="L426" s="1"/>
      <c r="M426" s="1"/>
      <c r="N426" s="1"/>
      <c r="O426" s="1"/>
    </row>
    <row r="427" customFormat="false" ht="15.75" hidden="false" customHeight="true" outlineLevel="0" collapsed="false">
      <c r="A427" s="1"/>
      <c r="B427" s="1"/>
      <c r="C427" s="1"/>
      <c r="D427" s="1"/>
      <c r="E427" s="1"/>
      <c r="F427" s="1"/>
      <c r="G427" s="1"/>
      <c r="H427" s="1"/>
      <c r="I427" s="1"/>
      <c r="J427" s="1"/>
      <c r="K427" s="1"/>
      <c r="L427" s="1"/>
      <c r="M427" s="1"/>
      <c r="N427" s="1"/>
      <c r="O427" s="1"/>
    </row>
    <row r="428" customFormat="false" ht="15.75" hidden="false" customHeight="true" outlineLevel="0" collapsed="false">
      <c r="A428" s="1"/>
      <c r="B428" s="1"/>
      <c r="C428" s="1"/>
      <c r="D428" s="1"/>
      <c r="E428" s="1"/>
      <c r="F428" s="1"/>
      <c r="G428" s="1"/>
      <c r="H428" s="1"/>
      <c r="I428" s="1"/>
      <c r="J428" s="1"/>
      <c r="K428" s="1"/>
      <c r="L428" s="1"/>
      <c r="M428" s="1"/>
      <c r="N428" s="1"/>
      <c r="O428" s="1"/>
    </row>
    <row r="429" customFormat="false" ht="15.75" hidden="false" customHeight="true" outlineLevel="0" collapsed="false">
      <c r="A429" s="1"/>
      <c r="B429" s="1"/>
      <c r="C429" s="1"/>
      <c r="D429" s="1"/>
      <c r="E429" s="1"/>
      <c r="F429" s="1"/>
      <c r="G429" s="1"/>
      <c r="H429" s="1"/>
      <c r="I429" s="1"/>
      <c r="J429" s="1"/>
      <c r="K429" s="1"/>
      <c r="L429" s="1"/>
      <c r="M429" s="1"/>
      <c r="N429" s="1"/>
      <c r="O429" s="1"/>
    </row>
    <row r="430" customFormat="false" ht="15.75" hidden="false" customHeight="true" outlineLevel="0" collapsed="false">
      <c r="A430" s="1"/>
      <c r="B430" s="1"/>
      <c r="C430" s="1"/>
      <c r="D430" s="1"/>
      <c r="E430" s="1"/>
      <c r="F430" s="1"/>
      <c r="G430" s="1"/>
      <c r="H430" s="1"/>
      <c r="I430" s="1"/>
      <c r="J430" s="1"/>
      <c r="K430" s="1"/>
      <c r="L430" s="1"/>
      <c r="M430" s="1"/>
      <c r="N430" s="1"/>
      <c r="O430" s="1"/>
    </row>
    <row r="431" customFormat="false" ht="15.75" hidden="false" customHeight="true" outlineLevel="0" collapsed="false">
      <c r="A431" s="1"/>
      <c r="B431" s="1"/>
      <c r="C431" s="1"/>
      <c r="D431" s="1"/>
      <c r="E431" s="1"/>
      <c r="F431" s="1"/>
      <c r="G431" s="1"/>
      <c r="H431" s="1"/>
      <c r="I431" s="1"/>
      <c r="J431" s="1"/>
      <c r="K431" s="1"/>
      <c r="L431" s="1"/>
      <c r="M431" s="1"/>
      <c r="N431" s="1"/>
      <c r="O431" s="1"/>
    </row>
    <row r="432" customFormat="false" ht="15.75" hidden="false" customHeight="true" outlineLevel="0" collapsed="false">
      <c r="A432" s="1"/>
      <c r="B432" s="1"/>
      <c r="C432" s="1"/>
      <c r="D432" s="1"/>
      <c r="E432" s="1"/>
      <c r="F432" s="1"/>
      <c r="G432" s="1"/>
      <c r="H432" s="1"/>
      <c r="I432" s="1"/>
      <c r="J432" s="1"/>
      <c r="K432" s="1"/>
      <c r="L432" s="1"/>
      <c r="M432" s="1"/>
      <c r="N432" s="1"/>
      <c r="O432" s="1"/>
    </row>
    <row r="433" customFormat="false" ht="15.75" hidden="false" customHeight="true" outlineLevel="0" collapsed="false">
      <c r="A433" s="1"/>
      <c r="B433" s="1"/>
      <c r="C433" s="1"/>
      <c r="D433" s="1"/>
      <c r="E433" s="1"/>
      <c r="F433" s="1"/>
      <c r="G433" s="1"/>
      <c r="H433" s="1"/>
      <c r="I433" s="1"/>
      <c r="J433" s="1"/>
      <c r="K433" s="1"/>
      <c r="L433" s="1"/>
      <c r="M433" s="1"/>
      <c r="N433" s="1"/>
      <c r="O433" s="1"/>
    </row>
    <row r="434" customFormat="false" ht="15.75" hidden="false" customHeight="true" outlineLevel="0" collapsed="false">
      <c r="A434" s="1"/>
      <c r="B434" s="1"/>
      <c r="C434" s="1"/>
      <c r="D434" s="1"/>
      <c r="E434" s="1"/>
      <c r="F434" s="1"/>
      <c r="G434" s="1"/>
      <c r="H434" s="1"/>
      <c r="I434" s="1"/>
      <c r="J434" s="1"/>
      <c r="K434" s="1"/>
      <c r="L434" s="1"/>
      <c r="M434" s="1"/>
      <c r="N434" s="1"/>
      <c r="O434" s="1"/>
    </row>
    <row r="435" customFormat="false" ht="15.75" hidden="false" customHeight="true" outlineLevel="0" collapsed="false">
      <c r="A435" s="1"/>
      <c r="B435" s="1"/>
      <c r="C435" s="1"/>
      <c r="D435" s="1"/>
      <c r="E435" s="1"/>
      <c r="F435" s="1"/>
      <c r="G435" s="1"/>
      <c r="H435" s="1"/>
      <c r="I435" s="1"/>
      <c r="J435" s="1"/>
      <c r="K435" s="1"/>
      <c r="L435" s="1"/>
      <c r="M435" s="1"/>
      <c r="N435" s="1"/>
      <c r="O435" s="1"/>
    </row>
    <row r="436" customFormat="false" ht="15.75" hidden="false" customHeight="true" outlineLevel="0" collapsed="false">
      <c r="A436" s="1"/>
      <c r="B436" s="1"/>
      <c r="C436" s="1"/>
      <c r="D436" s="1"/>
      <c r="E436" s="1"/>
      <c r="F436" s="1"/>
      <c r="G436" s="1"/>
      <c r="H436" s="1"/>
      <c r="I436" s="1"/>
      <c r="J436" s="1"/>
      <c r="K436" s="1"/>
      <c r="L436" s="1"/>
      <c r="M436" s="1"/>
      <c r="N436" s="1"/>
      <c r="O436" s="1"/>
    </row>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sheetData>
  <mergeCells count="57">
    <mergeCell ref="F2:J2"/>
    <mergeCell ref="C3:D3"/>
    <mergeCell ref="F3:H3"/>
    <mergeCell ref="I3:J3"/>
    <mergeCell ref="C4:D4"/>
    <mergeCell ref="F4:H4"/>
    <mergeCell ref="I4:J4"/>
    <mergeCell ref="C5:D5"/>
    <mergeCell ref="F5:H5"/>
    <mergeCell ref="I5:J5"/>
    <mergeCell ref="C6:D6"/>
    <mergeCell ref="F6:H6"/>
    <mergeCell ref="I6:J6"/>
    <mergeCell ref="B7:D9"/>
    <mergeCell ref="F7:H7"/>
    <mergeCell ref="I7:J7"/>
    <mergeCell ref="F8:H8"/>
    <mergeCell ref="I8:J8"/>
    <mergeCell ref="F9:H9"/>
    <mergeCell ref="I9:J9"/>
    <mergeCell ref="F10:H10"/>
    <mergeCell ref="I10:J10"/>
    <mergeCell ref="F11:J11"/>
    <mergeCell ref="B13:I13"/>
    <mergeCell ref="B16:I16"/>
    <mergeCell ref="B22:I22"/>
    <mergeCell ref="B41:K41"/>
    <mergeCell ref="B55:K55"/>
    <mergeCell ref="B58:G58"/>
    <mergeCell ref="B72:G72"/>
    <mergeCell ref="B83:D83"/>
    <mergeCell ref="B100:E100"/>
    <mergeCell ref="B108:E108"/>
    <mergeCell ref="B116:I116"/>
    <mergeCell ref="B119:D119"/>
    <mergeCell ref="B136:E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B152:C152"/>
    <mergeCell ref="B168:C168"/>
    <mergeCell ref="B184:C184"/>
    <mergeCell ref="B200:D200"/>
    <mergeCell ref="B211:D211"/>
    <mergeCell ref="B217:L217"/>
    <mergeCell ref="B218:L218"/>
    <mergeCell ref="B219:L219"/>
    <mergeCell ref="B228:D22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40"/>
    <col collapsed="false" customWidth="true" hidden="false" outlineLevel="0" max="4" min="4" style="0" width="14"/>
    <col collapsed="false" customWidth="true" hidden="false" outlineLevel="0" max="10" min="5" style="0" width="12"/>
    <col collapsed="false" customWidth="true" hidden="false" outlineLevel="0" max="11" min="11" style="0" width="10"/>
    <col collapsed="false" customWidth="true" hidden="false" outlineLevel="0" max="12" min="12" style="0" width="9"/>
    <col collapsed="false" customWidth="true" hidden="false" outlineLevel="0" max="13" min="13" style="0" width="13"/>
    <col collapsed="false" customWidth="true" hidden="false" outlineLevel="0" max="14" min="14" style="0" width="10"/>
    <col collapsed="false" customWidth="true" hidden="false" outlineLevel="0" max="16" min="16" style="0" width="46"/>
    <col collapsed="false" customWidth="true" hidden="false" outlineLevel="0" max="17" min="17" style="0" width="13"/>
    <col collapsed="false" customWidth="true" hidden="false" outlineLevel="0" max="18" min="18" style="0" width="15"/>
    <col collapsed="false" customWidth="true" hidden="false" outlineLevel="0" max="19" min="19" style="0" width="13"/>
    <col collapsed="false" customWidth="true" hidden="false" outlineLevel="0" max="20" min="20" style="0" width="8"/>
    <col collapsed="false" customWidth="true" hidden="false" outlineLevel="0" max="21" min="21" style="0" width="14"/>
    <col collapsed="false" customWidth="true" hidden="false" outlineLevel="0" max="24" min="24" style="0" width="3"/>
    <col collapsed="false" customWidth="true" hidden="false" outlineLevel="0" max="25" min="25" style="0" width="60"/>
    <col collapsed="false" customWidth="true" hidden="false" outlineLevel="0" max="26" min="26" style="0" width="3"/>
    <col collapsed="false" customWidth="true" hidden="false" outlineLevel="0" max="27" min="27" style="0" width="66"/>
  </cols>
  <sheetData>
    <row r="1" customFormat="false" ht="27.75" hidden="false" customHeight="true" outlineLevel="0" collapsed="false">
      <c r="A1" s="169" t="s">
        <v>362</v>
      </c>
      <c r="B1" s="169" t="s">
        <v>363</v>
      </c>
      <c r="C1" s="169" t="s">
        <v>364</v>
      </c>
      <c r="D1" s="169" t="s">
        <v>365</v>
      </c>
      <c r="E1" s="169" t="s">
        <v>366</v>
      </c>
      <c r="F1" s="169" t="s">
        <v>367</v>
      </c>
      <c r="G1" s="169" t="s">
        <v>368</v>
      </c>
      <c r="H1" s="169" t="s">
        <v>369</v>
      </c>
      <c r="I1" s="169" t="s">
        <v>370</v>
      </c>
      <c r="J1" s="169" t="s">
        <v>371</v>
      </c>
      <c r="K1" s="169" t="s">
        <v>96</v>
      </c>
      <c r="L1" s="170" t="s">
        <v>372</v>
      </c>
      <c r="M1" s="170" t="s">
        <v>373</v>
      </c>
      <c r="N1" s="170" t="s">
        <v>130</v>
      </c>
      <c r="O1" s="170" t="s">
        <v>281</v>
      </c>
      <c r="P1" s="170" t="s">
        <v>374</v>
      </c>
      <c r="Q1" s="170" t="s">
        <v>375</v>
      </c>
      <c r="R1" s="170" t="s">
        <v>320</v>
      </c>
      <c r="S1" s="170" t="s">
        <v>376</v>
      </c>
      <c r="T1" s="170" t="s">
        <v>345</v>
      </c>
      <c r="U1" s="170" t="s">
        <v>377</v>
      </c>
      <c r="X1" s="1"/>
      <c r="Y1" s="171" t="s">
        <v>378</v>
      </c>
      <c r="Z1" s="1"/>
      <c r="AA1" s="172" t="s">
        <v>379</v>
      </c>
    </row>
    <row r="2" customFormat="false" ht="15.75" hidden="false" customHeight="true" outlineLevel="0" collapsed="false">
      <c r="A2" s="129" t="s">
        <v>380</v>
      </c>
      <c r="B2" s="129" t="s">
        <v>381</v>
      </c>
      <c r="C2" s="38" t="s">
        <v>382</v>
      </c>
      <c r="D2" s="129" t="s">
        <v>240</v>
      </c>
      <c r="E2" s="129" t="s">
        <v>157</v>
      </c>
      <c r="F2" s="129" t="s">
        <v>383</v>
      </c>
      <c r="G2" s="129" t="s">
        <v>102</v>
      </c>
      <c r="H2" s="129" t="s">
        <v>384</v>
      </c>
      <c r="I2" s="129"/>
      <c r="J2" s="129" t="s">
        <v>6</v>
      </c>
      <c r="K2" s="129" t="s">
        <v>97</v>
      </c>
      <c r="L2" s="129" t="n">
        <v>2</v>
      </c>
      <c r="M2" s="129" t="s">
        <v>214</v>
      </c>
      <c r="N2" s="129" t="s">
        <v>131</v>
      </c>
      <c r="O2" s="129"/>
      <c r="P2" s="38"/>
      <c r="Q2" s="129" t="s">
        <v>315</v>
      </c>
      <c r="R2" s="129" t="s">
        <v>321</v>
      </c>
      <c r="S2" s="129"/>
      <c r="T2" s="129" t="n">
        <v>1</v>
      </c>
      <c r="U2" s="129"/>
      <c r="X2" s="1"/>
      <c r="Y2" s="173" t="s">
        <v>385</v>
      </c>
      <c r="Z2" s="1"/>
      <c r="AA2" s="173" t="s">
        <v>386</v>
      </c>
    </row>
    <row r="3" customFormat="false" ht="15.75" hidden="false" customHeight="true" outlineLevel="0" collapsed="false">
      <c r="A3" s="129" t="s">
        <v>387</v>
      </c>
      <c r="B3" s="129" t="s">
        <v>381</v>
      </c>
      <c r="C3" s="38" t="s">
        <v>388</v>
      </c>
      <c r="D3" s="129" t="s">
        <v>240</v>
      </c>
      <c r="E3" s="129" t="s">
        <v>157</v>
      </c>
      <c r="F3" s="129" t="s">
        <v>383</v>
      </c>
      <c r="G3" s="129" t="s">
        <v>102</v>
      </c>
      <c r="H3" s="129" t="s">
        <v>384</v>
      </c>
      <c r="I3" s="129"/>
      <c r="J3" s="129" t="s">
        <v>6</v>
      </c>
      <c r="K3" s="129" t="s">
        <v>97</v>
      </c>
      <c r="L3" s="129" t="n">
        <v>2</v>
      </c>
      <c r="M3" s="129" t="s">
        <v>214</v>
      </c>
      <c r="N3" s="129" t="s">
        <v>131</v>
      </c>
      <c r="O3" s="129"/>
      <c r="P3" s="38"/>
      <c r="Q3" s="129" t="s">
        <v>314</v>
      </c>
      <c r="R3" s="129" t="s">
        <v>325</v>
      </c>
      <c r="S3" s="129"/>
      <c r="T3" s="129" t="n">
        <v>1</v>
      </c>
      <c r="U3" s="129"/>
      <c r="X3" s="1"/>
      <c r="Y3" s="173" t="s">
        <v>389</v>
      </c>
      <c r="Z3" s="1"/>
      <c r="AA3" s="173" t="s">
        <v>390</v>
      </c>
    </row>
    <row r="4" customFormat="false" ht="15.75" hidden="false" customHeight="true" outlineLevel="0" collapsed="false">
      <c r="A4" s="129" t="s">
        <v>391</v>
      </c>
      <c r="B4" s="129" t="s">
        <v>381</v>
      </c>
      <c r="C4" s="38" t="s">
        <v>392</v>
      </c>
      <c r="D4" s="129" t="s">
        <v>240</v>
      </c>
      <c r="E4" s="129" t="s">
        <v>157</v>
      </c>
      <c r="F4" s="129" t="s">
        <v>383</v>
      </c>
      <c r="G4" s="129" t="s">
        <v>102</v>
      </c>
      <c r="H4" s="129" t="s">
        <v>384</v>
      </c>
      <c r="I4" s="129"/>
      <c r="J4" s="129" t="s">
        <v>6</v>
      </c>
      <c r="K4" s="129" t="s">
        <v>97</v>
      </c>
      <c r="L4" s="129" t="n">
        <v>2</v>
      </c>
      <c r="M4" s="129" t="s">
        <v>214</v>
      </c>
      <c r="N4" s="129" t="s">
        <v>131</v>
      </c>
      <c r="O4" s="129"/>
      <c r="P4" s="38"/>
      <c r="Q4" s="129" t="s">
        <v>315</v>
      </c>
      <c r="R4" s="129" t="s">
        <v>321</v>
      </c>
      <c r="S4" s="129"/>
      <c r="T4" s="129" t="n">
        <v>1</v>
      </c>
      <c r="U4" s="129"/>
      <c r="X4" s="1"/>
      <c r="Y4" s="173" t="s">
        <v>393</v>
      </c>
      <c r="Z4" s="1"/>
      <c r="AA4" s="173" t="s">
        <v>394</v>
      </c>
    </row>
    <row r="5" customFormat="false" ht="15.75" hidden="false" customHeight="true" outlineLevel="0" collapsed="false">
      <c r="A5" s="129" t="s">
        <v>395</v>
      </c>
      <c r="B5" s="129" t="s">
        <v>381</v>
      </c>
      <c r="C5" s="38" t="s">
        <v>396</v>
      </c>
      <c r="D5" s="129" t="s">
        <v>240</v>
      </c>
      <c r="E5" s="129" t="s">
        <v>158</v>
      </c>
      <c r="F5" s="129" t="s">
        <v>383</v>
      </c>
      <c r="G5" s="129" t="s">
        <v>102</v>
      </c>
      <c r="H5" s="129" t="s">
        <v>384</v>
      </c>
      <c r="I5" s="129"/>
      <c r="J5" s="129" t="s">
        <v>6</v>
      </c>
      <c r="K5" s="129" t="s">
        <v>97</v>
      </c>
      <c r="L5" s="129" t="n">
        <v>2</v>
      </c>
      <c r="M5" s="129" t="s">
        <v>214</v>
      </c>
      <c r="N5" s="129" t="s">
        <v>131</v>
      </c>
      <c r="O5" s="129"/>
      <c r="P5" s="38"/>
      <c r="Q5" s="129" t="s">
        <v>315</v>
      </c>
      <c r="R5" s="129" t="s">
        <v>325</v>
      </c>
      <c r="S5" s="129"/>
      <c r="T5" s="129" t="n">
        <v>1</v>
      </c>
      <c r="U5" s="129"/>
      <c r="X5" s="1"/>
      <c r="Y5" s="173" t="s">
        <v>397</v>
      </c>
      <c r="Z5" s="1"/>
      <c r="AA5" s="173" t="s">
        <v>398</v>
      </c>
    </row>
    <row r="6" customFormat="false" ht="15.75" hidden="false" customHeight="true" outlineLevel="0" collapsed="false">
      <c r="A6" s="129" t="s">
        <v>399</v>
      </c>
      <c r="B6" s="129" t="s">
        <v>381</v>
      </c>
      <c r="C6" s="38" t="s">
        <v>400</v>
      </c>
      <c r="D6" s="129" t="s">
        <v>240</v>
      </c>
      <c r="E6" s="129" t="s">
        <v>158</v>
      </c>
      <c r="F6" s="129" t="s">
        <v>383</v>
      </c>
      <c r="G6" s="129" t="s">
        <v>102</v>
      </c>
      <c r="H6" s="129" t="s">
        <v>384</v>
      </c>
      <c r="I6" s="129"/>
      <c r="J6" s="129" t="s">
        <v>6</v>
      </c>
      <c r="K6" s="129" t="s">
        <v>97</v>
      </c>
      <c r="L6" s="129" t="n">
        <v>2</v>
      </c>
      <c r="M6" s="129" t="s">
        <v>214</v>
      </c>
      <c r="N6" s="129" t="s">
        <v>131</v>
      </c>
      <c r="O6" s="129"/>
      <c r="P6" s="38"/>
      <c r="Q6" s="129" t="s">
        <v>316</v>
      </c>
      <c r="R6" s="129" t="s">
        <v>325</v>
      </c>
      <c r="S6" s="129"/>
      <c r="T6" s="129" t="n">
        <v>1</v>
      </c>
      <c r="U6" s="129"/>
      <c r="X6" s="1"/>
      <c r="Y6" s="173" t="s">
        <v>401</v>
      </c>
      <c r="Z6" s="1"/>
      <c r="AA6" s="173" t="s">
        <v>402</v>
      </c>
    </row>
    <row r="7" customFormat="false" ht="15.75" hidden="false" customHeight="true" outlineLevel="0" collapsed="false">
      <c r="A7" s="129" t="s">
        <v>403</v>
      </c>
      <c r="B7" s="129" t="s">
        <v>381</v>
      </c>
      <c r="C7" s="38" t="s">
        <v>404</v>
      </c>
      <c r="D7" s="129" t="s">
        <v>240</v>
      </c>
      <c r="E7" s="129" t="s">
        <v>405</v>
      </c>
      <c r="F7" s="129" t="s">
        <v>383</v>
      </c>
      <c r="G7" s="129" t="s">
        <v>102</v>
      </c>
      <c r="H7" s="129" t="s">
        <v>384</v>
      </c>
      <c r="I7" s="129"/>
      <c r="J7" s="129" t="s">
        <v>6</v>
      </c>
      <c r="K7" s="129" t="s">
        <v>97</v>
      </c>
      <c r="L7" s="129" t="n">
        <v>0</v>
      </c>
      <c r="M7" s="129" t="s">
        <v>214</v>
      </c>
      <c r="N7" s="129" t="s">
        <v>131</v>
      </c>
      <c r="O7" s="129"/>
      <c r="P7" s="38"/>
      <c r="Q7" s="129" t="s">
        <v>314</v>
      </c>
      <c r="R7" s="129" t="s">
        <v>325</v>
      </c>
      <c r="S7" s="129"/>
      <c r="T7" s="129" t="n">
        <v>1</v>
      </c>
      <c r="U7" s="129"/>
      <c r="X7" s="1"/>
      <c r="Y7" s="173" t="s">
        <v>406</v>
      </c>
      <c r="Z7" s="1"/>
      <c r="AA7" s="173" t="s">
        <v>407</v>
      </c>
    </row>
    <row r="8" customFormat="false" ht="15.75" hidden="false" customHeight="true" outlineLevel="0" collapsed="false">
      <c r="A8" s="129" t="s">
        <v>408</v>
      </c>
      <c r="B8" s="129" t="s">
        <v>381</v>
      </c>
      <c r="C8" s="38" t="s">
        <v>409</v>
      </c>
      <c r="D8" s="129" t="s">
        <v>240</v>
      </c>
      <c r="E8" s="129" t="s">
        <v>158</v>
      </c>
      <c r="F8" s="129" t="s">
        <v>383</v>
      </c>
      <c r="G8" s="129" t="s">
        <v>102</v>
      </c>
      <c r="H8" s="129" t="s">
        <v>384</v>
      </c>
      <c r="I8" s="129"/>
      <c r="J8" s="129" t="s">
        <v>6</v>
      </c>
      <c r="K8" s="129" t="s">
        <v>97</v>
      </c>
      <c r="L8" s="129" t="n">
        <v>0</v>
      </c>
      <c r="M8" s="129" t="s">
        <v>214</v>
      </c>
      <c r="N8" s="129" t="s">
        <v>131</v>
      </c>
      <c r="O8" s="129"/>
      <c r="P8" s="38"/>
      <c r="Q8" s="129" t="s">
        <v>314</v>
      </c>
      <c r="R8" s="129" t="s">
        <v>325</v>
      </c>
      <c r="S8" s="129"/>
      <c r="T8" s="129" t="n">
        <v>1</v>
      </c>
      <c r="U8" s="129"/>
      <c r="X8" s="1"/>
      <c r="Y8" s="173" t="s">
        <v>410</v>
      </c>
      <c r="Z8" s="1"/>
      <c r="AA8" s="173" t="s">
        <v>411</v>
      </c>
    </row>
    <row r="9" customFormat="false" ht="15.75" hidden="false" customHeight="true" outlineLevel="0" collapsed="false">
      <c r="A9" s="129" t="s">
        <v>412</v>
      </c>
      <c r="B9" s="129" t="s">
        <v>381</v>
      </c>
      <c r="C9" s="38" t="s">
        <v>413</v>
      </c>
      <c r="D9" s="129" t="s">
        <v>240</v>
      </c>
      <c r="E9" s="129" t="s">
        <v>157</v>
      </c>
      <c r="F9" s="129" t="s">
        <v>383</v>
      </c>
      <c r="G9" s="129" t="s">
        <v>102</v>
      </c>
      <c r="H9" s="129" t="s">
        <v>384</v>
      </c>
      <c r="I9" s="129"/>
      <c r="J9" s="129" t="s">
        <v>6</v>
      </c>
      <c r="K9" s="129" t="s">
        <v>97</v>
      </c>
      <c r="L9" s="129" t="n">
        <v>5</v>
      </c>
      <c r="M9" s="129" t="s">
        <v>214</v>
      </c>
      <c r="N9" s="129" t="s">
        <v>131</v>
      </c>
      <c r="O9" s="129"/>
      <c r="P9" s="38"/>
      <c r="Q9" s="129" t="s">
        <v>313</v>
      </c>
      <c r="R9" s="129" t="s">
        <v>321</v>
      </c>
      <c r="S9" s="129"/>
      <c r="T9" s="129" t="n">
        <v>1</v>
      </c>
      <c r="U9" s="129"/>
      <c r="X9" s="1"/>
      <c r="Y9" s="173" t="s">
        <v>414</v>
      </c>
      <c r="Z9" s="1"/>
      <c r="AA9" s="173" t="s">
        <v>415</v>
      </c>
    </row>
    <row r="10" customFormat="false" ht="15.75" hidden="false" customHeight="true" outlineLevel="0" collapsed="false">
      <c r="A10" s="129" t="s">
        <v>416</v>
      </c>
      <c r="B10" s="129" t="s">
        <v>381</v>
      </c>
      <c r="C10" s="38" t="s">
        <v>417</v>
      </c>
      <c r="D10" s="129" t="s">
        <v>240</v>
      </c>
      <c r="E10" s="129" t="s">
        <v>157</v>
      </c>
      <c r="F10" s="129" t="s">
        <v>383</v>
      </c>
      <c r="G10" s="129" t="s">
        <v>102</v>
      </c>
      <c r="H10" s="129" t="s">
        <v>418</v>
      </c>
      <c r="I10" s="129"/>
      <c r="J10" s="129" t="s">
        <v>6</v>
      </c>
      <c r="K10" s="129" t="s">
        <v>97</v>
      </c>
      <c r="L10" s="129" t="n">
        <v>2</v>
      </c>
      <c r="M10" s="129" t="s">
        <v>214</v>
      </c>
      <c r="N10" s="129" t="s">
        <v>131</v>
      </c>
      <c r="O10" s="129"/>
      <c r="P10" s="38"/>
      <c r="Q10" s="129" t="s">
        <v>313</v>
      </c>
      <c r="R10" s="129" t="s">
        <v>321</v>
      </c>
      <c r="S10" s="129"/>
      <c r="T10" s="129" t="n">
        <v>1</v>
      </c>
      <c r="U10" s="129"/>
      <c r="X10" s="1"/>
      <c r="Y10" s="173" t="s">
        <v>419</v>
      </c>
      <c r="Z10" s="1"/>
      <c r="AA10" s="173" t="s">
        <v>420</v>
      </c>
    </row>
    <row r="11" customFormat="false" ht="15.75" hidden="false" customHeight="true" outlineLevel="0" collapsed="false">
      <c r="A11" s="129" t="s">
        <v>421</v>
      </c>
      <c r="B11" s="129" t="s">
        <v>381</v>
      </c>
      <c r="C11" s="38" t="s">
        <v>422</v>
      </c>
      <c r="D11" s="129" t="s">
        <v>240</v>
      </c>
      <c r="E11" s="129" t="s">
        <v>157</v>
      </c>
      <c r="F11" s="129" t="s">
        <v>383</v>
      </c>
      <c r="G11" s="129" t="s">
        <v>102</v>
      </c>
      <c r="H11" s="129" t="s">
        <v>418</v>
      </c>
      <c r="I11" s="129"/>
      <c r="J11" s="129" t="s">
        <v>6</v>
      </c>
      <c r="K11" s="129" t="s">
        <v>97</v>
      </c>
      <c r="L11" s="129" t="n">
        <v>5</v>
      </c>
      <c r="M11" s="129" t="s">
        <v>210</v>
      </c>
      <c r="N11" s="129" t="s">
        <v>131</v>
      </c>
      <c r="O11" s="129"/>
      <c r="P11" s="38"/>
      <c r="Q11" s="129" t="s">
        <v>314</v>
      </c>
      <c r="R11" s="129" t="s">
        <v>325</v>
      </c>
      <c r="S11" s="129"/>
      <c r="T11" s="129" t="n">
        <v>1</v>
      </c>
      <c r="U11" s="129"/>
      <c r="X11" s="1"/>
      <c r="Y11" s="173" t="s">
        <v>423</v>
      </c>
      <c r="Z11" s="1"/>
      <c r="AA11" s="173" t="s">
        <v>424</v>
      </c>
    </row>
    <row r="12" customFormat="false" ht="15.75" hidden="false" customHeight="true" outlineLevel="0" collapsed="false">
      <c r="A12" s="129" t="s">
        <v>425</v>
      </c>
      <c r="B12" s="129" t="s">
        <v>381</v>
      </c>
      <c r="C12" s="38" t="s">
        <v>426</v>
      </c>
      <c r="D12" s="129" t="s">
        <v>240</v>
      </c>
      <c r="E12" s="129" t="s">
        <v>157</v>
      </c>
      <c r="F12" s="129" t="s">
        <v>383</v>
      </c>
      <c r="G12" s="129" t="s">
        <v>102</v>
      </c>
      <c r="H12" s="129" t="s">
        <v>418</v>
      </c>
      <c r="I12" s="129"/>
      <c r="J12" s="129" t="s">
        <v>6</v>
      </c>
      <c r="K12" s="129" t="s">
        <v>97</v>
      </c>
      <c r="L12" s="129" t="n">
        <v>2</v>
      </c>
      <c r="M12" s="129" t="s">
        <v>210</v>
      </c>
      <c r="N12" s="129" t="s">
        <v>131</v>
      </c>
      <c r="O12" s="129"/>
      <c r="P12" s="38"/>
      <c r="Q12" s="129" t="s">
        <v>315</v>
      </c>
      <c r="R12" s="129" t="s">
        <v>321</v>
      </c>
      <c r="S12" s="129"/>
      <c r="T12" s="129" t="n">
        <v>1</v>
      </c>
      <c r="U12" s="129"/>
      <c r="X12" s="1"/>
      <c r="Y12" s="1"/>
      <c r="Z12" s="1"/>
      <c r="AA12" s="173" t="s">
        <v>427</v>
      </c>
    </row>
    <row r="13" customFormat="false" ht="15.75" hidden="false" customHeight="true" outlineLevel="0" collapsed="false">
      <c r="A13" s="129" t="s">
        <v>428</v>
      </c>
      <c r="B13" s="129" t="s">
        <v>381</v>
      </c>
      <c r="C13" s="38" t="s">
        <v>429</v>
      </c>
      <c r="D13" s="129" t="s">
        <v>240</v>
      </c>
      <c r="E13" s="129" t="s">
        <v>157</v>
      </c>
      <c r="F13" s="129" t="s">
        <v>383</v>
      </c>
      <c r="G13" s="129" t="s">
        <v>102</v>
      </c>
      <c r="H13" s="129" t="s">
        <v>418</v>
      </c>
      <c r="I13" s="129"/>
      <c r="J13" s="129" t="s">
        <v>6</v>
      </c>
      <c r="K13" s="129" t="s">
        <v>97</v>
      </c>
      <c r="L13" s="129" t="n">
        <v>2</v>
      </c>
      <c r="M13" s="129" t="s">
        <v>210</v>
      </c>
      <c r="N13" s="129" t="s">
        <v>131</v>
      </c>
      <c r="O13" s="129"/>
      <c r="P13" s="38"/>
      <c r="Q13" s="129" t="s">
        <v>315</v>
      </c>
      <c r="R13" s="129" t="s">
        <v>321</v>
      </c>
      <c r="S13" s="129"/>
      <c r="T13" s="129" t="n">
        <v>1</v>
      </c>
      <c r="U13" s="129"/>
      <c r="X13" s="1"/>
      <c r="Y13" s="1"/>
      <c r="Z13" s="1"/>
      <c r="AA13" s="173" t="s">
        <v>430</v>
      </c>
    </row>
    <row r="14" customFormat="false" ht="15.75" hidden="false" customHeight="true" outlineLevel="0" collapsed="false">
      <c r="A14" s="129" t="s">
        <v>431</v>
      </c>
      <c r="B14" s="129" t="s">
        <v>381</v>
      </c>
      <c r="C14" s="38" t="s">
        <v>432</v>
      </c>
      <c r="D14" s="129" t="s">
        <v>240</v>
      </c>
      <c r="E14" s="129" t="s">
        <v>157</v>
      </c>
      <c r="F14" s="129" t="s">
        <v>383</v>
      </c>
      <c r="G14" s="129" t="s">
        <v>102</v>
      </c>
      <c r="H14" s="129" t="s">
        <v>418</v>
      </c>
      <c r="I14" s="129"/>
      <c r="J14" s="129" t="s">
        <v>6</v>
      </c>
      <c r="K14" s="129" t="s">
        <v>97</v>
      </c>
      <c r="L14" s="129" t="n">
        <v>2</v>
      </c>
      <c r="M14" s="129" t="s">
        <v>210</v>
      </c>
      <c r="N14" s="129" t="s">
        <v>131</v>
      </c>
      <c r="O14" s="129"/>
      <c r="P14" s="38"/>
      <c r="Q14" s="129" t="s">
        <v>315</v>
      </c>
      <c r="R14" s="129" t="s">
        <v>321</v>
      </c>
      <c r="S14" s="129"/>
      <c r="T14" s="129" t="n">
        <v>1</v>
      </c>
      <c r="U14" s="129"/>
      <c r="X14" s="1"/>
      <c r="Y14" s="1"/>
      <c r="Z14" s="1"/>
      <c r="AA14" s="1"/>
    </row>
    <row r="15" customFormat="false" ht="15" hidden="false" customHeight="false" outlineLevel="0" collapsed="false">
      <c r="A15" s="1" t="s">
        <v>433</v>
      </c>
      <c r="B15" s="1" t="s">
        <v>381</v>
      </c>
      <c r="C15" s="1" t="s">
        <v>434</v>
      </c>
      <c r="D15" s="1" t="s">
        <v>240</v>
      </c>
      <c r="E15" s="1" t="s">
        <v>158</v>
      </c>
      <c r="F15" s="1" t="s">
        <v>383</v>
      </c>
      <c r="G15" s="1" t="s">
        <v>102</v>
      </c>
      <c r="H15" s="1" t="s">
        <v>418</v>
      </c>
      <c r="I15" s="1"/>
      <c r="J15" s="1" t="s">
        <v>6</v>
      </c>
      <c r="K15" s="1" t="s">
        <v>97</v>
      </c>
      <c r="L15" s="1" t="n">
        <v>2</v>
      </c>
      <c r="M15" s="1" t="s">
        <v>210</v>
      </c>
      <c r="N15" s="1" t="s">
        <v>131</v>
      </c>
      <c r="O15" s="1"/>
      <c r="P15" s="1"/>
      <c r="Q15" s="1" t="s">
        <v>313</v>
      </c>
      <c r="R15" s="1" t="s">
        <v>321</v>
      </c>
      <c r="S15" s="1"/>
      <c r="T15" s="1" t="n">
        <v>1</v>
      </c>
      <c r="U15" s="1"/>
      <c r="X15" s="1"/>
      <c r="Y15" s="1"/>
      <c r="Z15" s="1"/>
      <c r="AA15" s="1"/>
    </row>
    <row r="16" customFormat="false" ht="15" hidden="false" customHeight="false" outlineLevel="0" collapsed="false">
      <c r="A16" s="1" t="s">
        <v>435</v>
      </c>
      <c r="B16" s="1" t="s">
        <v>381</v>
      </c>
      <c r="C16" s="1" t="s">
        <v>436</v>
      </c>
      <c r="D16" s="1" t="s">
        <v>240</v>
      </c>
      <c r="E16" s="1" t="s">
        <v>158</v>
      </c>
      <c r="F16" s="1" t="s">
        <v>383</v>
      </c>
      <c r="G16" s="1" t="s">
        <v>102</v>
      </c>
      <c r="H16" s="1" t="s">
        <v>418</v>
      </c>
      <c r="I16" s="1"/>
      <c r="J16" s="1" t="s">
        <v>6</v>
      </c>
      <c r="K16" s="1" t="s">
        <v>97</v>
      </c>
      <c r="L16" s="1" t="n">
        <v>0</v>
      </c>
      <c r="M16" s="1" t="s">
        <v>210</v>
      </c>
      <c r="N16" s="1" t="s">
        <v>131</v>
      </c>
      <c r="O16" s="1"/>
      <c r="P16" s="1"/>
      <c r="Q16" s="1" t="s">
        <v>316</v>
      </c>
      <c r="R16" s="1" t="s">
        <v>325</v>
      </c>
      <c r="S16" s="1"/>
      <c r="T16" s="1" t="n">
        <v>1</v>
      </c>
      <c r="U16" s="1"/>
      <c r="X16" s="1"/>
      <c r="Y16" s="1"/>
      <c r="Z16" s="1"/>
      <c r="AA16" s="1"/>
    </row>
    <row r="17" customFormat="false" ht="15" hidden="false" customHeight="false" outlineLevel="0" collapsed="false">
      <c r="A17" s="1" t="s">
        <v>437</v>
      </c>
      <c r="B17" s="1" t="s">
        <v>381</v>
      </c>
      <c r="C17" s="1" t="s">
        <v>438</v>
      </c>
      <c r="D17" s="1" t="s">
        <v>240</v>
      </c>
      <c r="E17" s="1" t="s">
        <v>157</v>
      </c>
      <c r="F17" s="1" t="s">
        <v>383</v>
      </c>
      <c r="G17" s="1" t="s">
        <v>102</v>
      </c>
      <c r="H17" s="1" t="s">
        <v>418</v>
      </c>
      <c r="I17" s="1"/>
      <c r="J17" s="1" t="s">
        <v>6</v>
      </c>
      <c r="K17" s="1" t="s">
        <v>97</v>
      </c>
      <c r="L17" s="1" t="n">
        <v>2</v>
      </c>
      <c r="M17" s="1" t="s">
        <v>204</v>
      </c>
      <c r="N17" s="1" t="s">
        <v>131</v>
      </c>
      <c r="O17" s="1"/>
      <c r="P17" s="1"/>
      <c r="Q17" s="1" t="s">
        <v>314</v>
      </c>
      <c r="R17" s="1" t="s">
        <v>325</v>
      </c>
      <c r="S17" s="1"/>
      <c r="T17" s="1" t="n">
        <v>1</v>
      </c>
      <c r="U17" s="1"/>
      <c r="X17" s="1"/>
      <c r="Y17" s="1"/>
      <c r="Z17" s="1"/>
      <c r="AA17" s="1"/>
    </row>
    <row r="18" customFormat="false" ht="15" hidden="false" customHeight="false" outlineLevel="0" collapsed="false">
      <c r="A18" s="1" t="s">
        <v>439</v>
      </c>
      <c r="B18" s="1" t="s">
        <v>381</v>
      </c>
      <c r="C18" s="1" t="s">
        <v>440</v>
      </c>
      <c r="D18" s="1" t="s">
        <v>240</v>
      </c>
      <c r="E18" s="1" t="s">
        <v>157</v>
      </c>
      <c r="F18" s="1" t="s">
        <v>383</v>
      </c>
      <c r="G18" s="1" t="s">
        <v>102</v>
      </c>
      <c r="H18" s="1" t="s">
        <v>418</v>
      </c>
      <c r="I18" s="1"/>
      <c r="J18" s="1" t="s">
        <v>6</v>
      </c>
      <c r="K18" s="1" t="s">
        <v>97</v>
      </c>
      <c r="L18" s="1" t="n">
        <v>2</v>
      </c>
      <c r="M18" s="1" t="s">
        <v>206</v>
      </c>
      <c r="N18" s="1" t="s">
        <v>131</v>
      </c>
      <c r="O18" s="1"/>
      <c r="P18" s="1"/>
      <c r="Q18" s="1" t="s">
        <v>314</v>
      </c>
      <c r="R18" s="1" t="s">
        <v>325</v>
      </c>
      <c r="S18" s="1"/>
      <c r="T18" s="1" t="n">
        <v>1</v>
      </c>
      <c r="U18" s="1"/>
      <c r="X18" s="1"/>
      <c r="Y18" s="1"/>
      <c r="Z18" s="1"/>
      <c r="AA18" s="1"/>
    </row>
    <row r="19" customFormat="false" ht="15" hidden="false" customHeight="false" outlineLevel="0" collapsed="false">
      <c r="A19" s="1" t="s">
        <v>441</v>
      </c>
      <c r="B19" s="1" t="s">
        <v>381</v>
      </c>
      <c r="C19" s="1" t="s">
        <v>442</v>
      </c>
      <c r="D19" s="1" t="s">
        <v>240</v>
      </c>
      <c r="E19" s="1" t="s">
        <v>157</v>
      </c>
      <c r="F19" s="1" t="s">
        <v>383</v>
      </c>
      <c r="G19" s="1" t="s">
        <v>102</v>
      </c>
      <c r="H19" s="1" t="s">
        <v>418</v>
      </c>
      <c r="I19" s="1"/>
      <c r="J19" s="1" t="s">
        <v>6</v>
      </c>
      <c r="K19" s="1" t="s">
        <v>97</v>
      </c>
      <c r="L19" s="1" t="n">
        <v>2</v>
      </c>
      <c r="M19" s="1" t="s">
        <v>206</v>
      </c>
      <c r="N19" s="1" t="s">
        <v>131</v>
      </c>
      <c r="O19" s="1"/>
      <c r="P19" s="1"/>
      <c r="Q19" s="1" t="s">
        <v>314</v>
      </c>
      <c r="R19" s="1" t="s">
        <v>325</v>
      </c>
      <c r="S19" s="1"/>
      <c r="T19" s="1" t="n">
        <v>1</v>
      </c>
      <c r="U19" s="1"/>
      <c r="X19" s="1"/>
      <c r="Y19" s="1"/>
      <c r="Z19" s="1"/>
      <c r="AA19" s="1"/>
    </row>
    <row r="20" customFormat="false" ht="15" hidden="false" customHeight="false" outlineLevel="0" collapsed="false">
      <c r="A20" s="1" t="s">
        <v>443</v>
      </c>
      <c r="B20" s="1" t="s">
        <v>381</v>
      </c>
      <c r="C20" s="1" t="s">
        <v>444</v>
      </c>
      <c r="D20" s="1" t="s">
        <v>240</v>
      </c>
      <c r="E20" s="1" t="s">
        <v>156</v>
      </c>
      <c r="F20" s="1" t="s">
        <v>383</v>
      </c>
      <c r="G20" s="1" t="s">
        <v>102</v>
      </c>
      <c r="H20" s="1" t="s">
        <v>418</v>
      </c>
      <c r="I20" s="1"/>
      <c r="J20" s="1" t="s">
        <v>6</v>
      </c>
      <c r="K20" s="1" t="s">
        <v>97</v>
      </c>
      <c r="L20" s="1" t="n">
        <v>5</v>
      </c>
      <c r="M20" s="1" t="s">
        <v>196</v>
      </c>
      <c r="N20" s="1" t="s">
        <v>131</v>
      </c>
      <c r="O20" s="1"/>
      <c r="P20" s="1"/>
      <c r="Q20" s="1" t="s">
        <v>315</v>
      </c>
      <c r="R20" s="1" t="s">
        <v>321</v>
      </c>
      <c r="S20" s="1"/>
      <c r="T20" s="1" t="n">
        <v>1</v>
      </c>
      <c r="U20" s="1"/>
      <c r="X20" s="1"/>
      <c r="Y20" s="1"/>
      <c r="Z20" s="1"/>
      <c r="AA20" s="1"/>
    </row>
    <row r="21" customFormat="false" ht="15.75" hidden="false" customHeight="true" outlineLevel="0" collapsed="false">
      <c r="A21" s="1" t="s">
        <v>445</v>
      </c>
      <c r="B21" s="1" t="s">
        <v>381</v>
      </c>
      <c r="C21" s="1" t="s">
        <v>446</v>
      </c>
      <c r="D21" s="1" t="s">
        <v>240</v>
      </c>
      <c r="E21" s="1" t="s">
        <v>157</v>
      </c>
      <c r="F21" s="1" t="s">
        <v>383</v>
      </c>
      <c r="G21" s="1" t="s">
        <v>102</v>
      </c>
      <c r="H21" s="1" t="s">
        <v>418</v>
      </c>
      <c r="I21" s="1"/>
      <c r="J21" s="1" t="s">
        <v>6</v>
      </c>
      <c r="K21" s="1" t="s">
        <v>97</v>
      </c>
      <c r="L21" s="1" t="n">
        <v>0</v>
      </c>
      <c r="M21" s="1" t="s">
        <v>202</v>
      </c>
      <c r="N21" s="1" t="s">
        <v>131</v>
      </c>
      <c r="O21" s="1"/>
      <c r="P21" s="1"/>
      <c r="Q21" s="1" t="s">
        <v>314</v>
      </c>
      <c r="R21" s="1" t="s">
        <v>325</v>
      </c>
      <c r="S21" s="1"/>
      <c r="T21" s="1" t="n">
        <v>1</v>
      </c>
      <c r="U21" s="1"/>
      <c r="X21" s="1"/>
      <c r="Y21" s="1"/>
      <c r="Z21" s="1"/>
      <c r="AA21" s="1"/>
    </row>
    <row r="22" customFormat="false" ht="15.75" hidden="false" customHeight="true" outlineLevel="0" collapsed="false">
      <c r="A22" s="1" t="s">
        <v>447</v>
      </c>
      <c r="B22" s="1" t="s">
        <v>381</v>
      </c>
      <c r="C22" s="1" t="s">
        <v>448</v>
      </c>
      <c r="D22" s="1" t="s">
        <v>240</v>
      </c>
      <c r="E22" s="1" t="s">
        <v>405</v>
      </c>
      <c r="F22" s="1" t="s">
        <v>383</v>
      </c>
      <c r="G22" s="1" t="s">
        <v>102</v>
      </c>
      <c r="H22" s="1" t="s">
        <v>449</v>
      </c>
      <c r="I22" s="1"/>
      <c r="J22" s="1" t="s">
        <v>6</v>
      </c>
      <c r="K22" s="1" t="s">
        <v>97</v>
      </c>
      <c r="L22" s="1" t="n">
        <v>2</v>
      </c>
      <c r="M22" s="1" t="s">
        <v>194</v>
      </c>
      <c r="N22" s="1" t="s">
        <v>131</v>
      </c>
      <c r="O22" s="1"/>
      <c r="P22" s="1"/>
      <c r="Q22" s="1" t="s">
        <v>316</v>
      </c>
      <c r="R22" s="1" t="s">
        <v>325</v>
      </c>
      <c r="S22" s="1"/>
      <c r="T22" s="1" t="n">
        <v>1</v>
      </c>
      <c r="U22" s="1"/>
      <c r="X22" s="1"/>
      <c r="Y22" s="1"/>
      <c r="Z22" s="1"/>
      <c r="AA22" s="1"/>
    </row>
    <row r="23" customFormat="false" ht="15.75" hidden="false" customHeight="true" outlineLevel="0" collapsed="false">
      <c r="A23" s="1" t="s">
        <v>450</v>
      </c>
      <c r="B23" s="1" t="s">
        <v>381</v>
      </c>
      <c r="C23" s="1" t="s">
        <v>451</v>
      </c>
      <c r="D23" s="1" t="s">
        <v>240</v>
      </c>
      <c r="E23" s="1" t="s">
        <v>158</v>
      </c>
      <c r="F23" s="1" t="s">
        <v>383</v>
      </c>
      <c r="G23" s="1" t="s">
        <v>102</v>
      </c>
      <c r="H23" s="1" t="s">
        <v>449</v>
      </c>
      <c r="I23" s="1"/>
      <c r="J23" s="1" t="s">
        <v>6</v>
      </c>
      <c r="K23" s="1" t="s">
        <v>97</v>
      </c>
      <c r="L23" s="1" t="n">
        <v>2</v>
      </c>
      <c r="M23" s="1" t="s">
        <v>194</v>
      </c>
      <c r="N23" s="1" t="s">
        <v>131</v>
      </c>
      <c r="O23" s="1"/>
      <c r="P23" s="1"/>
      <c r="Q23" s="1" t="s">
        <v>316</v>
      </c>
      <c r="R23" s="1" t="s">
        <v>325</v>
      </c>
      <c r="S23" s="1"/>
      <c r="T23" s="1" t="n">
        <v>1</v>
      </c>
      <c r="U23" s="1"/>
      <c r="X23" s="1"/>
      <c r="Y23" s="1"/>
      <c r="Z23" s="1"/>
      <c r="AA23" s="1"/>
    </row>
    <row r="24" customFormat="false" ht="15.75" hidden="false" customHeight="true" outlineLevel="0" collapsed="false">
      <c r="A24" s="1" t="s">
        <v>452</v>
      </c>
      <c r="B24" s="1" t="s">
        <v>381</v>
      </c>
      <c r="C24" s="1" t="s">
        <v>453</v>
      </c>
      <c r="D24" s="1" t="s">
        <v>240</v>
      </c>
      <c r="E24" s="1" t="s">
        <v>158</v>
      </c>
      <c r="F24" s="1" t="s">
        <v>383</v>
      </c>
      <c r="G24" s="1" t="s">
        <v>102</v>
      </c>
      <c r="H24" s="1" t="s">
        <v>449</v>
      </c>
      <c r="I24" s="1"/>
      <c r="J24" s="1" t="s">
        <v>6</v>
      </c>
      <c r="K24" s="1" t="s">
        <v>97</v>
      </c>
      <c r="L24" s="1" t="n">
        <v>2</v>
      </c>
      <c r="M24" s="1" t="s">
        <v>198</v>
      </c>
      <c r="N24" s="1" t="s">
        <v>131</v>
      </c>
      <c r="O24" s="1"/>
      <c r="P24" s="1"/>
      <c r="Q24" s="1" t="s">
        <v>314</v>
      </c>
      <c r="R24" s="1" t="s">
        <v>325</v>
      </c>
      <c r="S24" s="1"/>
      <c r="T24" s="1" t="n">
        <v>1</v>
      </c>
      <c r="U24" s="1"/>
      <c r="X24" s="1"/>
      <c r="Y24" s="1"/>
      <c r="Z24" s="1"/>
      <c r="AA24" s="1"/>
    </row>
    <row r="25" customFormat="false" ht="15.75" hidden="false" customHeight="true" outlineLevel="0" collapsed="false">
      <c r="A25" s="1" t="s">
        <v>454</v>
      </c>
      <c r="B25" s="1" t="s">
        <v>381</v>
      </c>
      <c r="C25" s="1" t="s">
        <v>455</v>
      </c>
      <c r="D25" s="1" t="s">
        <v>240</v>
      </c>
      <c r="E25" s="1" t="s">
        <v>158</v>
      </c>
      <c r="F25" s="1" t="s">
        <v>383</v>
      </c>
      <c r="G25" s="1" t="s">
        <v>102</v>
      </c>
      <c r="H25" s="1" t="s">
        <v>449</v>
      </c>
      <c r="I25" s="1"/>
      <c r="J25" s="1" t="s">
        <v>6</v>
      </c>
      <c r="K25" s="1" t="s">
        <v>97</v>
      </c>
      <c r="L25" s="1" t="n">
        <v>0</v>
      </c>
      <c r="M25" s="1" t="s">
        <v>198</v>
      </c>
      <c r="N25" s="1" t="s">
        <v>131</v>
      </c>
      <c r="O25" s="1"/>
      <c r="P25" s="1"/>
      <c r="Q25" s="1" t="s">
        <v>314</v>
      </c>
      <c r="R25" s="1" t="s">
        <v>325</v>
      </c>
      <c r="S25" s="1"/>
      <c r="T25" s="1" t="n">
        <v>1</v>
      </c>
      <c r="U25" s="1"/>
      <c r="X25" s="1"/>
      <c r="Y25" s="1"/>
      <c r="Z25" s="1"/>
      <c r="AA25" s="1"/>
    </row>
    <row r="26" customFormat="false" ht="15.75" hidden="false" customHeight="true" outlineLevel="0" collapsed="false">
      <c r="A26" s="1" t="s">
        <v>456</v>
      </c>
      <c r="B26" s="1" t="s">
        <v>381</v>
      </c>
      <c r="C26" s="1" t="s">
        <v>457</v>
      </c>
      <c r="D26" s="1" t="s">
        <v>240</v>
      </c>
      <c r="E26" s="1" t="s">
        <v>158</v>
      </c>
      <c r="F26" s="1" t="s">
        <v>383</v>
      </c>
      <c r="G26" s="1" t="s">
        <v>102</v>
      </c>
      <c r="H26" s="1" t="s">
        <v>449</v>
      </c>
      <c r="I26" s="1"/>
      <c r="J26" s="1" t="s">
        <v>6</v>
      </c>
      <c r="K26" s="1" t="s">
        <v>97</v>
      </c>
      <c r="L26" s="1" t="n">
        <v>0</v>
      </c>
      <c r="M26" s="1" t="s">
        <v>212</v>
      </c>
      <c r="N26" s="1" t="s">
        <v>131</v>
      </c>
      <c r="O26" s="1"/>
      <c r="P26" s="1"/>
      <c r="Q26" s="1" t="s">
        <v>318</v>
      </c>
      <c r="R26" s="1" t="s">
        <v>325</v>
      </c>
      <c r="S26" s="1"/>
      <c r="T26" s="1" t="n">
        <v>1</v>
      </c>
      <c r="U26" s="1"/>
      <c r="X26" s="1"/>
      <c r="Y26" s="1"/>
      <c r="Z26" s="1"/>
      <c r="AA26" s="1"/>
    </row>
    <row r="27" customFormat="false" ht="15.75" hidden="false" customHeight="true" outlineLevel="0" collapsed="false">
      <c r="A27" s="1" t="s">
        <v>458</v>
      </c>
      <c r="B27" s="1" t="s">
        <v>381</v>
      </c>
      <c r="C27" s="1" t="s">
        <v>459</v>
      </c>
      <c r="D27" s="1" t="s">
        <v>240</v>
      </c>
      <c r="E27" s="1" t="s">
        <v>158</v>
      </c>
      <c r="F27" s="1" t="s">
        <v>383</v>
      </c>
      <c r="G27" s="1" t="s">
        <v>102</v>
      </c>
      <c r="H27" s="1" t="s">
        <v>449</v>
      </c>
      <c r="I27" s="1"/>
      <c r="J27" s="1" t="s">
        <v>6</v>
      </c>
      <c r="K27" s="1" t="s">
        <v>97</v>
      </c>
      <c r="L27" s="1" t="n">
        <v>2</v>
      </c>
      <c r="M27" s="1" t="s">
        <v>212</v>
      </c>
      <c r="N27" s="1" t="s">
        <v>131</v>
      </c>
      <c r="O27" s="1"/>
      <c r="P27" s="1"/>
      <c r="Q27" s="1" t="s">
        <v>314</v>
      </c>
      <c r="R27" s="1" t="s">
        <v>325</v>
      </c>
      <c r="S27" s="1"/>
      <c r="T27" s="1" t="n">
        <v>1</v>
      </c>
      <c r="U27" s="1"/>
      <c r="X27" s="1"/>
      <c r="Y27" s="1"/>
      <c r="Z27" s="1"/>
      <c r="AA27" s="1"/>
    </row>
    <row r="28" customFormat="false" ht="15.75" hidden="false" customHeight="true" outlineLevel="0" collapsed="false">
      <c r="A28" s="1" t="s">
        <v>460</v>
      </c>
      <c r="B28" s="1" t="s">
        <v>381</v>
      </c>
      <c r="C28" s="1" t="s">
        <v>461</v>
      </c>
      <c r="D28" s="1" t="s">
        <v>240</v>
      </c>
      <c r="E28" s="1" t="s">
        <v>158</v>
      </c>
      <c r="F28" s="1" t="s">
        <v>383</v>
      </c>
      <c r="G28" s="1" t="s">
        <v>102</v>
      </c>
      <c r="H28" s="1" t="s">
        <v>449</v>
      </c>
      <c r="I28" s="1"/>
      <c r="J28" s="1" t="s">
        <v>6</v>
      </c>
      <c r="K28" s="1" t="s">
        <v>97</v>
      </c>
      <c r="L28" s="1" t="n">
        <v>2</v>
      </c>
      <c r="M28" s="1" t="s">
        <v>212</v>
      </c>
      <c r="N28" s="1" t="s">
        <v>131</v>
      </c>
      <c r="O28" s="1"/>
      <c r="P28" s="1"/>
      <c r="Q28" s="1" t="s">
        <v>316</v>
      </c>
      <c r="R28" s="1" t="s">
        <v>325</v>
      </c>
      <c r="S28" s="1"/>
      <c r="T28" s="1" t="n">
        <v>1</v>
      </c>
      <c r="U28" s="1"/>
      <c r="X28" s="1"/>
      <c r="Y28" s="1"/>
      <c r="Z28" s="1"/>
      <c r="AA28" s="1"/>
    </row>
    <row r="29" customFormat="false" ht="15.75" hidden="false" customHeight="true" outlineLevel="0" collapsed="false">
      <c r="A29" s="1" t="s">
        <v>462</v>
      </c>
      <c r="B29" s="1" t="s">
        <v>381</v>
      </c>
      <c r="C29" s="1" t="s">
        <v>463</v>
      </c>
      <c r="D29" s="1" t="s">
        <v>240</v>
      </c>
      <c r="E29" s="1" t="s">
        <v>157</v>
      </c>
      <c r="F29" s="1" t="s">
        <v>383</v>
      </c>
      <c r="G29" s="1" t="s">
        <v>102</v>
      </c>
      <c r="H29" s="1" t="s">
        <v>449</v>
      </c>
      <c r="I29" s="1"/>
      <c r="J29" s="1" t="s">
        <v>6</v>
      </c>
      <c r="K29" s="1" t="s">
        <v>97</v>
      </c>
      <c r="L29" s="1" t="n">
        <v>2</v>
      </c>
      <c r="M29" s="1" t="s">
        <v>212</v>
      </c>
      <c r="N29" s="1" t="s">
        <v>131</v>
      </c>
      <c r="O29" s="1"/>
      <c r="P29" s="1"/>
      <c r="Q29" s="1" t="s">
        <v>315</v>
      </c>
      <c r="R29" s="1" t="s">
        <v>321</v>
      </c>
      <c r="S29" s="1"/>
      <c r="T29" s="1" t="n">
        <v>1</v>
      </c>
      <c r="U29" s="1"/>
      <c r="X29" s="1"/>
      <c r="Y29" s="1"/>
      <c r="Z29" s="1"/>
      <c r="AA29" s="1"/>
    </row>
    <row r="30" customFormat="false" ht="15.75" hidden="false" customHeight="true" outlineLevel="0" collapsed="false">
      <c r="A30" s="1" t="s">
        <v>464</v>
      </c>
      <c r="B30" s="1" t="s">
        <v>381</v>
      </c>
      <c r="C30" s="1" t="s">
        <v>465</v>
      </c>
      <c r="D30" s="1" t="s">
        <v>240</v>
      </c>
      <c r="E30" s="1" t="s">
        <v>157</v>
      </c>
      <c r="F30" s="1" t="s">
        <v>383</v>
      </c>
      <c r="G30" s="1" t="s">
        <v>102</v>
      </c>
      <c r="H30" s="1" t="s">
        <v>449</v>
      </c>
      <c r="I30" s="1"/>
      <c r="J30" s="1" t="s">
        <v>6</v>
      </c>
      <c r="K30" s="1" t="s">
        <v>97</v>
      </c>
      <c r="L30" s="1" t="n">
        <v>5</v>
      </c>
      <c r="M30" s="1" t="s">
        <v>212</v>
      </c>
      <c r="N30" s="1" t="s">
        <v>131</v>
      </c>
      <c r="O30" s="1"/>
      <c r="P30" s="1"/>
      <c r="Q30" s="1" t="s">
        <v>316</v>
      </c>
      <c r="R30" s="1" t="s">
        <v>321</v>
      </c>
      <c r="S30" s="1"/>
      <c r="T30" s="1" t="n">
        <v>1</v>
      </c>
      <c r="U30" s="1"/>
      <c r="X30" s="1"/>
      <c r="Y30" s="1"/>
      <c r="Z30" s="1"/>
      <c r="AA30" s="1"/>
    </row>
    <row r="31" customFormat="false" ht="15.75" hidden="false" customHeight="true" outlineLevel="0" collapsed="false">
      <c r="A31" s="1" t="s">
        <v>466</v>
      </c>
      <c r="B31" s="1" t="s">
        <v>381</v>
      </c>
      <c r="C31" s="1" t="s">
        <v>467</v>
      </c>
      <c r="D31" s="1" t="s">
        <v>240</v>
      </c>
      <c r="E31" s="1" t="s">
        <v>157</v>
      </c>
      <c r="F31" s="1" t="s">
        <v>383</v>
      </c>
      <c r="G31" s="1" t="s">
        <v>102</v>
      </c>
      <c r="H31" s="1" t="s">
        <v>449</v>
      </c>
      <c r="I31" s="1"/>
      <c r="J31" s="1" t="s">
        <v>6</v>
      </c>
      <c r="K31" s="1" t="s">
        <v>97</v>
      </c>
      <c r="L31" s="1" t="n">
        <v>5</v>
      </c>
      <c r="M31" s="1" t="s">
        <v>212</v>
      </c>
      <c r="N31" s="1" t="s">
        <v>131</v>
      </c>
      <c r="O31" s="1"/>
      <c r="P31" s="1"/>
      <c r="Q31" s="1" t="s">
        <v>315</v>
      </c>
      <c r="R31" s="1" t="s">
        <v>321</v>
      </c>
      <c r="S31" s="1"/>
      <c r="T31" s="1" t="n">
        <v>1</v>
      </c>
      <c r="U31" s="1"/>
      <c r="X31" s="1"/>
      <c r="Y31" s="1"/>
      <c r="Z31" s="1"/>
      <c r="AA31" s="1"/>
    </row>
    <row r="32" customFormat="false" ht="15.75" hidden="false" customHeight="true" outlineLevel="0" collapsed="false">
      <c r="A32" s="1" t="s">
        <v>468</v>
      </c>
      <c r="B32" s="1" t="s">
        <v>381</v>
      </c>
      <c r="C32" s="1" t="s">
        <v>469</v>
      </c>
      <c r="D32" s="1" t="s">
        <v>240</v>
      </c>
      <c r="E32" s="1" t="s">
        <v>157</v>
      </c>
      <c r="F32" s="1" t="s">
        <v>383</v>
      </c>
      <c r="G32" s="1" t="s">
        <v>102</v>
      </c>
      <c r="H32" s="1" t="s">
        <v>449</v>
      </c>
      <c r="I32" s="1"/>
      <c r="J32" s="1" t="s">
        <v>6</v>
      </c>
      <c r="K32" s="1" t="s">
        <v>97</v>
      </c>
      <c r="L32" s="1" t="n">
        <v>2</v>
      </c>
      <c r="M32" s="1" t="s">
        <v>200</v>
      </c>
      <c r="N32" s="1" t="s">
        <v>131</v>
      </c>
      <c r="O32" s="1"/>
      <c r="P32" s="1"/>
      <c r="Q32" s="1" t="s">
        <v>314</v>
      </c>
      <c r="R32" s="1" t="s">
        <v>325</v>
      </c>
      <c r="S32" s="1"/>
      <c r="T32" s="1" t="n">
        <v>1</v>
      </c>
      <c r="U32" s="1"/>
      <c r="X32" s="1"/>
      <c r="Y32" s="1"/>
      <c r="Z32" s="1"/>
      <c r="AA32" s="1"/>
    </row>
    <row r="33" customFormat="false" ht="15.75" hidden="false" customHeight="true" outlineLevel="0" collapsed="false">
      <c r="A33" s="1" t="s">
        <v>470</v>
      </c>
      <c r="B33" s="1" t="s">
        <v>381</v>
      </c>
      <c r="C33" s="1" t="s">
        <v>471</v>
      </c>
      <c r="D33" s="1" t="s">
        <v>240</v>
      </c>
      <c r="E33" s="1" t="s">
        <v>157</v>
      </c>
      <c r="F33" s="1" t="s">
        <v>383</v>
      </c>
      <c r="G33" s="1" t="s">
        <v>102</v>
      </c>
      <c r="H33" s="1" t="s">
        <v>449</v>
      </c>
      <c r="I33" s="1"/>
      <c r="J33" s="1" t="s">
        <v>6</v>
      </c>
      <c r="K33" s="1" t="s">
        <v>97</v>
      </c>
      <c r="L33" s="1" t="n">
        <v>2</v>
      </c>
      <c r="M33" s="1" t="s">
        <v>198</v>
      </c>
      <c r="N33" s="1" t="s">
        <v>131</v>
      </c>
      <c r="O33" s="1"/>
      <c r="P33" s="1"/>
      <c r="Q33" s="1" t="s">
        <v>314</v>
      </c>
      <c r="R33" s="1" t="s">
        <v>325</v>
      </c>
      <c r="S33" s="1"/>
      <c r="T33" s="1" t="n">
        <v>1</v>
      </c>
      <c r="U33" s="1"/>
      <c r="X33" s="1"/>
      <c r="Y33" s="1"/>
      <c r="Z33" s="1"/>
      <c r="AA33" s="1"/>
    </row>
    <row r="34" customFormat="false" ht="15.75" hidden="false" customHeight="true" outlineLevel="0" collapsed="false">
      <c r="A34" s="1" t="s">
        <v>472</v>
      </c>
      <c r="B34" s="1" t="s">
        <v>381</v>
      </c>
      <c r="C34" s="1" t="s">
        <v>473</v>
      </c>
      <c r="D34" s="1" t="s">
        <v>474</v>
      </c>
      <c r="E34" s="1" t="s">
        <v>157</v>
      </c>
      <c r="F34" s="1" t="s">
        <v>475</v>
      </c>
      <c r="G34" s="1" t="s">
        <v>102</v>
      </c>
      <c r="H34" s="1" t="s">
        <v>449</v>
      </c>
      <c r="I34" s="1" t="s">
        <v>449</v>
      </c>
      <c r="J34" s="1" t="s">
        <v>6</v>
      </c>
      <c r="K34" s="1" t="s">
        <v>97</v>
      </c>
      <c r="L34" s="1" t="n">
        <v>5</v>
      </c>
      <c r="M34" s="1" t="s">
        <v>208</v>
      </c>
      <c r="N34" s="1" t="s">
        <v>131</v>
      </c>
      <c r="O34" s="1" t="s">
        <v>282</v>
      </c>
      <c r="P34" s="1"/>
      <c r="Q34" s="1" t="s">
        <v>314</v>
      </c>
      <c r="R34" s="1" t="s">
        <v>325</v>
      </c>
      <c r="S34" s="1"/>
      <c r="T34" s="1" t="n">
        <v>1</v>
      </c>
      <c r="U34" s="1"/>
      <c r="X34" s="1"/>
      <c r="Y34" s="1"/>
      <c r="Z34" s="1"/>
      <c r="AA34" s="1"/>
    </row>
    <row r="35" customFormat="false" ht="15.75" hidden="false" customHeight="true" outlineLevel="0" collapsed="false">
      <c r="A35" s="1" t="s">
        <v>476</v>
      </c>
      <c r="B35" s="1" t="s">
        <v>381</v>
      </c>
      <c r="C35" s="1" t="s">
        <v>477</v>
      </c>
      <c r="D35" s="1" t="s">
        <v>240</v>
      </c>
      <c r="E35" s="1" t="s">
        <v>157</v>
      </c>
      <c r="F35" s="1" t="s">
        <v>383</v>
      </c>
      <c r="G35" s="1" t="s">
        <v>102</v>
      </c>
      <c r="H35" s="1" t="s">
        <v>449</v>
      </c>
      <c r="I35" s="1"/>
      <c r="J35" s="1" t="s">
        <v>6</v>
      </c>
      <c r="K35" s="1" t="s">
        <v>97</v>
      </c>
      <c r="L35" s="1" t="n">
        <v>2</v>
      </c>
      <c r="M35" s="1" t="s">
        <v>210</v>
      </c>
      <c r="N35" s="1" t="s">
        <v>131</v>
      </c>
      <c r="O35" s="1"/>
      <c r="P35" s="1"/>
      <c r="Q35" s="1" t="s">
        <v>315</v>
      </c>
      <c r="R35" s="1" t="s">
        <v>321</v>
      </c>
      <c r="S35" s="1"/>
      <c r="T35" s="1" t="n">
        <v>1</v>
      </c>
      <c r="U35" s="1"/>
      <c r="X35" s="1"/>
      <c r="Y35" s="1"/>
      <c r="Z35" s="1"/>
      <c r="AA35" s="1"/>
    </row>
    <row r="36" customFormat="false" ht="15.75" hidden="false" customHeight="true" outlineLevel="0" collapsed="false">
      <c r="A36" s="1" t="s">
        <v>478</v>
      </c>
      <c r="B36" s="1" t="s">
        <v>381</v>
      </c>
      <c r="C36" s="1" t="s">
        <v>479</v>
      </c>
      <c r="D36" s="1" t="s">
        <v>240</v>
      </c>
      <c r="E36" s="1" t="s">
        <v>157</v>
      </c>
      <c r="F36" s="1" t="s">
        <v>383</v>
      </c>
      <c r="G36" s="1" t="s">
        <v>102</v>
      </c>
      <c r="H36" s="1" t="s">
        <v>449</v>
      </c>
      <c r="I36" s="1"/>
      <c r="J36" s="1" t="s">
        <v>6</v>
      </c>
      <c r="K36" s="1" t="s">
        <v>97</v>
      </c>
      <c r="L36" s="1" t="n">
        <v>5</v>
      </c>
      <c r="M36" s="1" t="s">
        <v>200</v>
      </c>
      <c r="N36" s="1" t="s">
        <v>131</v>
      </c>
      <c r="O36" s="1"/>
      <c r="P36" s="1"/>
      <c r="Q36" s="1" t="s">
        <v>313</v>
      </c>
      <c r="R36" s="1" t="s">
        <v>321</v>
      </c>
      <c r="S36" s="1"/>
      <c r="T36" s="1" t="n">
        <v>1</v>
      </c>
      <c r="U36" s="1"/>
      <c r="X36" s="1"/>
      <c r="Y36" s="1"/>
      <c r="Z36" s="1"/>
      <c r="AA36" s="1"/>
    </row>
    <row r="37" customFormat="false" ht="15.75" hidden="false" customHeight="true" outlineLevel="0" collapsed="false">
      <c r="A37" s="1" t="s">
        <v>480</v>
      </c>
      <c r="B37" s="1" t="s">
        <v>381</v>
      </c>
      <c r="C37" s="1" t="s">
        <v>481</v>
      </c>
      <c r="D37" s="1" t="s">
        <v>240</v>
      </c>
      <c r="E37" s="1" t="s">
        <v>157</v>
      </c>
      <c r="F37" s="1" t="s">
        <v>383</v>
      </c>
      <c r="G37" s="1" t="s">
        <v>102</v>
      </c>
      <c r="H37" s="1" t="s">
        <v>449</v>
      </c>
      <c r="I37" s="1"/>
      <c r="J37" s="1" t="s">
        <v>6</v>
      </c>
      <c r="K37" s="1" t="s">
        <v>97</v>
      </c>
      <c r="L37" s="1" t="n">
        <v>0</v>
      </c>
      <c r="M37" s="1" t="s">
        <v>200</v>
      </c>
      <c r="N37" s="1" t="s">
        <v>131</v>
      </c>
      <c r="O37" s="1"/>
      <c r="P37" s="1"/>
      <c r="Q37" s="1" t="s">
        <v>314</v>
      </c>
      <c r="R37" s="1" t="s">
        <v>325</v>
      </c>
      <c r="S37" s="1"/>
      <c r="T37" s="1" t="n">
        <v>1</v>
      </c>
      <c r="U37" s="1"/>
      <c r="X37" s="1"/>
      <c r="Y37" s="1"/>
      <c r="Z37" s="1"/>
      <c r="AA37" s="1"/>
    </row>
    <row r="38" customFormat="false" ht="15.75" hidden="false" customHeight="true" outlineLevel="0" collapsed="false">
      <c r="A38" s="1" t="s">
        <v>482</v>
      </c>
      <c r="B38" s="1" t="s">
        <v>381</v>
      </c>
      <c r="C38" s="1" t="s">
        <v>483</v>
      </c>
      <c r="D38" s="1" t="s">
        <v>240</v>
      </c>
      <c r="E38" s="1" t="s">
        <v>157</v>
      </c>
      <c r="F38" s="1" t="s">
        <v>383</v>
      </c>
      <c r="G38" s="1" t="s">
        <v>102</v>
      </c>
      <c r="H38" s="1" t="s">
        <v>449</v>
      </c>
      <c r="I38" s="1"/>
      <c r="J38" s="1" t="s">
        <v>6</v>
      </c>
      <c r="K38" s="1" t="s">
        <v>97</v>
      </c>
      <c r="L38" s="1" t="n">
        <v>2</v>
      </c>
      <c r="M38" s="1" t="s">
        <v>200</v>
      </c>
      <c r="N38" s="1" t="s">
        <v>131</v>
      </c>
      <c r="O38" s="1"/>
      <c r="P38" s="1"/>
      <c r="Q38" s="1" t="s">
        <v>315</v>
      </c>
      <c r="R38" s="1" t="s">
        <v>321</v>
      </c>
      <c r="S38" s="1"/>
      <c r="T38" s="1" t="n">
        <v>1</v>
      </c>
      <c r="U38" s="1"/>
      <c r="X38" s="1"/>
      <c r="Y38" s="1"/>
      <c r="Z38" s="1"/>
      <c r="AA38" s="1"/>
    </row>
    <row r="39" customFormat="false" ht="15.75" hidden="false" customHeight="true" outlineLevel="0" collapsed="false">
      <c r="A39" s="1" t="s">
        <v>484</v>
      </c>
      <c r="B39" s="1" t="s">
        <v>381</v>
      </c>
      <c r="C39" s="1" t="s">
        <v>485</v>
      </c>
      <c r="D39" s="1" t="s">
        <v>240</v>
      </c>
      <c r="E39" s="1" t="s">
        <v>157</v>
      </c>
      <c r="F39" s="1" t="s">
        <v>383</v>
      </c>
      <c r="G39" s="1" t="s">
        <v>102</v>
      </c>
      <c r="H39" s="1" t="s">
        <v>449</v>
      </c>
      <c r="I39" s="1"/>
      <c r="J39" s="1" t="s">
        <v>6</v>
      </c>
      <c r="K39" s="1" t="s">
        <v>97</v>
      </c>
      <c r="L39" s="1" t="n">
        <v>2</v>
      </c>
      <c r="M39" s="1" t="s">
        <v>200</v>
      </c>
      <c r="N39" s="1" t="s">
        <v>131</v>
      </c>
      <c r="O39" s="1"/>
      <c r="P39" s="1"/>
      <c r="Q39" s="1" t="s">
        <v>314</v>
      </c>
      <c r="R39" s="1" t="s">
        <v>325</v>
      </c>
      <c r="S39" s="1"/>
      <c r="T39" s="1" t="n">
        <v>1</v>
      </c>
      <c r="U39" s="1"/>
      <c r="X39" s="1"/>
      <c r="Y39" s="1"/>
      <c r="Z39" s="1"/>
      <c r="AA39" s="1"/>
    </row>
    <row r="40" customFormat="false" ht="15.75" hidden="false" customHeight="true" outlineLevel="0" collapsed="false">
      <c r="A40" s="1" t="s">
        <v>486</v>
      </c>
      <c r="B40" s="1" t="s">
        <v>381</v>
      </c>
      <c r="C40" s="1" t="s">
        <v>487</v>
      </c>
      <c r="D40" s="1" t="s">
        <v>240</v>
      </c>
      <c r="E40" s="1" t="s">
        <v>157</v>
      </c>
      <c r="F40" s="1" t="s">
        <v>383</v>
      </c>
      <c r="G40" s="1" t="s">
        <v>102</v>
      </c>
      <c r="H40" s="1" t="s">
        <v>449</v>
      </c>
      <c r="I40" s="1"/>
      <c r="J40" s="1" t="s">
        <v>6</v>
      </c>
      <c r="K40" s="1" t="s">
        <v>97</v>
      </c>
      <c r="L40" s="1" t="n">
        <v>5</v>
      </c>
      <c r="M40" s="1" t="s">
        <v>200</v>
      </c>
      <c r="N40" s="1" t="s">
        <v>131</v>
      </c>
      <c r="O40" s="1"/>
      <c r="P40" s="1"/>
      <c r="Q40" s="1" t="s">
        <v>315</v>
      </c>
      <c r="R40" s="1" t="s">
        <v>321</v>
      </c>
      <c r="S40" s="1"/>
      <c r="T40" s="1" t="n">
        <v>1</v>
      </c>
      <c r="U40" s="1"/>
      <c r="X40" s="1"/>
      <c r="Y40" s="1"/>
      <c r="Z40" s="1"/>
      <c r="AA40" s="1"/>
    </row>
    <row r="41" customFormat="false" ht="15.75" hidden="false" customHeight="true" outlineLevel="0" collapsed="false">
      <c r="A41" s="1" t="s">
        <v>488</v>
      </c>
      <c r="B41" s="1" t="s">
        <v>381</v>
      </c>
      <c r="C41" s="1" t="s">
        <v>489</v>
      </c>
      <c r="D41" s="1" t="s">
        <v>240</v>
      </c>
      <c r="E41" s="1" t="s">
        <v>157</v>
      </c>
      <c r="F41" s="1" t="s">
        <v>383</v>
      </c>
      <c r="G41" s="1" t="s">
        <v>102</v>
      </c>
      <c r="H41" s="1" t="s">
        <v>449</v>
      </c>
      <c r="I41" s="1"/>
      <c r="J41" s="1" t="s">
        <v>6</v>
      </c>
      <c r="K41" s="1" t="s">
        <v>97</v>
      </c>
      <c r="L41" s="1" t="n">
        <v>5</v>
      </c>
      <c r="M41" s="1" t="s">
        <v>200</v>
      </c>
      <c r="N41" s="1" t="s">
        <v>131</v>
      </c>
      <c r="O41" s="1"/>
      <c r="P41" s="1"/>
      <c r="Q41" s="1" t="s">
        <v>315</v>
      </c>
      <c r="R41" s="1" t="s">
        <v>321</v>
      </c>
      <c r="S41" s="1"/>
      <c r="T41" s="1" t="n">
        <v>1</v>
      </c>
      <c r="U41" s="1"/>
      <c r="X41" s="1"/>
      <c r="Y41" s="1"/>
      <c r="Z41" s="1"/>
      <c r="AA41" s="1"/>
    </row>
    <row r="42" customFormat="false" ht="15.75" hidden="false" customHeight="true" outlineLevel="0" collapsed="false">
      <c r="A42" s="1"/>
      <c r="B42" s="1"/>
      <c r="C42" s="1"/>
      <c r="D42" s="1"/>
      <c r="E42" s="1"/>
      <c r="F42" s="1"/>
      <c r="G42" s="1"/>
      <c r="H42" s="1"/>
      <c r="I42" s="1"/>
      <c r="J42" s="1"/>
      <c r="K42" s="1"/>
      <c r="L42" s="1"/>
      <c r="M42" s="1"/>
      <c r="N42" s="1"/>
      <c r="O42" s="1"/>
      <c r="P42" s="1"/>
      <c r="Q42" s="1"/>
      <c r="R42" s="1"/>
      <c r="S42" s="1"/>
      <c r="T42" s="1"/>
      <c r="U42" s="1"/>
      <c r="X42" s="1"/>
      <c r="Y42" s="1"/>
      <c r="Z42" s="1"/>
      <c r="AA42" s="1"/>
    </row>
    <row r="43" customFormat="false" ht="15.75" hidden="false" customHeight="true" outlineLevel="0" collapsed="false">
      <c r="A43" s="1"/>
      <c r="B43" s="1"/>
      <c r="C43" s="1"/>
      <c r="D43" s="1"/>
      <c r="E43" s="1"/>
      <c r="F43" s="1"/>
      <c r="G43" s="1"/>
      <c r="H43" s="1"/>
      <c r="I43" s="1"/>
      <c r="J43" s="1"/>
      <c r="K43" s="1"/>
      <c r="L43" s="1"/>
      <c r="M43" s="1"/>
      <c r="N43" s="1"/>
      <c r="O43" s="1"/>
      <c r="P43" s="1"/>
      <c r="Q43" s="1"/>
      <c r="R43" s="1"/>
      <c r="S43" s="1"/>
      <c r="T43" s="1"/>
      <c r="U43" s="1"/>
      <c r="X43" s="1"/>
      <c r="Y43" s="1"/>
      <c r="Z43" s="1"/>
      <c r="AA43" s="1"/>
    </row>
    <row r="44" customFormat="false" ht="15.75" hidden="false" customHeight="true" outlineLevel="0" collapsed="false">
      <c r="A44" s="1"/>
      <c r="B44" s="1"/>
      <c r="C44" s="1"/>
      <c r="D44" s="1"/>
      <c r="E44" s="1"/>
      <c r="F44" s="1"/>
      <c r="G44" s="1"/>
      <c r="H44" s="1"/>
      <c r="I44" s="1"/>
      <c r="J44" s="1"/>
      <c r="K44" s="1"/>
      <c r="L44" s="1"/>
      <c r="M44" s="1"/>
      <c r="N44" s="1"/>
      <c r="O44" s="1"/>
      <c r="P44" s="1"/>
      <c r="Q44" s="1"/>
      <c r="R44" s="1"/>
      <c r="S44" s="1"/>
      <c r="T44" s="1"/>
      <c r="U44" s="1"/>
      <c r="X44" s="1"/>
      <c r="Y44" s="1"/>
      <c r="Z44" s="1"/>
      <c r="AA44" s="1"/>
    </row>
    <row r="45" customFormat="false" ht="15.75" hidden="false" customHeight="true" outlineLevel="0" collapsed="false">
      <c r="A45" s="1"/>
      <c r="B45" s="1"/>
      <c r="C45" s="1"/>
      <c r="D45" s="1"/>
      <c r="E45" s="1"/>
      <c r="F45" s="1"/>
      <c r="G45" s="1"/>
      <c r="H45" s="1"/>
      <c r="I45" s="1"/>
      <c r="J45" s="1"/>
      <c r="K45" s="1"/>
      <c r="L45" s="1"/>
      <c r="M45" s="1"/>
      <c r="N45" s="1"/>
      <c r="O45" s="1"/>
      <c r="P45" s="1"/>
      <c r="Q45" s="1"/>
      <c r="R45" s="1"/>
      <c r="S45" s="1"/>
      <c r="T45" s="1"/>
      <c r="U45" s="1"/>
      <c r="X45" s="1"/>
      <c r="Y45" s="1"/>
      <c r="Z45" s="1"/>
      <c r="AA45" s="1"/>
    </row>
    <row r="46" customFormat="false" ht="15.75" hidden="false" customHeight="true" outlineLevel="0" collapsed="false">
      <c r="A46" s="1"/>
      <c r="B46" s="1"/>
      <c r="C46" s="1"/>
      <c r="D46" s="1"/>
      <c r="E46" s="1"/>
      <c r="F46" s="1"/>
      <c r="G46" s="1"/>
      <c r="H46" s="1"/>
      <c r="I46" s="1"/>
      <c r="J46" s="1"/>
      <c r="K46" s="1"/>
      <c r="L46" s="1"/>
      <c r="M46" s="1"/>
      <c r="N46" s="1"/>
      <c r="O46" s="1"/>
      <c r="P46" s="1"/>
      <c r="Q46" s="1"/>
      <c r="R46" s="1"/>
      <c r="S46" s="1"/>
      <c r="T46" s="1"/>
      <c r="U46" s="1"/>
      <c r="X46" s="1"/>
      <c r="Y46" s="1"/>
      <c r="Z46" s="1"/>
      <c r="AA46" s="1"/>
    </row>
    <row r="47" customFormat="false" ht="15.75" hidden="false" customHeight="true" outlineLevel="0" collapsed="false">
      <c r="A47" s="1"/>
      <c r="B47" s="1"/>
      <c r="C47" s="1"/>
      <c r="D47" s="1"/>
      <c r="E47" s="1"/>
      <c r="F47" s="1"/>
      <c r="G47" s="1"/>
      <c r="H47" s="1"/>
      <c r="I47" s="1"/>
      <c r="J47" s="1"/>
      <c r="K47" s="1"/>
      <c r="L47" s="1"/>
      <c r="M47" s="1"/>
      <c r="N47" s="1"/>
      <c r="O47" s="1"/>
      <c r="P47" s="1"/>
      <c r="Q47" s="1"/>
      <c r="R47" s="1"/>
      <c r="S47" s="1"/>
      <c r="T47" s="1"/>
      <c r="U47" s="1"/>
      <c r="X47" s="1"/>
      <c r="Y47" s="1"/>
      <c r="Z47" s="1"/>
      <c r="AA47" s="1"/>
    </row>
    <row r="48" customFormat="false" ht="15.75" hidden="false" customHeight="true" outlineLevel="0" collapsed="false">
      <c r="A48" s="1"/>
      <c r="B48" s="1"/>
      <c r="C48" s="1"/>
      <c r="D48" s="1"/>
      <c r="E48" s="1"/>
      <c r="F48" s="1"/>
      <c r="G48" s="1"/>
      <c r="H48" s="1"/>
      <c r="I48" s="1"/>
      <c r="J48" s="1"/>
      <c r="K48" s="1"/>
      <c r="L48" s="1"/>
      <c r="M48" s="1"/>
      <c r="N48" s="1"/>
      <c r="O48" s="1"/>
      <c r="P48" s="1"/>
      <c r="Q48" s="1"/>
      <c r="R48" s="1"/>
      <c r="S48" s="1"/>
      <c r="T48" s="1"/>
      <c r="U48" s="1"/>
      <c r="X48" s="1"/>
      <c r="Y48" s="1"/>
      <c r="Z48" s="1"/>
      <c r="AA48" s="1"/>
    </row>
    <row r="49" customFormat="false" ht="15.75" hidden="false" customHeight="true" outlineLevel="0" collapsed="false">
      <c r="A49" s="1"/>
      <c r="B49" s="1"/>
      <c r="C49" s="1"/>
      <c r="D49" s="1"/>
      <c r="E49" s="1"/>
      <c r="F49" s="1"/>
      <c r="G49" s="1"/>
      <c r="H49" s="1"/>
      <c r="I49" s="1"/>
      <c r="J49" s="1"/>
      <c r="K49" s="1"/>
      <c r="L49" s="1"/>
      <c r="M49" s="1"/>
      <c r="N49" s="1"/>
      <c r="O49" s="1"/>
      <c r="P49" s="1"/>
      <c r="Q49" s="1"/>
      <c r="R49" s="1"/>
      <c r="S49" s="1"/>
      <c r="T49" s="1"/>
      <c r="U49" s="1"/>
      <c r="X49" s="1"/>
      <c r="Y49" s="1"/>
      <c r="Z49" s="1"/>
      <c r="AA49" s="1"/>
    </row>
    <row r="50" customFormat="false" ht="15.75" hidden="false" customHeight="true" outlineLevel="0" collapsed="false">
      <c r="A50" s="1"/>
      <c r="B50" s="1"/>
      <c r="C50" s="1"/>
      <c r="D50" s="1"/>
      <c r="E50" s="1"/>
      <c r="F50" s="1"/>
      <c r="G50" s="1"/>
      <c r="H50" s="1"/>
      <c r="I50" s="1"/>
      <c r="J50" s="1"/>
      <c r="K50" s="1"/>
      <c r="L50" s="1"/>
      <c r="M50" s="1"/>
      <c r="N50" s="1"/>
      <c r="O50" s="1"/>
      <c r="P50" s="1"/>
      <c r="Q50" s="1"/>
      <c r="R50" s="1"/>
      <c r="S50" s="1"/>
      <c r="T50" s="1"/>
      <c r="U50" s="1"/>
      <c r="X50" s="1"/>
      <c r="Y50" s="1"/>
      <c r="Z50" s="1"/>
      <c r="AA50" s="1"/>
    </row>
    <row r="51" customFormat="false" ht="15.75" hidden="false" customHeight="true" outlineLevel="0" collapsed="false">
      <c r="A51" s="1"/>
      <c r="B51" s="1"/>
      <c r="C51" s="1"/>
      <c r="D51" s="1"/>
      <c r="E51" s="1"/>
      <c r="F51" s="1"/>
      <c r="G51" s="1"/>
      <c r="H51" s="1"/>
      <c r="I51" s="1"/>
      <c r="J51" s="1"/>
      <c r="K51" s="1"/>
      <c r="L51" s="1"/>
      <c r="M51" s="1"/>
      <c r="N51" s="1"/>
      <c r="O51" s="1"/>
      <c r="P51" s="1"/>
      <c r="Q51" s="1"/>
      <c r="R51" s="1"/>
      <c r="S51" s="1"/>
      <c r="T51" s="1"/>
      <c r="U51" s="1"/>
      <c r="X51" s="1"/>
      <c r="Y51" s="1"/>
      <c r="Z51" s="1"/>
      <c r="AA51" s="1"/>
    </row>
    <row r="52" customFormat="false" ht="15.75" hidden="false" customHeight="true" outlineLevel="0" collapsed="false">
      <c r="A52" s="1"/>
      <c r="B52" s="1"/>
      <c r="C52" s="1"/>
      <c r="D52" s="1"/>
      <c r="E52" s="1"/>
      <c r="F52" s="1"/>
      <c r="G52" s="1"/>
      <c r="H52" s="1"/>
      <c r="I52" s="1"/>
      <c r="J52" s="1"/>
      <c r="K52" s="1"/>
      <c r="L52" s="1"/>
      <c r="M52" s="1"/>
      <c r="N52" s="1"/>
      <c r="O52" s="1"/>
      <c r="P52" s="1"/>
      <c r="Q52" s="1"/>
      <c r="R52" s="1"/>
      <c r="S52" s="1"/>
      <c r="T52" s="1"/>
      <c r="U52" s="1"/>
      <c r="X52" s="1"/>
      <c r="Y52" s="1"/>
      <c r="Z52" s="1"/>
      <c r="AA52" s="1"/>
    </row>
    <row r="53" customFormat="false" ht="15.75" hidden="false" customHeight="true" outlineLevel="0" collapsed="false">
      <c r="A53" s="1"/>
      <c r="B53" s="1"/>
      <c r="C53" s="1"/>
      <c r="D53" s="1"/>
      <c r="E53" s="1"/>
      <c r="F53" s="1"/>
      <c r="G53" s="1"/>
      <c r="H53" s="1"/>
      <c r="I53" s="1"/>
      <c r="J53" s="1"/>
      <c r="K53" s="1"/>
      <c r="L53" s="1"/>
      <c r="M53" s="1"/>
      <c r="N53" s="1"/>
      <c r="O53" s="1"/>
      <c r="P53" s="1"/>
      <c r="Q53" s="1"/>
      <c r="R53" s="1"/>
      <c r="S53" s="1"/>
      <c r="T53" s="1"/>
      <c r="U53" s="1"/>
      <c r="X53" s="1"/>
      <c r="Y53" s="1"/>
      <c r="Z53" s="1"/>
      <c r="AA53" s="1"/>
    </row>
    <row r="54" customFormat="false" ht="15.75" hidden="false" customHeight="true" outlineLevel="0" collapsed="false">
      <c r="A54" s="1"/>
      <c r="B54" s="1"/>
      <c r="C54" s="1"/>
      <c r="D54" s="1"/>
      <c r="E54" s="1"/>
      <c r="F54" s="1"/>
      <c r="G54" s="1"/>
      <c r="H54" s="1"/>
      <c r="I54" s="1"/>
      <c r="J54" s="1"/>
      <c r="K54" s="1"/>
      <c r="L54" s="1"/>
      <c r="M54" s="1"/>
      <c r="N54" s="1"/>
      <c r="O54" s="1"/>
      <c r="P54" s="1"/>
      <c r="Q54" s="1"/>
      <c r="R54" s="1"/>
      <c r="S54" s="1"/>
      <c r="T54" s="1"/>
      <c r="U54" s="1"/>
      <c r="X54" s="1"/>
      <c r="Y54" s="1"/>
      <c r="Z54" s="1"/>
      <c r="AA54" s="1"/>
    </row>
    <row r="55" customFormat="false" ht="15.75" hidden="false" customHeight="true" outlineLevel="0" collapsed="false">
      <c r="A55" s="1"/>
      <c r="B55" s="1"/>
      <c r="C55" s="1"/>
      <c r="D55" s="1"/>
      <c r="E55" s="1"/>
      <c r="F55" s="1"/>
      <c r="G55" s="1"/>
      <c r="H55" s="1"/>
      <c r="I55" s="1"/>
      <c r="J55" s="1"/>
      <c r="K55" s="1"/>
      <c r="L55" s="1"/>
      <c r="M55" s="1"/>
      <c r="N55" s="1"/>
      <c r="O55" s="1"/>
      <c r="P55" s="1"/>
      <c r="Q55" s="1"/>
      <c r="R55" s="1"/>
      <c r="S55" s="1"/>
      <c r="T55" s="1"/>
      <c r="U55" s="1"/>
      <c r="X55" s="1"/>
      <c r="Y55" s="1"/>
      <c r="Z55" s="1"/>
      <c r="AA55" s="1"/>
    </row>
    <row r="56" customFormat="false" ht="15.75" hidden="false" customHeight="true" outlineLevel="0" collapsed="false">
      <c r="A56" s="1"/>
      <c r="B56" s="1"/>
      <c r="C56" s="1"/>
      <c r="D56" s="1"/>
      <c r="E56" s="1"/>
      <c r="F56" s="1"/>
      <c r="G56" s="1"/>
      <c r="H56" s="1"/>
      <c r="I56" s="1"/>
      <c r="J56" s="1"/>
      <c r="K56" s="1"/>
      <c r="L56" s="1"/>
      <c r="M56" s="1"/>
      <c r="N56" s="1"/>
      <c r="O56" s="1"/>
      <c r="P56" s="1"/>
      <c r="Q56" s="1"/>
      <c r="R56" s="1"/>
      <c r="S56" s="1"/>
      <c r="T56" s="1"/>
      <c r="U56" s="1"/>
      <c r="X56" s="1"/>
      <c r="Y56" s="1"/>
      <c r="Z56" s="1"/>
      <c r="AA56" s="1"/>
    </row>
    <row r="57" customFormat="false" ht="15.75" hidden="false" customHeight="true" outlineLevel="0" collapsed="false">
      <c r="A57" s="1"/>
      <c r="B57" s="1"/>
      <c r="C57" s="1"/>
      <c r="D57" s="1"/>
      <c r="E57" s="1"/>
      <c r="F57" s="1"/>
      <c r="G57" s="1"/>
      <c r="H57" s="1"/>
      <c r="I57" s="1"/>
      <c r="J57" s="1"/>
      <c r="K57" s="1"/>
      <c r="L57" s="1"/>
      <c r="M57" s="1"/>
      <c r="N57" s="1"/>
      <c r="O57" s="1"/>
      <c r="P57" s="1"/>
      <c r="Q57" s="1"/>
      <c r="R57" s="1"/>
      <c r="S57" s="1"/>
      <c r="T57" s="1"/>
      <c r="U57" s="1"/>
      <c r="X57" s="1"/>
      <c r="Y57" s="1"/>
      <c r="Z57" s="1"/>
      <c r="AA57" s="1"/>
    </row>
    <row r="58" customFormat="false" ht="15.75" hidden="false" customHeight="true" outlineLevel="0" collapsed="false">
      <c r="A58" s="1"/>
      <c r="B58" s="1"/>
      <c r="C58" s="1"/>
      <c r="D58" s="1"/>
      <c r="E58" s="1"/>
      <c r="F58" s="1"/>
      <c r="G58" s="1"/>
      <c r="H58" s="1"/>
      <c r="I58" s="1"/>
      <c r="J58" s="1"/>
      <c r="K58" s="1"/>
      <c r="L58" s="1"/>
      <c r="M58" s="1"/>
      <c r="N58" s="1"/>
      <c r="O58" s="1"/>
      <c r="P58" s="1"/>
      <c r="Q58" s="1"/>
      <c r="R58" s="1"/>
      <c r="S58" s="1"/>
      <c r="T58" s="1"/>
      <c r="U58" s="1"/>
      <c r="X58" s="1"/>
      <c r="Y58" s="1"/>
      <c r="Z58" s="1"/>
      <c r="AA58" s="1"/>
    </row>
    <row r="59" customFormat="false" ht="15.75" hidden="false" customHeight="true" outlineLevel="0" collapsed="false">
      <c r="A59" s="1"/>
      <c r="B59" s="1"/>
      <c r="C59" s="1"/>
      <c r="D59" s="1"/>
      <c r="E59" s="1"/>
      <c r="F59" s="1"/>
      <c r="G59" s="1"/>
      <c r="H59" s="1"/>
      <c r="I59" s="1"/>
      <c r="J59" s="1"/>
      <c r="K59" s="1"/>
      <c r="L59" s="1"/>
      <c r="M59" s="1"/>
      <c r="N59" s="1"/>
      <c r="O59" s="1"/>
      <c r="P59" s="1"/>
      <c r="Q59" s="1"/>
      <c r="R59" s="1"/>
      <c r="S59" s="1"/>
      <c r="T59" s="1"/>
      <c r="U59" s="1"/>
      <c r="X59" s="1"/>
      <c r="Y59" s="1"/>
      <c r="Z59" s="1"/>
      <c r="AA59" s="1"/>
    </row>
    <row r="60" customFormat="false" ht="15.75" hidden="false" customHeight="true" outlineLevel="0" collapsed="false">
      <c r="A60" s="1"/>
      <c r="B60" s="1"/>
      <c r="C60" s="1"/>
      <c r="D60" s="1"/>
      <c r="E60" s="1"/>
      <c r="F60" s="1"/>
      <c r="G60" s="1"/>
      <c r="H60" s="1"/>
      <c r="I60" s="1"/>
      <c r="J60" s="1"/>
      <c r="K60" s="1"/>
      <c r="L60" s="1"/>
      <c r="M60" s="1"/>
      <c r="N60" s="1"/>
      <c r="O60" s="1"/>
      <c r="P60" s="1"/>
      <c r="Q60" s="1"/>
      <c r="R60" s="1"/>
      <c r="S60" s="1"/>
      <c r="T60" s="1"/>
      <c r="U60" s="1"/>
      <c r="X60" s="1"/>
      <c r="Y60" s="1"/>
      <c r="Z60" s="1"/>
      <c r="AA60" s="1"/>
    </row>
    <row r="61" customFormat="false" ht="15.75" hidden="false" customHeight="true" outlineLevel="0" collapsed="false">
      <c r="A61" s="1"/>
      <c r="B61" s="1"/>
      <c r="C61" s="1"/>
      <c r="D61" s="1"/>
      <c r="E61" s="1"/>
      <c r="F61" s="1"/>
      <c r="G61" s="1"/>
      <c r="H61" s="1"/>
      <c r="I61" s="1"/>
      <c r="J61" s="1"/>
      <c r="K61" s="1"/>
      <c r="L61" s="1"/>
      <c r="M61" s="1"/>
      <c r="N61" s="1"/>
      <c r="O61" s="1"/>
      <c r="P61" s="1"/>
      <c r="Q61" s="1"/>
      <c r="R61" s="1"/>
      <c r="S61" s="1"/>
      <c r="T61" s="1"/>
      <c r="U61" s="1"/>
      <c r="X61" s="1"/>
      <c r="Y61" s="1"/>
      <c r="Z61" s="1"/>
      <c r="AA61" s="1"/>
    </row>
    <row r="62" customFormat="false" ht="15.75" hidden="false" customHeight="true" outlineLevel="0" collapsed="false">
      <c r="A62" s="1"/>
      <c r="B62" s="1"/>
      <c r="C62" s="1"/>
      <c r="D62" s="1"/>
      <c r="E62" s="1"/>
      <c r="F62" s="1"/>
      <c r="G62" s="1"/>
      <c r="H62" s="1"/>
      <c r="I62" s="1"/>
      <c r="J62" s="1"/>
      <c r="K62" s="1"/>
      <c r="L62" s="1"/>
      <c r="M62" s="1"/>
      <c r="N62" s="1"/>
      <c r="O62" s="1"/>
      <c r="P62" s="1"/>
      <c r="Q62" s="1"/>
      <c r="R62" s="1"/>
      <c r="S62" s="1"/>
      <c r="T62" s="1"/>
      <c r="U62" s="1"/>
      <c r="X62" s="1"/>
      <c r="Y62" s="1"/>
      <c r="Z62" s="1"/>
      <c r="AA62" s="1"/>
    </row>
    <row r="63" customFormat="false" ht="15.75" hidden="false" customHeight="true" outlineLevel="0" collapsed="false">
      <c r="A63" s="1"/>
      <c r="B63" s="1"/>
      <c r="C63" s="1"/>
      <c r="D63" s="1"/>
      <c r="E63" s="1"/>
      <c r="F63" s="1"/>
      <c r="G63" s="1"/>
      <c r="H63" s="1"/>
      <c r="I63" s="1"/>
      <c r="J63" s="1"/>
      <c r="K63" s="1"/>
      <c r="L63" s="1"/>
      <c r="M63" s="1"/>
      <c r="N63" s="1"/>
      <c r="O63" s="1"/>
      <c r="P63" s="1"/>
      <c r="Q63" s="1"/>
      <c r="R63" s="1"/>
      <c r="S63" s="1"/>
      <c r="T63" s="1"/>
      <c r="U63" s="1"/>
      <c r="X63" s="1"/>
      <c r="Y63" s="1"/>
      <c r="Z63" s="1"/>
      <c r="AA63" s="1"/>
    </row>
    <row r="64" customFormat="false" ht="15.75" hidden="false" customHeight="true" outlineLevel="0" collapsed="false">
      <c r="A64" s="1"/>
      <c r="B64" s="1"/>
      <c r="C64" s="1"/>
      <c r="D64" s="1"/>
      <c r="E64" s="1"/>
      <c r="F64" s="1"/>
      <c r="G64" s="1"/>
      <c r="H64" s="1"/>
      <c r="I64" s="1"/>
      <c r="J64" s="1"/>
      <c r="K64" s="1"/>
      <c r="L64" s="1"/>
      <c r="M64" s="1"/>
      <c r="N64" s="1"/>
      <c r="O64" s="1"/>
      <c r="P64" s="1"/>
      <c r="Q64" s="1"/>
      <c r="R64" s="1"/>
      <c r="S64" s="1"/>
      <c r="T64" s="1"/>
      <c r="U64" s="1"/>
      <c r="X64" s="1"/>
      <c r="Y64" s="1"/>
      <c r="Z64" s="1"/>
      <c r="AA64" s="1"/>
    </row>
    <row r="65" customFormat="false" ht="15.75" hidden="false" customHeight="true" outlineLevel="0" collapsed="false">
      <c r="A65" s="1"/>
      <c r="B65" s="1"/>
      <c r="C65" s="1"/>
      <c r="D65" s="1"/>
      <c r="E65" s="1"/>
      <c r="F65" s="1"/>
      <c r="G65" s="1"/>
      <c r="H65" s="1"/>
      <c r="I65" s="1"/>
      <c r="J65" s="1"/>
      <c r="K65" s="1"/>
      <c r="L65" s="1"/>
      <c r="M65" s="1"/>
      <c r="N65" s="1"/>
      <c r="O65" s="1"/>
      <c r="P65" s="1"/>
      <c r="Q65" s="1"/>
      <c r="R65" s="1"/>
      <c r="S65" s="1"/>
      <c r="T65" s="1"/>
      <c r="U65" s="1"/>
      <c r="X65" s="1"/>
      <c r="Y65" s="1"/>
      <c r="Z65" s="1"/>
      <c r="AA65" s="1"/>
    </row>
    <row r="66" customFormat="false" ht="15.75" hidden="false" customHeight="true" outlineLevel="0" collapsed="false">
      <c r="A66" s="1"/>
      <c r="B66" s="1"/>
      <c r="C66" s="1"/>
      <c r="D66" s="1"/>
      <c r="E66" s="1"/>
      <c r="F66" s="1"/>
      <c r="G66" s="1"/>
      <c r="H66" s="1"/>
      <c r="I66" s="1"/>
      <c r="J66" s="1"/>
      <c r="K66" s="1"/>
      <c r="L66" s="1"/>
      <c r="M66" s="1"/>
      <c r="N66" s="1"/>
      <c r="O66" s="1"/>
      <c r="P66" s="1"/>
      <c r="Q66" s="1"/>
      <c r="R66" s="1"/>
      <c r="S66" s="1"/>
      <c r="T66" s="1"/>
      <c r="U66" s="1"/>
      <c r="X66" s="1"/>
      <c r="Y66" s="1"/>
      <c r="Z66" s="1"/>
      <c r="AA66" s="1"/>
    </row>
    <row r="67" customFormat="false" ht="15.75" hidden="false" customHeight="true" outlineLevel="0" collapsed="false">
      <c r="A67" s="1"/>
      <c r="B67" s="1"/>
      <c r="C67" s="1"/>
      <c r="D67" s="1"/>
      <c r="E67" s="1"/>
      <c r="F67" s="1"/>
      <c r="G67" s="1"/>
      <c r="H67" s="1"/>
      <c r="I67" s="1"/>
      <c r="J67" s="1"/>
      <c r="K67" s="1"/>
      <c r="L67" s="1"/>
      <c r="M67" s="1"/>
      <c r="N67" s="1"/>
      <c r="O67" s="1"/>
      <c r="P67" s="1"/>
      <c r="Q67" s="1"/>
      <c r="R67" s="1"/>
      <c r="S67" s="1"/>
      <c r="T67" s="1"/>
      <c r="U67" s="1"/>
      <c r="X67" s="1"/>
      <c r="Y67" s="1"/>
      <c r="Z67" s="1"/>
      <c r="AA67" s="1"/>
    </row>
    <row r="68" customFormat="false" ht="15.75" hidden="false" customHeight="true" outlineLevel="0" collapsed="false">
      <c r="A68" s="1"/>
      <c r="B68" s="1"/>
      <c r="C68" s="1"/>
      <c r="D68" s="1"/>
      <c r="E68" s="1"/>
      <c r="F68" s="1"/>
      <c r="G68" s="1"/>
      <c r="H68" s="1"/>
      <c r="I68" s="1"/>
      <c r="J68" s="1"/>
      <c r="K68" s="1"/>
      <c r="L68" s="1"/>
      <c r="M68" s="1"/>
      <c r="N68" s="1"/>
      <c r="O68" s="1"/>
      <c r="P68" s="1"/>
      <c r="Q68" s="1"/>
      <c r="R68" s="1"/>
      <c r="S68" s="1"/>
      <c r="T68" s="1"/>
      <c r="U68" s="1"/>
      <c r="X68" s="1"/>
      <c r="Y68" s="1"/>
      <c r="Z68" s="1"/>
      <c r="AA68" s="1"/>
    </row>
    <row r="69" customFormat="false" ht="15.75" hidden="false" customHeight="true" outlineLevel="0" collapsed="false">
      <c r="A69" s="1"/>
      <c r="B69" s="1"/>
      <c r="C69" s="1"/>
      <c r="D69" s="1"/>
      <c r="E69" s="1"/>
      <c r="F69" s="1"/>
      <c r="G69" s="1"/>
      <c r="H69" s="1"/>
      <c r="I69" s="1"/>
      <c r="J69" s="1"/>
      <c r="K69" s="1"/>
      <c r="L69" s="1"/>
      <c r="M69" s="1"/>
      <c r="N69" s="1"/>
      <c r="O69" s="1"/>
      <c r="P69" s="1"/>
      <c r="Q69" s="1"/>
      <c r="R69" s="1"/>
      <c r="S69" s="1"/>
      <c r="T69" s="1"/>
      <c r="U69" s="1"/>
      <c r="X69" s="1"/>
      <c r="Y69" s="1"/>
      <c r="Z69" s="1"/>
      <c r="AA69" s="1"/>
    </row>
    <row r="70" customFormat="false" ht="15.75" hidden="false" customHeight="true" outlineLevel="0" collapsed="false">
      <c r="A70" s="1"/>
      <c r="B70" s="1"/>
      <c r="C70" s="1"/>
      <c r="D70" s="1"/>
      <c r="E70" s="1"/>
      <c r="F70" s="1"/>
      <c r="G70" s="1"/>
      <c r="H70" s="1"/>
      <c r="I70" s="1"/>
      <c r="J70" s="1"/>
      <c r="K70" s="1"/>
      <c r="L70" s="1"/>
      <c r="M70" s="1"/>
      <c r="N70" s="1"/>
      <c r="O70" s="1"/>
      <c r="P70" s="1"/>
      <c r="Q70" s="1"/>
      <c r="R70" s="1"/>
      <c r="S70" s="1"/>
      <c r="T70" s="1"/>
      <c r="U70" s="1"/>
      <c r="X70" s="1"/>
      <c r="Y70" s="1"/>
      <c r="Z70" s="1"/>
      <c r="AA70" s="1"/>
    </row>
    <row r="71" customFormat="false" ht="15.75" hidden="false" customHeight="true" outlineLevel="0" collapsed="false">
      <c r="A71" s="1"/>
      <c r="B71" s="1"/>
      <c r="C71" s="1"/>
      <c r="D71" s="1"/>
      <c r="E71" s="1"/>
      <c r="F71" s="1"/>
      <c r="G71" s="1"/>
      <c r="H71" s="1"/>
      <c r="I71" s="1"/>
      <c r="J71" s="1"/>
      <c r="K71" s="1"/>
      <c r="L71" s="1"/>
      <c r="M71" s="1"/>
      <c r="N71" s="1"/>
      <c r="O71" s="1"/>
      <c r="P71" s="1"/>
      <c r="Q71" s="1"/>
      <c r="R71" s="1"/>
      <c r="S71" s="1"/>
      <c r="T71" s="1"/>
      <c r="U71" s="1"/>
      <c r="X71" s="1"/>
      <c r="Y71" s="1"/>
      <c r="Z71" s="1"/>
      <c r="AA71" s="1"/>
    </row>
    <row r="72" customFormat="false" ht="15.75" hidden="false" customHeight="true" outlineLevel="0" collapsed="false">
      <c r="A72" s="1"/>
      <c r="B72" s="1"/>
      <c r="C72" s="1"/>
      <c r="D72" s="1"/>
      <c r="E72" s="1"/>
      <c r="F72" s="1"/>
      <c r="G72" s="1"/>
      <c r="H72" s="1"/>
      <c r="I72" s="1"/>
      <c r="J72" s="1"/>
      <c r="K72" s="1"/>
      <c r="L72" s="1"/>
      <c r="M72" s="1"/>
      <c r="N72" s="1"/>
      <c r="O72" s="1"/>
      <c r="P72" s="1"/>
      <c r="Q72" s="1"/>
      <c r="R72" s="1"/>
      <c r="S72" s="1"/>
      <c r="T72" s="1"/>
      <c r="U72" s="1"/>
      <c r="X72" s="1"/>
      <c r="Y72" s="1"/>
      <c r="Z72" s="1"/>
      <c r="AA72" s="1"/>
    </row>
    <row r="73" customFormat="false" ht="15.75" hidden="false" customHeight="true" outlineLevel="0" collapsed="false">
      <c r="A73" s="1"/>
      <c r="B73" s="1"/>
      <c r="C73" s="1"/>
      <c r="D73" s="1"/>
      <c r="E73" s="1"/>
      <c r="F73" s="1"/>
      <c r="G73" s="1"/>
      <c r="H73" s="1"/>
      <c r="I73" s="1"/>
      <c r="J73" s="1"/>
      <c r="K73" s="1"/>
      <c r="L73" s="1"/>
      <c r="M73" s="1"/>
      <c r="N73" s="1"/>
      <c r="O73" s="1"/>
      <c r="P73" s="1"/>
      <c r="Q73" s="1"/>
      <c r="R73" s="1"/>
      <c r="S73" s="1"/>
      <c r="T73" s="1"/>
      <c r="U73" s="1"/>
      <c r="X73" s="1"/>
      <c r="Y73" s="1"/>
      <c r="Z73" s="1"/>
      <c r="AA73" s="1"/>
    </row>
    <row r="74" customFormat="false" ht="15.75" hidden="false" customHeight="true" outlineLevel="0" collapsed="false">
      <c r="A74" s="1"/>
      <c r="B74" s="1"/>
      <c r="C74" s="1"/>
      <c r="D74" s="1"/>
      <c r="E74" s="1"/>
      <c r="F74" s="1"/>
      <c r="G74" s="1"/>
      <c r="H74" s="1"/>
      <c r="I74" s="1"/>
      <c r="J74" s="1"/>
      <c r="K74" s="1"/>
      <c r="L74" s="1"/>
      <c r="M74" s="1"/>
      <c r="N74" s="1"/>
      <c r="O74" s="1"/>
      <c r="P74" s="1"/>
      <c r="Q74" s="1"/>
      <c r="R74" s="1"/>
      <c r="S74" s="1"/>
      <c r="T74" s="1"/>
      <c r="U74" s="1"/>
      <c r="X74" s="1"/>
      <c r="Y74" s="1"/>
      <c r="Z74" s="1"/>
      <c r="AA74" s="1"/>
    </row>
    <row r="75" customFormat="false" ht="15.75" hidden="false" customHeight="true" outlineLevel="0" collapsed="false">
      <c r="A75" s="1"/>
      <c r="B75" s="1"/>
      <c r="C75" s="1"/>
      <c r="D75" s="1"/>
      <c r="E75" s="1"/>
      <c r="F75" s="1"/>
      <c r="G75" s="1"/>
      <c r="H75" s="1"/>
      <c r="I75" s="1"/>
      <c r="J75" s="1"/>
      <c r="K75" s="1"/>
      <c r="L75" s="1"/>
      <c r="M75" s="1"/>
      <c r="N75" s="1"/>
      <c r="O75" s="1"/>
      <c r="P75" s="1"/>
      <c r="Q75" s="1"/>
      <c r="R75" s="1"/>
      <c r="S75" s="1"/>
      <c r="T75" s="1"/>
      <c r="U75" s="1"/>
      <c r="X75" s="1"/>
      <c r="Y75" s="1"/>
      <c r="Z75" s="1"/>
      <c r="AA75" s="1"/>
    </row>
    <row r="76" customFormat="false" ht="15.75" hidden="false" customHeight="true" outlineLevel="0" collapsed="false">
      <c r="A76" s="1"/>
      <c r="B76" s="1"/>
      <c r="C76" s="1"/>
      <c r="D76" s="1"/>
      <c r="E76" s="1"/>
      <c r="F76" s="1"/>
      <c r="G76" s="1"/>
      <c r="H76" s="1"/>
      <c r="I76" s="1"/>
      <c r="J76" s="1"/>
      <c r="K76" s="1"/>
      <c r="L76" s="1"/>
      <c r="M76" s="1"/>
      <c r="N76" s="1"/>
      <c r="O76" s="1"/>
      <c r="P76" s="1"/>
      <c r="Q76" s="1"/>
      <c r="R76" s="1"/>
      <c r="S76" s="1"/>
      <c r="T76" s="1"/>
      <c r="U76" s="1"/>
      <c r="X76" s="1"/>
      <c r="Y76" s="1"/>
      <c r="Z76" s="1"/>
      <c r="AA76" s="1"/>
    </row>
    <row r="77" customFormat="false" ht="15.75" hidden="false" customHeight="true" outlineLevel="0" collapsed="false">
      <c r="A77" s="1"/>
      <c r="B77" s="1"/>
      <c r="C77" s="1"/>
      <c r="D77" s="1"/>
      <c r="E77" s="1"/>
      <c r="F77" s="1"/>
      <c r="G77" s="1"/>
      <c r="H77" s="1"/>
      <c r="I77" s="1"/>
      <c r="J77" s="1"/>
      <c r="K77" s="1"/>
      <c r="L77" s="1"/>
      <c r="M77" s="1"/>
      <c r="N77" s="1"/>
      <c r="O77" s="1"/>
      <c r="P77" s="1"/>
      <c r="Q77" s="1"/>
      <c r="R77" s="1"/>
      <c r="S77" s="1"/>
      <c r="T77" s="1"/>
      <c r="U77" s="1"/>
      <c r="X77" s="1"/>
      <c r="Y77" s="1"/>
      <c r="Z77" s="1"/>
      <c r="AA77" s="1"/>
    </row>
    <row r="78" customFormat="false" ht="15.75" hidden="false" customHeight="true" outlineLevel="0" collapsed="false">
      <c r="A78" s="1"/>
      <c r="B78" s="1"/>
      <c r="C78" s="1"/>
      <c r="D78" s="1"/>
      <c r="E78" s="1"/>
      <c r="F78" s="1"/>
      <c r="G78" s="1"/>
      <c r="H78" s="1"/>
      <c r="I78" s="1"/>
      <c r="J78" s="1"/>
      <c r="K78" s="1"/>
      <c r="L78" s="1"/>
      <c r="M78" s="1"/>
      <c r="N78" s="1"/>
      <c r="O78" s="1"/>
      <c r="P78" s="1"/>
      <c r="Q78" s="1"/>
      <c r="R78" s="1"/>
      <c r="S78" s="1"/>
      <c r="T78" s="1"/>
      <c r="U78" s="1"/>
      <c r="X78" s="1"/>
      <c r="Y78" s="1"/>
      <c r="Z78" s="1"/>
      <c r="AA78" s="1"/>
    </row>
    <row r="79" customFormat="false" ht="15.75" hidden="false" customHeight="true" outlineLevel="0" collapsed="false">
      <c r="A79" s="1"/>
      <c r="B79" s="1"/>
      <c r="C79" s="1"/>
      <c r="D79" s="1"/>
      <c r="E79" s="1"/>
      <c r="F79" s="1"/>
      <c r="G79" s="1"/>
      <c r="H79" s="1"/>
      <c r="I79" s="1"/>
      <c r="J79" s="1"/>
      <c r="K79" s="1"/>
      <c r="L79" s="1"/>
      <c r="M79" s="1"/>
      <c r="N79" s="1"/>
      <c r="O79" s="1"/>
      <c r="P79" s="1"/>
      <c r="Q79" s="1"/>
      <c r="R79" s="1"/>
      <c r="S79" s="1"/>
      <c r="T79" s="1"/>
      <c r="U79" s="1"/>
      <c r="X79" s="1"/>
      <c r="Y79" s="1"/>
      <c r="Z79" s="1"/>
      <c r="AA79" s="1"/>
    </row>
    <row r="80" customFormat="false" ht="15.75" hidden="false" customHeight="true" outlineLevel="0" collapsed="false">
      <c r="A80" s="1"/>
      <c r="B80" s="1"/>
      <c r="C80" s="1"/>
      <c r="D80" s="1"/>
      <c r="E80" s="1"/>
      <c r="F80" s="1"/>
      <c r="G80" s="1"/>
      <c r="H80" s="1"/>
      <c r="I80" s="1"/>
      <c r="J80" s="1"/>
      <c r="K80" s="1"/>
      <c r="L80" s="1"/>
      <c r="M80" s="1"/>
      <c r="N80" s="1"/>
      <c r="O80" s="1"/>
      <c r="P80" s="1"/>
      <c r="Q80" s="1"/>
      <c r="R80" s="1"/>
      <c r="S80" s="1"/>
      <c r="T80" s="1"/>
      <c r="U80" s="1"/>
      <c r="X80" s="1"/>
      <c r="Y80" s="1"/>
      <c r="Z80" s="1"/>
      <c r="AA80" s="1"/>
    </row>
    <row r="81" customFormat="false" ht="15.75" hidden="false" customHeight="true" outlineLevel="0" collapsed="false">
      <c r="A81" s="1"/>
      <c r="B81" s="1"/>
      <c r="C81" s="1"/>
      <c r="D81" s="1"/>
      <c r="E81" s="1"/>
      <c r="F81" s="1"/>
      <c r="G81" s="1"/>
      <c r="H81" s="1"/>
      <c r="I81" s="1"/>
      <c r="J81" s="1"/>
      <c r="K81" s="1"/>
      <c r="L81" s="1"/>
      <c r="M81" s="1"/>
      <c r="N81" s="1"/>
      <c r="O81" s="1"/>
      <c r="P81" s="1"/>
      <c r="Q81" s="1"/>
      <c r="R81" s="1"/>
      <c r="S81" s="1"/>
      <c r="T81" s="1"/>
      <c r="U81" s="1"/>
      <c r="X81" s="1"/>
      <c r="Y81" s="1"/>
      <c r="Z81" s="1"/>
      <c r="AA81" s="1"/>
    </row>
    <row r="82" customFormat="false" ht="15.75" hidden="false" customHeight="true" outlineLevel="0" collapsed="false">
      <c r="A82" s="1"/>
      <c r="B82" s="1"/>
      <c r="C82" s="1"/>
      <c r="D82" s="1"/>
      <c r="E82" s="1"/>
      <c r="F82" s="1"/>
      <c r="G82" s="1"/>
      <c r="H82" s="1"/>
      <c r="I82" s="1"/>
      <c r="J82" s="1"/>
      <c r="K82" s="1"/>
      <c r="L82" s="1"/>
      <c r="M82" s="1"/>
      <c r="N82" s="1"/>
      <c r="O82" s="1"/>
      <c r="P82" s="1"/>
      <c r="Q82" s="1"/>
      <c r="R82" s="1"/>
      <c r="S82" s="1"/>
      <c r="T82" s="1"/>
      <c r="U82" s="1"/>
      <c r="X82" s="1"/>
      <c r="Y82" s="1"/>
      <c r="Z82" s="1"/>
      <c r="AA82" s="1"/>
    </row>
    <row r="83" customFormat="false" ht="15.75" hidden="false" customHeight="true" outlineLevel="0" collapsed="false">
      <c r="A83" s="1"/>
      <c r="B83" s="1"/>
      <c r="C83" s="1"/>
      <c r="D83" s="1"/>
      <c r="E83" s="1"/>
      <c r="F83" s="1"/>
      <c r="G83" s="1"/>
      <c r="H83" s="1"/>
      <c r="I83" s="1"/>
      <c r="J83" s="1"/>
      <c r="K83" s="1"/>
      <c r="L83" s="1"/>
      <c r="M83" s="1"/>
      <c r="N83" s="1"/>
      <c r="O83" s="1"/>
      <c r="P83" s="1"/>
      <c r="Q83" s="1"/>
      <c r="R83" s="1"/>
      <c r="S83" s="1"/>
      <c r="T83" s="1"/>
      <c r="U83" s="1"/>
      <c r="X83" s="1"/>
      <c r="Y83" s="1"/>
      <c r="Z83" s="1"/>
      <c r="AA83" s="1"/>
    </row>
    <row r="84" customFormat="false" ht="15.75" hidden="false" customHeight="true" outlineLevel="0" collapsed="false">
      <c r="A84" s="1"/>
      <c r="B84" s="1"/>
      <c r="C84" s="1"/>
      <c r="D84" s="1"/>
      <c r="E84" s="1"/>
      <c r="F84" s="1"/>
      <c r="G84" s="1"/>
      <c r="H84" s="1"/>
      <c r="I84" s="1"/>
      <c r="J84" s="1"/>
      <c r="K84" s="1"/>
      <c r="L84" s="1"/>
      <c r="M84" s="1"/>
      <c r="N84" s="1"/>
      <c r="O84" s="1"/>
      <c r="P84" s="1"/>
      <c r="Q84" s="1"/>
      <c r="R84" s="1"/>
      <c r="S84" s="1"/>
      <c r="T84" s="1"/>
      <c r="U84" s="1"/>
      <c r="X84" s="1"/>
      <c r="Y84" s="1"/>
      <c r="Z84" s="1"/>
      <c r="AA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c r="T85" s="1"/>
      <c r="U85" s="1"/>
      <c r="X85" s="1"/>
      <c r="Y85" s="1"/>
      <c r="Z85" s="1"/>
      <c r="AA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c r="T86" s="1"/>
      <c r="U86" s="1"/>
      <c r="X86" s="1"/>
      <c r="Y86" s="1"/>
      <c r="Z86" s="1"/>
      <c r="AA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c r="T87" s="1"/>
      <c r="U87" s="1"/>
      <c r="X87" s="1"/>
      <c r="Y87" s="1"/>
      <c r="Z87" s="1"/>
      <c r="AA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c r="T88" s="1"/>
      <c r="U88" s="1"/>
      <c r="X88" s="1"/>
      <c r="Y88" s="1"/>
      <c r="Z88" s="1"/>
      <c r="AA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c r="T89" s="1"/>
      <c r="U89" s="1"/>
      <c r="X89" s="1"/>
      <c r="Y89" s="1"/>
      <c r="Z89" s="1"/>
      <c r="AA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c r="T90" s="1"/>
      <c r="U90" s="1"/>
      <c r="X90" s="1"/>
      <c r="Y90" s="1"/>
      <c r="Z90" s="1"/>
      <c r="AA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c r="T91" s="1"/>
      <c r="U91" s="1"/>
      <c r="X91" s="1"/>
      <c r="Y91" s="1"/>
      <c r="Z91" s="1"/>
      <c r="AA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c r="T92" s="1"/>
      <c r="U92" s="1"/>
      <c r="X92" s="1"/>
      <c r="Y92" s="1"/>
      <c r="Z92" s="1"/>
      <c r="AA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c r="T93" s="1"/>
      <c r="U93" s="1"/>
      <c r="X93" s="1"/>
      <c r="Y93" s="1"/>
      <c r="Z93" s="1"/>
      <c r="AA93" s="1"/>
    </row>
    <row r="94" customFormat="false" ht="15.75" hidden="false" customHeight="true" outlineLevel="0" collapsed="false">
      <c r="A94" s="1"/>
      <c r="B94" s="1"/>
      <c r="C94" s="1"/>
      <c r="D94" s="1"/>
      <c r="E94" s="1"/>
      <c r="F94" s="1"/>
      <c r="G94" s="1"/>
      <c r="H94" s="1"/>
      <c r="I94" s="1"/>
      <c r="J94" s="1"/>
      <c r="K94" s="1"/>
      <c r="L94" s="1"/>
      <c r="M94" s="1"/>
      <c r="N94" s="1"/>
      <c r="O94" s="1"/>
      <c r="P94" s="1"/>
      <c r="Q94" s="1"/>
      <c r="R94" s="1"/>
      <c r="S94" s="1"/>
      <c r="T94" s="1"/>
      <c r="U94" s="1"/>
      <c r="X94" s="1"/>
      <c r="Y94" s="1"/>
      <c r="Z94" s="1"/>
      <c r="AA94" s="1"/>
    </row>
    <row r="95" customFormat="false" ht="15.75" hidden="false" customHeight="true" outlineLevel="0" collapsed="false">
      <c r="A95" s="1"/>
      <c r="B95" s="1"/>
      <c r="C95" s="1"/>
      <c r="D95" s="1"/>
      <c r="E95" s="1"/>
      <c r="F95" s="1"/>
      <c r="G95" s="1"/>
      <c r="H95" s="1"/>
      <c r="I95" s="1"/>
      <c r="J95" s="1"/>
      <c r="K95" s="1"/>
      <c r="L95" s="1"/>
      <c r="M95" s="1"/>
      <c r="N95" s="1"/>
      <c r="O95" s="1"/>
      <c r="P95" s="1"/>
      <c r="Q95" s="1"/>
      <c r="R95" s="1"/>
      <c r="S95" s="1"/>
      <c r="T95" s="1"/>
      <c r="U95" s="1"/>
      <c r="X95" s="1"/>
      <c r="Y95" s="1"/>
      <c r="Z95" s="1"/>
      <c r="AA95" s="1"/>
    </row>
    <row r="96" customFormat="false" ht="15.75" hidden="false" customHeight="true" outlineLevel="0" collapsed="false">
      <c r="A96" s="1"/>
      <c r="B96" s="1"/>
      <c r="C96" s="1"/>
      <c r="D96" s="1"/>
      <c r="E96" s="1"/>
      <c r="F96" s="1"/>
      <c r="G96" s="1"/>
      <c r="H96" s="1"/>
      <c r="I96" s="1"/>
      <c r="J96" s="1"/>
      <c r="K96" s="1"/>
      <c r="L96" s="1"/>
      <c r="M96" s="1"/>
      <c r="N96" s="1"/>
      <c r="O96" s="1"/>
      <c r="P96" s="1"/>
      <c r="Q96" s="1"/>
      <c r="R96" s="1"/>
      <c r="S96" s="1"/>
      <c r="T96" s="1"/>
      <c r="U96" s="1"/>
      <c r="X96" s="1"/>
      <c r="Y96" s="1"/>
      <c r="Z96" s="1"/>
      <c r="AA96" s="1"/>
    </row>
    <row r="97" customFormat="false" ht="15.75" hidden="false" customHeight="true" outlineLevel="0" collapsed="false">
      <c r="A97" s="1"/>
      <c r="B97" s="1"/>
      <c r="C97" s="1"/>
      <c r="D97" s="1"/>
      <c r="E97" s="1"/>
      <c r="F97" s="1"/>
      <c r="G97" s="1"/>
      <c r="H97" s="1"/>
      <c r="I97" s="1"/>
      <c r="J97" s="1"/>
      <c r="K97" s="1"/>
      <c r="L97" s="1"/>
      <c r="M97" s="1"/>
      <c r="N97" s="1"/>
      <c r="O97" s="1"/>
      <c r="P97" s="1"/>
      <c r="Q97" s="1"/>
      <c r="R97" s="1"/>
      <c r="S97" s="1"/>
      <c r="T97" s="1"/>
      <c r="U97" s="1"/>
      <c r="X97" s="1"/>
      <c r="Y97" s="1"/>
      <c r="Z97" s="1"/>
      <c r="AA97" s="1"/>
    </row>
    <row r="98" customFormat="false" ht="15.75" hidden="false" customHeight="true" outlineLevel="0" collapsed="false">
      <c r="A98" s="1"/>
      <c r="B98" s="1"/>
      <c r="C98" s="1"/>
      <c r="D98" s="1"/>
      <c r="E98" s="1"/>
      <c r="F98" s="1"/>
      <c r="G98" s="1"/>
      <c r="H98" s="1"/>
      <c r="I98" s="1"/>
      <c r="J98" s="1"/>
      <c r="K98" s="1"/>
      <c r="L98" s="1"/>
      <c r="M98" s="1"/>
      <c r="N98" s="1"/>
      <c r="O98" s="1"/>
      <c r="P98" s="1"/>
      <c r="Q98" s="1"/>
      <c r="R98" s="1"/>
      <c r="S98" s="1"/>
      <c r="T98" s="1"/>
      <c r="U98" s="1"/>
      <c r="X98" s="1"/>
      <c r="Y98" s="1"/>
      <c r="Z98" s="1"/>
      <c r="AA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c r="T99" s="1"/>
      <c r="U99" s="1"/>
      <c r="X99" s="1"/>
      <c r="Y99" s="1"/>
      <c r="Z99" s="1"/>
      <c r="AA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X100" s="1"/>
      <c r="Y100" s="1"/>
      <c r="Z100" s="1"/>
      <c r="AA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X101" s="1"/>
      <c r="Y101" s="1"/>
      <c r="Z101" s="1"/>
      <c r="AA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X102" s="1"/>
      <c r="Y102" s="1"/>
      <c r="Z102" s="1"/>
      <c r="AA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X103" s="1"/>
      <c r="Y103" s="1"/>
      <c r="Z103" s="1"/>
      <c r="AA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X104" s="1"/>
      <c r="Y104" s="1"/>
      <c r="Z104" s="1"/>
      <c r="AA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X105" s="1"/>
      <c r="Y105" s="1"/>
      <c r="Z105" s="1"/>
      <c r="AA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X106" s="1"/>
      <c r="Y106" s="1"/>
      <c r="Z106" s="1"/>
      <c r="AA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X107" s="1"/>
      <c r="Y107" s="1"/>
      <c r="Z107" s="1"/>
      <c r="AA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X108" s="1"/>
      <c r="Y108" s="1"/>
      <c r="Z108" s="1"/>
      <c r="AA108" s="1"/>
    </row>
    <row r="109" customFormat="false" ht="15.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X109" s="1"/>
      <c r="Y109" s="1"/>
      <c r="Z109" s="1"/>
      <c r="AA109" s="1"/>
    </row>
    <row r="110" customFormat="false" ht="15.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X110" s="1"/>
      <c r="Y110" s="1"/>
      <c r="Z110" s="1"/>
      <c r="AA110" s="1"/>
    </row>
    <row r="111" customFormat="false" ht="15.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X111" s="1"/>
      <c r="Y111" s="1"/>
      <c r="Z111" s="1"/>
      <c r="AA111" s="1"/>
    </row>
    <row r="112" customFormat="false" ht="15.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X112" s="1"/>
      <c r="Y112" s="1"/>
      <c r="Z112" s="1"/>
      <c r="AA112" s="1"/>
    </row>
    <row r="113" customFormat="false" ht="15.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X113" s="1"/>
      <c r="Y113" s="1"/>
      <c r="Z113" s="1"/>
      <c r="AA113" s="1"/>
    </row>
    <row r="114" customFormat="false" ht="15.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X114" s="1"/>
      <c r="Y114" s="1"/>
      <c r="Z114" s="1"/>
      <c r="AA114" s="1"/>
    </row>
    <row r="115" customFormat="false" ht="15.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X115" s="1"/>
      <c r="Y115" s="1"/>
      <c r="Z115" s="1"/>
      <c r="AA115" s="1"/>
    </row>
    <row r="116" customFormat="false" ht="15.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X116" s="1"/>
      <c r="Y116" s="1"/>
      <c r="Z116" s="1"/>
      <c r="AA116" s="1"/>
    </row>
    <row r="117" customFormat="false" ht="15.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X117" s="1"/>
      <c r="Y117" s="1"/>
      <c r="Z117" s="1"/>
      <c r="AA117" s="1"/>
    </row>
    <row r="118" customFormat="false" ht="15.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X118" s="1"/>
      <c r="Y118" s="1"/>
      <c r="Z118" s="1"/>
      <c r="AA118" s="1"/>
    </row>
    <row r="119" customFormat="false" ht="15.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X119" s="1"/>
      <c r="Y119" s="1"/>
      <c r="Z119" s="1"/>
      <c r="AA119" s="1"/>
    </row>
    <row r="120" customFormat="false" ht="15.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X120" s="1"/>
      <c r="Y120" s="1"/>
      <c r="Z120" s="1"/>
      <c r="AA120" s="1"/>
    </row>
    <row r="121" customFormat="false" ht="15.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X121" s="1"/>
      <c r="Y121" s="1"/>
      <c r="Z121" s="1"/>
      <c r="AA121" s="1"/>
    </row>
    <row r="122" customFormat="false" ht="15.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X122" s="1"/>
      <c r="Y122" s="1"/>
      <c r="Z122" s="1"/>
      <c r="AA122" s="1"/>
    </row>
    <row r="123" customFormat="false" ht="15.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X123" s="1"/>
      <c r="Y123" s="1"/>
      <c r="Z123" s="1"/>
      <c r="AA123" s="1"/>
    </row>
    <row r="124" customFormat="false" ht="15.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X124" s="1"/>
      <c r="Y124" s="1"/>
      <c r="Z124" s="1"/>
      <c r="AA124" s="1"/>
    </row>
    <row r="125" customFormat="false" ht="15.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X125" s="1"/>
      <c r="Y125" s="1"/>
      <c r="Z125" s="1"/>
      <c r="AA125" s="1"/>
    </row>
    <row r="126" customFormat="false" ht="15.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X126" s="1"/>
      <c r="Y126" s="1"/>
      <c r="Z126" s="1"/>
      <c r="AA126" s="1"/>
    </row>
    <row r="127" customFormat="false" ht="15.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X127" s="1"/>
      <c r="Y127" s="1"/>
      <c r="Z127" s="1"/>
      <c r="AA127" s="1"/>
    </row>
    <row r="128" customFormat="false" ht="15.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X128" s="1"/>
      <c r="Y128" s="1"/>
      <c r="Z128" s="1"/>
      <c r="AA128" s="1"/>
    </row>
    <row r="129" customFormat="false" ht="15.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X129" s="1"/>
      <c r="Y129" s="1"/>
      <c r="Z129" s="1"/>
      <c r="AA129" s="1"/>
    </row>
    <row r="130" customFormat="false" ht="15.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X130" s="1"/>
      <c r="Y130" s="1"/>
      <c r="Z130" s="1"/>
      <c r="AA130" s="1"/>
    </row>
    <row r="131" customFormat="false" ht="15.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X131" s="1"/>
      <c r="Y131" s="1"/>
      <c r="Z131" s="1"/>
      <c r="AA131" s="1"/>
    </row>
    <row r="132" customFormat="false" ht="15.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X132" s="1"/>
      <c r="Y132" s="1"/>
      <c r="Z132" s="1"/>
      <c r="AA132" s="1"/>
    </row>
    <row r="133" customFormat="false" ht="15.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X133" s="1"/>
      <c r="Y133" s="1"/>
      <c r="Z133" s="1"/>
      <c r="AA133" s="1"/>
    </row>
    <row r="134" customFormat="false" ht="15.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X134" s="1"/>
      <c r="Y134" s="1"/>
      <c r="Z134" s="1"/>
      <c r="AA134" s="1"/>
    </row>
    <row r="135" customFormat="false" ht="15.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X135" s="1"/>
      <c r="Y135" s="1"/>
      <c r="Z135" s="1"/>
      <c r="AA135" s="1"/>
    </row>
    <row r="136" customFormat="false" ht="15.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X136" s="1"/>
      <c r="Y136" s="1"/>
      <c r="Z136" s="1"/>
      <c r="AA136" s="1"/>
    </row>
    <row r="137" customFormat="false" ht="15.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X137" s="1"/>
      <c r="Y137" s="1"/>
      <c r="Z137" s="1"/>
      <c r="AA137" s="1"/>
    </row>
    <row r="138" customFormat="false" ht="15.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X138" s="1"/>
      <c r="Y138" s="1"/>
      <c r="Z138" s="1"/>
      <c r="AA138" s="1"/>
    </row>
    <row r="139" customFormat="false" ht="15.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X139" s="1"/>
      <c r="Y139" s="1"/>
      <c r="Z139" s="1"/>
      <c r="AA139" s="1"/>
    </row>
    <row r="140" customFormat="false" ht="15.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X140" s="1"/>
      <c r="Y140" s="1"/>
      <c r="Z140" s="1"/>
      <c r="AA140" s="1"/>
    </row>
    <row r="141" customFormat="false" ht="15.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X141" s="1"/>
      <c r="Y141" s="1"/>
      <c r="Z141" s="1"/>
      <c r="AA141" s="1"/>
    </row>
    <row r="142" customFormat="false" ht="15.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X142" s="1"/>
      <c r="Y142" s="1"/>
      <c r="Z142" s="1"/>
      <c r="AA142" s="1"/>
    </row>
    <row r="143" customFormat="false" ht="15.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X143" s="1"/>
      <c r="Y143" s="1"/>
      <c r="Z143" s="1"/>
      <c r="AA143" s="1"/>
    </row>
    <row r="144" customFormat="false" ht="15.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X144" s="1"/>
      <c r="Y144" s="1"/>
      <c r="Z144" s="1"/>
      <c r="AA144" s="1"/>
    </row>
    <row r="145" customFormat="false" ht="15.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X145" s="1"/>
      <c r="Y145" s="1"/>
      <c r="Z145" s="1"/>
      <c r="AA145" s="1"/>
    </row>
    <row r="146" customFormat="false" ht="15.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X146" s="1"/>
      <c r="Y146" s="1"/>
      <c r="Z146" s="1"/>
      <c r="AA146" s="1"/>
    </row>
    <row r="147" customFormat="false" ht="15.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X147" s="1"/>
      <c r="Y147" s="1"/>
      <c r="Z147" s="1"/>
      <c r="AA147" s="1"/>
    </row>
    <row r="148" customFormat="false" ht="15.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X148" s="1"/>
      <c r="Y148" s="1"/>
      <c r="Z148" s="1"/>
      <c r="AA148" s="1"/>
    </row>
    <row r="149" customFormat="false" ht="15.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X149" s="1"/>
      <c r="Y149" s="1"/>
      <c r="Z149" s="1"/>
      <c r="AA149" s="1"/>
    </row>
    <row r="150" customFormat="false" ht="15.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X150" s="1"/>
      <c r="Y150" s="1"/>
      <c r="Z150" s="1"/>
      <c r="AA150" s="1"/>
    </row>
    <row r="151" customFormat="false" ht="15.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X151" s="1"/>
      <c r="Y151" s="1"/>
      <c r="Z151" s="1"/>
      <c r="AA151" s="1"/>
    </row>
    <row r="152" customFormat="false" ht="15.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X152" s="1"/>
      <c r="Y152" s="1"/>
      <c r="Z152" s="1"/>
      <c r="AA152" s="1"/>
    </row>
    <row r="153" customFormat="false" ht="15.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X153" s="1"/>
      <c r="Y153" s="1"/>
      <c r="Z153" s="1"/>
      <c r="AA153" s="1"/>
    </row>
    <row r="154" customFormat="false" ht="15.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X154" s="1"/>
      <c r="Y154" s="1"/>
      <c r="Z154" s="1"/>
      <c r="AA154" s="1"/>
    </row>
    <row r="155" customFormat="false" ht="15.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X155" s="1"/>
      <c r="Y155" s="1"/>
      <c r="Z155" s="1"/>
      <c r="AA155" s="1"/>
    </row>
    <row r="156" customFormat="false" ht="15.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X156" s="1"/>
      <c r="Y156" s="1"/>
      <c r="Z156" s="1"/>
      <c r="AA156" s="1"/>
    </row>
    <row r="157" customFormat="false" ht="15.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X157" s="1"/>
      <c r="Y157" s="1"/>
      <c r="Z157" s="1"/>
      <c r="AA157" s="1"/>
    </row>
    <row r="158" customFormat="false" ht="15.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X158" s="1"/>
      <c r="Y158" s="1"/>
      <c r="Z158" s="1"/>
      <c r="AA158" s="1"/>
    </row>
    <row r="159" customFormat="false" ht="15.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X159" s="1"/>
      <c r="Y159" s="1"/>
      <c r="Z159" s="1"/>
      <c r="AA159" s="1"/>
    </row>
    <row r="160" customFormat="false" ht="15.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X160" s="1"/>
      <c r="Y160" s="1"/>
      <c r="Z160" s="1"/>
      <c r="AA160" s="1"/>
    </row>
    <row r="161" customFormat="false" ht="15.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X161" s="1"/>
      <c r="Y161" s="1"/>
      <c r="Z161" s="1"/>
      <c r="AA161" s="1"/>
    </row>
    <row r="162" customFormat="false" ht="15.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X162" s="1"/>
      <c r="Y162" s="1"/>
      <c r="Z162" s="1"/>
      <c r="AA162" s="1"/>
    </row>
    <row r="163" customFormat="false" ht="15.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X163" s="1"/>
      <c r="Y163" s="1"/>
      <c r="Z163" s="1"/>
      <c r="AA163" s="1"/>
    </row>
    <row r="164" customFormat="false" ht="15.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X164" s="1"/>
      <c r="Y164" s="1"/>
      <c r="Z164" s="1"/>
      <c r="AA164" s="1"/>
    </row>
    <row r="165" customFormat="false" ht="15.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X165" s="1"/>
      <c r="Y165" s="1"/>
      <c r="Z165" s="1"/>
      <c r="AA165" s="1"/>
    </row>
    <row r="166" customFormat="false" ht="15.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X166" s="1"/>
      <c r="Y166" s="1"/>
      <c r="Z166" s="1"/>
      <c r="AA166" s="1"/>
    </row>
    <row r="167" customFormat="false" ht="15.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X167" s="1"/>
      <c r="Y167" s="1"/>
      <c r="Z167" s="1"/>
      <c r="AA167" s="1"/>
    </row>
    <row r="168" customFormat="false" ht="15.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X168" s="1"/>
      <c r="Y168" s="1"/>
      <c r="Z168" s="1"/>
      <c r="AA168" s="1"/>
    </row>
    <row r="169" customFormat="false" ht="15.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X169" s="1"/>
      <c r="Y169" s="1"/>
      <c r="Z169" s="1"/>
      <c r="AA169" s="1"/>
    </row>
    <row r="170" customFormat="false" ht="15.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X170" s="1"/>
      <c r="Y170" s="1"/>
      <c r="Z170" s="1"/>
      <c r="AA170" s="1"/>
    </row>
    <row r="171" customFormat="false" ht="15.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X171" s="1"/>
      <c r="Y171" s="1"/>
      <c r="Z171" s="1"/>
      <c r="AA171" s="1"/>
    </row>
    <row r="172" customFormat="false" ht="15.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X172" s="1"/>
      <c r="Y172" s="1"/>
      <c r="Z172" s="1"/>
      <c r="AA172" s="1"/>
    </row>
    <row r="173" customFormat="false" ht="15.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X173" s="1"/>
      <c r="Y173" s="1"/>
      <c r="Z173" s="1"/>
      <c r="AA173" s="1"/>
    </row>
    <row r="174" customFormat="false" ht="15.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X174" s="1"/>
      <c r="Y174" s="1"/>
      <c r="Z174" s="1"/>
      <c r="AA174" s="1"/>
    </row>
    <row r="175" customFormat="false" ht="15.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X175" s="1"/>
      <c r="Y175" s="1"/>
      <c r="Z175" s="1"/>
      <c r="AA175" s="1"/>
    </row>
    <row r="176" customFormat="false" ht="15.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X176" s="1"/>
      <c r="Y176" s="1"/>
      <c r="Z176" s="1"/>
      <c r="AA176" s="1"/>
    </row>
    <row r="177" customFormat="false" ht="15.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X177" s="1"/>
      <c r="Y177" s="1"/>
      <c r="Z177" s="1"/>
      <c r="AA177" s="1"/>
    </row>
    <row r="178" customFormat="false" ht="15.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X178" s="1"/>
      <c r="Y178" s="1"/>
      <c r="Z178" s="1"/>
      <c r="AA178" s="1"/>
    </row>
    <row r="179" customFormat="false" ht="15.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X179" s="1"/>
      <c r="Y179" s="1"/>
      <c r="Z179" s="1"/>
      <c r="AA179" s="1"/>
    </row>
    <row r="180" customFormat="false" ht="15.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X180" s="1"/>
      <c r="Y180" s="1"/>
      <c r="Z180" s="1"/>
      <c r="AA180" s="1"/>
    </row>
    <row r="181" customFormat="false" ht="15.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X181" s="1"/>
      <c r="Y181" s="1"/>
      <c r="Z181" s="1"/>
      <c r="AA181" s="1"/>
    </row>
    <row r="182" customFormat="false" ht="15.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X182" s="1"/>
      <c r="Y182" s="1"/>
      <c r="Z182" s="1"/>
      <c r="AA182" s="1"/>
    </row>
    <row r="183" customFormat="false" ht="15.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X183" s="1"/>
      <c r="Y183" s="1"/>
      <c r="Z183" s="1"/>
      <c r="AA183" s="1"/>
    </row>
    <row r="184" customFormat="false" ht="15.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X184" s="1"/>
      <c r="Y184" s="1"/>
      <c r="Z184" s="1"/>
      <c r="AA184" s="1"/>
    </row>
    <row r="185" customFormat="false" ht="15.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X185" s="1"/>
      <c r="Y185" s="1"/>
      <c r="Z185" s="1"/>
      <c r="AA185" s="1"/>
    </row>
    <row r="186" customFormat="false" ht="15.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X186" s="1"/>
      <c r="Y186" s="1"/>
      <c r="Z186" s="1"/>
      <c r="AA186" s="1"/>
    </row>
    <row r="187" customFormat="false" ht="15.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X187" s="1"/>
      <c r="Y187" s="1"/>
      <c r="Z187" s="1"/>
      <c r="AA187" s="1"/>
    </row>
    <row r="188" customFormat="false" ht="15.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X188" s="1"/>
      <c r="Y188" s="1"/>
      <c r="Z188" s="1"/>
      <c r="AA188" s="1"/>
    </row>
    <row r="189" customFormat="false" ht="15.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X189" s="1"/>
      <c r="Y189" s="1"/>
      <c r="Z189" s="1"/>
      <c r="AA189" s="1"/>
    </row>
    <row r="190" customFormat="false" ht="15.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X190" s="1"/>
      <c r="Y190" s="1"/>
      <c r="Z190" s="1"/>
      <c r="AA190" s="1"/>
    </row>
    <row r="191" customFormat="false" ht="15.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X191" s="1"/>
      <c r="Y191" s="1"/>
      <c r="Z191" s="1"/>
      <c r="AA191" s="1"/>
    </row>
    <row r="192" customFormat="false" ht="15.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X192" s="1"/>
      <c r="Y192" s="1"/>
      <c r="Z192" s="1"/>
      <c r="AA192" s="1"/>
    </row>
    <row r="193" customFormat="false" ht="15.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X193" s="1"/>
      <c r="Y193" s="1"/>
      <c r="Z193" s="1"/>
      <c r="AA193" s="1"/>
    </row>
    <row r="194" customFormat="false" ht="15.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X194" s="1"/>
      <c r="Y194" s="1"/>
      <c r="Z194" s="1"/>
      <c r="AA194" s="1"/>
    </row>
    <row r="195" customFormat="false" ht="15.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X195" s="1"/>
      <c r="Y195" s="1"/>
      <c r="Z195" s="1"/>
      <c r="AA195" s="1"/>
    </row>
    <row r="196" customFormat="false" ht="15.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X196" s="1"/>
      <c r="Y196" s="1"/>
      <c r="Z196" s="1"/>
      <c r="AA196" s="1"/>
    </row>
    <row r="197" customFormat="false" ht="15.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X197" s="1"/>
      <c r="Y197" s="1"/>
      <c r="Z197" s="1"/>
      <c r="AA197" s="1"/>
    </row>
    <row r="198" customFormat="false" ht="15.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X198" s="1"/>
      <c r="Y198" s="1"/>
      <c r="Z198" s="1"/>
      <c r="AA198" s="1"/>
    </row>
    <row r="199" customFormat="false" ht="15.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X199" s="1"/>
      <c r="Y199" s="1"/>
      <c r="Z199" s="1"/>
      <c r="AA199" s="1"/>
    </row>
    <row r="200" customFormat="false" ht="15.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X200" s="1"/>
      <c r="Y200" s="1"/>
      <c r="Z200" s="1"/>
      <c r="AA200" s="1"/>
    </row>
    <row r="201" customFormat="false" ht="15.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X201" s="1"/>
      <c r="Y201" s="1"/>
      <c r="Z201" s="1"/>
      <c r="AA201" s="1"/>
    </row>
    <row r="202" customFormat="false" ht="15.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X202" s="1"/>
      <c r="Y202" s="1"/>
      <c r="Z202" s="1"/>
      <c r="AA202" s="1"/>
    </row>
    <row r="203" customFormat="false" ht="15.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X203" s="1"/>
      <c r="Y203" s="1"/>
      <c r="Z203" s="1"/>
      <c r="AA203" s="1"/>
    </row>
    <row r="204" customFormat="false" ht="15.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X204" s="1"/>
      <c r="Y204" s="1"/>
      <c r="Z204" s="1"/>
      <c r="AA204" s="1"/>
    </row>
    <row r="205" customFormat="false" ht="15.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X205" s="1"/>
      <c r="Y205" s="1"/>
      <c r="Z205" s="1"/>
      <c r="AA205" s="1"/>
    </row>
    <row r="206" customFormat="false" ht="15.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X206" s="1"/>
      <c r="Y206" s="1"/>
      <c r="Z206" s="1"/>
      <c r="AA206" s="1"/>
    </row>
    <row r="207" customFormat="false" ht="15.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X207" s="1"/>
      <c r="Y207" s="1"/>
      <c r="Z207" s="1"/>
      <c r="AA207" s="1"/>
    </row>
    <row r="208" customFormat="false" ht="15.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X208" s="1"/>
      <c r="Y208" s="1"/>
      <c r="Z208" s="1"/>
      <c r="AA208" s="1"/>
    </row>
    <row r="209" customFormat="false" ht="15.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X209" s="1"/>
      <c r="Y209" s="1"/>
      <c r="Z209" s="1"/>
      <c r="AA209" s="1"/>
    </row>
    <row r="210" customFormat="false" ht="15.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X210" s="1"/>
      <c r="Y210" s="1"/>
      <c r="Z210" s="1"/>
      <c r="AA210" s="1"/>
    </row>
    <row r="211" customFormat="false" ht="15.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X211" s="1"/>
      <c r="Y211" s="1"/>
      <c r="Z211" s="1"/>
      <c r="AA211" s="1"/>
    </row>
    <row r="212" customFormat="false" ht="15.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X212" s="1"/>
      <c r="Y212" s="1"/>
      <c r="Z212" s="1"/>
      <c r="AA212" s="1"/>
    </row>
    <row r="213" customFormat="false" ht="15.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X213" s="1"/>
      <c r="Y213" s="1"/>
      <c r="Z213" s="1"/>
      <c r="AA213" s="1"/>
    </row>
    <row r="214" customFormat="false" ht="15.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X214" s="1"/>
      <c r="Y214" s="1"/>
      <c r="Z214" s="1"/>
      <c r="AA214" s="1"/>
    </row>
    <row r="215" customFormat="false" ht="15.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X215" s="1"/>
      <c r="Y215" s="1"/>
      <c r="Z215" s="1"/>
      <c r="AA215" s="1"/>
    </row>
    <row r="216" customFormat="false" ht="15.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X216" s="1"/>
      <c r="Y216" s="1"/>
      <c r="Z216" s="1"/>
      <c r="AA216" s="1"/>
    </row>
    <row r="217" customFormat="false" ht="15.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X217" s="1"/>
      <c r="Y217" s="1"/>
      <c r="Z217" s="1"/>
      <c r="AA217" s="1"/>
    </row>
    <row r="218" customFormat="false" ht="15.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X218" s="1"/>
      <c r="Y218" s="1"/>
      <c r="Z218" s="1"/>
      <c r="AA218" s="1"/>
    </row>
    <row r="219" customFormat="false" ht="15.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X219" s="1"/>
      <c r="Y219" s="1"/>
      <c r="Z219" s="1"/>
      <c r="AA219" s="1"/>
    </row>
    <row r="220" customFormat="false" ht="15.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X220" s="1"/>
      <c r="Y220" s="1"/>
      <c r="Z220" s="1"/>
      <c r="AA220" s="1"/>
    </row>
    <row r="221" customFormat="false" ht="15.75" hidden="false" customHeight="true" outlineLevel="0" collapsed="false">
      <c r="B221" s="1"/>
      <c r="D221" s="1"/>
      <c r="E221" s="1"/>
      <c r="L221" s="1"/>
      <c r="N221" s="1"/>
      <c r="O221" s="1"/>
      <c r="P221" s="1"/>
      <c r="Q221" s="1"/>
      <c r="R221" s="1"/>
      <c r="T221" s="1"/>
      <c r="U221" s="1"/>
    </row>
    <row r="222" customFormat="false" ht="15.75" hidden="false" customHeight="true" outlineLevel="0" collapsed="false">
      <c r="B222" s="1"/>
      <c r="D222" s="1"/>
      <c r="E222" s="1"/>
      <c r="L222" s="1"/>
      <c r="N222" s="1"/>
      <c r="O222" s="1"/>
      <c r="P222" s="1"/>
      <c r="Q222" s="1"/>
      <c r="R222" s="1"/>
      <c r="T222" s="1"/>
      <c r="U222" s="1"/>
    </row>
    <row r="223" customFormat="false" ht="15.75" hidden="false" customHeight="true" outlineLevel="0" collapsed="false">
      <c r="B223" s="1"/>
      <c r="D223" s="1"/>
      <c r="E223" s="1"/>
      <c r="L223" s="1"/>
      <c r="N223" s="1"/>
      <c r="O223" s="1"/>
      <c r="P223" s="1"/>
      <c r="Q223" s="1"/>
      <c r="R223" s="1"/>
      <c r="T223" s="1"/>
      <c r="U223" s="1"/>
    </row>
    <row r="224" customFormat="false" ht="15.75" hidden="false" customHeight="true" outlineLevel="0" collapsed="false">
      <c r="B224" s="1"/>
      <c r="D224" s="1"/>
      <c r="E224" s="1"/>
      <c r="L224" s="1"/>
      <c r="N224" s="1"/>
      <c r="O224" s="1"/>
      <c r="P224" s="1"/>
      <c r="Q224" s="1"/>
      <c r="R224" s="1"/>
      <c r="T224" s="1"/>
      <c r="U224" s="1"/>
    </row>
    <row r="225" customFormat="false" ht="15.75" hidden="false" customHeight="true" outlineLevel="0" collapsed="false">
      <c r="B225" s="1"/>
      <c r="D225" s="1"/>
      <c r="E225" s="1"/>
      <c r="L225" s="1"/>
      <c r="N225" s="1"/>
      <c r="O225" s="1"/>
      <c r="P225" s="1"/>
      <c r="Q225" s="1"/>
      <c r="R225" s="1"/>
      <c r="T225" s="1"/>
      <c r="U225" s="1"/>
    </row>
    <row r="226" customFormat="false" ht="15.75" hidden="false" customHeight="true" outlineLevel="0" collapsed="false">
      <c r="B226" s="1"/>
      <c r="D226" s="1"/>
      <c r="E226" s="1"/>
      <c r="L226" s="1"/>
      <c r="N226" s="1"/>
      <c r="O226" s="1"/>
      <c r="P226" s="1"/>
      <c r="Q226" s="1"/>
      <c r="R226" s="1"/>
      <c r="T226" s="1"/>
      <c r="U226" s="1"/>
    </row>
    <row r="227" customFormat="false" ht="15.75" hidden="false" customHeight="true" outlineLevel="0" collapsed="false">
      <c r="B227" s="1"/>
      <c r="D227" s="1"/>
      <c r="E227" s="1"/>
      <c r="L227" s="1"/>
      <c r="N227" s="1"/>
      <c r="O227" s="1"/>
      <c r="P227" s="1"/>
      <c r="Q227" s="1"/>
      <c r="R227" s="1"/>
      <c r="T227" s="1"/>
      <c r="U227" s="1"/>
    </row>
    <row r="228" customFormat="false" ht="15.75" hidden="false" customHeight="true" outlineLevel="0" collapsed="false">
      <c r="B228" s="1"/>
      <c r="D228" s="1"/>
      <c r="E228" s="1"/>
      <c r="L228" s="1"/>
      <c r="N228" s="1"/>
      <c r="O228" s="1"/>
      <c r="P228" s="1"/>
      <c r="Q228" s="1"/>
      <c r="R228" s="1"/>
      <c r="T228" s="1"/>
      <c r="U228" s="1"/>
    </row>
    <row r="229" customFormat="false" ht="15.75" hidden="false" customHeight="true" outlineLevel="0" collapsed="false">
      <c r="B229" s="1"/>
      <c r="D229" s="1"/>
      <c r="E229" s="1"/>
      <c r="L229" s="1"/>
      <c r="N229" s="1"/>
      <c r="O229" s="1"/>
      <c r="P229" s="1"/>
      <c r="Q229" s="1"/>
      <c r="R229" s="1"/>
      <c r="T229" s="1"/>
      <c r="U229" s="1"/>
    </row>
    <row r="230" customFormat="false" ht="15.75" hidden="false" customHeight="true" outlineLevel="0" collapsed="false">
      <c r="B230" s="1"/>
      <c r="D230" s="1"/>
      <c r="E230" s="1"/>
      <c r="L230" s="1"/>
      <c r="N230" s="1"/>
      <c r="O230" s="1"/>
      <c r="P230" s="1"/>
      <c r="Q230" s="1"/>
      <c r="R230" s="1"/>
      <c r="T230" s="1"/>
      <c r="U230" s="1"/>
    </row>
    <row r="231" customFormat="false" ht="15.75" hidden="false" customHeight="true" outlineLevel="0" collapsed="false">
      <c r="B231" s="1"/>
      <c r="D231" s="1"/>
      <c r="E231" s="1"/>
      <c r="L231" s="1"/>
      <c r="N231" s="1"/>
      <c r="O231" s="1"/>
      <c r="P231" s="1"/>
      <c r="Q231" s="1"/>
      <c r="R231" s="1"/>
      <c r="T231" s="1"/>
      <c r="U231" s="1"/>
    </row>
    <row r="232" customFormat="false" ht="15.75" hidden="false" customHeight="true" outlineLevel="0" collapsed="false">
      <c r="B232" s="1"/>
      <c r="D232" s="1"/>
      <c r="E232" s="1"/>
      <c r="L232" s="1"/>
      <c r="N232" s="1"/>
      <c r="O232" s="1"/>
      <c r="P232" s="1"/>
      <c r="Q232" s="1"/>
      <c r="R232" s="1"/>
      <c r="T232" s="1"/>
      <c r="U232" s="1"/>
    </row>
    <row r="233" customFormat="false" ht="15.75" hidden="false" customHeight="true" outlineLevel="0" collapsed="false">
      <c r="B233" s="1"/>
      <c r="D233" s="1"/>
      <c r="E233" s="1"/>
      <c r="L233" s="1"/>
      <c r="N233" s="1"/>
      <c r="O233" s="1"/>
      <c r="P233" s="1"/>
      <c r="Q233" s="1"/>
      <c r="R233" s="1"/>
      <c r="T233" s="1"/>
      <c r="U233" s="1"/>
    </row>
    <row r="234" customFormat="false" ht="15.75" hidden="false" customHeight="true" outlineLevel="0" collapsed="false">
      <c r="B234" s="1"/>
      <c r="D234" s="1"/>
      <c r="E234" s="1"/>
      <c r="L234" s="1"/>
      <c r="N234" s="1"/>
      <c r="O234" s="1"/>
      <c r="P234" s="1"/>
      <c r="Q234" s="1"/>
      <c r="R234" s="1"/>
      <c r="T234" s="1"/>
      <c r="U234" s="1"/>
    </row>
    <row r="235" customFormat="false" ht="15.75" hidden="false" customHeight="true" outlineLevel="0" collapsed="false">
      <c r="B235" s="1"/>
      <c r="D235" s="1"/>
      <c r="E235" s="1"/>
      <c r="L235" s="1"/>
      <c r="N235" s="1"/>
      <c r="O235" s="1"/>
      <c r="P235" s="1"/>
      <c r="Q235" s="1"/>
      <c r="R235" s="1"/>
      <c r="T235" s="1"/>
      <c r="U235" s="1"/>
    </row>
    <row r="236" customFormat="false" ht="15.75" hidden="false" customHeight="true" outlineLevel="0" collapsed="false">
      <c r="B236" s="1"/>
      <c r="D236" s="1"/>
      <c r="E236" s="1"/>
      <c r="L236" s="1"/>
      <c r="N236" s="1"/>
      <c r="O236" s="1"/>
      <c r="P236" s="1"/>
      <c r="Q236" s="1"/>
      <c r="R236" s="1"/>
      <c r="T236" s="1"/>
      <c r="U236" s="1"/>
    </row>
    <row r="237" customFormat="false" ht="15.75" hidden="false" customHeight="true" outlineLevel="0" collapsed="false">
      <c r="B237" s="1"/>
      <c r="D237" s="1"/>
      <c r="E237" s="1"/>
      <c r="L237" s="1"/>
      <c r="N237" s="1"/>
      <c r="O237" s="1"/>
      <c r="P237" s="1"/>
      <c r="Q237" s="1"/>
      <c r="R237" s="1"/>
      <c r="T237" s="1"/>
      <c r="U237" s="1"/>
    </row>
    <row r="238" customFormat="false" ht="15.75" hidden="false" customHeight="true" outlineLevel="0" collapsed="false">
      <c r="B238" s="1"/>
      <c r="D238" s="1"/>
      <c r="E238" s="1"/>
      <c r="L238" s="1"/>
      <c r="N238" s="1"/>
      <c r="O238" s="1"/>
      <c r="P238" s="1"/>
      <c r="Q238" s="1"/>
      <c r="R238" s="1"/>
      <c r="T238" s="1"/>
      <c r="U238" s="1"/>
    </row>
    <row r="239" customFormat="false" ht="15.75" hidden="false" customHeight="true" outlineLevel="0" collapsed="false">
      <c r="B239" s="1"/>
      <c r="D239" s="1"/>
      <c r="E239" s="1"/>
      <c r="L239" s="1"/>
      <c r="N239" s="1"/>
      <c r="O239" s="1"/>
      <c r="P239" s="1"/>
      <c r="Q239" s="1"/>
      <c r="R239" s="1"/>
      <c r="T239" s="1"/>
      <c r="U239" s="1"/>
    </row>
    <row r="240" customFormat="false" ht="15.75" hidden="false" customHeight="true" outlineLevel="0" collapsed="false">
      <c r="B240" s="1"/>
      <c r="D240" s="1"/>
      <c r="E240" s="1"/>
      <c r="L240" s="1"/>
      <c r="N240" s="1"/>
      <c r="O240" s="1"/>
      <c r="P240" s="1"/>
      <c r="Q240" s="1"/>
      <c r="R240" s="1"/>
      <c r="T240" s="1"/>
      <c r="U240" s="1"/>
    </row>
    <row r="241" customFormat="false" ht="15.75" hidden="false" customHeight="true" outlineLevel="0" collapsed="false">
      <c r="B241" s="1"/>
      <c r="D241" s="1"/>
      <c r="E241" s="1"/>
      <c r="L241" s="1"/>
      <c r="N241" s="1"/>
      <c r="O241" s="1"/>
      <c r="P241" s="1"/>
      <c r="Q241" s="1"/>
      <c r="R241" s="1"/>
      <c r="T241" s="1"/>
      <c r="U241" s="1"/>
    </row>
    <row r="242" customFormat="false" ht="15.75" hidden="false" customHeight="true" outlineLevel="0" collapsed="false">
      <c r="B242" s="1"/>
      <c r="D242" s="1"/>
      <c r="E242" s="1"/>
      <c r="L242" s="1"/>
      <c r="N242" s="1"/>
      <c r="O242" s="1"/>
      <c r="P242" s="1"/>
      <c r="Q242" s="1"/>
      <c r="R242" s="1"/>
      <c r="T242" s="1"/>
      <c r="U242" s="1"/>
    </row>
    <row r="243" customFormat="false" ht="15.75" hidden="false" customHeight="true" outlineLevel="0" collapsed="false">
      <c r="B243" s="1"/>
      <c r="D243" s="1"/>
      <c r="E243" s="1"/>
      <c r="L243" s="1"/>
      <c r="N243" s="1"/>
      <c r="O243" s="1"/>
      <c r="P243" s="1"/>
      <c r="Q243" s="1"/>
      <c r="R243" s="1"/>
      <c r="T243" s="1"/>
      <c r="U243" s="1"/>
    </row>
    <row r="244" customFormat="false" ht="15.75" hidden="false" customHeight="true" outlineLevel="0" collapsed="false">
      <c r="B244" s="1"/>
      <c r="D244" s="1"/>
      <c r="E244" s="1"/>
      <c r="L244" s="1"/>
      <c r="N244" s="1"/>
      <c r="O244" s="1"/>
      <c r="P244" s="1"/>
      <c r="Q244" s="1"/>
      <c r="R244" s="1"/>
      <c r="T244" s="1"/>
      <c r="U244" s="1"/>
    </row>
    <row r="245" customFormat="false" ht="15.75" hidden="false" customHeight="true" outlineLevel="0" collapsed="false">
      <c r="B245" s="1"/>
      <c r="D245" s="1"/>
      <c r="E245" s="1"/>
      <c r="L245" s="1"/>
      <c r="N245" s="1"/>
      <c r="O245" s="1"/>
      <c r="P245" s="1"/>
      <c r="Q245" s="1"/>
      <c r="R245" s="1"/>
      <c r="T245" s="1"/>
      <c r="U245" s="1"/>
    </row>
    <row r="246" customFormat="false" ht="15.75" hidden="false" customHeight="true" outlineLevel="0" collapsed="false">
      <c r="B246" s="1"/>
      <c r="D246" s="1"/>
      <c r="E246" s="1"/>
      <c r="L246" s="1"/>
      <c r="N246" s="1"/>
      <c r="O246" s="1"/>
      <c r="P246" s="1"/>
      <c r="Q246" s="1"/>
      <c r="R246" s="1"/>
      <c r="T246" s="1"/>
      <c r="U246" s="1"/>
    </row>
    <row r="247" customFormat="false" ht="15.75" hidden="false" customHeight="true" outlineLevel="0" collapsed="false">
      <c r="B247" s="1"/>
      <c r="D247" s="1"/>
      <c r="E247" s="1"/>
      <c r="L247" s="1"/>
      <c r="N247" s="1"/>
      <c r="O247" s="1"/>
      <c r="P247" s="1"/>
      <c r="Q247" s="1"/>
      <c r="R247" s="1"/>
      <c r="T247" s="1"/>
      <c r="U247" s="1"/>
    </row>
    <row r="248" customFormat="false" ht="15.75" hidden="false" customHeight="true" outlineLevel="0" collapsed="false">
      <c r="B248" s="1"/>
      <c r="D248" s="1"/>
      <c r="E248" s="1"/>
      <c r="L248" s="1"/>
      <c r="N248" s="1"/>
      <c r="O248" s="1"/>
      <c r="P248" s="1"/>
      <c r="Q248" s="1"/>
      <c r="R248" s="1"/>
      <c r="T248" s="1"/>
      <c r="U248" s="1"/>
    </row>
    <row r="249" customFormat="false" ht="15.75" hidden="false" customHeight="true" outlineLevel="0" collapsed="false">
      <c r="B249" s="1"/>
      <c r="D249" s="1"/>
      <c r="E249" s="1"/>
      <c r="L249" s="1"/>
      <c r="N249" s="1"/>
      <c r="O249" s="1"/>
      <c r="P249" s="1"/>
      <c r="Q249" s="1"/>
      <c r="R249" s="1"/>
      <c r="T249" s="1"/>
      <c r="U249" s="1"/>
    </row>
    <row r="250" customFormat="false" ht="15.75" hidden="false" customHeight="true" outlineLevel="0" collapsed="false">
      <c r="B250" s="1"/>
      <c r="D250" s="1"/>
      <c r="E250" s="1"/>
      <c r="L250" s="1"/>
      <c r="N250" s="1"/>
      <c r="O250" s="1"/>
      <c r="P250" s="1"/>
      <c r="Q250" s="1"/>
      <c r="R250" s="1"/>
      <c r="T250" s="1"/>
      <c r="U250" s="1"/>
    </row>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0">
    <dataValidation allowBlank="true" errorStyle="stop" operator="between" showDropDown="false" showErrorMessage="false" showInputMessage="false" sqref="T2:U250" type="list">
      <formula1>"1,2,3,4,5"</formula1>
      <formula2>0</formula2>
    </dataValidation>
    <dataValidation allowBlank="true" errorStyle="stop" operator="between" showDropDown="false" showErrorMessage="false" showInputMessage="false" sqref="Q2:Q250" type="list">
      <formula1>"Data,Interface,Logic,Requirement,Server,Other"</formula1>
      <formula2>0</formula2>
    </dataValidation>
    <dataValidation allowBlank="true" errorStyle="stop" operator="between" showDropDown="false" showErrorMessage="false" showInputMessage="false" sqref="P2:P250" type="list">
      <formula1>$Y$2:$Y$11</formula1>
      <formula2>0</formula2>
    </dataValidation>
    <dataValidation allowBlank="true" errorStyle="stop" operator="between" showDropDown="false" showErrorMessage="false" showInputMessage="false" sqref="B2:B250" type="list">
      <formula1>"Bug,Story,Task,Sub-task"</formula1>
      <formula2>0</formula2>
    </dataValidation>
    <dataValidation allowBlank="true" errorStyle="stop" operator="between" showDropDown="false" showErrorMessage="false" showInputMessage="false" sqref="O2:O250" type="list">
      <formula1>"Fixed,Won't fix"</formula1>
      <formula2>0</formula2>
    </dataValidation>
    <dataValidation allowBlank="true" errorStyle="stop" operator="between" showDropDown="false" showErrorMessage="false" showInputMessage="false" sqref="R2:R250" type="list">
      <formula1>"Functionality,Performance,Security,Serviceability,Usability"</formula1>
      <formula2>0</formula2>
    </dataValidation>
    <dataValidation allowBlank="true" errorStyle="stop" operator="between" showDropDown="false" showErrorMessage="false" showInputMessage="false" sqref="N2:N250" type="list">
      <formula1>"Web,App,Web,App"</formula1>
      <formula2>0</formula2>
    </dataValidation>
    <dataValidation allowBlank="true" errorStyle="stop" operator="between" showDropDown="false" showErrorMessage="false" showInputMessage="false" sqref="E2:E250" type="list">
      <formula1>"Highest,High,Medium,Low,Lowest"</formula1>
      <formula2>0</formula2>
    </dataValidation>
    <dataValidation allowBlank="true" errorStyle="stop" operator="between" showDropDown="false" showErrorMessage="false" showInputMessage="false" sqref="L2:L250" type="list">
      <formula1>"20,10,5,2"</formula1>
      <formula2>0</formula2>
    </dataValidation>
    <dataValidation allowBlank="true" errorStyle="stop" operator="between" showDropDown="false" showErrorMessage="false" showInputMessage="false" sqref="D2:D250" type="list">
      <formula1>"To Do,In Progress,In review,Pending,Done,Cancel"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14"/>
    <col collapsed="false" customWidth="true" hidden="false" outlineLevel="0" max="3" min="3" style="0" width="42"/>
    <col collapsed="false" customWidth="true" hidden="false" outlineLevel="0" max="4" min="4" style="0" width="15"/>
    <col collapsed="false" customWidth="true" hidden="false" outlineLevel="0" max="5" min="5" style="0" width="8"/>
    <col collapsed="false" customWidth="true" hidden="false" outlineLevel="0" max="6" min="6" style="0" width="9"/>
    <col collapsed="false" customWidth="true" hidden="false" outlineLevel="0" max="10" min="7" style="0" width="7"/>
    <col collapsed="false" customWidth="true" hidden="false" outlineLevel="0" max="11" min="11" style="0" width="9"/>
    <col collapsed="false" customWidth="true" hidden="false" outlineLevel="0" max="12" min="12" style="0" width="20"/>
    <col collapsed="false" customWidth="true" hidden="true" outlineLevel="0" max="28" min="28" style="0" width="13"/>
    <col collapsed="false" customWidth="true" hidden="true" outlineLevel="0" max="32" min="30" style="0" width="13"/>
  </cols>
  <sheetData>
    <row r="1" customFormat="false" ht="15" hidden="false" customHeight="false" outlineLevel="0" collapsed="false">
      <c r="A1" s="1"/>
      <c r="B1" s="1"/>
      <c r="C1" s="1"/>
      <c r="D1" s="1"/>
      <c r="E1" s="1"/>
      <c r="F1" s="1"/>
      <c r="G1" s="1"/>
      <c r="H1" s="1"/>
      <c r="I1" s="1"/>
      <c r="J1" s="1"/>
      <c r="K1" s="1"/>
      <c r="L1" s="1"/>
    </row>
    <row r="2" customFormat="false" ht="18.55" hidden="false" customHeight="false" outlineLevel="0" collapsed="false">
      <c r="A2" s="1"/>
      <c r="B2" s="174" t="s">
        <v>490</v>
      </c>
      <c r="C2" s="1"/>
      <c r="D2" s="1"/>
      <c r="E2" s="1"/>
      <c r="F2" s="1"/>
      <c r="G2" s="1"/>
      <c r="H2" s="1"/>
      <c r="I2" s="1"/>
      <c r="J2" s="1"/>
      <c r="K2" s="1"/>
      <c r="L2" s="1"/>
    </row>
    <row r="3" customFormat="false" ht="15" hidden="false" customHeight="false" outlineLevel="0" collapsed="false">
      <c r="A3" s="1"/>
      <c r="B3" s="175" t="s">
        <v>491</v>
      </c>
      <c r="C3" s="175"/>
      <c r="D3" s="175"/>
      <c r="E3" s="175"/>
      <c r="F3" s="175"/>
      <c r="G3" s="175"/>
      <c r="H3" s="175"/>
      <c r="I3" s="175"/>
      <c r="J3" s="175"/>
      <c r="K3" s="175"/>
      <c r="L3" s="175"/>
    </row>
    <row r="4" customFormat="false" ht="15" hidden="false" customHeight="false" outlineLevel="0" collapsed="false">
      <c r="A4" s="1"/>
      <c r="B4" s="1"/>
      <c r="C4" s="1"/>
      <c r="D4" s="1"/>
      <c r="E4" s="1"/>
      <c r="F4" s="1"/>
      <c r="G4" s="1"/>
      <c r="H4" s="1"/>
      <c r="I4" s="1"/>
      <c r="J4" s="1"/>
      <c r="K4" s="1"/>
      <c r="L4" s="1"/>
    </row>
    <row r="5" customFormat="false" ht="15" hidden="false" customHeight="false" outlineLevel="0" collapsed="false">
      <c r="A5" s="1"/>
      <c r="B5" s="58" t="s">
        <v>492</v>
      </c>
      <c r="C5" s="58" t="s">
        <v>493</v>
      </c>
      <c r="D5" s="58" t="s">
        <v>494</v>
      </c>
      <c r="E5" s="58" t="s">
        <v>113</v>
      </c>
      <c r="F5" s="58" t="s">
        <v>110</v>
      </c>
      <c r="G5" s="58" t="s">
        <v>23</v>
      </c>
      <c r="H5" s="58" t="s">
        <v>25</v>
      </c>
      <c r="I5" s="58" t="s">
        <v>27</v>
      </c>
      <c r="J5" s="58" t="s">
        <v>29</v>
      </c>
      <c r="K5" s="58" t="s">
        <v>495</v>
      </c>
      <c r="L5" s="58" t="s">
        <v>21</v>
      </c>
    </row>
    <row r="6" customFormat="false" ht="46.25" hidden="false" customHeight="false" outlineLevel="0" collapsed="false">
      <c r="A6" s="1"/>
      <c r="B6" s="176" t="s">
        <v>496</v>
      </c>
      <c r="C6" s="177" t="s">
        <v>497</v>
      </c>
      <c r="D6" s="124" t="s">
        <v>498</v>
      </c>
      <c r="E6" s="51" t="n">
        <f aca="false">SUMPRODUCT(--ISNUMBER(SEARCH(", "&amp;$B6&amp;", ",", "&amp;'Hoạt động (Đơn của tôi)'!$B$7:$B$500&amp;", ")))+SUMPRODUCT(--ISNUMBER(SEARCH(", "&amp;$B6&amp;", ",", "&amp;'Ghép nối'!$B$7:$B$500&amp;", ")))+SUMPRODUCT(--ISNUMBER(SEARCH(", "&amp;$B6&amp;", ",", "&amp;'Huỷ đơn - Huỷ nhận đơn'!$B$7:$B$500&amp;", ")))+SUMPRODUCT(--ISNUMBER(SEARCH(", "&amp;$B6&amp;", ",", "&amp;'Giao nhận &amp; Theo dõi đơn'!$B$7:$B$500&amp;", ")))+SUMPRODUCT(--ISNUMBER(SEARCH(", "&amp;$B6&amp;", ",", "&amp;'Bảng tin &amp; Chi tiết tin'!$B$7:$B$500&amp;", ")))+SUMPRODUCT(--ISNUMBER(SEARCH(", "&amp;$B6&amp;", ",", "&amp;'Quà cảm ơn'!$B$7:$B$500&amp;", ")))+SUMPRODUCT(--ISNUMBER(SEARCH(", "&amp;$B6&amp;", ",", "&amp;'Trang chủ'!$B$7:$B$500&amp;", ")))+SUMPRODUCT(--ISNUMBER(SEARCH(", "&amp;$B6&amp;", ",", "&amp;'Thông báo'!$B$7:$B$500&amp;", ")))+SUMPRODUCT(--ISNUMBER(SEARCH(", "&amp;$B6&amp;", ",", "&amp;'Đăng tin &amp; Quản lý tin'!$B$7:$B$500&amp;", ")))+SUMPRODUCT(--ISNUMBER(SEARCH(", "&amp;$B6&amp;", ",", "&amp;'Trust &amp; Safety'!$B$7:$B$500&amp;", ")))+SUMPRODUCT(--ISNUMBER(SEARCH(", "&amp;$B6&amp;", ",", "&amp;'Tài khoản &amp; Hồ sơ'!$B$7:$B$500&amp;", ")))</f>
        <v>1</v>
      </c>
      <c r="F6" s="51" t="n">
        <f aca="false">SUMPRODUCT(--ISNUMBER(SEARCH(", "&amp;$B6&amp;", ",", "&amp;'Hoạt động (Đơn của tôi)'!$B$7:$B$500&amp;", ")),--('Hoạt động (Đơn của tôi)'!$AT$7:$AT$500&lt;&gt;""))+SUMPRODUCT(--ISNUMBER(SEARCH(", "&amp;$B6&amp;", ",", "&amp;'Ghép nối'!$B$7:$B$500&amp;", ")),--('Ghép nối'!$AT$7:$AT$500&lt;&gt;""))+SUMPRODUCT(--ISNUMBER(SEARCH(", "&amp;$B6&amp;", ",", "&amp;'Huỷ đơn - Huỷ nhận đơn'!$B$7:$B$500&amp;", ")),--('Huỷ đơn - Huỷ nhận đơn'!$AT$7:$AT$500&lt;&gt;""))+SUMPRODUCT(--ISNUMBER(SEARCH(", "&amp;$B6&amp;", ",", "&amp;'Giao nhận &amp; Theo dõi đơn'!$B$7:$B$500&amp;", ")),--('Giao nhận &amp; Theo dõi đơn'!$AT$7:$AT$500&lt;&gt;""))+SUMPRODUCT(--ISNUMBER(SEARCH(", "&amp;$B6&amp;", ",", "&amp;'Bảng tin &amp; Chi tiết tin'!$B$7:$B$500&amp;", ")),--('Bảng tin &amp; Chi tiết tin'!$AT$7:$AT$500&lt;&gt;""))+SUMPRODUCT(--ISNUMBER(SEARCH(", "&amp;$B6&amp;", ",", "&amp;'Quà cảm ơn'!$B$7:$B$500&amp;", ")),--('Quà cảm ơn'!$AT$7:$AT$500&lt;&gt;""))+SUMPRODUCT(--ISNUMBER(SEARCH(", "&amp;$B6&amp;", ",", "&amp;'Trang chủ'!$B$7:$B$500&amp;", ")),--('Trang chủ'!$AT$7:$AT$500&lt;&gt;""))+SUMPRODUCT(--ISNUMBER(SEARCH(", "&amp;$B6&amp;", ",", "&amp;'Thông báo'!$B$7:$B$500&amp;", ")),--('Thông báo'!$AT$7:$AT$500&lt;&gt;""))+SUMPRODUCT(--ISNUMBER(SEARCH(", "&amp;$B6&amp;", ",", "&amp;'Đăng tin &amp; Quản lý tin'!$B$7:$B$500&amp;", ")),--('Đăng tin &amp; Quản lý tin'!$AT$7:$AT$500&lt;&gt;""))+SUMPRODUCT(--ISNUMBER(SEARCH(", "&amp;$B6&amp;", ",", "&amp;'Trust &amp; Safety'!$B$7:$B$500&amp;", ")),--('Trust &amp; Safety'!$AT$7:$AT$500&lt;&gt;""))+SUMPRODUCT(--ISNUMBER(SEARCH(", "&amp;$B6&amp;", ",", "&amp;'Tài khoản &amp; Hồ sơ'!$B$7:$B$500&amp;", ")),--('Tài khoản &amp; Hồ sơ'!$AT$7:$AT$500&lt;&gt;""))</f>
        <v>1</v>
      </c>
      <c r="G6" s="51" t="n">
        <f aca="false">SUMPRODUCT(--ISNUMBER(SEARCH(", "&amp;$B6&amp;", ",", "&amp;'Hoạt động (Đơn của tôi)'!$B$7:$B$500&amp;", ")),--('Hoạt động (Đơn của tôi)'!$AT$7:$AT$500="Pass"))+SUMPRODUCT(--ISNUMBER(SEARCH(", "&amp;$B6&amp;", ",", "&amp;'Ghép nối'!$B$7:$B$500&amp;", ")),--('Ghép nối'!$AT$7:$AT$500="Pass"))+SUMPRODUCT(--ISNUMBER(SEARCH(", "&amp;$B6&amp;", ",", "&amp;'Huỷ đơn - Huỷ nhận đơn'!$B$7:$B$500&amp;", ")),--('Huỷ đơn - Huỷ nhận đơn'!$AT$7:$AT$500="Pass"))+SUMPRODUCT(--ISNUMBER(SEARCH(", "&amp;$B6&amp;", ",", "&amp;'Giao nhận &amp; Theo dõi đơn'!$B$7:$B$500&amp;", ")),--('Giao nhận &amp; Theo dõi đơn'!$AT$7:$AT$500="Pass"))+SUMPRODUCT(--ISNUMBER(SEARCH(", "&amp;$B6&amp;", ",", "&amp;'Bảng tin &amp; Chi tiết tin'!$B$7:$B$500&amp;", ")),--('Bảng tin &amp; Chi tiết tin'!$AT$7:$AT$500="Pass"))+SUMPRODUCT(--ISNUMBER(SEARCH(", "&amp;$B6&amp;", ",", "&amp;'Quà cảm ơn'!$B$7:$B$500&amp;", ")),--('Quà cảm ơn'!$AT$7:$AT$500="Pass"))+SUMPRODUCT(--ISNUMBER(SEARCH(", "&amp;$B6&amp;", ",", "&amp;'Trang chủ'!$B$7:$B$500&amp;", ")),--('Trang chủ'!$AT$7:$AT$500="Pass"))+SUMPRODUCT(--ISNUMBER(SEARCH(", "&amp;$B6&amp;", ",", "&amp;'Thông báo'!$B$7:$B$500&amp;", ")),--('Thông báo'!$AT$7:$AT$500="Pass"))+SUMPRODUCT(--ISNUMBER(SEARCH(", "&amp;$B6&amp;", ",", "&amp;'Đăng tin &amp; Quản lý tin'!$B$7:$B$500&amp;", ")),--('Đăng tin &amp; Quản lý tin'!$AT$7:$AT$500="Pass"))+SUMPRODUCT(--ISNUMBER(SEARCH(", "&amp;$B6&amp;", ",", "&amp;'Trust &amp; Safety'!$B$7:$B$500&amp;", ")),--('Trust &amp; Safety'!$AT$7:$AT$500="Pass"))+SUMPRODUCT(--ISNUMBER(SEARCH(", "&amp;$B6&amp;", ",", "&amp;'Tài khoản &amp; Hồ sơ'!$B$7:$B$500&amp;", ")),--('Tài khoản &amp; Hồ sơ'!$AT$7:$AT$500="Pass"))</f>
        <v>1</v>
      </c>
      <c r="H6" s="51" t="n">
        <f aca="false">SUMPRODUCT(--ISNUMBER(SEARCH(", "&amp;$B6&amp;", ",", "&amp;'Hoạt động (Đơn của tôi)'!$B$7:$B$500&amp;", ")),--('Hoạt động (Đơn của tôi)'!$AT$7:$AT$500="Fail"))+SUMPRODUCT(--ISNUMBER(SEARCH(", "&amp;$B6&amp;", ",", "&amp;'Ghép nối'!$B$7:$B$500&amp;", ")),--('Ghép nối'!$AT$7:$AT$500="Fail"))+SUMPRODUCT(--ISNUMBER(SEARCH(", "&amp;$B6&amp;", ",", "&amp;'Huỷ đơn - Huỷ nhận đơn'!$B$7:$B$500&amp;", ")),--('Huỷ đơn - Huỷ nhận đơn'!$AT$7:$AT$500="Fail"))+SUMPRODUCT(--ISNUMBER(SEARCH(", "&amp;$B6&amp;", ",", "&amp;'Giao nhận &amp; Theo dõi đơn'!$B$7:$B$500&amp;", ")),--('Giao nhận &amp; Theo dõi đơn'!$AT$7:$AT$500="Fail"))+SUMPRODUCT(--ISNUMBER(SEARCH(", "&amp;$B6&amp;", ",", "&amp;'Bảng tin &amp; Chi tiết tin'!$B$7:$B$500&amp;", ")),--('Bảng tin &amp; Chi tiết tin'!$AT$7:$AT$500="Fail"))+SUMPRODUCT(--ISNUMBER(SEARCH(", "&amp;$B6&amp;", ",", "&amp;'Quà cảm ơn'!$B$7:$B$500&amp;", ")),--('Quà cảm ơn'!$AT$7:$AT$500="Fail"))+SUMPRODUCT(--ISNUMBER(SEARCH(", "&amp;$B6&amp;", ",", "&amp;'Trang chủ'!$B$7:$B$500&amp;", ")),--('Trang chủ'!$AT$7:$AT$500="Fail"))+SUMPRODUCT(--ISNUMBER(SEARCH(", "&amp;$B6&amp;", ",", "&amp;'Thông báo'!$B$7:$B$500&amp;", ")),--('Thông báo'!$AT$7:$AT$500="Fail"))+SUMPRODUCT(--ISNUMBER(SEARCH(", "&amp;$B6&amp;", ",", "&amp;'Đăng tin &amp; Quản lý tin'!$B$7:$B$500&amp;", ")),--('Đăng tin &amp; Quản lý tin'!$AT$7:$AT$500="Fail"))+SUMPRODUCT(--ISNUMBER(SEARCH(", "&amp;$B6&amp;", ",", "&amp;'Trust &amp; Safety'!$B$7:$B$500&amp;", ")),--('Trust &amp; Safety'!$AT$7:$AT$500="Fail"))+SUMPRODUCT(--ISNUMBER(SEARCH(", "&amp;$B6&amp;", ",", "&amp;'Tài khoản &amp; Hồ sơ'!$B$7:$B$500&amp;", ")),--('Tài khoản &amp; Hồ sơ'!$AT$7:$AT$500="Fail"))</f>
        <v>0</v>
      </c>
      <c r="I6" s="51" t="n">
        <f aca="false">SUMPRODUCT(--ISNUMBER(SEARCH(", "&amp;$B6&amp;", ",", "&amp;'Hoạt động (Đơn của tôi)'!$B$7:$B$500&amp;", ")),--('Hoạt động (Đơn của tôi)'!$AT$7:$AT$500="Block"))+SUMPRODUCT(--ISNUMBER(SEARCH(", "&amp;$B6&amp;", ",", "&amp;'Ghép nối'!$B$7:$B$500&amp;", ")),--('Ghép nối'!$AT$7:$AT$500="Block"))+SUMPRODUCT(--ISNUMBER(SEARCH(", "&amp;$B6&amp;", ",", "&amp;'Huỷ đơn - Huỷ nhận đơn'!$B$7:$B$500&amp;", ")),--('Huỷ đơn - Huỷ nhận đơn'!$AT$7:$AT$500="Block"))+SUMPRODUCT(--ISNUMBER(SEARCH(", "&amp;$B6&amp;", ",", "&amp;'Giao nhận &amp; Theo dõi đơn'!$B$7:$B$500&amp;", ")),--('Giao nhận &amp; Theo dõi đơn'!$AT$7:$AT$500="Block"))+SUMPRODUCT(--ISNUMBER(SEARCH(", "&amp;$B6&amp;", ",", "&amp;'Bảng tin &amp; Chi tiết tin'!$B$7:$B$500&amp;", ")),--('Bảng tin &amp; Chi tiết tin'!$AT$7:$AT$500="Block"))+SUMPRODUCT(--ISNUMBER(SEARCH(", "&amp;$B6&amp;", ",", "&amp;'Quà cảm ơn'!$B$7:$B$500&amp;", ")),--('Quà cảm ơn'!$AT$7:$AT$500="Block"))+SUMPRODUCT(--ISNUMBER(SEARCH(", "&amp;$B6&amp;", ",", "&amp;'Trang chủ'!$B$7:$B$500&amp;", ")),--('Trang chủ'!$AT$7:$AT$500="Block"))+SUMPRODUCT(--ISNUMBER(SEARCH(", "&amp;$B6&amp;", ",", "&amp;'Thông báo'!$B$7:$B$500&amp;", ")),--('Thông báo'!$AT$7:$AT$500="Block"))+SUMPRODUCT(--ISNUMBER(SEARCH(", "&amp;$B6&amp;", ",", "&amp;'Đăng tin &amp; Quản lý tin'!$B$7:$B$500&amp;", ")),--('Đăng tin &amp; Quản lý tin'!$AT$7:$AT$500="Block"))+SUMPRODUCT(--ISNUMBER(SEARCH(", "&amp;$B6&amp;", ",", "&amp;'Trust &amp; Safety'!$B$7:$B$500&amp;", ")),--('Trust &amp; Safety'!$AT$7:$AT$500="Block"))+SUMPRODUCT(--ISNUMBER(SEARCH(", "&amp;$B6&amp;", ",", "&amp;'Tài khoản &amp; Hồ sơ'!$B$7:$B$500&amp;", ")),--('Tài khoản &amp; Hồ sơ'!$AT$7:$AT$500="Block"))</f>
        <v>0</v>
      </c>
      <c r="J6" s="51" t="n">
        <f aca="false">SUMPRODUCT(--ISNUMBER(SEARCH(", "&amp;$B6&amp;", ",", "&amp;'Hoạt động (Đơn của tôi)'!$B$7:$B$500&amp;", ")),--('Hoạt động (Đơn của tôi)'!$AT$7:$AT$500="N/A"))+SUMPRODUCT(--ISNUMBER(SEARCH(", "&amp;$B6&amp;", ",", "&amp;'Ghép nối'!$B$7:$B$500&amp;", ")),--('Ghép nối'!$AT$7:$AT$500="N/A"))+SUMPRODUCT(--ISNUMBER(SEARCH(", "&amp;$B6&amp;", ",", "&amp;'Huỷ đơn - Huỷ nhận đơn'!$B$7:$B$500&amp;", ")),--('Huỷ đơn - Huỷ nhận đơn'!$AT$7:$AT$500="N/A"))+SUMPRODUCT(--ISNUMBER(SEARCH(", "&amp;$B6&amp;", ",", "&amp;'Giao nhận &amp; Theo dõi đơn'!$B$7:$B$500&amp;", ")),--('Giao nhận &amp; Theo dõi đơn'!$AT$7:$AT$500="N/A"))+SUMPRODUCT(--ISNUMBER(SEARCH(", "&amp;$B6&amp;", ",", "&amp;'Bảng tin &amp; Chi tiết tin'!$B$7:$B$500&amp;", ")),--('Bảng tin &amp; Chi tiết tin'!$AT$7:$AT$500="N/A"))+SUMPRODUCT(--ISNUMBER(SEARCH(", "&amp;$B6&amp;", ",", "&amp;'Quà cảm ơn'!$B$7:$B$500&amp;", ")),--('Quà cảm ơn'!$AT$7:$AT$500="N/A"))+SUMPRODUCT(--ISNUMBER(SEARCH(", "&amp;$B6&amp;", ",", "&amp;'Trang chủ'!$B$7:$B$500&amp;", ")),--('Trang chủ'!$AT$7:$AT$500="N/A"))+SUMPRODUCT(--ISNUMBER(SEARCH(", "&amp;$B6&amp;", ",", "&amp;'Thông báo'!$B$7:$B$500&amp;", ")),--('Thông báo'!$AT$7:$AT$500="N/A"))+SUMPRODUCT(--ISNUMBER(SEARCH(", "&amp;$B6&amp;", ",", "&amp;'Đăng tin &amp; Quản lý tin'!$B$7:$B$500&amp;", ")),--('Đăng tin &amp; Quản lý tin'!$AT$7:$AT$500="N/A"))+SUMPRODUCT(--ISNUMBER(SEARCH(", "&amp;$B6&amp;", ",", "&amp;'Trust &amp; Safety'!$B$7:$B$500&amp;", ")),--('Trust &amp; Safety'!$AT$7:$AT$500="N/A"))+SUMPRODUCT(--ISNUMBER(SEARCH(", "&amp;$B6&amp;", ",", "&amp;'Tài khoản &amp; Hồ sơ'!$B$7:$B$500&amp;", ")),--('Tài khoản &amp; Hồ sơ'!$AT$7:$AT$500="N/A"))</f>
        <v>0</v>
      </c>
      <c r="K6" s="52" t="n">
        <f aca="false">IFERROR(F6/E6,0)</f>
        <v>1</v>
      </c>
      <c r="L6" s="124" t="str">
        <f aca="false">IF(E6=0,"Chưa có TC (gap)",IF(H6&gt;0,"Có lỗi (Fail)",IF(I6&gt;0,"Bị block",IF(F6&lt;E6,"Đang test",IF(G6=0,"Không áp dụng (N/A)","Đã test xong")))))</f>
        <v>Đã test xong</v>
      </c>
      <c r="AB6" s="0" t="s">
        <v>499</v>
      </c>
      <c r="AD6" s="0" t="s">
        <v>499</v>
      </c>
      <c r="AE6" s="0" t="n">
        <f aca="false">SUMIF($AB$6:$AB$77,$AD6,$E$6:$E$77)</f>
        <v>10</v>
      </c>
      <c r="AF6" s="0" t="n">
        <f aca="false">SUMIF($AB$6:$AB$77,$AD6,$F$6:$F$77)</f>
        <v>10</v>
      </c>
    </row>
    <row r="7" customFormat="false" ht="35.05" hidden="false" customHeight="false" outlineLevel="0" collapsed="false">
      <c r="A7" s="1"/>
      <c r="B7" s="176" t="s">
        <v>500</v>
      </c>
      <c r="C7" s="177" t="s">
        <v>501</v>
      </c>
      <c r="D7" s="124" t="s">
        <v>502</v>
      </c>
      <c r="E7" s="51" t="n">
        <f aca="false">SUMPRODUCT(--ISNUMBER(SEARCH(", "&amp;$B7&amp;", ",", "&amp;'Hoạt động (Đơn của tôi)'!$B$7:$B$500&amp;", ")))+SUMPRODUCT(--ISNUMBER(SEARCH(", "&amp;$B7&amp;", ",", "&amp;'Ghép nối'!$B$7:$B$500&amp;", ")))+SUMPRODUCT(--ISNUMBER(SEARCH(", "&amp;$B7&amp;", ",", "&amp;'Huỷ đơn - Huỷ nhận đơn'!$B$7:$B$500&amp;", ")))+SUMPRODUCT(--ISNUMBER(SEARCH(", "&amp;$B7&amp;", ",", "&amp;'Giao nhận &amp; Theo dõi đơn'!$B$7:$B$500&amp;", ")))+SUMPRODUCT(--ISNUMBER(SEARCH(", "&amp;$B7&amp;", ",", "&amp;'Bảng tin &amp; Chi tiết tin'!$B$7:$B$500&amp;", ")))+SUMPRODUCT(--ISNUMBER(SEARCH(", "&amp;$B7&amp;", ",", "&amp;'Quà cảm ơn'!$B$7:$B$500&amp;", ")))+SUMPRODUCT(--ISNUMBER(SEARCH(", "&amp;$B7&amp;", ",", "&amp;'Trang chủ'!$B$7:$B$500&amp;", ")))+SUMPRODUCT(--ISNUMBER(SEARCH(", "&amp;$B7&amp;", ",", "&amp;'Thông báo'!$B$7:$B$500&amp;", ")))+SUMPRODUCT(--ISNUMBER(SEARCH(", "&amp;$B7&amp;", ",", "&amp;'Đăng tin &amp; Quản lý tin'!$B$7:$B$500&amp;", ")))+SUMPRODUCT(--ISNUMBER(SEARCH(", "&amp;$B7&amp;", ",", "&amp;'Trust &amp; Safety'!$B$7:$B$500&amp;", ")))+SUMPRODUCT(--ISNUMBER(SEARCH(", "&amp;$B7&amp;", ",", "&amp;'Tài khoản &amp; Hồ sơ'!$B$7:$B$500&amp;", ")))</f>
        <v>2</v>
      </c>
      <c r="F7" s="51" t="n">
        <f aca="false">SUMPRODUCT(--ISNUMBER(SEARCH(", "&amp;$B7&amp;", ",", "&amp;'Hoạt động (Đơn của tôi)'!$B$7:$B$500&amp;", ")),--('Hoạt động (Đơn của tôi)'!$AT$7:$AT$500&lt;&gt;""))+SUMPRODUCT(--ISNUMBER(SEARCH(", "&amp;$B7&amp;", ",", "&amp;'Ghép nối'!$B$7:$B$500&amp;", ")),--('Ghép nối'!$AT$7:$AT$500&lt;&gt;""))+SUMPRODUCT(--ISNUMBER(SEARCH(", "&amp;$B7&amp;", ",", "&amp;'Huỷ đơn - Huỷ nhận đơn'!$B$7:$B$500&amp;", ")),--('Huỷ đơn - Huỷ nhận đơn'!$AT$7:$AT$500&lt;&gt;""))+SUMPRODUCT(--ISNUMBER(SEARCH(", "&amp;$B7&amp;", ",", "&amp;'Giao nhận &amp; Theo dõi đơn'!$B$7:$B$500&amp;", ")),--('Giao nhận &amp; Theo dõi đơn'!$AT$7:$AT$500&lt;&gt;""))+SUMPRODUCT(--ISNUMBER(SEARCH(", "&amp;$B7&amp;", ",", "&amp;'Bảng tin &amp; Chi tiết tin'!$B$7:$B$500&amp;", ")),--('Bảng tin &amp; Chi tiết tin'!$AT$7:$AT$500&lt;&gt;""))+SUMPRODUCT(--ISNUMBER(SEARCH(", "&amp;$B7&amp;", ",", "&amp;'Quà cảm ơn'!$B$7:$B$500&amp;", ")),--('Quà cảm ơn'!$AT$7:$AT$500&lt;&gt;""))+SUMPRODUCT(--ISNUMBER(SEARCH(", "&amp;$B7&amp;", ",", "&amp;'Trang chủ'!$B$7:$B$500&amp;", ")),--('Trang chủ'!$AT$7:$AT$500&lt;&gt;""))+SUMPRODUCT(--ISNUMBER(SEARCH(", "&amp;$B7&amp;", ",", "&amp;'Thông báo'!$B$7:$B$500&amp;", ")),--('Thông báo'!$AT$7:$AT$500&lt;&gt;""))+SUMPRODUCT(--ISNUMBER(SEARCH(", "&amp;$B7&amp;", ",", "&amp;'Đăng tin &amp; Quản lý tin'!$B$7:$B$500&amp;", ")),--('Đăng tin &amp; Quản lý tin'!$AT$7:$AT$500&lt;&gt;""))+SUMPRODUCT(--ISNUMBER(SEARCH(", "&amp;$B7&amp;", ",", "&amp;'Trust &amp; Safety'!$B$7:$B$500&amp;", ")),--('Trust &amp; Safety'!$AT$7:$AT$500&lt;&gt;""))+SUMPRODUCT(--ISNUMBER(SEARCH(", "&amp;$B7&amp;", ",", "&amp;'Tài khoản &amp; Hồ sơ'!$B$7:$B$500&amp;", ")),--('Tài khoản &amp; Hồ sơ'!$AT$7:$AT$500&lt;&gt;""))</f>
        <v>2</v>
      </c>
      <c r="G7" s="51" t="n">
        <f aca="false">SUMPRODUCT(--ISNUMBER(SEARCH(", "&amp;$B7&amp;", ",", "&amp;'Hoạt động (Đơn của tôi)'!$B$7:$B$500&amp;", ")),--('Hoạt động (Đơn của tôi)'!$AT$7:$AT$500="Pass"))+SUMPRODUCT(--ISNUMBER(SEARCH(", "&amp;$B7&amp;", ",", "&amp;'Ghép nối'!$B$7:$B$500&amp;", ")),--('Ghép nối'!$AT$7:$AT$500="Pass"))+SUMPRODUCT(--ISNUMBER(SEARCH(", "&amp;$B7&amp;", ",", "&amp;'Huỷ đơn - Huỷ nhận đơn'!$B$7:$B$500&amp;", ")),--('Huỷ đơn - Huỷ nhận đơn'!$AT$7:$AT$500="Pass"))+SUMPRODUCT(--ISNUMBER(SEARCH(", "&amp;$B7&amp;", ",", "&amp;'Giao nhận &amp; Theo dõi đơn'!$B$7:$B$500&amp;", ")),--('Giao nhận &amp; Theo dõi đơn'!$AT$7:$AT$500="Pass"))+SUMPRODUCT(--ISNUMBER(SEARCH(", "&amp;$B7&amp;", ",", "&amp;'Bảng tin &amp; Chi tiết tin'!$B$7:$B$500&amp;", ")),--('Bảng tin &amp; Chi tiết tin'!$AT$7:$AT$500="Pass"))+SUMPRODUCT(--ISNUMBER(SEARCH(", "&amp;$B7&amp;", ",", "&amp;'Quà cảm ơn'!$B$7:$B$500&amp;", ")),--('Quà cảm ơn'!$AT$7:$AT$500="Pass"))+SUMPRODUCT(--ISNUMBER(SEARCH(", "&amp;$B7&amp;", ",", "&amp;'Trang chủ'!$B$7:$B$500&amp;", ")),--('Trang chủ'!$AT$7:$AT$500="Pass"))+SUMPRODUCT(--ISNUMBER(SEARCH(", "&amp;$B7&amp;", ",", "&amp;'Thông báo'!$B$7:$B$500&amp;", ")),--('Thông báo'!$AT$7:$AT$500="Pass"))+SUMPRODUCT(--ISNUMBER(SEARCH(", "&amp;$B7&amp;", ",", "&amp;'Đăng tin &amp; Quản lý tin'!$B$7:$B$500&amp;", ")),--('Đăng tin &amp; Quản lý tin'!$AT$7:$AT$500="Pass"))+SUMPRODUCT(--ISNUMBER(SEARCH(", "&amp;$B7&amp;", ",", "&amp;'Trust &amp; Safety'!$B$7:$B$500&amp;", ")),--('Trust &amp; Safety'!$AT$7:$AT$500="Pass"))+SUMPRODUCT(--ISNUMBER(SEARCH(", "&amp;$B7&amp;", ",", "&amp;'Tài khoản &amp; Hồ sơ'!$B$7:$B$500&amp;", ")),--('Tài khoản &amp; Hồ sơ'!$AT$7:$AT$500="Pass"))</f>
        <v>0</v>
      </c>
      <c r="H7" s="51" t="n">
        <f aca="false">SUMPRODUCT(--ISNUMBER(SEARCH(", "&amp;$B7&amp;", ",", "&amp;'Hoạt động (Đơn của tôi)'!$B$7:$B$500&amp;", ")),--('Hoạt động (Đơn của tôi)'!$AT$7:$AT$500="Fail"))+SUMPRODUCT(--ISNUMBER(SEARCH(", "&amp;$B7&amp;", ",", "&amp;'Ghép nối'!$B$7:$B$500&amp;", ")),--('Ghép nối'!$AT$7:$AT$500="Fail"))+SUMPRODUCT(--ISNUMBER(SEARCH(", "&amp;$B7&amp;", ",", "&amp;'Huỷ đơn - Huỷ nhận đơn'!$B$7:$B$500&amp;", ")),--('Huỷ đơn - Huỷ nhận đơn'!$AT$7:$AT$500="Fail"))+SUMPRODUCT(--ISNUMBER(SEARCH(", "&amp;$B7&amp;", ",", "&amp;'Giao nhận &amp; Theo dõi đơn'!$B$7:$B$500&amp;", ")),--('Giao nhận &amp; Theo dõi đơn'!$AT$7:$AT$500="Fail"))+SUMPRODUCT(--ISNUMBER(SEARCH(", "&amp;$B7&amp;", ",", "&amp;'Bảng tin &amp; Chi tiết tin'!$B$7:$B$500&amp;", ")),--('Bảng tin &amp; Chi tiết tin'!$AT$7:$AT$500="Fail"))+SUMPRODUCT(--ISNUMBER(SEARCH(", "&amp;$B7&amp;", ",", "&amp;'Quà cảm ơn'!$B$7:$B$500&amp;", ")),--('Quà cảm ơn'!$AT$7:$AT$500="Fail"))+SUMPRODUCT(--ISNUMBER(SEARCH(", "&amp;$B7&amp;", ",", "&amp;'Trang chủ'!$B$7:$B$500&amp;", ")),--('Trang chủ'!$AT$7:$AT$500="Fail"))+SUMPRODUCT(--ISNUMBER(SEARCH(", "&amp;$B7&amp;", ",", "&amp;'Thông báo'!$B$7:$B$500&amp;", ")),--('Thông báo'!$AT$7:$AT$500="Fail"))+SUMPRODUCT(--ISNUMBER(SEARCH(", "&amp;$B7&amp;", ",", "&amp;'Đăng tin &amp; Quản lý tin'!$B$7:$B$500&amp;", ")),--('Đăng tin &amp; Quản lý tin'!$AT$7:$AT$500="Fail"))+SUMPRODUCT(--ISNUMBER(SEARCH(", "&amp;$B7&amp;", ",", "&amp;'Trust &amp; Safety'!$B$7:$B$500&amp;", ")),--('Trust &amp; Safety'!$AT$7:$AT$500="Fail"))+SUMPRODUCT(--ISNUMBER(SEARCH(", "&amp;$B7&amp;", ",", "&amp;'Tài khoản &amp; Hồ sơ'!$B$7:$B$500&amp;", ")),--('Tài khoản &amp; Hồ sơ'!$AT$7:$AT$500="Fail"))</f>
        <v>0</v>
      </c>
      <c r="I7" s="51" t="n">
        <f aca="false">SUMPRODUCT(--ISNUMBER(SEARCH(", "&amp;$B7&amp;", ",", "&amp;'Hoạt động (Đơn của tôi)'!$B$7:$B$500&amp;", ")),--('Hoạt động (Đơn của tôi)'!$AT$7:$AT$500="Block"))+SUMPRODUCT(--ISNUMBER(SEARCH(", "&amp;$B7&amp;", ",", "&amp;'Ghép nối'!$B$7:$B$500&amp;", ")),--('Ghép nối'!$AT$7:$AT$500="Block"))+SUMPRODUCT(--ISNUMBER(SEARCH(", "&amp;$B7&amp;", ",", "&amp;'Huỷ đơn - Huỷ nhận đơn'!$B$7:$B$500&amp;", ")),--('Huỷ đơn - Huỷ nhận đơn'!$AT$7:$AT$500="Block"))+SUMPRODUCT(--ISNUMBER(SEARCH(", "&amp;$B7&amp;", ",", "&amp;'Giao nhận &amp; Theo dõi đơn'!$B$7:$B$500&amp;", ")),--('Giao nhận &amp; Theo dõi đơn'!$AT$7:$AT$500="Block"))+SUMPRODUCT(--ISNUMBER(SEARCH(", "&amp;$B7&amp;", ",", "&amp;'Bảng tin &amp; Chi tiết tin'!$B$7:$B$500&amp;", ")),--('Bảng tin &amp; Chi tiết tin'!$AT$7:$AT$500="Block"))+SUMPRODUCT(--ISNUMBER(SEARCH(", "&amp;$B7&amp;", ",", "&amp;'Quà cảm ơn'!$B$7:$B$500&amp;", ")),--('Quà cảm ơn'!$AT$7:$AT$500="Block"))+SUMPRODUCT(--ISNUMBER(SEARCH(", "&amp;$B7&amp;", ",", "&amp;'Trang chủ'!$B$7:$B$500&amp;", ")),--('Trang chủ'!$AT$7:$AT$500="Block"))+SUMPRODUCT(--ISNUMBER(SEARCH(", "&amp;$B7&amp;", ",", "&amp;'Thông báo'!$B$7:$B$500&amp;", ")),--('Thông báo'!$AT$7:$AT$500="Block"))+SUMPRODUCT(--ISNUMBER(SEARCH(", "&amp;$B7&amp;", ",", "&amp;'Đăng tin &amp; Quản lý tin'!$B$7:$B$500&amp;", ")),--('Đăng tin &amp; Quản lý tin'!$AT$7:$AT$500="Block"))+SUMPRODUCT(--ISNUMBER(SEARCH(", "&amp;$B7&amp;", ",", "&amp;'Trust &amp; Safety'!$B$7:$B$500&amp;", ")),--('Trust &amp; Safety'!$AT$7:$AT$500="Block"))+SUMPRODUCT(--ISNUMBER(SEARCH(", "&amp;$B7&amp;", ",", "&amp;'Tài khoản &amp; Hồ sơ'!$B$7:$B$500&amp;", ")),--('Tài khoản &amp; Hồ sơ'!$AT$7:$AT$500="Block"))</f>
        <v>2</v>
      </c>
      <c r="J7" s="51" t="n">
        <f aca="false">SUMPRODUCT(--ISNUMBER(SEARCH(", "&amp;$B7&amp;", ",", "&amp;'Hoạt động (Đơn của tôi)'!$B$7:$B$500&amp;", ")),--('Hoạt động (Đơn của tôi)'!$AT$7:$AT$500="N/A"))+SUMPRODUCT(--ISNUMBER(SEARCH(", "&amp;$B7&amp;", ",", "&amp;'Ghép nối'!$B$7:$B$500&amp;", ")),--('Ghép nối'!$AT$7:$AT$500="N/A"))+SUMPRODUCT(--ISNUMBER(SEARCH(", "&amp;$B7&amp;", ",", "&amp;'Huỷ đơn - Huỷ nhận đơn'!$B$7:$B$500&amp;", ")),--('Huỷ đơn - Huỷ nhận đơn'!$AT$7:$AT$500="N/A"))+SUMPRODUCT(--ISNUMBER(SEARCH(", "&amp;$B7&amp;", ",", "&amp;'Giao nhận &amp; Theo dõi đơn'!$B$7:$B$500&amp;", ")),--('Giao nhận &amp; Theo dõi đơn'!$AT$7:$AT$500="N/A"))+SUMPRODUCT(--ISNUMBER(SEARCH(", "&amp;$B7&amp;", ",", "&amp;'Bảng tin &amp; Chi tiết tin'!$B$7:$B$500&amp;", ")),--('Bảng tin &amp; Chi tiết tin'!$AT$7:$AT$500="N/A"))+SUMPRODUCT(--ISNUMBER(SEARCH(", "&amp;$B7&amp;", ",", "&amp;'Quà cảm ơn'!$B$7:$B$500&amp;", ")),--('Quà cảm ơn'!$AT$7:$AT$500="N/A"))+SUMPRODUCT(--ISNUMBER(SEARCH(", "&amp;$B7&amp;", ",", "&amp;'Trang chủ'!$B$7:$B$500&amp;", ")),--('Trang chủ'!$AT$7:$AT$500="N/A"))+SUMPRODUCT(--ISNUMBER(SEARCH(", "&amp;$B7&amp;", ",", "&amp;'Thông báo'!$B$7:$B$500&amp;", ")),--('Thông báo'!$AT$7:$AT$500="N/A"))+SUMPRODUCT(--ISNUMBER(SEARCH(", "&amp;$B7&amp;", ",", "&amp;'Đăng tin &amp; Quản lý tin'!$B$7:$B$500&amp;", ")),--('Đăng tin &amp; Quản lý tin'!$AT$7:$AT$500="N/A"))+SUMPRODUCT(--ISNUMBER(SEARCH(", "&amp;$B7&amp;", ",", "&amp;'Trust &amp; Safety'!$B$7:$B$500&amp;", ")),--('Trust &amp; Safety'!$AT$7:$AT$500="N/A"))+SUMPRODUCT(--ISNUMBER(SEARCH(", "&amp;$B7&amp;", ",", "&amp;'Tài khoản &amp; Hồ sơ'!$B$7:$B$500&amp;", ")),--('Tài khoản &amp; Hồ sơ'!$AT$7:$AT$500="N/A"))</f>
        <v>0</v>
      </c>
      <c r="K7" s="52" t="n">
        <f aca="false">IFERROR(F7/E7,0)</f>
        <v>1</v>
      </c>
      <c r="L7" s="124" t="str">
        <f aca="false">IF(E7=0,"Chưa có TC (gap)",IF(H7&gt;0,"Có lỗi (Fail)",IF(I7&gt;0,"Bị block",IF(F7&lt;E7,"Đang test",IF(G7=0,"Không áp dụng (N/A)","Đã test xong")))))</f>
        <v>Bị block</v>
      </c>
      <c r="AB7" s="0" t="s">
        <v>499</v>
      </c>
      <c r="AD7" s="0" t="s">
        <v>503</v>
      </c>
      <c r="AE7" s="0" t="n">
        <f aca="false">SUMIF($AB$6:$AB$77,$AD7,$E$6:$E$77)</f>
        <v>13</v>
      </c>
      <c r="AF7" s="0" t="n">
        <f aca="false">SUMIF($AB$6:$AB$77,$AD7,$F$6:$F$77)</f>
        <v>13</v>
      </c>
    </row>
    <row r="8" customFormat="false" ht="46.25" hidden="false" customHeight="false" outlineLevel="0" collapsed="false">
      <c r="A8" s="1"/>
      <c r="B8" s="176" t="s">
        <v>504</v>
      </c>
      <c r="C8" s="177" t="s">
        <v>505</v>
      </c>
      <c r="D8" s="124" t="s">
        <v>506</v>
      </c>
      <c r="E8" s="51" t="n">
        <f aca="false">SUMPRODUCT(--ISNUMBER(SEARCH(", "&amp;$B8&amp;", ",", "&amp;'Hoạt động (Đơn của tôi)'!$B$7:$B$500&amp;", ")))+SUMPRODUCT(--ISNUMBER(SEARCH(", "&amp;$B8&amp;", ",", "&amp;'Ghép nối'!$B$7:$B$500&amp;", ")))+SUMPRODUCT(--ISNUMBER(SEARCH(", "&amp;$B8&amp;", ",", "&amp;'Huỷ đơn - Huỷ nhận đơn'!$B$7:$B$500&amp;", ")))+SUMPRODUCT(--ISNUMBER(SEARCH(", "&amp;$B8&amp;", ",", "&amp;'Giao nhận &amp; Theo dõi đơn'!$B$7:$B$500&amp;", ")))+SUMPRODUCT(--ISNUMBER(SEARCH(", "&amp;$B8&amp;", ",", "&amp;'Bảng tin &amp; Chi tiết tin'!$B$7:$B$500&amp;", ")))+SUMPRODUCT(--ISNUMBER(SEARCH(", "&amp;$B8&amp;", ",", "&amp;'Quà cảm ơn'!$B$7:$B$500&amp;", ")))+SUMPRODUCT(--ISNUMBER(SEARCH(", "&amp;$B8&amp;", ",", "&amp;'Trang chủ'!$B$7:$B$500&amp;", ")))+SUMPRODUCT(--ISNUMBER(SEARCH(", "&amp;$B8&amp;", ",", "&amp;'Thông báo'!$B$7:$B$500&amp;", ")))+SUMPRODUCT(--ISNUMBER(SEARCH(", "&amp;$B8&amp;", ",", "&amp;'Đăng tin &amp; Quản lý tin'!$B$7:$B$500&amp;", ")))+SUMPRODUCT(--ISNUMBER(SEARCH(", "&amp;$B8&amp;", ",", "&amp;'Trust &amp; Safety'!$B$7:$B$500&amp;", ")))+SUMPRODUCT(--ISNUMBER(SEARCH(", "&amp;$B8&amp;", ",", "&amp;'Tài khoản &amp; Hồ sơ'!$B$7:$B$500&amp;", ")))</f>
        <v>1</v>
      </c>
      <c r="F8" s="51" t="n">
        <f aca="false">SUMPRODUCT(--ISNUMBER(SEARCH(", "&amp;$B8&amp;", ",", "&amp;'Hoạt động (Đơn của tôi)'!$B$7:$B$500&amp;", ")),--('Hoạt động (Đơn của tôi)'!$AT$7:$AT$500&lt;&gt;""))+SUMPRODUCT(--ISNUMBER(SEARCH(", "&amp;$B8&amp;", ",", "&amp;'Ghép nối'!$B$7:$B$500&amp;", ")),--('Ghép nối'!$AT$7:$AT$500&lt;&gt;""))+SUMPRODUCT(--ISNUMBER(SEARCH(", "&amp;$B8&amp;", ",", "&amp;'Huỷ đơn - Huỷ nhận đơn'!$B$7:$B$500&amp;", ")),--('Huỷ đơn - Huỷ nhận đơn'!$AT$7:$AT$500&lt;&gt;""))+SUMPRODUCT(--ISNUMBER(SEARCH(", "&amp;$B8&amp;", ",", "&amp;'Giao nhận &amp; Theo dõi đơn'!$B$7:$B$500&amp;", ")),--('Giao nhận &amp; Theo dõi đơn'!$AT$7:$AT$500&lt;&gt;""))+SUMPRODUCT(--ISNUMBER(SEARCH(", "&amp;$B8&amp;", ",", "&amp;'Bảng tin &amp; Chi tiết tin'!$B$7:$B$500&amp;", ")),--('Bảng tin &amp; Chi tiết tin'!$AT$7:$AT$500&lt;&gt;""))+SUMPRODUCT(--ISNUMBER(SEARCH(", "&amp;$B8&amp;", ",", "&amp;'Quà cảm ơn'!$B$7:$B$500&amp;", ")),--('Quà cảm ơn'!$AT$7:$AT$500&lt;&gt;""))+SUMPRODUCT(--ISNUMBER(SEARCH(", "&amp;$B8&amp;", ",", "&amp;'Trang chủ'!$B$7:$B$500&amp;", ")),--('Trang chủ'!$AT$7:$AT$500&lt;&gt;""))+SUMPRODUCT(--ISNUMBER(SEARCH(", "&amp;$B8&amp;", ",", "&amp;'Thông báo'!$B$7:$B$500&amp;", ")),--('Thông báo'!$AT$7:$AT$500&lt;&gt;""))+SUMPRODUCT(--ISNUMBER(SEARCH(", "&amp;$B8&amp;", ",", "&amp;'Đăng tin &amp; Quản lý tin'!$B$7:$B$500&amp;", ")),--('Đăng tin &amp; Quản lý tin'!$AT$7:$AT$500&lt;&gt;""))+SUMPRODUCT(--ISNUMBER(SEARCH(", "&amp;$B8&amp;", ",", "&amp;'Trust &amp; Safety'!$B$7:$B$500&amp;", ")),--('Trust &amp; Safety'!$AT$7:$AT$500&lt;&gt;""))+SUMPRODUCT(--ISNUMBER(SEARCH(", "&amp;$B8&amp;", ",", "&amp;'Tài khoản &amp; Hồ sơ'!$B$7:$B$500&amp;", ")),--('Tài khoản &amp; Hồ sơ'!$AT$7:$AT$500&lt;&gt;""))</f>
        <v>1</v>
      </c>
      <c r="G8" s="51" t="n">
        <f aca="false">SUMPRODUCT(--ISNUMBER(SEARCH(", "&amp;$B8&amp;", ",", "&amp;'Hoạt động (Đơn của tôi)'!$B$7:$B$500&amp;", ")),--('Hoạt động (Đơn của tôi)'!$AT$7:$AT$500="Pass"))+SUMPRODUCT(--ISNUMBER(SEARCH(", "&amp;$B8&amp;", ",", "&amp;'Ghép nối'!$B$7:$B$500&amp;", ")),--('Ghép nối'!$AT$7:$AT$500="Pass"))+SUMPRODUCT(--ISNUMBER(SEARCH(", "&amp;$B8&amp;", ",", "&amp;'Huỷ đơn - Huỷ nhận đơn'!$B$7:$B$500&amp;", ")),--('Huỷ đơn - Huỷ nhận đơn'!$AT$7:$AT$500="Pass"))+SUMPRODUCT(--ISNUMBER(SEARCH(", "&amp;$B8&amp;", ",", "&amp;'Giao nhận &amp; Theo dõi đơn'!$B$7:$B$500&amp;", ")),--('Giao nhận &amp; Theo dõi đơn'!$AT$7:$AT$500="Pass"))+SUMPRODUCT(--ISNUMBER(SEARCH(", "&amp;$B8&amp;", ",", "&amp;'Bảng tin &amp; Chi tiết tin'!$B$7:$B$500&amp;", ")),--('Bảng tin &amp; Chi tiết tin'!$AT$7:$AT$500="Pass"))+SUMPRODUCT(--ISNUMBER(SEARCH(", "&amp;$B8&amp;", ",", "&amp;'Quà cảm ơn'!$B$7:$B$500&amp;", ")),--('Quà cảm ơn'!$AT$7:$AT$500="Pass"))+SUMPRODUCT(--ISNUMBER(SEARCH(", "&amp;$B8&amp;", ",", "&amp;'Trang chủ'!$B$7:$B$500&amp;", ")),--('Trang chủ'!$AT$7:$AT$500="Pass"))+SUMPRODUCT(--ISNUMBER(SEARCH(", "&amp;$B8&amp;", ",", "&amp;'Thông báo'!$B$7:$B$500&amp;", ")),--('Thông báo'!$AT$7:$AT$500="Pass"))+SUMPRODUCT(--ISNUMBER(SEARCH(", "&amp;$B8&amp;", ",", "&amp;'Đăng tin &amp; Quản lý tin'!$B$7:$B$500&amp;", ")),--('Đăng tin &amp; Quản lý tin'!$AT$7:$AT$500="Pass"))+SUMPRODUCT(--ISNUMBER(SEARCH(", "&amp;$B8&amp;", ",", "&amp;'Trust &amp; Safety'!$B$7:$B$500&amp;", ")),--('Trust &amp; Safety'!$AT$7:$AT$500="Pass"))+SUMPRODUCT(--ISNUMBER(SEARCH(", "&amp;$B8&amp;", ",", "&amp;'Tài khoản &amp; Hồ sơ'!$B$7:$B$500&amp;", ")),--('Tài khoản &amp; Hồ sơ'!$AT$7:$AT$500="Pass"))</f>
        <v>0</v>
      </c>
      <c r="H8" s="51" t="n">
        <f aca="false">SUMPRODUCT(--ISNUMBER(SEARCH(", "&amp;$B8&amp;", ",", "&amp;'Hoạt động (Đơn của tôi)'!$B$7:$B$500&amp;", ")),--('Hoạt động (Đơn của tôi)'!$AT$7:$AT$500="Fail"))+SUMPRODUCT(--ISNUMBER(SEARCH(", "&amp;$B8&amp;", ",", "&amp;'Ghép nối'!$B$7:$B$500&amp;", ")),--('Ghép nối'!$AT$7:$AT$500="Fail"))+SUMPRODUCT(--ISNUMBER(SEARCH(", "&amp;$B8&amp;", ",", "&amp;'Huỷ đơn - Huỷ nhận đơn'!$B$7:$B$500&amp;", ")),--('Huỷ đơn - Huỷ nhận đơn'!$AT$7:$AT$500="Fail"))+SUMPRODUCT(--ISNUMBER(SEARCH(", "&amp;$B8&amp;", ",", "&amp;'Giao nhận &amp; Theo dõi đơn'!$B$7:$B$500&amp;", ")),--('Giao nhận &amp; Theo dõi đơn'!$AT$7:$AT$500="Fail"))+SUMPRODUCT(--ISNUMBER(SEARCH(", "&amp;$B8&amp;", ",", "&amp;'Bảng tin &amp; Chi tiết tin'!$B$7:$B$500&amp;", ")),--('Bảng tin &amp; Chi tiết tin'!$AT$7:$AT$500="Fail"))+SUMPRODUCT(--ISNUMBER(SEARCH(", "&amp;$B8&amp;", ",", "&amp;'Quà cảm ơn'!$B$7:$B$500&amp;", ")),--('Quà cảm ơn'!$AT$7:$AT$500="Fail"))+SUMPRODUCT(--ISNUMBER(SEARCH(", "&amp;$B8&amp;", ",", "&amp;'Trang chủ'!$B$7:$B$500&amp;", ")),--('Trang chủ'!$AT$7:$AT$500="Fail"))+SUMPRODUCT(--ISNUMBER(SEARCH(", "&amp;$B8&amp;", ",", "&amp;'Thông báo'!$B$7:$B$500&amp;", ")),--('Thông báo'!$AT$7:$AT$500="Fail"))+SUMPRODUCT(--ISNUMBER(SEARCH(", "&amp;$B8&amp;", ",", "&amp;'Đăng tin &amp; Quản lý tin'!$B$7:$B$500&amp;", ")),--('Đăng tin &amp; Quản lý tin'!$AT$7:$AT$500="Fail"))+SUMPRODUCT(--ISNUMBER(SEARCH(", "&amp;$B8&amp;", ",", "&amp;'Trust &amp; Safety'!$B$7:$B$500&amp;", ")),--('Trust &amp; Safety'!$AT$7:$AT$500="Fail"))+SUMPRODUCT(--ISNUMBER(SEARCH(", "&amp;$B8&amp;", ",", "&amp;'Tài khoản &amp; Hồ sơ'!$B$7:$B$500&amp;", ")),--('Tài khoản &amp; Hồ sơ'!$AT$7:$AT$500="Fail"))</f>
        <v>1</v>
      </c>
      <c r="I8" s="51" t="n">
        <f aca="false">SUMPRODUCT(--ISNUMBER(SEARCH(", "&amp;$B8&amp;", ",", "&amp;'Hoạt động (Đơn của tôi)'!$B$7:$B$500&amp;", ")),--('Hoạt động (Đơn của tôi)'!$AT$7:$AT$500="Block"))+SUMPRODUCT(--ISNUMBER(SEARCH(", "&amp;$B8&amp;", ",", "&amp;'Ghép nối'!$B$7:$B$500&amp;", ")),--('Ghép nối'!$AT$7:$AT$500="Block"))+SUMPRODUCT(--ISNUMBER(SEARCH(", "&amp;$B8&amp;", ",", "&amp;'Huỷ đơn - Huỷ nhận đơn'!$B$7:$B$500&amp;", ")),--('Huỷ đơn - Huỷ nhận đơn'!$AT$7:$AT$500="Block"))+SUMPRODUCT(--ISNUMBER(SEARCH(", "&amp;$B8&amp;", ",", "&amp;'Giao nhận &amp; Theo dõi đơn'!$B$7:$B$500&amp;", ")),--('Giao nhận &amp; Theo dõi đơn'!$AT$7:$AT$500="Block"))+SUMPRODUCT(--ISNUMBER(SEARCH(", "&amp;$B8&amp;", ",", "&amp;'Bảng tin &amp; Chi tiết tin'!$B$7:$B$500&amp;", ")),--('Bảng tin &amp; Chi tiết tin'!$AT$7:$AT$500="Block"))+SUMPRODUCT(--ISNUMBER(SEARCH(", "&amp;$B8&amp;", ",", "&amp;'Quà cảm ơn'!$B$7:$B$500&amp;", ")),--('Quà cảm ơn'!$AT$7:$AT$500="Block"))+SUMPRODUCT(--ISNUMBER(SEARCH(", "&amp;$B8&amp;", ",", "&amp;'Trang chủ'!$B$7:$B$500&amp;", ")),--('Trang chủ'!$AT$7:$AT$500="Block"))+SUMPRODUCT(--ISNUMBER(SEARCH(", "&amp;$B8&amp;", ",", "&amp;'Thông báo'!$B$7:$B$500&amp;", ")),--('Thông báo'!$AT$7:$AT$500="Block"))+SUMPRODUCT(--ISNUMBER(SEARCH(", "&amp;$B8&amp;", ",", "&amp;'Đăng tin &amp; Quản lý tin'!$B$7:$B$500&amp;", ")),--('Đăng tin &amp; Quản lý tin'!$AT$7:$AT$500="Block"))+SUMPRODUCT(--ISNUMBER(SEARCH(", "&amp;$B8&amp;", ",", "&amp;'Trust &amp; Safety'!$B$7:$B$500&amp;", ")),--('Trust &amp; Safety'!$AT$7:$AT$500="Block"))+SUMPRODUCT(--ISNUMBER(SEARCH(", "&amp;$B8&amp;", ",", "&amp;'Tài khoản &amp; Hồ sơ'!$B$7:$B$500&amp;", ")),--('Tài khoản &amp; Hồ sơ'!$AT$7:$AT$500="Block"))</f>
        <v>0</v>
      </c>
      <c r="J8" s="51" t="n">
        <f aca="false">SUMPRODUCT(--ISNUMBER(SEARCH(", "&amp;$B8&amp;", ",", "&amp;'Hoạt động (Đơn của tôi)'!$B$7:$B$500&amp;", ")),--('Hoạt động (Đơn của tôi)'!$AT$7:$AT$500="N/A"))+SUMPRODUCT(--ISNUMBER(SEARCH(", "&amp;$B8&amp;", ",", "&amp;'Ghép nối'!$B$7:$B$500&amp;", ")),--('Ghép nối'!$AT$7:$AT$500="N/A"))+SUMPRODUCT(--ISNUMBER(SEARCH(", "&amp;$B8&amp;", ",", "&amp;'Huỷ đơn - Huỷ nhận đơn'!$B$7:$B$500&amp;", ")),--('Huỷ đơn - Huỷ nhận đơn'!$AT$7:$AT$500="N/A"))+SUMPRODUCT(--ISNUMBER(SEARCH(", "&amp;$B8&amp;", ",", "&amp;'Giao nhận &amp; Theo dõi đơn'!$B$7:$B$500&amp;", ")),--('Giao nhận &amp; Theo dõi đơn'!$AT$7:$AT$500="N/A"))+SUMPRODUCT(--ISNUMBER(SEARCH(", "&amp;$B8&amp;", ",", "&amp;'Bảng tin &amp; Chi tiết tin'!$B$7:$B$500&amp;", ")),--('Bảng tin &amp; Chi tiết tin'!$AT$7:$AT$500="N/A"))+SUMPRODUCT(--ISNUMBER(SEARCH(", "&amp;$B8&amp;", ",", "&amp;'Quà cảm ơn'!$B$7:$B$500&amp;", ")),--('Quà cảm ơn'!$AT$7:$AT$500="N/A"))+SUMPRODUCT(--ISNUMBER(SEARCH(", "&amp;$B8&amp;", ",", "&amp;'Trang chủ'!$B$7:$B$500&amp;", ")),--('Trang chủ'!$AT$7:$AT$500="N/A"))+SUMPRODUCT(--ISNUMBER(SEARCH(", "&amp;$B8&amp;", ",", "&amp;'Thông báo'!$B$7:$B$500&amp;", ")),--('Thông báo'!$AT$7:$AT$500="N/A"))+SUMPRODUCT(--ISNUMBER(SEARCH(", "&amp;$B8&amp;", ",", "&amp;'Đăng tin &amp; Quản lý tin'!$B$7:$B$500&amp;", ")),--('Đăng tin &amp; Quản lý tin'!$AT$7:$AT$500="N/A"))+SUMPRODUCT(--ISNUMBER(SEARCH(", "&amp;$B8&amp;", ",", "&amp;'Trust &amp; Safety'!$B$7:$B$500&amp;", ")),--('Trust &amp; Safety'!$AT$7:$AT$500="N/A"))+SUMPRODUCT(--ISNUMBER(SEARCH(", "&amp;$B8&amp;", ",", "&amp;'Tài khoản &amp; Hồ sơ'!$B$7:$B$500&amp;", ")),--('Tài khoản &amp; Hồ sơ'!$AT$7:$AT$500="N/A"))</f>
        <v>0</v>
      </c>
      <c r="K8" s="52" t="n">
        <f aca="false">IFERROR(F8/E8,0)</f>
        <v>1</v>
      </c>
      <c r="L8" s="124" t="str">
        <f aca="false">IF(E8=0,"Chưa có TC (gap)",IF(H8&gt;0,"Có lỗi (Fail)",IF(I8&gt;0,"Bị block",IF(F8&lt;E8,"Đang test",IF(G8=0,"Không áp dụng (N/A)","Đã test xong")))))</f>
        <v>Có lỗi (Fail)</v>
      </c>
      <c r="AB8" s="0" t="s">
        <v>499</v>
      </c>
      <c r="AD8" s="0" t="s">
        <v>507</v>
      </c>
      <c r="AE8" s="0" t="n">
        <f aca="false">SUMIF($AB$6:$AB$77,$AD8,$E$6:$E$77)</f>
        <v>16</v>
      </c>
      <c r="AF8" s="0" t="n">
        <f aca="false">SUMIF($AB$6:$AB$77,$AD8,$F$6:$F$77)</f>
        <v>16</v>
      </c>
    </row>
    <row r="9" customFormat="false" ht="79.85" hidden="false" customHeight="false" outlineLevel="0" collapsed="false">
      <c r="A9" s="1"/>
      <c r="B9" s="176" t="s">
        <v>508</v>
      </c>
      <c r="C9" s="177" t="s">
        <v>509</v>
      </c>
      <c r="D9" s="124" t="s">
        <v>510</v>
      </c>
      <c r="E9" s="51" t="n">
        <f aca="false">SUMPRODUCT(--ISNUMBER(SEARCH(", "&amp;$B9&amp;", ",", "&amp;'Hoạt động (Đơn của tôi)'!$B$7:$B$500&amp;", ")))+SUMPRODUCT(--ISNUMBER(SEARCH(", "&amp;$B9&amp;", ",", "&amp;'Ghép nối'!$B$7:$B$500&amp;", ")))+SUMPRODUCT(--ISNUMBER(SEARCH(", "&amp;$B9&amp;", ",", "&amp;'Huỷ đơn - Huỷ nhận đơn'!$B$7:$B$500&amp;", ")))+SUMPRODUCT(--ISNUMBER(SEARCH(", "&amp;$B9&amp;", ",", "&amp;'Giao nhận &amp; Theo dõi đơn'!$B$7:$B$500&amp;", ")))+SUMPRODUCT(--ISNUMBER(SEARCH(", "&amp;$B9&amp;", ",", "&amp;'Bảng tin &amp; Chi tiết tin'!$B$7:$B$500&amp;", ")))+SUMPRODUCT(--ISNUMBER(SEARCH(", "&amp;$B9&amp;", ",", "&amp;'Quà cảm ơn'!$B$7:$B$500&amp;", ")))+SUMPRODUCT(--ISNUMBER(SEARCH(", "&amp;$B9&amp;", ",", "&amp;'Trang chủ'!$B$7:$B$500&amp;", ")))+SUMPRODUCT(--ISNUMBER(SEARCH(", "&amp;$B9&amp;", ",", "&amp;'Thông báo'!$B$7:$B$500&amp;", ")))+SUMPRODUCT(--ISNUMBER(SEARCH(", "&amp;$B9&amp;", ",", "&amp;'Đăng tin &amp; Quản lý tin'!$B$7:$B$500&amp;", ")))+SUMPRODUCT(--ISNUMBER(SEARCH(", "&amp;$B9&amp;", ",", "&amp;'Trust &amp; Safety'!$B$7:$B$500&amp;", ")))+SUMPRODUCT(--ISNUMBER(SEARCH(", "&amp;$B9&amp;", ",", "&amp;'Tài khoản &amp; Hồ sơ'!$B$7:$B$500&amp;", ")))</f>
        <v>2</v>
      </c>
      <c r="F9" s="51" t="n">
        <f aca="false">SUMPRODUCT(--ISNUMBER(SEARCH(", "&amp;$B9&amp;", ",", "&amp;'Hoạt động (Đơn của tôi)'!$B$7:$B$500&amp;", ")),--('Hoạt động (Đơn của tôi)'!$AT$7:$AT$500&lt;&gt;""))+SUMPRODUCT(--ISNUMBER(SEARCH(", "&amp;$B9&amp;", ",", "&amp;'Ghép nối'!$B$7:$B$500&amp;", ")),--('Ghép nối'!$AT$7:$AT$500&lt;&gt;""))+SUMPRODUCT(--ISNUMBER(SEARCH(", "&amp;$B9&amp;", ",", "&amp;'Huỷ đơn - Huỷ nhận đơn'!$B$7:$B$500&amp;", ")),--('Huỷ đơn - Huỷ nhận đơn'!$AT$7:$AT$500&lt;&gt;""))+SUMPRODUCT(--ISNUMBER(SEARCH(", "&amp;$B9&amp;", ",", "&amp;'Giao nhận &amp; Theo dõi đơn'!$B$7:$B$500&amp;", ")),--('Giao nhận &amp; Theo dõi đơn'!$AT$7:$AT$500&lt;&gt;""))+SUMPRODUCT(--ISNUMBER(SEARCH(", "&amp;$B9&amp;", ",", "&amp;'Bảng tin &amp; Chi tiết tin'!$B$7:$B$500&amp;", ")),--('Bảng tin &amp; Chi tiết tin'!$AT$7:$AT$500&lt;&gt;""))+SUMPRODUCT(--ISNUMBER(SEARCH(", "&amp;$B9&amp;", ",", "&amp;'Quà cảm ơn'!$B$7:$B$500&amp;", ")),--('Quà cảm ơn'!$AT$7:$AT$500&lt;&gt;""))+SUMPRODUCT(--ISNUMBER(SEARCH(", "&amp;$B9&amp;", ",", "&amp;'Trang chủ'!$B$7:$B$500&amp;", ")),--('Trang chủ'!$AT$7:$AT$500&lt;&gt;""))+SUMPRODUCT(--ISNUMBER(SEARCH(", "&amp;$B9&amp;", ",", "&amp;'Thông báo'!$B$7:$B$500&amp;", ")),--('Thông báo'!$AT$7:$AT$500&lt;&gt;""))+SUMPRODUCT(--ISNUMBER(SEARCH(", "&amp;$B9&amp;", ",", "&amp;'Đăng tin &amp; Quản lý tin'!$B$7:$B$500&amp;", ")),--('Đăng tin &amp; Quản lý tin'!$AT$7:$AT$500&lt;&gt;""))+SUMPRODUCT(--ISNUMBER(SEARCH(", "&amp;$B9&amp;", ",", "&amp;'Trust &amp; Safety'!$B$7:$B$500&amp;", ")),--('Trust &amp; Safety'!$AT$7:$AT$500&lt;&gt;""))+SUMPRODUCT(--ISNUMBER(SEARCH(", "&amp;$B9&amp;", ",", "&amp;'Tài khoản &amp; Hồ sơ'!$B$7:$B$500&amp;", ")),--('Tài khoản &amp; Hồ sơ'!$AT$7:$AT$500&lt;&gt;""))</f>
        <v>2</v>
      </c>
      <c r="G9" s="51" t="n">
        <f aca="false">SUMPRODUCT(--ISNUMBER(SEARCH(", "&amp;$B9&amp;", ",", "&amp;'Hoạt động (Đơn của tôi)'!$B$7:$B$500&amp;", ")),--('Hoạt động (Đơn của tôi)'!$AT$7:$AT$500="Pass"))+SUMPRODUCT(--ISNUMBER(SEARCH(", "&amp;$B9&amp;", ",", "&amp;'Ghép nối'!$B$7:$B$500&amp;", ")),--('Ghép nối'!$AT$7:$AT$500="Pass"))+SUMPRODUCT(--ISNUMBER(SEARCH(", "&amp;$B9&amp;", ",", "&amp;'Huỷ đơn - Huỷ nhận đơn'!$B$7:$B$500&amp;", ")),--('Huỷ đơn - Huỷ nhận đơn'!$AT$7:$AT$500="Pass"))+SUMPRODUCT(--ISNUMBER(SEARCH(", "&amp;$B9&amp;", ",", "&amp;'Giao nhận &amp; Theo dõi đơn'!$B$7:$B$500&amp;", ")),--('Giao nhận &amp; Theo dõi đơn'!$AT$7:$AT$500="Pass"))+SUMPRODUCT(--ISNUMBER(SEARCH(", "&amp;$B9&amp;", ",", "&amp;'Bảng tin &amp; Chi tiết tin'!$B$7:$B$500&amp;", ")),--('Bảng tin &amp; Chi tiết tin'!$AT$7:$AT$500="Pass"))+SUMPRODUCT(--ISNUMBER(SEARCH(", "&amp;$B9&amp;", ",", "&amp;'Quà cảm ơn'!$B$7:$B$500&amp;", ")),--('Quà cảm ơn'!$AT$7:$AT$500="Pass"))+SUMPRODUCT(--ISNUMBER(SEARCH(", "&amp;$B9&amp;", ",", "&amp;'Trang chủ'!$B$7:$B$500&amp;", ")),--('Trang chủ'!$AT$7:$AT$500="Pass"))+SUMPRODUCT(--ISNUMBER(SEARCH(", "&amp;$B9&amp;", ",", "&amp;'Thông báo'!$B$7:$B$500&amp;", ")),--('Thông báo'!$AT$7:$AT$500="Pass"))+SUMPRODUCT(--ISNUMBER(SEARCH(", "&amp;$B9&amp;", ",", "&amp;'Đăng tin &amp; Quản lý tin'!$B$7:$B$500&amp;", ")),--('Đăng tin &amp; Quản lý tin'!$AT$7:$AT$500="Pass"))+SUMPRODUCT(--ISNUMBER(SEARCH(", "&amp;$B9&amp;", ",", "&amp;'Trust &amp; Safety'!$B$7:$B$500&amp;", ")),--('Trust &amp; Safety'!$AT$7:$AT$500="Pass"))+SUMPRODUCT(--ISNUMBER(SEARCH(", "&amp;$B9&amp;", ",", "&amp;'Tài khoản &amp; Hồ sơ'!$B$7:$B$500&amp;", ")),--('Tài khoản &amp; Hồ sơ'!$AT$7:$AT$500="Pass"))</f>
        <v>1</v>
      </c>
      <c r="H9" s="51" t="n">
        <f aca="false">SUMPRODUCT(--ISNUMBER(SEARCH(", "&amp;$B9&amp;", ",", "&amp;'Hoạt động (Đơn của tôi)'!$B$7:$B$500&amp;", ")),--('Hoạt động (Đơn của tôi)'!$AT$7:$AT$500="Fail"))+SUMPRODUCT(--ISNUMBER(SEARCH(", "&amp;$B9&amp;", ",", "&amp;'Ghép nối'!$B$7:$B$500&amp;", ")),--('Ghép nối'!$AT$7:$AT$500="Fail"))+SUMPRODUCT(--ISNUMBER(SEARCH(", "&amp;$B9&amp;", ",", "&amp;'Huỷ đơn - Huỷ nhận đơn'!$B$7:$B$500&amp;", ")),--('Huỷ đơn - Huỷ nhận đơn'!$AT$7:$AT$500="Fail"))+SUMPRODUCT(--ISNUMBER(SEARCH(", "&amp;$B9&amp;", ",", "&amp;'Giao nhận &amp; Theo dõi đơn'!$B$7:$B$500&amp;", ")),--('Giao nhận &amp; Theo dõi đơn'!$AT$7:$AT$500="Fail"))+SUMPRODUCT(--ISNUMBER(SEARCH(", "&amp;$B9&amp;", ",", "&amp;'Bảng tin &amp; Chi tiết tin'!$B$7:$B$500&amp;", ")),--('Bảng tin &amp; Chi tiết tin'!$AT$7:$AT$500="Fail"))+SUMPRODUCT(--ISNUMBER(SEARCH(", "&amp;$B9&amp;", ",", "&amp;'Quà cảm ơn'!$B$7:$B$500&amp;", ")),--('Quà cảm ơn'!$AT$7:$AT$500="Fail"))+SUMPRODUCT(--ISNUMBER(SEARCH(", "&amp;$B9&amp;", ",", "&amp;'Trang chủ'!$B$7:$B$500&amp;", ")),--('Trang chủ'!$AT$7:$AT$500="Fail"))+SUMPRODUCT(--ISNUMBER(SEARCH(", "&amp;$B9&amp;", ",", "&amp;'Thông báo'!$B$7:$B$500&amp;", ")),--('Thông báo'!$AT$7:$AT$500="Fail"))+SUMPRODUCT(--ISNUMBER(SEARCH(", "&amp;$B9&amp;", ",", "&amp;'Đăng tin &amp; Quản lý tin'!$B$7:$B$500&amp;", ")),--('Đăng tin &amp; Quản lý tin'!$AT$7:$AT$500="Fail"))+SUMPRODUCT(--ISNUMBER(SEARCH(", "&amp;$B9&amp;", ",", "&amp;'Trust &amp; Safety'!$B$7:$B$500&amp;", ")),--('Trust &amp; Safety'!$AT$7:$AT$500="Fail"))+SUMPRODUCT(--ISNUMBER(SEARCH(", "&amp;$B9&amp;", ",", "&amp;'Tài khoản &amp; Hồ sơ'!$B$7:$B$500&amp;", ")),--('Tài khoản &amp; Hồ sơ'!$AT$7:$AT$500="Fail"))</f>
        <v>1</v>
      </c>
      <c r="I9" s="51" t="n">
        <f aca="false">SUMPRODUCT(--ISNUMBER(SEARCH(", "&amp;$B9&amp;", ",", "&amp;'Hoạt động (Đơn của tôi)'!$B$7:$B$500&amp;", ")),--('Hoạt động (Đơn của tôi)'!$AT$7:$AT$500="Block"))+SUMPRODUCT(--ISNUMBER(SEARCH(", "&amp;$B9&amp;", ",", "&amp;'Ghép nối'!$B$7:$B$500&amp;", ")),--('Ghép nối'!$AT$7:$AT$500="Block"))+SUMPRODUCT(--ISNUMBER(SEARCH(", "&amp;$B9&amp;", ",", "&amp;'Huỷ đơn - Huỷ nhận đơn'!$B$7:$B$500&amp;", ")),--('Huỷ đơn - Huỷ nhận đơn'!$AT$7:$AT$500="Block"))+SUMPRODUCT(--ISNUMBER(SEARCH(", "&amp;$B9&amp;", ",", "&amp;'Giao nhận &amp; Theo dõi đơn'!$B$7:$B$500&amp;", ")),--('Giao nhận &amp; Theo dõi đơn'!$AT$7:$AT$500="Block"))+SUMPRODUCT(--ISNUMBER(SEARCH(", "&amp;$B9&amp;", ",", "&amp;'Bảng tin &amp; Chi tiết tin'!$B$7:$B$500&amp;", ")),--('Bảng tin &amp; Chi tiết tin'!$AT$7:$AT$500="Block"))+SUMPRODUCT(--ISNUMBER(SEARCH(", "&amp;$B9&amp;", ",", "&amp;'Quà cảm ơn'!$B$7:$B$500&amp;", ")),--('Quà cảm ơn'!$AT$7:$AT$500="Block"))+SUMPRODUCT(--ISNUMBER(SEARCH(", "&amp;$B9&amp;", ",", "&amp;'Trang chủ'!$B$7:$B$500&amp;", ")),--('Trang chủ'!$AT$7:$AT$500="Block"))+SUMPRODUCT(--ISNUMBER(SEARCH(", "&amp;$B9&amp;", ",", "&amp;'Thông báo'!$B$7:$B$500&amp;", ")),--('Thông báo'!$AT$7:$AT$500="Block"))+SUMPRODUCT(--ISNUMBER(SEARCH(", "&amp;$B9&amp;", ",", "&amp;'Đăng tin &amp; Quản lý tin'!$B$7:$B$500&amp;", ")),--('Đăng tin &amp; Quản lý tin'!$AT$7:$AT$500="Block"))+SUMPRODUCT(--ISNUMBER(SEARCH(", "&amp;$B9&amp;", ",", "&amp;'Trust &amp; Safety'!$B$7:$B$500&amp;", ")),--('Trust &amp; Safety'!$AT$7:$AT$500="Block"))+SUMPRODUCT(--ISNUMBER(SEARCH(", "&amp;$B9&amp;", ",", "&amp;'Tài khoản &amp; Hồ sơ'!$B$7:$B$500&amp;", ")),--('Tài khoản &amp; Hồ sơ'!$AT$7:$AT$500="Block"))</f>
        <v>0</v>
      </c>
      <c r="J9" s="51" t="n">
        <f aca="false">SUMPRODUCT(--ISNUMBER(SEARCH(", "&amp;$B9&amp;", ",", "&amp;'Hoạt động (Đơn của tôi)'!$B$7:$B$500&amp;", ")),--('Hoạt động (Đơn của tôi)'!$AT$7:$AT$500="N/A"))+SUMPRODUCT(--ISNUMBER(SEARCH(", "&amp;$B9&amp;", ",", "&amp;'Ghép nối'!$B$7:$B$500&amp;", ")),--('Ghép nối'!$AT$7:$AT$500="N/A"))+SUMPRODUCT(--ISNUMBER(SEARCH(", "&amp;$B9&amp;", ",", "&amp;'Huỷ đơn - Huỷ nhận đơn'!$B$7:$B$500&amp;", ")),--('Huỷ đơn - Huỷ nhận đơn'!$AT$7:$AT$500="N/A"))+SUMPRODUCT(--ISNUMBER(SEARCH(", "&amp;$B9&amp;", ",", "&amp;'Giao nhận &amp; Theo dõi đơn'!$B$7:$B$500&amp;", ")),--('Giao nhận &amp; Theo dõi đơn'!$AT$7:$AT$500="N/A"))+SUMPRODUCT(--ISNUMBER(SEARCH(", "&amp;$B9&amp;", ",", "&amp;'Bảng tin &amp; Chi tiết tin'!$B$7:$B$500&amp;", ")),--('Bảng tin &amp; Chi tiết tin'!$AT$7:$AT$500="N/A"))+SUMPRODUCT(--ISNUMBER(SEARCH(", "&amp;$B9&amp;", ",", "&amp;'Quà cảm ơn'!$B$7:$B$500&amp;", ")),--('Quà cảm ơn'!$AT$7:$AT$500="N/A"))+SUMPRODUCT(--ISNUMBER(SEARCH(", "&amp;$B9&amp;", ",", "&amp;'Trang chủ'!$B$7:$B$500&amp;", ")),--('Trang chủ'!$AT$7:$AT$500="N/A"))+SUMPRODUCT(--ISNUMBER(SEARCH(", "&amp;$B9&amp;", ",", "&amp;'Thông báo'!$B$7:$B$500&amp;", ")),--('Thông báo'!$AT$7:$AT$500="N/A"))+SUMPRODUCT(--ISNUMBER(SEARCH(", "&amp;$B9&amp;", ",", "&amp;'Đăng tin &amp; Quản lý tin'!$B$7:$B$500&amp;", ")),--('Đăng tin &amp; Quản lý tin'!$AT$7:$AT$500="N/A"))+SUMPRODUCT(--ISNUMBER(SEARCH(", "&amp;$B9&amp;", ",", "&amp;'Trust &amp; Safety'!$B$7:$B$500&amp;", ")),--('Trust &amp; Safety'!$AT$7:$AT$500="N/A"))+SUMPRODUCT(--ISNUMBER(SEARCH(", "&amp;$B9&amp;", ",", "&amp;'Tài khoản &amp; Hồ sơ'!$B$7:$B$500&amp;", ")),--('Tài khoản &amp; Hồ sơ'!$AT$7:$AT$500="N/A"))</f>
        <v>0</v>
      </c>
      <c r="K9" s="52" t="n">
        <f aca="false">IFERROR(F9/E9,0)</f>
        <v>1</v>
      </c>
      <c r="L9" s="124" t="str">
        <f aca="false">IF(E9=0,"Chưa có TC (gap)",IF(H9&gt;0,"Có lỗi (Fail)",IF(I9&gt;0,"Bị block",IF(F9&lt;E9,"Đang test",IF(G9=0,"Không áp dụng (N/A)","Đã test xong")))))</f>
        <v>Có lỗi (Fail)</v>
      </c>
      <c r="AB9" s="0" t="s">
        <v>499</v>
      </c>
      <c r="AD9" s="0" t="s">
        <v>511</v>
      </c>
      <c r="AE9" s="0" t="n">
        <f aca="false">SUMIF($AB$6:$AB$77,$AD9,$E$6:$E$77)</f>
        <v>51</v>
      </c>
      <c r="AF9" s="0" t="n">
        <f aca="false">SUMIF($AB$6:$AB$77,$AD9,$F$6:$F$77)</f>
        <v>11</v>
      </c>
    </row>
    <row r="10" customFormat="false" ht="35.05" hidden="false" customHeight="false" outlineLevel="0" collapsed="false">
      <c r="A10" s="1"/>
      <c r="B10" s="176" t="s">
        <v>512</v>
      </c>
      <c r="C10" s="177" t="s">
        <v>513</v>
      </c>
      <c r="D10" s="124" t="s">
        <v>514</v>
      </c>
      <c r="E10" s="51" t="n">
        <f aca="false">SUMPRODUCT(--ISNUMBER(SEARCH(", "&amp;$B10&amp;", ",", "&amp;'Hoạt động (Đơn của tôi)'!$B$7:$B$500&amp;", ")))+SUMPRODUCT(--ISNUMBER(SEARCH(", "&amp;$B10&amp;", ",", "&amp;'Ghép nối'!$B$7:$B$500&amp;", ")))+SUMPRODUCT(--ISNUMBER(SEARCH(", "&amp;$B10&amp;", ",", "&amp;'Huỷ đơn - Huỷ nhận đơn'!$B$7:$B$500&amp;", ")))+SUMPRODUCT(--ISNUMBER(SEARCH(", "&amp;$B10&amp;", ",", "&amp;'Giao nhận &amp; Theo dõi đơn'!$B$7:$B$500&amp;", ")))+SUMPRODUCT(--ISNUMBER(SEARCH(", "&amp;$B10&amp;", ",", "&amp;'Bảng tin &amp; Chi tiết tin'!$B$7:$B$500&amp;", ")))+SUMPRODUCT(--ISNUMBER(SEARCH(", "&amp;$B10&amp;", ",", "&amp;'Quà cảm ơn'!$B$7:$B$500&amp;", ")))+SUMPRODUCT(--ISNUMBER(SEARCH(", "&amp;$B10&amp;", ",", "&amp;'Trang chủ'!$B$7:$B$500&amp;", ")))+SUMPRODUCT(--ISNUMBER(SEARCH(", "&amp;$B10&amp;", ",", "&amp;'Thông báo'!$B$7:$B$500&amp;", ")))+SUMPRODUCT(--ISNUMBER(SEARCH(", "&amp;$B10&amp;", ",", "&amp;'Đăng tin &amp; Quản lý tin'!$B$7:$B$500&amp;", ")))+SUMPRODUCT(--ISNUMBER(SEARCH(", "&amp;$B10&amp;", ",", "&amp;'Trust &amp; Safety'!$B$7:$B$500&amp;", ")))+SUMPRODUCT(--ISNUMBER(SEARCH(", "&amp;$B10&amp;", ",", "&amp;'Tài khoản &amp; Hồ sơ'!$B$7:$B$500&amp;", ")))</f>
        <v>1</v>
      </c>
      <c r="F10" s="51" t="n">
        <f aca="false">SUMPRODUCT(--ISNUMBER(SEARCH(", "&amp;$B10&amp;", ",", "&amp;'Hoạt động (Đơn của tôi)'!$B$7:$B$500&amp;", ")),--('Hoạt động (Đơn của tôi)'!$AT$7:$AT$500&lt;&gt;""))+SUMPRODUCT(--ISNUMBER(SEARCH(", "&amp;$B10&amp;", ",", "&amp;'Ghép nối'!$B$7:$B$500&amp;", ")),--('Ghép nối'!$AT$7:$AT$500&lt;&gt;""))+SUMPRODUCT(--ISNUMBER(SEARCH(", "&amp;$B10&amp;", ",", "&amp;'Huỷ đơn - Huỷ nhận đơn'!$B$7:$B$500&amp;", ")),--('Huỷ đơn - Huỷ nhận đơn'!$AT$7:$AT$500&lt;&gt;""))+SUMPRODUCT(--ISNUMBER(SEARCH(", "&amp;$B10&amp;", ",", "&amp;'Giao nhận &amp; Theo dõi đơn'!$B$7:$B$500&amp;", ")),--('Giao nhận &amp; Theo dõi đơn'!$AT$7:$AT$500&lt;&gt;""))+SUMPRODUCT(--ISNUMBER(SEARCH(", "&amp;$B10&amp;", ",", "&amp;'Bảng tin &amp; Chi tiết tin'!$B$7:$B$500&amp;", ")),--('Bảng tin &amp; Chi tiết tin'!$AT$7:$AT$500&lt;&gt;""))+SUMPRODUCT(--ISNUMBER(SEARCH(", "&amp;$B10&amp;", ",", "&amp;'Quà cảm ơn'!$B$7:$B$500&amp;", ")),--('Quà cảm ơn'!$AT$7:$AT$500&lt;&gt;""))+SUMPRODUCT(--ISNUMBER(SEARCH(", "&amp;$B10&amp;", ",", "&amp;'Trang chủ'!$B$7:$B$500&amp;", ")),--('Trang chủ'!$AT$7:$AT$500&lt;&gt;""))+SUMPRODUCT(--ISNUMBER(SEARCH(", "&amp;$B10&amp;", ",", "&amp;'Thông báo'!$B$7:$B$500&amp;", ")),--('Thông báo'!$AT$7:$AT$500&lt;&gt;""))+SUMPRODUCT(--ISNUMBER(SEARCH(", "&amp;$B10&amp;", ",", "&amp;'Đăng tin &amp; Quản lý tin'!$B$7:$B$500&amp;", ")),--('Đăng tin &amp; Quản lý tin'!$AT$7:$AT$500&lt;&gt;""))+SUMPRODUCT(--ISNUMBER(SEARCH(", "&amp;$B10&amp;", ",", "&amp;'Trust &amp; Safety'!$B$7:$B$500&amp;", ")),--('Trust &amp; Safety'!$AT$7:$AT$500&lt;&gt;""))+SUMPRODUCT(--ISNUMBER(SEARCH(", "&amp;$B10&amp;", ",", "&amp;'Tài khoản &amp; Hồ sơ'!$B$7:$B$500&amp;", ")),--('Tài khoản &amp; Hồ sơ'!$AT$7:$AT$500&lt;&gt;""))</f>
        <v>1</v>
      </c>
      <c r="G10" s="51" t="n">
        <f aca="false">SUMPRODUCT(--ISNUMBER(SEARCH(", "&amp;$B10&amp;", ",", "&amp;'Hoạt động (Đơn của tôi)'!$B$7:$B$500&amp;", ")),--('Hoạt động (Đơn của tôi)'!$AT$7:$AT$500="Pass"))+SUMPRODUCT(--ISNUMBER(SEARCH(", "&amp;$B10&amp;", ",", "&amp;'Ghép nối'!$B$7:$B$500&amp;", ")),--('Ghép nối'!$AT$7:$AT$500="Pass"))+SUMPRODUCT(--ISNUMBER(SEARCH(", "&amp;$B10&amp;", ",", "&amp;'Huỷ đơn - Huỷ nhận đơn'!$B$7:$B$500&amp;", ")),--('Huỷ đơn - Huỷ nhận đơn'!$AT$7:$AT$500="Pass"))+SUMPRODUCT(--ISNUMBER(SEARCH(", "&amp;$B10&amp;", ",", "&amp;'Giao nhận &amp; Theo dõi đơn'!$B$7:$B$500&amp;", ")),--('Giao nhận &amp; Theo dõi đơn'!$AT$7:$AT$500="Pass"))+SUMPRODUCT(--ISNUMBER(SEARCH(", "&amp;$B10&amp;", ",", "&amp;'Bảng tin &amp; Chi tiết tin'!$B$7:$B$500&amp;", ")),--('Bảng tin &amp; Chi tiết tin'!$AT$7:$AT$500="Pass"))+SUMPRODUCT(--ISNUMBER(SEARCH(", "&amp;$B10&amp;", ",", "&amp;'Quà cảm ơn'!$B$7:$B$500&amp;", ")),--('Quà cảm ơn'!$AT$7:$AT$500="Pass"))+SUMPRODUCT(--ISNUMBER(SEARCH(", "&amp;$B10&amp;", ",", "&amp;'Trang chủ'!$B$7:$B$500&amp;", ")),--('Trang chủ'!$AT$7:$AT$500="Pass"))+SUMPRODUCT(--ISNUMBER(SEARCH(", "&amp;$B10&amp;", ",", "&amp;'Thông báo'!$B$7:$B$500&amp;", ")),--('Thông báo'!$AT$7:$AT$500="Pass"))+SUMPRODUCT(--ISNUMBER(SEARCH(", "&amp;$B10&amp;", ",", "&amp;'Đăng tin &amp; Quản lý tin'!$B$7:$B$500&amp;", ")),--('Đăng tin &amp; Quản lý tin'!$AT$7:$AT$500="Pass"))+SUMPRODUCT(--ISNUMBER(SEARCH(", "&amp;$B10&amp;", ",", "&amp;'Trust &amp; Safety'!$B$7:$B$500&amp;", ")),--('Trust &amp; Safety'!$AT$7:$AT$500="Pass"))+SUMPRODUCT(--ISNUMBER(SEARCH(", "&amp;$B10&amp;", ",", "&amp;'Tài khoản &amp; Hồ sơ'!$B$7:$B$500&amp;", ")),--('Tài khoản &amp; Hồ sơ'!$AT$7:$AT$500="Pass"))</f>
        <v>1</v>
      </c>
      <c r="H10" s="51" t="n">
        <f aca="false">SUMPRODUCT(--ISNUMBER(SEARCH(", "&amp;$B10&amp;", ",", "&amp;'Hoạt động (Đơn của tôi)'!$B$7:$B$500&amp;", ")),--('Hoạt động (Đơn của tôi)'!$AT$7:$AT$500="Fail"))+SUMPRODUCT(--ISNUMBER(SEARCH(", "&amp;$B10&amp;", ",", "&amp;'Ghép nối'!$B$7:$B$500&amp;", ")),--('Ghép nối'!$AT$7:$AT$500="Fail"))+SUMPRODUCT(--ISNUMBER(SEARCH(", "&amp;$B10&amp;", ",", "&amp;'Huỷ đơn - Huỷ nhận đơn'!$B$7:$B$500&amp;", ")),--('Huỷ đơn - Huỷ nhận đơn'!$AT$7:$AT$500="Fail"))+SUMPRODUCT(--ISNUMBER(SEARCH(", "&amp;$B10&amp;", ",", "&amp;'Giao nhận &amp; Theo dõi đơn'!$B$7:$B$500&amp;", ")),--('Giao nhận &amp; Theo dõi đơn'!$AT$7:$AT$500="Fail"))+SUMPRODUCT(--ISNUMBER(SEARCH(", "&amp;$B10&amp;", ",", "&amp;'Bảng tin &amp; Chi tiết tin'!$B$7:$B$500&amp;", ")),--('Bảng tin &amp; Chi tiết tin'!$AT$7:$AT$500="Fail"))+SUMPRODUCT(--ISNUMBER(SEARCH(", "&amp;$B10&amp;", ",", "&amp;'Quà cảm ơn'!$B$7:$B$500&amp;", ")),--('Quà cảm ơn'!$AT$7:$AT$500="Fail"))+SUMPRODUCT(--ISNUMBER(SEARCH(", "&amp;$B10&amp;", ",", "&amp;'Trang chủ'!$B$7:$B$500&amp;", ")),--('Trang chủ'!$AT$7:$AT$500="Fail"))+SUMPRODUCT(--ISNUMBER(SEARCH(", "&amp;$B10&amp;", ",", "&amp;'Thông báo'!$B$7:$B$500&amp;", ")),--('Thông báo'!$AT$7:$AT$500="Fail"))+SUMPRODUCT(--ISNUMBER(SEARCH(", "&amp;$B10&amp;", ",", "&amp;'Đăng tin &amp; Quản lý tin'!$B$7:$B$500&amp;", ")),--('Đăng tin &amp; Quản lý tin'!$AT$7:$AT$500="Fail"))+SUMPRODUCT(--ISNUMBER(SEARCH(", "&amp;$B10&amp;", ",", "&amp;'Trust &amp; Safety'!$B$7:$B$500&amp;", ")),--('Trust &amp; Safety'!$AT$7:$AT$500="Fail"))+SUMPRODUCT(--ISNUMBER(SEARCH(", "&amp;$B10&amp;", ",", "&amp;'Tài khoản &amp; Hồ sơ'!$B$7:$B$500&amp;", ")),--('Tài khoản &amp; Hồ sơ'!$AT$7:$AT$500="Fail"))</f>
        <v>0</v>
      </c>
      <c r="I10" s="51" t="n">
        <f aca="false">SUMPRODUCT(--ISNUMBER(SEARCH(", "&amp;$B10&amp;", ",", "&amp;'Hoạt động (Đơn của tôi)'!$B$7:$B$500&amp;", ")),--('Hoạt động (Đơn của tôi)'!$AT$7:$AT$500="Block"))+SUMPRODUCT(--ISNUMBER(SEARCH(", "&amp;$B10&amp;", ",", "&amp;'Ghép nối'!$B$7:$B$500&amp;", ")),--('Ghép nối'!$AT$7:$AT$500="Block"))+SUMPRODUCT(--ISNUMBER(SEARCH(", "&amp;$B10&amp;", ",", "&amp;'Huỷ đơn - Huỷ nhận đơn'!$B$7:$B$500&amp;", ")),--('Huỷ đơn - Huỷ nhận đơn'!$AT$7:$AT$500="Block"))+SUMPRODUCT(--ISNUMBER(SEARCH(", "&amp;$B10&amp;", ",", "&amp;'Giao nhận &amp; Theo dõi đơn'!$B$7:$B$500&amp;", ")),--('Giao nhận &amp; Theo dõi đơn'!$AT$7:$AT$500="Block"))+SUMPRODUCT(--ISNUMBER(SEARCH(", "&amp;$B10&amp;", ",", "&amp;'Bảng tin &amp; Chi tiết tin'!$B$7:$B$500&amp;", ")),--('Bảng tin &amp; Chi tiết tin'!$AT$7:$AT$500="Block"))+SUMPRODUCT(--ISNUMBER(SEARCH(", "&amp;$B10&amp;", ",", "&amp;'Quà cảm ơn'!$B$7:$B$500&amp;", ")),--('Quà cảm ơn'!$AT$7:$AT$500="Block"))+SUMPRODUCT(--ISNUMBER(SEARCH(", "&amp;$B10&amp;", ",", "&amp;'Trang chủ'!$B$7:$B$500&amp;", ")),--('Trang chủ'!$AT$7:$AT$500="Block"))+SUMPRODUCT(--ISNUMBER(SEARCH(", "&amp;$B10&amp;", ",", "&amp;'Thông báo'!$B$7:$B$500&amp;", ")),--('Thông báo'!$AT$7:$AT$500="Block"))+SUMPRODUCT(--ISNUMBER(SEARCH(", "&amp;$B10&amp;", ",", "&amp;'Đăng tin &amp; Quản lý tin'!$B$7:$B$500&amp;", ")),--('Đăng tin &amp; Quản lý tin'!$AT$7:$AT$500="Block"))+SUMPRODUCT(--ISNUMBER(SEARCH(", "&amp;$B10&amp;", ",", "&amp;'Trust &amp; Safety'!$B$7:$B$500&amp;", ")),--('Trust &amp; Safety'!$AT$7:$AT$500="Block"))+SUMPRODUCT(--ISNUMBER(SEARCH(", "&amp;$B10&amp;", ",", "&amp;'Tài khoản &amp; Hồ sơ'!$B$7:$B$500&amp;", ")),--('Tài khoản &amp; Hồ sơ'!$AT$7:$AT$500="Block"))</f>
        <v>0</v>
      </c>
      <c r="J10" s="51" t="n">
        <f aca="false">SUMPRODUCT(--ISNUMBER(SEARCH(", "&amp;$B10&amp;", ",", "&amp;'Hoạt động (Đơn của tôi)'!$B$7:$B$500&amp;", ")),--('Hoạt động (Đơn của tôi)'!$AT$7:$AT$500="N/A"))+SUMPRODUCT(--ISNUMBER(SEARCH(", "&amp;$B10&amp;", ",", "&amp;'Ghép nối'!$B$7:$B$500&amp;", ")),--('Ghép nối'!$AT$7:$AT$500="N/A"))+SUMPRODUCT(--ISNUMBER(SEARCH(", "&amp;$B10&amp;", ",", "&amp;'Huỷ đơn - Huỷ nhận đơn'!$B$7:$B$500&amp;", ")),--('Huỷ đơn - Huỷ nhận đơn'!$AT$7:$AT$500="N/A"))+SUMPRODUCT(--ISNUMBER(SEARCH(", "&amp;$B10&amp;", ",", "&amp;'Giao nhận &amp; Theo dõi đơn'!$B$7:$B$500&amp;", ")),--('Giao nhận &amp; Theo dõi đơn'!$AT$7:$AT$500="N/A"))+SUMPRODUCT(--ISNUMBER(SEARCH(", "&amp;$B10&amp;", ",", "&amp;'Bảng tin &amp; Chi tiết tin'!$B$7:$B$500&amp;", ")),--('Bảng tin &amp; Chi tiết tin'!$AT$7:$AT$500="N/A"))+SUMPRODUCT(--ISNUMBER(SEARCH(", "&amp;$B10&amp;", ",", "&amp;'Quà cảm ơn'!$B$7:$B$500&amp;", ")),--('Quà cảm ơn'!$AT$7:$AT$500="N/A"))+SUMPRODUCT(--ISNUMBER(SEARCH(", "&amp;$B10&amp;", ",", "&amp;'Trang chủ'!$B$7:$B$500&amp;", ")),--('Trang chủ'!$AT$7:$AT$500="N/A"))+SUMPRODUCT(--ISNUMBER(SEARCH(", "&amp;$B10&amp;", ",", "&amp;'Thông báo'!$B$7:$B$500&amp;", ")),--('Thông báo'!$AT$7:$AT$500="N/A"))+SUMPRODUCT(--ISNUMBER(SEARCH(", "&amp;$B10&amp;", ",", "&amp;'Đăng tin &amp; Quản lý tin'!$B$7:$B$500&amp;", ")),--('Đăng tin &amp; Quản lý tin'!$AT$7:$AT$500="N/A"))+SUMPRODUCT(--ISNUMBER(SEARCH(", "&amp;$B10&amp;", ",", "&amp;'Trust &amp; Safety'!$B$7:$B$500&amp;", ")),--('Trust &amp; Safety'!$AT$7:$AT$500="N/A"))+SUMPRODUCT(--ISNUMBER(SEARCH(", "&amp;$B10&amp;", ",", "&amp;'Tài khoản &amp; Hồ sơ'!$B$7:$B$500&amp;", ")),--('Tài khoản &amp; Hồ sơ'!$AT$7:$AT$500="N/A"))</f>
        <v>0</v>
      </c>
      <c r="K10" s="52" t="n">
        <f aca="false">IFERROR(F10/E10,0)</f>
        <v>1</v>
      </c>
      <c r="L10" s="124" t="str">
        <f aca="false">IF(E10=0,"Chưa có TC (gap)",IF(H10&gt;0,"Có lỗi (Fail)",IF(I10&gt;0,"Bị block",IF(F10&lt;E10,"Đang test",IF(G10=0,"Không áp dụng (N/A)","Đã test xong")))))</f>
        <v>Đã test xong</v>
      </c>
      <c r="AB10" s="0" t="s">
        <v>499</v>
      </c>
      <c r="AD10" s="0" t="s">
        <v>515</v>
      </c>
      <c r="AE10" s="0" t="n">
        <f aca="false">SUMIF($AB$6:$AB$77,$AD10,$E$6:$E$77)</f>
        <v>5</v>
      </c>
      <c r="AF10" s="0" t="n">
        <f aca="false">SUMIF($AB$6:$AB$77,$AD10,$F$6:$F$77)</f>
        <v>5</v>
      </c>
    </row>
    <row r="11" customFormat="false" ht="91" hidden="false" customHeight="false" outlineLevel="0" collapsed="false">
      <c r="A11" s="1"/>
      <c r="B11" s="176" t="s">
        <v>516</v>
      </c>
      <c r="C11" s="177" t="s">
        <v>517</v>
      </c>
      <c r="D11" s="124" t="s">
        <v>518</v>
      </c>
      <c r="E11" s="51" t="n">
        <f aca="false">SUMPRODUCT(--ISNUMBER(SEARCH(", "&amp;$B11&amp;", ",", "&amp;'Hoạt động (Đơn của tôi)'!$B$7:$B$500&amp;", ")))+SUMPRODUCT(--ISNUMBER(SEARCH(", "&amp;$B11&amp;", ",", "&amp;'Ghép nối'!$B$7:$B$500&amp;", ")))+SUMPRODUCT(--ISNUMBER(SEARCH(", "&amp;$B11&amp;", ",", "&amp;'Huỷ đơn - Huỷ nhận đơn'!$B$7:$B$500&amp;", ")))+SUMPRODUCT(--ISNUMBER(SEARCH(", "&amp;$B11&amp;", ",", "&amp;'Giao nhận &amp; Theo dõi đơn'!$B$7:$B$500&amp;", ")))+SUMPRODUCT(--ISNUMBER(SEARCH(", "&amp;$B11&amp;", ",", "&amp;'Bảng tin &amp; Chi tiết tin'!$B$7:$B$500&amp;", ")))+SUMPRODUCT(--ISNUMBER(SEARCH(", "&amp;$B11&amp;", ",", "&amp;'Quà cảm ơn'!$B$7:$B$500&amp;", ")))+SUMPRODUCT(--ISNUMBER(SEARCH(", "&amp;$B11&amp;", ",", "&amp;'Trang chủ'!$B$7:$B$500&amp;", ")))+SUMPRODUCT(--ISNUMBER(SEARCH(", "&amp;$B11&amp;", ",", "&amp;'Thông báo'!$B$7:$B$500&amp;", ")))+SUMPRODUCT(--ISNUMBER(SEARCH(", "&amp;$B11&amp;", ",", "&amp;'Đăng tin &amp; Quản lý tin'!$B$7:$B$500&amp;", ")))+SUMPRODUCT(--ISNUMBER(SEARCH(", "&amp;$B11&amp;", ",", "&amp;'Trust &amp; Safety'!$B$7:$B$500&amp;", ")))+SUMPRODUCT(--ISNUMBER(SEARCH(", "&amp;$B11&amp;", ",", "&amp;'Tài khoản &amp; Hồ sơ'!$B$7:$B$500&amp;", ")))</f>
        <v>3</v>
      </c>
      <c r="F11" s="51" t="n">
        <f aca="false">SUMPRODUCT(--ISNUMBER(SEARCH(", "&amp;$B11&amp;", ",", "&amp;'Hoạt động (Đơn của tôi)'!$B$7:$B$500&amp;", ")),--('Hoạt động (Đơn của tôi)'!$AT$7:$AT$500&lt;&gt;""))+SUMPRODUCT(--ISNUMBER(SEARCH(", "&amp;$B11&amp;", ",", "&amp;'Ghép nối'!$B$7:$B$500&amp;", ")),--('Ghép nối'!$AT$7:$AT$500&lt;&gt;""))+SUMPRODUCT(--ISNUMBER(SEARCH(", "&amp;$B11&amp;", ",", "&amp;'Huỷ đơn - Huỷ nhận đơn'!$B$7:$B$500&amp;", ")),--('Huỷ đơn - Huỷ nhận đơn'!$AT$7:$AT$500&lt;&gt;""))+SUMPRODUCT(--ISNUMBER(SEARCH(", "&amp;$B11&amp;", ",", "&amp;'Giao nhận &amp; Theo dõi đơn'!$B$7:$B$500&amp;", ")),--('Giao nhận &amp; Theo dõi đơn'!$AT$7:$AT$500&lt;&gt;""))+SUMPRODUCT(--ISNUMBER(SEARCH(", "&amp;$B11&amp;", ",", "&amp;'Bảng tin &amp; Chi tiết tin'!$B$7:$B$500&amp;", ")),--('Bảng tin &amp; Chi tiết tin'!$AT$7:$AT$500&lt;&gt;""))+SUMPRODUCT(--ISNUMBER(SEARCH(", "&amp;$B11&amp;", ",", "&amp;'Quà cảm ơn'!$B$7:$B$500&amp;", ")),--('Quà cảm ơn'!$AT$7:$AT$500&lt;&gt;""))+SUMPRODUCT(--ISNUMBER(SEARCH(", "&amp;$B11&amp;", ",", "&amp;'Trang chủ'!$B$7:$B$500&amp;", ")),--('Trang chủ'!$AT$7:$AT$500&lt;&gt;""))+SUMPRODUCT(--ISNUMBER(SEARCH(", "&amp;$B11&amp;", ",", "&amp;'Thông báo'!$B$7:$B$500&amp;", ")),--('Thông báo'!$AT$7:$AT$500&lt;&gt;""))+SUMPRODUCT(--ISNUMBER(SEARCH(", "&amp;$B11&amp;", ",", "&amp;'Đăng tin &amp; Quản lý tin'!$B$7:$B$500&amp;", ")),--('Đăng tin &amp; Quản lý tin'!$AT$7:$AT$500&lt;&gt;""))+SUMPRODUCT(--ISNUMBER(SEARCH(", "&amp;$B11&amp;", ",", "&amp;'Trust &amp; Safety'!$B$7:$B$500&amp;", ")),--('Trust &amp; Safety'!$AT$7:$AT$500&lt;&gt;""))+SUMPRODUCT(--ISNUMBER(SEARCH(", "&amp;$B11&amp;", ",", "&amp;'Tài khoản &amp; Hồ sơ'!$B$7:$B$500&amp;", ")),--('Tài khoản &amp; Hồ sơ'!$AT$7:$AT$500&lt;&gt;""))</f>
        <v>3</v>
      </c>
      <c r="G11" s="51" t="n">
        <f aca="false">SUMPRODUCT(--ISNUMBER(SEARCH(", "&amp;$B11&amp;", ",", "&amp;'Hoạt động (Đơn của tôi)'!$B$7:$B$500&amp;", ")),--('Hoạt động (Đơn của tôi)'!$AT$7:$AT$500="Pass"))+SUMPRODUCT(--ISNUMBER(SEARCH(", "&amp;$B11&amp;", ",", "&amp;'Ghép nối'!$B$7:$B$500&amp;", ")),--('Ghép nối'!$AT$7:$AT$500="Pass"))+SUMPRODUCT(--ISNUMBER(SEARCH(", "&amp;$B11&amp;", ",", "&amp;'Huỷ đơn - Huỷ nhận đơn'!$B$7:$B$500&amp;", ")),--('Huỷ đơn - Huỷ nhận đơn'!$AT$7:$AT$500="Pass"))+SUMPRODUCT(--ISNUMBER(SEARCH(", "&amp;$B11&amp;", ",", "&amp;'Giao nhận &amp; Theo dõi đơn'!$B$7:$B$500&amp;", ")),--('Giao nhận &amp; Theo dõi đơn'!$AT$7:$AT$500="Pass"))+SUMPRODUCT(--ISNUMBER(SEARCH(", "&amp;$B11&amp;", ",", "&amp;'Bảng tin &amp; Chi tiết tin'!$B$7:$B$500&amp;", ")),--('Bảng tin &amp; Chi tiết tin'!$AT$7:$AT$500="Pass"))+SUMPRODUCT(--ISNUMBER(SEARCH(", "&amp;$B11&amp;", ",", "&amp;'Quà cảm ơn'!$B$7:$B$500&amp;", ")),--('Quà cảm ơn'!$AT$7:$AT$500="Pass"))+SUMPRODUCT(--ISNUMBER(SEARCH(", "&amp;$B11&amp;", ",", "&amp;'Trang chủ'!$B$7:$B$500&amp;", ")),--('Trang chủ'!$AT$7:$AT$500="Pass"))+SUMPRODUCT(--ISNUMBER(SEARCH(", "&amp;$B11&amp;", ",", "&amp;'Thông báo'!$B$7:$B$500&amp;", ")),--('Thông báo'!$AT$7:$AT$500="Pass"))+SUMPRODUCT(--ISNUMBER(SEARCH(", "&amp;$B11&amp;", ",", "&amp;'Đăng tin &amp; Quản lý tin'!$B$7:$B$500&amp;", ")),--('Đăng tin &amp; Quản lý tin'!$AT$7:$AT$500="Pass"))+SUMPRODUCT(--ISNUMBER(SEARCH(", "&amp;$B11&amp;", ",", "&amp;'Trust &amp; Safety'!$B$7:$B$500&amp;", ")),--('Trust &amp; Safety'!$AT$7:$AT$500="Pass"))+SUMPRODUCT(--ISNUMBER(SEARCH(", "&amp;$B11&amp;", ",", "&amp;'Tài khoản &amp; Hồ sơ'!$B$7:$B$500&amp;", ")),--('Tài khoản &amp; Hồ sơ'!$AT$7:$AT$500="Pass"))</f>
        <v>3</v>
      </c>
      <c r="H11" s="51" t="n">
        <f aca="false">SUMPRODUCT(--ISNUMBER(SEARCH(", "&amp;$B11&amp;", ",", "&amp;'Hoạt động (Đơn của tôi)'!$B$7:$B$500&amp;", ")),--('Hoạt động (Đơn của tôi)'!$AT$7:$AT$500="Fail"))+SUMPRODUCT(--ISNUMBER(SEARCH(", "&amp;$B11&amp;", ",", "&amp;'Ghép nối'!$B$7:$B$500&amp;", ")),--('Ghép nối'!$AT$7:$AT$500="Fail"))+SUMPRODUCT(--ISNUMBER(SEARCH(", "&amp;$B11&amp;", ",", "&amp;'Huỷ đơn - Huỷ nhận đơn'!$B$7:$B$500&amp;", ")),--('Huỷ đơn - Huỷ nhận đơn'!$AT$7:$AT$500="Fail"))+SUMPRODUCT(--ISNUMBER(SEARCH(", "&amp;$B11&amp;", ",", "&amp;'Giao nhận &amp; Theo dõi đơn'!$B$7:$B$500&amp;", ")),--('Giao nhận &amp; Theo dõi đơn'!$AT$7:$AT$500="Fail"))+SUMPRODUCT(--ISNUMBER(SEARCH(", "&amp;$B11&amp;", ",", "&amp;'Bảng tin &amp; Chi tiết tin'!$B$7:$B$500&amp;", ")),--('Bảng tin &amp; Chi tiết tin'!$AT$7:$AT$500="Fail"))+SUMPRODUCT(--ISNUMBER(SEARCH(", "&amp;$B11&amp;", ",", "&amp;'Quà cảm ơn'!$B$7:$B$500&amp;", ")),--('Quà cảm ơn'!$AT$7:$AT$500="Fail"))+SUMPRODUCT(--ISNUMBER(SEARCH(", "&amp;$B11&amp;", ",", "&amp;'Trang chủ'!$B$7:$B$500&amp;", ")),--('Trang chủ'!$AT$7:$AT$500="Fail"))+SUMPRODUCT(--ISNUMBER(SEARCH(", "&amp;$B11&amp;", ",", "&amp;'Thông báo'!$B$7:$B$500&amp;", ")),--('Thông báo'!$AT$7:$AT$500="Fail"))+SUMPRODUCT(--ISNUMBER(SEARCH(", "&amp;$B11&amp;", ",", "&amp;'Đăng tin &amp; Quản lý tin'!$B$7:$B$500&amp;", ")),--('Đăng tin &amp; Quản lý tin'!$AT$7:$AT$500="Fail"))+SUMPRODUCT(--ISNUMBER(SEARCH(", "&amp;$B11&amp;", ",", "&amp;'Trust &amp; Safety'!$B$7:$B$500&amp;", ")),--('Trust &amp; Safety'!$AT$7:$AT$500="Fail"))+SUMPRODUCT(--ISNUMBER(SEARCH(", "&amp;$B11&amp;", ",", "&amp;'Tài khoản &amp; Hồ sơ'!$B$7:$B$500&amp;", ")),--('Tài khoản &amp; Hồ sơ'!$AT$7:$AT$500="Fail"))</f>
        <v>0</v>
      </c>
      <c r="I11" s="51" t="n">
        <f aca="false">SUMPRODUCT(--ISNUMBER(SEARCH(", "&amp;$B11&amp;", ",", "&amp;'Hoạt động (Đơn của tôi)'!$B$7:$B$500&amp;", ")),--('Hoạt động (Đơn của tôi)'!$AT$7:$AT$500="Block"))+SUMPRODUCT(--ISNUMBER(SEARCH(", "&amp;$B11&amp;", ",", "&amp;'Ghép nối'!$B$7:$B$500&amp;", ")),--('Ghép nối'!$AT$7:$AT$500="Block"))+SUMPRODUCT(--ISNUMBER(SEARCH(", "&amp;$B11&amp;", ",", "&amp;'Huỷ đơn - Huỷ nhận đơn'!$B$7:$B$500&amp;", ")),--('Huỷ đơn - Huỷ nhận đơn'!$AT$7:$AT$500="Block"))+SUMPRODUCT(--ISNUMBER(SEARCH(", "&amp;$B11&amp;", ",", "&amp;'Giao nhận &amp; Theo dõi đơn'!$B$7:$B$500&amp;", ")),--('Giao nhận &amp; Theo dõi đơn'!$AT$7:$AT$500="Block"))+SUMPRODUCT(--ISNUMBER(SEARCH(", "&amp;$B11&amp;", ",", "&amp;'Bảng tin &amp; Chi tiết tin'!$B$7:$B$500&amp;", ")),--('Bảng tin &amp; Chi tiết tin'!$AT$7:$AT$500="Block"))+SUMPRODUCT(--ISNUMBER(SEARCH(", "&amp;$B11&amp;", ",", "&amp;'Quà cảm ơn'!$B$7:$B$500&amp;", ")),--('Quà cảm ơn'!$AT$7:$AT$500="Block"))+SUMPRODUCT(--ISNUMBER(SEARCH(", "&amp;$B11&amp;", ",", "&amp;'Trang chủ'!$B$7:$B$500&amp;", ")),--('Trang chủ'!$AT$7:$AT$500="Block"))+SUMPRODUCT(--ISNUMBER(SEARCH(", "&amp;$B11&amp;", ",", "&amp;'Thông báo'!$B$7:$B$500&amp;", ")),--('Thông báo'!$AT$7:$AT$500="Block"))+SUMPRODUCT(--ISNUMBER(SEARCH(", "&amp;$B11&amp;", ",", "&amp;'Đăng tin &amp; Quản lý tin'!$B$7:$B$500&amp;", ")),--('Đăng tin &amp; Quản lý tin'!$AT$7:$AT$500="Block"))+SUMPRODUCT(--ISNUMBER(SEARCH(", "&amp;$B11&amp;", ",", "&amp;'Trust &amp; Safety'!$B$7:$B$500&amp;", ")),--('Trust &amp; Safety'!$AT$7:$AT$500="Block"))+SUMPRODUCT(--ISNUMBER(SEARCH(", "&amp;$B11&amp;", ",", "&amp;'Tài khoản &amp; Hồ sơ'!$B$7:$B$500&amp;", ")),--('Tài khoản &amp; Hồ sơ'!$AT$7:$AT$500="Block"))</f>
        <v>0</v>
      </c>
      <c r="J11" s="51" t="n">
        <f aca="false">SUMPRODUCT(--ISNUMBER(SEARCH(", "&amp;$B11&amp;", ",", "&amp;'Hoạt động (Đơn của tôi)'!$B$7:$B$500&amp;", ")),--('Hoạt động (Đơn của tôi)'!$AT$7:$AT$500="N/A"))+SUMPRODUCT(--ISNUMBER(SEARCH(", "&amp;$B11&amp;", ",", "&amp;'Ghép nối'!$B$7:$B$500&amp;", ")),--('Ghép nối'!$AT$7:$AT$500="N/A"))+SUMPRODUCT(--ISNUMBER(SEARCH(", "&amp;$B11&amp;", ",", "&amp;'Huỷ đơn - Huỷ nhận đơn'!$B$7:$B$500&amp;", ")),--('Huỷ đơn - Huỷ nhận đơn'!$AT$7:$AT$500="N/A"))+SUMPRODUCT(--ISNUMBER(SEARCH(", "&amp;$B11&amp;", ",", "&amp;'Giao nhận &amp; Theo dõi đơn'!$B$7:$B$500&amp;", ")),--('Giao nhận &amp; Theo dõi đơn'!$AT$7:$AT$500="N/A"))+SUMPRODUCT(--ISNUMBER(SEARCH(", "&amp;$B11&amp;", ",", "&amp;'Bảng tin &amp; Chi tiết tin'!$B$7:$B$500&amp;", ")),--('Bảng tin &amp; Chi tiết tin'!$AT$7:$AT$500="N/A"))+SUMPRODUCT(--ISNUMBER(SEARCH(", "&amp;$B11&amp;", ",", "&amp;'Quà cảm ơn'!$B$7:$B$500&amp;", ")),--('Quà cảm ơn'!$AT$7:$AT$500="N/A"))+SUMPRODUCT(--ISNUMBER(SEARCH(", "&amp;$B11&amp;", ",", "&amp;'Trang chủ'!$B$7:$B$500&amp;", ")),--('Trang chủ'!$AT$7:$AT$500="N/A"))+SUMPRODUCT(--ISNUMBER(SEARCH(", "&amp;$B11&amp;", ",", "&amp;'Thông báo'!$B$7:$B$500&amp;", ")),--('Thông báo'!$AT$7:$AT$500="N/A"))+SUMPRODUCT(--ISNUMBER(SEARCH(", "&amp;$B11&amp;", ",", "&amp;'Đăng tin &amp; Quản lý tin'!$B$7:$B$500&amp;", ")),--('Đăng tin &amp; Quản lý tin'!$AT$7:$AT$500="N/A"))+SUMPRODUCT(--ISNUMBER(SEARCH(", "&amp;$B11&amp;", ",", "&amp;'Trust &amp; Safety'!$B$7:$B$500&amp;", ")),--('Trust &amp; Safety'!$AT$7:$AT$500="N/A"))+SUMPRODUCT(--ISNUMBER(SEARCH(", "&amp;$B11&amp;", ",", "&amp;'Tài khoản &amp; Hồ sơ'!$B$7:$B$500&amp;", ")),--('Tài khoản &amp; Hồ sơ'!$AT$7:$AT$500="N/A"))</f>
        <v>0</v>
      </c>
      <c r="K11" s="52" t="n">
        <f aca="false">IFERROR(F11/E11,0)</f>
        <v>1</v>
      </c>
      <c r="L11" s="124" t="str">
        <f aca="false">IF(E11=0,"Chưa có TC (gap)",IF(H11&gt;0,"Có lỗi (Fail)",IF(I11&gt;0,"Bị block",IF(F11&lt;E11,"Đang test",IF(G11=0,"Không áp dụng (N/A)","Đã test xong")))))</f>
        <v>Đã test xong</v>
      </c>
      <c r="AB11" s="0" t="s">
        <v>499</v>
      </c>
      <c r="AD11" s="0" t="s">
        <v>519</v>
      </c>
      <c r="AE11" s="0" t="n">
        <f aca="false">SUMIF($AB$6:$AB$77,$AD11,$E$6:$E$77)</f>
        <v>8</v>
      </c>
      <c r="AF11" s="0" t="n">
        <f aca="false">SUMIF($AB$6:$AB$77,$AD11,$F$6:$F$77)</f>
        <v>6</v>
      </c>
    </row>
    <row r="12" customFormat="false" ht="91" hidden="false" customHeight="false" outlineLevel="0" collapsed="false">
      <c r="A12" s="1"/>
      <c r="B12" s="176" t="s">
        <v>520</v>
      </c>
      <c r="C12" s="177" t="s">
        <v>521</v>
      </c>
      <c r="D12" s="124" t="s">
        <v>522</v>
      </c>
      <c r="E12" s="51" t="n">
        <f aca="false">SUMPRODUCT(--ISNUMBER(SEARCH(", "&amp;$B12&amp;", ",", "&amp;'Hoạt động (Đơn của tôi)'!$B$7:$B$500&amp;", ")))+SUMPRODUCT(--ISNUMBER(SEARCH(", "&amp;$B12&amp;", ",", "&amp;'Ghép nối'!$B$7:$B$500&amp;", ")))+SUMPRODUCT(--ISNUMBER(SEARCH(", "&amp;$B12&amp;", ",", "&amp;'Huỷ đơn - Huỷ nhận đơn'!$B$7:$B$500&amp;", ")))+SUMPRODUCT(--ISNUMBER(SEARCH(", "&amp;$B12&amp;", ",", "&amp;'Giao nhận &amp; Theo dõi đơn'!$B$7:$B$500&amp;", ")))+SUMPRODUCT(--ISNUMBER(SEARCH(", "&amp;$B12&amp;", ",", "&amp;'Bảng tin &amp; Chi tiết tin'!$B$7:$B$500&amp;", ")))+SUMPRODUCT(--ISNUMBER(SEARCH(", "&amp;$B12&amp;", ",", "&amp;'Quà cảm ơn'!$B$7:$B$500&amp;", ")))+SUMPRODUCT(--ISNUMBER(SEARCH(", "&amp;$B12&amp;", ",", "&amp;'Trang chủ'!$B$7:$B$500&amp;", ")))+SUMPRODUCT(--ISNUMBER(SEARCH(", "&amp;$B12&amp;", ",", "&amp;'Thông báo'!$B$7:$B$500&amp;", ")))+SUMPRODUCT(--ISNUMBER(SEARCH(", "&amp;$B12&amp;", ",", "&amp;'Đăng tin &amp; Quản lý tin'!$B$7:$B$500&amp;", ")))+SUMPRODUCT(--ISNUMBER(SEARCH(", "&amp;$B12&amp;", ",", "&amp;'Trust &amp; Safety'!$B$7:$B$500&amp;", ")))+SUMPRODUCT(--ISNUMBER(SEARCH(", "&amp;$B12&amp;", ",", "&amp;'Tài khoản &amp; Hồ sơ'!$B$7:$B$500&amp;", ")))</f>
        <v>2</v>
      </c>
      <c r="F12" s="51" t="n">
        <f aca="false">SUMPRODUCT(--ISNUMBER(SEARCH(", "&amp;$B12&amp;", ",", "&amp;'Hoạt động (Đơn của tôi)'!$B$7:$B$500&amp;", ")),--('Hoạt động (Đơn của tôi)'!$AT$7:$AT$500&lt;&gt;""))+SUMPRODUCT(--ISNUMBER(SEARCH(", "&amp;$B12&amp;", ",", "&amp;'Ghép nối'!$B$7:$B$500&amp;", ")),--('Ghép nối'!$AT$7:$AT$500&lt;&gt;""))+SUMPRODUCT(--ISNUMBER(SEARCH(", "&amp;$B12&amp;", ",", "&amp;'Huỷ đơn - Huỷ nhận đơn'!$B$7:$B$500&amp;", ")),--('Huỷ đơn - Huỷ nhận đơn'!$AT$7:$AT$500&lt;&gt;""))+SUMPRODUCT(--ISNUMBER(SEARCH(", "&amp;$B12&amp;", ",", "&amp;'Giao nhận &amp; Theo dõi đơn'!$B$7:$B$500&amp;", ")),--('Giao nhận &amp; Theo dõi đơn'!$AT$7:$AT$500&lt;&gt;""))+SUMPRODUCT(--ISNUMBER(SEARCH(", "&amp;$B12&amp;", ",", "&amp;'Bảng tin &amp; Chi tiết tin'!$B$7:$B$500&amp;", ")),--('Bảng tin &amp; Chi tiết tin'!$AT$7:$AT$500&lt;&gt;""))+SUMPRODUCT(--ISNUMBER(SEARCH(", "&amp;$B12&amp;", ",", "&amp;'Quà cảm ơn'!$B$7:$B$500&amp;", ")),--('Quà cảm ơn'!$AT$7:$AT$500&lt;&gt;""))+SUMPRODUCT(--ISNUMBER(SEARCH(", "&amp;$B12&amp;", ",", "&amp;'Trang chủ'!$B$7:$B$500&amp;", ")),--('Trang chủ'!$AT$7:$AT$500&lt;&gt;""))+SUMPRODUCT(--ISNUMBER(SEARCH(", "&amp;$B12&amp;", ",", "&amp;'Thông báo'!$B$7:$B$500&amp;", ")),--('Thông báo'!$AT$7:$AT$500&lt;&gt;""))+SUMPRODUCT(--ISNUMBER(SEARCH(", "&amp;$B12&amp;", ",", "&amp;'Đăng tin &amp; Quản lý tin'!$B$7:$B$500&amp;", ")),--('Đăng tin &amp; Quản lý tin'!$AT$7:$AT$500&lt;&gt;""))+SUMPRODUCT(--ISNUMBER(SEARCH(", "&amp;$B12&amp;", ",", "&amp;'Trust &amp; Safety'!$B$7:$B$500&amp;", ")),--('Trust &amp; Safety'!$AT$7:$AT$500&lt;&gt;""))+SUMPRODUCT(--ISNUMBER(SEARCH(", "&amp;$B12&amp;", ",", "&amp;'Tài khoản &amp; Hồ sơ'!$B$7:$B$500&amp;", ")),--('Tài khoản &amp; Hồ sơ'!$AT$7:$AT$500&lt;&gt;""))</f>
        <v>2</v>
      </c>
      <c r="G12" s="51" t="n">
        <f aca="false">SUMPRODUCT(--ISNUMBER(SEARCH(", "&amp;$B12&amp;", ",", "&amp;'Hoạt động (Đơn của tôi)'!$B$7:$B$500&amp;", ")),--('Hoạt động (Đơn của tôi)'!$AT$7:$AT$500="Pass"))+SUMPRODUCT(--ISNUMBER(SEARCH(", "&amp;$B12&amp;", ",", "&amp;'Ghép nối'!$B$7:$B$500&amp;", ")),--('Ghép nối'!$AT$7:$AT$500="Pass"))+SUMPRODUCT(--ISNUMBER(SEARCH(", "&amp;$B12&amp;", ",", "&amp;'Huỷ đơn - Huỷ nhận đơn'!$B$7:$B$500&amp;", ")),--('Huỷ đơn - Huỷ nhận đơn'!$AT$7:$AT$500="Pass"))+SUMPRODUCT(--ISNUMBER(SEARCH(", "&amp;$B12&amp;", ",", "&amp;'Giao nhận &amp; Theo dõi đơn'!$B$7:$B$500&amp;", ")),--('Giao nhận &amp; Theo dõi đơn'!$AT$7:$AT$500="Pass"))+SUMPRODUCT(--ISNUMBER(SEARCH(", "&amp;$B12&amp;", ",", "&amp;'Bảng tin &amp; Chi tiết tin'!$B$7:$B$500&amp;", ")),--('Bảng tin &amp; Chi tiết tin'!$AT$7:$AT$500="Pass"))+SUMPRODUCT(--ISNUMBER(SEARCH(", "&amp;$B12&amp;", ",", "&amp;'Quà cảm ơn'!$B$7:$B$500&amp;", ")),--('Quà cảm ơn'!$AT$7:$AT$500="Pass"))+SUMPRODUCT(--ISNUMBER(SEARCH(", "&amp;$B12&amp;", ",", "&amp;'Trang chủ'!$B$7:$B$500&amp;", ")),--('Trang chủ'!$AT$7:$AT$500="Pass"))+SUMPRODUCT(--ISNUMBER(SEARCH(", "&amp;$B12&amp;", ",", "&amp;'Thông báo'!$B$7:$B$500&amp;", ")),--('Thông báo'!$AT$7:$AT$500="Pass"))+SUMPRODUCT(--ISNUMBER(SEARCH(", "&amp;$B12&amp;", ",", "&amp;'Đăng tin &amp; Quản lý tin'!$B$7:$B$500&amp;", ")),--('Đăng tin &amp; Quản lý tin'!$AT$7:$AT$500="Pass"))+SUMPRODUCT(--ISNUMBER(SEARCH(", "&amp;$B12&amp;", ",", "&amp;'Trust &amp; Safety'!$B$7:$B$500&amp;", ")),--('Trust &amp; Safety'!$AT$7:$AT$500="Pass"))+SUMPRODUCT(--ISNUMBER(SEARCH(", "&amp;$B12&amp;", ",", "&amp;'Tài khoản &amp; Hồ sơ'!$B$7:$B$500&amp;", ")),--('Tài khoản &amp; Hồ sơ'!$AT$7:$AT$500="Pass"))</f>
        <v>1</v>
      </c>
      <c r="H12" s="51" t="n">
        <f aca="false">SUMPRODUCT(--ISNUMBER(SEARCH(", "&amp;$B12&amp;", ",", "&amp;'Hoạt động (Đơn của tôi)'!$B$7:$B$500&amp;", ")),--('Hoạt động (Đơn của tôi)'!$AT$7:$AT$500="Fail"))+SUMPRODUCT(--ISNUMBER(SEARCH(", "&amp;$B12&amp;", ",", "&amp;'Ghép nối'!$B$7:$B$500&amp;", ")),--('Ghép nối'!$AT$7:$AT$500="Fail"))+SUMPRODUCT(--ISNUMBER(SEARCH(", "&amp;$B12&amp;", ",", "&amp;'Huỷ đơn - Huỷ nhận đơn'!$B$7:$B$500&amp;", ")),--('Huỷ đơn - Huỷ nhận đơn'!$AT$7:$AT$500="Fail"))+SUMPRODUCT(--ISNUMBER(SEARCH(", "&amp;$B12&amp;", ",", "&amp;'Giao nhận &amp; Theo dõi đơn'!$B$7:$B$500&amp;", ")),--('Giao nhận &amp; Theo dõi đơn'!$AT$7:$AT$500="Fail"))+SUMPRODUCT(--ISNUMBER(SEARCH(", "&amp;$B12&amp;", ",", "&amp;'Bảng tin &amp; Chi tiết tin'!$B$7:$B$500&amp;", ")),--('Bảng tin &amp; Chi tiết tin'!$AT$7:$AT$500="Fail"))+SUMPRODUCT(--ISNUMBER(SEARCH(", "&amp;$B12&amp;", ",", "&amp;'Quà cảm ơn'!$B$7:$B$500&amp;", ")),--('Quà cảm ơn'!$AT$7:$AT$500="Fail"))+SUMPRODUCT(--ISNUMBER(SEARCH(", "&amp;$B12&amp;", ",", "&amp;'Trang chủ'!$B$7:$B$500&amp;", ")),--('Trang chủ'!$AT$7:$AT$500="Fail"))+SUMPRODUCT(--ISNUMBER(SEARCH(", "&amp;$B12&amp;", ",", "&amp;'Thông báo'!$B$7:$B$500&amp;", ")),--('Thông báo'!$AT$7:$AT$500="Fail"))+SUMPRODUCT(--ISNUMBER(SEARCH(", "&amp;$B12&amp;", ",", "&amp;'Đăng tin &amp; Quản lý tin'!$B$7:$B$500&amp;", ")),--('Đăng tin &amp; Quản lý tin'!$AT$7:$AT$500="Fail"))+SUMPRODUCT(--ISNUMBER(SEARCH(", "&amp;$B12&amp;", ",", "&amp;'Trust &amp; Safety'!$B$7:$B$500&amp;", ")),--('Trust &amp; Safety'!$AT$7:$AT$500="Fail"))+SUMPRODUCT(--ISNUMBER(SEARCH(", "&amp;$B12&amp;", ",", "&amp;'Tài khoản &amp; Hồ sơ'!$B$7:$B$500&amp;", ")),--('Tài khoản &amp; Hồ sơ'!$AT$7:$AT$500="Fail"))</f>
        <v>0</v>
      </c>
      <c r="I12" s="51" t="n">
        <f aca="false">SUMPRODUCT(--ISNUMBER(SEARCH(", "&amp;$B12&amp;", ",", "&amp;'Hoạt động (Đơn của tôi)'!$B$7:$B$500&amp;", ")),--('Hoạt động (Đơn của tôi)'!$AT$7:$AT$500="Block"))+SUMPRODUCT(--ISNUMBER(SEARCH(", "&amp;$B12&amp;", ",", "&amp;'Ghép nối'!$B$7:$B$500&amp;", ")),--('Ghép nối'!$AT$7:$AT$500="Block"))+SUMPRODUCT(--ISNUMBER(SEARCH(", "&amp;$B12&amp;", ",", "&amp;'Huỷ đơn - Huỷ nhận đơn'!$B$7:$B$500&amp;", ")),--('Huỷ đơn - Huỷ nhận đơn'!$AT$7:$AT$500="Block"))+SUMPRODUCT(--ISNUMBER(SEARCH(", "&amp;$B12&amp;", ",", "&amp;'Giao nhận &amp; Theo dõi đơn'!$B$7:$B$500&amp;", ")),--('Giao nhận &amp; Theo dõi đơn'!$AT$7:$AT$500="Block"))+SUMPRODUCT(--ISNUMBER(SEARCH(", "&amp;$B12&amp;", ",", "&amp;'Bảng tin &amp; Chi tiết tin'!$B$7:$B$500&amp;", ")),--('Bảng tin &amp; Chi tiết tin'!$AT$7:$AT$500="Block"))+SUMPRODUCT(--ISNUMBER(SEARCH(", "&amp;$B12&amp;", ",", "&amp;'Quà cảm ơn'!$B$7:$B$500&amp;", ")),--('Quà cảm ơn'!$AT$7:$AT$500="Block"))+SUMPRODUCT(--ISNUMBER(SEARCH(", "&amp;$B12&amp;", ",", "&amp;'Trang chủ'!$B$7:$B$500&amp;", ")),--('Trang chủ'!$AT$7:$AT$500="Block"))+SUMPRODUCT(--ISNUMBER(SEARCH(", "&amp;$B12&amp;", ",", "&amp;'Thông báo'!$B$7:$B$500&amp;", ")),--('Thông báo'!$AT$7:$AT$500="Block"))+SUMPRODUCT(--ISNUMBER(SEARCH(", "&amp;$B12&amp;", ",", "&amp;'Đăng tin &amp; Quản lý tin'!$B$7:$B$500&amp;", ")),--('Đăng tin &amp; Quản lý tin'!$AT$7:$AT$500="Block"))+SUMPRODUCT(--ISNUMBER(SEARCH(", "&amp;$B12&amp;", ",", "&amp;'Trust &amp; Safety'!$B$7:$B$500&amp;", ")),--('Trust &amp; Safety'!$AT$7:$AT$500="Block"))+SUMPRODUCT(--ISNUMBER(SEARCH(", "&amp;$B12&amp;", ",", "&amp;'Tài khoản &amp; Hồ sơ'!$B$7:$B$500&amp;", ")),--('Tài khoản &amp; Hồ sơ'!$AT$7:$AT$500="Block"))</f>
        <v>1</v>
      </c>
      <c r="J12" s="51" t="n">
        <f aca="false">SUMPRODUCT(--ISNUMBER(SEARCH(", "&amp;$B12&amp;", ",", "&amp;'Hoạt động (Đơn của tôi)'!$B$7:$B$500&amp;", ")),--('Hoạt động (Đơn của tôi)'!$AT$7:$AT$500="N/A"))+SUMPRODUCT(--ISNUMBER(SEARCH(", "&amp;$B12&amp;", ",", "&amp;'Ghép nối'!$B$7:$B$500&amp;", ")),--('Ghép nối'!$AT$7:$AT$500="N/A"))+SUMPRODUCT(--ISNUMBER(SEARCH(", "&amp;$B12&amp;", ",", "&amp;'Huỷ đơn - Huỷ nhận đơn'!$B$7:$B$500&amp;", ")),--('Huỷ đơn - Huỷ nhận đơn'!$AT$7:$AT$500="N/A"))+SUMPRODUCT(--ISNUMBER(SEARCH(", "&amp;$B12&amp;", ",", "&amp;'Giao nhận &amp; Theo dõi đơn'!$B$7:$B$500&amp;", ")),--('Giao nhận &amp; Theo dõi đơn'!$AT$7:$AT$500="N/A"))+SUMPRODUCT(--ISNUMBER(SEARCH(", "&amp;$B12&amp;", ",", "&amp;'Bảng tin &amp; Chi tiết tin'!$B$7:$B$500&amp;", ")),--('Bảng tin &amp; Chi tiết tin'!$AT$7:$AT$500="N/A"))+SUMPRODUCT(--ISNUMBER(SEARCH(", "&amp;$B12&amp;", ",", "&amp;'Quà cảm ơn'!$B$7:$B$500&amp;", ")),--('Quà cảm ơn'!$AT$7:$AT$500="N/A"))+SUMPRODUCT(--ISNUMBER(SEARCH(", "&amp;$B12&amp;", ",", "&amp;'Trang chủ'!$B$7:$B$500&amp;", ")),--('Trang chủ'!$AT$7:$AT$500="N/A"))+SUMPRODUCT(--ISNUMBER(SEARCH(", "&amp;$B12&amp;", ",", "&amp;'Thông báo'!$B$7:$B$500&amp;", ")),--('Thông báo'!$AT$7:$AT$500="N/A"))+SUMPRODUCT(--ISNUMBER(SEARCH(", "&amp;$B12&amp;", ",", "&amp;'Đăng tin &amp; Quản lý tin'!$B$7:$B$500&amp;", ")),--('Đăng tin &amp; Quản lý tin'!$AT$7:$AT$500="N/A"))+SUMPRODUCT(--ISNUMBER(SEARCH(", "&amp;$B12&amp;", ",", "&amp;'Trust &amp; Safety'!$B$7:$B$500&amp;", ")),--('Trust &amp; Safety'!$AT$7:$AT$500="N/A"))+SUMPRODUCT(--ISNUMBER(SEARCH(", "&amp;$B12&amp;", ",", "&amp;'Tài khoản &amp; Hồ sơ'!$B$7:$B$500&amp;", ")),--('Tài khoản &amp; Hồ sơ'!$AT$7:$AT$500="N/A"))</f>
        <v>0</v>
      </c>
      <c r="K12" s="52" t="n">
        <f aca="false">IFERROR(F12/E12,0)</f>
        <v>1</v>
      </c>
      <c r="L12" s="124" t="str">
        <f aca="false">IF(E12=0,"Chưa có TC (gap)",IF(H12&gt;0,"Có lỗi (Fail)",IF(I12&gt;0,"Bị block",IF(F12&lt;E12,"Đang test",IF(G12=0,"Không áp dụng (N/A)","Đã test xong")))))</f>
        <v>Bị block</v>
      </c>
      <c r="AB12" s="0" t="s">
        <v>503</v>
      </c>
      <c r="AD12" s="0" t="s">
        <v>523</v>
      </c>
      <c r="AE12" s="0" t="n">
        <f aca="false">SUMIF($AB$6:$AB$77,$AD12,$E$6:$E$77)</f>
        <v>12</v>
      </c>
      <c r="AF12" s="0" t="n">
        <f aca="false">SUMIF($AB$6:$AB$77,$AD12,$F$6:$F$77)</f>
        <v>8</v>
      </c>
    </row>
    <row r="13" customFormat="false" ht="35.05" hidden="false" customHeight="false" outlineLevel="0" collapsed="false">
      <c r="A13" s="1"/>
      <c r="B13" s="176" t="s">
        <v>524</v>
      </c>
      <c r="C13" s="177" t="s">
        <v>525</v>
      </c>
      <c r="D13" s="124" t="s">
        <v>526</v>
      </c>
      <c r="E13" s="51" t="n">
        <f aca="false">SUMPRODUCT(--ISNUMBER(SEARCH(", "&amp;$B13&amp;", ",", "&amp;'Hoạt động (Đơn của tôi)'!$B$7:$B$500&amp;", ")))+SUMPRODUCT(--ISNUMBER(SEARCH(", "&amp;$B13&amp;", ",", "&amp;'Ghép nối'!$B$7:$B$500&amp;", ")))+SUMPRODUCT(--ISNUMBER(SEARCH(", "&amp;$B13&amp;", ",", "&amp;'Huỷ đơn - Huỷ nhận đơn'!$B$7:$B$500&amp;", ")))+SUMPRODUCT(--ISNUMBER(SEARCH(", "&amp;$B13&amp;", ",", "&amp;'Giao nhận &amp; Theo dõi đơn'!$B$7:$B$500&amp;", ")))+SUMPRODUCT(--ISNUMBER(SEARCH(", "&amp;$B13&amp;", ",", "&amp;'Bảng tin &amp; Chi tiết tin'!$B$7:$B$500&amp;", ")))+SUMPRODUCT(--ISNUMBER(SEARCH(", "&amp;$B13&amp;", ",", "&amp;'Quà cảm ơn'!$B$7:$B$500&amp;", ")))+SUMPRODUCT(--ISNUMBER(SEARCH(", "&amp;$B13&amp;", ",", "&amp;'Trang chủ'!$B$7:$B$500&amp;", ")))+SUMPRODUCT(--ISNUMBER(SEARCH(", "&amp;$B13&amp;", ",", "&amp;'Thông báo'!$B$7:$B$500&amp;", ")))+SUMPRODUCT(--ISNUMBER(SEARCH(", "&amp;$B13&amp;", ",", "&amp;'Đăng tin &amp; Quản lý tin'!$B$7:$B$500&amp;", ")))+SUMPRODUCT(--ISNUMBER(SEARCH(", "&amp;$B13&amp;", ",", "&amp;'Trust &amp; Safety'!$B$7:$B$500&amp;", ")))+SUMPRODUCT(--ISNUMBER(SEARCH(", "&amp;$B13&amp;", ",", "&amp;'Tài khoản &amp; Hồ sơ'!$B$7:$B$500&amp;", ")))</f>
        <v>1</v>
      </c>
      <c r="F13" s="51" t="n">
        <f aca="false">SUMPRODUCT(--ISNUMBER(SEARCH(", "&amp;$B13&amp;", ",", "&amp;'Hoạt động (Đơn của tôi)'!$B$7:$B$500&amp;", ")),--('Hoạt động (Đơn của tôi)'!$AT$7:$AT$500&lt;&gt;""))+SUMPRODUCT(--ISNUMBER(SEARCH(", "&amp;$B13&amp;", ",", "&amp;'Ghép nối'!$B$7:$B$500&amp;", ")),--('Ghép nối'!$AT$7:$AT$500&lt;&gt;""))+SUMPRODUCT(--ISNUMBER(SEARCH(", "&amp;$B13&amp;", ",", "&amp;'Huỷ đơn - Huỷ nhận đơn'!$B$7:$B$500&amp;", ")),--('Huỷ đơn - Huỷ nhận đơn'!$AT$7:$AT$500&lt;&gt;""))+SUMPRODUCT(--ISNUMBER(SEARCH(", "&amp;$B13&amp;", ",", "&amp;'Giao nhận &amp; Theo dõi đơn'!$B$7:$B$500&amp;", ")),--('Giao nhận &amp; Theo dõi đơn'!$AT$7:$AT$500&lt;&gt;""))+SUMPRODUCT(--ISNUMBER(SEARCH(", "&amp;$B13&amp;", ",", "&amp;'Bảng tin &amp; Chi tiết tin'!$B$7:$B$500&amp;", ")),--('Bảng tin &amp; Chi tiết tin'!$AT$7:$AT$500&lt;&gt;""))+SUMPRODUCT(--ISNUMBER(SEARCH(", "&amp;$B13&amp;", ",", "&amp;'Quà cảm ơn'!$B$7:$B$500&amp;", ")),--('Quà cảm ơn'!$AT$7:$AT$500&lt;&gt;""))+SUMPRODUCT(--ISNUMBER(SEARCH(", "&amp;$B13&amp;", ",", "&amp;'Trang chủ'!$B$7:$B$500&amp;", ")),--('Trang chủ'!$AT$7:$AT$500&lt;&gt;""))+SUMPRODUCT(--ISNUMBER(SEARCH(", "&amp;$B13&amp;", ",", "&amp;'Thông báo'!$B$7:$B$500&amp;", ")),--('Thông báo'!$AT$7:$AT$500&lt;&gt;""))+SUMPRODUCT(--ISNUMBER(SEARCH(", "&amp;$B13&amp;", ",", "&amp;'Đăng tin &amp; Quản lý tin'!$B$7:$B$500&amp;", ")),--('Đăng tin &amp; Quản lý tin'!$AT$7:$AT$500&lt;&gt;""))+SUMPRODUCT(--ISNUMBER(SEARCH(", "&amp;$B13&amp;", ",", "&amp;'Trust &amp; Safety'!$B$7:$B$500&amp;", ")),--('Trust &amp; Safety'!$AT$7:$AT$500&lt;&gt;""))+SUMPRODUCT(--ISNUMBER(SEARCH(", "&amp;$B13&amp;", ",", "&amp;'Tài khoản &amp; Hồ sơ'!$B$7:$B$500&amp;", ")),--('Tài khoản &amp; Hồ sơ'!$AT$7:$AT$500&lt;&gt;""))</f>
        <v>1</v>
      </c>
      <c r="G13" s="51" t="n">
        <f aca="false">SUMPRODUCT(--ISNUMBER(SEARCH(", "&amp;$B13&amp;", ",", "&amp;'Hoạt động (Đơn của tôi)'!$B$7:$B$500&amp;", ")),--('Hoạt động (Đơn của tôi)'!$AT$7:$AT$500="Pass"))+SUMPRODUCT(--ISNUMBER(SEARCH(", "&amp;$B13&amp;", ",", "&amp;'Ghép nối'!$B$7:$B$500&amp;", ")),--('Ghép nối'!$AT$7:$AT$500="Pass"))+SUMPRODUCT(--ISNUMBER(SEARCH(", "&amp;$B13&amp;", ",", "&amp;'Huỷ đơn - Huỷ nhận đơn'!$B$7:$B$500&amp;", ")),--('Huỷ đơn - Huỷ nhận đơn'!$AT$7:$AT$500="Pass"))+SUMPRODUCT(--ISNUMBER(SEARCH(", "&amp;$B13&amp;", ",", "&amp;'Giao nhận &amp; Theo dõi đơn'!$B$7:$B$500&amp;", ")),--('Giao nhận &amp; Theo dõi đơn'!$AT$7:$AT$500="Pass"))+SUMPRODUCT(--ISNUMBER(SEARCH(", "&amp;$B13&amp;", ",", "&amp;'Bảng tin &amp; Chi tiết tin'!$B$7:$B$500&amp;", ")),--('Bảng tin &amp; Chi tiết tin'!$AT$7:$AT$500="Pass"))+SUMPRODUCT(--ISNUMBER(SEARCH(", "&amp;$B13&amp;", ",", "&amp;'Quà cảm ơn'!$B$7:$B$500&amp;", ")),--('Quà cảm ơn'!$AT$7:$AT$500="Pass"))+SUMPRODUCT(--ISNUMBER(SEARCH(", "&amp;$B13&amp;", ",", "&amp;'Trang chủ'!$B$7:$B$500&amp;", ")),--('Trang chủ'!$AT$7:$AT$500="Pass"))+SUMPRODUCT(--ISNUMBER(SEARCH(", "&amp;$B13&amp;", ",", "&amp;'Thông báo'!$B$7:$B$500&amp;", ")),--('Thông báo'!$AT$7:$AT$500="Pass"))+SUMPRODUCT(--ISNUMBER(SEARCH(", "&amp;$B13&amp;", ",", "&amp;'Đăng tin &amp; Quản lý tin'!$B$7:$B$500&amp;", ")),--('Đăng tin &amp; Quản lý tin'!$AT$7:$AT$500="Pass"))+SUMPRODUCT(--ISNUMBER(SEARCH(", "&amp;$B13&amp;", ",", "&amp;'Trust &amp; Safety'!$B$7:$B$500&amp;", ")),--('Trust &amp; Safety'!$AT$7:$AT$500="Pass"))+SUMPRODUCT(--ISNUMBER(SEARCH(", "&amp;$B13&amp;", ",", "&amp;'Tài khoản &amp; Hồ sơ'!$B$7:$B$500&amp;", ")),--('Tài khoản &amp; Hồ sơ'!$AT$7:$AT$500="Pass"))</f>
        <v>0</v>
      </c>
      <c r="H13" s="51" t="n">
        <f aca="false">SUMPRODUCT(--ISNUMBER(SEARCH(", "&amp;$B13&amp;", ",", "&amp;'Hoạt động (Đơn của tôi)'!$B$7:$B$500&amp;", ")),--('Hoạt động (Đơn của tôi)'!$AT$7:$AT$500="Fail"))+SUMPRODUCT(--ISNUMBER(SEARCH(", "&amp;$B13&amp;", ",", "&amp;'Ghép nối'!$B$7:$B$500&amp;", ")),--('Ghép nối'!$AT$7:$AT$500="Fail"))+SUMPRODUCT(--ISNUMBER(SEARCH(", "&amp;$B13&amp;", ",", "&amp;'Huỷ đơn - Huỷ nhận đơn'!$B$7:$B$500&amp;", ")),--('Huỷ đơn - Huỷ nhận đơn'!$AT$7:$AT$500="Fail"))+SUMPRODUCT(--ISNUMBER(SEARCH(", "&amp;$B13&amp;", ",", "&amp;'Giao nhận &amp; Theo dõi đơn'!$B$7:$B$500&amp;", ")),--('Giao nhận &amp; Theo dõi đơn'!$AT$7:$AT$500="Fail"))+SUMPRODUCT(--ISNUMBER(SEARCH(", "&amp;$B13&amp;", ",", "&amp;'Bảng tin &amp; Chi tiết tin'!$B$7:$B$500&amp;", ")),--('Bảng tin &amp; Chi tiết tin'!$AT$7:$AT$500="Fail"))+SUMPRODUCT(--ISNUMBER(SEARCH(", "&amp;$B13&amp;", ",", "&amp;'Quà cảm ơn'!$B$7:$B$500&amp;", ")),--('Quà cảm ơn'!$AT$7:$AT$500="Fail"))+SUMPRODUCT(--ISNUMBER(SEARCH(", "&amp;$B13&amp;", ",", "&amp;'Trang chủ'!$B$7:$B$500&amp;", ")),--('Trang chủ'!$AT$7:$AT$500="Fail"))+SUMPRODUCT(--ISNUMBER(SEARCH(", "&amp;$B13&amp;", ",", "&amp;'Thông báo'!$B$7:$B$500&amp;", ")),--('Thông báo'!$AT$7:$AT$500="Fail"))+SUMPRODUCT(--ISNUMBER(SEARCH(", "&amp;$B13&amp;", ",", "&amp;'Đăng tin &amp; Quản lý tin'!$B$7:$B$500&amp;", ")),--('Đăng tin &amp; Quản lý tin'!$AT$7:$AT$500="Fail"))+SUMPRODUCT(--ISNUMBER(SEARCH(", "&amp;$B13&amp;", ",", "&amp;'Trust &amp; Safety'!$B$7:$B$500&amp;", ")),--('Trust &amp; Safety'!$AT$7:$AT$500="Fail"))+SUMPRODUCT(--ISNUMBER(SEARCH(", "&amp;$B13&amp;", ",", "&amp;'Tài khoản &amp; Hồ sơ'!$B$7:$B$500&amp;", ")),--('Tài khoản &amp; Hồ sơ'!$AT$7:$AT$500="Fail"))</f>
        <v>0</v>
      </c>
      <c r="I13" s="51" t="n">
        <f aca="false">SUMPRODUCT(--ISNUMBER(SEARCH(", "&amp;$B13&amp;", ",", "&amp;'Hoạt động (Đơn của tôi)'!$B$7:$B$500&amp;", ")),--('Hoạt động (Đơn của tôi)'!$AT$7:$AT$500="Block"))+SUMPRODUCT(--ISNUMBER(SEARCH(", "&amp;$B13&amp;", ",", "&amp;'Ghép nối'!$B$7:$B$500&amp;", ")),--('Ghép nối'!$AT$7:$AT$500="Block"))+SUMPRODUCT(--ISNUMBER(SEARCH(", "&amp;$B13&amp;", ",", "&amp;'Huỷ đơn - Huỷ nhận đơn'!$B$7:$B$500&amp;", ")),--('Huỷ đơn - Huỷ nhận đơn'!$AT$7:$AT$500="Block"))+SUMPRODUCT(--ISNUMBER(SEARCH(", "&amp;$B13&amp;", ",", "&amp;'Giao nhận &amp; Theo dõi đơn'!$B$7:$B$500&amp;", ")),--('Giao nhận &amp; Theo dõi đơn'!$AT$7:$AT$500="Block"))+SUMPRODUCT(--ISNUMBER(SEARCH(", "&amp;$B13&amp;", ",", "&amp;'Bảng tin &amp; Chi tiết tin'!$B$7:$B$500&amp;", ")),--('Bảng tin &amp; Chi tiết tin'!$AT$7:$AT$500="Block"))+SUMPRODUCT(--ISNUMBER(SEARCH(", "&amp;$B13&amp;", ",", "&amp;'Quà cảm ơn'!$B$7:$B$500&amp;", ")),--('Quà cảm ơn'!$AT$7:$AT$500="Block"))+SUMPRODUCT(--ISNUMBER(SEARCH(", "&amp;$B13&amp;", ",", "&amp;'Trang chủ'!$B$7:$B$500&amp;", ")),--('Trang chủ'!$AT$7:$AT$500="Block"))+SUMPRODUCT(--ISNUMBER(SEARCH(", "&amp;$B13&amp;", ",", "&amp;'Thông báo'!$B$7:$B$500&amp;", ")),--('Thông báo'!$AT$7:$AT$500="Block"))+SUMPRODUCT(--ISNUMBER(SEARCH(", "&amp;$B13&amp;", ",", "&amp;'Đăng tin &amp; Quản lý tin'!$B$7:$B$500&amp;", ")),--('Đăng tin &amp; Quản lý tin'!$AT$7:$AT$500="Block"))+SUMPRODUCT(--ISNUMBER(SEARCH(", "&amp;$B13&amp;", ",", "&amp;'Trust &amp; Safety'!$B$7:$B$500&amp;", ")),--('Trust &amp; Safety'!$AT$7:$AT$500="Block"))+SUMPRODUCT(--ISNUMBER(SEARCH(", "&amp;$B13&amp;", ",", "&amp;'Tài khoản &amp; Hồ sơ'!$B$7:$B$500&amp;", ")),--('Tài khoản &amp; Hồ sơ'!$AT$7:$AT$500="Block"))</f>
        <v>1</v>
      </c>
      <c r="J13" s="51" t="n">
        <f aca="false">SUMPRODUCT(--ISNUMBER(SEARCH(", "&amp;$B13&amp;", ",", "&amp;'Hoạt động (Đơn của tôi)'!$B$7:$B$500&amp;", ")),--('Hoạt động (Đơn của tôi)'!$AT$7:$AT$500="N/A"))+SUMPRODUCT(--ISNUMBER(SEARCH(", "&amp;$B13&amp;", ",", "&amp;'Ghép nối'!$B$7:$B$500&amp;", ")),--('Ghép nối'!$AT$7:$AT$500="N/A"))+SUMPRODUCT(--ISNUMBER(SEARCH(", "&amp;$B13&amp;", ",", "&amp;'Huỷ đơn - Huỷ nhận đơn'!$B$7:$B$500&amp;", ")),--('Huỷ đơn - Huỷ nhận đơn'!$AT$7:$AT$500="N/A"))+SUMPRODUCT(--ISNUMBER(SEARCH(", "&amp;$B13&amp;", ",", "&amp;'Giao nhận &amp; Theo dõi đơn'!$B$7:$B$500&amp;", ")),--('Giao nhận &amp; Theo dõi đơn'!$AT$7:$AT$500="N/A"))+SUMPRODUCT(--ISNUMBER(SEARCH(", "&amp;$B13&amp;", ",", "&amp;'Bảng tin &amp; Chi tiết tin'!$B$7:$B$500&amp;", ")),--('Bảng tin &amp; Chi tiết tin'!$AT$7:$AT$500="N/A"))+SUMPRODUCT(--ISNUMBER(SEARCH(", "&amp;$B13&amp;", ",", "&amp;'Quà cảm ơn'!$B$7:$B$500&amp;", ")),--('Quà cảm ơn'!$AT$7:$AT$500="N/A"))+SUMPRODUCT(--ISNUMBER(SEARCH(", "&amp;$B13&amp;", ",", "&amp;'Trang chủ'!$B$7:$B$500&amp;", ")),--('Trang chủ'!$AT$7:$AT$500="N/A"))+SUMPRODUCT(--ISNUMBER(SEARCH(", "&amp;$B13&amp;", ",", "&amp;'Thông báo'!$B$7:$B$500&amp;", ")),--('Thông báo'!$AT$7:$AT$500="N/A"))+SUMPRODUCT(--ISNUMBER(SEARCH(", "&amp;$B13&amp;", ",", "&amp;'Đăng tin &amp; Quản lý tin'!$B$7:$B$500&amp;", ")),--('Đăng tin &amp; Quản lý tin'!$AT$7:$AT$500="N/A"))+SUMPRODUCT(--ISNUMBER(SEARCH(", "&amp;$B13&amp;", ",", "&amp;'Trust &amp; Safety'!$B$7:$B$500&amp;", ")),--('Trust &amp; Safety'!$AT$7:$AT$500="N/A"))+SUMPRODUCT(--ISNUMBER(SEARCH(", "&amp;$B13&amp;", ",", "&amp;'Tài khoản &amp; Hồ sơ'!$B$7:$B$500&amp;", ")),--('Tài khoản &amp; Hồ sơ'!$AT$7:$AT$500="N/A"))</f>
        <v>0</v>
      </c>
      <c r="K13" s="52" t="n">
        <f aca="false">IFERROR(F13/E13,0)</f>
        <v>1</v>
      </c>
      <c r="L13" s="124" t="str">
        <f aca="false">IF(E13=0,"Chưa có TC (gap)",IF(H13&gt;0,"Có lỗi (Fail)",IF(I13&gt;0,"Bị block",IF(F13&lt;E13,"Đang test",IF(G13=0,"Không áp dụng (N/A)","Đã test xong")))))</f>
        <v>Bị block</v>
      </c>
      <c r="AB13" s="0" t="s">
        <v>503</v>
      </c>
      <c r="AD13" s="0" t="s">
        <v>527</v>
      </c>
      <c r="AE13" s="0" t="n">
        <f aca="false">SUMIF($AB$6:$AB$77,$AD13,$E$6:$E$77)</f>
        <v>9</v>
      </c>
      <c r="AF13" s="0" t="n">
        <f aca="false">SUMIF($AB$6:$AB$77,$AD13,$F$6:$F$77)</f>
        <v>0</v>
      </c>
    </row>
    <row r="14" customFormat="false" ht="79.85" hidden="false" customHeight="false" outlineLevel="0" collapsed="false">
      <c r="A14" s="1"/>
      <c r="B14" s="176" t="s">
        <v>528</v>
      </c>
      <c r="C14" s="177" t="s">
        <v>529</v>
      </c>
      <c r="D14" s="124" t="s">
        <v>530</v>
      </c>
      <c r="E14" s="51" t="n">
        <f aca="false">SUMPRODUCT(--ISNUMBER(SEARCH(", "&amp;$B14&amp;", ",", "&amp;'Hoạt động (Đơn của tôi)'!$B$7:$B$500&amp;", ")))+SUMPRODUCT(--ISNUMBER(SEARCH(", "&amp;$B14&amp;", ",", "&amp;'Ghép nối'!$B$7:$B$500&amp;", ")))+SUMPRODUCT(--ISNUMBER(SEARCH(", "&amp;$B14&amp;", ",", "&amp;'Huỷ đơn - Huỷ nhận đơn'!$B$7:$B$500&amp;", ")))+SUMPRODUCT(--ISNUMBER(SEARCH(", "&amp;$B14&amp;", ",", "&amp;'Giao nhận &amp; Theo dõi đơn'!$B$7:$B$500&amp;", ")))+SUMPRODUCT(--ISNUMBER(SEARCH(", "&amp;$B14&amp;", ",", "&amp;'Bảng tin &amp; Chi tiết tin'!$B$7:$B$500&amp;", ")))+SUMPRODUCT(--ISNUMBER(SEARCH(", "&amp;$B14&amp;", ",", "&amp;'Quà cảm ơn'!$B$7:$B$500&amp;", ")))+SUMPRODUCT(--ISNUMBER(SEARCH(", "&amp;$B14&amp;", ",", "&amp;'Trang chủ'!$B$7:$B$500&amp;", ")))+SUMPRODUCT(--ISNUMBER(SEARCH(", "&amp;$B14&amp;", ",", "&amp;'Thông báo'!$B$7:$B$500&amp;", ")))+SUMPRODUCT(--ISNUMBER(SEARCH(", "&amp;$B14&amp;", ",", "&amp;'Đăng tin &amp; Quản lý tin'!$B$7:$B$500&amp;", ")))+SUMPRODUCT(--ISNUMBER(SEARCH(", "&amp;$B14&amp;", ",", "&amp;'Trust &amp; Safety'!$B$7:$B$500&amp;", ")))+SUMPRODUCT(--ISNUMBER(SEARCH(", "&amp;$B14&amp;", ",", "&amp;'Tài khoản &amp; Hồ sơ'!$B$7:$B$500&amp;", ")))</f>
        <v>4</v>
      </c>
      <c r="F14" s="51" t="n">
        <f aca="false">SUMPRODUCT(--ISNUMBER(SEARCH(", "&amp;$B14&amp;", ",", "&amp;'Hoạt động (Đơn của tôi)'!$B$7:$B$500&amp;", ")),--('Hoạt động (Đơn của tôi)'!$AT$7:$AT$500&lt;&gt;""))+SUMPRODUCT(--ISNUMBER(SEARCH(", "&amp;$B14&amp;", ",", "&amp;'Ghép nối'!$B$7:$B$500&amp;", ")),--('Ghép nối'!$AT$7:$AT$500&lt;&gt;""))+SUMPRODUCT(--ISNUMBER(SEARCH(", "&amp;$B14&amp;", ",", "&amp;'Huỷ đơn - Huỷ nhận đơn'!$B$7:$B$500&amp;", ")),--('Huỷ đơn - Huỷ nhận đơn'!$AT$7:$AT$500&lt;&gt;""))+SUMPRODUCT(--ISNUMBER(SEARCH(", "&amp;$B14&amp;", ",", "&amp;'Giao nhận &amp; Theo dõi đơn'!$B$7:$B$500&amp;", ")),--('Giao nhận &amp; Theo dõi đơn'!$AT$7:$AT$500&lt;&gt;""))+SUMPRODUCT(--ISNUMBER(SEARCH(", "&amp;$B14&amp;", ",", "&amp;'Bảng tin &amp; Chi tiết tin'!$B$7:$B$500&amp;", ")),--('Bảng tin &amp; Chi tiết tin'!$AT$7:$AT$500&lt;&gt;""))+SUMPRODUCT(--ISNUMBER(SEARCH(", "&amp;$B14&amp;", ",", "&amp;'Quà cảm ơn'!$B$7:$B$500&amp;", ")),--('Quà cảm ơn'!$AT$7:$AT$500&lt;&gt;""))+SUMPRODUCT(--ISNUMBER(SEARCH(", "&amp;$B14&amp;", ",", "&amp;'Trang chủ'!$B$7:$B$500&amp;", ")),--('Trang chủ'!$AT$7:$AT$500&lt;&gt;""))+SUMPRODUCT(--ISNUMBER(SEARCH(", "&amp;$B14&amp;", ",", "&amp;'Thông báo'!$B$7:$B$500&amp;", ")),--('Thông báo'!$AT$7:$AT$500&lt;&gt;""))+SUMPRODUCT(--ISNUMBER(SEARCH(", "&amp;$B14&amp;", ",", "&amp;'Đăng tin &amp; Quản lý tin'!$B$7:$B$500&amp;", ")),--('Đăng tin &amp; Quản lý tin'!$AT$7:$AT$500&lt;&gt;""))+SUMPRODUCT(--ISNUMBER(SEARCH(", "&amp;$B14&amp;", ",", "&amp;'Trust &amp; Safety'!$B$7:$B$500&amp;", ")),--('Trust &amp; Safety'!$AT$7:$AT$500&lt;&gt;""))+SUMPRODUCT(--ISNUMBER(SEARCH(", "&amp;$B14&amp;", ",", "&amp;'Tài khoản &amp; Hồ sơ'!$B$7:$B$500&amp;", ")),--('Tài khoản &amp; Hồ sơ'!$AT$7:$AT$500&lt;&gt;""))</f>
        <v>4</v>
      </c>
      <c r="G14" s="51" t="n">
        <f aca="false">SUMPRODUCT(--ISNUMBER(SEARCH(", "&amp;$B14&amp;", ",", "&amp;'Hoạt động (Đơn của tôi)'!$B$7:$B$500&amp;", ")),--('Hoạt động (Đơn của tôi)'!$AT$7:$AT$500="Pass"))+SUMPRODUCT(--ISNUMBER(SEARCH(", "&amp;$B14&amp;", ",", "&amp;'Ghép nối'!$B$7:$B$500&amp;", ")),--('Ghép nối'!$AT$7:$AT$500="Pass"))+SUMPRODUCT(--ISNUMBER(SEARCH(", "&amp;$B14&amp;", ",", "&amp;'Huỷ đơn - Huỷ nhận đơn'!$B$7:$B$500&amp;", ")),--('Huỷ đơn - Huỷ nhận đơn'!$AT$7:$AT$500="Pass"))+SUMPRODUCT(--ISNUMBER(SEARCH(", "&amp;$B14&amp;", ",", "&amp;'Giao nhận &amp; Theo dõi đơn'!$B$7:$B$500&amp;", ")),--('Giao nhận &amp; Theo dõi đơn'!$AT$7:$AT$500="Pass"))+SUMPRODUCT(--ISNUMBER(SEARCH(", "&amp;$B14&amp;", ",", "&amp;'Bảng tin &amp; Chi tiết tin'!$B$7:$B$500&amp;", ")),--('Bảng tin &amp; Chi tiết tin'!$AT$7:$AT$500="Pass"))+SUMPRODUCT(--ISNUMBER(SEARCH(", "&amp;$B14&amp;", ",", "&amp;'Quà cảm ơn'!$B$7:$B$500&amp;", ")),--('Quà cảm ơn'!$AT$7:$AT$500="Pass"))+SUMPRODUCT(--ISNUMBER(SEARCH(", "&amp;$B14&amp;", ",", "&amp;'Trang chủ'!$B$7:$B$500&amp;", ")),--('Trang chủ'!$AT$7:$AT$500="Pass"))+SUMPRODUCT(--ISNUMBER(SEARCH(", "&amp;$B14&amp;", ",", "&amp;'Thông báo'!$B$7:$B$500&amp;", ")),--('Thông báo'!$AT$7:$AT$500="Pass"))+SUMPRODUCT(--ISNUMBER(SEARCH(", "&amp;$B14&amp;", ",", "&amp;'Đăng tin &amp; Quản lý tin'!$B$7:$B$500&amp;", ")),--('Đăng tin &amp; Quản lý tin'!$AT$7:$AT$500="Pass"))+SUMPRODUCT(--ISNUMBER(SEARCH(", "&amp;$B14&amp;", ",", "&amp;'Trust &amp; Safety'!$B$7:$B$500&amp;", ")),--('Trust &amp; Safety'!$AT$7:$AT$500="Pass"))+SUMPRODUCT(--ISNUMBER(SEARCH(", "&amp;$B14&amp;", ",", "&amp;'Tài khoản &amp; Hồ sơ'!$B$7:$B$500&amp;", ")),--('Tài khoản &amp; Hồ sơ'!$AT$7:$AT$500="Pass"))</f>
        <v>4</v>
      </c>
      <c r="H14" s="51" t="n">
        <f aca="false">SUMPRODUCT(--ISNUMBER(SEARCH(", "&amp;$B14&amp;", ",", "&amp;'Hoạt động (Đơn của tôi)'!$B$7:$B$500&amp;", ")),--('Hoạt động (Đơn của tôi)'!$AT$7:$AT$500="Fail"))+SUMPRODUCT(--ISNUMBER(SEARCH(", "&amp;$B14&amp;", ",", "&amp;'Ghép nối'!$B$7:$B$500&amp;", ")),--('Ghép nối'!$AT$7:$AT$500="Fail"))+SUMPRODUCT(--ISNUMBER(SEARCH(", "&amp;$B14&amp;", ",", "&amp;'Huỷ đơn - Huỷ nhận đơn'!$B$7:$B$500&amp;", ")),--('Huỷ đơn - Huỷ nhận đơn'!$AT$7:$AT$500="Fail"))+SUMPRODUCT(--ISNUMBER(SEARCH(", "&amp;$B14&amp;", ",", "&amp;'Giao nhận &amp; Theo dõi đơn'!$B$7:$B$500&amp;", ")),--('Giao nhận &amp; Theo dõi đơn'!$AT$7:$AT$500="Fail"))+SUMPRODUCT(--ISNUMBER(SEARCH(", "&amp;$B14&amp;", ",", "&amp;'Bảng tin &amp; Chi tiết tin'!$B$7:$B$500&amp;", ")),--('Bảng tin &amp; Chi tiết tin'!$AT$7:$AT$500="Fail"))+SUMPRODUCT(--ISNUMBER(SEARCH(", "&amp;$B14&amp;", ",", "&amp;'Quà cảm ơn'!$B$7:$B$500&amp;", ")),--('Quà cảm ơn'!$AT$7:$AT$500="Fail"))+SUMPRODUCT(--ISNUMBER(SEARCH(", "&amp;$B14&amp;", ",", "&amp;'Trang chủ'!$B$7:$B$500&amp;", ")),--('Trang chủ'!$AT$7:$AT$500="Fail"))+SUMPRODUCT(--ISNUMBER(SEARCH(", "&amp;$B14&amp;", ",", "&amp;'Thông báo'!$B$7:$B$500&amp;", ")),--('Thông báo'!$AT$7:$AT$500="Fail"))+SUMPRODUCT(--ISNUMBER(SEARCH(", "&amp;$B14&amp;", ",", "&amp;'Đăng tin &amp; Quản lý tin'!$B$7:$B$500&amp;", ")),--('Đăng tin &amp; Quản lý tin'!$AT$7:$AT$500="Fail"))+SUMPRODUCT(--ISNUMBER(SEARCH(", "&amp;$B14&amp;", ",", "&amp;'Trust &amp; Safety'!$B$7:$B$500&amp;", ")),--('Trust &amp; Safety'!$AT$7:$AT$500="Fail"))+SUMPRODUCT(--ISNUMBER(SEARCH(", "&amp;$B14&amp;", ",", "&amp;'Tài khoản &amp; Hồ sơ'!$B$7:$B$500&amp;", ")),--('Tài khoản &amp; Hồ sơ'!$AT$7:$AT$500="Fail"))</f>
        <v>0</v>
      </c>
      <c r="I14" s="51" t="n">
        <f aca="false">SUMPRODUCT(--ISNUMBER(SEARCH(", "&amp;$B14&amp;", ",", "&amp;'Hoạt động (Đơn của tôi)'!$B$7:$B$500&amp;", ")),--('Hoạt động (Đơn của tôi)'!$AT$7:$AT$500="Block"))+SUMPRODUCT(--ISNUMBER(SEARCH(", "&amp;$B14&amp;", ",", "&amp;'Ghép nối'!$B$7:$B$500&amp;", ")),--('Ghép nối'!$AT$7:$AT$500="Block"))+SUMPRODUCT(--ISNUMBER(SEARCH(", "&amp;$B14&amp;", ",", "&amp;'Huỷ đơn - Huỷ nhận đơn'!$B$7:$B$500&amp;", ")),--('Huỷ đơn - Huỷ nhận đơn'!$AT$7:$AT$500="Block"))+SUMPRODUCT(--ISNUMBER(SEARCH(", "&amp;$B14&amp;", ",", "&amp;'Giao nhận &amp; Theo dõi đơn'!$B$7:$B$500&amp;", ")),--('Giao nhận &amp; Theo dõi đơn'!$AT$7:$AT$500="Block"))+SUMPRODUCT(--ISNUMBER(SEARCH(", "&amp;$B14&amp;", ",", "&amp;'Bảng tin &amp; Chi tiết tin'!$B$7:$B$500&amp;", ")),--('Bảng tin &amp; Chi tiết tin'!$AT$7:$AT$500="Block"))+SUMPRODUCT(--ISNUMBER(SEARCH(", "&amp;$B14&amp;", ",", "&amp;'Quà cảm ơn'!$B$7:$B$500&amp;", ")),--('Quà cảm ơn'!$AT$7:$AT$500="Block"))+SUMPRODUCT(--ISNUMBER(SEARCH(", "&amp;$B14&amp;", ",", "&amp;'Trang chủ'!$B$7:$B$500&amp;", ")),--('Trang chủ'!$AT$7:$AT$500="Block"))+SUMPRODUCT(--ISNUMBER(SEARCH(", "&amp;$B14&amp;", ",", "&amp;'Thông báo'!$B$7:$B$500&amp;", ")),--('Thông báo'!$AT$7:$AT$500="Block"))+SUMPRODUCT(--ISNUMBER(SEARCH(", "&amp;$B14&amp;", ",", "&amp;'Đăng tin &amp; Quản lý tin'!$B$7:$B$500&amp;", ")),--('Đăng tin &amp; Quản lý tin'!$AT$7:$AT$500="Block"))+SUMPRODUCT(--ISNUMBER(SEARCH(", "&amp;$B14&amp;", ",", "&amp;'Trust &amp; Safety'!$B$7:$B$500&amp;", ")),--('Trust &amp; Safety'!$AT$7:$AT$500="Block"))+SUMPRODUCT(--ISNUMBER(SEARCH(", "&amp;$B14&amp;", ",", "&amp;'Tài khoản &amp; Hồ sơ'!$B$7:$B$500&amp;", ")),--('Tài khoản &amp; Hồ sơ'!$AT$7:$AT$500="Block"))</f>
        <v>0</v>
      </c>
      <c r="J14" s="51" t="n">
        <f aca="false">SUMPRODUCT(--ISNUMBER(SEARCH(", "&amp;$B14&amp;", ",", "&amp;'Hoạt động (Đơn của tôi)'!$B$7:$B$500&amp;", ")),--('Hoạt động (Đơn của tôi)'!$AT$7:$AT$500="N/A"))+SUMPRODUCT(--ISNUMBER(SEARCH(", "&amp;$B14&amp;", ",", "&amp;'Ghép nối'!$B$7:$B$500&amp;", ")),--('Ghép nối'!$AT$7:$AT$500="N/A"))+SUMPRODUCT(--ISNUMBER(SEARCH(", "&amp;$B14&amp;", ",", "&amp;'Huỷ đơn - Huỷ nhận đơn'!$B$7:$B$500&amp;", ")),--('Huỷ đơn - Huỷ nhận đơn'!$AT$7:$AT$500="N/A"))+SUMPRODUCT(--ISNUMBER(SEARCH(", "&amp;$B14&amp;", ",", "&amp;'Giao nhận &amp; Theo dõi đơn'!$B$7:$B$500&amp;", ")),--('Giao nhận &amp; Theo dõi đơn'!$AT$7:$AT$500="N/A"))+SUMPRODUCT(--ISNUMBER(SEARCH(", "&amp;$B14&amp;", ",", "&amp;'Bảng tin &amp; Chi tiết tin'!$B$7:$B$500&amp;", ")),--('Bảng tin &amp; Chi tiết tin'!$AT$7:$AT$500="N/A"))+SUMPRODUCT(--ISNUMBER(SEARCH(", "&amp;$B14&amp;", ",", "&amp;'Quà cảm ơn'!$B$7:$B$500&amp;", ")),--('Quà cảm ơn'!$AT$7:$AT$500="N/A"))+SUMPRODUCT(--ISNUMBER(SEARCH(", "&amp;$B14&amp;", ",", "&amp;'Trang chủ'!$B$7:$B$500&amp;", ")),--('Trang chủ'!$AT$7:$AT$500="N/A"))+SUMPRODUCT(--ISNUMBER(SEARCH(", "&amp;$B14&amp;", ",", "&amp;'Thông báo'!$B$7:$B$500&amp;", ")),--('Thông báo'!$AT$7:$AT$500="N/A"))+SUMPRODUCT(--ISNUMBER(SEARCH(", "&amp;$B14&amp;", ",", "&amp;'Đăng tin &amp; Quản lý tin'!$B$7:$B$500&amp;", ")),--('Đăng tin &amp; Quản lý tin'!$AT$7:$AT$500="N/A"))+SUMPRODUCT(--ISNUMBER(SEARCH(", "&amp;$B14&amp;", ",", "&amp;'Trust &amp; Safety'!$B$7:$B$500&amp;", ")),--('Trust &amp; Safety'!$AT$7:$AT$500="N/A"))+SUMPRODUCT(--ISNUMBER(SEARCH(", "&amp;$B14&amp;", ",", "&amp;'Tài khoản &amp; Hồ sơ'!$B$7:$B$500&amp;", ")),--('Tài khoản &amp; Hồ sơ'!$AT$7:$AT$500="N/A"))</f>
        <v>0</v>
      </c>
      <c r="K14" s="52" t="n">
        <f aca="false">IFERROR(F14/E14,0)</f>
        <v>1</v>
      </c>
      <c r="L14" s="124" t="str">
        <f aca="false">IF(E14=0,"Chưa có TC (gap)",IF(H14&gt;0,"Có lỗi (Fail)",IF(I14&gt;0,"Bị block",IF(F14&lt;E14,"Đang test",IF(G14=0,"Không áp dụng (N/A)","Đã test xong")))))</f>
        <v>Đã test xong</v>
      </c>
      <c r="AB14" s="0" t="s">
        <v>503</v>
      </c>
      <c r="AD14" s="0" t="s">
        <v>531</v>
      </c>
      <c r="AE14" s="0" t="n">
        <f aca="false">SUMIF($AB$6:$AB$77,$AD14,$E$6:$E$77)</f>
        <v>50</v>
      </c>
      <c r="AF14" s="0" t="n">
        <f aca="false">SUMIF($AB$6:$AB$77,$AD14,$F$6:$F$77)</f>
        <v>47</v>
      </c>
    </row>
    <row r="15" customFormat="false" ht="68.65" hidden="false" customHeight="false" outlineLevel="0" collapsed="false">
      <c r="A15" s="1"/>
      <c r="B15" s="176" t="s">
        <v>532</v>
      </c>
      <c r="C15" s="177" t="s">
        <v>533</v>
      </c>
      <c r="D15" s="124" t="s">
        <v>534</v>
      </c>
      <c r="E15" s="51" t="n">
        <f aca="false">SUMPRODUCT(--ISNUMBER(SEARCH(", "&amp;$B15&amp;", ",", "&amp;'Hoạt động (Đơn của tôi)'!$B$7:$B$500&amp;", ")))+SUMPRODUCT(--ISNUMBER(SEARCH(", "&amp;$B15&amp;", ",", "&amp;'Ghép nối'!$B$7:$B$500&amp;", ")))+SUMPRODUCT(--ISNUMBER(SEARCH(", "&amp;$B15&amp;", ",", "&amp;'Huỷ đơn - Huỷ nhận đơn'!$B$7:$B$500&amp;", ")))+SUMPRODUCT(--ISNUMBER(SEARCH(", "&amp;$B15&amp;", ",", "&amp;'Giao nhận &amp; Theo dõi đơn'!$B$7:$B$500&amp;", ")))+SUMPRODUCT(--ISNUMBER(SEARCH(", "&amp;$B15&amp;", ",", "&amp;'Bảng tin &amp; Chi tiết tin'!$B$7:$B$500&amp;", ")))+SUMPRODUCT(--ISNUMBER(SEARCH(", "&amp;$B15&amp;", ",", "&amp;'Quà cảm ơn'!$B$7:$B$500&amp;", ")))+SUMPRODUCT(--ISNUMBER(SEARCH(", "&amp;$B15&amp;", ",", "&amp;'Trang chủ'!$B$7:$B$500&amp;", ")))+SUMPRODUCT(--ISNUMBER(SEARCH(", "&amp;$B15&amp;", ",", "&amp;'Thông báo'!$B$7:$B$500&amp;", ")))+SUMPRODUCT(--ISNUMBER(SEARCH(", "&amp;$B15&amp;", ",", "&amp;'Đăng tin &amp; Quản lý tin'!$B$7:$B$500&amp;", ")))+SUMPRODUCT(--ISNUMBER(SEARCH(", "&amp;$B15&amp;", ",", "&amp;'Trust &amp; Safety'!$B$7:$B$500&amp;", ")))+SUMPRODUCT(--ISNUMBER(SEARCH(", "&amp;$B15&amp;", ",", "&amp;'Tài khoản &amp; Hồ sơ'!$B$7:$B$500&amp;", ")))</f>
        <v>4</v>
      </c>
      <c r="F15" s="51" t="n">
        <f aca="false">SUMPRODUCT(--ISNUMBER(SEARCH(", "&amp;$B15&amp;", ",", "&amp;'Hoạt động (Đơn của tôi)'!$B$7:$B$500&amp;", ")),--('Hoạt động (Đơn của tôi)'!$AT$7:$AT$500&lt;&gt;""))+SUMPRODUCT(--ISNUMBER(SEARCH(", "&amp;$B15&amp;", ",", "&amp;'Ghép nối'!$B$7:$B$500&amp;", ")),--('Ghép nối'!$AT$7:$AT$500&lt;&gt;""))+SUMPRODUCT(--ISNUMBER(SEARCH(", "&amp;$B15&amp;", ",", "&amp;'Huỷ đơn - Huỷ nhận đơn'!$B$7:$B$500&amp;", ")),--('Huỷ đơn - Huỷ nhận đơn'!$AT$7:$AT$500&lt;&gt;""))+SUMPRODUCT(--ISNUMBER(SEARCH(", "&amp;$B15&amp;", ",", "&amp;'Giao nhận &amp; Theo dõi đơn'!$B$7:$B$500&amp;", ")),--('Giao nhận &amp; Theo dõi đơn'!$AT$7:$AT$500&lt;&gt;""))+SUMPRODUCT(--ISNUMBER(SEARCH(", "&amp;$B15&amp;", ",", "&amp;'Bảng tin &amp; Chi tiết tin'!$B$7:$B$500&amp;", ")),--('Bảng tin &amp; Chi tiết tin'!$AT$7:$AT$500&lt;&gt;""))+SUMPRODUCT(--ISNUMBER(SEARCH(", "&amp;$B15&amp;", ",", "&amp;'Quà cảm ơn'!$B$7:$B$500&amp;", ")),--('Quà cảm ơn'!$AT$7:$AT$500&lt;&gt;""))+SUMPRODUCT(--ISNUMBER(SEARCH(", "&amp;$B15&amp;", ",", "&amp;'Trang chủ'!$B$7:$B$500&amp;", ")),--('Trang chủ'!$AT$7:$AT$500&lt;&gt;""))+SUMPRODUCT(--ISNUMBER(SEARCH(", "&amp;$B15&amp;", ",", "&amp;'Thông báo'!$B$7:$B$500&amp;", ")),--('Thông báo'!$AT$7:$AT$500&lt;&gt;""))+SUMPRODUCT(--ISNUMBER(SEARCH(", "&amp;$B15&amp;", ",", "&amp;'Đăng tin &amp; Quản lý tin'!$B$7:$B$500&amp;", ")),--('Đăng tin &amp; Quản lý tin'!$AT$7:$AT$500&lt;&gt;""))+SUMPRODUCT(--ISNUMBER(SEARCH(", "&amp;$B15&amp;", ",", "&amp;'Trust &amp; Safety'!$B$7:$B$500&amp;", ")),--('Trust &amp; Safety'!$AT$7:$AT$500&lt;&gt;""))+SUMPRODUCT(--ISNUMBER(SEARCH(", "&amp;$B15&amp;", ",", "&amp;'Tài khoản &amp; Hồ sơ'!$B$7:$B$500&amp;", ")),--('Tài khoản &amp; Hồ sơ'!$AT$7:$AT$500&lt;&gt;""))</f>
        <v>4</v>
      </c>
      <c r="G15" s="51" t="n">
        <f aca="false">SUMPRODUCT(--ISNUMBER(SEARCH(", "&amp;$B15&amp;", ",", "&amp;'Hoạt động (Đơn của tôi)'!$B$7:$B$500&amp;", ")),--('Hoạt động (Đơn của tôi)'!$AT$7:$AT$500="Pass"))+SUMPRODUCT(--ISNUMBER(SEARCH(", "&amp;$B15&amp;", ",", "&amp;'Ghép nối'!$B$7:$B$500&amp;", ")),--('Ghép nối'!$AT$7:$AT$500="Pass"))+SUMPRODUCT(--ISNUMBER(SEARCH(", "&amp;$B15&amp;", ",", "&amp;'Huỷ đơn - Huỷ nhận đơn'!$B$7:$B$500&amp;", ")),--('Huỷ đơn - Huỷ nhận đơn'!$AT$7:$AT$500="Pass"))+SUMPRODUCT(--ISNUMBER(SEARCH(", "&amp;$B15&amp;", ",", "&amp;'Giao nhận &amp; Theo dõi đơn'!$B$7:$B$500&amp;", ")),--('Giao nhận &amp; Theo dõi đơn'!$AT$7:$AT$500="Pass"))+SUMPRODUCT(--ISNUMBER(SEARCH(", "&amp;$B15&amp;", ",", "&amp;'Bảng tin &amp; Chi tiết tin'!$B$7:$B$500&amp;", ")),--('Bảng tin &amp; Chi tiết tin'!$AT$7:$AT$500="Pass"))+SUMPRODUCT(--ISNUMBER(SEARCH(", "&amp;$B15&amp;", ",", "&amp;'Quà cảm ơn'!$B$7:$B$500&amp;", ")),--('Quà cảm ơn'!$AT$7:$AT$500="Pass"))+SUMPRODUCT(--ISNUMBER(SEARCH(", "&amp;$B15&amp;", ",", "&amp;'Trang chủ'!$B$7:$B$500&amp;", ")),--('Trang chủ'!$AT$7:$AT$500="Pass"))+SUMPRODUCT(--ISNUMBER(SEARCH(", "&amp;$B15&amp;", ",", "&amp;'Thông báo'!$B$7:$B$500&amp;", ")),--('Thông báo'!$AT$7:$AT$500="Pass"))+SUMPRODUCT(--ISNUMBER(SEARCH(", "&amp;$B15&amp;", ",", "&amp;'Đăng tin &amp; Quản lý tin'!$B$7:$B$500&amp;", ")),--('Đăng tin &amp; Quản lý tin'!$AT$7:$AT$500="Pass"))+SUMPRODUCT(--ISNUMBER(SEARCH(", "&amp;$B15&amp;", ",", "&amp;'Trust &amp; Safety'!$B$7:$B$500&amp;", ")),--('Trust &amp; Safety'!$AT$7:$AT$500="Pass"))+SUMPRODUCT(--ISNUMBER(SEARCH(", "&amp;$B15&amp;", ",", "&amp;'Tài khoản &amp; Hồ sơ'!$B$7:$B$500&amp;", ")),--('Tài khoản &amp; Hồ sơ'!$AT$7:$AT$500="Pass"))</f>
        <v>4</v>
      </c>
      <c r="H15" s="51" t="n">
        <f aca="false">SUMPRODUCT(--ISNUMBER(SEARCH(", "&amp;$B15&amp;", ",", "&amp;'Hoạt động (Đơn của tôi)'!$B$7:$B$500&amp;", ")),--('Hoạt động (Đơn của tôi)'!$AT$7:$AT$500="Fail"))+SUMPRODUCT(--ISNUMBER(SEARCH(", "&amp;$B15&amp;", ",", "&amp;'Ghép nối'!$B$7:$B$500&amp;", ")),--('Ghép nối'!$AT$7:$AT$500="Fail"))+SUMPRODUCT(--ISNUMBER(SEARCH(", "&amp;$B15&amp;", ",", "&amp;'Huỷ đơn - Huỷ nhận đơn'!$B$7:$B$500&amp;", ")),--('Huỷ đơn - Huỷ nhận đơn'!$AT$7:$AT$500="Fail"))+SUMPRODUCT(--ISNUMBER(SEARCH(", "&amp;$B15&amp;", ",", "&amp;'Giao nhận &amp; Theo dõi đơn'!$B$7:$B$500&amp;", ")),--('Giao nhận &amp; Theo dõi đơn'!$AT$7:$AT$500="Fail"))+SUMPRODUCT(--ISNUMBER(SEARCH(", "&amp;$B15&amp;", ",", "&amp;'Bảng tin &amp; Chi tiết tin'!$B$7:$B$500&amp;", ")),--('Bảng tin &amp; Chi tiết tin'!$AT$7:$AT$500="Fail"))+SUMPRODUCT(--ISNUMBER(SEARCH(", "&amp;$B15&amp;", ",", "&amp;'Quà cảm ơn'!$B$7:$B$500&amp;", ")),--('Quà cảm ơn'!$AT$7:$AT$500="Fail"))+SUMPRODUCT(--ISNUMBER(SEARCH(", "&amp;$B15&amp;", ",", "&amp;'Trang chủ'!$B$7:$B$500&amp;", ")),--('Trang chủ'!$AT$7:$AT$500="Fail"))+SUMPRODUCT(--ISNUMBER(SEARCH(", "&amp;$B15&amp;", ",", "&amp;'Thông báo'!$B$7:$B$500&amp;", ")),--('Thông báo'!$AT$7:$AT$500="Fail"))+SUMPRODUCT(--ISNUMBER(SEARCH(", "&amp;$B15&amp;", ",", "&amp;'Đăng tin &amp; Quản lý tin'!$B$7:$B$500&amp;", ")),--('Đăng tin &amp; Quản lý tin'!$AT$7:$AT$500="Fail"))+SUMPRODUCT(--ISNUMBER(SEARCH(", "&amp;$B15&amp;", ",", "&amp;'Trust &amp; Safety'!$B$7:$B$500&amp;", ")),--('Trust &amp; Safety'!$AT$7:$AT$500="Fail"))+SUMPRODUCT(--ISNUMBER(SEARCH(", "&amp;$B15&amp;", ",", "&amp;'Tài khoản &amp; Hồ sơ'!$B$7:$B$500&amp;", ")),--('Tài khoản &amp; Hồ sơ'!$AT$7:$AT$500="Fail"))</f>
        <v>0</v>
      </c>
      <c r="I15" s="51" t="n">
        <f aca="false">SUMPRODUCT(--ISNUMBER(SEARCH(", "&amp;$B15&amp;", ",", "&amp;'Hoạt động (Đơn của tôi)'!$B$7:$B$500&amp;", ")),--('Hoạt động (Đơn của tôi)'!$AT$7:$AT$500="Block"))+SUMPRODUCT(--ISNUMBER(SEARCH(", "&amp;$B15&amp;", ",", "&amp;'Ghép nối'!$B$7:$B$500&amp;", ")),--('Ghép nối'!$AT$7:$AT$500="Block"))+SUMPRODUCT(--ISNUMBER(SEARCH(", "&amp;$B15&amp;", ",", "&amp;'Huỷ đơn - Huỷ nhận đơn'!$B$7:$B$500&amp;", ")),--('Huỷ đơn - Huỷ nhận đơn'!$AT$7:$AT$500="Block"))+SUMPRODUCT(--ISNUMBER(SEARCH(", "&amp;$B15&amp;", ",", "&amp;'Giao nhận &amp; Theo dõi đơn'!$B$7:$B$500&amp;", ")),--('Giao nhận &amp; Theo dõi đơn'!$AT$7:$AT$500="Block"))+SUMPRODUCT(--ISNUMBER(SEARCH(", "&amp;$B15&amp;", ",", "&amp;'Bảng tin &amp; Chi tiết tin'!$B$7:$B$500&amp;", ")),--('Bảng tin &amp; Chi tiết tin'!$AT$7:$AT$500="Block"))+SUMPRODUCT(--ISNUMBER(SEARCH(", "&amp;$B15&amp;", ",", "&amp;'Quà cảm ơn'!$B$7:$B$500&amp;", ")),--('Quà cảm ơn'!$AT$7:$AT$500="Block"))+SUMPRODUCT(--ISNUMBER(SEARCH(", "&amp;$B15&amp;", ",", "&amp;'Trang chủ'!$B$7:$B$500&amp;", ")),--('Trang chủ'!$AT$7:$AT$500="Block"))+SUMPRODUCT(--ISNUMBER(SEARCH(", "&amp;$B15&amp;", ",", "&amp;'Thông báo'!$B$7:$B$500&amp;", ")),--('Thông báo'!$AT$7:$AT$500="Block"))+SUMPRODUCT(--ISNUMBER(SEARCH(", "&amp;$B15&amp;", ",", "&amp;'Đăng tin &amp; Quản lý tin'!$B$7:$B$500&amp;", ")),--('Đăng tin &amp; Quản lý tin'!$AT$7:$AT$500="Block"))+SUMPRODUCT(--ISNUMBER(SEARCH(", "&amp;$B15&amp;", ",", "&amp;'Trust &amp; Safety'!$B$7:$B$500&amp;", ")),--('Trust &amp; Safety'!$AT$7:$AT$500="Block"))+SUMPRODUCT(--ISNUMBER(SEARCH(", "&amp;$B15&amp;", ",", "&amp;'Tài khoản &amp; Hồ sơ'!$B$7:$B$500&amp;", ")),--('Tài khoản &amp; Hồ sơ'!$AT$7:$AT$500="Block"))</f>
        <v>0</v>
      </c>
      <c r="J15" s="51" t="n">
        <f aca="false">SUMPRODUCT(--ISNUMBER(SEARCH(", "&amp;$B15&amp;", ",", "&amp;'Hoạt động (Đơn của tôi)'!$B$7:$B$500&amp;", ")),--('Hoạt động (Đơn của tôi)'!$AT$7:$AT$500="N/A"))+SUMPRODUCT(--ISNUMBER(SEARCH(", "&amp;$B15&amp;", ",", "&amp;'Ghép nối'!$B$7:$B$500&amp;", ")),--('Ghép nối'!$AT$7:$AT$500="N/A"))+SUMPRODUCT(--ISNUMBER(SEARCH(", "&amp;$B15&amp;", ",", "&amp;'Huỷ đơn - Huỷ nhận đơn'!$B$7:$B$500&amp;", ")),--('Huỷ đơn - Huỷ nhận đơn'!$AT$7:$AT$500="N/A"))+SUMPRODUCT(--ISNUMBER(SEARCH(", "&amp;$B15&amp;", ",", "&amp;'Giao nhận &amp; Theo dõi đơn'!$B$7:$B$500&amp;", ")),--('Giao nhận &amp; Theo dõi đơn'!$AT$7:$AT$500="N/A"))+SUMPRODUCT(--ISNUMBER(SEARCH(", "&amp;$B15&amp;", ",", "&amp;'Bảng tin &amp; Chi tiết tin'!$B$7:$B$500&amp;", ")),--('Bảng tin &amp; Chi tiết tin'!$AT$7:$AT$500="N/A"))+SUMPRODUCT(--ISNUMBER(SEARCH(", "&amp;$B15&amp;", ",", "&amp;'Quà cảm ơn'!$B$7:$B$500&amp;", ")),--('Quà cảm ơn'!$AT$7:$AT$500="N/A"))+SUMPRODUCT(--ISNUMBER(SEARCH(", "&amp;$B15&amp;", ",", "&amp;'Trang chủ'!$B$7:$B$500&amp;", ")),--('Trang chủ'!$AT$7:$AT$500="N/A"))+SUMPRODUCT(--ISNUMBER(SEARCH(", "&amp;$B15&amp;", ",", "&amp;'Thông báo'!$B$7:$B$500&amp;", ")),--('Thông báo'!$AT$7:$AT$500="N/A"))+SUMPRODUCT(--ISNUMBER(SEARCH(", "&amp;$B15&amp;", ",", "&amp;'Đăng tin &amp; Quản lý tin'!$B$7:$B$500&amp;", ")),--('Đăng tin &amp; Quản lý tin'!$AT$7:$AT$500="N/A"))+SUMPRODUCT(--ISNUMBER(SEARCH(", "&amp;$B15&amp;", ",", "&amp;'Trust &amp; Safety'!$B$7:$B$500&amp;", ")),--('Trust &amp; Safety'!$AT$7:$AT$500="N/A"))+SUMPRODUCT(--ISNUMBER(SEARCH(", "&amp;$B15&amp;", ",", "&amp;'Tài khoản &amp; Hồ sơ'!$B$7:$B$500&amp;", ")),--('Tài khoản &amp; Hồ sơ'!$AT$7:$AT$500="N/A"))</f>
        <v>0</v>
      </c>
      <c r="K15" s="52" t="n">
        <f aca="false">IFERROR(F15/E15,0)</f>
        <v>1</v>
      </c>
      <c r="L15" s="124" t="str">
        <f aca="false">IF(E15=0,"Chưa có TC (gap)",IF(H15&gt;0,"Có lỗi (Fail)",IF(I15&gt;0,"Bị block",IF(F15&lt;E15,"Đang test",IF(G15=0,"Không áp dụng (N/A)","Đã test xong")))))</f>
        <v>Đã test xong</v>
      </c>
      <c r="AB15" s="0" t="s">
        <v>503</v>
      </c>
      <c r="AD15" s="0" t="s">
        <v>535</v>
      </c>
      <c r="AE15" s="0" t="n">
        <f aca="false">SUMIF($AB$6:$AB$77,$AD15,$E$6:$E$77)</f>
        <v>17</v>
      </c>
      <c r="AF15" s="0" t="n">
        <f aca="false">SUMIF($AB$6:$AB$77,$AD15,$F$6:$F$77)</f>
        <v>17</v>
      </c>
    </row>
    <row r="16" customFormat="false" ht="57.45" hidden="false" customHeight="false" outlineLevel="0" collapsed="false">
      <c r="A16" s="1"/>
      <c r="B16" s="176" t="s">
        <v>536</v>
      </c>
      <c r="C16" s="177" t="s">
        <v>537</v>
      </c>
      <c r="D16" s="124" t="s">
        <v>538</v>
      </c>
      <c r="E16" s="51" t="n">
        <f aca="false">SUMPRODUCT(--ISNUMBER(SEARCH(", "&amp;$B16&amp;", ",", "&amp;'Hoạt động (Đơn của tôi)'!$B$7:$B$500&amp;", ")))+SUMPRODUCT(--ISNUMBER(SEARCH(", "&amp;$B16&amp;", ",", "&amp;'Ghép nối'!$B$7:$B$500&amp;", ")))+SUMPRODUCT(--ISNUMBER(SEARCH(", "&amp;$B16&amp;", ",", "&amp;'Huỷ đơn - Huỷ nhận đơn'!$B$7:$B$500&amp;", ")))+SUMPRODUCT(--ISNUMBER(SEARCH(", "&amp;$B16&amp;", ",", "&amp;'Giao nhận &amp; Theo dõi đơn'!$B$7:$B$500&amp;", ")))+SUMPRODUCT(--ISNUMBER(SEARCH(", "&amp;$B16&amp;", ",", "&amp;'Bảng tin &amp; Chi tiết tin'!$B$7:$B$500&amp;", ")))+SUMPRODUCT(--ISNUMBER(SEARCH(", "&amp;$B16&amp;", ",", "&amp;'Quà cảm ơn'!$B$7:$B$500&amp;", ")))+SUMPRODUCT(--ISNUMBER(SEARCH(", "&amp;$B16&amp;", ",", "&amp;'Trang chủ'!$B$7:$B$500&amp;", ")))+SUMPRODUCT(--ISNUMBER(SEARCH(", "&amp;$B16&amp;", ",", "&amp;'Thông báo'!$B$7:$B$500&amp;", ")))+SUMPRODUCT(--ISNUMBER(SEARCH(", "&amp;$B16&amp;", ",", "&amp;'Đăng tin &amp; Quản lý tin'!$B$7:$B$500&amp;", ")))+SUMPRODUCT(--ISNUMBER(SEARCH(", "&amp;$B16&amp;", ",", "&amp;'Trust &amp; Safety'!$B$7:$B$500&amp;", ")))+SUMPRODUCT(--ISNUMBER(SEARCH(", "&amp;$B16&amp;", ",", "&amp;'Tài khoản &amp; Hồ sơ'!$B$7:$B$500&amp;", ")))</f>
        <v>1</v>
      </c>
      <c r="F16" s="51" t="n">
        <f aca="false">SUMPRODUCT(--ISNUMBER(SEARCH(", "&amp;$B16&amp;", ",", "&amp;'Hoạt động (Đơn của tôi)'!$B$7:$B$500&amp;", ")),--('Hoạt động (Đơn của tôi)'!$AT$7:$AT$500&lt;&gt;""))+SUMPRODUCT(--ISNUMBER(SEARCH(", "&amp;$B16&amp;", ",", "&amp;'Ghép nối'!$B$7:$B$500&amp;", ")),--('Ghép nối'!$AT$7:$AT$500&lt;&gt;""))+SUMPRODUCT(--ISNUMBER(SEARCH(", "&amp;$B16&amp;", ",", "&amp;'Huỷ đơn - Huỷ nhận đơn'!$B$7:$B$500&amp;", ")),--('Huỷ đơn - Huỷ nhận đơn'!$AT$7:$AT$500&lt;&gt;""))+SUMPRODUCT(--ISNUMBER(SEARCH(", "&amp;$B16&amp;", ",", "&amp;'Giao nhận &amp; Theo dõi đơn'!$B$7:$B$500&amp;", ")),--('Giao nhận &amp; Theo dõi đơn'!$AT$7:$AT$500&lt;&gt;""))+SUMPRODUCT(--ISNUMBER(SEARCH(", "&amp;$B16&amp;", ",", "&amp;'Bảng tin &amp; Chi tiết tin'!$B$7:$B$500&amp;", ")),--('Bảng tin &amp; Chi tiết tin'!$AT$7:$AT$500&lt;&gt;""))+SUMPRODUCT(--ISNUMBER(SEARCH(", "&amp;$B16&amp;", ",", "&amp;'Quà cảm ơn'!$B$7:$B$500&amp;", ")),--('Quà cảm ơn'!$AT$7:$AT$500&lt;&gt;""))+SUMPRODUCT(--ISNUMBER(SEARCH(", "&amp;$B16&amp;", ",", "&amp;'Trang chủ'!$B$7:$B$500&amp;", ")),--('Trang chủ'!$AT$7:$AT$500&lt;&gt;""))+SUMPRODUCT(--ISNUMBER(SEARCH(", "&amp;$B16&amp;", ",", "&amp;'Thông báo'!$B$7:$B$500&amp;", ")),--('Thông báo'!$AT$7:$AT$500&lt;&gt;""))+SUMPRODUCT(--ISNUMBER(SEARCH(", "&amp;$B16&amp;", ",", "&amp;'Đăng tin &amp; Quản lý tin'!$B$7:$B$500&amp;", ")),--('Đăng tin &amp; Quản lý tin'!$AT$7:$AT$500&lt;&gt;""))+SUMPRODUCT(--ISNUMBER(SEARCH(", "&amp;$B16&amp;", ",", "&amp;'Trust &amp; Safety'!$B$7:$B$500&amp;", ")),--('Trust &amp; Safety'!$AT$7:$AT$500&lt;&gt;""))+SUMPRODUCT(--ISNUMBER(SEARCH(", "&amp;$B16&amp;", ",", "&amp;'Tài khoản &amp; Hồ sơ'!$B$7:$B$500&amp;", ")),--('Tài khoản &amp; Hồ sơ'!$AT$7:$AT$500&lt;&gt;""))</f>
        <v>1</v>
      </c>
      <c r="G16" s="51" t="n">
        <f aca="false">SUMPRODUCT(--ISNUMBER(SEARCH(", "&amp;$B16&amp;", ",", "&amp;'Hoạt động (Đơn của tôi)'!$B$7:$B$500&amp;", ")),--('Hoạt động (Đơn của tôi)'!$AT$7:$AT$500="Pass"))+SUMPRODUCT(--ISNUMBER(SEARCH(", "&amp;$B16&amp;", ",", "&amp;'Ghép nối'!$B$7:$B$500&amp;", ")),--('Ghép nối'!$AT$7:$AT$500="Pass"))+SUMPRODUCT(--ISNUMBER(SEARCH(", "&amp;$B16&amp;", ",", "&amp;'Huỷ đơn - Huỷ nhận đơn'!$B$7:$B$500&amp;", ")),--('Huỷ đơn - Huỷ nhận đơn'!$AT$7:$AT$500="Pass"))+SUMPRODUCT(--ISNUMBER(SEARCH(", "&amp;$B16&amp;", ",", "&amp;'Giao nhận &amp; Theo dõi đơn'!$B$7:$B$500&amp;", ")),--('Giao nhận &amp; Theo dõi đơn'!$AT$7:$AT$500="Pass"))+SUMPRODUCT(--ISNUMBER(SEARCH(", "&amp;$B16&amp;", ",", "&amp;'Bảng tin &amp; Chi tiết tin'!$B$7:$B$500&amp;", ")),--('Bảng tin &amp; Chi tiết tin'!$AT$7:$AT$500="Pass"))+SUMPRODUCT(--ISNUMBER(SEARCH(", "&amp;$B16&amp;", ",", "&amp;'Quà cảm ơn'!$B$7:$B$500&amp;", ")),--('Quà cảm ơn'!$AT$7:$AT$500="Pass"))+SUMPRODUCT(--ISNUMBER(SEARCH(", "&amp;$B16&amp;", ",", "&amp;'Trang chủ'!$B$7:$B$500&amp;", ")),--('Trang chủ'!$AT$7:$AT$500="Pass"))+SUMPRODUCT(--ISNUMBER(SEARCH(", "&amp;$B16&amp;", ",", "&amp;'Thông báo'!$B$7:$B$500&amp;", ")),--('Thông báo'!$AT$7:$AT$500="Pass"))+SUMPRODUCT(--ISNUMBER(SEARCH(", "&amp;$B16&amp;", ",", "&amp;'Đăng tin &amp; Quản lý tin'!$B$7:$B$500&amp;", ")),--('Đăng tin &amp; Quản lý tin'!$AT$7:$AT$500="Pass"))+SUMPRODUCT(--ISNUMBER(SEARCH(", "&amp;$B16&amp;", ",", "&amp;'Trust &amp; Safety'!$B$7:$B$500&amp;", ")),--('Trust &amp; Safety'!$AT$7:$AT$500="Pass"))+SUMPRODUCT(--ISNUMBER(SEARCH(", "&amp;$B16&amp;", ",", "&amp;'Tài khoản &amp; Hồ sơ'!$B$7:$B$500&amp;", ")),--('Tài khoản &amp; Hồ sơ'!$AT$7:$AT$500="Pass"))</f>
        <v>1</v>
      </c>
      <c r="H16" s="51" t="n">
        <f aca="false">SUMPRODUCT(--ISNUMBER(SEARCH(", "&amp;$B16&amp;", ",", "&amp;'Hoạt động (Đơn của tôi)'!$B$7:$B$500&amp;", ")),--('Hoạt động (Đơn của tôi)'!$AT$7:$AT$500="Fail"))+SUMPRODUCT(--ISNUMBER(SEARCH(", "&amp;$B16&amp;", ",", "&amp;'Ghép nối'!$B$7:$B$500&amp;", ")),--('Ghép nối'!$AT$7:$AT$500="Fail"))+SUMPRODUCT(--ISNUMBER(SEARCH(", "&amp;$B16&amp;", ",", "&amp;'Huỷ đơn - Huỷ nhận đơn'!$B$7:$B$500&amp;", ")),--('Huỷ đơn - Huỷ nhận đơn'!$AT$7:$AT$500="Fail"))+SUMPRODUCT(--ISNUMBER(SEARCH(", "&amp;$B16&amp;", ",", "&amp;'Giao nhận &amp; Theo dõi đơn'!$B$7:$B$500&amp;", ")),--('Giao nhận &amp; Theo dõi đơn'!$AT$7:$AT$500="Fail"))+SUMPRODUCT(--ISNUMBER(SEARCH(", "&amp;$B16&amp;", ",", "&amp;'Bảng tin &amp; Chi tiết tin'!$B$7:$B$500&amp;", ")),--('Bảng tin &amp; Chi tiết tin'!$AT$7:$AT$500="Fail"))+SUMPRODUCT(--ISNUMBER(SEARCH(", "&amp;$B16&amp;", ",", "&amp;'Quà cảm ơn'!$B$7:$B$500&amp;", ")),--('Quà cảm ơn'!$AT$7:$AT$500="Fail"))+SUMPRODUCT(--ISNUMBER(SEARCH(", "&amp;$B16&amp;", ",", "&amp;'Trang chủ'!$B$7:$B$500&amp;", ")),--('Trang chủ'!$AT$7:$AT$500="Fail"))+SUMPRODUCT(--ISNUMBER(SEARCH(", "&amp;$B16&amp;", ",", "&amp;'Thông báo'!$B$7:$B$500&amp;", ")),--('Thông báo'!$AT$7:$AT$500="Fail"))+SUMPRODUCT(--ISNUMBER(SEARCH(", "&amp;$B16&amp;", ",", "&amp;'Đăng tin &amp; Quản lý tin'!$B$7:$B$500&amp;", ")),--('Đăng tin &amp; Quản lý tin'!$AT$7:$AT$500="Fail"))+SUMPRODUCT(--ISNUMBER(SEARCH(", "&amp;$B16&amp;", ",", "&amp;'Trust &amp; Safety'!$B$7:$B$500&amp;", ")),--('Trust &amp; Safety'!$AT$7:$AT$500="Fail"))+SUMPRODUCT(--ISNUMBER(SEARCH(", "&amp;$B16&amp;", ",", "&amp;'Tài khoản &amp; Hồ sơ'!$B$7:$B$500&amp;", ")),--('Tài khoản &amp; Hồ sơ'!$AT$7:$AT$500="Fail"))</f>
        <v>0</v>
      </c>
      <c r="I16" s="51" t="n">
        <f aca="false">SUMPRODUCT(--ISNUMBER(SEARCH(", "&amp;$B16&amp;", ",", "&amp;'Hoạt động (Đơn của tôi)'!$B$7:$B$500&amp;", ")),--('Hoạt động (Đơn của tôi)'!$AT$7:$AT$500="Block"))+SUMPRODUCT(--ISNUMBER(SEARCH(", "&amp;$B16&amp;", ",", "&amp;'Ghép nối'!$B$7:$B$500&amp;", ")),--('Ghép nối'!$AT$7:$AT$500="Block"))+SUMPRODUCT(--ISNUMBER(SEARCH(", "&amp;$B16&amp;", ",", "&amp;'Huỷ đơn - Huỷ nhận đơn'!$B$7:$B$500&amp;", ")),--('Huỷ đơn - Huỷ nhận đơn'!$AT$7:$AT$500="Block"))+SUMPRODUCT(--ISNUMBER(SEARCH(", "&amp;$B16&amp;", ",", "&amp;'Giao nhận &amp; Theo dõi đơn'!$B$7:$B$500&amp;", ")),--('Giao nhận &amp; Theo dõi đơn'!$AT$7:$AT$500="Block"))+SUMPRODUCT(--ISNUMBER(SEARCH(", "&amp;$B16&amp;", ",", "&amp;'Bảng tin &amp; Chi tiết tin'!$B$7:$B$500&amp;", ")),--('Bảng tin &amp; Chi tiết tin'!$AT$7:$AT$500="Block"))+SUMPRODUCT(--ISNUMBER(SEARCH(", "&amp;$B16&amp;", ",", "&amp;'Quà cảm ơn'!$B$7:$B$500&amp;", ")),--('Quà cảm ơn'!$AT$7:$AT$500="Block"))+SUMPRODUCT(--ISNUMBER(SEARCH(", "&amp;$B16&amp;", ",", "&amp;'Trang chủ'!$B$7:$B$500&amp;", ")),--('Trang chủ'!$AT$7:$AT$500="Block"))+SUMPRODUCT(--ISNUMBER(SEARCH(", "&amp;$B16&amp;", ",", "&amp;'Thông báo'!$B$7:$B$500&amp;", ")),--('Thông báo'!$AT$7:$AT$500="Block"))+SUMPRODUCT(--ISNUMBER(SEARCH(", "&amp;$B16&amp;", ",", "&amp;'Đăng tin &amp; Quản lý tin'!$B$7:$B$500&amp;", ")),--('Đăng tin &amp; Quản lý tin'!$AT$7:$AT$500="Block"))+SUMPRODUCT(--ISNUMBER(SEARCH(", "&amp;$B16&amp;", ",", "&amp;'Trust &amp; Safety'!$B$7:$B$500&amp;", ")),--('Trust &amp; Safety'!$AT$7:$AT$500="Block"))+SUMPRODUCT(--ISNUMBER(SEARCH(", "&amp;$B16&amp;", ",", "&amp;'Tài khoản &amp; Hồ sơ'!$B$7:$B$500&amp;", ")),--('Tài khoản &amp; Hồ sơ'!$AT$7:$AT$500="Block"))</f>
        <v>0</v>
      </c>
      <c r="J16" s="51" t="n">
        <f aca="false">SUMPRODUCT(--ISNUMBER(SEARCH(", "&amp;$B16&amp;", ",", "&amp;'Hoạt động (Đơn của tôi)'!$B$7:$B$500&amp;", ")),--('Hoạt động (Đơn của tôi)'!$AT$7:$AT$500="N/A"))+SUMPRODUCT(--ISNUMBER(SEARCH(", "&amp;$B16&amp;", ",", "&amp;'Ghép nối'!$B$7:$B$500&amp;", ")),--('Ghép nối'!$AT$7:$AT$500="N/A"))+SUMPRODUCT(--ISNUMBER(SEARCH(", "&amp;$B16&amp;", ",", "&amp;'Huỷ đơn - Huỷ nhận đơn'!$B$7:$B$500&amp;", ")),--('Huỷ đơn - Huỷ nhận đơn'!$AT$7:$AT$500="N/A"))+SUMPRODUCT(--ISNUMBER(SEARCH(", "&amp;$B16&amp;", ",", "&amp;'Giao nhận &amp; Theo dõi đơn'!$B$7:$B$500&amp;", ")),--('Giao nhận &amp; Theo dõi đơn'!$AT$7:$AT$500="N/A"))+SUMPRODUCT(--ISNUMBER(SEARCH(", "&amp;$B16&amp;", ",", "&amp;'Bảng tin &amp; Chi tiết tin'!$B$7:$B$500&amp;", ")),--('Bảng tin &amp; Chi tiết tin'!$AT$7:$AT$500="N/A"))+SUMPRODUCT(--ISNUMBER(SEARCH(", "&amp;$B16&amp;", ",", "&amp;'Quà cảm ơn'!$B$7:$B$500&amp;", ")),--('Quà cảm ơn'!$AT$7:$AT$500="N/A"))+SUMPRODUCT(--ISNUMBER(SEARCH(", "&amp;$B16&amp;", ",", "&amp;'Trang chủ'!$B$7:$B$500&amp;", ")),--('Trang chủ'!$AT$7:$AT$500="N/A"))+SUMPRODUCT(--ISNUMBER(SEARCH(", "&amp;$B16&amp;", ",", "&amp;'Thông báo'!$B$7:$B$500&amp;", ")),--('Thông báo'!$AT$7:$AT$500="N/A"))+SUMPRODUCT(--ISNUMBER(SEARCH(", "&amp;$B16&amp;", ",", "&amp;'Đăng tin &amp; Quản lý tin'!$B$7:$B$500&amp;", ")),--('Đăng tin &amp; Quản lý tin'!$AT$7:$AT$500="N/A"))+SUMPRODUCT(--ISNUMBER(SEARCH(", "&amp;$B16&amp;", ",", "&amp;'Trust &amp; Safety'!$B$7:$B$500&amp;", ")),--('Trust &amp; Safety'!$AT$7:$AT$500="N/A"))+SUMPRODUCT(--ISNUMBER(SEARCH(", "&amp;$B16&amp;", ",", "&amp;'Tài khoản &amp; Hồ sơ'!$B$7:$B$500&amp;", ")),--('Tài khoản &amp; Hồ sơ'!$AT$7:$AT$500="N/A"))</f>
        <v>0</v>
      </c>
      <c r="K16" s="52" t="n">
        <f aca="false">IFERROR(F16/E16,0)</f>
        <v>1</v>
      </c>
      <c r="L16" s="124" t="str">
        <f aca="false">IF(E16=0,"Chưa có TC (gap)",IF(H16&gt;0,"Có lỗi (Fail)",IF(I16&gt;0,"Bị block",IF(F16&lt;E16,"Đang test",IF(G16=0,"Không áp dụng (N/A)","Đã test xong")))))</f>
        <v>Đã test xong</v>
      </c>
      <c r="AB16" s="0" t="s">
        <v>503</v>
      </c>
      <c r="AD16" s="0" t="s">
        <v>539</v>
      </c>
      <c r="AE16" s="0" t="n">
        <f aca="false">SUMIF($AB$6:$AB$77,$AD16,$E$6:$E$77)</f>
        <v>40</v>
      </c>
      <c r="AF16" s="0" t="n">
        <f aca="false">SUMIF($AB$6:$AB$77,$AD16,$F$6:$F$77)</f>
        <v>40</v>
      </c>
    </row>
    <row r="17" customFormat="false" ht="46.25" hidden="false" customHeight="false" outlineLevel="0" collapsed="false">
      <c r="A17" s="1"/>
      <c r="B17" s="176" t="s">
        <v>540</v>
      </c>
      <c r="C17" s="177" t="s">
        <v>541</v>
      </c>
      <c r="D17" s="124" t="s">
        <v>542</v>
      </c>
      <c r="E17" s="51" t="n">
        <f aca="false">SUMPRODUCT(--ISNUMBER(SEARCH(", "&amp;$B17&amp;", ",", "&amp;'Hoạt động (Đơn của tôi)'!$B$7:$B$500&amp;", ")))+SUMPRODUCT(--ISNUMBER(SEARCH(", "&amp;$B17&amp;", ",", "&amp;'Ghép nối'!$B$7:$B$500&amp;", ")))+SUMPRODUCT(--ISNUMBER(SEARCH(", "&amp;$B17&amp;", ",", "&amp;'Huỷ đơn - Huỷ nhận đơn'!$B$7:$B$500&amp;", ")))+SUMPRODUCT(--ISNUMBER(SEARCH(", "&amp;$B17&amp;", ",", "&amp;'Giao nhận &amp; Theo dõi đơn'!$B$7:$B$500&amp;", ")))+SUMPRODUCT(--ISNUMBER(SEARCH(", "&amp;$B17&amp;", ",", "&amp;'Bảng tin &amp; Chi tiết tin'!$B$7:$B$500&amp;", ")))+SUMPRODUCT(--ISNUMBER(SEARCH(", "&amp;$B17&amp;", ",", "&amp;'Quà cảm ơn'!$B$7:$B$500&amp;", ")))+SUMPRODUCT(--ISNUMBER(SEARCH(", "&amp;$B17&amp;", ",", "&amp;'Trang chủ'!$B$7:$B$500&amp;", ")))+SUMPRODUCT(--ISNUMBER(SEARCH(", "&amp;$B17&amp;", ",", "&amp;'Thông báo'!$B$7:$B$500&amp;", ")))+SUMPRODUCT(--ISNUMBER(SEARCH(", "&amp;$B17&amp;", ",", "&amp;'Đăng tin &amp; Quản lý tin'!$B$7:$B$500&amp;", ")))+SUMPRODUCT(--ISNUMBER(SEARCH(", "&amp;$B17&amp;", ",", "&amp;'Trust &amp; Safety'!$B$7:$B$500&amp;", ")))+SUMPRODUCT(--ISNUMBER(SEARCH(", "&amp;$B17&amp;", ",", "&amp;'Tài khoản &amp; Hồ sơ'!$B$7:$B$500&amp;", ")))</f>
        <v>1</v>
      </c>
      <c r="F17" s="51" t="n">
        <f aca="false">SUMPRODUCT(--ISNUMBER(SEARCH(", "&amp;$B17&amp;", ",", "&amp;'Hoạt động (Đơn của tôi)'!$B$7:$B$500&amp;", ")),--('Hoạt động (Đơn của tôi)'!$AT$7:$AT$500&lt;&gt;""))+SUMPRODUCT(--ISNUMBER(SEARCH(", "&amp;$B17&amp;", ",", "&amp;'Ghép nối'!$B$7:$B$500&amp;", ")),--('Ghép nối'!$AT$7:$AT$500&lt;&gt;""))+SUMPRODUCT(--ISNUMBER(SEARCH(", "&amp;$B17&amp;", ",", "&amp;'Huỷ đơn - Huỷ nhận đơn'!$B$7:$B$500&amp;", ")),--('Huỷ đơn - Huỷ nhận đơn'!$AT$7:$AT$500&lt;&gt;""))+SUMPRODUCT(--ISNUMBER(SEARCH(", "&amp;$B17&amp;", ",", "&amp;'Giao nhận &amp; Theo dõi đơn'!$B$7:$B$500&amp;", ")),--('Giao nhận &amp; Theo dõi đơn'!$AT$7:$AT$500&lt;&gt;""))+SUMPRODUCT(--ISNUMBER(SEARCH(", "&amp;$B17&amp;", ",", "&amp;'Bảng tin &amp; Chi tiết tin'!$B$7:$B$500&amp;", ")),--('Bảng tin &amp; Chi tiết tin'!$AT$7:$AT$500&lt;&gt;""))+SUMPRODUCT(--ISNUMBER(SEARCH(", "&amp;$B17&amp;", ",", "&amp;'Quà cảm ơn'!$B$7:$B$500&amp;", ")),--('Quà cảm ơn'!$AT$7:$AT$500&lt;&gt;""))+SUMPRODUCT(--ISNUMBER(SEARCH(", "&amp;$B17&amp;", ",", "&amp;'Trang chủ'!$B$7:$B$500&amp;", ")),--('Trang chủ'!$AT$7:$AT$500&lt;&gt;""))+SUMPRODUCT(--ISNUMBER(SEARCH(", "&amp;$B17&amp;", ",", "&amp;'Thông báo'!$B$7:$B$500&amp;", ")),--('Thông báo'!$AT$7:$AT$500&lt;&gt;""))+SUMPRODUCT(--ISNUMBER(SEARCH(", "&amp;$B17&amp;", ",", "&amp;'Đăng tin &amp; Quản lý tin'!$B$7:$B$500&amp;", ")),--('Đăng tin &amp; Quản lý tin'!$AT$7:$AT$500&lt;&gt;""))+SUMPRODUCT(--ISNUMBER(SEARCH(", "&amp;$B17&amp;", ",", "&amp;'Trust &amp; Safety'!$B$7:$B$500&amp;", ")),--('Trust &amp; Safety'!$AT$7:$AT$500&lt;&gt;""))+SUMPRODUCT(--ISNUMBER(SEARCH(", "&amp;$B17&amp;", ",", "&amp;'Tài khoản &amp; Hồ sơ'!$B$7:$B$500&amp;", ")),--('Tài khoản &amp; Hồ sơ'!$AT$7:$AT$500&lt;&gt;""))</f>
        <v>1</v>
      </c>
      <c r="G17" s="51" t="n">
        <f aca="false">SUMPRODUCT(--ISNUMBER(SEARCH(", "&amp;$B17&amp;", ",", "&amp;'Hoạt động (Đơn của tôi)'!$B$7:$B$500&amp;", ")),--('Hoạt động (Đơn của tôi)'!$AT$7:$AT$500="Pass"))+SUMPRODUCT(--ISNUMBER(SEARCH(", "&amp;$B17&amp;", ",", "&amp;'Ghép nối'!$B$7:$B$500&amp;", ")),--('Ghép nối'!$AT$7:$AT$500="Pass"))+SUMPRODUCT(--ISNUMBER(SEARCH(", "&amp;$B17&amp;", ",", "&amp;'Huỷ đơn - Huỷ nhận đơn'!$B$7:$B$500&amp;", ")),--('Huỷ đơn - Huỷ nhận đơn'!$AT$7:$AT$500="Pass"))+SUMPRODUCT(--ISNUMBER(SEARCH(", "&amp;$B17&amp;", ",", "&amp;'Giao nhận &amp; Theo dõi đơn'!$B$7:$B$500&amp;", ")),--('Giao nhận &amp; Theo dõi đơn'!$AT$7:$AT$500="Pass"))+SUMPRODUCT(--ISNUMBER(SEARCH(", "&amp;$B17&amp;", ",", "&amp;'Bảng tin &amp; Chi tiết tin'!$B$7:$B$500&amp;", ")),--('Bảng tin &amp; Chi tiết tin'!$AT$7:$AT$500="Pass"))+SUMPRODUCT(--ISNUMBER(SEARCH(", "&amp;$B17&amp;", ",", "&amp;'Quà cảm ơn'!$B$7:$B$500&amp;", ")),--('Quà cảm ơn'!$AT$7:$AT$500="Pass"))+SUMPRODUCT(--ISNUMBER(SEARCH(", "&amp;$B17&amp;", ",", "&amp;'Trang chủ'!$B$7:$B$500&amp;", ")),--('Trang chủ'!$AT$7:$AT$500="Pass"))+SUMPRODUCT(--ISNUMBER(SEARCH(", "&amp;$B17&amp;", ",", "&amp;'Thông báo'!$B$7:$B$500&amp;", ")),--('Thông báo'!$AT$7:$AT$500="Pass"))+SUMPRODUCT(--ISNUMBER(SEARCH(", "&amp;$B17&amp;", ",", "&amp;'Đăng tin &amp; Quản lý tin'!$B$7:$B$500&amp;", ")),--('Đăng tin &amp; Quản lý tin'!$AT$7:$AT$500="Pass"))+SUMPRODUCT(--ISNUMBER(SEARCH(", "&amp;$B17&amp;", ",", "&amp;'Trust &amp; Safety'!$B$7:$B$500&amp;", ")),--('Trust &amp; Safety'!$AT$7:$AT$500="Pass"))+SUMPRODUCT(--ISNUMBER(SEARCH(", "&amp;$B17&amp;", ",", "&amp;'Tài khoản &amp; Hồ sơ'!$B$7:$B$500&amp;", ")),--('Tài khoản &amp; Hồ sơ'!$AT$7:$AT$500="Pass"))</f>
        <v>0</v>
      </c>
      <c r="H17" s="51" t="n">
        <f aca="false">SUMPRODUCT(--ISNUMBER(SEARCH(", "&amp;$B17&amp;", ",", "&amp;'Hoạt động (Đơn của tôi)'!$B$7:$B$500&amp;", ")),--('Hoạt động (Đơn của tôi)'!$AT$7:$AT$500="Fail"))+SUMPRODUCT(--ISNUMBER(SEARCH(", "&amp;$B17&amp;", ",", "&amp;'Ghép nối'!$B$7:$B$500&amp;", ")),--('Ghép nối'!$AT$7:$AT$500="Fail"))+SUMPRODUCT(--ISNUMBER(SEARCH(", "&amp;$B17&amp;", ",", "&amp;'Huỷ đơn - Huỷ nhận đơn'!$B$7:$B$500&amp;", ")),--('Huỷ đơn - Huỷ nhận đơn'!$AT$7:$AT$500="Fail"))+SUMPRODUCT(--ISNUMBER(SEARCH(", "&amp;$B17&amp;", ",", "&amp;'Giao nhận &amp; Theo dõi đơn'!$B$7:$B$500&amp;", ")),--('Giao nhận &amp; Theo dõi đơn'!$AT$7:$AT$500="Fail"))+SUMPRODUCT(--ISNUMBER(SEARCH(", "&amp;$B17&amp;", ",", "&amp;'Bảng tin &amp; Chi tiết tin'!$B$7:$B$500&amp;", ")),--('Bảng tin &amp; Chi tiết tin'!$AT$7:$AT$500="Fail"))+SUMPRODUCT(--ISNUMBER(SEARCH(", "&amp;$B17&amp;", ",", "&amp;'Quà cảm ơn'!$B$7:$B$500&amp;", ")),--('Quà cảm ơn'!$AT$7:$AT$500="Fail"))+SUMPRODUCT(--ISNUMBER(SEARCH(", "&amp;$B17&amp;", ",", "&amp;'Trang chủ'!$B$7:$B$500&amp;", ")),--('Trang chủ'!$AT$7:$AT$500="Fail"))+SUMPRODUCT(--ISNUMBER(SEARCH(", "&amp;$B17&amp;", ",", "&amp;'Thông báo'!$B$7:$B$500&amp;", ")),--('Thông báo'!$AT$7:$AT$500="Fail"))+SUMPRODUCT(--ISNUMBER(SEARCH(", "&amp;$B17&amp;", ",", "&amp;'Đăng tin &amp; Quản lý tin'!$B$7:$B$500&amp;", ")),--('Đăng tin &amp; Quản lý tin'!$AT$7:$AT$500="Fail"))+SUMPRODUCT(--ISNUMBER(SEARCH(", "&amp;$B17&amp;", ",", "&amp;'Trust &amp; Safety'!$B$7:$B$500&amp;", ")),--('Trust &amp; Safety'!$AT$7:$AT$500="Fail"))+SUMPRODUCT(--ISNUMBER(SEARCH(", "&amp;$B17&amp;", ",", "&amp;'Tài khoản &amp; Hồ sơ'!$B$7:$B$500&amp;", ")),--('Tài khoản &amp; Hồ sơ'!$AT$7:$AT$500="Fail"))</f>
        <v>0</v>
      </c>
      <c r="I17" s="51" t="n">
        <f aca="false">SUMPRODUCT(--ISNUMBER(SEARCH(", "&amp;$B17&amp;", ",", "&amp;'Hoạt động (Đơn của tôi)'!$B$7:$B$500&amp;", ")),--('Hoạt động (Đơn của tôi)'!$AT$7:$AT$500="Block"))+SUMPRODUCT(--ISNUMBER(SEARCH(", "&amp;$B17&amp;", ",", "&amp;'Ghép nối'!$B$7:$B$500&amp;", ")),--('Ghép nối'!$AT$7:$AT$500="Block"))+SUMPRODUCT(--ISNUMBER(SEARCH(", "&amp;$B17&amp;", ",", "&amp;'Huỷ đơn - Huỷ nhận đơn'!$B$7:$B$500&amp;", ")),--('Huỷ đơn - Huỷ nhận đơn'!$AT$7:$AT$500="Block"))+SUMPRODUCT(--ISNUMBER(SEARCH(", "&amp;$B17&amp;", ",", "&amp;'Giao nhận &amp; Theo dõi đơn'!$B$7:$B$500&amp;", ")),--('Giao nhận &amp; Theo dõi đơn'!$AT$7:$AT$500="Block"))+SUMPRODUCT(--ISNUMBER(SEARCH(", "&amp;$B17&amp;", ",", "&amp;'Bảng tin &amp; Chi tiết tin'!$B$7:$B$500&amp;", ")),--('Bảng tin &amp; Chi tiết tin'!$AT$7:$AT$500="Block"))+SUMPRODUCT(--ISNUMBER(SEARCH(", "&amp;$B17&amp;", ",", "&amp;'Quà cảm ơn'!$B$7:$B$500&amp;", ")),--('Quà cảm ơn'!$AT$7:$AT$500="Block"))+SUMPRODUCT(--ISNUMBER(SEARCH(", "&amp;$B17&amp;", ",", "&amp;'Trang chủ'!$B$7:$B$500&amp;", ")),--('Trang chủ'!$AT$7:$AT$500="Block"))+SUMPRODUCT(--ISNUMBER(SEARCH(", "&amp;$B17&amp;", ",", "&amp;'Thông báo'!$B$7:$B$500&amp;", ")),--('Thông báo'!$AT$7:$AT$500="Block"))+SUMPRODUCT(--ISNUMBER(SEARCH(", "&amp;$B17&amp;", ",", "&amp;'Đăng tin &amp; Quản lý tin'!$B$7:$B$500&amp;", ")),--('Đăng tin &amp; Quản lý tin'!$AT$7:$AT$500="Block"))+SUMPRODUCT(--ISNUMBER(SEARCH(", "&amp;$B17&amp;", ",", "&amp;'Trust &amp; Safety'!$B$7:$B$500&amp;", ")),--('Trust &amp; Safety'!$AT$7:$AT$500="Block"))+SUMPRODUCT(--ISNUMBER(SEARCH(", "&amp;$B17&amp;", ",", "&amp;'Tài khoản &amp; Hồ sơ'!$B$7:$B$500&amp;", ")),--('Tài khoản &amp; Hồ sơ'!$AT$7:$AT$500="Block"))</f>
        <v>1</v>
      </c>
      <c r="J17" s="51" t="n">
        <f aca="false">SUMPRODUCT(--ISNUMBER(SEARCH(", "&amp;$B17&amp;", ",", "&amp;'Hoạt động (Đơn của tôi)'!$B$7:$B$500&amp;", ")),--('Hoạt động (Đơn của tôi)'!$AT$7:$AT$500="N/A"))+SUMPRODUCT(--ISNUMBER(SEARCH(", "&amp;$B17&amp;", ",", "&amp;'Ghép nối'!$B$7:$B$500&amp;", ")),--('Ghép nối'!$AT$7:$AT$500="N/A"))+SUMPRODUCT(--ISNUMBER(SEARCH(", "&amp;$B17&amp;", ",", "&amp;'Huỷ đơn - Huỷ nhận đơn'!$B$7:$B$500&amp;", ")),--('Huỷ đơn - Huỷ nhận đơn'!$AT$7:$AT$500="N/A"))+SUMPRODUCT(--ISNUMBER(SEARCH(", "&amp;$B17&amp;", ",", "&amp;'Giao nhận &amp; Theo dõi đơn'!$B$7:$B$500&amp;", ")),--('Giao nhận &amp; Theo dõi đơn'!$AT$7:$AT$500="N/A"))+SUMPRODUCT(--ISNUMBER(SEARCH(", "&amp;$B17&amp;", ",", "&amp;'Bảng tin &amp; Chi tiết tin'!$B$7:$B$500&amp;", ")),--('Bảng tin &amp; Chi tiết tin'!$AT$7:$AT$500="N/A"))+SUMPRODUCT(--ISNUMBER(SEARCH(", "&amp;$B17&amp;", ",", "&amp;'Quà cảm ơn'!$B$7:$B$500&amp;", ")),--('Quà cảm ơn'!$AT$7:$AT$500="N/A"))+SUMPRODUCT(--ISNUMBER(SEARCH(", "&amp;$B17&amp;", ",", "&amp;'Trang chủ'!$B$7:$B$500&amp;", ")),--('Trang chủ'!$AT$7:$AT$500="N/A"))+SUMPRODUCT(--ISNUMBER(SEARCH(", "&amp;$B17&amp;", ",", "&amp;'Thông báo'!$B$7:$B$500&amp;", ")),--('Thông báo'!$AT$7:$AT$500="N/A"))+SUMPRODUCT(--ISNUMBER(SEARCH(", "&amp;$B17&amp;", ",", "&amp;'Đăng tin &amp; Quản lý tin'!$B$7:$B$500&amp;", ")),--('Đăng tin &amp; Quản lý tin'!$AT$7:$AT$500="N/A"))+SUMPRODUCT(--ISNUMBER(SEARCH(", "&amp;$B17&amp;", ",", "&amp;'Trust &amp; Safety'!$B$7:$B$500&amp;", ")),--('Trust &amp; Safety'!$AT$7:$AT$500="N/A"))+SUMPRODUCT(--ISNUMBER(SEARCH(", "&amp;$B17&amp;", ",", "&amp;'Tài khoản &amp; Hồ sơ'!$B$7:$B$500&amp;", ")),--('Tài khoản &amp; Hồ sơ'!$AT$7:$AT$500="N/A"))</f>
        <v>0</v>
      </c>
      <c r="K17" s="52" t="n">
        <f aca="false">IFERROR(F17/E17,0)</f>
        <v>1</v>
      </c>
      <c r="L17" s="124" t="str">
        <f aca="false">IF(E17=0,"Chưa có TC (gap)",IF(H17&gt;0,"Có lỗi (Fail)",IF(I17&gt;0,"Bị block",IF(F17&lt;E17,"Đang test",IF(G17=0,"Không áp dụng (N/A)","Đã test xong")))))</f>
        <v>Bị block</v>
      </c>
      <c r="AB17" s="0" t="s">
        <v>503</v>
      </c>
    </row>
    <row r="18" customFormat="false" ht="46.25" hidden="false" customHeight="false" outlineLevel="0" collapsed="false">
      <c r="A18" s="1"/>
      <c r="B18" s="176" t="s">
        <v>543</v>
      </c>
      <c r="C18" s="177" t="s">
        <v>544</v>
      </c>
      <c r="D18" s="124" t="s">
        <v>545</v>
      </c>
      <c r="E18" s="51" t="n">
        <f aca="false">SUMPRODUCT(--ISNUMBER(SEARCH(", "&amp;$B18&amp;", ",", "&amp;'Hoạt động (Đơn của tôi)'!$B$7:$B$500&amp;", ")))+SUMPRODUCT(--ISNUMBER(SEARCH(", "&amp;$B18&amp;", ",", "&amp;'Ghép nối'!$B$7:$B$500&amp;", ")))+SUMPRODUCT(--ISNUMBER(SEARCH(", "&amp;$B18&amp;", ",", "&amp;'Huỷ đơn - Huỷ nhận đơn'!$B$7:$B$500&amp;", ")))+SUMPRODUCT(--ISNUMBER(SEARCH(", "&amp;$B18&amp;", ",", "&amp;'Giao nhận &amp; Theo dõi đơn'!$B$7:$B$500&amp;", ")))+SUMPRODUCT(--ISNUMBER(SEARCH(", "&amp;$B18&amp;", ",", "&amp;'Bảng tin &amp; Chi tiết tin'!$B$7:$B$500&amp;", ")))+SUMPRODUCT(--ISNUMBER(SEARCH(", "&amp;$B18&amp;", ",", "&amp;'Quà cảm ơn'!$B$7:$B$500&amp;", ")))+SUMPRODUCT(--ISNUMBER(SEARCH(", "&amp;$B18&amp;", ",", "&amp;'Trang chủ'!$B$7:$B$500&amp;", ")))+SUMPRODUCT(--ISNUMBER(SEARCH(", "&amp;$B18&amp;", ",", "&amp;'Thông báo'!$B$7:$B$500&amp;", ")))+SUMPRODUCT(--ISNUMBER(SEARCH(", "&amp;$B18&amp;", ",", "&amp;'Đăng tin &amp; Quản lý tin'!$B$7:$B$500&amp;", ")))+SUMPRODUCT(--ISNUMBER(SEARCH(", "&amp;$B18&amp;", ",", "&amp;'Trust &amp; Safety'!$B$7:$B$500&amp;", ")))+SUMPRODUCT(--ISNUMBER(SEARCH(", "&amp;$B18&amp;", ",", "&amp;'Tài khoản &amp; Hồ sơ'!$B$7:$B$500&amp;", ")))</f>
        <v>2</v>
      </c>
      <c r="F18" s="51" t="n">
        <f aca="false">SUMPRODUCT(--ISNUMBER(SEARCH(", "&amp;$B18&amp;", ",", "&amp;'Hoạt động (Đơn của tôi)'!$B$7:$B$500&amp;", ")),--('Hoạt động (Đơn của tôi)'!$AT$7:$AT$500&lt;&gt;""))+SUMPRODUCT(--ISNUMBER(SEARCH(", "&amp;$B18&amp;", ",", "&amp;'Ghép nối'!$B$7:$B$500&amp;", ")),--('Ghép nối'!$AT$7:$AT$500&lt;&gt;""))+SUMPRODUCT(--ISNUMBER(SEARCH(", "&amp;$B18&amp;", ",", "&amp;'Huỷ đơn - Huỷ nhận đơn'!$B$7:$B$500&amp;", ")),--('Huỷ đơn - Huỷ nhận đơn'!$AT$7:$AT$500&lt;&gt;""))+SUMPRODUCT(--ISNUMBER(SEARCH(", "&amp;$B18&amp;", ",", "&amp;'Giao nhận &amp; Theo dõi đơn'!$B$7:$B$500&amp;", ")),--('Giao nhận &amp; Theo dõi đơn'!$AT$7:$AT$500&lt;&gt;""))+SUMPRODUCT(--ISNUMBER(SEARCH(", "&amp;$B18&amp;", ",", "&amp;'Bảng tin &amp; Chi tiết tin'!$B$7:$B$500&amp;", ")),--('Bảng tin &amp; Chi tiết tin'!$AT$7:$AT$500&lt;&gt;""))+SUMPRODUCT(--ISNUMBER(SEARCH(", "&amp;$B18&amp;", ",", "&amp;'Quà cảm ơn'!$B$7:$B$500&amp;", ")),--('Quà cảm ơn'!$AT$7:$AT$500&lt;&gt;""))+SUMPRODUCT(--ISNUMBER(SEARCH(", "&amp;$B18&amp;", ",", "&amp;'Trang chủ'!$B$7:$B$500&amp;", ")),--('Trang chủ'!$AT$7:$AT$500&lt;&gt;""))+SUMPRODUCT(--ISNUMBER(SEARCH(", "&amp;$B18&amp;", ",", "&amp;'Thông báo'!$B$7:$B$500&amp;", ")),--('Thông báo'!$AT$7:$AT$500&lt;&gt;""))+SUMPRODUCT(--ISNUMBER(SEARCH(", "&amp;$B18&amp;", ",", "&amp;'Đăng tin &amp; Quản lý tin'!$B$7:$B$500&amp;", ")),--('Đăng tin &amp; Quản lý tin'!$AT$7:$AT$500&lt;&gt;""))+SUMPRODUCT(--ISNUMBER(SEARCH(", "&amp;$B18&amp;", ",", "&amp;'Trust &amp; Safety'!$B$7:$B$500&amp;", ")),--('Trust &amp; Safety'!$AT$7:$AT$500&lt;&gt;""))+SUMPRODUCT(--ISNUMBER(SEARCH(", "&amp;$B18&amp;", ",", "&amp;'Tài khoản &amp; Hồ sơ'!$B$7:$B$500&amp;", ")),--('Tài khoản &amp; Hồ sơ'!$AT$7:$AT$500&lt;&gt;""))</f>
        <v>2</v>
      </c>
      <c r="G18" s="51" t="n">
        <f aca="false">SUMPRODUCT(--ISNUMBER(SEARCH(", "&amp;$B18&amp;", ",", "&amp;'Hoạt động (Đơn của tôi)'!$B$7:$B$500&amp;", ")),--('Hoạt động (Đơn của tôi)'!$AT$7:$AT$500="Pass"))+SUMPRODUCT(--ISNUMBER(SEARCH(", "&amp;$B18&amp;", ",", "&amp;'Ghép nối'!$B$7:$B$500&amp;", ")),--('Ghép nối'!$AT$7:$AT$500="Pass"))+SUMPRODUCT(--ISNUMBER(SEARCH(", "&amp;$B18&amp;", ",", "&amp;'Huỷ đơn - Huỷ nhận đơn'!$B$7:$B$500&amp;", ")),--('Huỷ đơn - Huỷ nhận đơn'!$AT$7:$AT$500="Pass"))+SUMPRODUCT(--ISNUMBER(SEARCH(", "&amp;$B18&amp;", ",", "&amp;'Giao nhận &amp; Theo dõi đơn'!$B$7:$B$500&amp;", ")),--('Giao nhận &amp; Theo dõi đơn'!$AT$7:$AT$500="Pass"))+SUMPRODUCT(--ISNUMBER(SEARCH(", "&amp;$B18&amp;", ",", "&amp;'Bảng tin &amp; Chi tiết tin'!$B$7:$B$500&amp;", ")),--('Bảng tin &amp; Chi tiết tin'!$AT$7:$AT$500="Pass"))+SUMPRODUCT(--ISNUMBER(SEARCH(", "&amp;$B18&amp;", ",", "&amp;'Quà cảm ơn'!$B$7:$B$500&amp;", ")),--('Quà cảm ơn'!$AT$7:$AT$500="Pass"))+SUMPRODUCT(--ISNUMBER(SEARCH(", "&amp;$B18&amp;", ",", "&amp;'Trang chủ'!$B$7:$B$500&amp;", ")),--('Trang chủ'!$AT$7:$AT$500="Pass"))+SUMPRODUCT(--ISNUMBER(SEARCH(", "&amp;$B18&amp;", ",", "&amp;'Thông báo'!$B$7:$B$500&amp;", ")),--('Thông báo'!$AT$7:$AT$500="Pass"))+SUMPRODUCT(--ISNUMBER(SEARCH(", "&amp;$B18&amp;", ",", "&amp;'Đăng tin &amp; Quản lý tin'!$B$7:$B$500&amp;", ")),--('Đăng tin &amp; Quản lý tin'!$AT$7:$AT$500="Pass"))+SUMPRODUCT(--ISNUMBER(SEARCH(", "&amp;$B18&amp;", ",", "&amp;'Trust &amp; Safety'!$B$7:$B$500&amp;", ")),--('Trust &amp; Safety'!$AT$7:$AT$500="Pass"))+SUMPRODUCT(--ISNUMBER(SEARCH(", "&amp;$B18&amp;", ",", "&amp;'Tài khoản &amp; Hồ sơ'!$B$7:$B$500&amp;", ")),--('Tài khoản &amp; Hồ sơ'!$AT$7:$AT$500="Pass"))</f>
        <v>1</v>
      </c>
      <c r="H18" s="51" t="n">
        <f aca="false">SUMPRODUCT(--ISNUMBER(SEARCH(", "&amp;$B18&amp;", ",", "&amp;'Hoạt động (Đơn của tôi)'!$B$7:$B$500&amp;", ")),--('Hoạt động (Đơn của tôi)'!$AT$7:$AT$500="Fail"))+SUMPRODUCT(--ISNUMBER(SEARCH(", "&amp;$B18&amp;", ",", "&amp;'Ghép nối'!$B$7:$B$500&amp;", ")),--('Ghép nối'!$AT$7:$AT$500="Fail"))+SUMPRODUCT(--ISNUMBER(SEARCH(", "&amp;$B18&amp;", ",", "&amp;'Huỷ đơn - Huỷ nhận đơn'!$B$7:$B$500&amp;", ")),--('Huỷ đơn - Huỷ nhận đơn'!$AT$7:$AT$500="Fail"))+SUMPRODUCT(--ISNUMBER(SEARCH(", "&amp;$B18&amp;", ",", "&amp;'Giao nhận &amp; Theo dõi đơn'!$B$7:$B$500&amp;", ")),--('Giao nhận &amp; Theo dõi đơn'!$AT$7:$AT$500="Fail"))+SUMPRODUCT(--ISNUMBER(SEARCH(", "&amp;$B18&amp;", ",", "&amp;'Bảng tin &amp; Chi tiết tin'!$B$7:$B$500&amp;", ")),--('Bảng tin &amp; Chi tiết tin'!$AT$7:$AT$500="Fail"))+SUMPRODUCT(--ISNUMBER(SEARCH(", "&amp;$B18&amp;", ",", "&amp;'Quà cảm ơn'!$B$7:$B$500&amp;", ")),--('Quà cảm ơn'!$AT$7:$AT$500="Fail"))+SUMPRODUCT(--ISNUMBER(SEARCH(", "&amp;$B18&amp;", ",", "&amp;'Trang chủ'!$B$7:$B$500&amp;", ")),--('Trang chủ'!$AT$7:$AT$500="Fail"))+SUMPRODUCT(--ISNUMBER(SEARCH(", "&amp;$B18&amp;", ",", "&amp;'Thông báo'!$B$7:$B$500&amp;", ")),--('Thông báo'!$AT$7:$AT$500="Fail"))+SUMPRODUCT(--ISNUMBER(SEARCH(", "&amp;$B18&amp;", ",", "&amp;'Đăng tin &amp; Quản lý tin'!$B$7:$B$500&amp;", ")),--('Đăng tin &amp; Quản lý tin'!$AT$7:$AT$500="Fail"))+SUMPRODUCT(--ISNUMBER(SEARCH(", "&amp;$B18&amp;", ",", "&amp;'Trust &amp; Safety'!$B$7:$B$500&amp;", ")),--('Trust &amp; Safety'!$AT$7:$AT$500="Fail"))+SUMPRODUCT(--ISNUMBER(SEARCH(", "&amp;$B18&amp;", ",", "&amp;'Tài khoản &amp; Hồ sơ'!$B$7:$B$500&amp;", ")),--('Tài khoản &amp; Hồ sơ'!$AT$7:$AT$500="Fail"))</f>
        <v>1</v>
      </c>
      <c r="I18" s="51" t="n">
        <f aca="false">SUMPRODUCT(--ISNUMBER(SEARCH(", "&amp;$B18&amp;", ",", "&amp;'Hoạt động (Đơn của tôi)'!$B$7:$B$500&amp;", ")),--('Hoạt động (Đơn của tôi)'!$AT$7:$AT$500="Block"))+SUMPRODUCT(--ISNUMBER(SEARCH(", "&amp;$B18&amp;", ",", "&amp;'Ghép nối'!$B$7:$B$500&amp;", ")),--('Ghép nối'!$AT$7:$AT$500="Block"))+SUMPRODUCT(--ISNUMBER(SEARCH(", "&amp;$B18&amp;", ",", "&amp;'Huỷ đơn - Huỷ nhận đơn'!$B$7:$B$500&amp;", ")),--('Huỷ đơn - Huỷ nhận đơn'!$AT$7:$AT$500="Block"))+SUMPRODUCT(--ISNUMBER(SEARCH(", "&amp;$B18&amp;", ",", "&amp;'Giao nhận &amp; Theo dõi đơn'!$B$7:$B$500&amp;", ")),--('Giao nhận &amp; Theo dõi đơn'!$AT$7:$AT$500="Block"))+SUMPRODUCT(--ISNUMBER(SEARCH(", "&amp;$B18&amp;", ",", "&amp;'Bảng tin &amp; Chi tiết tin'!$B$7:$B$500&amp;", ")),--('Bảng tin &amp; Chi tiết tin'!$AT$7:$AT$500="Block"))+SUMPRODUCT(--ISNUMBER(SEARCH(", "&amp;$B18&amp;", ",", "&amp;'Quà cảm ơn'!$B$7:$B$500&amp;", ")),--('Quà cảm ơn'!$AT$7:$AT$500="Block"))+SUMPRODUCT(--ISNUMBER(SEARCH(", "&amp;$B18&amp;", ",", "&amp;'Trang chủ'!$B$7:$B$500&amp;", ")),--('Trang chủ'!$AT$7:$AT$500="Block"))+SUMPRODUCT(--ISNUMBER(SEARCH(", "&amp;$B18&amp;", ",", "&amp;'Thông báo'!$B$7:$B$500&amp;", ")),--('Thông báo'!$AT$7:$AT$500="Block"))+SUMPRODUCT(--ISNUMBER(SEARCH(", "&amp;$B18&amp;", ",", "&amp;'Đăng tin &amp; Quản lý tin'!$B$7:$B$500&amp;", ")),--('Đăng tin &amp; Quản lý tin'!$AT$7:$AT$500="Block"))+SUMPRODUCT(--ISNUMBER(SEARCH(", "&amp;$B18&amp;", ",", "&amp;'Trust &amp; Safety'!$B$7:$B$500&amp;", ")),--('Trust &amp; Safety'!$AT$7:$AT$500="Block"))+SUMPRODUCT(--ISNUMBER(SEARCH(", "&amp;$B18&amp;", ",", "&amp;'Tài khoản &amp; Hồ sơ'!$B$7:$B$500&amp;", ")),--('Tài khoản &amp; Hồ sơ'!$AT$7:$AT$500="Block"))</f>
        <v>0</v>
      </c>
      <c r="J18" s="51" t="n">
        <f aca="false">SUMPRODUCT(--ISNUMBER(SEARCH(", "&amp;$B18&amp;", ",", "&amp;'Hoạt động (Đơn của tôi)'!$B$7:$B$500&amp;", ")),--('Hoạt động (Đơn của tôi)'!$AT$7:$AT$500="N/A"))+SUMPRODUCT(--ISNUMBER(SEARCH(", "&amp;$B18&amp;", ",", "&amp;'Ghép nối'!$B$7:$B$500&amp;", ")),--('Ghép nối'!$AT$7:$AT$500="N/A"))+SUMPRODUCT(--ISNUMBER(SEARCH(", "&amp;$B18&amp;", ",", "&amp;'Huỷ đơn - Huỷ nhận đơn'!$B$7:$B$500&amp;", ")),--('Huỷ đơn - Huỷ nhận đơn'!$AT$7:$AT$500="N/A"))+SUMPRODUCT(--ISNUMBER(SEARCH(", "&amp;$B18&amp;", ",", "&amp;'Giao nhận &amp; Theo dõi đơn'!$B$7:$B$500&amp;", ")),--('Giao nhận &amp; Theo dõi đơn'!$AT$7:$AT$500="N/A"))+SUMPRODUCT(--ISNUMBER(SEARCH(", "&amp;$B18&amp;", ",", "&amp;'Bảng tin &amp; Chi tiết tin'!$B$7:$B$500&amp;", ")),--('Bảng tin &amp; Chi tiết tin'!$AT$7:$AT$500="N/A"))+SUMPRODUCT(--ISNUMBER(SEARCH(", "&amp;$B18&amp;", ",", "&amp;'Quà cảm ơn'!$B$7:$B$500&amp;", ")),--('Quà cảm ơn'!$AT$7:$AT$500="N/A"))+SUMPRODUCT(--ISNUMBER(SEARCH(", "&amp;$B18&amp;", ",", "&amp;'Trang chủ'!$B$7:$B$500&amp;", ")),--('Trang chủ'!$AT$7:$AT$500="N/A"))+SUMPRODUCT(--ISNUMBER(SEARCH(", "&amp;$B18&amp;", ",", "&amp;'Thông báo'!$B$7:$B$500&amp;", ")),--('Thông báo'!$AT$7:$AT$500="N/A"))+SUMPRODUCT(--ISNUMBER(SEARCH(", "&amp;$B18&amp;", ",", "&amp;'Đăng tin &amp; Quản lý tin'!$B$7:$B$500&amp;", ")),--('Đăng tin &amp; Quản lý tin'!$AT$7:$AT$500="N/A"))+SUMPRODUCT(--ISNUMBER(SEARCH(", "&amp;$B18&amp;", ",", "&amp;'Trust &amp; Safety'!$B$7:$B$500&amp;", ")),--('Trust &amp; Safety'!$AT$7:$AT$500="N/A"))+SUMPRODUCT(--ISNUMBER(SEARCH(", "&amp;$B18&amp;", ",", "&amp;'Tài khoản &amp; Hồ sơ'!$B$7:$B$500&amp;", ")),--('Tài khoản &amp; Hồ sơ'!$AT$7:$AT$500="N/A"))</f>
        <v>0</v>
      </c>
      <c r="K18" s="52" t="n">
        <f aca="false">IFERROR(F18/E18,0)</f>
        <v>1</v>
      </c>
      <c r="L18" s="124" t="str">
        <f aca="false">IF(E18=0,"Chưa có TC (gap)",IF(H18&gt;0,"Có lỗi (Fail)",IF(I18&gt;0,"Bị block",IF(F18&lt;E18,"Đang test",IF(G18=0,"Không áp dụng (N/A)","Đã test xong")))))</f>
        <v>Có lỗi (Fail)</v>
      </c>
      <c r="AB18" s="0" t="s">
        <v>507</v>
      </c>
    </row>
    <row r="19" customFormat="false" ht="46.25" hidden="false" customHeight="false" outlineLevel="0" collapsed="false">
      <c r="A19" s="1"/>
      <c r="B19" s="176" t="s">
        <v>546</v>
      </c>
      <c r="C19" s="177" t="s">
        <v>547</v>
      </c>
      <c r="D19" s="124" t="s">
        <v>548</v>
      </c>
      <c r="E19" s="51" t="n">
        <f aca="false">SUMPRODUCT(--ISNUMBER(SEARCH(", "&amp;$B19&amp;", ",", "&amp;'Hoạt động (Đơn của tôi)'!$B$7:$B$500&amp;", ")))+SUMPRODUCT(--ISNUMBER(SEARCH(", "&amp;$B19&amp;", ",", "&amp;'Ghép nối'!$B$7:$B$500&amp;", ")))+SUMPRODUCT(--ISNUMBER(SEARCH(", "&amp;$B19&amp;", ",", "&amp;'Huỷ đơn - Huỷ nhận đơn'!$B$7:$B$500&amp;", ")))+SUMPRODUCT(--ISNUMBER(SEARCH(", "&amp;$B19&amp;", ",", "&amp;'Giao nhận &amp; Theo dõi đơn'!$B$7:$B$500&amp;", ")))+SUMPRODUCT(--ISNUMBER(SEARCH(", "&amp;$B19&amp;", ",", "&amp;'Bảng tin &amp; Chi tiết tin'!$B$7:$B$500&amp;", ")))+SUMPRODUCT(--ISNUMBER(SEARCH(", "&amp;$B19&amp;", ",", "&amp;'Quà cảm ơn'!$B$7:$B$500&amp;", ")))+SUMPRODUCT(--ISNUMBER(SEARCH(", "&amp;$B19&amp;", ",", "&amp;'Trang chủ'!$B$7:$B$500&amp;", ")))+SUMPRODUCT(--ISNUMBER(SEARCH(", "&amp;$B19&amp;", ",", "&amp;'Thông báo'!$B$7:$B$500&amp;", ")))+SUMPRODUCT(--ISNUMBER(SEARCH(", "&amp;$B19&amp;", ",", "&amp;'Đăng tin &amp; Quản lý tin'!$B$7:$B$500&amp;", ")))+SUMPRODUCT(--ISNUMBER(SEARCH(", "&amp;$B19&amp;", ",", "&amp;'Trust &amp; Safety'!$B$7:$B$500&amp;", ")))+SUMPRODUCT(--ISNUMBER(SEARCH(", "&amp;$B19&amp;", ",", "&amp;'Tài khoản &amp; Hồ sơ'!$B$7:$B$500&amp;", ")))</f>
        <v>4</v>
      </c>
      <c r="F19" s="51" t="n">
        <f aca="false">SUMPRODUCT(--ISNUMBER(SEARCH(", "&amp;$B19&amp;", ",", "&amp;'Hoạt động (Đơn của tôi)'!$B$7:$B$500&amp;", ")),--('Hoạt động (Đơn của tôi)'!$AT$7:$AT$500&lt;&gt;""))+SUMPRODUCT(--ISNUMBER(SEARCH(", "&amp;$B19&amp;", ",", "&amp;'Ghép nối'!$B$7:$B$500&amp;", ")),--('Ghép nối'!$AT$7:$AT$500&lt;&gt;""))+SUMPRODUCT(--ISNUMBER(SEARCH(", "&amp;$B19&amp;", ",", "&amp;'Huỷ đơn - Huỷ nhận đơn'!$B$7:$B$500&amp;", ")),--('Huỷ đơn - Huỷ nhận đơn'!$AT$7:$AT$500&lt;&gt;""))+SUMPRODUCT(--ISNUMBER(SEARCH(", "&amp;$B19&amp;", ",", "&amp;'Giao nhận &amp; Theo dõi đơn'!$B$7:$B$500&amp;", ")),--('Giao nhận &amp; Theo dõi đơn'!$AT$7:$AT$500&lt;&gt;""))+SUMPRODUCT(--ISNUMBER(SEARCH(", "&amp;$B19&amp;", ",", "&amp;'Bảng tin &amp; Chi tiết tin'!$B$7:$B$500&amp;", ")),--('Bảng tin &amp; Chi tiết tin'!$AT$7:$AT$500&lt;&gt;""))+SUMPRODUCT(--ISNUMBER(SEARCH(", "&amp;$B19&amp;", ",", "&amp;'Quà cảm ơn'!$B$7:$B$500&amp;", ")),--('Quà cảm ơn'!$AT$7:$AT$500&lt;&gt;""))+SUMPRODUCT(--ISNUMBER(SEARCH(", "&amp;$B19&amp;", ",", "&amp;'Trang chủ'!$B$7:$B$500&amp;", ")),--('Trang chủ'!$AT$7:$AT$500&lt;&gt;""))+SUMPRODUCT(--ISNUMBER(SEARCH(", "&amp;$B19&amp;", ",", "&amp;'Thông báo'!$B$7:$B$500&amp;", ")),--('Thông báo'!$AT$7:$AT$500&lt;&gt;""))+SUMPRODUCT(--ISNUMBER(SEARCH(", "&amp;$B19&amp;", ",", "&amp;'Đăng tin &amp; Quản lý tin'!$B$7:$B$500&amp;", ")),--('Đăng tin &amp; Quản lý tin'!$AT$7:$AT$500&lt;&gt;""))+SUMPRODUCT(--ISNUMBER(SEARCH(", "&amp;$B19&amp;", ",", "&amp;'Trust &amp; Safety'!$B$7:$B$500&amp;", ")),--('Trust &amp; Safety'!$AT$7:$AT$500&lt;&gt;""))+SUMPRODUCT(--ISNUMBER(SEARCH(", "&amp;$B19&amp;", ",", "&amp;'Tài khoản &amp; Hồ sơ'!$B$7:$B$500&amp;", ")),--('Tài khoản &amp; Hồ sơ'!$AT$7:$AT$500&lt;&gt;""))</f>
        <v>4</v>
      </c>
      <c r="G19" s="51" t="n">
        <f aca="false">SUMPRODUCT(--ISNUMBER(SEARCH(", "&amp;$B19&amp;", ",", "&amp;'Hoạt động (Đơn của tôi)'!$B$7:$B$500&amp;", ")),--('Hoạt động (Đơn của tôi)'!$AT$7:$AT$500="Pass"))+SUMPRODUCT(--ISNUMBER(SEARCH(", "&amp;$B19&amp;", ",", "&amp;'Ghép nối'!$B$7:$B$500&amp;", ")),--('Ghép nối'!$AT$7:$AT$500="Pass"))+SUMPRODUCT(--ISNUMBER(SEARCH(", "&amp;$B19&amp;", ",", "&amp;'Huỷ đơn - Huỷ nhận đơn'!$B$7:$B$500&amp;", ")),--('Huỷ đơn - Huỷ nhận đơn'!$AT$7:$AT$500="Pass"))+SUMPRODUCT(--ISNUMBER(SEARCH(", "&amp;$B19&amp;", ",", "&amp;'Giao nhận &amp; Theo dõi đơn'!$B$7:$B$500&amp;", ")),--('Giao nhận &amp; Theo dõi đơn'!$AT$7:$AT$500="Pass"))+SUMPRODUCT(--ISNUMBER(SEARCH(", "&amp;$B19&amp;", ",", "&amp;'Bảng tin &amp; Chi tiết tin'!$B$7:$B$500&amp;", ")),--('Bảng tin &amp; Chi tiết tin'!$AT$7:$AT$500="Pass"))+SUMPRODUCT(--ISNUMBER(SEARCH(", "&amp;$B19&amp;", ",", "&amp;'Quà cảm ơn'!$B$7:$B$500&amp;", ")),--('Quà cảm ơn'!$AT$7:$AT$500="Pass"))+SUMPRODUCT(--ISNUMBER(SEARCH(", "&amp;$B19&amp;", ",", "&amp;'Trang chủ'!$B$7:$B$500&amp;", ")),--('Trang chủ'!$AT$7:$AT$500="Pass"))+SUMPRODUCT(--ISNUMBER(SEARCH(", "&amp;$B19&amp;", ",", "&amp;'Thông báo'!$B$7:$B$500&amp;", ")),--('Thông báo'!$AT$7:$AT$500="Pass"))+SUMPRODUCT(--ISNUMBER(SEARCH(", "&amp;$B19&amp;", ",", "&amp;'Đăng tin &amp; Quản lý tin'!$B$7:$B$500&amp;", ")),--('Đăng tin &amp; Quản lý tin'!$AT$7:$AT$500="Pass"))+SUMPRODUCT(--ISNUMBER(SEARCH(", "&amp;$B19&amp;", ",", "&amp;'Trust &amp; Safety'!$B$7:$B$500&amp;", ")),--('Trust &amp; Safety'!$AT$7:$AT$500="Pass"))+SUMPRODUCT(--ISNUMBER(SEARCH(", "&amp;$B19&amp;", ",", "&amp;'Tài khoản &amp; Hồ sơ'!$B$7:$B$500&amp;", ")),--('Tài khoản &amp; Hồ sơ'!$AT$7:$AT$500="Pass"))</f>
        <v>3</v>
      </c>
      <c r="H19" s="51" t="n">
        <f aca="false">SUMPRODUCT(--ISNUMBER(SEARCH(", "&amp;$B19&amp;", ",", "&amp;'Hoạt động (Đơn của tôi)'!$B$7:$B$500&amp;", ")),--('Hoạt động (Đơn của tôi)'!$AT$7:$AT$500="Fail"))+SUMPRODUCT(--ISNUMBER(SEARCH(", "&amp;$B19&amp;", ",", "&amp;'Ghép nối'!$B$7:$B$500&amp;", ")),--('Ghép nối'!$AT$7:$AT$500="Fail"))+SUMPRODUCT(--ISNUMBER(SEARCH(", "&amp;$B19&amp;", ",", "&amp;'Huỷ đơn - Huỷ nhận đơn'!$B$7:$B$500&amp;", ")),--('Huỷ đơn - Huỷ nhận đơn'!$AT$7:$AT$500="Fail"))+SUMPRODUCT(--ISNUMBER(SEARCH(", "&amp;$B19&amp;", ",", "&amp;'Giao nhận &amp; Theo dõi đơn'!$B$7:$B$500&amp;", ")),--('Giao nhận &amp; Theo dõi đơn'!$AT$7:$AT$500="Fail"))+SUMPRODUCT(--ISNUMBER(SEARCH(", "&amp;$B19&amp;", ",", "&amp;'Bảng tin &amp; Chi tiết tin'!$B$7:$B$500&amp;", ")),--('Bảng tin &amp; Chi tiết tin'!$AT$7:$AT$500="Fail"))+SUMPRODUCT(--ISNUMBER(SEARCH(", "&amp;$B19&amp;", ",", "&amp;'Quà cảm ơn'!$B$7:$B$500&amp;", ")),--('Quà cảm ơn'!$AT$7:$AT$500="Fail"))+SUMPRODUCT(--ISNUMBER(SEARCH(", "&amp;$B19&amp;", ",", "&amp;'Trang chủ'!$B$7:$B$500&amp;", ")),--('Trang chủ'!$AT$7:$AT$500="Fail"))+SUMPRODUCT(--ISNUMBER(SEARCH(", "&amp;$B19&amp;", ",", "&amp;'Thông báo'!$B$7:$B$500&amp;", ")),--('Thông báo'!$AT$7:$AT$500="Fail"))+SUMPRODUCT(--ISNUMBER(SEARCH(", "&amp;$B19&amp;", ",", "&amp;'Đăng tin &amp; Quản lý tin'!$B$7:$B$500&amp;", ")),--('Đăng tin &amp; Quản lý tin'!$AT$7:$AT$500="Fail"))+SUMPRODUCT(--ISNUMBER(SEARCH(", "&amp;$B19&amp;", ",", "&amp;'Trust &amp; Safety'!$B$7:$B$500&amp;", ")),--('Trust &amp; Safety'!$AT$7:$AT$500="Fail"))+SUMPRODUCT(--ISNUMBER(SEARCH(", "&amp;$B19&amp;", ",", "&amp;'Tài khoản &amp; Hồ sơ'!$B$7:$B$500&amp;", ")),--('Tài khoản &amp; Hồ sơ'!$AT$7:$AT$500="Fail"))</f>
        <v>0</v>
      </c>
      <c r="I19" s="51" t="n">
        <f aca="false">SUMPRODUCT(--ISNUMBER(SEARCH(", "&amp;$B19&amp;", ",", "&amp;'Hoạt động (Đơn của tôi)'!$B$7:$B$500&amp;", ")),--('Hoạt động (Đơn của tôi)'!$AT$7:$AT$500="Block"))+SUMPRODUCT(--ISNUMBER(SEARCH(", "&amp;$B19&amp;", ",", "&amp;'Ghép nối'!$B$7:$B$500&amp;", ")),--('Ghép nối'!$AT$7:$AT$500="Block"))+SUMPRODUCT(--ISNUMBER(SEARCH(", "&amp;$B19&amp;", ",", "&amp;'Huỷ đơn - Huỷ nhận đơn'!$B$7:$B$500&amp;", ")),--('Huỷ đơn - Huỷ nhận đơn'!$AT$7:$AT$500="Block"))+SUMPRODUCT(--ISNUMBER(SEARCH(", "&amp;$B19&amp;", ",", "&amp;'Giao nhận &amp; Theo dõi đơn'!$B$7:$B$500&amp;", ")),--('Giao nhận &amp; Theo dõi đơn'!$AT$7:$AT$500="Block"))+SUMPRODUCT(--ISNUMBER(SEARCH(", "&amp;$B19&amp;", ",", "&amp;'Bảng tin &amp; Chi tiết tin'!$B$7:$B$500&amp;", ")),--('Bảng tin &amp; Chi tiết tin'!$AT$7:$AT$500="Block"))+SUMPRODUCT(--ISNUMBER(SEARCH(", "&amp;$B19&amp;", ",", "&amp;'Quà cảm ơn'!$B$7:$B$500&amp;", ")),--('Quà cảm ơn'!$AT$7:$AT$500="Block"))+SUMPRODUCT(--ISNUMBER(SEARCH(", "&amp;$B19&amp;", ",", "&amp;'Trang chủ'!$B$7:$B$500&amp;", ")),--('Trang chủ'!$AT$7:$AT$500="Block"))+SUMPRODUCT(--ISNUMBER(SEARCH(", "&amp;$B19&amp;", ",", "&amp;'Thông báo'!$B$7:$B$500&amp;", ")),--('Thông báo'!$AT$7:$AT$500="Block"))+SUMPRODUCT(--ISNUMBER(SEARCH(", "&amp;$B19&amp;", ",", "&amp;'Đăng tin &amp; Quản lý tin'!$B$7:$B$500&amp;", ")),--('Đăng tin &amp; Quản lý tin'!$AT$7:$AT$500="Block"))+SUMPRODUCT(--ISNUMBER(SEARCH(", "&amp;$B19&amp;", ",", "&amp;'Trust &amp; Safety'!$B$7:$B$500&amp;", ")),--('Trust &amp; Safety'!$AT$7:$AT$500="Block"))+SUMPRODUCT(--ISNUMBER(SEARCH(", "&amp;$B19&amp;", ",", "&amp;'Tài khoản &amp; Hồ sơ'!$B$7:$B$500&amp;", ")),--('Tài khoản &amp; Hồ sơ'!$AT$7:$AT$500="Block"))</f>
        <v>1</v>
      </c>
      <c r="J19" s="51" t="n">
        <f aca="false">SUMPRODUCT(--ISNUMBER(SEARCH(", "&amp;$B19&amp;", ",", "&amp;'Hoạt động (Đơn của tôi)'!$B$7:$B$500&amp;", ")),--('Hoạt động (Đơn của tôi)'!$AT$7:$AT$500="N/A"))+SUMPRODUCT(--ISNUMBER(SEARCH(", "&amp;$B19&amp;", ",", "&amp;'Ghép nối'!$B$7:$B$500&amp;", ")),--('Ghép nối'!$AT$7:$AT$500="N/A"))+SUMPRODUCT(--ISNUMBER(SEARCH(", "&amp;$B19&amp;", ",", "&amp;'Huỷ đơn - Huỷ nhận đơn'!$B$7:$B$500&amp;", ")),--('Huỷ đơn - Huỷ nhận đơn'!$AT$7:$AT$500="N/A"))+SUMPRODUCT(--ISNUMBER(SEARCH(", "&amp;$B19&amp;", ",", "&amp;'Giao nhận &amp; Theo dõi đơn'!$B$7:$B$500&amp;", ")),--('Giao nhận &amp; Theo dõi đơn'!$AT$7:$AT$500="N/A"))+SUMPRODUCT(--ISNUMBER(SEARCH(", "&amp;$B19&amp;", ",", "&amp;'Bảng tin &amp; Chi tiết tin'!$B$7:$B$500&amp;", ")),--('Bảng tin &amp; Chi tiết tin'!$AT$7:$AT$500="N/A"))+SUMPRODUCT(--ISNUMBER(SEARCH(", "&amp;$B19&amp;", ",", "&amp;'Quà cảm ơn'!$B$7:$B$500&amp;", ")),--('Quà cảm ơn'!$AT$7:$AT$500="N/A"))+SUMPRODUCT(--ISNUMBER(SEARCH(", "&amp;$B19&amp;", ",", "&amp;'Trang chủ'!$B$7:$B$500&amp;", ")),--('Trang chủ'!$AT$7:$AT$500="N/A"))+SUMPRODUCT(--ISNUMBER(SEARCH(", "&amp;$B19&amp;", ",", "&amp;'Thông báo'!$B$7:$B$500&amp;", ")),--('Thông báo'!$AT$7:$AT$500="N/A"))+SUMPRODUCT(--ISNUMBER(SEARCH(", "&amp;$B19&amp;", ",", "&amp;'Đăng tin &amp; Quản lý tin'!$B$7:$B$500&amp;", ")),--('Đăng tin &amp; Quản lý tin'!$AT$7:$AT$500="N/A"))+SUMPRODUCT(--ISNUMBER(SEARCH(", "&amp;$B19&amp;", ",", "&amp;'Trust &amp; Safety'!$B$7:$B$500&amp;", ")),--('Trust &amp; Safety'!$AT$7:$AT$500="N/A"))+SUMPRODUCT(--ISNUMBER(SEARCH(", "&amp;$B19&amp;", ",", "&amp;'Tài khoản &amp; Hồ sơ'!$B$7:$B$500&amp;", ")),--('Tài khoản &amp; Hồ sơ'!$AT$7:$AT$500="N/A"))</f>
        <v>0</v>
      </c>
      <c r="K19" s="52" t="n">
        <f aca="false">IFERROR(F19/E19,0)</f>
        <v>1</v>
      </c>
      <c r="L19" s="124" t="str">
        <f aca="false">IF(E19=0,"Chưa có TC (gap)",IF(H19&gt;0,"Có lỗi (Fail)",IF(I19&gt;0,"Bị block",IF(F19&lt;E19,"Đang test",IF(G19=0,"Không áp dụng (N/A)","Đã test xong")))))</f>
        <v>Bị block</v>
      </c>
      <c r="AB19" s="0" t="s">
        <v>507</v>
      </c>
    </row>
    <row r="20" customFormat="false" ht="46.25" hidden="false" customHeight="false" outlineLevel="0" collapsed="false">
      <c r="A20" s="1"/>
      <c r="B20" s="176" t="s">
        <v>549</v>
      </c>
      <c r="C20" s="177" t="s">
        <v>550</v>
      </c>
      <c r="D20" s="124" t="s">
        <v>551</v>
      </c>
      <c r="E20" s="51" t="n">
        <f aca="false">SUMPRODUCT(--ISNUMBER(SEARCH(", "&amp;$B20&amp;", ",", "&amp;'Hoạt động (Đơn của tôi)'!$B$7:$B$500&amp;", ")))+SUMPRODUCT(--ISNUMBER(SEARCH(", "&amp;$B20&amp;", ",", "&amp;'Ghép nối'!$B$7:$B$500&amp;", ")))+SUMPRODUCT(--ISNUMBER(SEARCH(", "&amp;$B20&amp;", ",", "&amp;'Huỷ đơn - Huỷ nhận đơn'!$B$7:$B$500&amp;", ")))+SUMPRODUCT(--ISNUMBER(SEARCH(", "&amp;$B20&amp;", ",", "&amp;'Giao nhận &amp; Theo dõi đơn'!$B$7:$B$500&amp;", ")))+SUMPRODUCT(--ISNUMBER(SEARCH(", "&amp;$B20&amp;", ",", "&amp;'Bảng tin &amp; Chi tiết tin'!$B$7:$B$500&amp;", ")))+SUMPRODUCT(--ISNUMBER(SEARCH(", "&amp;$B20&amp;", ",", "&amp;'Quà cảm ơn'!$B$7:$B$500&amp;", ")))+SUMPRODUCT(--ISNUMBER(SEARCH(", "&amp;$B20&amp;", ",", "&amp;'Trang chủ'!$B$7:$B$500&amp;", ")))+SUMPRODUCT(--ISNUMBER(SEARCH(", "&amp;$B20&amp;", ",", "&amp;'Thông báo'!$B$7:$B$500&amp;", ")))+SUMPRODUCT(--ISNUMBER(SEARCH(", "&amp;$B20&amp;", ",", "&amp;'Đăng tin &amp; Quản lý tin'!$B$7:$B$500&amp;", ")))+SUMPRODUCT(--ISNUMBER(SEARCH(", "&amp;$B20&amp;", ",", "&amp;'Trust &amp; Safety'!$B$7:$B$500&amp;", ")))+SUMPRODUCT(--ISNUMBER(SEARCH(", "&amp;$B20&amp;", ",", "&amp;'Tài khoản &amp; Hồ sơ'!$B$7:$B$500&amp;", ")))</f>
        <v>3</v>
      </c>
      <c r="F20" s="51" t="n">
        <f aca="false">SUMPRODUCT(--ISNUMBER(SEARCH(", "&amp;$B20&amp;", ",", "&amp;'Hoạt động (Đơn của tôi)'!$B$7:$B$500&amp;", ")),--('Hoạt động (Đơn của tôi)'!$AT$7:$AT$500&lt;&gt;""))+SUMPRODUCT(--ISNUMBER(SEARCH(", "&amp;$B20&amp;", ",", "&amp;'Ghép nối'!$B$7:$B$500&amp;", ")),--('Ghép nối'!$AT$7:$AT$500&lt;&gt;""))+SUMPRODUCT(--ISNUMBER(SEARCH(", "&amp;$B20&amp;", ",", "&amp;'Huỷ đơn - Huỷ nhận đơn'!$B$7:$B$500&amp;", ")),--('Huỷ đơn - Huỷ nhận đơn'!$AT$7:$AT$500&lt;&gt;""))+SUMPRODUCT(--ISNUMBER(SEARCH(", "&amp;$B20&amp;", ",", "&amp;'Giao nhận &amp; Theo dõi đơn'!$B$7:$B$500&amp;", ")),--('Giao nhận &amp; Theo dõi đơn'!$AT$7:$AT$500&lt;&gt;""))+SUMPRODUCT(--ISNUMBER(SEARCH(", "&amp;$B20&amp;", ",", "&amp;'Bảng tin &amp; Chi tiết tin'!$B$7:$B$500&amp;", ")),--('Bảng tin &amp; Chi tiết tin'!$AT$7:$AT$500&lt;&gt;""))+SUMPRODUCT(--ISNUMBER(SEARCH(", "&amp;$B20&amp;", ",", "&amp;'Quà cảm ơn'!$B$7:$B$500&amp;", ")),--('Quà cảm ơn'!$AT$7:$AT$500&lt;&gt;""))+SUMPRODUCT(--ISNUMBER(SEARCH(", "&amp;$B20&amp;", ",", "&amp;'Trang chủ'!$B$7:$B$500&amp;", ")),--('Trang chủ'!$AT$7:$AT$500&lt;&gt;""))+SUMPRODUCT(--ISNUMBER(SEARCH(", "&amp;$B20&amp;", ",", "&amp;'Thông báo'!$B$7:$B$500&amp;", ")),--('Thông báo'!$AT$7:$AT$500&lt;&gt;""))+SUMPRODUCT(--ISNUMBER(SEARCH(", "&amp;$B20&amp;", ",", "&amp;'Đăng tin &amp; Quản lý tin'!$B$7:$B$500&amp;", ")),--('Đăng tin &amp; Quản lý tin'!$AT$7:$AT$500&lt;&gt;""))+SUMPRODUCT(--ISNUMBER(SEARCH(", "&amp;$B20&amp;", ",", "&amp;'Trust &amp; Safety'!$B$7:$B$500&amp;", ")),--('Trust &amp; Safety'!$AT$7:$AT$500&lt;&gt;""))+SUMPRODUCT(--ISNUMBER(SEARCH(", "&amp;$B20&amp;", ",", "&amp;'Tài khoản &amp; Hồ sơ'!$B$7:$B$500&amp;", ")),--('Tài khoản &amp; Hồ sơ'!$AT$7:$AT$500&lt;&gt;""))</f>
        <v>3</v>
      </c>
      <c r="G20" s="51" t="n">
        <f aca="false">SUMPRODUCT(--ISNUMBER(SEARCH(", "&amp;$B20&amp;", ",", "&amp;'Hoạt động (Đơn của tôi)'!$B$7:$B$500&amp;", ")),--('Hoạt động (Đơn của tôi)'!$AT$7:$AT$500="Pass"))+SUMPRODUCT(--ISNUMBER(SEARCH(", "&amp;$B20&amp;", ",", "&amp;'Ghép nối'!$B$7:$B$500&amp;", ")),--('Ghép nối'!$AT$7:$AT$500="Pass"))+SUMPRODUCT(--ISNUMBER(SEARCH(", "&amp;$B20&amp;", ",", "&amp;'Huỷ đơn - Huỷ nhận đơn'!$B$7:$B$500&amp;", ")),--('Huỷ đơn - Huỷ nhận đơn'!$AT$7:$AT$500="Pass"))+SUMPRODUCT(--ISNUMBER(SEARCH(", "&amp;$B20&amp;", ",", "&amp;'Giao nhận &amp; Theo dõi đơn'!$B$7:$B$500&amp;", ")),--('Giao nhận &amp; Theo dõi đơn'!$AT$7:$AT$500="Pass"))+SUMPRODUCT(--ISNUMBER(SEARCH(", "&amp;$B20&amp;", ",", "&amp;'Bảng tin &amp; Chi tiết tin'!$B$7:$B$500&amp;", ")),--('Bảng tin &amp; Chi tiết tin'!$AT$7:$AT$500="Pass"))+SUMPRODUCT(--ISNUMBER(SEARCH(", "&amp;$B20&amp;", ",", "&amp;'Quà cảm ơn'!$B$7:$B$500&amp;", ")),--('Quà cảm ơn'!$AT$7:$AT$500="Pass"))+SUMPRODUCT(--ISNUMBER(SEARCH(", "&amp;$B20&amp;", ",", "&amp;'Trang chủ'!$B$7:$B$500&amp;", ")),--('Trang chủ'!$AT$7:$AT$500="Pass"))+SUMPRODUCT(--ISNUMBER(SEARCH(", "&amp;$B20&amp;", ",", "&amp;'Thông báo'!$B$7:$B$500&amp;", ")),--('Thông báo'!$AT$7:$AT$500="Pass"))+SUMPRODUCT(--ISNUMBER(SEARCH(", "&amp;$B20&amp;", ",", "&amp;'Đăng tin &amp; Quản lý tin'!$B$7:$B$500&amp;", ")),--('Đăng tin &amp; Quản lý tin'!$AT$7:$AT$500="Pass"))+SUMPRODUCT(--ISNUMBER(SEARCH(", "&amp;$B20&amp;", ",", "&amp;'Trust &amp; Safety'!$B$7:$B$500&amp;", ")),--('Trust &amp; Safety'!$AT$7:$AT$500="Pass"))+SUMPRODUCT(--ISNUMBER(SEARCH(", "&amp;$B20&amp;", ",", "&amp;'Tài khoản &amp; Hồ sơ'!$B$7:$B$500&amp;", ")),--('Tài khoản &amp; Hồ sơ'!$AT$7:$AT$500="Pass"))</f>
        <v>3</v>
      </c>
      <c r="H20" s="51" t="n">
        <f aca="false">SUMPRODUCT(--ISNUMBER(SEARCH(", "&amp;$B20&amp;", ",", "&amp;'Hoạt động (Đơn của tôi)'!$B$7:$B$500&amp;", ")),--('Hoạt động (Đơn của tôi)'!$AT$7:$AT$500="Fail"))+SUMPRODUCT(--ISNUMBER(SEARCH(", "&amp;$B20&amp;", ",", "&amp;'Ghép nối'!$B$7:$B$500&amp;", ")),--('Ghép nối'!$AT$7:$AT$500="Fail"))+SUMPRODUCT(--ISNUMBER(SEARCH(", "&amp;$B20&amp;", ",", "&amp;'Huỷ đơn - Huỷ nhận đơn'!$B$7:$B$500&amp;", ")),--('Huỷ đơn - Huỷ nhận đơn'!$AT$7:$AT$500="Fail"))+SUMPRODUCT(--ISNUMBER(SEARCH(", "&amp;$B20&amp;", ",", "&amp;'Giao nhận &amp; Theo dõi đơn'!$B$7:$B$500&amp;", ")),--('Giao nhận &amp; Theo dõi đơn'!$AT$7:$AT$500="Fail"))+SUMPRODUCT(--ISNUMBER(SEARCH(", "&amp;$B20&amp;", ",", "&amp;'Bảng tin &amp; Chi tiết tin'!$B$7:$B$500&amp;", ")),--('Bảng tin &amp; Chi tiết tin'!$AT$7:$AT$500="Fail"))+SUMPRODUCT(--ISNUMBER(SEARCH(", "&amp;$B20&amp;", ",", "&amp;'Quà cảm ơn'!$B$7:$B$500&amp;", ")),--('Quà cảm ơn'!$AT$7:$AT$500="Fail"))+SUMPRODUCT(--ISNUMBER(SEARCH(", "&amp;$B20&amp;", ",", "&amp;'Trang chủ'!$B$7:$B$500&amp;", ")),--('Trang chủ'!$AT$7:$AT$500="Fail"))+SUMPRODUCT(--ISNUMBER(SEARCH(", "&amp;$B20&amp;", ",", "&amp;'Thông báo'!$B$7:$B$500&amp;", ")),--('Thông báo'!$AT$7:$AT$500="Fail"))+SUMPRODUCT(--ISNUMBER(SEARCH(", "&amp;$B20&amp;", ",", "&amp;'Đăng tin &amp; Quản lý tin'!$B$7:$B$500&amp;", ")),--('Đăng tin &amp; Quản lý tin'!$AT$7:$AT$500="Fail"))+SUMPRODUCT(--ISNUMBER(SEARCH(", "&amp;$B20&amp;", ",", "&amp;'Trust &amp; Safety'!$B$7:$B$500&amp;", ")),--('Trust &amp; Safety'!$AT$7:$AT$500="Fail"))+SUMPRODUCT(--ISNUMBER(SEARCH(", "&amp;$B20&amp;", ",", "&amp;'Tài khoản &amp; Hồ sơ'!$B$7:$B$500&amp;", ")),--('Tài khoản &amp; Hồ sơ'!$AT$7:$AT$500="Fail"))</f>
        <v>0</v>
      </c>
      <c r="I20" s="51" t="n">
        <f aca="false">SUMPRODUCT(--ISNUMBER(SEARCH(", "&amp;$B20&amp;", ",", "&amp;'Hoạt động (Đơn của tôi)'!$B$7:$B$500&amp;", ")),--('Hoạt động (Đơn của tôi)'!$AT$7:$AT$500="Block"))+SUMPRODUCT(--ISNUMBER(SEARCH(", "&amp;$B20&amp;", ",", "&amp;'Ghép nối'!$B$7:$B$500&amp;", ")),--('Ghép nối'!$AT$7:$AT$500="Block"))+SUMPRODUCT(--ISNUMBER(SEARCH(", "&amp;$B20&amp;", ",", "&amp;'Huỷ đơn - Huỷ nhận đơn'!$B$7:$B$500&amp;", ")),--('Huỷ đơn - Huỷ nhận đơn'!$AT$7:$AT$500="Block"))+SUMPRODUCT(--ISNUMBER(SEARCH(", "&amp;$B20&amp;", ",", "&amp;'Giao nhận &amp; Theo dõi đơn'!$B$7:$B$500&amp;", ")),--('Giao nhận &amp; Theo dõi đơn'!$AT$7:$AT$500="Block"))+SUMPRODUCT(--ISNUMBER(SEARCH(", "&amp;$B20&amp;", ",", "&amp;'Bảng tin &amp; Chi tiết tin'!$B$7:$B$500&amp;", ")),--('Bảng tin &amp; Chi tiết tin'!$AT$7:$AT$500="Block"))+SUMPRODUCT(--ISNUMBER(SEARCH(", "&amp;$B20&amp;", ",", "&amp;'Quà cảm ơn'!$B$7:$B$500&amp;", ")),--('Quà cảm ơn'!$AT$7:$AT$500="Block"))+SUMPRODUCT(--ISNUMBER(SEARCH(", "&amp;$B20&amp;", ",", "&amp;'Trang chủ'!$B$7:$B$500&amp;", ")),--('Trang chủ'!$AT$7:$AT$500="Block"))+SUMPRODUCT(--ISNUMBER(SEARCH(", "&amp;$B20&amp;", ",", "&amp;'Thông báo'!$B$7:$B$500&amp;", ")),--('Thông báo'!$AT$7:$AT$500="Block"))+SUMPRODUCT(--ISNUMBER(SEARCH(", "&amp;$B20&amp;", ",", "&amp;'Đăng tin &amp; Quản lý tin'!$B$7:$B$500&amp;", ")),--('Đăng tin &amp; Quản lý tin'!$AT$7:$AT$500="Block"))+SUMPRODUCT(--ISNUMBER(SEARCH(", "&amp;$B20&amp;", ",", "&amp;'Trust &amp; Safety'!$B$7:$B$500&amp;", ")),--('Trust &amp; Safety'!$AT$7:$AT$500="Block"))+SUMPRODUCT(--ISNUMBER(SEARCH(", "&amp;$B20&amp;", ",", "&amp;'Tài khoản &amp; Hồ sơ'!$B$7:$B$500&amp;", ")),--('Tài khoản &amp; Hồ sơ'!$AT$7:$AT$500="Block"))</f>
        <v>0</v>
      </c>
      <c r="J20" s="51" t="n">
        <f aca="false">SUMPRODUCT(--ISNUMBER(SEARCH(", "&amp;$B20&amp;", ",", "&amp;'Hoạt động (Đơn của tôi)'!$B$7:$B$500&amp;", ")),--('Hoạt động (Đơn của tôi)'!$AT$7:$AT$500="N/A"))+SUMPRODUCT(--ISNUMBER(SEARCH(", "&amp;$B20&amp;", ",", "&amp;'Ghép nối'!$B$7:$B$500&amp;", ")),--('Ghép nối'!$AT$7:$AT$500="N/A"))+SUMPRODUCT(--ISNUMBER(SEARCH(", "&amp;$B20&amp;", ",", "&amp;'Huỷ đơn - Huỷ nhận đơn'!$B$7:$B$500&amp;", ")),--('Huỷ đơn - Huỷ nhận đơn'!$AT$7:$AT$500="N/A"))+SUMPRODUCT(--ISNUMBER(SEARCH(", "&amp;$B20&amp;", ",", "&amp;'Giao nhận &amp; Theo dõi đơn'!$B$7:$B$500&amp;", ")),--('Giao nhận &amp; Theo dõi đơn'!$AT$7:$AT$500="N/A"))+SUMPRODUCT(--ISNUMBER(SEARCH(", "&amp;$B20&amp;", ",", "&amp;'Bảng tin &amp; Chi tiết tin'!$B$7:$B$500&amp;", ")),--('Bảng tin &amp; Chi tiết tin'!$AT$7:$AT$500="N/A"))+SUMPRODUCT(--ISNUMBER(SEARCH(", "&amp;$B20&amp;", ",", "&amp;'Quà cảm ơn'!$B$7:$B$500&amp;", ")),--('Quà cảm ơn'!$AT$7:$AT$500="N/A"))+SUMPRODUCT(--ISNUMBER(SEARCH(", "&amp;$B20&amp;", ",", "&amp;'Trang chủ'!$B$7:$B$500&amp;", ")),--('Trang chủ'!$AT$7:$AT$500="N/A"))+SUMPRODUCT(--ISNUMBER(SEARCH(", "&amp;$B20&amp;", ",", "&amp;'Thông báo'!$B$7:$B$500&amp;", ")),--('Thông báo'!$AT$7:$AT$500="N/A"))+SUMPRODUCT(--ISNUMBER(SEARCH(", "&amp;$B20&amp;", ",", "&amp;'Đăng tin &amp; Quản lý tin'!$B$7:$B$500&amp;", ")),--('Đăng tin &amp; Quản lý tin'!$AT$7:$AT$500="N/A"))+SUMPRODUCT(--ISNUMBER(SEARCH(", "&amp;$B20&amp;", ",", "&amp;'Trust &amp; Safety'!$B$7:$B$500&amp;", ")),--('Trust &amp; Safety'!$AT$7:$AT$500="N/A"))+SUMPRODUCT(--ISNUMBER(SEARCH(", "&amp;$B20&amp;", ",", "&amp;'Tài khoản &amp; Hồ sơ'!$B$7:$B$500&amp;", ")),--('Tài khoản &amp; Hồ sơ'!$AT$7:$AT$500="N/A"))</f>
        <v>0</v>
      </c>
      <c r="K20" s="52" t="n">
        <f aca="false">IFERROR(F20/E20,0)</f>
        <v>1</v>
      </c>
      <c r="L20" s="124" t="str">
        <f aca="false">IF(E20=0,"Chưa có TC (gap)",IF(H20&gt;0,"Có lỗi (Fail)",IF(I20&gt;0,"Bị block",IF(F20&lt;E20,"Đang test",IF(G20=0,"Không áp dụng (N/A)","Đã test xong")))))</f>
        <v>Đã test xong</v>
      </c>
      <c r="AB20" s="0" t="s">
        <v>507</v>
      </c>
    </row>
    <row r="21" customFormat="false" ht="15.75" hidden="false" customHeight="true" outlineLevel="0" collapsed="false">
      <c r="A21" s="1"/>
      <c r="B21" s="176" t="s">
        <v>552</v>
      </c>
      <c r="C21" s="177" t="s">
        <v>553</v>
      </c>
      <c r="D21" s="124" t="s">
        <v>554</v>
      </c>
      <c r="E21" s="51" t="n">
        <f aca="false">SUMPRODUCT(--ISNUMBER(SEARCH(", "&amp;$B21&amp;", ",", "&amp;'Hoạt động (Đơn của tôi)'!$B$7:$B$500&amp;", ")))+SUMPRODUCT(--ISNUMBER(SEARCH(", "&amp;$B21&amp;", ",", "&amp;'Ghép nối'!$B$7:$B$500&amp;", ")))+SUMPRODUCT(--ISNUMBER(SEARCH(", "&amp;$B21&amp;", ",", "&amp;'Huỷ đơn - Huỷ nhận đơn'!$B$7:$B$500&amp;", ")))+SUMPRODUCT(--ISNUMBER(SEARCH(", "&amp;$B21&amp;", ",", "&amp;'Giao nhận &amp; Theo dõi đơn'!$B$7:$B$500&amp;", ")))+SUMPRODUCT(--ISNUMBER(SEARCH(", "&amp;$B21&amp;", ",", "&amp;'Bảng tin &amp; Chi tiết tin'!$B$7:$B$500&amp;", ")))+SUMPRODUCT(--ISNUMBER(SEARCH(", "&amp;$B21&amp;", ",", "&amp;'Quà cảm ơn'!$B$7:$B$500&amp;", ")))+SUMPRODUCT(--ISNUMBER(SEARCH(", "&amp;$B21&amp;", ",", "&amp;'Trang chủ'!$B$7:$B$500&amp;", ")))+SUMPRODUCT(--ISNUMBER(SEARCH(", "&amp;$B21&amp;", ",", "&amp;'Thông báo'!$B$7:$B$500&amp;", ")))+SUMPRODUCT(--ISNUMBER(SEARCH(", "&amp;$B21&amp;", ",", "&amp;'Đăng tin &amp; Quản lý tin'!$B$7:$B$500&amp;", ")))+SUMPRODUCT(--ISNUMBER(SEARCH(", "&amp;$B21&amp;", ",", "&amp;'Trust &amp; Safety'!$B$7:$B$500&amp;", ")))+SUMPRODUCT(--ISNUMBER(SEARCH(", "&amp;$B21&amp;", ",", "&amp;'Tài khoản &amp; Hồ sơ'!$B$7:$B$500&amp;", ")))</f>
        <v>2</v>
      </c>
      <c r="F21" s="51" t="n">
        <f aca="false">SUMPRODUCT(--ISNUMBER(SEARCH(", "&amp;$B21&amp;", ",", "&amp;'Hoạt động (Đơn của tôi)'!$B$7:$B$500&amp;", ")),--('Hoạt động (Đơn của tôi)'!$AT$7:$AT$500&lt;&gt;""))+SUMPRODUCT(--ISNUMBER(SEARCH(", "&amp;$B21&amp;", ",", "&amp;'Ghép nối'!$B$7:$B$500&amp;", ")),--('Ghép nối'!$AT$7:$AT$500&lt;&gt;""))+SUMPRODUCT(--ISNUMBER(SEARCH(", "&amp;$B21&amp;", ",", "&amp;'Huỷ đơn - Huỷ nhận đơn'!$B$7:$B$500&amp;", ")),--('Huỷ đơn - Huỷ nhận đơn'!$AT$7:$AT$500&lt;&gt;""))+SUMPRODUCT(--ISNUMBER(SEARCH(", "&amp;$B21&amp;", ",", "&amp;'Giao nhận &amp; Theo dõi đơn'!$B$7:$B$500&amp;", ")),--('Giao nhận &amp; Theo dõi đơn'!$AT$7:$AT$500&lt;&gt;""))+SUMPRODUCT(--ISNUMBER(SEARCH(", "&amp;$B21&amp;", ",", "&amp;'Bảng tin &amp; Chi tiết tin'!$B$7:$B$500&amp;", ")),--('Bảng tin &amp; Chi tiết tin'!$AT$7:$AT$500&lt;&gt;""))+SUMPRODUCT(--ISNUMBER(SEARCH(", "&amp;$B21&amp;", ",", "&amp;'Quà cảm ơn'!$B$7:$B$500&amp;", ")),--('Quà cảm ơn'!$AT$7:$AT$500&lt;&gt;""))+SUMPRODUCT(--ISNUMBER(SEARCH(", "&amp;$B21&amp;", ",", "&amp;'Trang chủ'!$B$7:$B$500&amp;", ")),--('Trang chủ'!$AT$7:$AT$500&lt;&gt;""))+SUMPRODUCT(--ISNUMBER(SEARCH(", "&amp;$B21&amp;", ",", "&amp;'Thông báo'!$B$7:$B$500&amp;", ")),--('Thông báo'!$AT$7:$AT$500&lt;&gt;""))+SUMPRODUCT(--ISNUMBER(SEARCH(", "&amp;$B21&amp;", ",", "&amp;'Đăng tin &amp; Quản lý tin'!$B$7:$B$500&amp;", ")),--('Đăng tin &amp; Quản lý tin'!$AT$7:$AT$500&lt;&gt;""))+SUMPRODUCT(--ISNUMBER(SEARCH(", "&amp;$B21&amp;", ",", "&amp;'Trust &amp; Safety'!$B$7:$B$500&amp;", ")),--('Trust &amp; Safety'!$AT$7:$AT$500&lt;&gt;""))+SUMPRODUCT(--ISNUMBER(SEARCH(", "&amp;$B21&amp;", ",", "&amp;'Tài khoản &amp; Hồ sơ'!$B$7:$B$500&amp;", ")),--('Tài khoản &amp; Hồ sơ'!$AT$7:$AT$500&lt;&gt;""))</f>
        <v>2</v>
      </c>
      <c r="G21" s="51" t="n">
        <f aca="false">SUMPRODUCT(--ISNUMBER(SEARCH(", "&amp;$B21&amp;", ",", "&amp;'Hoạt động (Đơn của tôi)'!$B$7:$B$500&amp;", ")),--('Hoạt động (Đơn của tôi)'!$AT$7:$AT$500="Pass"))+SUMPRODUCT(--ISNUMBER(SEARCH(", "&amp;$B21&amp;", ",", "&amp;'Ghép nối'!$B$7:$B$500&amp;", ")),--('Ghép nối'!$AT$7:$AT$500="Pass"))+SUMPRODUCT(--ISNUMBER(SEARCH(", "&amp;$B21&amp;", ",", "&amp;'Huỷ đơn - Huỷ nhận đơn'!$B$7:$B$500&amp;", ")),--('Huỷ đơn - Huỷ nhận đơn'!$AT$7:$AT$500="Pass"))+SUMPRODUCT(--ISNUMBER(SEARCH(", "&amp;$B21&amp;", ",", "&amp;'Giao nhận &amp; Theo dõi đơn'!$B$7:$B$500&amp;", ")),--('Giao nhận &amp; Theo dõi đơn'!$AT$7:$AT$500="Pass"))+SUMPRODUCT(--ISNUMBER(SEARCH(", "&amp;$B21&amp;", ",", "&amp;'Bảng tin &amp; Chi tiết tin'!$B$7:$B$500&amp;", ")),--('Bảng tin &amp; Chi tiết tin'!$AT$7:$AT$500="Pass"))+SUMPRODUCT(--ISNUMBER(SEARCH(", "&amp;$B21&amp;", ",", "&amp;'Quà cảm ơn'!$B$7:$B$500&amp;", ")),--('Quà cảm ơn'!$AT$7:$AT$500="Pass"))+SUMPRODUCT(--ISNUMBER(SEARCH(", "&amp;$B21&amp;", ",", "&amp;'Trang chủ'!$B$7:$B$500&amp;", ")),--('Trang chủ'!$AT$7:$AT$500="Pass"))+SUMPRODUCT(--ISNUMBER(SEARCH(", "&amp;$B21&amp;", ",", "&amp;'Thông báo'!$B$7:$B$500&amp;", ")),--('Thông báo'!$AT$7:$AT$500="Pass"))+SUMPRODUCT(--ISNUMBER(SEARCH(", "&amp;$B21&amp;", ",", "&amp;'Đăng tin &amp; Quản lý tin'!$B$7:$B$500&amp;", ")),--('Đăng tin &amp; Quản lý tin'!$AT$7:$AT$500="Pass"))+SUMPRODUCT(--ISNUMBER(SEARCH(", "&amp;$B21&amp;", ",", "&amp;'Trust &amp; Safety'!$B$7:$B$500&amp;", ")),--('Trust &amp; Safety'!$AT$7:$AT$500="Pass"))+SUMPRODUCT(--ISNUMBER(SEARCH(", "&amp;$B21&amp;", ",", "&amp;'Tài khoản &amp; Hồ sơ'!$B$7:$B$500&amp;", ")),--('Tài khoản &amp; Hồ sơ'!$AT$7:$AT$500="Pass"))</f>
        <v>1</v>
      </c>
      <c r="H21" s="51" t="n">
        <f aca="false">SUMPRODUCT(--ISNUMBER(SEARCH(", "&amp;$B21&amp;", ",", "&amp;'Hoạt động (Đơn của tôi)'!$B$7:$B$500&amp;", ")),--('Hoạt động (Đơn của tôi)'!$AT$7:$AT$500="Fail"))+SUMPRODUCT(--ISNUMBER(SEARCH(", "&amp;$B21&amp;", ",", "&amp;'Ghép nối'!$B$7:$B$500&amp;", ")),--('Ghép nối'!$AT$7:$AT$500="Fail"))+SUMPRODUCT(--ISNUMBER(SEARCH(", "&amp;$B21&amp;", ",", "&amp;'Huỷ đơn - Huỷ nhận đơn'!$B$7:$B$500&amp;", ")),--('Huỷ đơn - Huỷ nhận đơn'!$AT$7:$AT$500="Fail"))+SUMPRODUCT(--ISNUMBER(SEARCH(", "&amp;$B21&amp;", ",", "&amp;'Giao nhận &amp; Theo dõi đơn'!$B$7:$B$500&amp;", ")),--('Giao nhận &amp; Theo dõi đơn'!$AT$7:$AT$500="Fail"))+SUMPRODUCT(--ISNUMBER(SEARCH(", "&amp;$B21&amp;", ",", "&amp;'Bảng tin &amp; Chi tiết tin'!$B$7:$B$500&amp;", ")),--('Bảng tin &amp; Chi tiết tin'!$AT$7:$AT$500="Fail"))+SUMPRODUCT(--ISNUMBER(SEARCH(", "&amp;$B21&amp;", ",", "&amp;'Quà cảm ơn'!$B$7:$B$500&amp;", ")),--('Quà cảm ơn'!$AT$7:$AT$500="Fail"))+SUMPRODUCT(--ISNUMBER(SEARCH(", "&amp;$B21&amp;", ",", "&amp;'Trang chủ'!$B$7:$B$500&amp;", ")),--('Trang chủ'!$AT$7:$AT$500="Fail"))+SUMPRODUCT(--ISNUMBER(SEARCH(", "&amp;$B21&amp;", ",", "&amp;'Thông báo'!$B$7:$B$500&amp;", ")),--('Thông báo'!$AT$7:$AT$500="Fail"))+SUMPRODUCT(--ISNUMBER(SEARCH(", "&amp;$B21&amp;", ",", "&amp;'Đăng tin &amp; Quản lý tin'!$B$7:$B$500&amp;", ")),--('Đăng tin &amp; Quản lý tin'!$AT$7:$AT$500="Fail"))+SUMPRODUCT(--ISNUMBER(SEARCH(", "&amp;$B21&amp;", ",", "&amp;'Trust &amp; Safety'!$B$7:$B$500&amp;", ")),--('Trust &amp; Safety'!$AT$7:$AT$500="Fail"))+SUMPRODUCT(--ISNUMBER(SEARCH(", "&amp;$B21&amp;", ",", "&amp;'Tài khoản &amp; Hồ sơ'!$B$7:$B$500&amp;", ")),--('Tài khoản &amp; Hồ sơ'!$AT$7:$AT$500="Fail"))</f>
        <v>1</v>
      </c>
      <c r="I21" s="51" t="n">
        <f aca="false">SUMPRODUCT(--ISNUMBER(SEARCH(", "&amp;$B21&amp;", ",", "&amp;'Hoạt động (Đơn của tôi)'!$B$7:$B$500&amp;", ")),--('Hoạt động (Đơn của tôi)'!$AT$7:$AT$500="Block"))+SUMPRODUCT(--ISNUMBER(SEARCH(", "&amp;$B21&amp;", ",", "&amp;'Ghép nối'!$B$7:$B$500&amp;", ")),--('Ghép nối'!$AT$7:$AT$500="Block"))+SUMPRODUCT(--ISNUMBER(SEARCH(", "&amp;$B21&amp;", ",", "&amp;'Huỷ đơn - Huỷ nhận đơn'!$B$7:$B$500&amp;", ")),--('Huỷ đơn - Huỷ nhận đơn'!$AT$7:$AT$500="Block"))+SUMPRODUCT(--ISNUMBER(SEARCH(", "&amp;$B21&amp;", ",", "&amp;'Giao nhận &amp; Theo dõi đơn'!$B$7:$B$500&amp;", ")),--('Giao nhận &amp; Theo dõi đơn'!$AT$7:$AT$500="Block"))+SUMPRODUCT(--ISNUMBER(SEARCH(", "&amp;$B21&amp;", ",", "&amp;'Bảng tin &amp; Chi tiết tin'!$B$7:$B$500&amp;", ")),--('Bảng tin &amp; Chi tiết tin'!$AT$7:$AT$500="Block"))+SUMPRODUCT(--ISNUMBER(SEARCH(", "&amp;$B21&amp;", ",", "&amp;'Quà cảm ơn'!$B$7:$B$500&amp;", ")),--('Quà cảm ơn'!$AT$7:$AT$500="Block"))+SUMPRODUCT(--ISNUMBER(SEARCH(", "&amp;$B21&amp;", ",", "&amp;'Trang chủ'!$B$7:$B$500&amp;", ")),--('Trang chủ'!$AT$7:$AT$500="Block"))+SUMPRODUCT(--ISNUMBER(SEARCH(", "&amp;$B21&amp;", ",", "&amp;'Thông báo'!$B$7:$B$500&amp;", ")),--('Thông báo'!$AT$7:$AT$500="Block"))+SUMPRODUCT(--ISNUMBER(SEARCH(", "&amp;$B21&amp;", ",", "&amp;'Đăng tin &amp; Quản lý tin'!$B$7:$B$500&amp;", ")),--('Đăng tin &amp; Quản lý tin'!$AT$7:$AT$500="Block"))+SUMPRODUCT(--ISNUMBER(SEARCH(", "&amp;$B21&amp;", ",", "&amp;'Trust &amp; Safety'!$B$7:$B$500&amp;", ")),--('Trust &amp; Safety'!$AT$7:$AT$500="Block"))+SUMPRODUCT(--ISNUMBER(SEARCH(", "&amp;$B21&amp;", ",", "&amp;'Tài khoản &amp; Hồ sơ'!$B$7:$B$500&amp;", ")),--('Tài khoản &amp; Hồ sơ'!$AT$7:$AT$500="Block"))</f>
        <v>0</v>
      </c>
      <c r="J21" s="51" t="n">
        <f aca="false">SUMPRODUCT(--ISNUMBER(SEARCH(", "&amp;$B21&amp;", ",", "&amp;'Hoạt động (Đơn của tôi)'!$B$7:$B$500&amp;", ")),--('Hoạt động (Đơn của tôi)'!$AT$7:$AT$500="N/A"))+SUMPRODUCT(--ISNUMBER(SEARCH(", "&amp;$B21&amp;", ",", "&amp;'Ghép nối'!$B$7:$B$500&amp;", ")),--('Ghép nối'!$AT$7:$AT$500="N/A"))+SUMPRODUCT(--ISNUMBER(SEARCH(", "&amp;$B21&amp;", ",", "&amp;'Huỷ đơn - Huỷ nhận đơn'!$B$7:$B$500&amp;", ")),--('Huỷ đơn - Huỷ nhận đơn'!$AT$7:$AT$500="N/A"))+SUMPRODUCT(--ISNUMBER(SEARCH(", "&amp;$B21&amp;", ",", "&amp;'Giao nhận &amp; Theo dõi đơn'!$B$7:$B$500&amp;", ")),--('Giao nhận &amp; Theo dõi đơn'!$AT$7:$AT$500="N/A"))+SUMPRODUCT(--ISNUMBER(SEARCH(", "&amp;$B21&amp;", ",", "&amp;'Bảng tin &amp; Chi tiết tin'!$B$7:$B$500&amp;", ")),--('Bảng tin &amp; Chi tiết tin'!$AT$7:$AT$500="N/A"))+SUMPRODUCT(--ISNUMBER(SEARCH(", "&amp;$B21&amp;", ",", "&amp;'Quà cảm ơn'!$B$7:$B$500&amp;", ")),--('Quà cảm ơn'!$AT$7:$AT$500="N/A"))+SUMPRODUCT(--ISNUMBER(SEARCH(", "&amp;$B21&amp;", ",", "&amp;'Trang chủ'!$B$7:$B$500&amp;", ")),--('Trang chủ'!$AT$7:$AT$500="N/A"))+SUMPRODUCT(--ISNUMBER(SEARCH(", "&amp;$B21&amp;", ",", "&amp;'Thông báo'!$B$7:$B$500&amp;", ")),--('Thông báo'!$AT$7:$AT$500="N/A"))+SUMPRODUCT(--ISNUMBER(SEARCH(", "&amp;$B21&amp;", ",", "&amp;'Đăng tin &amp; Quản lý tin'!$B$7:$B$500&amp;", ")),--('Đăng tin &amp; Quản lý tin'!$AT$7:$AT$500="N/A"))+SUMPRODUCT(--ISNUMBER(SEARCH(", "&amp;$B21&amp;", ",", "&amp;'Trust &amp; Safety'!$B$7:$B$500&amp;", ")),--('Trust &amp; Safety'!$AT$7:$AT$500="N/A"))+SUMPRODUCT(--ISNUMBER(SEARCH(", "&amp;$B21&amp;", ",", "&amp;'Tài khoản &amp; Hồ sơ'!$B$7:$B$500&amp;", ")),--('Tài khoản &amp; Hồ sơ'!$AT$7:$AT$500="N/A"))</f>
        <v>0</v>
      </c>
      <c r="K21" s="52" t="n">
        <f aca="false">IFERROR(F21/E21,0)</f>
        <v>1</v>
      </c>
      <c r="L21" s="124" t="str">
        <f aca="false">IF(E21=0,"Chưa có TC (gap)",IF(H21&gt;0,"Có lỗi (Fail)",IF(I21&gt;0,"Bị block",IF(F21&lt;E21,"Đang test",IF(G21=0,"Không áp dụng (N/A)","Đã test xong")))))</f>
        <v>Có lỗi (Fail)</v>
      </c>
      <c r="AB21" s="0" t="s">
        <v>507</v>
      </c>
    </row>
    <row r="22" customFormat="false" ht="15.75" hidden="false" customHeight="true" outlineLevel="0" collapsed="false">
      <c r="A22" s="1"/>
      <c r="B22" s="176" t="s">
        <v>555</v>
      </c>
      <c r="C22" s="177" t="s">
        <v>556</v>
      </c>
      <c r="D22" s="124" t="s">
        <v>557</v>
      </c>
      <c r="E22" s="51" t="n">
        <f aca="false">SUMPRODUCT(--ISNUMBER(SEARCH(", "&amp;$B22&amp;", ",", "&amp;'Hoạt động (Đơn của tôi)'!$B$7:$B$500&amp;", ")))+SUMPRODUCT(--ISNUMBER(SEARCH(", "&amp;$B22&amp;", ",", "&amp;'Ghép nối'!$B$7:$B$500&amp;", ")))+SUMPRODUCT(--ISNUMBER(SEARCH(", "&amp;$B22&amp;", ",", "&amp;'Huỷ đơn - Huỷ nhận đơn'!$B$7:$B$500&amp;", ")))+SUMPRODUCT(--ISNUMBER(SEARCH(", "&amp;$B22&amp;", ",", "&amp;'Giao nhận &amp; Theo dõi đơn'!$B$7:$B$500&amp;", ")))+SUMPRODUCT(--ISNUMBER(SEARCH(", "&amp;$B22&amp;", ",", "&amp;'Bảng tin &amp; Chi tiết tin'!$B$7:$B$500&amp;", ")))+SUMPRODUCT(--ISNUMBER(SEARCH(", "&amp;$B22&amp;", ",", "&amp;'Quà cảm ơn'!$B$7:$B$500&amp;", ")))+SUMPRODUCT(--ISNUMBER(SEARCH(", "&amp;$B22&amp;", ",", "&amp;'Trang chủ'!$B$7:$B$500&amp;", ")))+SUMPRODUCT(--ISNUMBER(SEARCH(", "&amp;$B22&amp;", ",", "&amp;'Thông báo'!$B$7:$B$500&amp;", ")))+SUMPRODUCT(--ISNUMBER(SEARCH(", "&amp;$B22&amp;", ",", "&amp;'Đăng tin &amp; Quản lý tin'!$B$7:$B$500&amp;", ")))+SUMPRODUCT(--ISNUMBER(SEARCH(", "&amp;$B22&amp;", ",", "&amp;'Trust &amp; Safety'!$B$7:$B$500&amp;", ")))+SUMPRODUCT(--ISNUMBER(SEARCH(", "&amp;$B22&amp;", ",", "&amp;'Tài khoản &amp; Hồ sơ'!$B$7:$B$500&amp;", ")))</f>
        <v>4</v>
      </c>
      <c r="F22" s="51" t="n">
        <f aca="false">SUMPRODUCT(--ISNUMBER(SEARCH(", "&amp;$B22&amp;", ",", "&amp;'Hoạt động (Đơn của tôi)'!$B$7:$B$500&amp;", ")),--('Hoạt động (Đơn của tôi)'!$AT$7:$AT$500&lt;&gt;""))+SUMPRODUCT(--ISNUMBER(SEARCH(", "&amp;$B22&amp;", ",", "&amp;'Ghép nối'!$B$7:$B$500&amp;", ")),--('Ghép nối'!$AT$7:$AT$500&lt;&gt;""))+SUMPRODUCT(--ISNUMBER(SEARCH(", "&amp;$B22&amp;", ",", "&amp;'Huỷ đơn - Huỷ nhận đơn'!$B$7:$B$500&amp;", ")),--('Huỷ đơn - Huỷ nhận đơn'!$AT$7:$AT$500&lt;&gt;""))+SUMPRODUCT(--ISNUMBER(SEARCH(", "&amp;$B22&amp;", ",", "&amp;'Giao nhận &amp; Theo dõi đơn'!$B$7:$B$500&amp;", ")),--('Giao nhận &amp; Theo dõi đơn'!$AT$7:$AT$500&lt;&gt;""))+SUMPRODUCT(--ISNUMBER(SEARCH(", "&amp;$B22&amp;", ",", "&amp;'Bảng tin &amp; Chi tiết tin'!$B$7:$B$500&amp;", ")),--('Bảng tin &amp; Chi tiết tin'!$AT$7:$AT$500&lt;&gt;""))+SUMPRODUCT(--ISNUMBER(SEARCH(", "&amp;$B22&amp;", ",", "&amp;'Quà cảm ơn'!$B$7:$B$500&amp;", ")),--('Quà cảm ơn'!$AT$7:$AT$500&lt;&gt;""))+SUMPRODUCT(--ISNUMBER(SEARCH(", "&amp;$B22&amp;", ",", "&amp;'Trang chủ'!$B$7:$B$500&amp;", ")),--('Trang chủ'!$AT$7:$AT$500&lt;&gt;""))+SUMPRODUCT(--ISNUMBER(SEARCH(", "&amp;$B22&amp;", ",", "&amp;'Thông báo'!$B$7:$B$500&amp;", ")),--('Thông báo'!$AT$7:$AT$500&lt;&gt;""))+SUMPRODUCT(--ISNUMBER(SEARCH(", "&amp;$B22&amp;", ",", "&amp;'Đăng tin &amp; Quản lý tin'!$B$7:$B$500&amp;", ")),--('Đăng tin &amp; Quản lý tin'!$AT$7:$AT$500&lt;&gt;""))+SUMPRODUCT(--ISNUMBER(SEARCH(", "&amp;$B22&amp;", ",", "&amp;'Trust &amp; Safety'!$B$7:$B$500&amp;", ")),--('Trust &amp; Safety'!$AT$7:$AT$500&lt;&gt;""))+SUMPRODUCT(--ISNUMBER(SEARCH(", "&amp;$B22&amp;", ",", "&amp;'Tài khoản &amp; Hồ sơ'!$B$7:$B$500&amp;", ")),--('Tài khoản &amp; Hồ sơ'!$AT$7:$AT$500&lt;&gt;""))</f>
        <v>4</v>
      </c>
      <c r="G22" s="51" t="n">
        <f aca="false">SUMPRODUCT(--ISNUMBER(SEARCH(", "&amp;$B22&amp;", ",", "&amp;'Hoạt động (Đơn của tôi)'!$B$7:$B$500&amp;", ")),--('Hoạt động (Đơn của tôi)'!$AT$7:$AT$500="Pass"))+SUMPRODUCT(--ISNUMBER(SEARCH(", "&amp;$B22&amp;", ",", "&amp;'Ghép nối'!$B$7:$B$500&amp;", ")),--('Ghép nối'!$AT$7:$AT$500="Pass"))+SUMPRODUCT(--ISNUMBER(SEARCH(", "&amp;$B22&amp;", ",", "&amp;'Huỷ đơn - Huỷ nhận đơn'!$B$7:$B$500&amp;", ")),--('Huỷ đơn - Huỷ nhận đơn'!$AT$7:$AT$500="Pass"))+SUMPRODUCT(--ISNUMBER(SEARCH(", "&amp;$B22&amp;", ",", "&amp;'Giao nhận &amp; Theo dõi đơn'!$B$7:$B$500&amp;", ")),--('Giao nhận &amp; Theo dõi đơn'!$AT$7:$AT$500="Pass"))+SUMPRODUCT(--ISNUMBER(SEARCH(", "&amp;$B22&amp;", ",", "&amp;'Bảng tin &amp; Chi tiết tin'!$B$7:$B$500&amp;", ")),--('Bảng tin &amp; Chi tiết tin'!$AT$7:$AT$500="Pass"))+SUMPRODUCT(--ISNUMBER(SEARCH(", "&amp;$B22&amp;", ",", "&amp;'Quà cảm ơn'!$B$7:$B$500&amp;", ")),--('Quà cảm ơn'!$AT$7:$AT$500="Pass"))+SUMPRODUCT(--ISNUMBER(SEARCH(", "&amp;$B22&amp;", ",", "&amp;'Trang chủ'!$B$7:$B$500&amp;", ")),--('Trang chủ'!$AT$7:$AT$500="Pass"))+SUMPRODUCT(--ISNUMBER(SEARCH(", "&amp;$B22&amp;", ",", "&amp;'Thông báo'!$B$7:$B$500&amp;", ")),--('Thông báo'!$AT$7:$AT$500="Pass"))+SUMPRODUCT(--ISNUMBER(SEARCH(", "&amp;$B22&amp;", ",", "&amp;'Đăng tin &amp; Quản lý tin'!$B$7:$B$500&amp;", ")),--('Đăng tin &amp; Quản lý tin'!$AT$7:$AT$500="Pass"))+SUMPRODUCT(--ISNUMBER(SEARCH(", "&amp;$B22&amp;", ",", "&amp;'Trust &amp; Safety'!$B$7:$B$500&amp;", ")),--('Trust &amp; Safety'!$AT$7:$AT$500="Pass"))+SUMPRODUCT(--ISNUMBER(SEARCH(", "&amp;$B22&amp;", ",", "&amp;'Tài khoản &amp; Hồ sơ'!$B$7:$B$500&amp;", ")),--('Tài khoản &amp; Hồ sơ'!$AT$7:$AT$500="Pass"))</f>
        <v>3</v>
      </c>
      <c r="H22" s="51" t="n">
        <f aca="false">SUMPRODUCT(--ISNUMBER(SEARCH(", "&amp;$B22&amp;", ",", "&amp;'Hoạt động (Đơn của tôi)'!$B$7:$B$500&amp;", ")),--('Hoạt động (Đơn của tôi)'!$AT$7:$AT$500="Fail"))+SUMPRODUCT(--ISNUMBER(SEARCH(", "&amp;$B22&amp;", ",", "&amp;'Ghép nối'!$B$7:$B$500&amp;", ")),--('Ghép nối'!$AT$7:$AT$500="Fail"))+SUMPRODUCT(--ISNUMBER(SEARCH(", "&amp;$B22&amp;", ",", "&amp;'Huỷ đơn - Huỷ nhận đơn'!$B$7:$B$500&amp;", ")),--('Huỷ đơn - Huỷ nhận đơn'!$AT$7:$AT$500="Fail"))+SUMPRODUCT(--ISNUMBER(SEARCH(", "&amp;$B22&amp;", ",", "&amp;'Giao nhận &amp; Theo dõi đơn'!$B$7:$B$500&amp;", ")),--('Giao nhận &amp; Theo dõi đơn'!$AT$7:$AT$500="Fail"))+SUMPRODUCT(--ISNUMBER(SEARCH(", "&amp;$B22&amp;", ",", "&amp;'Bảng tin &amp; Chi tiết tin'!$B$7:$B$500&amp;", ")),--('Bảng tin &amp; Chi tiết tin'!$AT$7:$AT$500="Fail"))+SUMPRODUCT(--ISNUMBER(SEARCH(", "&amp;$B22&amp;", ",", "&amp;'Quà cảm ơn'!$B$7:$B$500&amp;", ")),--('Quà cảm ơn'!$AT$7:$AT$500="Fail"))+SUMPRODUCT(--ISNUMBER(SEARCH(", "&amp;$B22&amp;", ",", "&amp;'Trang chủ'!$B$7:$B$500&amp;", ")),--('Trang chủ'!$AT$7:$AT$500="Fail"))+SUMPRODUCT(--ISNUMBER(SEARCH(", "&amp;$B22&amp;", ",", "&amp;'Thông báo'!$B$7:$B$500&amp;", ")),--('Thông báo'!$AT$7:$AT$500="Fail"))+SUMPRODUCT(--ISNUMBER(SEARCH(", "&amp;$B22&amp;", ",", "&amp;'Đăng tin &amp; Quản lý tin'!$B$7:$B$500&amp;", ")),--('Đăng tin &amp; Quản lý tin'!$AT$7:$AT$500="Fail"))+SUMPRODUCT(--ISNUMBER(SEARCH(", "&amp;$B22&amp;", ",", "&amp;'Trust &amp; Safety'!$B$7:$B$500&amp;", ")),--('Trust &amp; Safety'!$AT$7:$AT$500="Fail"))+SUMPRODUCT(--ISNUMBER(SEARCH(", "&amp;$B22&amp;", ",", "&amp;'Tài khoản &amp; Hồ sơ'!$B$7:$B$500&amp;", ")),--('Tài khoản &amp; Hồ sơ'!$AT$7:$AT$500="Fail"))</f>
        <v>0</v>
      </c>
      <c r="I22" s="51" t="n">
        <f aca="false">SUMPRODUCT(--ISNUMBER(SEARCH(", "&amp;$B22&amp;", ",", "&amp;'Hoạt động (Đơn của tôi)'!$B$7:$B$500&amp;", ")),--('Hoạt động (Đơn của tôi)'!$AT$7:$AT$500="Block"))+SUMPRODUCT(--ISNUMBER(SEARCH(", "&amp;$B22&amp;", ",", "&amp;'Ghép nối'!$B$7:$B$500&amp;", ")),--('Ghép nối'!$AT$7:$AT$500="Block"))+SUMPRODUCT(--ISNUMBER(SEARCH(", "&amp;$B22&amp;", ",", "&amp;'Huỷ đơn - Huỷ nhận đơn'!$B$7:$B$500&amp;", ")),--('Huỷ đơn - Huỷ nhận đơn'!$AT$7:$AT$500="Block"))+SUMPRODUCT(--ISNUMBER(SEARCH(", "&amp;$B22&amp;", ",", "&amp;'Giao nhận &amp; Theo dõi đơn'!$B$7:$B$500&amp;", ")),--('Giao nhận &amp; Theo dõi đơn'!$AT$7:$AT$500="Block"))+SUMPRODUCT(--ISNUMBER(SEARCH(", "&amp;$B22&amp;", ",", "&amp;'Bảng tin &amp; Chi tiết tin'!$B$7:$B$500&amp;", ")),--('Bảng tin &amp; Chi tiết tin'!$AT$7:$AT$500="Block"))+SUMPRODUCT(--ISNUMBER(SEARCH(", "&amp;$B22&amp;", ",", "&amp;'Quà cảm ơn'!$B$7:$B$500&amp;", ")),--('Quà cảm ơn'!$AT$7:$AT$500="Block"))+SUMPRODUCT(--ISNUMBER(SEARCH(", "&amp;$B22&amp;", ",", "&amp;'Trang chủ'!$B$7:$B$500&amp;", ")),--('Trang chủ'!$AT$7:$AT$500="Block"))+SUMPRODUCT(--ISNUMBER(SEARCH(", "&amp;$B22&amp;", ",", "&amp;'Thông báo'!$B$7:$B$500&amp;", ")),--('Thông báo'!$AT$7:$AT$500="Block"))+SUMPRODUCT(--ISNUMBER(SEARCH(", "&amp;$B22&amp;", ",", "&amp;'Đăng tin &amp; Quản lý tin'!$B$7:$B$500&amp;", ")),--('Đăng tin &amp; Quản lý tin'!$AT$7:$AT$500="Block"))+SUMPRODUCT(--ISNUMBER(SEARCH(", "&amp;$B22&amp;", ",", "&amp;'Trust &amp; Safety'!$B$7:$B$500&amp;", ")),--('Trust &amp; Safety'!$AT$7:$AT$500="Block"))+SUMPRODUCT(--ISNUMBER(SEARCH(", "&amp;$B22&amp;", ",", "&amp;'Tài khoản &amp; Hồ sơ'!$B$7:$B$500&amp;", ")),--('Tài khoản &amp; Hồ sơ'!$AT$7:$AT$500="Block"))</f>
        <v>1</v>
      </c>
      <c r="J22" s="51" t="n">
        <f aca="false">SUMPRODUCT(--ISNUMBER(SEARCH(", "&amp;$B22&amp;", ",", "&amp;'Hoạt động (Đơn của tôi)'!$B$7:$B$500&amp;", ")),--('Hoạt động (Đơn của tôi)'!$AT$7:$AT$500="N/A"))+SUMPRODUCT(--ISNUMBER(SEARCH(", "&amp;$B22&amp;", ",", "&amp;'Ghép nối'!$B$7:$B$500&amp;", ")),--('Ghép nối'!$AT$7:$AT$500="N/A"))+SUMPRODUCT(--ISNUMBER(SEARCH(", "&amp;$B22&amp;", ",", "&amp;'Huỷ đơn - Huỷ nhận đơn'!$B$7:$B$500&amp;", ")),--('Huỷ đơn - Huỷ nhận đơn'!$AT$7:$AT$500="N/A"))+SUMPRODUCT(--ISNUMBER(SEARCH(", "&amp;$B22&amp;", ",", "&amp;'Giao nhận &amp; Theo dõi đơn'!$B$7:$B$500&amp;", ")),--('Giao nhận &amp; Theo dõi đơn'!$AT$7:$AT$500="N/A"))+SUMPRODUCT(--ISNUMBER(SEARCH(", "&amp;$B22&amp;", ",", "&amp;'Bảng tin &amp; Chi tiết tin'!$B$7:$B$500&amp;", ")),--('Bảng tin &amp; Chi tiết tin'!$AT$7:$AT$500="N/A"))+SUMPRODUCT(--ISNUMBER(SEARCH(", "&amp;$B22&amp;", ",", "&amp;'Quà cảm ơn'!$B$7:$B$500&amp;", ")),--('Quà cảm ơn'!$AT$7:$AT$500="N/A"))+SUMPRODUCT(--ISNUMBER(SEARCH(", "&amp;$B22&amp;", ",", "&amp;'Trang chủ'!$B$7:$B$500&amp;", ")),--('Trang chủ'!$AT$7:$AT$500="N/A"))+SUMPRODUCT(--ISNUMBER(SEARCH(", "&amp;$B22&amp;", ",", "&amp;'Thông báo'!$B$7:$B$500&amp;", ")),--('Thông báo'!$AT$7:$AT$500="N/A"))+SUMPRODUCT(--ISNUMBER(SEARCH(", "&amp;$B22&amp;", ",", "&amp;'Đăng tin &amp; Quản lý tin'!$B$7:$B$500&amp;", ")),--('Đăng tin &amp; Quản lý tin'!$AT$7:$AT$500="N/A"))+SUMPRODUCT(--ISNUMBER(SEARCH(", "&amp;$B22&amp;", ",", "&amp;'Trust &amp; Safety'!$B$7:$B$500&amp;", ")),--('Trust &amp; Safety'!$AT$7:$AT$500="N/A"))+SUMPRODUCT(--ISNUMBER(SEARCH(", "&amp;$B22&amp;", ",", "&amp;'Tài khoản &amp; Hồ sơ'!$B$7:$B$500&amp;", ")),--('Tài khoản &amp; Hồ sơ'!$AT$7:$AT$500="N/A"))</f>
        <v>0</v>
      </c>
      <c r="K22" s="52" t="n">
        <f aca="false">IFERROR(F22/E22,0)</f>
        <v>1</v>
      </c>
      <c r="L22" s="124" t="str">
        <f aca="false">IF(E22=0,"Chưa có TC (gap)",IF(H22&gt;0,"Có lỗi (Fail)",IF(I22&gt;0,"Bị block",IF(F22&lt;E22,"Đang test",IF(G22=0,"Không áp dụng (N/A)","Đã test xong")))))</f>
        <v>Bị block</v>
      </c>
      <c r="AB22" s="0" t="s">
        <v>507</v>
      </c>
    </row>
    <row r="23" customFormat="false" ht="15.75" hidden="false" customHeight="true" outlineLevel="0" collapsed="false">
      <c r="A23" s="1"/>
      <c r="B23" s="176" t="s">
        <v>558</v>
      </c>
      <c r="C23" s="177" t="s">
        <v>559</v>
      </c>
      <c r="D23" s="124" t="s">
        <v>560</v>
      </c>
      <c r="E23" s="51" t="n">
        <f aca="false">SUMPRODUCT(--ISNUMBER(SEARCH(", "&amp;$B23&amp;", ",", "&amp;'Hoạt động (Đơn của tôi)'!$B$7:$B$500&amp;", ")))+SUMPRODUCT(--ISNUMBER(SEARCH(", "&amp;$B23&amp;", ",", "&amp;'Ghép nối'!$B$7:$B$500&amp;", ")))+SUMPRODUCT(--ISNUMBER(SEARCH(", "&amp;$B23&amp;", ",", "&amp;'Huỷ đơn - Huỷ nhận đơn'!$B$7:$B$500&amp;", ")))+SUMPRODUCT(--ISNUMBER(SEARCH(", "&amp;$B23&amp;", ",", "&amp;'Giao nhận &amp; Theo dõi đơn'!$B$7:$B$500&amp;", ")))+SUMPRODUCT(--ISNUMBER(SEARCH(", "&amp;$B23&amp;", ",", "&amp;'Bảng tin &amp; Chi tiết tin'!$B$7:$B$500&amp;", ")))+SUMPRODUCT(--ISNUMBER(SEARCH(", "&amp;$B23&amp;", ",", "&amp;'Quà cảm ơn'!$B$7:$B$500&amp;", ")))+SUMPRODUCT(--ISNUMBER(SEARCH(", "&amp;$B23&amp;", ",", "&amp;'Trang chủ'!$B$7:$B$500&amp;", ")))+SUMPRODUCT(--ISNUMBER(SEARCH(", "&amp;$B23&amp;", ",", "&amp;'Thông báo'!$B$7:$B$500&amp;", ")))+SUMPRODUCT(--ISNUMBER(SEARCH(", "&amp;$B23&amp;", ",", "&amp;'Đăng tin &amp; Quản lý tin'!$B$7:$B$500&amp;", ")))+SUMPRODUCT(--ISNUMBER(SEARCH(", "&amp;$B23&amp;", ",", "&amp;'Trust &amp; Safety'!$B$7:$B$500&amp;", ")))+SUMPRODUCT(--ISNUMBER(SEARCH(", "&amp;$B23&amp;", ",", "&amp;'Tài khoản &amp; Hồ sơ'!$B$7:$B$500&amp;", ")))</f>
        <v>1</v>
      </c>
      <c r="F23" s="51" t="n">
        <f aca="false">SUMPRODUCT(--ISNUMBER(SEARCH(", "&amp;$B23&amp;", ",", "&amp;'Hoạt động (Đơn của tôi)'!$B$7:$B$500&amp;", ")),--('Hoạt động (Đơn của tôi)'!$AT$7:$AT$500&lt;&gt;""))+SUMPRODUCT(--ISNUMBER(SEARCH(", "&amp;$B23&amp;", ",", "&amp;'Ghép nối'!$B$7:$B$500&amp;", ")),--('Ghép nối'!$AT$7:$AT$500&lt;&gt;""))+SUMPRODUCT(--ISNUMBER(SEARCH(", "&amp;$B23&amp;", ",", "&amp;'Huỷ đơn - Huỷ nhận đơn'!$B$7:$B$500&amp;", ")),--('Huỷ đơn - Huỷ nhận đơn'!$AT$7:$AT$500&lt;&gt;""))+SUMPRODUCT(--ISNUMBER(SEARCH(", "&amp;$B23&amp;", ",", "&amp;'Giao nhận &amp; Theo dõi đơn'!$B$7:$B$500&amp;", ")),--('Giao nhận &amp; Theo dõi đơn'!$AT$7:$AT$500&lt;&gt;""))+SUMPRODUCT(--ISNUMBER(SEARCH(", "&amp;$B23&amp;", ",", "&amp;'Bảng tin &amp; Chi tiết tin'!$B$7:$B$500&amp;", ")),--('Bảng tin &amp; Chi tiết tin'!$AT$7:$AT$500&lt;&gt;""))+SUMPRODUCT(--ISNUMBER(SEARCH(", "&amp;$B23&amp;", ",", "&amp;'Quà cảm ơn'!$B$7:$B$500&amp;", ")),--('Quà cảm ơn'!$AT$7:$AT$500&lt;&gt;""))+SUMPRODUCT(--ISNUMBER(SEARCH(", "&amp;$B23&amp;", ",", "&amp;'Trang chủ'!$B$7:$B$500&amp;", ")),--('Trang chủ'!$AT$7:$AT$500&lt;&gt;""))+SUMPRODUCT(--ISNUMBER(SEARCH(", "&amp;$B23&amp;", ",", "&amp;'Thông báo'!$B$7:$B$500&amp;", ")),--('Thông báo'!$AT$7:$AT$500&lt;&gt;""))+SUMPRODUCT(--ISNUMBER(SEARCH(", "&amp;$B23&amp;", ",", "&amp;'Đăng tin &amp; Quản lý tin'!$B$7:$B$500&amp;", ")),--('Đăng tin &amp; Quản lý tin'!$AT$7:$AT$500&lt;&gt;""))+SUMPRODUCT(--ISNUMBER(SEARCH(", "&amp;$B23&amp;", ",", "&amp;'Trust &amp; Safety'!$B$7:$B$500&amp;", ")),--('Trust &amp; Safety'!$AT$7:$AT$500&lt;&gt;""))+SUMPRODUCT(--ISNUMBER(SEARCH(", "&amp;$B23&amp;", ",", "&amp;'Tài khoản &amp; Hồ sơ'!$B$7:$B$500&amp;", ")),--('Tài khoản &amp; Hồ sơ'!$AT$7:$AT$500&lt;&gt;""))</f>
        <v>1</v>
      </c>
      <c r="G23" s="51" t="n">
        <f aca="false">SUMPRODUCT(--ISNUMBER(SEARCH(", "&amp;$B23&amp;", ",", "&amp;'Hoạt động (Đơn của tôi)'!$B$7:$B$500&amp;", ")),--('Hoạt động (Đơn của tôi)'!$AT$7:$AT$500="Pass"))+SUMPRODUCT(--ISNUMBER(SEARCH(", "&amp;$B23&amp;", ",", "&amp;'Ghép nối'!$B$7:$B$500&amp;", ")),--('Ghép nối'!$AT$7:$AT$500="Pass"))+SUMPRODUCT(--ISNUMBER(SEARCH(", "&amp;$B23&amp;", ",", "&amp;'Huỷ đơn - Huỷ nhận đơn'!$B$7:$B$500&amp;", ")),--('Huỷ đơn - Huỷ nhận đơn'!$AT$7:$AT$500="Pass"))+SUMPRODUCT(--ISNUMBER(SEARCH(", "&amp;$B23&amp;", ",", "&amp;'Giao nhận &amp; Theo dõi đơn'!$B$7:$B$500&amp;", ")),--('Giao nhận &amp; Theo dõi đơn'!$AT$7:$AT$500="Pass"))+SUMPRODUCT(--ISNUMBER(SEARCH(", "&amp;$B23&amp;", ",", "&amp;'Bảng tin &amp; Chi tiết tin'!$B$7:$B$500&amp;", ")),--('Bảng tin &amp; Chi tiết tin'!$AT$7:$AT$500="Pass"))+SUMPRODUCT(--ISNUMBER(SEARCH(", "&amp;$B23&amp;", ",", "&amp;'Quà cảm ơn'!$B$7:$B$500&amp;", ")),--('Quà cảm ơn'!$AT$7:$AT$500="Pass"))+SUMPRODUCT(--ISNUMBER(SEARCH(", "&amp;$B23&amp;", ",", "&amp;'Trang chủ'!$B$7:$B$500&amp;", ")),--('Trang chủ'!$AT$7:$AT$500="Pass"))+SUMPRODUCT(--ISNUMBER(SEARCH(", "&amp;$B23&amp;", ",", "&amp;'Thông báo'!$B$7:$B$500&amp;", ")),--('Thông báo'!$AT$7:$AT$500="Pass"))+SUMPRODUCT(--ISNUMBER(SEARCH(", "&amp;$B23&amp;", ",", "&amp;'Đăng tin &amp; Quản lý tin'!$B$7:$B$500&amp;", ")),--('Đăng tin &amp; Quản lý tin'!$AT$7:$AT$500="Pass"))+SUMPRODUCT(--ISNUMBER(SEARCH(", "&amp;$B23&amp;", ",", "&amp;'Trust &amp; Safety'!$B$7:$B$500&amp;", ")),--('Trust &amp; Safety'!$AT$7:$AT$500="Pass"))+SUMPRODUCT(--ISNUMBER(SEARCH(", "&amp;$B23&amp;", ",", "&amp;'Tài khoản &amp; Hồ sơ'!$B$7:$B$500&amp;", ")),--('Tài khoản &amp; Hồ sơ'!$AT$7:$AT$500="Pass"))</f>
        <v>1</v>
      </c>
      <c r="H23" s="51" t="n">
        <f aca="false">SUMPRODUCT(--ISNUMBER(SEARCH(", "&amp;$B23&amp;", ",", "&amp;'Hoạt động (Đơn của tôi)'!$B$7:$B$500&amp;", ")),--('Hoạt động (Đơn của tôi)'!$AT$7:$AT$500="Fail"))+SUMPRODUCT(--ISNUMBER(SEARCH(", "&amp;$B23&amp;", ",", "&amp;'Ghép nối'!$B$7:$B$500&amp;", ")),--('Ghép nối'!$AT$7:$AT$500="Fail"))+SUMPRODUCT(--ISNUMBER(SEARCH(", "&amp;$B23&amp;", ",", "&amp;'Huỷ đơn - Huỷ nhận đơn'!$B$7:$B$500&amp;", ")),--('Huỷ đơn - Huỷ nhận đơn'!$AT$7:$AT$500="Fail"))+SUMPRODUCT(--ISNUMBER(SEARCH(", "&amp;$B23&amp;", ",", "&amp;'Giao nhận &amp; Theo dõi đơn'!$B$7:$B$500&amp;", ")),--('Giao nhận &amp; Theo dõi đơn'!$AT$7:$AT$500="Fail"))+SUMPRODUCT(--ISNUMBER(SEARCH(", "&amp;$B23&amp;", ",", "&amp;'Bảng tin &amp; Chi tiết tin'!$B$7:$B$500&amp;", ")),--('Bảng tin &amp; Chi tiết tin'!$AT$7:$AT$500="Fail"))+SUMPRODUCT(--ISNUMBER(SEARCH(", "&amp;$B23&amp;", ",", "&amp;'Quà cảm ơn'!$B$7:$B$500&amp;", ")),--('Quà cảm ơn'!$AT$7:$AT$500="Fail"))+SUMPRODUCT(--ISNUMBER(SEARCH(", "&amp;$B23&amp;", ",", "&amp;'Trang chủ'!$B$7:$B$500&amp;", ")),--('Trang chủ'!$AT$7:$AT$500="Fail"))+SUMPRODUCT(--ISNUMBER(SEARCH(", "&amp;$B23&amp;", ",", "&amp;'Thông báo'!$B$7:$B$500&amp;", ")),--('Thông báo'!$AT$7:$AT$500="Fail"))+SUMPRODUCT(--ISNUMBER(SEARCH(", "&amp;$B23&amp;", ",", "&amp;'Đăng tin &amp; Quản lý tin'!$B$7:$B$500&amp;", ")),--('Đăng tin &amp; Quản lý tin'!$AT$7:$AT$500="Fail"))+SUMPRODUCT(--ISNUMBER(SEARCH(", "&amp;$B23&amp;", ",", "&amp;'Trust &amp; Safety'!$B$7:$B$500&amp;", ")),--('Trust &amp; Safety'!$AT$7:$AT$500="Fail"))+SUMPRODUCT(--ISNUMBER(SEARCH(", "&amp;$B23&amp;", ",", "&amp;'Tài khoản &amp; Hồ sơ'!$B$7:$B$500&amp;", ")),--('Tài khoản &amp; Hồ sơ'!$AT$7:$AT$500="Fail"))</f>
        <v>0</v>
      </c>
      <c r="I23" s="51" t="n">
        <f aca="false">SUMPRODUCT(--ISNUMBER(SEARCH(", "&amp;$B23&amp;", ",", "&amp;'Hoạt động (Đơn của tôi)'!$B$7:$B$500&amp;", ")),--('Hoạt động (Đơn của tôi)'!$AT$7:$AT$500="Block"))+SUMPRODUCT(--ISNUMBER(SEARCH(", "&amp;$B23&amp;", ",", "&amp;'Ghép nối'!$B$7:$B$500&amp;", ")),--('Ghép nối'!$AT$7:$AT$500="Block"))+SUMPRODUCT(--ISNUMBER(SEARCH(", "&amp;$B23&amp;", ",", "&amp;'Huỷ đơn - Huỷ nhận đơn'!$B$7:$B$500&amp;", ")),--('Huỷ đơn - Huỷ nhận đơn'!$AT$7:$AT$500="Block"))+SUMPRODUCT(--ISNUMBER(SEARCH(", "&amp;$B23&amp;", ",", "&amp;'Giao nhận &amp; Theo dõi đơn'!$B$7:$B$500&amp;", ")),--('Giao nhận &amp; Theo dõi đơn'!$AT$7:$AT$500="Block"))+SUMPRODUCT(--ISNUMBER(SEARCH(", "&amp;$B23&amp;", ",", "&amp;'Bảng tin &amp; Chi tiết tin'!$B$7:$B$500&amp;", ")),--('Bảng tin &amp; Chi tiết tin'!$AT$7:$AT$500="Block"))+SUMPRODUCT(--ISNUMBER(SEARCH(", "&amp;$B23&amp;", ",", "&amp;'Quà cảm ơn'!$B$7:$B$500&amp;", ")),--('Quà cảm ơn'!$AT$7:$AT$500="Block"))+SUMPRODUCT(--ISNUMBER(SEARCH(", "&amp;$B23&amp;", ",", "&amp;'Trang chủ'!$B$7:$B$500&amp;", ")),--('Trang chủ'!$AT$7:$AT$500="Block"))+SUMPRODUCT(--ISNUMBER(SEARCH(", "&amp;$B23&amp;", ",", "&amp;'Thông báo'!$B$7:$B$500&amp;", ")),--('Thông báo'!$AT$7:$AT$500="Block"))+SUMPRODUCT(--ISNUMBER(SEARCH(", "&amp;$B23&amp;", ",", "&amp;'Đăng tin &amp; Quản lý tin'!$B$7:$B$500&amp;", ")),--('Đăng tin &amp; Quản lý tin'!$AT$7:$AT$500="Block"))+SUMPRODUCT(--ISNUMBER(SEARCH(", "&amp;$B23&amp;", ",", "&amp;'Trust &amp; Safety'!$B$7:$B$500&amp;", ")),--('Trust &amp; Safety'!$AT$7:$AT$500="Block"))+SUMPRODUCT(--ISNUMBER(SEARCH(", "&amp;$B23&amp;", ",", "&amp;'Tài khoản &amp; Hồ sơ'!$B$7:$B$500&amp;", ")),--('Tài khoản &amp; Hồ sơ'!$AT$7:$AT$500="Block"))</f>
        <v>0</v>
      </c>
      <c r="J23" s="51" t="n">
        <f aca="false">SUMPRODUCT(--ISNUMBER(SEARCH(", "&amp;$B23&amp;", ",", "&amp;'Hoạt động (Đơn của tôi)'!$B$7:$B$500&amp;", ")),--('Hoạt động (Đơn của tôi)'!$AT$7:$AT$500="N/A"))+SUMPRODUCT(--ISNUMBER(SEARCH(", "&amp;$B23&amp;", ",", "&amp;'Ghép nối'!$B$7:$B$500&amp;", ")),--('Ghép nối'!$AT$7:$AT$500="N/A"))+SUMPRODUCT(--ISNUMBER(SEARCH(", "&amp;$B23&amp;", ",", "&amp;'Huỷ đơn - Huỷ nhận đơn'!$B$7:$B$500&amp;", ")),--('Huỷ đơn - Huỷ nhận đơn'!$AT$7:$AT$500="N/A"))+SUMPRODUCT(--ISNUMBER(SEARCH(", "&amp;$B23&amp;", ",", "&amp;'Giao nhận &amp; Theo dõi đơn'!$B$7:$B$500&amp;", ")),--('Giao nhận &amp; Theo dõi đơn'!$AT$7:$AT$500="N/A"))+SUMPRODUCT(--ISNUMBER(SEARCH(", "&amp;$B23&amp;", ",", "&amp;'Bảng tin &amp; Chi tiết tin'!$B$7:$B$500&amp;", ")),--('Bảng tin &amp; Chi tiết tin'!$AT$7:$AT$500="N/A"))+SUMPRODUCT(--ISNUMBER(SEARCH(", "&amp;$B23&amp;", ",", "&amp;'Quà cảm ơn'!$B$7:$B$500&amp;", ")),--('Quà cảm ơn'!$AT$7:$AT$500="N/A"))+SUMPRODUCT(--ISNUMBER(SEARCH(", "&amp;$B23&amp;", ",", "&amp;'Trang chủ'!$B$7:$B$500&amp;", ")),--('Trang chủ'!$AT$7:$AT$500="N/A"))+SUMPRODUCT(--ISNUMBER(SEARCH(", "&amp;$B23&amp;", ",", "&amp;'Thông báo'!$B$7:$B$500&amp;", ")),--('Thông báo'!$AT$7:$AT$500="N/A"))+SUMPRODUCT(--ISNUMBER(SEARCH(", "&amp;$B23&amp;", ",", "&amp;'Đăng tin &amp; Quản lý tin'!$B$7:$B$500&amp;", ")),--('Đăng tin &amp; Quản lý tin'!$AT$7:$AT$500="N/A"))+SUMPRODUCT(--ISNUMBER(SEARCH(", "&amp;$B23&amp;", ",", "&amp;'Trust &amp; Safety'!$B$7:$B$500&amp;", ")),--('Trust &amp; Safety'!$AT$7:$AT$500="N/A"))+SUMPRODUCT(--ISNUMBER(SEARCH(", "&amp;$B23&amp;", ",", "&amp;'Tài khoản &amp; Hồ sơ'!$B$7:$B$500&amp;", ")),--('Tài khoản &amp; Hồ sơ'!$AT$7:$AT$500="N/A"))</f>
        <v>0</v>
      </c>
      <c r="K23" s="52" t="n">
        <f aca="false">IFERROR(F23/E23,0)</f>
        <v>1</v>
      </c>
      <c r="L23" s="124" t="str">
        <f aca="false">IF(E23=0,"Chưa có TC (gap)",IF(H23&gt;0,"Có lỗi (Fail)",IF(I23&gt;0,"Bị block",IF(F23&lt;E23,"Đang test",IF(G23=0,"Không áp dụng (N/A)","Đã test xong")))))</f>
        <v>Đã test xong</v>
      </c>
      <c r="AB23" s="0" t="s">
        <v>507</v>
      </c>
    </row>
    <row r="24" customFormat="false" ht="15.75" hidden="false" customHeight="true" outlineLevel="0" collapsed="false">
      <c r="A24" s="1"/>
      <c r="B24" s="176" t="s">
        <v>561</v>
      </c>
      <c r="C24" s="177" t="s">
        <v>562</v>
      </c>
      <c r="D24" s="124" t="s">
        <v>563</v>
      </c>
      <c r="E24" s="51" t="n">
        <f aca="false">SUMPRODUCT(--ISNUMBER(SEARCH(", "&amp;$B24&amp;", ",", "&amp;'Hoạt động (Đơn của tôi)'!$B$7:$B$500&amp;", ")))+SUMPRODUCT(--ISNUMBER(SEARCH(", "&amp;$B24&amp;", ",", "&amp;'Ghép nối'!$B$7:$B$500&amp;", ")))+SUMPRODUCT(--ISNUMBER(SEARCH(", "&amp;$B24&amp;", ",", "&amp;'Huỷ đơn - Huỷ nhận đơn'!$B$7:$B$500&amp;", ")))+SUMPRODUCT(--ISNUMBER(SEARCH(", "&amp;$B24&amp;", ",", "&amp;'Giao nhận &amp; Theo dõi đơn'!$B$7:$B$500&amp;", ")))+SUMPRODUCT(--ISNUMBER(SEARCH(", "&amp;$B24&amp;", ",", "&amp;'Bảng tin &amp; Chi tiết tin'!$B$7:$B$500&amp;", ")))+SUMPRODUCT(--ISNUMBER(SEARCH(", "&amp;$B24&amp;", ",", "&amp;'Quà cảm ơn'!$B$7:$B$500&amp;", ")))+SUMPRODUCT(--ISNUMBER(SEARCH(", "&amp;$B24&amp;", ",", "&amp;'Trang chủ'!$B$7:$B$500&amp;", ")))+SUMPRODUCT(--ISNUMBER(SEARCH(", "&amp;$B24&amp;", ",", "&amp;'Thông báo'!$B$7:$B$500&amp;", ")))+SUMPRODUCT(--ISNUMBER(SEARCH(", "&amp;$B24&amp;", ",", "&amp;'Đăng tin &amp; Quản lý tin'!$B$7:$B$500&amp;", ")))+SUMPRODUCT(--ISNUMBER(SEARCH(", "&amp;$B24&amp;", ",", "&amp;'Trust &amp; Safety'!$B$7:$B$500&amp;", ")))+SUMPRODUCT(--ISNUMBER(SEARCH(", "&amp;$B24&amp;", ",", "&amp;'Tài khoản &amp; Hồ sơ'!$B$7:$B$500&amp;", ")))</f>
        <v>9</v>
      </c>
      <c r="F24" s="51" t="n">
        <f aca="false">SUMPRODUCT(--ISNUMBER(SEARCH(", "&amp;$B24&amp;", ",", "&amp;'Hoạt động (Đơn của tôi)'!$B$7:$B$500&amp;", ")),--('Hoạt động (Đơn của tôi)'!$AT$7:$AT$500&lt;&gt;""))+SUMPRODUCT(--ISNUMBER(SEARCH(", "&amp;$B24&amp;", ",", "&amp;'Ghép nối'!$B$7:$B$500&amp;", ")),--('Ghép nối'!$AT$7:$AT$500&lt;&gt;""))+SUMPRODUCT(--ISNUMBER(SEARCH(", "&amp;$B24&amp;", ",", "&amp;'Huỷ đơn - Huỷ nhận đơn'!$B$7:$B$500&amp;", ")),--('Huỷ đơn - Huỷ nhận đơn'!$AT$7:$AT$500&lt;&gt;""))+SUMPRODUCT(--ISNUMBER(SEARCH(", "&amp;$B24&amp;", ",", "&amp;'Giao nhận &amp; Theo dõi đơn'!$B$7:$B$500&amp;", ")),--('Giao nhận &amp; Theo dõi đơn'!$AT$7:$AT$500&lt;&gt;""))+SUMPRODUCT(--ISNUMBER(SEARCH(", "&amp;$B24&amp;", ",", "&amp;'Bảng tin &amp; Chi tiết tin'!$B$7:$B$500&amp;", ")),--('Bảng tin &amp; Chi tiết tin'!$AT$7:$AT$500&lt;&gt;""))+SUMPRODUCT(--ISNUMBER(SEARCH(", "&amp;$B24&amp;", ",", "&amp;'Quà cảm ơn'!$B$7:$B$500&amp;", ")),--('Quà cảm ơn'!$AT$7:$AT$500&lt;&gt;""))+SUMPRODUCT(--ISNUMBER(SEARCH(", "&amp;$B24&amp;", ",", "&amp;'Trang chủ'!$B$7:$B$500&amp;", ")),--('Trang chủ'!$AT$7:$AT$500&lt;&gt;""))+SUMPRODUCT(--ISNUMBER(SEARCH(", "&amp;$B24&amp;", ",", "&amp;'Thông báo'!$B$7:$B$500&amp;", ")),--('Thông báo'!$AT$7:$AT$500&lt;&gt;""))+SUMPRODUCT(--ISNUMBER(SEARCH(", "&amp;$B24&amp;", ",", "&amp;'Đăng tin &amp; Quản lý tin'!$B$7:$B$500&amp;", ")),--('Đăng tin &amp; Quản lý tin'!$AT$7:$AT$500&lt;&gt;""))+SUMPRODUCT(--ISNUMBER(SEARCH(", "&amp;$B24&amp;", ",", "&amp;'Trust &amp; Safety'!$B$7:$B$500&amp;", ")),--('Trust &amp; Safety'!$AT$7:$AT$500&lt;&gt;""))+SUMPRODUCT(--ISNUMBER(SEARCH(", "&amp;$B24&amp;", ",", "&amp;'Tài khoản &amp; Hồ sơ'!$B$7:$B$500&amp;", ")),--('Tài khoản &amp; Hồ sơ'!$AT$7:$AT$500&lt;&gt;""))</f>
        <v>0</v>
      </c>
      <c r="G24" s="51" t="n">
        <f aca="false">SUMPRODUCT(--ISNUMBER(SEARCH(", "&amp;$B24&amp;", ",", "&amp;'Hoạt động (Đơn của tôi)'!$B$7:$B$500&amp;", ")),--('Hoạt động (Đơn của tôi)'!$AT$7:$AT$500="Pass"))+SUMPRODUCT(--ISNUMBER(SEARCH(", "&amp;$B24&amp;", ",", "&amp;'Ghép nối'!$B$7:$B$500&amp;", ")),--('Ghép nối'!$AT$7:$AT$500="Pass"))+SUMPRODUCT(--ISNUMBER(SEARCH(", "&amp;$B24&amp;", ",", "&amp;'Huỷ đơn - Huỷ nhận đơn'!$B$7:$B$500&amp;", ")),--('Huỷ đơn - Huỷ nhận đơn'!$AT$7:$AT$500="Pass"))+SUMPRODUCT(--ISNUMBER(SEARCH(", "&amp;$B24&amp;", ",", "&amp;'Giao nhận &amp; Theo dõi đơn'!$B$7:$B$500&amp;", ")),--('Giao nhận &amp; Theo dõi đơn'!$AT$7:$AT$500="Pass"))+SUMPRODUCT(--ISNUMBER(SEARCH(", "&amp;$B24&amp;", ",", "&amp;'Bảng tin &amp; Chi tiết tin'!$B$7:$B$500&amp;", ")),--('Bảng tin &amp; Chi tiết tin'!$AT$7:$AT$500="Pass"))+SUMPRODUCT(--ISNUMBER(SEARCH(", "&amp;$B24&amp;", ",", "&amp;'Quà cảm ơn'!$B$7:$B$500&amp;", ")),--('Quà cảm ơn'!$AT$7:$AT$500="Pass"))+SUMPRODUCT(--ISNUMBER(SEARCH(", "&amp;$B24&amp;", ",", "&amp;'Trang chủ'!$B$7:$B$500&amp;", ")),--('Trang chủ'!$AT$7:$AT$500="Pass"))+SUMPRODUCT(--ISNUMBER(SEARCH(", "&amp;$B24&amp;", ",", "&amp;'Thông báo'!$B$7:$B$500&amp;", ")),--('Thông báo'!$AT$7:$AT$500="Pass"))+SUMPRODUCT(--ISNUMBER(SEARCH(", "&amp;$B24&amp;", ",", "&amp;'Đăng tin &amp; Quản lý tin'!$B$7:$B$500&amp;", ")),--('Đăng tin &amp; Quản lý tin'!$AT$7:$AT$500="Pass"))+SUMPRODUCT(--ISNUMBER(SEARCH(", "&amp;$B24&amp;", ",", "&amp;'Trust &amp; Safety'!$B$7:$B$500&amp;", ")),--('Trust &amp; Safety'!$AT$7:$AT$500="Pass"))+SUMPRODUCT(--ISNUMBER(SEARCH(", "&amp;$B24&amp;", ",", "&amp;'Tài khoản &amp; Hồ sơ'!$B$7:$B$500&amp;", ")),--('Tài khoản &amp; Hồ sơ'!$AT$7:$AT$500="Pass"))</f>
        <v>0</v>
      </c>
      <c r="H24" s="51" t="n">
        <f aca="false">SUMPRODUCT(--ISNUMBER(SEARCH(", "&amp;$B24&amp;", ",", "&amp;'Hoạt động (Đơn của tôi)'!$B$7:$B$500&amp;", ")),--('Hoạt động (Đơn của tôi)'!$AT$7:$AT$500="Fail"))+SUMPRODUCT(--ISNUMBER(SEARCH(", "&amp;$B24&amp;", ",", "&amp;'Ghép nối'!$B$7:$B$500&amp;", ")),--('Ghép nối'!$AT$7:$AT$500="Fail"))+SUMPRODUCT(--ISNUMBER(SEARCH(", "&amp;$B24&amp;", ",", "&amp;'Huỷ đơn - Huỷ nhận đơn'!$B$7:$B$500&amp;", ")),--('Huỷ đơn - Huỷ nhận đơn'!$AT$7:$AT$500="Fail"))+SUMPRODUCT(--ISNUMBER(SEARCH(", "&amp;$B24&amp;", ",", "&amp;'Giao nhận &amp; Theo dõi đơn'!$B$7:$B$500&amp;", ")),--('Giao nhận &amp; Theo dõi đơn'!$AT$7:$AT$500="Fail"))+SUMPRODUCT(--ISNUMBER(SEARCH(", "&amp;$B24&amp;", ",", "&amp;'Bảng tin &amp; Chi tiết tin'!$B$7:$B$500&amp;", ")),--('Bảng tin &amp; Chi tiết tin'!$AT$7:$AT$500="Fail"))+SUMPRODUCT(--ISNUMBER(SEARCH(", "&amp;$B24&amp;", ",", "&amp;'Quà cảm ơn'!$B$7:$B$500&amp;", ")),--('Quà cảm ơn'!$AT$7:$AT$500="Fail"))+SUMPRODUCT(--ISNUMBER(SEARCH(", "&amp;$B24&amp;", ",", "&amp;'Trang chủ'!$B$7:$B$500&amp;", ")),--('Trang chủ'!$AT$7:$AT$500="Fail"))+SUMPRODUCT(--ISNUMBER(SEARCH(", "&amp;$B24&amp;", ",", "&amp;'Thông báo'!$B$7:$B$500&amp;", ")),--('Thông báo'!$AT$7:$AT$500="Fail"))+SUMPRODUCT(--ISNUMBER(SEARCH(", "&amp;$B24&amp;", ",", "&amp;'Đăng tin &amp; Quản lý tin'!$B$7:$B$500&amp;", ")),--('Đăng tin &amp; Quản lý tin'!$AT$7:$AT$500="Fail"))+SUMPRODUCT(--ISNUMBER(SEARCH(", "&amp;$B24&amp;", ",", "&amp;'Trust &amp; Safety'!$B$7:$B$500&amp;", ")),--('Trust &amp; Safety'!$AT$7:$AT$500="Fail"))+SUMPRODUCT(--ISNUMBER(SEARCH(", "&amp;$B24&amp;", ",", "&amp;'Tài khoản &amp; Hồ sơ'!$B$7:$B$500&amp;", ")),--('Tài khoản &amp; Hồ sơ'!$AT$7:$AT$500="Fail"))</f>
        <v>0</v>
      </c>
      <c r="I24" s="51" t="n">
        <f aca="false">SUMPRODUCT(--ISNUMBER(SEARCH(", "&amp;$B24&amp;", ",", "&amp;'Hoạt động (Đơn của tôi)'!$B$7:$B$500&amp;", ")),--('Hoạt động (Đơn của tôi)'!$AT$7:$AT$500="Block"))+SUMPRODUCT(--ISNUMBER(SEARCH(", "&amp;$B24&amp;", ",", "&amp;'Ghép nối'!$B$7:$B$500&amp;", ")),--('Ghép nối'!$AT$7:$AT$500="Block"))+SUMPRODUCT(--ISNUMBER(SEARCH(", "&amp;$B24&amp;", ",", "&amp;'Huỷ đơn - Huỷ nhận đơn'!$B$7:$B$500&amp;", ")),--('Huỷ đơn - Huỷ nhận đơn'!$AT$7:$AT$500="Block"))+SUMPRODUCT(--ISNUMBER(SEARCH(", "&amp;$B24&amp;", ",", "&amp;'Giao nhận &amp; Theo dõi đơn'!$B$7:$B$500&amp;", ")),--('Giao nhận &amp; Theo dõi đơn'!$AT$7:$AT$500="Block"))+SUMPRODUCT(--ISNUMBER(SEARCH(", "&amp;$B24&amp;", ",", "&amp;'Bảng tin &amp; Chi tiết tin'!$B$7:$B$500&amp;", ")),--('Bảng tin &amp; Chi tiết tin'!$AT$7:$AT$500="Block"))+SUMPRODUCT(--ISNUMBER(SEARCH(", "&amp;$B24&amp;", ",", "&amp;'Quà cảm ơn'!$B$7:$B$500&amp;", ")),--('Quà cảm ơn'!$AT$7:$AT$500="Block"))+SUMPRODUCT(--ISNUMBER(SEARCH(", "&amp;$B24&amp;", ",", "&amp;'Trang chủ'!$B$7:$B$500&amp;", ")),--('Trang chủ'!$AT$7:$AT$500="Block"))+SUMPRODUCT(--ISNUMBER(SEARCH(", "&amp;$B24&amp;", ",", "&amp;'Thông báo'!$B$7:$B$500&amp;", ")),--('Thông báo'!$AT$7:$AT$500="Block"))+SUMPRODUCT(--ISNUMBER(SEARCH(", "&amp;$B24&amp;", ",", "&amp;'Đăng tin &amp; Quản lý tin'!$B$7:$B$500&amp;", ")),--('Đăng tin &amp; Quản lý tin'!$AT$7:$AT$500="Block"))+SUMPRODUCT(--ISNUMBER(SEARCH(", "&amp;$B24&amp;", ",", "&amp;'Trust &amp; Safety'!$B$7:$B$500&amp;", ")),--('Trust &amp; Safety'!$AT$7:$AT$500="Block"))+SUMPRODUCT(--ISNUMBER(SEARCH(", "&amp;$B24&amp;", ",", "&amp;'Tài khoản &amp; Hồ sơ'!$B$7:$B$500&amp;", ")),--('Tài khoản &amp; Hồ sơ'!$AT$7:$AT$500="Block"))</f>
        <v>0</v>
      </c>
      <c r="J24" s="51" t="n">
        <f aca="false">SUMPRODUCT(--ISNUMBER(SEARCH(", "&amp;$B24&amp;", ",", "&amp;'Hoạt động (Đơn của tôi)'!$B$7:$B$500&amp;", ")),--('Hoạt động (Đơn của tôi)'!$AT$7:$AT$500="N/A"))+SUMPRODUCT(--ISNUMBER(SEARCH(", "&amp;$B24&amp;", ",", "&amp;'Ghép nối'!$B$7:$B$500&amp;", ")),--('Ghép nối'!$AT$7:$AT$500="N/A"))+SUMPRODUCT(--ISNUMBER(SEARCH(", "&amp;$B24&amp;", ",", "&amp;'Huỷ đơn - Huỷ nhận đơn'!$B$7:$B$500&amp;", ")),--('Huỷ đơn - Huỷ nhận đơn'!$AT$7:$AT$500="N/A"))+SUMPRODUCT(--ISNUMBER(SEARCH(", "&amp;$B24&amp;", ",", "&amp;'Giao nhận &amp; Theo dõi đơn'!$B$7:$B$500&amp;", ")),--('Giao nhận &amp; Theo dõi đơn'!$AT$7:$AT$500="N/A"))+SUMPRODUCT(--ISNUMBER(SEARCH(", "&amp;$B24&amp;", ",", "&amp;'Bảng tin &amp; Chi tiết tin'!$B$7:$B$500&amp;", ")),--('Bảng tin &amp; Chi tiết tin'!$AT$7:$AT$500="N/A"))+SUMPRODUCT(--ISNUMBER(SEARCH(", "&amp;$B24&amp;", ",", "&amp;'Quà cảm ơn'!$B$7:$B$500&amp;", ")),--('Quà cảm ơn'!$AT$7:$AT$500="N/A"))+SUMPRODUCT(--ISNUMBER(SEARCH(", "&amp;$B24&amp;", ",", "&amp;'Trang chủ'!$B$7:$B$500&amp;", ")),--('Trang chủ'!$AT$7:$AT$500="N/A"))+SUMPRODUCT(--ISNUMBER(SEARCH(", "&amp;$B24&amp;", ",", "&amp;'Thông báo'!$B$7:$B$500&amp;", ")),--('Thông báo'!$AT$7:$AT$500="N/A"))+SUMPRODUCT(--ISNUMBER(SEARCH(", "&amp;$B24&amp;", ",", "&amp;'Đăng tin &amp; Quản lý tin'!$B$7:$B$500&amp;", ")),--('Đăng tin &amp; Quản lý tin'!$AT$7:$AT$500="N/A"))+SUMPRODUCT(--ISNUMBER(SEARCH(", "&amp;$B24&amp;", ",", "&amp;'Trust &amp; Safety'!$B$7:$B$500&amp;", ")),--('Trust &amp; Safety'!$AT$7:$AT$500="N/A"))+SUMPRODUCT(--ISNUMBER(SEARCH(", "&amp;$B24&amp;", ",", "&amp;'Tài khoản &amp; Hồ sơ'!$B$7:$B$500&amp;", ")),--('Tài khoản &amp; Hồ sơ'!$AT$7:$AT$500="N/A"))</f>
        <v>0</v>
      </c>
      <c r="K24" s="52" t="n">
        <f aca="false">IFERROR(F24/E24,0)</f>
        <v>0</v>
      </c>
      <c r="L24" s="124" t="str">
        <f aca="false">IF(E24=0,"Chưa có TC (gap)",IF(H24&gt;0,"Có lỗi (Fail)",IF(I24&gt;0,"Bị block",IF(F24&lt;E24,"Đang test",IF(G24=0,"Không áp dụng (N/A)","Đã test xong")))))</f>
        <v>Đang test</v>
      </c>
      <c r="AB24" s="0" t="s">
        <v>511</v>
      </c>
    </row>
    <row r="25" customFormat="false" ht="15.75" hidden="false" customHeight="true" outlineLevel="0" collapsed="false">
      <c r="A25" s="1"/>
      <c r="B25" s="176" t="s">
        <v>564</v>
      </c>
      <c r="C25" s="177" t="s">
        <v>565</v>
      </c>
      <c r="D25" s="124" t="s">
        <v>566</v>
      </c>
      <c r="E25" s="51" t="n">
        <f aca="false">SUMPRODUCT(--ISNUMBER(SEARCH(", "&amp;$B25&amp;", ",", "&amp;'Hoạt động (Đơn của tôi)'!$B$7:$B$500&amp;", ")))+SUMPRODUCT(--ISNUMBER(SEARCH(", "&amp;$B25&amp;", ",", "&amp;'Ghép nối'!$B$7:$B$500&amp;", ")))+SUMPRODUCT(--ISNUMBER(SEARCH(", "&amp;$B25&amp;", ",", "&amp;'Huỷ đơn - Huỷ nhận đơn'!$B$7:$B$500&amp;", ")))+SUMPRODUCT(--ISNUMBER(SEARCH(", "&amp;$B25&amp;", ",", "&amp;'Giao nhận &amp; Theo dõi đơn'!$B$7:$B$500&amp;", ")))+SUMPRODUCT(--ISNUMBER(SEARCH(", "&amp;$B25&amp;", ",", "&amp;'Bảng tin &amp; Chi tiết tin'!$B$7:$B$500&amp;", ")))+SUMPRODUCT(--ISNUMBER(SEARCH(", "&amp;$B25&amp;", ",", "&amp;'Quà cảm ơn'!$B$7:$B$500&amp;", ")))+SUMPRODUCT(--ISNUMBER(SEARCH(", "&amp;$B25&amp;", ",", "&amp;'Trang chủ'!$B$7:$B$500&amp;", ")))+SUMPRODUCT(--ISNUMBER(SEARCH(", "&amp;$B25&amp;", ",", "&amp;'Thông báo'!$B$7:$B$500&amp;", ")))+SUMPRODUCT(--ISNUMBER(SEARCH(", "&amp;$B25&amp;", ",", "&amp;'Đăng tin &amp; Quản lý tin'!$B$7:$B$500&amp;", ")))+SUMPRODUCT(--ISNUMBER(SEARCH(", "&amp;$B25&amp;", ",", "&amp;'Trust &amp; Safety'!$B$7:$B$500&amp;", ")))+SUMPRODUCT(--ISNUMBER(SEARCH(", "&amp;$B25&amp;", ",", "&amp;'Tài khoản &amp; Hồ sơ'!$B$7:$B$500&amp;", ")))</f>
        <v>1</v>
      </c>
      <c r="F25" s="51" t="n">
        <f aca="false">SUMPRODUCT(--ISNUMBER(SEARCH(", "&amp;$B25&amp;", ",", "&amp;'Hoạt động (Đơn của tôi)'!$B$7:$B$500&amp;", ")),--('Hoạt động (Đơn của tôi)'!$AT$7:$AT$500&lt;&gt;""))+SUMPRODUCT(--ISNUMBER(SEARCH(", "&amp;$B25&amp;", ",", "&amp;'Ghép nối'!$B$7:$B$500&amp;", ")),--('Ghép nối'!$AT$7:$AT$500&lt;&gt;""))+SUMPRODUCT(--ISNUMBER(SEARCH(", "&amp;$B25&amp;", ",", "&amp;'Huỷ đơn - Huỷ nhận đơn'!$B$7:$B$500&amp;", ")),--('Huỷ đơn - Huỷ nhận đơn'!$AT$7:$AT$500&lt;&gt;""))+SUMPRODUCT(--ISNUMBER(SEARCH(", "&amp;$B25&amp;", ",", "&amp;'Giao nhận &amp; Theo dõi đơn'!$B$7:$B$500&amp;", ")),--('Giao nhận &amp; Theo dõi đơn'!$AT$7:$AT$500&lt;&gt;""))+SUMPRODUCT(--ISNUMBER(SEARCH(", "&amp;$B25&amp;", ",", "&amp;'Bảng tin &amp; Chi tiết tin'!$B$7:$B$500&amp;", ")),--('Bảng tin &amp; Chi tiết tin'!$AT$7:$AT$500&lt;&gt;""))+SUMPRODUCT(--ISNUMBER(SEARCH(", "&amp;$B25&amp;", ",", "&amp;'Quà cảm ơn'!$B$7:$B$500&amp;", ")),--('Quà cảm ơn'!$AT$7:$AT$500&lt;&gt;""))+SUMPRODUCT(--ISNUMBER(SEARCH(", "&amp;$B25&amp;", ",", "&amp;'Trang chủ'!$B$7:$B$500&amp;", ")),--('Trang chủ'!$AT$7:$AT$500&lt;&gt;""))+SUMPRODUCT(--ISNUMBER(SEARCH(", "&amp;$B25&amp;", ",", "&amp;'Thông báo'!$B$7:$B$500&amp;", ")),--('Thông báo'!$AT$7:$AT$500&lt;&gt;""))+SUMPRODUCT(--ISNUMBER(SEARCH(", "&amp;$B25&amp;", ",", "&amp;'Đăng tin &amp; Quản lý tin'!$B$7:$B$500&amp;", ")),--('Đăng tin &amp; Quản lý tin'!$AT$7:$AT$500&lt;&gt;""))+SUMPRODUCT(--ISNUMBER(SEARCH(", "&amp;$B25&amp;", ",", "&amp;'Trust &amp; Safety'!$B$7:$B$500&amp;", ")),--('Trust &amp; Safety'!$AT$7:$AT$500&lt;&gt;""))+SUMPRODUCT(--ISNUMBER(SEARCH(", "&amp;$B25&amp;", ",", "&amp;'Tài khoản &amp; Hồ sơ'!$B$7:$B$500&amp;", ")),--('Tài khoản &amp; Hồ sơ'!$AT$7:$AT$500&lt;&gt;""))</f>
        <v>0</v>
      </c>
      <c r="G25" s="51" t="n">
        <f aca="false">SUMPRODUCT(--ISNUMBER(SEARCH(", "&amp;$B25&amp;", ",", "&amp;'Hoạt động (Đơn của tôi)'!$B$7:$B$500&amp;", ")),--('Hoạt động (Đơn của tôi)'!$AT$7:$AT$500="Pass"))+SUMPRODUCT(--ISNUMBER(SEARCH(", "&amp;$B25&amp;", ",", "&amp;'Ghép nối'!$B$7:$B$500&amp;", ")),--('Ghép nối'!$AT$7:$AT$500="Pass"))+SUMPRODUCT(--ISNUMBER(SEARCH(", "&amp;$B25&amp;", ",", "&amp;'Huỷ đơn - Huỷ nhận đơn'!$B$7:$B$500&amp;", ")),--('Huỷ đơn - Huỷ nhận đơn'!$AT$7:$AT$500="Pass"))+SUMPRODUCT(--ISNUMBER(SEARCH(", "&amp;$B25&amp;", ",", "&amp;'Giao nhận &amp; Theo dõi đơn'!$B$7:$B$500&amp;", ")),--('Giao nhận &amp; Theo dõi đơn'!$AT$7:$AT$500="Pass"))+SUMPRODUCT(--ISNUMBER(SEARCH(", "&amp;$B25&amp;", ",", "&amp;'Bảng tin &amp; Chi tiết tin'!$B$7:$B$500&amp;", ")),--('Bảng tin &amp; Chi tiết tin'!$AT$7:$AT$500="Pass"))+SUMPRODUCT(--ISNUMBER(SEARCH(", "&amp;$B25&amp;", ",", "&amp;'Quà cảm ơn'!$B$7:$B$500&amp;", ")),--('Quà cảm ơn'!$AT$7:$AT$500="Pass"))+SUMPRODUCT(--ISNUMBER(SEARCH(", "&amp;$B25&amp;", ",", "&amp;'Trang chủ'!$B$7:$B$500&amp;", ")),--('Trang chủ'!$AT$7:$AT$500="Pass"))+SUMPRODUCT(--ISNUMBER(SEARCH(", "&amp;$B25&amp;", ",", "&amp;'Thông báo'!$B$7:$B$500&amp;", ")),--('Thông báo'!$AT$7:$AT$500="Pass"))+SUMPRODUCT(--ISNUMBER(SEARCH(", "&amp;$B25&amp;", ",", "&amp;'Đăng tin &amp; Quản lý tin'!$B$7:$B$500&amp;", ")),--('Đăng tin &amp; Quản lý tin'!$AT$7:$AT$500="Pass"))+SUMPRODUCT(--ISNUMBER(SEARCH(", "&amp;$B25&amp;", ",", "&amp;'Trust &amp; Safety'!$B$7:$B$500&amp;", ")),--('Trust &amp; Safety'!$AT$7:$AT$500="Pass"))+SUMPRODUCT(--ISNUMBER(SEARCH(", "&amp;$B25&amp;", ",", "&amp;'Tài khoản &amp; Hồ sơ'!$B$7:$B$500&amp;", ")),--('Tài khoản &amp; Hồ sơ'!$AT$7:$AT$500="Pass"))</f>
        <v>0</v>
      </c>
      <c r="H25" s="51" t="n">
        <f aca="false">SUMPRODUCT(--ISNUMBER(SEARCH(", "&amp;$B25&amp;", ",", "&amp;'Hoạt động (Đơn của tôi)'!$B$7:$B$500&amp;", ")),--('Hoạt động (Đơn của tôi)'!$AT$7:$AT$500="Fail"))+SUMPRODUCT(--ISNUMBER(SEARCH(", "&amp;$B25&amp;", ",", "&amp;'Ghép nối'!$B$7:$B$500&amp;", ")),--('Ghép nối'!$AT$7:$AT$500="Fail"))+SUMPRODUCT(--ISNUMBER(SEARCH(", "&amp;$B25&amp;", ",", "&amp;'Huỷ đơn - Huỷ nhận đơn'!$B$7:$B$500&amp;", ")),--('Huỷ đơn - Huỷ nhận đơn'!$AT$7:$AT$500="Fail"))+SUMPRODUCT(--ISNUMBER(SEARCH(", "&amp;$B25&amp;", ",", "&amp;'Giao nhận &amp; Theo dõi đơn'!$B$7:$B$500&amp;", ")),--('Giao nhận &amp; Theo dõi đơn'!$AT$7:$AT$500="Fail"))+SUMPRODUCT(--ISNUMBER(SEARCH(", "&amp;$B25&amp;", ",", "&amp;'Bảng tin &amp; Chi tiết tin'!$B$7:$B$500&amp;", ")),--('Bảng tin &amp; Chi tiết tin'!$AT$7:$AT$500="Fail"))+SUMPRODUCT(--ISNUMBER(SEARCH(", "&amp;$B25&amp;", ",", "&amp;'Quà cảm ơn'!$B$7:$B$500&amp;", ")),--('Quà cảm ơn'!$AT$7:$AT$500="Fail"))+SUMPRODUCT(--ISNUMBER(SEARCH(", "&amp;$B25&amp;", ",", "&amp;'Trang chủ'!$B$7:$B$500&amp;", ")),--('Trang chủ'!$AT$7:$AT$500="Fail"))+SUMPRODUCT(--ISNUMBER(SEARCH(", "&amp;$B25&amp;", ",", "&amp;'Thông báo'!$B$7:$B$500&amp;", ")),--('Thông báo'!$AT$7:$AT$500="Fail"))+SUMPRODUCT(--ISNUMBER(SEARCH(", "&amp;$B25&amp;", ",", "&amp;'Đăng tin &amp; Quản lý tin'!$B$7:$B$500&amp;", ")),--('Đăng tin &amp; Quản lý tin'!$AT$7:$AT$500="Fail"))+SUMPRODUCT(--ISNUMBER(SEARCH(", "&amp;$B25&amp;", ",", "&amp;'Trust &amp; Safety'!$B$7:$B$500&amp;", ")),--('Trust &amp; Safety'!$AT$7:$AT$500="Fail"))+SUMPRODUCT(--ISNUMBER(SEARCH(", "&amp;$B25&amp;", ",", "&amp;'Tài khoản &amp; Hồ sơ'!$B$7:$B$500&amp;", ")),--('Tài khoản &amp; Hồ sơ'!$AT$7:$AT$500="Fail"))</f>
        <v>0</v>
      </c>
      <c r="I25" s="51" t="n">
        <f aca="false">SUMPRODUCT(--ISNUMBER(SEARCH(", "&amp;$B25&amp;", ",", "&amp;'Hoạt động (Đơn của tôi)'!$B$7:$B$500&amp;", ")),--('Hoạt động (Đơn của tôi)'!$AT$7:$AT$500="Block"))+SUMPRODUCT(--ISNUMBER(SEARCH(", "&amp;$B25&amp;", ",", "&amp;'Ghép nối'!$B$7:$B$500&amp;", ")),--('Ghép nối'!$AT$7:$AT$500="Block"))+SUMPRODUCT(--ISNUMBER(SEARCH(", "&amp;$B25&amp;", ",", "&amp;'Huỷ đơn - Huỷ nhận đơn'!$B$7:$B$500&amp;", ")),--('Huỷ đơn - Huỷ nhận đơn'!$AT$7:$AT$500="Block"))+SUMPRODUCT(--ISNUMBER(SEARCH(", "&amp;$B25&amp;", ",", "&amp;'Giao nhận &amp; Theo dõi đơn'!$B$7:$B$500&amp;", ")),--('Giao nhận &amp; Theo dõi đơn'!$AT$7:$AT$500="Block"))+SUMPRODUCT(--ISNUMBER(SEARCH(", "&amp;$B25&amp;", ",", "&amp;'Bảng tin &amp; Chi tiết tin'!$B$7:$B$500&amp;", ")),--('Bảng tin &amp; Chi tiết tin'!$AT$7:$AT$500="Block"))+SUMPRODUCT(--ISNUMBER(SEARCH(", "&amp;$B25&amp;", ",", "&amp;'Quà cảm ơn'!$B$7:$B$500&amp;", ")),--('Quà cảm ơn'!$AT$7:$AT$500="Block"))+SUMPRODUCT(--ISNUMBER(SEARCH(", "&amp;$B25&amp;", ",", "&amp;'Trang chủ'!$B$7:$B$500&amp;", ")),--('Trang chủ'!$AT$7:$AT$500="Block"))+SUMPRODUCT(--ISNUMBER(SEARCH(", "&amp;$B25&amp;", ",", "&amp;'Thông báo'!$B$7:$B$500&amp;", ")),--('Thông báo'!$AT$7:$AT$500="Block"))+SUMPRODUCT(--ISNUMBER(SEARCH(", "&amp;$B25&amp;", ",", "&amp;'Đăng tin &amp; Quản lý tin'!$B$7:$B$500&amp;", ")),--('Đăng tin &amp; Quản lý tin'!$AT$7:$AT$500="Block"))+SUMPRODUCT(--ISNUMBER(SEARCH(", "&amp;$B25&amp;", ",", "&amp;'Trust &amp; Safety'!$B$7:$B$500&amp;", ")),--('Trust &amp; Safety'!$AT$7:$AT$500="Block"))+SUMPRODUCT(--ISNUMBER(SEARCH(", "&amp;$B25&amp;", ",", "&amp;'Tài khoản &amp; Hồ sơ'!$B$7:$B$500&amp;", ")),--('Tài khoản &amp; Hồ sơ'!$AT$7:$AT$500="Block"))</f>
        <v>0</v>
      </c>
      <c r="J25" s="51" t="n">
        <f aca="false">SUMPRODUCT(--ISNUMBER(SEARCH(", "&amp;$B25&amp;", ",", "&amp;'Hoạt động (Đơn của tôi)'!$B$7:$B$500&amp;", ")),--('Hoạt động (Đơn của tôi)'!$AT$7:$AT$500="N/A"))+SUMPRODUCT(--ISNUMBER(SEARCH(", "&amp;$B25&amp;", ",", "&amp;'Ghép nối'!$B$7:$B$500&amp;", ")),--('Ghép nối'!$AT$7:$AT$500="N/A"))+SUMPRODUCT(--ISNUMBER(SEARCH(", "&amp;$B25&amp;", ",", "&amp;'Huỷ đơn - Huỷ nhận đơn'!$B$7:$B$500&amp;", ")),--('Huỷ đơn - Huỷ nhận đơn'!$AT$7:$AT$500="N/A"))+SUMPRODUCT(--ISNUMBER(SEARCH(", "&amp;$B25&amp;", ",", "&amp;'Giao nhận &amp; Theo dõi đơn'!$B$7:$B$500&amp;", ")),--('Giao nhận &amp; Theo dõi đơn'!$AT$7:$AT$500="N/A"))+SUMPRODUCT(--ISNUMBER(SEARCH(", "&amp;$B25&amp;", ",", "&amp;'Bảng tin &amp; Chi tiết tin'!$B$7:$B$500&amp;", ")),--('Bảng tin &amp; Chi tiết tin'!$AT$7:$AT$500="N/A"))+SUMPRODUCT(--ISNUMBER(SEARCH(", "&amp;$B25&amp;", ",", "&amp;'Quà cảm ơn'!$B$7:$B$500&amp;", ")),--('Quà cảm ơn'!$AT$7:$AT$500="N/A"))+SUMPRODUCT(--ISNUMBER(SEARCH(", "&amp;$B25&amp;", ",", "&amp;'Trang chủ'!$B$7:$B$500&amp;", ")),--('Trang chủ'!$AT$7:$AT$500="N/A"))+SUMPRODUCT(--ISNUMBER(SEARCH(", "&amp;$B25&amp;", ",", "&amp;'Thông báo'!$B$7:$B$500&amp;", ")),--('Thông báo'!$AT$7:$AT$500="N/A"))+SUMPRODUCT(--ISNUMBER(SEARCH(", "&amp;$B25&amp;", ",", "&amp;'Đăng tin &amp; Quản lý tin'!$B$7:$B$500&amp;", ")),--('Đăng tin &amp; Quản lý tin'!$AT$7:$AT$500="N/A"))+SUMPRODUCT(--ISNUMBER(SEARCH(", "&amp;$B25&amp;", ",", "&amp;'Trust &amp; Safety'!$B$7:$B$500&amp;", ")),--('Trust &amp; Safety'!$AT$7:$AT$500="N/A"))+SUMPRODUCT(--ISNUMBER(SEARCH(", "&amp;$B25&amp;", ",", "&amp;'Tài khoản &amp; Hồ sơ'!$B$7:$B$500&amp;", ")),--('Tài khoản &amp; Hồ sơ'!$AT$7:$AT$500="N/A"))</f>
        <v>0</v>
      </c>
      <c r="K25" s="52" t="n">
        <f aca="false">IFERROR(F25/E25,0)</f>
        <v>0</v>
      </c>
      <c r="L25" s="124" t="str">
        <f aca="false">IF(E25=0,"Chưa có TC (gap)",IF(H25&gt;0,"Có lỗi (Fail)",IF(I25&gt;0,"Bị block",IF(F25&lt;E25,"Đang test",IF(G25=0,"Không áp dụng (N/A)","Đã test xong")))))</f>
        <v>Đang test</v>
      </c>
      <c r="AB25" s="0" t="s">
        <v>511</v>
      </c>
    </row>
    <row r="26" customFormat="false" ht="15.75" hidden="false" customHeight="true" outlineLevel="0" collapsed="false">
      <c r="A26" s="1"/>
      <c r="B26" s="176" t="s">
        <v>567</v>
      </c>
      <c r="C26" s="177" t="s">
        <v>568</v>
      </c>
      <c r="D26" s="124" t="s">
        <v>569</v>
      </c>
      <c r="E26" s="51" t="n">
        <f aca="false">SUMPRODUCT(--ISNUMBER(SEARCH(", "&amp;$B26&amp;", ",", "&amp;'Hoạt động (Đơn của tôi)'!$B$7:$B$500&amp;", ")))+SUMPRODUCT(--ISNUMBER(SEARCH(", "&amp;$B26&amp;", ",", "&amp;'Ghép nối'!$B$7:$B$500&amp;", ")))+SUMPRODUCT(--ISNUMBER(SEARCH(", "&amp;$B26&amp;", ",", "&amp;'Huỷ đơn - Huỷ nhận đơn'!$B$7:$B$500&amp;", ")))+SUMPRODUCT(--ISNUMBER(SEARCH(", "&amp;$B26&amp;", ",", "&amp;'Giao nhận &amp; Theo dõi đơn'!$B$7:$B$500&amp;", ")))+SUMPRODUCT(--ISNUMBER(SEARCH(", "&amp;$B26&amp;", ",", "&amp;'Bảng tin &amp; Chi tiết tin'!$B$7:$B$500&amp;", ")))+SUMPRODUCT(--ISNUMBER(SEARCH(", "&amp;$B26&amp;", ",", "&amp;'Quà cảm ơn'!$B$7:$B$500&amp;", ")))+SUMPRODUCT(--ISNUMBER(SEARCH(", "&amp;$B26&amp;", ",", "&amp;'Trang chủ'!$B$7:$B$500&amp;", ")))+SUMPRODUCT(--ISNUMBER(SEARCH(", "&amp;$B26&amp;", ",", "&amp;'Thông báo'!$B$7:$B$500&amp;", ")))+SUMPRODUCT(--ISNUMBER(SEARCH(", "&amp;$B26&amp;", ",", "&amp;'Đăng tin &amp; Quản lý tin'!$B$7:$B$500&amp;", ")))+SUMPRODUCT(--ISNUMBER(SEARCH(", "&amp;$B26&amp;", ",", "&amp;'Trust &amp; Safety'!$B$7:$B$500&amp;", ")))+SUMPRODUCT(--ISNUMBER(SEARCH(", "&amp;$B26&amp;", ",", "&amp;'Tài khoản &amp; Hồ sơ'!$B$7:$B$500&amp;", ")))</f>
        <v>2</v>
      </c>
      <c r="F26" s="51" t="n">
        <f aca="false">SUMPRODUCT(--ISNUMBER(SEARCH(", "&amp;$B26&amp;", ",", "&amp;'Hoạt động (Đơn của tôi)'!$B$7:$B$500&amp;", ")),--('Hoạt động (Đơn của tôi)'!$AT$7:$AT$500&lt;&gt;""))+SUMPRODUCT(--ISNUMBER(SEARCH(", "&amp;$B26&amp;", ",", "&amp;'Ghép nối'!$B$7:$B$500&amp;", ")),--('Ghép nối'!$AT$7:$AT$500&lt;&gt;""))+SUMPRODUCT(--ISNUMBER(SEARCH(", "&amp;$B26&amp;", ",", "&amp;'Huỷ đơn - Huỷ nhận đơn'!$B$7:$B$500&amp;", ")),--('Huỷ đơn - Huỷ nhận đơn'!$AT$7:$AT$500&lt;&gt;""))+SUMPRODUCT(--ISNUMBER(SEARCH(", "&amp;$B26&amp;", ",", "&amp;'Giao nhận &amp; Theo dõi đơn'!$B$7:$B$500&amp;", ")),--('Giao nhận &amp; Theo dõi đơn'!$AT$7:$AT$500&lt;&gt;""))+SUMPRODUCT(--ISNUMBER(SEARCH(", "&amp;$B26&amp;", ",", "&amp;'Bảng tin &amp; Chi tiết tin'!$B$7:$B$500&amp;", ")),--('Bảng tin &amp; Chi tiết tin'!$AT$7:$AT$500&lt;&gt;""))+SUMPRODUCT(--ISNUMBER(SEARCH(", "&amp;$B26&amp;", ",", "&amp;'Quà cảm ơn'!$B$7:$B$500&amp;", ")),--('Quà cảm ơn'!$AT$7:$AT$500&lt;&gt;""))+SUMPRODUCT(--ISNUMBER(SEARCH(", "&amp;$B26&amp;", ",", "&amp;'Trang chủ'!$B$7:$B$500&amp;", ")),--('Trang chủ'!$AT$7:$AT$500&lt;&gt;""))+SUMPRODUCT(--ISNUMBER(SEARCH(", "&amp;$B26&amp;", ",", "&amp;'Thông báo'!$B$7:$B$500&amp;", ")),--('Thông báo'!$AT$7:$AT$500&lt;&gt;""))+SUMPRODUCT(--ISNUMBER(SEARCH(", "&amp;$B26&amp;", ",", "&amp;'Đăng tin &amp; Quản lý tin'!$B$7:$B$500&amp;", ")),--('Đăng tin &amp; Quản lý tin'!$AT$7:$AT$500&lt;&gt;""))+SUMPRODUCT(--ISNUMBER(SEARCH(", "&amp;$B26&amp;", ",", "&amp;'Trust &amp; Safety'!$B$7:$B$500&amp;", ")),--('Trust &amp; Safety'!$AT$7:$AT$500&lt;&gt;""))+SUMPRODUCT(--ISNUMBER(SEARCH(", "&amp;$B26&amp;", ",", "&amp;'Tài khoản &amp; Hồ sơ'!$B$7:$B$500&amp;", ")),--('Tài khoản &amp; Hồ sơ'!$AT$7:$AT$500&lt;&gt;""))</f>
        <v>2</v>
      </c>
      <c r="G26" s="51" t="n">
        <f aca="false">SUMPRODUCT(--ISNUMBER(SEARCH(", "&amp;$B26&amp;", ",", "&amp;'Hoạt động (Đơn của tôi)'!$B$7:$B$500&amp;", ")),--('Hoạt động (Đơn của tôi)'!$AT$7:$AT$500="Pass"))+SUMPRODUCT(--ISNUMBER(SEARCH(", "&amp;$B26&amp;", ",", "&amp;'Ghép nối'!$B$7:$B$500&amp;", ")),--('Ghép nối'!$AT$7:$AT$500="Pass"))+SUMPRODUCT(--ISNUMBER(SEARCH(", "&amp;$B26&amp;", ",", "&amp;'Huỷ đơn - Huỷ nhận đơn'!$B$7:$B$500&amp;", ")),--('Huỷ đơn - Huỷ nhận đơn'!$AT$7:$AT$500="Pass"))+SUMPRODUCT(--ISNUMBER(SEARCH(", "&amp;$B26&amp;", ",", "&amp;'Giao nhận &amp; Theo dõi đơn'!$B$7:$B$500&amp;", ")),--('Giao nhận &amp; Theo dõi đơn'!$AT$7:$AT$500="Pass"))+SUMPRODUCT(--ISNUMBER(SEARCH(", "&amp;$B26&amp;", ",", "&amp;'Bảng tin &amp; Chi tiết tin'!$B$7:$B$500&amp;", ")),--('Bảng tin &amp; Chi tiết tin'!$AT$7:$AT$500="Pass"))+SUMPRODUCT(--ISNUMBER(SEARCH(", "&amp;$B26&amp;", ",", "&amp;'Quà cảm ơn'!$B$7:$B$500&amp;", ")),--('Quà cảm ơn'!$AT$7:$AT$500="Pass"))+SUMPRODUCT(--ISNUMBER(SEARCH(", "&amp;$B26&amp;", ",", "&amp;'Trang chủ'!$B$7:$B$500&amp;", ")),--('Trang chủ'!$AT$7:$AT$500="Pass"))+SUMPRODUCT(--ISNUMBER(SEARCH(", "&amp;$B26&amp;", ",", "&amp;'Thông báo'!$B$7:$B$500&amp;", ")),--('Thông báo'!$AT$7:$AT$500="Pass"))+SUMPRODUCT(--ISNUMBER(SEARCH(", "&amp;$B26&amp;", ",", "&amp;'Đăng tin &amp; Quản lý tin'!$B$7:$B$500&amp;", ")),--('Đăng tin &amp; Quản lý tin'!$AT$7:$AT$500="Pass"))+SUMPRODUCT(--ISNUMBER(SEARCH(", "&amp;$B26&amp;", ",", "&amp;'Trust &amp; Safety'!$B$7:$B$500&amp;", ")),--('Trust &amp; Safety'!$AT$7:$AT$500="Pass"))+SUMPRODUCT(--ISNUMBER(SEARCH(", "&amp;$B26&amp;", ",", "&amp;'Tài khoản &amp; Hồ sơ'!$B$7:$B$500&amp;", ")),--('Tài khoản &amp; Hồ sơ'!$AT$7:$AT$500="Pass"))</f>
        <v>2</v>
      </c>
      <c r="H26" s="51" t="n">
        <f aca="false">SUMPRODUCT(--ISNUMBER(SEARCH(", "&amp;$B26&amp;", ",", "&amp;'Hoạt động (Đơn của tôi)'!$B$7:$B$500&amp;", ")),--('Hoạt động (Đơn của tôi)'!$AT$7:$AT$500="Fail"))+SUMPRODUCT(--ISNUMBER(SEARCH(", "&amp;$B26&amp;", ",", "&amp;'Ghép nối'!$B$7:$B$500&amp;", ")),--('Ghép nối'!$AT$7:$AT$500="Fail"))+SUMPRODUCT(--ISNUMBER(SEARCH(", "&amp;$B26&amp;", ",", "&amp;'Huỷ đơn - Huỷ nhận đơn'!$B$7:$B$500&amp;", ")),--('Huỷ đơn - Huỷ nhận đơn'!$AT$7:$AT$500="Fail"))+SUMPRODUCT(--ISNUMBER(SEARCH(", "&amp;$B26&amp;", ",", "&amp;'Giao nhận &amp; Theo dõi đơn'!$B$7:$B$500&amp;", ")),--('Giao nhận &amp; Theo dõi đơn'!$AT$7:$AT$500="Fail"))+SUMPRODUCT(--ISNUMBER(SEARCH(", "&amp;$B26&amp;", ",", "&amp;'Bảng tin &amp; Chi tiết tin'!$B$7:$B$500&amp;", ")),--('Bảng tin &amp; Chi tiết tin'!$AT$7:$AT$500="Fail"))+SUMPRODUCT(--ISNUMBER(SEARCH(", "&amp;$B26&amp;", ",", "&amp;'Quà cảm ơn'!$B$7:$B$500&amp;", ")),--('Quà cảm ơn'!$AT$7:$AT$500="Fail"))+SUMPRODUCT(--ISNUMBER(SEARCH(", "&amp;$B26&amp;", ",", "&amp;'Trang chủ'!$B$7:$B$500&amp;", ")),--('Trang chủ'!$AT$7:$AT$500="Fail"))+SUMPRODUCT(--ISNUMBER(SEARCH(", "&amp;$B26&amp;", ",", "&amp;'Thông báo'!$B$7:$B$500&amp;", ")),--('Thông báo'!$AT$7:$AT$500="Fail"))+SUMPRODUCT(--ISNUMBER(SEARCH(", "&amp;$B26&amp;", ",", "&amp;'Đăng tin &amp; Quản lý tin'!$B$7:$B$500&amp;", ")),--('Đăng tin &amp; Quản lý tin'!$AT$7:$AT$500="Fail"))+SUMPRODUCT(--ISNUMBER(SEARCH(", "&amp;$B26&amp;", ",", "&amp;'Trust &amp; Safety'!$B$7:$B$500&amp;", ")),--('Trust &amp; Safety'!$AT$7:$AT$500="Fail"))+SUMPRODUCT(--ISNUMBER(SEARCH(", "&amp;$B26&amp;", ",", "&amp;'Tài khoản &amp; Hồ sơ'!$B$7:$B$500&amp;", ")),--('Tài khoản &amp; Hồ sơ'!$AT$7:$AT$500="Fail"))</f>
        <v>0</v>
      </c>
      <c r="I26" s="51" t="n">
        <f aca="false">SUMPRODUCT(--ISNUMBER(SEARCH(", "&amp;$B26&amp;", ",", "&amp;'Hoạt động (Đơn của tôi)'!$B$7:$B$500&amp;", ")),--('Hoạt động (Đơn của tôi)'!$AT$7:$AT$500="Block"))+SUMPRODUCT(--ISNUMBER(SEARCH(", "&amp;$B26&amp;", ",", "&amp;'Ghép nối'!$B$7:$B$500&amp;", ")),--('Ghép nối'!$AT$7:$AT$500="Block"))+SUMPRODUCT(--ISNUMBER(SEARCH(", "&amp;$B26&amp;", ",", "&amp;'Huỷ đơn - Huỷ nhận đơn'!$B$7:$B$500&amp;", ")),--('Huỷ đơn - Huỷ nhận đơn'!$AT$7:$AT$500="Block"))+SUMPRODUCT(--ISNUMBER(SEARCH(", "&amp;$B26&amp;", ",", "&amp;'Giao nhận &amp; Theo dõi đơn'!$B$7:$B$500&amp;", ")),--('Giao nhận &amp; Theo dõi đơn'!$AT$7:$AT$500="Block"))+SUMPRODUCT(--ISNUMBER(SEARCH(", "&amp;$B26&amp;", ",", "&amp;'Bảng tin &amp; Chi tiết tin'!$B$7:$B$500&amp;", ")),--('Bảng tin &amp; Chi tiết tin'!$AT$7:$AT$500="Block"))+SUMPRODUCT(--ISNUMBER(SEARCH(", "&amp;$B26&amp;", ",", "&amp;'Quà cảm ơn'!$B$7:$B$500&amp;", ")),--('Quà cảm ơn'!$AT$7:$AT$500="Block"))+SUMPRODUCT(--ISNUMBER(SEARCH(", "&amp;$B26&amp;", ",", "&amp;'Trang chủ'!$B$7:$B$500&amp;", ")),--('Trang chủ'!$AT$7:$AT$500="Block"))+SUMPRODUCT(--ISNUMBER(SEARCH(", "&amp;$B26&amp;", ",", "&amp;'Thông báo'!$B$7:$B$500&amp;", ")),--('Thông báo'!$AT$7:$AT$500="Block"))+SUMPRODUCT(--ISNUMBER(SEARCH(", "&amp;$B26&amp;", ",", "&amp;'Đăng tin &amp; Quản lý tin'!$B$7:$B$500&amp;", ")),--('Đăng tin &amp; Quản lý tin'!$AT$7:$AT$500="Block"))+SUMPRODUCT(--ISNUMBER(SEARCH(", "&amp;$B26&amp;", ",", "&amp;'Trust &amp; Safety'!$B$7:$B$500&amp;", ")),--('Trust &amp; Safety'!$AT$7:$AT$500="Block"))+SUMPRODUCT(--ISNUMBER(SEARCH(", "&amp;$B26&amp;", ",", "&amp;'Tài khoản &amp; Hồ sơ'!$B$7:$B$500&amp;", ")),--('Tài khoản &amp; Hồ sơ'!$AT$7:$AT$500="Block"))</f>
        <v>0</v>
      </c>
      <c r="J26" s="51" t="n">
        <f aca="false">SUMPRODUCT(--ISNUMBER(SEARCH(", "&amp;$B26&amp;", ",", "&amp;'Hoạt động (Đơn của tôi)'!$B$7:$B$500&amp;", ")),--('Hoạt động (Đơn của tôi)'!$AT$7:$AT$500="N/A"))+SUMPRODUCT(--ISNUMBER(SEARCH(", "&amp;$B26&amp;", ",", "&amp;'Ghép nối'!$B$7:$B$500&amp;", ")),--('Ghép nối'!$AT$7:$AT$500="N/A"))+SUMPRODUCT(--ISNUMBER(SEARCH(", "&amp;$B26&amp;", ",", "&amp;'Huỷ đơn - Huỷ nhận đơn'!$B$7:$B$500&amp;", ")),--('Huỷ đơn - Huỷ nhận đơn'!$AT$7:$AT$500="N/A"))+SUMPRODUCT(--ISNUMBER(SEARCH(", "&amp;$B26&amp;", ",", "&amp;'Giao nhận &amp; Theo dõi đơn'!$B$7:$B$500&amp;", ")),--('Giao nhận &amp; Theo dõi đơn'!$AT$7:$AT$500="N/A"))+SUMPRODUCT(--ISNUMBER(SEARCH(", "&amp;$B26&amp;", ",", "&amp;'Bảng tin &amp; Chi tiết tin'!$B$7:$B$500&amp;", ")),--('Bảng tin &amp; Chi tiết tin'!$AT$7:$AT$500="N/A"))+SUMPRODUCT(--ISNUMBER(SEARCH(", "&amp;$B26&amp;", ",", "&amp;'Quà cảm ơn'!$B$7:$B$500&amp;", ")),--('Quà cảm ơn'!$AT$7:$AT$500="N/A"))+SUMPRODUCT(--ISNUMBER(SEARCH(", "&amp;$B26&amp;", ",", "&amp;'Trang chủ'!$B$7:$B$500&amp;", ")),--('Trang chủ'!$AT$7:$AT$500="N/A"))+SUMPRODUCT(--ISNUMBER(SEARCH(", "&amp;$B26&amp;", ",", "&amp;'Thông báo'!$B$7:$B$500&amp;", ")),--('Thông báo'!$AT$7:$AT$500="N/A"))+SUMPRODUCT(--ISNUMBER(SEARCH(", "&amp;$B26&amp;", ",", "&amp;'Đăng tin &amp; Quản lý tin'!$B$7:$B$500&amp;", ")),--('Đăng tin &amp; Quản lý tin'!$AT$7:$AT$500="N/A"))+SUMPRODUCT(--ISNUMBER(SEARCH(", "&amp;$B26&amp;", ",", "&amp;'Trust &amp; Safety'!$B$7:$B$500&amp;", ")),--('Trust &amp; Safety'!$AT$7:$AT$500="N/A"))+SUMPRODUCT(--ISNUMBER(SEARCH(", "&amp;$B26&amp;", ",", "&amp;'Tài khoản &amp; Hồ sơ'!$B$7:$B$500&amp;", ")),--('Tài khoản &amp; Hồ sơ'!$AT$7:$AT$500="N/A"))</f>
        <v>0</v>
      </c>
      <c r="K26" s="52" t="n">
        <f aca="false">IFERROR(F26/E26,0)</f>
        <v>1</v>
      </c>
      <c r="L26" s="124" t="str">
        <f aca="false">IF(E26=0,"Chưa có TC (gap)",IF(H26&gt;0,"Có lỗi (Fail)",IF(I26&gt;0,"Bị block",IF(F26&lt;E26,"Đang test",IF(G26=0,"Không áp dụng (N/A)","Đã test xong")))))</f>
        <v>Đã test xong</v>
      </c>
      <c r="AB26" s="0" t="s">
        <v>511</v>
      </c>
    </row>
    <row r="27" customFormat="false" ht="15.75" hidden="false" customHeight="true" outlineLevel="0" collapsed="false">
      <c r="A27" s="1"/>
      <c r="B27" s="176" t="s">
        <v>570</v>
      </c>
      <c r="C27" s="177" t="s">
        <v>571</v>
      </c>
      <c r="D27" s="124" t="s">
        <v>572</v>
      </c>
      <c r="E27" s="51" t="n">
        <f aca="false">SUMPRODUCT(--ISNUMBER(SEARCH(", "&amp;$B27&amp;", ",", "&amp;'Hoạt động (Đơn của tôi)'!$B$7:$B$500&amp;", ")))+SUMPRODUCT(--ISNUMBER(SEARCH(", "&amp;$B27&amp;", ",", "&amp;'Ghép nối'!$B$7:$B$500&amp;", ")))+SUMPRODUCT(--ISNUMBER(SEARCH(", "&amp;$B27&amp;", ",", "&amp;'Huỷ đơn - Huỷ nhận đơn'!$B$7:$B$500&amp;", ")))+SUMPRODUCT(--ISNUMBER(SEARCH(", "&amp;$B27&amp;", ",", "&amp;'Giao nhận &amp; Theo dõi đơn'!$B$7:$B$500&amp;", ")))+SUMPRODUCT(--ISNUMBER(SEARCH(", "&amp;$B27&amp;", ",", "&amp;'Bảng tin &amp; Chi tiết tin'!$B$7:$B$500&amp;", ")))+SUMPRODUCT(--ISNUMBER(SEARCH(", "&amp;$B27&amp;", ",", "&amp;'Quà cảm ơn'!$B$7:$B$500&amp;", ")))+SUMPRODUCT(--ISNUMBER(SEARCH(", "&amp;$B27&amp;", ",", "&amp;'Trang chủ'!$B$7:$B$500&amp;", ")))+SUMPRODUCT(--ISNUMBER(SEARCH(", "&amp;$B27&amp;", ",", "&amp;'Thông báo'!$B$7:$B$500&amp;", ")))+SUMPRODUCT(--ISNUMBER(SEARCH(", "&amp;$B27&amp;", ",", "&amp;'Đăng tin &amp; Quản lý tin'!$B$7:$B$500&amp;", ")))+SUMPRODUCT(--ISNUMBER(SEARCH(", "&amp;$B27&amp;", ",", "&amp;'Trust &amp; Safety'!$B$7:$B$500&amp;", ")))+SUMPRODUCT(--ISNUMBER(SEARCH(", "&amp;$B27&amp;", ",", "&amp;'Tài khoản &amp; Hồ sơ'!$B$7:$B$500&amp;", ")))</f>
        <v>7</v>
      </c>
      <c r="F27" s="51" t="n">
        <f aca="false">SUMPRODUCT(--ISNUMBER(SEARCH(", "&amp;$B27&amp;", ",", "&amp;'Hoạt động (Đơn của tôi)'!$B$7:$B$500&amp;", ")),--('Hoạt động (Đơn của tôi)'!$AT$7:$AT$500&lt;&gt;""))+SUMPRODUCT(--ISNUMBER(SEARCH(", "&amp;$B27&amp;", ",", "&amp;'Ghép nối'!$B$7:$B$500&amp;", ")),--('Ghép nối'!$AT$7:$AT$500&lt;&gt;""))+SUMPRODUCT(--ISNUMBER(SEARCH(", "&amp;$B27&amp;", ",", "&amp;'Huỷ đơn - Huỷ nhận đơn'!$B$7:$B$500&amp;", ")),--('Huỷ đơn - Huỷ nhận đơn'!$AT$7:$AT$500&lt;&gt;""))+SUMPRODUCT(--ISNUMBER(SEARCH(", "&amp;$B27&amp;", ",", "&amp;'Giao nhận &amp; Theo dõi đơn'!$B$7:$B$500&amp;", ")),--('Giao nhận &amp; Theo dõi đơn'!$AT$7:$AT$500&lt;&gt;""))+SUMPRODUCT(--ISNUMBER(SEARCH(", "&amp;$B27&amp;", ",", "&amp;'Bảng tin &amp; Chi tiết tin'!$B$7:$B$500&amp;", ")),--('Bảng tin &amp; Chi tiết tin'!$AT$7:$AT$500&lt;&gt;""))+SUMPRODUCT(--ISNUMBER(SEARCH(", "&amp;$B27&amp;", ",", "&amp;'Quà cảm ơn'!$B$7:$B$500&amp;", ")),--('Quà cảm ơn'!$AT$7:$AT$500&lt;&gt;""))+SUMPRODUCT(--ISNUMBER(SEARCH(", "&amp;$B27&amp;", ",", "&amp;'Trang chủ'!$B$7:$B$500&amp;", ")),--('Trang chủ'!$AT$7:$AT$500&lt;&gt;""))+SUMPRODUCT(--ISNUMBER(SEARCH(", "&amp;$B27&amp;", ",", "&amp;'Thông báo'!$B$7:$B$500&amp;", ")),--('Thông báo'!$AT$7:$AT$500&lt;&gt;""))+SUMPRODUCT(--ISNUMBER(SEARCH(", "&amp;$B27&amp;", ",", "&amp;'Đăng tin &amp; Quản lý tin'!$B$7:$B$500&amp;", ")),--('Đăng tin &amp; Quản lý tin'!$AT$7:$AT$500&lt;&gt;""))+SUMPRODUCT(--ISNUMBER(SEARCH(", "&amp;$B27&amp;", ",", "&amp;'Trust &amp; Safety'!$B$7:$B$500&amp;", ")),--('Trust &amp; Safety'!$AT$7:$AT$500&lt;&gt;""))+SUMPRODUCT(--ISNUMBER(SEARCH(", "&amp;$B27&amp;", ",", "&amp;'Tài khoản &amp; Hồ sơ'!$B$7:$B$500&amp;", ")),--('Tài khoản &amp; Hồ sơ'!$AT$7:$AT$500&lt;&gt;""))</f>
        <v>1</v>
      </c>
      <c r="G27" s="51" t="n">
        <f aca="false">SUMPRODUCT(--ISNUMBER(SEARCH(", "&amp;$B27&amp;", ",", "&amp;'Hoạt động (Đơn của tôi)'!$B$7:$B$500&amp;", ")),--('Hoạt động (Đơn của tôi)'!$AT$7:$AT$500="Pass"))+SUMPRODUCT(--ISNUMBER(SEARCH(", "&amp;$B27&amp;", ",", "&amp;'Ghép nối'!$B$7:$B$500&amp;", ")),--('Ghép nối'!$AT$7:$AT$500="Pass"))+SUMPRODUCT(--ISNUMBER(SEARCH(", "&amp;$B27&amp;", ",", "&amp;'Huỷ đơn - Huỷ nhận đơn'!$B$7:$B$500&amp;", ")),--('Huỷ đơn - Huỷ nhận đơn'!$AT$7:$AT$500="Pass"))+SUMPRODUCT(--ISNUMBER(SEARCH(", "&amp;$B27&amp;", ",", "&amp;'Giao nhận &amp; Theo dõi đơn'!$B$7:$B$500&amp;", ")),--('Giao nhận &amp; Theo dõi đơn'!$AT$7:$AT$500="Pass"))+SUMPRODUCT(--ISNUMBER(SEARCH(", "&amp;$B27&amp;", ",", "&amp;'Bảng tin &amp; Chi tiết tin'!$B$7:$B$500&amp;", ")),--('Bảng tin &amp; Chi tiết tin'!$AT$7:$AT$500="Pass"))+SUMPRODUCT(--ISNUMBER(SEARCH(", "&amp;$B27&amp;", ",", "&amp;'Quà cảm ơn'!$B$7:$B$500&amp;", ")),--('Quà cảm ơn'!$AT$7:$AT$500="Pass"))+SUMPRODUCT(--ISNUMBER(SEARCH(", "&amp;$B27&amp;", ",", "&amp;'Trang chủ'!$B$7:$B$500&amp;", ")),--('Trang chủ'!$AT$7:$AT$500="Pass"))+SUMPRODUCT(--ISNUMBER(SEARCH(", "&amp;$B27&amp;", ",", "&amp;'Thông báo'!$B$7:$B$500&amp;", ")),--('Thông báo'!$AT$7:$AT$500="Pass"))+SUMPRODUCT(--ISNUMBER(SEARCH(", "&amp;$B27&amp;", ",", "&amp;'Đăng tin &amp; Quản lý tin'!$B$7:$B$500&amp;", ")),--('Đăng tin &amp; Quản lý tin'!$AT$7:$AT$500="Pass"))+SUMPRODUCT(--ISNUMBER(SEARCH(", "&amp;$B27&amp;", ",", "&amp;'Trust &amp; Safety'!$B$7:$B$500&amp;", ")),--('Trust &amp; Safety'!$AT$7:$AT$500="Pass"))+SUMPRODUCT(--ISNUMBER(SEARCH(", "&amp;$B27&amp;", ",", "&amp;'Tài khoản &amp; Hồ sơ'!$B$7:$B$500&amp;", ")),--('Tài khoản &amp; Hồ sơ'!$AT$7:$AT$500="Pass"))</f>
        <v>1</v>
      </c>
      <c r="H27" s="51" t="n">
        <f aca="false">SUMPRODUCT(--ISNUMBER(SEARCH(", "&amp;$B27&amp;", ",", "&amp;'Hoạt động (Đơn của tôi)'!$B$7:$B$500&amp;", ")),--('Hoạt động (Đơn của tôi)'!$AT$7:$AT$500="Fail"))+SUMPRODUCT(--ISNUMBER(SEARCH(", "&amp;$B27&amp;", ",", "&amp;'Ghép nối'!$B$7:$B$500&amp;", ")),--('Ghép nối'!$AT$7:$AT$500="Fail"))+SUMPRODUCT(--ISNUMBER(SEARCH(", "&amp;$B27&amp;", ",", "&amp;'Huỷ đơn - Huỷ nhận đơn'!$B$7:$B$500&amp;", ")),--('Huỷ đơn - Huỷ nhận đơn'!$AT$7:$AT$500="Fail"))+SUMPRODUCT(--ISNUMBER(SEARCH(", "&amp;$B27&amp;", ",", "&amp;'Giao nhận &amp; Theo dõi đơn'!$B$7:$B$500&amp;", ")),--('Giao nhận &amp; Theo dõi đơn'!$AT$7:$AT$500="Fail"))+SUMPRODUCT(--ISNUMBER(SEARCH(", "&amp;$B27&amp;", ",", "&amp;'Bảng tin &amp; Chi tiết tin'!$B$7:$B$500&amp;", ")),--('Bảng tin &amp; Chi tiết tin'!$AT$7:$AT$500="Fail"))+SUMPRODUCT(--ISNUMBER(SEARCH(", "&amp;$B27&amp;", ",", "&amp;'Quà cảm ơn'!$B$7:$B$500&amp;", ")),--('Quà cảm ơn'!$AT$7:$AT$500="Fail"))+SUMPRODUCT(--ISNUMBER(SEARCH(", "&amp;$B27&amp;", ",", "&amp;'Trang chủ'!$B$7:$B$500&amp;", ")),--('Trang chủ'!$AT$7:$AT$500="Fail"))+SUMPRODUCT(--ISNUMBER(SEARCH(", "&amp;$B27&amp;", ",", "&amp;'Thông báo'!$B$7:$B$500&amp;", ")),--('Thông báo'!$AT$7:$AT$500="Fail"))+SUMPRODUCT(--ISNUMBER(SEARCH(", "&amp;$B27&amp;", ",", "&amp;'Đăng tin &amp; Quản lý tin'!$B$7:$B$500&amp;", ")),--('Đăng tin &amp; Quản lý tin'!$AT$7:$AT$500="Fail"))+SUMPRODUCT(--ISNUMBER(SEARCH(", "&amp;$B27&amp;", ",", "&amp;'Trust &amp; Safety'!$B$7:$B$500&amp;", ")),--('Trust &amp; Safety'!$AT$7:$AT$500="Fail"))+SUMPRODUCT(--ISNUMBER(SEARCH(", "&amp;$B27&amp;", ",", "&amp;'Tài khoản &amp; Hồ sơ'!$B$7:$B$500&amp;", ")),--('Tài khoản &amp; Hồ sơ'!$AT$7:$AT$500="Fail"))</f>
        <v>0</v>
      </c>
      <c r="I27" s="51" t="n">
        <f aca="false">SUMPRODUCT(--ISNUMBER(SEARCH(", "&amp;$B27&amp;", ",", "&amp;'Hoạt động (Đơn của tôi)'!$B$7:$B$500&amp;", ")),--('Hoạt động (Đơn của tôi)'!$AT$7:$AT$500="Block"))+SUMPRODUCT(--ISNUMBER(SEARCH(", "&amp;$B27&amp;", ",", "&amp;'Ghép nối'!$B$7:$B$500&amp;", ")),--('Ghép nối'!$AT$7:$AT$500="Block"))+SUMPRODUCT(--ISNUMBER(SEARCH(", "&amp;$B27&amp;", ",", "&amp;'Huỷ đơn - Huỷ nhận đơn'!$B$7:$B$500&amp;", ")),--('Huỷ đơn - Huỷ nhận đơn'!$AT$7:$AT$500="Block"))+SUMPRODUCT(--ISNUMBER(SEARCH(", "&amp;$B27&amp;", ",", "&amp;'Giao nhận &amp; Theo dõi đơn'!$B$7:$B$500&amp;", ")),--('Giao nhận &amp; Theo dõi đơn'!$AT$7:$AT$500="Block"))+SUMPRODUCT(--ISNUMBER(SEARCH(", "&amp;$B27&amp;", ",", "&amp;'Bảng tin &amp; Chi tiết tin'!$B$7:$B$500&amp;", ")),--('Bảng tin &amp; Chi tiết tin'!$AT$7:$AT$500="Block"))+SUMPRODUCT(--ISNUMBER(SEARCH(", "&amp;$B27&amp;", ",", "&amp;'Quà cảm ơn'!$B$7:$B$500&amp;", ")),--('Quà cảm ơn'!$AT$7:$AT$500="Block"))+SUMPRODUCT(--ISNUMBER(SEARCH(", "&amp;$B27&amp;", ",", "&amp;'Trang chủ'!$B$7:$B$500&amp;", ")),--('Trang chủ'!$AT$7:$AT$500="Block"))+SUMPRODUCT(--ISNUMBER(SEARCH(", "&amp;$B27&amp;", ",", "&amp;'Thông báo'!$B$7:$B$500&amp;", ")),--('Thông báo'!$AT$7:$AT$500="Block"))+SUMPRODUCT(--ISNUMBER(SEARCH(", "&amp;$B27&amp;", ",", "&amp;'Đăng tin &amp; Quản lý tin'!$B$7:$B$500&amp;", ")),--('Đăng tin &amp; Quản lý tin'!$AT$7:$AT$500="Block"))+SUMPRODUCT(--ISNUMBER(SEARCH(", "&amp;$B27&amp;", ",", "&amp;'Trust &amp; Safety'!$B$7:$B$500&amp;", ")),--('Trust &amp; Safety'!$AT$7:$AT$500="Block"))+SUMPRODUCT(--ISNUMBER(SEARCH(", "&amp;$B27&amp;", ",", "&amp;'Tài khoản &amp; Hồ sơ'!$B$7:$B$500&amp;", ")),--('Tài khoản &amp; Hồ sơ'!$AT$7:$AT$500="Block"))</f>
        <v>0</v>
      </c>
      <c r="J27" s="51" t="n">
        <f aca="false">SUMPRODUCT(--ISNUMBER(SEARCH(", "&amp;$B27&amp;", ",", "&amp;'Hoạt động (Đơn của tôi)'!$B$7:$B$500&amp;", ")),--('Hoạt động (Đơn của tôi)'!$AT$7:$AT$500="N/A"))+SUMPRODUCT(--ISNUMBER(SEARCH(", "&amp;$B27&amp;", ",", "&amp;'Ghép nối'!$B$7:$B$500&amp;", ")),--('Ghép nối'!$AT$7:$AT$500="N/A"))+SUMPRODUCT(--ISNUMBER(SEARCH(", "&amp;$B27&amp;", ",", "&amp;'Huỷ đơn - Huỷ nhận đơn'!$B$7:$B$500&amp;", ")),--('Huỷ đơn - Huỷ nhận đơn'!$AT$7:$AT$500="N/A"))+SUMPRODUCT(--ISNUMBER(SEARCH(", "&amp;$B27&amp;", ",", "&amp;'Giao nhận &amp; Theo dõi đơn'!$B$7:$B$500&amp;", ")),--('Giao nhận &amp; Theo dõi đơn'!$AT$7:$AT$500="N/A"))+SUMPRODUCT(--ISNUMBER(SEARCH(", "&amp;$B27&amp;", ",", "&amp;'Bảng tin &amp; Chi tiết tin'!$B$7:$B$500&amp;", ")),--('Bảng tin &amp; Chi tiết tin'!$AT$7:$AT$500="N/A"))+SUMPRODUCT(--ISNUMBER(SEARCH(", "&amp;$B27&amp;", ",", "&amp;'Quà cảm ơn'!$B$7:$B$500&amp;", ")),--('Quà cảm ơn'!$AT$7:$AT$500="N/A"))+SUMPRODUCT(--ISNUMBER(SEARCH(", "&amp;$B27&amp;", ",", "&amp;'Trang chủ'!$B$7:$B$500&amp;", ")),--('Trang chủ'!$AT$7:$AT$500="N/A"))+SUMPRODUCT(--ISNUMBER(SEARCH(", "&amp;$B27&amp;", ",", "&amp;'Thông báo'!$B$7:$B$500&amp;", ")),--('Thông báo'!$AT$7:$AT$500="N/A"))+SUMPRODUCT(--ISNUMBER(SEARCH(", "&amp;$B27&amp;", ",", "&amp;'Đăng tin &amp; Quản lý tin'!$B$7:$B$500&amp;", ")),--('Đăng tin &amp; Quản lý tin'!$AT$7:$AT$500="N/A"))+SUMPRODUCT(--ISNUMBER(SEARCH(", "&amp;$B27&amp;", ",", "&amp;'Trust &amp; Safety'!$B$7:$B$500&amp;", ")),--('Trust &amp; Safety'!$AT$7:$AT$500="N/A"))+SUMPRODUCT(--ISNUMBER(SEARCH(", "&amp;$B27&amp;", ",", "&amp;'Tài khoản &amp; Hồ sơ'!$B$7:$B$500&amp;", ")),--('Tài khoản &amp; Hồ sơ'!$AT$7:$AT$500="N/A"))</f>
        <v>0</v>
      </c>
      <c r="K27" s="52" t="n">
        <f aca="false">IFERROR(F27/E27,0)</f>
        <v>0.142857142857143</v>
      </c>
      <c r="L27" s="124" t="str">
        <f aca="false">IF(E27=0,"Chưa có TC (gap)",IF(H27&gt;0,"Có lỗi (Fail)",IF(I27&gt;0,"Bị block",IF(F27&lt;E27,"Đang test",IF(G27=0,"Không áp dụng (N/A)","Đã test xong")))))</f>
        <v>Đang test</v>
      </c>
      <c r="AB27" s="0" t="s">
        <v>511</v>
      </c>
    </row>
    <row r="28" customFormat="false" ht="15.75" hidden="false" customHeight="true" outlineLevel="0" collapsed="false">
      <c r="A28" s="1"/>
      <c r="B28" s="176" t="s">
        <v>573</v>
      </c>
      <c r="C28" s="177" t="s">
        <v>574</v>
      </c>
      <c r="D28" s="124" t="s">
        <v>575</v>
      </c>
      <c r="E28" s="51" t="n">
        <f aca="false">SUMPRODUCT(--ISNUMBER(SEARCH(", "&amp;$B28&amp;", ",", "&amp;'Hoạt động (Đơn của tôi)'!$B$7:$B$500&amp;", ")))+SUMPRODUCT(--ISNUMBER(SEARCH(", "&amp;$B28&amp;", ",", "&amp;'Ghép nối'!$B$7:$B$500&amp;", ")))+SUMPRODUCT(--ISNUMBER(SEARCH(", "&amp;$B28&amp;", ",", "&amp;'Huỷ đơn - Huỷ nhận đơn'!$B$7:$B$500&amp;", ")))+SUMPRODUCT(--ISNUMBER(SEARCH(", "&amp;$B28&amp;", ",", "&amp;'Giao nhận &amp; Theo dõi đơn'!$B$7:$B$500&amp;", ")))+SUMPRODUCT(--ISNUMBER(SEARCH(", "&amp;$B28&amp;", ",", "&amp;'Bảng tin &amp; Chi tiết tin'!$B$7:$B$500&amp;", ")))+SUMPRODUCT(--ISNUMBER(SEARCH(", "&amp;$B28&amp;", ",", "&amp;'Quà cảm ơn'!$B$7:$B$500&amp;", ")))+SUMPRODUCT(--ISNUMBER(SEARCH(", "&amp;$B28&amp;", ",", "&amp;'Trang chủ'!$B$7:$B$500&amp;", ")))+SUMPRODUCT(--ISNUMBER(SEARCH(", "&amp;$B28&amp;", ",", "&amp;'Thông báo'!$B$7:$B$500&amp;", ")))+SUMPRODUCT(--ISNUMBER(SEARCH(", "&amp;$B28&amp;", ",", "&amp;'Đăng tin &amp; Quản lý tin'!$B$7:$B$500&amp;", ")))+SUMPRODUCT(--ISNUMBER(SEARCH(", "&amp;$B28&amp;", ",", "&amp;'Trust &amp; Safety'!$B$7:$B$500&amp;", ")))+SUMPRODUCT(--ISNUMBER(SEARCH(", "&amp;$B28&amp;", ",", "&amp;'Tài khoản &amp; Hồ sơ'!$B$7:$B$500&amp;", ")))</f>
        <v>8</v>
      </c>
      <c r="F28" s="51" t="n">
        <f aca="false">SUMPRODUCT(--ISNUMBER(SEARCH(", "&amp;$B28&amp;", ",", "&amp;'Hoạt động (Đơn của tôi)'!$B$7:$B$500&amp;", ")),--('Hoạt động (Đơn của tôi)'!$AT$7:$AT$500&lt;&gt;""))+SUMPRODUCT(--ISNUMBER(SEARCH(", "&amp;$B28&amp;", ",", "&amp;'Ghép nối'!$B$7:$B$500&amp;", ")),--('Ghép nối'!$AT$7:$AT$500&lt;&gt;""))+SUMPRODUCT(--ISNUMBER(SEARCH(", "&amp;$B28&amp;", ",", "&amp;'Huỷ đơn - Huỷ nhận đơn'!$B$7:$B$500&amp;", ")),--('Huỷ đơn - Huỷ nhận đơn'!$AT$7:$AT$500&lt;&gt;""))+SUMPRODUCT(--ISNUMBER(SEARCH(", "&amp;$B28&amp;", ",", "&amp;'Giao nhận &amp; Theo dõi đơn'!$B$7:$B$500&amp;", ")),--('Giao nhận &amp; Theo dõi đơn'!$AT$7:$AT$500&lt;&gt;""))+SUMPRODUCT(--ISNUMBER(SEARCH(", "&amp;$B28&amp;", ",", "&amp;'Bảng tin &amp; Chi tiết tin'!$B$7:$B$500&amp;", ")),--('Bảng tin &amp; Chi tiết tin'!$AT$7:$AT$500&lt;&gt;""))+SUMPRODUCT(--ISNUMBER(SEARCH(", "&amp;$B28&amp;", ",", "&amp;'Quà cảm ơn'!$B$7:$B$500&amp;", ")),--('Quà cảm ơn'!$AT$7:$AT$500&lt;&gt;""))+SUMPRODUCT(--ISNUMBER(SEARCH(", "&amp;$B28&amp;", ",", "&amp;'Trang chủ'!$B$7:$B$500&amp;", ")),--('Trang chủ'!$AT$7:$AT$500&lt;&gt;""))+SUMPRODUCT(--ISNUMBER(SEARCH(", "&amp;$B28&amp;", ",", "&amp;'Thông báo'!$B$7:$B$500&amp;", ")),--('Thông báo'!$AT$7:$AT$500&lt;&gt;""))+SUMPRODUCT(--ISNUMBER(SEARCH(", "&amp;$B28&amp;", ",", "&amp;'Đăng tin &amp; Quản lý tin'!$B$7:$B$500&amp;", ")),--('Đăng tin &amp; Quản lý tin'!$AT$7:$AT$500&lt;&gt;""))+SUMPRODUCT(--ISNUMBER(SEARCH(", "&amp;$B28&amp;", ",", "&amp;'Trust &amp; Safety'!$B$7:$B$500&amp;", ")),--('Trust &amp; Safety'!$AT$7:$AT$500&lt;&gt;""))+SUMPRODUCT(--ISNUMBER(SEARCH(", "&amp;$B28&amp;", ",", "&amp;'Tài khoản &amp; Hồ sơ'!$B$7:$B$500&amp;", ")),--('Tài khoản &amp; Hồ sơ'!$AT$7:$AT$500&lt;&gt;""))</f>
        <v>1</v>
      </c>
      <c r="G28" s="51" t="n">
        <f aca="false">SUMPRODUCT(--ISNUMBER(SEARCH(", "&amp;$B28&amp;", ",", "&amp;'Hoạt động (Đơn của tôi)'!$B$7:$B$500&amp;", ")),--('Hoạt động (Đơn của tôi)'!$AT$7:$AT$500="Pass"))+SUMPRODUCT(--ISNUMBER(SEARCH(", "&amp;$B28&amp;", ",", "&amp;'Ghép nối'!$B$7:$B$500&amp;", ")),--('Ghép nối'!$AT$7:$AT$500="Pass"))+SUMPRODUCT(--ISNUMBER(SEARCH(", "&amp;$B28&amp;", ",", "&amp;'Huỷ đơn - Huỷ nhận đơn'!$B$7:$B$500&amp;", ")),--('Huỷ đơn - Huỷ nhận đơn'!$AT$7:$AT$500="Pass"))+SUMPRODUCT(--ISNUMBER(SEARCH(", "&amp;$B28&amp;", ",", "&amp;'Giao nhận &amp; Theo dõi đơn'!$B$7:$B$500&amp;", ")),--('Giao nhận &amp; Theo dõi đơn'!$AT$7:$AT$500="Pass"))+SUMPRODUCT(--ISNUMBER(SEARCH(", "&amp;$B28&amp;", ",", "&amp;'Bảng tin &amp; Chi tiết tin'!$B$7:$B$500&amp;", ")),--('Bảng tin &amp; Chi tiết tin'!$AT$7:$AT$500="Pass"))+SUMPRODUCT(--ISNUMBER(SEARCH(", "&amp;$B28&amp;", ",", "&amp;'Quà cảm ơn'!$B$7:$B$500&amp;", ")),--('Quà cảm ơn'!$AT$7:$AT$500="Pass"))+SUMPRODUCT(--ISNUMBER(SEARCH(", "&amp;$B28&amp;", ",", "&amp;'Trang chủ'!$B$7:$B$500&amp;", ")),--('Trang chủ'!$AT$7:$AT$500="Pass"))+SUMPRODUCT(--ISNUMBER(SEARCH(", "&amp;$B28&amp;", ",", "&amp;'Thông báo'!$B$7:$B$500&amp;", ")),--('Thông báo'!$AT$7:$AT$500="Pass"))+SUMPRODUCT(--ISNUMBER(SEARCH(", "&amp;$B28&amp;", ",", "&amp;'Đăng tin &amp; Quản lý tin'!$B$7:$B$500&amp;", ")),--('Đăng tin &amp; Quản lý tin'!$AT$7:$AT$500="Pass"))+SUMPRODUCT(--ISNUMBER(SEARCH(", "&amp;$B28&amp;", ",", "&amp;'Trust &amp; Safety'!$B$7:$B$500&amp;", ")),--('Trust &amp; Safety'!$AT$7:$AT$500="Pass"))+SUMPRODUCT(--ISNUMBER(SEARCH(", "&amp;$B28&amp;", ",", "&amp;'Tài khoản &amp; Hồ sơ'!$B$7:$B$500&amp;", ")),--('Tài khoản &amp; Hồ sơ'!$AT$7:$AT$500="Pass"))</f>
        <v>1</v>
      </c>
      <c r="H28" s="51" t="n">
        <f aca="false">SUMPRODUCT(--ISNUMBER(SEARCH(", "&amp;$B28&amp;", ",", "&amp;'Hoạt động (Đơn của tôi)'!$B$7:$B$500&amp;", ")),--('Hoạt động (Đơn của tôi)'!$AT$7:$AT$500="Fail"))+SUMPRODUCT(--ISNUMBER(SEARCH(", "&amp;$B28&amp;", ",", "&amp;'Ghép nối'!$B$7:$B$500&amp;", ")),--('Ghép nối'!$AT$7:$AT$500="Fail"))+SUMPRODUCT(--ISNUMBER(SEARCH(", "&amp;$B28&amp;", ",", "&amp;'Huỷ đơn - Huỷ nhận đơn'!$B$7:$B$500&amp;", ")),--('Huỷ đơn - Huỷ nhận đơn'!$AT$7:$AT$500="Fail"))+SUMPRODUCT(--ISNUMBER(SEARCH(", "&amp;$B28&amp;", ",", "&amp;'Giao nhận &amp; Theo dõi đơn'!$B$7:$B$500&amp;", ")),--('Giao nhận &amp; Theo dõi đơn'!$AT$7:$AT$500="Fail"))+SUMPRODUCT(--ISNUMBER(SEARCH(", "&amp;$B28&amp;", ",", "&amp;'Bảng tin &amp; Chi tiết tin'!$B$7:$B$500&amp;", ")),--('Bảng tin &amp; Chi tiết tin'!$AT$7:$AT$500="Fail"))+SUMPRODUCT(--ISNUMBER(SEARCH(", "&amp;$B28&amp;", ",", "&amp;'Quà cảm ơn'!$B$7:$B$500&amp;", ")),--('Quà cảm ơn'!$AT$7:$AT$500="Fail"))+SUMPRODUCT(--ISNUMBER(SEARCH(", "&amp;$B28&amp;", ",", "&amp;'Trang chủ'!$B$7:$B$500&amp;", ")),--('Trang chủ'!$AT$7:$AT$500="Fail"))+SUMPRODUCT(--ISNUMBER(SEARCH(", "&amp;$B28&amp;", ",", "&amp;'Thông báo'!$B$7:$B$500&amp;", ")),--('Thông báo'!$AT$7:$AT$500="Fail"))+SUMPRODUCT(--ISNUMBER(SEARCH(", "&amp;$B28&amp;", ",", "&amp;'Đăng tin &amp; Quản lý tin'!$B$7:$B$500&amp;", ")),--('Đăng tin &amp; Quản lý tin'!$AT$7:$AT$500="Fail"))+SUMPRODUCT(--ISNUMBER(SEARCH(", "&amp;$B28&amp;", ",", "&amp;'Trust &amp; Safety'!$B$7:$B$500&amp;", ")),--('Trust &amp; Safety'!$AT$7:$AT$500="Fail"))+SUMPRODUCT(--ISNUMBER(SEARCH(", "&amp;$B28&amp;", ",", "&amp;'Tài khoản &amp; Hồ sơ'!$B$7:$B$500&amp;", ")),--('Tài khoản &amp; Hồ sơ'!$AT$7:$AT$500="Fail"))</f>
        <v>0</v>
      </c>
      <c r="I28" s="51" t="n">
        <f aca="false">SUMPRODUCT(--ISNUMBER(SEARCH(", "&amp;$B28&amp;", ",", "&amp;'Hoạt động (Đơn của tôi)'!$B$7:$B$500&amp;", ")),--('Hoạt động (Đơn của tôi)'!$AT$7:$AT$500="Block"))+SUMPRODUCT(--ISNUMBER(SEARCH(", "&amp;$B28&amp;", ",", "&amp;'Ghép nối'!$B$7:$B$500&amp;", ")),--('Ghép nối'!$AT$7:$AT$500="Block"))+SUMPRODUCT(--ISNUMBER(SEARCH(", "&amp;$B28&amp;", ",", "&amp;'Huỷ đơn - Huỷ nhận đơn'!$B$7:$B$500&amp;", ")),--('Huỷ đơn - Huỷ nhận đơn'!$AT$7:$AT$500="Block"))+SUMPRODUCT(--ISNUMBER(SEARCH(", "&amp;$B28&amp;", ",", "&amp;'Giao nhận &amp; Theo dõi đơn'!$B$7:$B$500&amp;", ")),--('Giao nhận &amp; Theo dõi đơn'!$AT$7:$AT$500="Block"))+SUMPRODUCT(--ISNUMBER(SEARCH(", "&amp;$B28&amp;", ",", "&amp;'Bảng tin &amp; Chi tiết tin'!$B$7:$B$500&amp;", ")),--('Bảng tin &amp; Chi tiết tin'!$AT$7:$AT$500="Block"))+SUMPRODUCT(--ISNUMBER(SEARCH(", "&amp;$B28&amp;", ",", "&amp;'Quà cảm ơn'!$B$7:$B$500&amp;", ")),--('Quà cảm ơn'!$AT$7:$AT$500="Block"))+SUMPRODUCT(--ISNUMBER(SEARCH(", "&amp;$B28&amp;", ",", "&amp;'Trang chủ'!$B$7:$B$500&amp;", ")),--('Trang chủ'!$AT$7:$AT$500="Block"))+SUMPRODUCT(--ISNUMBER(SEARCH(", "&amp;$B28&amp;", ",", "&amp;'Thông báo'!$B$7:$B$500&amp;", ")),--('Thông báo'!$AT$7:$AT$500="Block"))+SUMPRODUCT(--ISNUMBER(SEARCH(", "&amp;$B28&amp;", ",", "&amp;'Đăng tin &amp; Quản lý tin'!$B$7:$B$500&amp;", ")),--('Đăng tin &amp; Quản lý tin'!$AT$7:$AT$500="Block"))+SUMPRODUCT(--ISNUMBER(SEARCH(", "&amp;$B28&amp;", ",", "&amp;'Trust &amp; Safety'!$B$7:$B$500&amp;", ")),--('Trust &amp; Safety'!$AT$7:$AT$500="Block"))+SUMPRODUCT(--ISNUMBER(SEARCH(", "&amp;$B28&amp;", ",", "&amp;'Tài khoản &amp; Hồ sơ'!$B$7:$B$500&amp;", ")),--('Tài khoản &amp; Hồ sơ'!$AT$7:$AT$500="Block"))</f>
        <v>0</v>
      </c>
      <c r="J28" s="51" t="n">
        <f aca="false">SUMPRODUCT(--ISNUMBER(SEARCH(", "&amp;$B28&amp;", ",", "&amp;'Hoạt động (Đơn của tôi)'!$B$7:$B$500&amp;", ")),--('Hoạt động (Đơn của tôi)'!$AT$7:$AT$500="N/A"))+SUMPRODUCT(--ISNUMBER(SEARCH(", "&amp;$B28&amp;", ",", "&amp;'Ghép nối'!$B$7:$B$500&amp;", ")),--('Ghép nối'!$AT$7:$AT$500="N/A"))+SUMPRODUCT(--ISNUMBER(SEARCH(", "&amp;$B28&amp;", ",", "&amp;'Huỷ đơn - Huỷ nhận đơn'!$B$7:$B$500&amp;", ")),--('Huỷ đơn - Huỷ nhận đơn'!$AT$7:$AT$500="N/A"))+SUMPRODUCT(--ISNUMBER(SEARCH(", "&amp;$B28&amp;", ",", "&amp;'Giao nhận &amp; Theo dõi đơn'!$B$7:$B$500&amp;", ")),--('Giao nhận &amp; Theo dõi đơn'!$AT$7:$AT$500="N/A"))+SUMPRODUCT(--ISNUMBER(SEARCH(", "&amp;$B28&amp;", ",", "&amp;'Bảng tin &amp; Chi tiết tin'!$B$7:$B$500&amp;", ")),--('Bảng tin &amp; Chi tiết tin'!$AT$7:$AT$500="N/A"))+SUMPRODUCT(--ISNUMBER(SEARCH(", "&amp;$B28&amp;", ",", "&amp;'Quà cảm ơn'!$B$7:$B$500&amp;", ")),--('Quà cảm ơn'!$AT$7:$AT$500="N/A"))+SUMPRODUCT(--ISNUMBER(SEARCH(", "&amp;$B28&amp;", ",", "&amp;'Trang chủ'!$B$7:$B$500&amp;", ")),--('Trang chủ'!$AT$7:$AT$500="N/A"))+SUMPRODUCT(--ISNUMBER(SEARCH(", "&amp;$B28&amp;", ",", "&amp;'Thông báo'!$B$7:$B$500&amp;", ")),--('Thông báo'!$AT$7:$AT$500="N/A"))+SUMPRODUCT(--ISNUMBER(SEARCH(", "&amp;$B28&amp;", ",", "&amp;'Đăng tin &amp; Quản lý tin'!$B$7:$B$500&amp;", ")),--('Đăng tin &amp; Quản lý tin'!$AT$7:$AT$500="N/A"))+SUMPRODUCT(--ISNUMBER(SEARCH(", "&amp;$B28&amp;", ",", "&amp;'Trust &amp; Safety'!$B$7:$B$500&amp;", ")),--('Trust &amp; Safety'!$AT$7:$AT$500="N/A"))+SUMPRODUCT(--ISNUMBER(SEARCH(", "&amp;$B28&amp;", ",", "&amp;'Tài khoản &amp; Hồ sơ'!$B$7:$B$500&amp;", ")),--('Tài khoản &amp; Hồ sơ'!$AT$7:$AT$500="N/A"))</f>
        <v>0</v>
      </c>
      <c r="K28" s="52" t="n">
        <f aca="false">IFERROR(F28/E28,0)</f>
        <v>0.125</v>
      </c>
      <c r="L28" s="124" t="str">
        <f aca="false">IF(E28=0,"Chưa có TC (gap)",IF(H28&gt;0,"Có lỗi (Fail)",IF(I28&gt;0,"Bị block",IF(F28&lt;E28,"Đang test",IF(G28=0,"Không áp dụng (N/A)","Đã test xong")))))</f>
        <v>Đang test</v>
      </c>
      <c r="AB28" s="0" t="s">
        <v>511</v>
      </c>
    </row>
    <row r="29" customFormat="false" ht="15.75" hidden="false" customHeight="true" outlineLevel="0" collapsed="false">
      <c r="A29" s="1"/>
      <c r="B29" s="176" t="s">
        <v>576</v>
      </c>
      <c r="C29" s="177" t="s">
        <v>577</v>
      </c>
      <c r="D29" s="124" t="s">
        <v>578</v>
      </c>
      <c r="E29" s="51" t="n">
        <f aca="false">SUMPRODUCT(--ISNUMBER(SEARCH(", "&amp;$B29&amp;", ",", "&amp;'Hoạt động (Đơn của tôi)'!$B$7:$B$500&amp;", ")))+SUMPRODUCT(--ISNUMBER(SEARCH(", "&amp;$B29&amp;", ",", "&amp;'Ghép nối'!$B$7:$B$500&amp;", ")))+SUMPRODUCT(--ISNUMBER(SEARCH(", "&amp;$B29&amp;", ",", "&amp;'Huỷ đơn - Huỷ nhận đơn'!$B$7:$B$500&amp;", ")))+SUMPRODUCT(--ISNUMBER(SEARCH(", "&amp;$B29&amp;", ",", "&amp;'Giao nhận &amp; Theo dõi đơn'!$B$7:$B$500&amp;", ")))+SUMPRODUCT(--ISNUMBER(SEARCH(", "&amp;$B29&amp;", ",", "&amp;'Bảng tin &amp; Chi tiết tin'!$B$7:$B$500&amp;", ")))+SUMPRODUCT(--ISNUMBER(SEARCH(", "&amp;$B29&amp;", ",", "&amp;'Quà cảm ơn'!$B$7:$B$500&amp;", ")))+SUMPRODUCT(--ISNUMBER(SEARCH(", "&amp;$B29&amp;", ",", "&amp;'Trang chủ'!$B$7:$B$500&amp;", ")))+SUMPRODUCT(--ISNUMBER(SEARCH(", "&amp;$B29&amp;", ",", "&amp;'Thông báo'!$B$7:$B$500&amp;", ")))+SUMPRODUCT(--ISNUMBER(SEARCH(", "&amp;$B29&amp;", ",", "&amp;'Đăng tin &amp; Quản lý tin'!$B$7:$B$500&amp;", ")))+SUMPRODUCT(--ISNUMBER(SEARCH(", "&amp;$B29&amp;", ",", "&amp;'Trust &amp; Safety'!$B$7:$B$500&amp;", ")))+SUMPRODUCT(--ISNUMBER(SEARCH(", "&amp;$B29&amp;", ",", "&amp;'Tài khoản &amp; Hồ sơ'!$B$7:$B$500&amp;", ")))</f>
        <v>10</v>
      </c>
      <c r="F29" s="51" t="n">
        <f aca="false">SUMPRODUCT(--ISNUMBER(SEARCH(", "&amp;$B29&amp;", ",", "&amp;'Hoạt động (Đơn của tôi)'!$B$7:$B$500&amp;", ")),--('Hoạt động (Đơn của tôi)'!$AT$7:$AT$500&lt;&gt;""))+SUMPRODUCT(--ISNUMBER(SEARCH(", "&amp;$B29&amp;", ",", "&amp;'Ghép nối'!$B$7:$B$500&amp;", ")),--('Ghép nối'!$AT$7:$AT$500&lt;&gt;""))+SUMPRODUCT(--ISNUMBER(SEARCH(", "&amp;$B29&amp;", ",", "&amp;'Huỷ đơn - Huỷ nhận đơn'!$B$7:$B$500&amp;", ")),--('Huỷ đơn - Huỷ nhận đơn'!$AT$7:$AT$500&lt;&gt;""))+SUMPRODUCT(--ISNUMBER(SEARCH(", "&amp;$B29&amp;", ",", "&amp;'Giao nhận &amp; Theo dõi đơn'!$B$7:$B$500&amp;", ")),--('Giao nhận &amp; Theo dõi đơn'!$AT$7:$AT$500&lt;&gt;""))+SUMPRODUCT(--ISNUMBER(SEARCH(", "&amp;$B29&amp;", ",", "&amp;'Bảng tin &amp; Chi tiết tin'!$B$7:$B$500&amp;", ")),--('Bảng tin &amp; Chi tiết tin'!$AT$7:$AT$500&lt;&gt;""))+SUMPRODUCT(--ISNUMBER(SEARCH(", "&amp;$B29&amp;", ",", "&amp;'Quà cảm ơn'!$B$7:$B$500&amp;", ")),--('Quà cảm ơn'!$AT$7:$AT$500&lt;&gt;""))+SUMPRODUCT(--ISNUMBER(SEARCH(", "&amp;$B29&amp;", ",", "&amp;'Trang chủ'!$B$7:$B$500&amp;", ")),--('Trang chủ'!$AT$7:$AT$500&lt;&gt;""))+SUMPRODUCT(--ISNUMBER(SEARCH(", "&amp;$B29&amp;", ",", "&amp;'Thông báo'!$B$7:$B$500&amp;", ")),--('Thông báo'!$AT$7:$AT$500&lt;&gt;""))+SUMPRODUCT(--ISNUMBER(SEARCH(", "&amp;$B29&amp;", ",", "&amp;'Đăng tin &amp; Quản lý tin'!$B$7:$B$500&amp;", ")),--('Đăng tin &amp; Quản lý tin'!$AT$7:$AT$500&lt;&gt;""))+SUMPRODUCT(--ISNUMBER(SEARCH(", "&amp;$B29&amp;", ",", "&amp;'Trust &amp; Safety'!$B$7:$B$500&amp;", ")),--('Trust &amp; Safety'!$AT$7:$AT$500&lt;&gt;""))+SUMPRODUCT(--ISNUMBER(SEARCH(", "&amp;$B29&amp;", ",", "&amp;'Tài khoản &amp; Hồ sơ'!$B$7:$B$500&amp;", ")),--('Tài khoản &amp; Hồ sơ'!$AT$7:$AT$500&lt;&gt;""))</f>
        <v>0</v>
      </c>
      <c r="G29" s="51" t="n">
        <f aca="false">SUMPRODUCT(--ISNUMBER(SEARCH(", "&amp;$B29&amp;", ",", "&amp;'Hoạt động (Đơn của tôi)'!$B$7:$B$500&amp;", ")),--('Hoạt động (Đơn của tôi)'!$AT$7:$AT$500="Pass"))+SUMPRODUCT(--ISNUMBER(SEARCH(", "&amp;$B29&amp;", ",", "&amp;'Ghép nối'!$B$7:$B$500&amp;", ")),--('Ghép nối'!$AT$7:$AT$500="Pass"))+SUMPRODUCT(--ISNUMBER(SEARCH(", "&amp;$B29&amp;", ",", "&amp;'Huỷ đơn - Huỷ nhận đơn'!$B$7:$B$500&amp;", ")),--('Huỷ đơn - Huỷ nhận đơn'!$AT$7:$AT$500="Pass"))+SUMPRODUCT(--ISNUMBER(SEARCH(", "&amp;$B29&amp;", ",", "&amp;'Giao nhận &amp; Theo dõi đơn'!$B$7:$B$500&amp;", ")),--('Giao nhận &amp; Theo dõi đơn'!$AT$7:$AT$500="Pass"))+SUMPRODUCT(--ISNUMBER(SEARCH(", "&amp;$B29&amp;", ",", "&amp;'Bảng tin &amp; Chi tiết tin'!$B$7:$B$500&amp;", ")),--('Bảng tin &amp; Chi tiết tin'!$AT$7:$AT$500="Pass"))+SUMPRODUCT(--ISNUMBER(SEARCH(", "&amp;$B29&amp;", ",", "&amp;'Quà cảm ơn'!$B$7:$B$500&amp;", ")),--('Quà cảm ơn'!$AT$7:$AT$500="Pass"))+SUMPRODUCT(--ISNUMBER(SEARCH(", "&amp;$B29&amp;", ",", "&amp;'Trang chủ'!$B$7:$B$500&amp;", ")),--('Trang chủ'!$AT$7:$AT$500="Pass"))+SUMPRODUCT(--ISNUMBER(SEARCH(", "&amp;$B29&amp;", ",", "&amp;'Thông báo'!$B$7:$B$500&amp;", ")),--('Thông báo'!$AT$7:$AT$500="Pass"))+SUMPRODUCT(--ISNUMBER(SEARCH(", "&amp;$B29&amp;", ",", "&amp;'Đăng tin &amp; Quản lý tin'!$B$7:$B$500&amp;", ")),--('Đăng tin &amp; Quản lý tin'!$AT$7:$AT$500="Pass"))+SUMPRODUCT(--ISNUMBER(SEARCH(", "&amp;$B29&amp;", ",", "&amp;'Trust &amp; Safety'!$B$7:$B$500&amp;", ")),--('Trust &amp; Safety'!$AT$7:$AT$500="Pass"))+SUMPRODUCT(--ISNUMBER(SEARCH(", "&amp;$B29&amp;", ",", "&amp;'Tài khoản &amp; Hồ sơ'!$B$7:$B$500&amp;", ")),--('Tài khoản &amp; Hồ sơ'!$AT$7:$AT$500="Pass"))</f>
        <v>0</v>
      </c>
      <c r="H29" s="51" t="n">
        <f aca="false">SUMPRODUCT(--ISNUMBER(SEARCH(", "&amp;$B29&amp;", ",", "&amp;'Hoạt động (Đơn của tôi)'!$B$7:$B$500&amp;", ")),--('Hoạt động (Đơn của tôi)'!$AT$7:$AT$500="Fail"))+SUMPRODUCT(--ISNUMBER(SEARCH(", "&amp;$B29&amp;", ",", "&amp;'Ghép nối'!$B$7:$B$500&amp;", ")),--('Ghép nối'!$AT$7:$AT$500="Fail"))+SUMPRODUCT(--ISNUMBER(SEARCH(", "&amp;$B29&amp;", ",", "&amp;'Huỷ đơn - Huỷ nhận đơn'!$B$7:$B$500&amp;", ")),--('Huỷ đơn - Huỷ nhận đơn'!$AT$7:$AT$500="Fail"))+SUMPRODUCT(--ISNUMBER(SEARCH(", "&amp;$B29&amp;", ",", "&amp;'Giao nhận &amp; Theo dõi đơn'!$B$7:$B$500&amp;", ")),--('Giao nhận &amp; Theo dõi đơn'!$AT$7:$AT$500="Fail"))+SUMPRODUCT(--ISNUMBER(SEARCH(", "&amp;$B29&amp;", ",", "&amp;'Bảng tin &amp; Chi tiết tin'!$B$7:$B$500&amp;", ")),--('Bảng tin &amp; Chi tiết tin'!$AT$7:$AT$500="Fail"))+SUMPRODUCT(--ISNUMBER(SEARCH(", "&amp;$B29&amp;", ",", "&amp;'Quà cảm ơn'!$B$7:$B$500&amp;", ")),--('Quà cảm ơn'!$AT$7:$AT$500="Fail"))+SUMPRODUCT(--ISNUMBER(SEARCH(", "&amp;$B29&amp;", ",", "&amp;'Trang chủ'!$B$7:$B$500&amp;", ")),--('Trang chủ'!$AT$7:$AT$500="Fail"))+SUMPRODUCT(--ISNUMBER(SEARCH(", "&amp;$B29&amp;", ",", "&amp;'Thông báo'!$B$7:$B$500&amp;", ")),--('Thông báo'!$AT$7:$AT$500="Fail"))+SUMPRODUCT(--ISNUMBER(SEARCH(", "&amp;$B29&amp;", ",", "&amp;'Đăng tin &amp; Quản lý tin'!$B$7:$B$500&amp;", ")),--('Đăng tin &amp; Quản lý tin'!$AT$7:$AT$500="Fail"))+SUMPRODUCT(--ISNUMBER(SEARCH(", "&amp;$B29&amp;", ",", "&amp;'Trust &amp; Safety'!$B$7:$B$500&amp;", ")),--('Trust &amp; Safety'!$AT$7:$AT$500="Fail"))+SUMPRODUCT(--ISNUMBER(SEARCH(", "&amp;$B29&amp;", ",", "&amp;'Tài khoản &amp; Hồ sơ'!$B$7:$B$500&amp;", ")),--('Tài khoản &amp; Hồ sơ'!$AT$7:$AT$500="Fail"))</f>
        <v>0</v>
      </c>
      <c r="I29" s="51" t="n">
        <f aca="false">SUMPRODUCT(--ISNUMBER(SEARCH(", "&amp;$B29&amp;", ",", "&amp;'Hoạt động (Đơn của tôi)'!$B$7:$B$500&amp;", ")),--('Hoạt động (Đơn của tôi)'!$AT$7:$AT$500="Block"))+SUMPRODUCT(--ISNUMBER(SEARCH(", "&amp;$B29&amp;", ",", "&amp;'Ghép nối'!$B$7:$B$500&amp;", ")),--('Ghép nối'!$AT$7:$AT$500="Block"))+SUMPRODUCT(--ISNUMBER(SEARCH(", "&amp;$B29&amp;", ",", "&amp;'Huỷ đơn - Huỷ nhận đơn'!$B$7:$B$500&amp;", ")),--('Huỷ đơn - Huỷ nhận đơn'!$AT$7:$AT$500="Block"))+SUMPRODUCT(--ISNUMBER(SEARCH(", "&amp;$B29&amp;", ",", "&amp;'Giao nhận &amp; Theo dõi đơn'!$B$7:$B$500&amp;", ")),--('Giao nhận &amp; Theo dõi đơn'!$AT$7:$AT$500="Block"))+SUMPRODUCT(--ISNUMBER(SEARCH(", "&amp;$B29&amp;", ",", "&amp;'Bảng tin &amp; Chi tiết tin'!$B$7:$B$500&amp;", ")),--('Bảng tin &amp; Chi tiết tin'!$AT$7:$AT$500="Block"))+SUMPRODUCT(--ISNUMBER(SEARCH(", "&amp;$B29&amp;", ",", "&amp;'Quà cảm ơn'!$B$7:$B$500&amp;", ")),--('Quà cảm ơn'!$AT$7:$AT$500="Block"))+SUMPRODUCT(--ISNUMBER(SEARCH(", "&amp;$B29&amp;", ",", "&amp;'Trang chủ'!$B$7:$B$500&amp;", ")),--('Trang chủ'!$AT$7:$AT$500="Block"))+SUMPRODUCT(--ISNUMBER(SEARCH(", "&amp;$B29&amp;", ",", "&amp;'Thông báo'!$B$7:$B$500&amp;", ")),--('Thông báo'!$AT$7:$AT$500="Block"))+SUMPRODUCT(--ISNUMBER(SEARCH(", "&amp;$B29&amp;", ",", "&amp;'Đăng tin &amp; Quản lý tin'!$B$7:$B$500&amp;", ")),--('Đăng tin &amp; Quản lý tin'!$AT$7:$AT$500="Block"))+SUMPRODUCT(--ISNUMBER(SEARCH(", "&amp;$B29&amp;", ",", "&amp;'Trust &amp; Safety'!$B$7:$B$500&amp;", ")),--('Trust &amp; Safety'!$AT$7:$AT$500="Block"))+SUMPRODUCT(--ISNUMBER(SEARCH(", "&amp;$B29&amp;", ",", "&amp;'Tài khoản &amp; Hồ sơ'!$B$7:$B$500&amp;", ")),--('Tài khoản &amp; Hồ sơ'!$AT$7:$AT$500="Block"))</f>
        <v>0</v>
      </c>
      <c r="J29" s="51" t="n">
        <f aca="false">SUMPRODUCT(--ISNUMBER(SEARCH(", "&amp;$B29&amp;", ",", "&amp;'Hoạt động (Đơn của tôi)'!$B$7:$B$500&amp;", ")),--('Hoạt động (Đơn của tôi)'!$AT$7:$AT$500="N/A"))+SUMPRODUCT(--ISNUMBER(SEARCH(", "&amp;$B29&amp;", ",", "&amp;'Ghép nối'!$B$7:$B$500&amp;", ")),--('Ghép nối'!$AT$7:$AT$500="N/A"))+SUMPRODUCT(--ISNUMBER(SEARCH(", "&amp;$B29&amp;", ",", "&amp;'Huỷ đơn - Huỷ nhận đơn'!$B$7:$B$500&amp;", ")),--('Huỷ đơn - Huỷ nhận đơn'!$AT$7:$AT$500="N/A"))+SUMPRODUCT(--ISNUMBER(SEARCH(", "&amp;$B29&amp;", ",", "&amp;'Giao nhận &amp; Theo dõi đơn'!$B$7:$B$500&amp;", ")),--('Giao nhận &amp; Theo dõi đơn'!$AT$7:$AT$500="N/A"))+SUMPRODUCT(--ISNUMBER(SEARCH(", "&amp;$B29&amp;", ",", "&amp;'Bảng tin &amp; Chi tiết tin'!$B$7:$B$500&amp;", ")),--('Bảng tin &amp; Chi tiết tin'!$AT$7:$AT$500="N/A"))+SUMPRODUCT(--ISNUMBER(SEARCH(", "&amp;$B29&amp;", ",", "&amp;'Quà cảm ơn'!$B$7:$B$500&amp;", ")),--('Quà cảm ơn'!$AT$7:$AT$500="N/A"))+SUMPRODUCT(--ISNUMBER(SEARCH(", "&amp;$B29&amp;", ",", "&amp;'Trang chủ'!$B$7:$B$500&amp;", ")),--('Trang chủ'!$AT$7:$AT$500="N/A"))+SUMPRODUCT(--ISNUMBER(SEARCH(", "&amp;$B29&amp;", ",", "&amp;'Thông báo'!$B$7:$B$500&amp;", ")),--('Thông báo'!$AT$7:$AT$500="N/A"))+SUMPRODUCT(--ISNUMBER(SEARCH(", "&amp;$B29&amp;", ",", "&amp;'Đăng tin &amp; Quản lý tin'!$B$7:$B$500&amp;", ")),--('Đăng tin &amp; Quản lý tin'!$AT$7:$AT$500="N/A"))+SUMPRODUCT(--ISNUMBER(SEARCH(", "&amp;$B29&amp;", ",", "&amp;'Trust &amp; Safety'!$B$7:$B$500&amp;", ")),--('Trust &amp; Safety'!$AT$7:$AT$500="N/A"))+SUMPRODUCT(--ISNUMBER(SEARCH(", "&amp;$B29&amp;", ",", "&amp;'Tài khoản &amp; Hồ sơ'!$B$7:$B$500&amp;", ")),--('Tài khoản &amp; Hồ sơ'!$AT$7:$AT$500="N/A"))</f>
        <v>0</v>
      </c>
      <c r="K29" s="52" t="n">
        <f aca="false">IFERROR(F29/E29,0)</f>
        <v>0</v>
      </c>
      <c r="L29" s="124" t="str">
        <f aca="false">IF(E29=0,"Chưa có TC (gap)",IF(H29&gt;0,"Có lỗi (Fail)",IF(I29&gt;0,"Bị block",IF(F29&lt;E29,"Đang test",IF(G29=0,"Không áp dụng (N/A)","Đã test xong")))))</f>
        <v>Đang test</v>
      </c>
      <c r="AB29" s="0" t="s">
        <v>511</v>
      </c>
    </row>
    <row r="30" customFormat="false" ht="15.75" hidden="false" customHeight="true" outlineLevel="0" collapsed="false">
      <c r="A30" s="1"/>
      <c r="B30" s="176" t="s">
        <v>579</v>
      </c>
      <c r="C30" s="177" t="s">
        <v>580</v>
      </c>
      <c r="D30" s="124" t="s">
        <v>581</v>
      </c>
      <c r="E30" s="51" t="n">
        <f aca="false">SUMPRODUCT(--ISNUMBER(SEARCH(", "&amp;$B30&amp;", ",", "&amp;'Hoạt động (Đơn của tôi)'!$B$7:$B$500&amp;", ")))+SUMPRODUCT(--ISNUMBER(SEARCH(", "&amp;$B30&amp;", ",", "&amp;'Ghép nối'!$B$7:$B$500&amp;", ")))+SUMPRODUCT(--ISNUMBER(SEARCH(", "&amp;$B30&amp;", ",", "&amp;'Huỷ đơn - Huỷ nhận đơn'!$B$7:$B$500&amp;", ")))+SUMPRODUCT(--ISNUMBER(SEARCH(", "&amp;$B30&amp;", ",", "&amp;'Giao nhận &amp; Theo dõi đơn'!$B$7:$B$500&amp;", ")))+SUMPRODUCT(--ISNUMBER(SEARCH(", "&amp;$B30&amp;", ",", "&amp;'Bảng tin &amp; Chi tiết tin'!$B$7:$B$500&amp;", ")))+SUMPRODUCT(--ISNUMBER(SEARCH(", "&amp;$B30&amp;", ",", "&amp;'Quà cảm ơn'!$B$7:$B$500&amp;", ")))+SUMPRODUCT(--ISNUMBER(SEARCH(", "&amp;$B30&amp;", ",", "&amp;'Trang chủ'!$B$7:$B$500&amp;", ")))+SUMPRODUCT(--ISNUMBER(SEARCH(", "&amp;$B30&amp;", ",", "&amp;'Thông báo'!$B$7:$B$500&amp;", ")))+SUMPRODUCT(--ISNUMBER(SEARCH(", "&amp;$B30&amp;", ",", "&amp;'Đăng tin &amp; Quản lý tin'!$B$7:$B$500&amp;", ")))+SUMPRODUCT(--ISNUMBER(SEARCH(", "&amp;$B30&amp;", ",", "&amp;'Trust &amp; Safety'!$B$7:$B$500&amp;", ")))+SUMPRODUCT(--ISNUMBER(SEARCH(", "&amp;$B30&amp;", ",", "&amp;'Tài khoản &amp; Hồ sơ'!$B$7:$B$500&amp;", ")))</f>
        <v>6</v>
      </c>
      <c r="F30" s="51" t="n">
        <f aca="false">SUMPRODUCT(--ISNUMBER(SEARCH(", "&amp;$B30&amp;", ",", "&amp;'Hoạt động (Đơn của tôi)'!$B$7:$B$500&amp;", ")),--('Hoạt động (Đơn của tôi)'!$AT$7:$AT$500&lt;&gt;""))+SUMPRODUCT(--ISNUMBER(SEARCH(", "&amp;$B30&amp;", ",", "&amp;'Ghép nối'!$B$7:$B$500&amp;", ")),--('Ghép nối'!$AT$7:$AT$500&lt;&gt;""))+SUMPRODUCT(--ISNUMBER(SEARCH(", "&amp;$B30&amp;", ",", "&amp;'Huỷ đơn - Huỷ nhận đơn'!$B$7:$B$500&amp;", ")),--('Huỷ đơn - Huỷ nhận đơn'!$AT$7:$AT$500&lt;&gt;""))+SUMPRODUCT(--ISNUMBER(SEARCH(", "&amp;$B30&amp;", ",", "&amp;'Giao nhận &amp; Theo dõi đơn'!$B$7:$B$500&amp;", ")),--('Giao nhận &amp; Theo dõi đơn'!$AT$7:$AT$500&lt;&gt;""))+SUMPRODUCT(--ISNUMBER(SEARCH(", "&amp;$B30&amp;", ",", "&amp;'Bảng tin &amp; Chi tiết tin'!$B$7:$B$500&amp;", ")),--('Bảng tin &amp; Chi tiết tin'!$AT$7:$AT$500&lt;&gt;""))+SUMPRODUCT(--ISNUMBER(SEARCH(", "&amp;$B30&amp;", ",", "&amp;'Quà cảm ơn'!$B$7:$B$500&amp;", ")),--('Quà cảm ơn'!$AT$7:$AT$500&lt;&gt;""))+SUMPRODUCT(--ISNUMBER(SEARCH(", "&amp;$B30&amp;", ",", "&amp;'Trang chủ'!$B$7:$B$500&amp;", ")),--('Trang chủ'!$AT$7:$AT$500&lt;&gt;""))+SUMPRODUCT(--ISNUMBER(SEARCH(", "&amp;$B30&amp;", ",", "&amp;'Thông báo'!$B$7:$B$500&amp;", ")),--('Thông báo'!$AT$7:$AT$500&lt;&gt;""))+SUMPRODUCT(--ISNUMBER(SEARCH(", "&amp;$B30&amp;", ",", "&amp;'Đăng tin &amp; Quản lý tin'!$B$7:$B$500&amp;", ")),--('Đăng tin &amp; Quản lý tin'!$AT$7:$AT$500&lt;&gt;""))+SUMPRODUCT(--ISNUMBER(SEARCH(", "&amp;$B30&amp;", ",", "&amp;'Trust &amp; Safety'!$B$7:$B$500&amp;", ")),--('Trust &amp; Safety'!$AT$7:$AT$500&lt;&gt;""))+SUMPRODUCT(--ISNUMBER(SEARCH(", "&amp;$B30&amp;", ",", "&amp;'Tài khoản &amp; Hồ sơ'!$B$7:$B$500&amp;", ")),--('Tài khoản &amp; Hồ sơ'!$AT$7:$AT$500&lt;&gt;""))</f>
        <v>1</v>
      </c>
      <c r="G30" s="51" t="n">
        <f aca="false">SUMPRODUCT(--ISNUMBER(SEARCH(", "&amp;$B30&amp;", ",", "&amp;'Hoạt động (Đơn của tôi)'!$B$7:$B$500&amp;", ")),--('Hoạt động (Đơn của tôi)'!$AT$7:$AT$500="Pass"))+SUMPRODUCT(--ISNUMBER(SEARCH(", "&amp;$B30&amp;", ",", "&amp;'Ghép nối'!$B$7:$B$500&amp;", ")),--('Ghép nối'!$AT$7:$AT$500="Pass"))+SUMPRODUCT(--ISNUMBER(SEARCH(", "&amp;$B30&amp;", ",", "&amp;'Huỷ đơn - Huỷ nhận đơn'!$B$7:$B$500&amp;", ")),--('Huỷ đơn - Huỷ nhận đơn'!$AT$7:$AT$500="Pass"))+SUMPRODUCT(--ISNUMBER(SEARCH(", "&amp;$B30&amp;", ",", "&amp;'Giao nhận &amp; Theo dõi đơn'!$B$7:$B$500&amp;", ")),--('Giao nhận &amp; Theo dõi đơn'!$AT$7:$AT$500="Pass"))+SUMPRODUCT(--ISNUMBER(SEARCH(", "&amp;$B30&amp;", ",", "&amp;'Bảng tin &amp; Chi tiết tin'!$B$7:$B$500&amp;", ")),--('Bảng tin &amp; Chi tiết tin'!$AT$7:$AT$500="Pass"))+SUMPRODUCT(--ISNUMBER(SEARCH(", "&amp;$B30&amp;", ",", "&amp;'Quà cảm ơn'!$B$7:$B$500&amp;", ")),--('Quà cảm ơn'!$AT$7:$AT$500="Pass"))+SUMPRODUCT(--ISNUMBER(SEARCH(", "&amp;$B30&amp;", ",", "&amp;'Trang chủ'!$B$7:$B$500&amp;", ")),--('Trang chủ'!$AT$7:$AT$500="Pass"))+SUMPRODUCT(--ISNUMBER(SEARCH(", "&amp;$B30&amp;", ",", "&amp;'Thông báo'!$B$7:$B$500&amp;", ")),--('Thông báo'!$AT$7:$AT$500="Pass"))+SUMPRODUCT(--ISNUMBER(SEARCH(", "&amp;$B30&amp;", ",", "&amp;'Đăng tin &amp; Quản lý tin'!$B$7:$B$500&amp;", ")),--('Đăng tin &amp; Quản lý tin'!$AT$7:$AT$500="Pass"))+SUMPRODUCT(--ISNUMBER(SEARCH(", "&amp;$B30&amp;", ",", "&amp;'Trust &amp; Safety'!$B$7:$B$500&amp;", ")),--('Trust &amp; Safety'!$AT$7:$AT$500="Pass"))+SUMPRODUCT(--ISNUMBER(SEARCH(", "&amp;$B30&amp;", ",", "&amp;'Tài khoản &amp; Hồ sơ'!$B$7:$B$500&amp;", ")),--('Tài khoản &amp; Hồ sơ'!$AT$7:$AT$500="Pass"))</f>
        <v>1</v>
      </c>
      <c r="H30" s="51" t="n">
        <f aca="false">SUMPRODUCT(--ISNUMBER(SEARCH(", "&amp;$B30&amp;", ",", "&amp;'Hoạt động (Đơn của tôi)'!$B$7:$B$500&amp;", ")),--('Hoạt động (Đơn của tôi)'!$AT$7:$AT$500="Fail"))+SUMPRODUCT(--ISNUMBER(SEARCH(", "&amp;$B30&amp;", ",", "&amp;'Ghép nối'!$B$7:$B$500&amp;", ")),--('Ghép nối'!$AT$7:$AT$500="Fail"))+SUMPRODUCT(--ISNUMBER(SEARCH(", "&amp;$B30&amp;", ",", "&amp;'Huỷ đơn - Huỷ nhận đơn'!$B$7:$B$500&amp;", ")),--('Huỷ đơn - Huỷ nhận đơn'!$AT$7:$AT$500="Fail"))+SUMPRODUCT(--ISNUMBER(SEARCH(", "&amp;$B30&amp;", ",", "&amp;'Giao nhận &amp; Theo dõi đơn'!$B$7:$B$500&amp;", ")),--('Giao nhận &amp; Theo dõi đơn'!$AT$7:$AT$500="Fail"))+SUMPRODUCT(--ISNUMBER(SEARCH(", "&amp;$B30&amp;", ",", "&amp;'Bảng tin &amp; Chi tiết tin'!$B$7:$B$500&amp;", ")),--('Bảng tin &amp; Chi tiết tin'!$AT$7:$AT$500="Fail"))+SUMPRODUCT(--ISNUMBER(SEARCH(", "&amp;$B30&amp;", ",", "&amp;'Quà cảm ơn'!$B$7:$B$500&amp;", ")),--('Quà cảm ơn'!$AT$7:$AT$500="Fail"))+SUMPRODUCT(--ISNUMBER(SEARCH(", "&amp;$B30&amp;", ",", "&amp;'Trang chủ'!$B$7:$B$500&amp;", ")),--('Trang chủ'!$AT$7:$AT$500="Fail"))+SUMPRODUCT(--ISNUMBER(SEARCH(", "&amp;$B30&amp;", ",", "&amp;'Thông báo'!$B$7:$B$500&amp;", ")),--('Thông báo'!$AT$7:$AT$500="Fail"))+SUMPRODUCT(--ISNUMBER(SEARCH(", "&amp;$B30&amp;", ",", "&amp;'Đăng tin &amp; Quản lý tin'!$B$7:$B$500&amp;", ")),--('Đăng tin &amp; Quản lý tin'!$AT$7:$AT$500="Fail"))+SUMPRODUCT(--ISNUMBER(SEARCH(", "&amp;$B30&amp;", ",", "&amp;'Trust &amp; Safety'!$B$7:$B$500&amp;", ")),--('Trust &amp; Safety'!$AT$7:$AT$500="Fail"))+SUMPRODUCT(--ISNUMBER(SEARCH(", "&amp;$B30&amp;", ",", "&amp;'Tài khoản &amp; Hồ sơ'!$B$7:$B$500&amp;", ")),--('Tài khoản &amp; Hồ sơ'!$AT$7:$AT$500="Fail"))</f>
        <v>0</v>
      </c>
      <c r="I30" s="51" t="n">
        <f aca="false">SUMPRODUCT(--ISNUMBER(SEARCH(", "&amp;$B30&amp;", ",", "&amp;'Hoạt động (Đơn của tôi)'!$B$7:$B$500&amp;", ")),--('Hoạt động (Đơn của tôi)'!$AT$7:$AT$500="Block"))+SUMPRODUCT(--ISNUMBER(SEARCH(", "&amp;$B30&amp;", ",", "&amp;'Ghép nối'!$B$7:$B$500&amp;", ")),--('Ghép nối'!$AT$7:$AT$500="Block"))+SUMPRODUCT(--ISNUMBER(SEARCH(", "&amp;$B30&amp;", ",", "&amp;'Huỷ đơn - Huỷ nhận đơn'!$B$7:$B$500&amp;", ")),--('Huỷ đơn - Huỷ nhận đơn'!$AT$7:$AT$500="Block"))+SUMPRODUCT(--ISNUMBER(SEARCH(", "&amp;$B30&amp;", ",", "&amp;'Giao nhận &amp; Theo dõi đơn'!$B$7:$B$500&amp;", ")),--('Giao nhận &amp; Theo dõi đơn'!$AT$7:$AT$500="Block"))+SUMPRODUCT(--ISNUMBER(SEARCH(", "&amp;$B30&amp;", ",", "&amp;'Bảng tin &amp; Chi tiết tin'!$B$7:$B$500&amp;", ")),--('Bảng tin &amp; Chi tiết tin'!$AT$7:$AT$500="Block"))+SUMPRODUCT(--ISNUMBER(SEARCH(", "&amp;$B30&amp;", ",", "&amp;'Quà cảm ơn'!$B$7:$B$500&amp;", ")),--('Quà cảm ơn'!$AT$7:$AT$500="Block"))+SUMPRODUCT(--ISNUMBER(SEARCH(", "&amp;$B30&amp;", ",", "&amp;'Trang chủ'!$B$7:$B$500&amp;", ")),--('Trang chủ'!$AT$7:$AT$500="Block"))+SUMPRODUCT(--ISNUMBER(SEARCH(", "&amp;$B30&amp;", ",", "&amp;'Thông báo'!$B$7:$B$500&amp;", ")),--('Thông báo'!$AT$7:$AT$500="Block"))+SUMPRODUCT(--ISNUMBER(SEARCH(", "&amp;$B30&amp;", ",", "&amp;'Đăng tin &amp; Quản lý tin'!$B$7:$B$500&amp;", ")),--('Đăng tin &amp; Quản lý tin'!$AT$7:$AT$500="Block"))+SUMPRODUCT(--ISNUMBER(SEARCH(", "&amp;$B30&amp;", ",", "&amp;'Trust &amp; Safety'!$B$7:$B$500&amp;", ")),--('Trust &amp; Safety'!$AT$7:$AT$500="Block"))+SUMPRODUCT(--ISNUMBER(SEARCH(", "&amp;$B30&amp;", ",", "&amp;'Tài khoản &amp; Hồ sơ'!$B$7:$B$500&amp;", ")),--('Tài khoản &amp; Hồ sơ'!$AT$7:$AT$500="Block"))</f>
        <v>0</v>
      </c>
      <c r="J30" s="51" t="n">
        <f aca="false">SUMPRODUCT(--ISNUMBER(SEARCH(", "&amp;$B30&amp;", ",", "&amp;'Hoạt động (Đơn của tôi)'!$B$7:$B$500&amp;", ")),--('Hoạt động (Đơn của tôi)'!$AT$7:$AT$500="N/A"))+SUMPRODUCT(--ISNUMBER(SEARCH(", "&amp;$B30&amp;", ",", "&amp;'Ghép nối'!$B$7:$B$500&amp;", ")),--('Ghép nối'!$AT$7:$AT$500="N/A"))+SUMPRODUCT(--ISNUMBER(SEARCH(", "&amp;$B30&amp;", ",", "&amp;'Huỷ đơn - Huỷ nhận đơn'!$B$7:$B$500&amp;", ")),--('Huỷ đơn - Huỷ nhận đơn'!$AT$7:$AT$500="N/A"))+SUMPRODUCT(--ISNUMBER(SEARCH(", "&amp;$B30&amp;", ",", "&amp;'Giao nhận &amp; Theo dõi đơn'!$B$7:$B$500&amp;", ")),--('Giao nhận &amp; Theo dõi đơn'!$AT$7:$AT$500="N/A"))+SUMPRODUCT(--ISNUMBER(SEARCH(", "&amp;$B30&amp;", ",", "&amp;'Bảng tin &amp; Chi tiết tin'!$B$7:$B$500&amp;", ")),--('Bảng tin &amp; Chi tiết tin'!$AT$7:$AT$500="N/A"))+SUMPRODUCT(--ISNUMBER(SEARCH(", "&amp;$B30&amp;", ",", "&amp;'Quà cảm ơn'!$B$7:$B$500&amp;", ")),--('Quà cảm ơn'!$AT$7:$AT$500="N/A"))+SUMPRODUCT(--ISNUMBER(SEARCH(", "&amp;$B30&amp;", ",", "&amp;'Trang chủ'!$B$7:$B$500&amp;", ")),--('Trang chủ'!$AT$7:$AT$500="N/A"))+SUMPRODUCT(--ISNUMBER(SEARCH(", "&amp;$B30&amp;", ",", "&amp;'Thông báo'!$B$7:$B$500&amp;", ")),--('Thông báo'!$AT$7:$AT$500="N/A"))+SUMPRODUCT(--ISNUMBER(SEARCH(", "&amp;$B30&amp;", ",", "&amp;'Đăng tin &amp; Quản lý tin'!$B$7:$B$500&amp;", ")),--('Đăng tin &amp; Quản lý tin'!$AT$7:$AT$500="N/A"))+SUMPRODUCT(--ISNUMBER(SEARCH(", "&amp;$B30&amp;", ",", "&amp;'Trust &amp; Safety'!$B$7:$B$500&amp;", ")),--('Trust &amp; Safety'!$AT$7:$AT$500="N/A"))+SUMPRODUCT(--ISNUMBER(SEARCH(", "&amp;$B30&amp;", ",", "&amp;'Tài khoản &amp; Hồ sơ'!$B$7:$B$500&amp;", ")),--('Tài khoản &amp; Hồ sơ'!$AT$7:$AT$500="N/A"))</f>
        <v>0</v>
      </c>
      <c r="K30" s="52" t="n">
        <f aca="false">IFERROR(F30/E30,0)</f>
        <v>0.166666666666667</v>
      </c>
      <c r="L30" s="124" t="str">
        <f aca="false">IF(E30=0,"Chưa có TC (gap)",IF(H30&gt;0,"Có lỗi (Fail)",IF(I30&gt;0,"Bị block",IF(F30&lt;E30,"Đang test",IF(G30=0,"Không áp dụng (N/A)","Đã test xong")))))</f>
        <v>Đang test</v>
      </c>
      <c r="AB30" s="0" t="s">
        <v>511</v>
      </c>
    </row>
    <row r="31" customFormat="false" ht="15.75" hidden="false" customHeight="true" outlineLevel="0" collapsed="false">
      <c r="A31" s="1"/>
      <c r="B31" s="176" t="s">
        <v>582</v>
      </c>
      <c r="C31" s="177" t="s">
        <v>583</v>
      </c>
      <c r="D31" s="124" t="s">
        <v>584</v>
      </c>
      <c r="E31" s="51" t="n">
        <f aca="false">SUMPRODUCT(--ISNUMBER(SEARCH(", "&amp;$B31&amp;", ",", "&amp;'Hoạt động (Đơn của tôi)'!$B$7:$B$500&amp;", ")))+SUMPRODUCT(--ISNUMBER(SEARCH(", "&amp;$B31&amp;", ",", "&amp;'Ghép nối'!$B$7:$B$500&amp;", ")))+SUMPRODUCT(--ISNUMBER(SEARCH(", "&amp;$B31&amp;", ",", "&amp;'Huỷ đơn - Huỷ nhận đơn'!$B$7:$B$500&amp;", ")))+SUMPRODUCT(--ISNUMBER(SEARCH(", "&amp;$B31&amp;", ",", "&amp;'Giao nhận &amp; Theo dõi đơn'!$B$7:$B$500&amp;", ")))+SUMPRODUCT(--ISNUMBER(SEARCH(", "&amp;$B31&amp;", ",", "&amp;'Bảng tin &amp; Chi tiết tin'!$B$7:$B$500&amp;", ")))+SUMPRODUCT(--ISNUMBER(SEARCH(", "&amp;$B31&amp;", ",", "&amp;'Quà cảm ơn'!$B$7:$B$500&amp;", ")))+SUMPRODUCT(--ISNUMBER(SEARCH(", "&amp;$B31&amp;", ",", "&amp;'Trang chủ'!$B$7:$B$500&amp;", ")))+SUMPRODUCT(--ISNUMBER(SEARCH(", "&amp;$B31&amp;", ",", "&amp;'Thông báo'!$B$7:$B$500&amp;", ")))+SUMPRODUCT(--ISNUMBER(SEARCH(", "&amp;$B31&amp;", ",", "&amp;'Đăng tin &amp; Quản lý tin'!$B$7:$B$500&amp;", ")))+SUMPRODUCT(--ISNUMBER(SEARCH(", "&amp;$B31&amp;", ",", "&amp;'Trust &amp; Safety'!$B$7:$B$500&amp;", ")))+SUMPRODUCT(--ISNUMBER(SEARCH(", "&amp;$B31&amp;", ",", "&amp;'Tài khoản &amp; Hồ sơ'!$B$7:$B$500&amp;", ")))</f>
        <v>3</v>
      </c>
      <c r="F31" s="51" t="n">
        <f aca="false">SUMPRODUCT(--ISNUMBER(SEARCH(", "&amp;$B31&amp;", ",", "&amp;'Hoạt động (Đơn của tôi)'!$B$7:$B$500&amp;", ")),--('Hoạt động (Đơn của tôi)'!$AT$7:$AT$500&lt;&gt;""))+SUMPRODUCT(--ISNUMBER(SEARCH(", "&amp;$B31&amp;", ",", "&amp;'Ghép nối'!$B$7:$B$500&amp;", ")),--('Ghép nối'!$AT$7:$AT$500&lt;&gt;""))+SUMPRODUCT(--ISNUMBER(SEARCH(", "&amp;$B31&amp;", ",", "&amp;'Huỷ đơn - Huỷ nhận đơn'!$B$7:$B$500&amp;", ")),--('Huỷ đơn - Huỷ nhận đơn'!$AT$7:$AT$500&lt;&gt;""))+SUMPRODUCT(--ISNUMBER(SEARCH(", "&amp;$B31&amp;", ",", "&amp;'Giao nhận &amp; Theo dõi đơn'!$B$7:$B$500&amp;", ")),--('Giao nhận &amp; Theo dõi đơn'!$AT$7:$AT$500&lt;&gt;""))+SUMPRODUCT(--ISNUMBER(SEARCH(", "&amp;$B31&amp;", ",", "&amp;'Bảng tin &amp; Chi tiết tin'!$B$7:$B$500&amp;", ")),--('Bảng tin &amp; Chi tiết tin'!$AT$7:$AT$500&lt;&gt;""))+SUMPRODUCT(--ISNUMBER(SEARCH(", "&amp;$B31&amp;", ",", "&amp;'Quà cảm ơn'!$B$7:$B$500&amp;", ")),--('Quà cảm ơn'!$AT$7:$AT$500&lt;&gt;""))+SUMPRODUCT(--ISNUMBER(SEARCH(", "&amp;$B31&amp;", ",", "&amp;'Trang chủ'!$B$7:$B$500&amp;", ")),--('Trang chủ'!$AT$7:$AT$500&lt;&gt;""))+SUMPRODUCT(--ISNUMBER(SEARCH(", "&amp;$B31&amp;", ",", "&amp;'Thông báo'!$B$7:$B$500&amp;", ")),--('Thông báo'!$AT$7:$AT$500&lt;&gt;""))+SUMPRODUCT(--ISNUMBER(SEARCH(", "&amp;$B31&amp;", ",", "&amp;'Đăng tin &amp; Quản lý tin'!$B$7:$B$500&amp;", ")),--('Đăng tin &amp; Quản lý tin'!$AT$7:$AT$500&lt;&gt;""))+SUMPRODUCT(--ISNUMBER(SEARCH(", "&amp;$B31&amp;", ",", "&amp;'Trust &amp; Safety'!$B$7:$B$500&amp;", ")),--('Trust &amp; Safety'!$AT$7:$AT$500&lt;&gt;""))+SUMPRODUCT(--ISNUMBER(SEARCH(", "&amp;$B31&amp;", ",", "&amp;'Tài khoản &amp; Hồ sơ'!$B$7:$B$500&amp;", ")),--('Tài khoản &amp; Hồ sơ'!$AT$7:$AT$500&lt;&gt;""))</f>
        <v>3</v>
      </c>
      <c r="G31" s="51" t="n">
        <f aca="false">SUMPRODUCT(--ISNUMBER(SEARCH(", "&amp;$B31&amp;", ",", "&amp;'Hoạt động (Đơn của tôi)'!$B$7:$B$500&amp;", ")),--('Hoạt động (Đơn của tôi)'!$AT$7:$AT$500="Pass"))+SUMPRODUCT(--ISNUMBER(SEARCH(", "&amp;$B31&amp;", ",", "&amp;'Ghép nối'!$B$7:$B$500&amp;", ")),--('Ghép nối'!$AT$7:$AT$500="Pass"))+SUMPRODUCT(--ISNUMBER(SEARCH(", "&amp;$B31&amp;", ",", "&amp;'Huỷ đơn - Huỷ nhận đơn'!$B$7:$B$500&amp;", ")),--('Huỷ đơn - Huỷ nhận đơn'!$AT$7:$AT$500="Pass"))+SUMPRODUCT(--ISNUMBER(SEARCH(", "&amp;$B31&amp;", ",", "&amp;'Giao nhận &amp; Theo dõi đơn'!$B$7:$B$500&amp;", ")),--('Giao nhận &amp; Theo dõi đơn'!$AT$7:$AT$500="Pass"))+SUMPRODUCT(--ISNUMBER(SEARCH(", "&amp;$B31&amp;", ",", "&amp;'Bảng tin &amp; Chi tiết tin'!$B$7:$B$500&amp;", ")),--('Bảng tin &amp; Chi tiết tin'!$AT$7:$AT$500="Pass"))+SUMPRODUCT(--ISNUMBER(SEARCH(", "&amp;$B31&amp;", ",", "&amp;'Quà cảm ơn'!$B$7:$B$500&amp;", ")),--('Quà cảm ơn'!$AT$7:$AT$500="Pass"))+SUMPRODUCT(--ISNUMBER(SEARCH(", "&amp;$B31&amp;", ",", "&amp;'Trang chủ'!$B$7:$B$500&amp;", ")),--('Trang chủ'!$AT$7:$AT$500="Pass"))+SUMPRODUCT(--ISNUMBER(SEARCH(", "&amp;$B31&amp;", ",", "&amp;'Thông báo'!$B$7:$B$500&amp;", ")),--('Thông báo'!$AT$7:$AT$500="Pass"))+SUMPRODUCT(--ISNUMBER(SEARCH(", "&amp;$B31&amp;", ",", "&amp;'Đăng tin &amp; Quản lý tin'!$B$7:$B$500&amp;", ")),--('Đăng tin &amp; Quản lý tin'!$AT$7:$AT$500="Pass"))+SUMPRODUCT(--ISNUMBER(SEARCH(", "&amp;$B31&amp;", ",", "&amp;'Trust &amp; Safety'!$B$7:$B$500&amp;", ")),--('Trust &amp; Safety'!$AT$7:$AT$500="Pass"))+SUMPRODUCT(--ISNUMBER(SEARCH(", "&amp;$B31&amp;", ",", "&amp;'Tài khoản &amp; Hồ sơ'!$B$7:$B$500&amp;", ")),--('Tài khoản &amp; Hồ sơ'!$AT$7:$AT$500="Pass"))</f>
        <v>0</v>
      </c>
      <c r="H31" s="51" t="n">
        <f aca="false">SUMPRODUCT(--ISNUMBER(SEARCH(", "&amp;$B31&amp;", ",", "&amp;'Hoạt động (Đơn của tôi)'!$B$7:$B$500&amp;", ")),--('Hoạt động (Đơn của tôi)'!$AT$7:$AT$500="Fail"))+SUMPRODUCT(--ISNUMBER(SEARCH(", "&amp;$B31&amp;", ",", "&amp;'Ghép nối'!$B$7:$B$500&amp;", ")),--('Ghép nối'!$AT$7:$AT$500="Fail"))+SUMPRODUCT(--ISNUMBER(SEARCH(", "&amp;$B31&amp;", ",", "&amp;'Huỷ đơn - Huỷ nhận đơn'!$B$7:$B$500&amp;", ")),--('Huỷ đơn - Huỷ nhận đơn'!$AT$7:$AT$500="Fail"))+SUMPRODUCT(--ISNUMBER(SEARCH(", "&amp;$B31&amp;", ",", "&amp;'Giao nhận &amp; Theo dõi đơn'!$B$7:$B$500&amp;", ")),--('Giao nhận &amp; Theo dõi đơn'!$AT$7:$AT$500="Fail"))+SUMPRODUCT(--ISNUMBER(SEARCH(", "&amp;$B31&amp;", ",", "&amp;'Bảng tin &amp; Chi tiết tin'!$B$7:$B$500&amp;", ")),--('Bảng tin &amp; Chi tiết tin'!$AT$7:$AT$500="Fail"))+SUMPRODUCT(--ISNUMBER(SEARCH(", "&amp;$B31&amp;", ",", "&amp;'Quà cảm ơn'!$B$7:$B$500&amp;", ")),--('Quà cảm ơn'!$AT$7:$AT$500="Fail"))+SUMPRODUCT(--ISNUMBER(SEARCH(", "&amp;$B31&amp;", ",", "&amp;'Trang chủ'!$B$7:$B$500&amp;", ")),--('Trang chủ'!$AT$7:$AT$500="Fail"))+SUMPRODUCT(--ISNUMBER(SEARCH(", "&amp;$B31&amp;", ",", "&amp;'Thông báo'!$B$7:$B$500&amp;", ")),--('Thông báo'!$AT$7:$AT$500="Fail"))+SUMPRODUCT(--ISNUMBER(SEARCH(", "&amp;$B31&amp;", ",", "&amp;'Đăng tin &amp; Quản lý tin'!$B$7:$B$500&amp;", ")),--('Đăng tin &amp; Quản lý tin'!$AT$7:$AT$500="Fail"))+SUMPRODUCT(--ISNUMBER(SEARCH(", "&amp;$B31&amp;", ",", "&amp;'Trust &amp; Safety'!$B$7:$B$500&amp;", ")),--('Trust &amp; Safety'!$AT$7:$AT$500="Fail"))+SUMPRODUCT(--ISNUMBER(SEARCH(", "&amp;$B31&amp;", ",", "&amp;'Tài khoản &amp; Hồ sơ'!$B$7:$B$500&amp;", ")),--('Tài khoản &amp; Hồ sơ'!$AT$7:$AT$500="Fail"))</f>
        <v>0</v>
      </c>
      <c r="I31" s="51" t="n">
        <f aca="false">SUMPRODUCT(--ISNUMBER(SEARCH(", "&amp;$B31&amp;", ",", "&amp;'Hoạt động (Đơn của tôi)'!$B$7:$B$500&amp;", ")),--('Hoạt động (Đơn của tôi)'!$AT$7:$AT$500="Block"))+SUMPRODUCT(--ISNUMBER(SEARCH(", "&amp;$B31&amp;", ",", "&amp;'Ghép nối'!$B$7:$B$500&amp;", ")),--('Ghép nối'!$AT$7:$AT$500="Block"))+SUMPRODUCT(--ISNUMBER(SEARCH(", "&amp;$B31&amp;", ",", "&amp;'Huỷ đơn - Huỷ nhận đơn'!$B$7:$B$500&amp;", ")),--('Huỷ đơn - Huỷ nhận đơn'!$AT$7:$AT$500="Block"))+SUMPRODUCT(--ISNUMBER(SEARCH(", "&amp;$B31&amp;", ",", "&amp;'Giao nhận &amp; Theo dõi đơn'!$B$7:$B$500&amp;", ")),--('Giao nhận &amp; Theo dõi đơn'!$AT$7:$AT$500="Block"))+SUMPRODUCT(--ISNUMBER(SEARCH(", "&amp;$B31&amp;", ",", "&amp;'Bảng tin &amp; Chi tiết tin'!$B$7:$B$500&amp;", ")),--('Bảng tin &amp; Chi tiết tin'!$AT$7:$AT$500="Block"))+SUMPRODUCT(--ISNUMBER(SEARCH(", "&amp;$B31&amp;", ",", "&amp;'Quà cảm ơn'!$B$7:$B$500&amp;", ")),--('Quà cảm ơn'!$AT$7:$AT$500="Block"))+SUMPRODUCT(--ISNUMBER(SEARCH(", "&amp;$B31&amp;", ",", "&amp;'Trang chủ'!$B$7:$B$500&amp;", ")),--('Trang chủ'!$AT$7:$AT$500="Block"))+SUMPRODUCT(--ISNUMBER(SEARCH(", "&amp;$B31&amp;", ",", "&amp;'Thông báo'!$B$7:$B$500&amp;", ")),--('Thông báo'!$AT$7:$AT$500="Block"))+SUMPRODUCT(--ISNUMBER(SEARCH(", "&amp;$B31&amp;", ",", "&amp;'Đăng tin &amp; Quản lý tin'!$B$7:$B$500&amp;", ")),--('Đăng tin &amp; Quản lý tin'!$AT$7:$AT$500="Block"))+SUMPRODUCT(--ISNUMBER(SEARCH(", "&amp;$B31&amp;", ",", "&amp;'Trust &amp; Safety'!$B$7:$B$500&amp;", ")),--('Trust &amp; Safety'!$AT$7:$AT$500="Block"))+SUMPRODUCT(--ISNUMBER(SEARCH(", "&amp;$B31&amp;", ",", "&amp;'Tài khoản &amp; Hồ sơ'!$B$7:$B$500&amp;", ")),--('Tài khoản &amp; Hồ sơ'!$AT$7:$AT$500="Block"))</f>
        <v>0</v>
      </c>
      <c r="J31" s="51" t="n">
        <f aca="false">SUMPRODUCT(--ISNUMBER(SEARCH(", "&amp;$B31&amp;", ",", "&amp;'Hoạt động (Đơn của tôi)'!$B$7:$B$500&amp;", ")),--('Hoạt động (Đơn của tôi)'!$AT$7:$AT$500="N/A"))+SUMPRODUCT(--ISNUMBER(SEARCH(", "&amp;$B31&amp;", ",", "&amp;'Ghép nối'!$B$7:$B$500&amp;", ")),--('Ghép nối'!$AT$7:$AT$500="N/A"))+SUMPRODUCT(--ISNUMBER(SEARCH(", "&amp;$B31&amp;", ",", "&amp;'Huỷ đơn - Huỷ nhận đơn'!$B$7:$B$500&amp;", ")),--('Huỷ đơn - Huỷ nhận đơn'!$AT$7:$AT$500="N/A"))+SUMPRODUCT(--ISNUMBER(SEARCH(", "&amp;$B31&amp;", ",", "&amp;'Giao nhận &amp; Theo dõi đơn'!$B$7:$B$500&amp;", ")),--('Giao nhận &amp; Theo dõi đơn'!$AT$7:$AT$500="N/A"))+SUMPRODUCT(--ISNUMBER(SEARCH(", "&amp;$B31&amp;", ",", "&amp;'Bảng tin &amp; Chi tiết tin'!$B$7:$B$500&amp;", ")),--('Bảng tin &amp; Chi tiết tin'!$AT$7:$AT$500="N/A"))+SUMPRODUCT(--ISNUMBER(SEARCH(", "&amp;$B31&amp;", ",", "&amp;'Quà cảm ơn'!$B$7:$B$500&amp;", ")),--('Quà cảm ơn'!$AT$7:$AT$500="N/A"))+SUMPRODUCT(--ISNUMBER(SEARCH(", "&amp;$B31&amp;", ",", "&amp;'Trang chủ'!$B$7:$B$500&amp;", ")),--('Trang chủ'!$AT$7:$AT$500="N/A"))+SUMPRODUCT(--ISNUMBER(SEARCH(", "&amp;$B31&amp;", ",", "&amp;'Thông báo'!$B$7:$B$500&amp;", ")),--('Thông báo'!$AT$7:$AT$500="N/A"))+SUMPRODUCT(--ISNUMBER(SEARCH(", "&amp;$B31&amp;", ",", "&amp;'Đăng tin &amp; Quản lý tin'!$B$7:$B$500&amp;", ")),--('Đăng tin &amp; Quản lý tin'!$AT$7:$AT$500="N/A"))+SUMPRODUCT(--ISNUMBER(SEARCH(", "&amp;$B31&amp;", ",", "&amp;'Trust &amp; Safety'!$B$7:$B$500&amp;", ")),--('Trust &amp; Safety'!$AT$7:$AT$500="N/A"))+SUMPRODUCT(--ISNUMBER(SEARCH(", "&amp;$B31&amp;", ",", "&amp;'Tài khoản &amp; Hồ sơ'!$B$7:$B$500&amp;", ")),--('Tài khoản &amp; Hồ sơ'!$AT$7:$AT$500="N/A"))</f>
        <v>3</v>
      </c>
      <c r="K31" s="52" t="n">
        <f aca="false">IFERROR(F31/E31,0)</f>
        <v>1</v>
      </c>
      <c r="L31" s="124" t="str">
        <f aca="false">IF(E31=0,"Chưa có TC (gap)",IF(H31&gt;0,"Có lỗi (Fail)",IF(I31&gt;0,"Bị block",IF(F31&lt;E31,"Đang test",IF(G31=0,"Không áp dụng (N/A)","Đã test xong")))))</f>
        <v>Không áp dụng (N/A)</v>
      </c>
      <c r="AB31" s="0" t="s">
        <v>511</v>
      </c>
    </row>
    <row r="32" customFormat="false" ht="15.75" hidden="false" customHeight="true" outlineLevel="0" collapsed="false">
      <c r="A32" s="1"/>
      <c r="B32" s="176" t="s">
        <v>585</v>
      </c>
      <c r="C32" s="177" t="s">
        <v>586</v>
      </c>
      <c r="D32" s="124" t="s">
        <v>587</v>
      </c>
      <c r="E32" s="51" t="n">
        <f aca="false">SUMPRODUCT(--ISNUMBER(SEARCH(", "&amp;$B32&amp;", ",", "&amp;'Hoạt động (Đơn của tôi)'!$B$7:$B$500&amp;", ")))+SUMPRODUCT(--ISNUMBER(SEARCH(", "&amp;$B32&amp;", ",", "&amp;'Ghép nối'!$B$7:$B$500&amp;", ")))+SUMPRODUCT(--ISNUMBER(SEARCH(", "&amp;$B32&amp;", ",", "&amp;'Huỷ đơn - Huỷ nhận đơn'!$B$7:$B$500&amp;", ")))+SUMPRODUCT(--ISNUMBER(SEARCH(", "&amp;$B32&amp;", ",", "&amp;'Giao nhận &amp; Theo dõi đơn'!$B$7:$B$500&amp;", ")))+SUMPRODUCT(--ISNUMBER(SEARCH(", "&amp;$B32&amp;", ",", "&amp;'Bảng tin &amp; Chi tiết tin'!$B$7:$B$500&amp;", ")))+SUMPRODUCT(--ISNUMBER(SEARCH(", "&amp;$B32&amp;", ",", "&amp;'Quà cảm ơn'!$B$7:$B$500&amp;", ")))+SUMPRODUCT(--ISNUMBER(SEARCH(", "&amp;$B32&amp;", ",", "&amp;'Trang chủ'!$B$7:$B$500&amp;", ")))+SUMPRODUCT(--ISNUMBER(SEARCH(", "&amp;$B32&amp;", ",", "&amp;'Thông báo'!$B$7:$B$500&amp;", ")))+SUMPRODUCT(--ISNUMBER(SEARCH(", "&amp;$B32&amp;", ",", "&amp;'Đăng tin &amp; Quản lý tin'!$B$7:$B$500&amp;", ")))+SUMPRODUCT(--ISNUMBER(SEARCH(", "&amp;$B32&amp;", ",", "&amp;'Trust &amp; Safety'!$B$7:$B$500&amp;", ")))+SUMPRODUCT(--ISNUMBER(SEARCH(", "&amp;$B32&amp;", ",", "&amp;'Tài khoản &amp; Hồ sơ'!$B$7:$B$500&amp;", ")))</f>
        <v>3</v>
      </c>
      <c r="F32" s="51" t="n">
        <f aca="false">SUMPRODUCT(--ISNUMBER(SEARCH(", "&amp;$B32&amp;", ",", "&amp;'Hoạt động (Đơn của tôi)'!$B$7:$B$500&amp;", ")),--('Hoạt động (Đơn của tôi)'!$AT$7:$AT$500&lt;&gt;""))+SUMPRODUCT(--ISNUMBER(SEARCH(", "&amp;$B32&amp;", ",", "&amp;'Ghép nối'!$B$7:$B$500&amp;", ")),--('Ghép nối'!$AT$7:$AT$500&lt;&gt;""))+SUMPRODUCT(--ISNUMBER(SEARCH(", "&amp;$B32&amp;", ",", "&amp;'Huỷ đơn - Huỷ nhận đơn'!$B$7:$B$500&amp;", ")),--('Huỷ đơn - Huỷ nhận đơn'!$AT$7:$AT$500&lt;&gt;""))+SUMPRODUCT(--ISNUMBER(SEARCH(", "&amp;$B32&amp;", ",", "&amp;'Giao nhận &amp; Theo dõi đơn'!$B$7:$B$500&amp;", ")),--('Giao nhận &amp; Theo dõi đơn'!$AT$7:$AT$500&lt;&gt;""))+SUMPRODUCT(--ISNUMBER(SEARCH(", "&amp;$B32&amp;", ",", "&amp;'Bảng tin &amp; Chi tiết tin'!$B$7:$B$500&amp;", ")),--('Bảng tin &amp; Chi tiết tin'!$AT$7:$AT$500&lt;&gt;""))+SUMPRODUCT(--ISNUMBER(SEARCH(", "&amp;$B32&amp;", ",", "&amp;'Quà cảm ơn'!$B$7:$B$500&amp;", ")),--('Quà cảm ơn'!$AT$7:$AT$500&lt;&gt;""))+SUMPRODUCT(--ISNUMBER(SEARCH(", "&amp;$B32&amp;", ",", "&amp;'Trang chủ'!$B$7:$B$500&amp;", ")),--('Trang chủ'!$AT$7:$AT$500&lt;&gt;""))+SUMPRODUCT(--ISNUMBER(SEARCH(", "&amp;$B32&amp;", ",", "&amp;'Thông báo'!$B$7:$B$500&amp;", ")),--('Thông báo'!$AT$7:$AT$500&lt;&gt;""))+SUMPRODUCT(--ISNUMBER(SEARCH(", "&amp;$B32&amp;", ",", "&amp;'Đăng tin &amp; Quản lý tin'!$B$7:$B$500&amp;", ")),--('Đăng tin &amp; Quản lý tin'!$AT$7:$AT$500&lt;&gt;""))+SUMPRODUCT(--ISNUMBER(SEARCH(", "&amp;$B32&amp;", ",", "&amp;'Trust &amp; Safety'!$B$7:$B$500&amp;", ")),--('Trust &amp; Safety'!$AT$7:$AT$500&lt;&gt;""))+SUMPRODUCT(--ISNUMBER(SEARCH(", "&amp;$B32&amp;", ",", "&amp;'Tài khoản &amp; Hồ sơ'!$B$7:$B$500&amp;", ")),--('Tài khoản &amp; Hồ sơ'!$AT$7:$AT$500&lt;&gt;""))</f>
        <v>1</v>
      </c>
      <c r="G32" s="51" t="n">
        <f aca="false">SUMPRODUCT(--ISNUMBER(SEARCH(", "&amp;$B32&amp;", ",", "&amp;'Hoạt động (Đơn của tôi)'!$B$7:$B$500&amp;", ")),--('Hoạt động (Đơn của tôi)'!$AT$7:$AT$500="Pass"))+SUMPRODUCT(--ISNUMBER(SEARCH(", "&amp;$B32&amp;", ",", "&amp;'Ghép nối'!$B$7:$B$500&amp;", ")),--('Ghép nối'!$AT$7:$AT$500="Pass"))+SUMPRODUCT(--ISNUMBER(SEARCH(", "&amp;$B32&amp;", ",", "&amp;'Huỷ đơn - Huỷ nhận đơn'!$B$7:$B$500&amp;", ")),--('Huỷ đơn - Huỷ nhận đơn'!$AT$7:$AT$500="Pass"))+SUMPRODUCT(--ISNUMBER(SEARCH(", "&amp;$B32&amp;", ",", "&amp;'Giao nhận &amp; Theo dõi đơn'!$B$7:$B$500&amp;", ")),--('Giao nhận &amp; Theo dõi đơn'!$AT$7:$AT$500="Pass"))+SUMPRODUCT(--ISNUMBER(SEARCH(", "&amp;$B32&amp;", ",", "&amp;'Bảng tin &amp; Chi tiết tin'!$B$7:$B$500&amp;", ")),--('Bảng tin &amp; Chi tiết tin'!$AT$7:$AT$500="Pass"))+SUMPRODUCT(--ISNUMBER(SEARCH(", "&amp;$B32&amp;", ",", "&amp;'Quà cảm ơn'!$B$7:$B$500&amp;", ")),--('Quà cảm ơn'!$AT$7:$AT$500="Pass"))+SUMPRODUCT(--ISNUMBER(SEARCH(", "&amp;$B32&amp;", ",", "&amp;'Trang chủ'!$B$7:$B$500&amp;", ")),--('Trang chủ'!$AT$7:$AT$500="Pass"))+SUMPRODUCT(--ISNUMBER(SEARCH(", "&amp;$B32&amp;", ",", "&amp;'Thông báo'!$B$7:$B$500&amp;", ")),--('Thông báo'!$AT$7:$AT$500="Pass"))+SUMPRODUCT(--ISNUMBER(SEARCH(", "&amp;$B32&amp;", ",", "&amp;'Đăng tin &amp; Quản lý tin'!$B$7:$B$500&amp;", ")),--('Đăng tin &amp; Quản lý tin'!$AT$7:$AT$500="Pass"))+SUMPRODUCT(--ISNUMBER(SEARCH(", "&amp;$B32&amp;", ",", "&amp;'Trust &amp; Safety'!$B$7:$B$500&amp;", ")),--('Trust &amp; Safety'!$AT$7:$AT$500="Pass"))+SUMPRODUCT(--ISNUMBER(SEARCH(", "&amp;$B32&amp;", ",", "&amp;'Tài khoản &amp; Hồ sơ'!$B$7:$B$500&amp;", ")),--('Tài khoản &amp; Hồ sơ'!$AT$7:$AT$500="Pass"))</f>
        <v>0</v>
      </c>
      <c r="H32" s="51" t="n">
        <f aca="false">SUMPRODUCT(--ISNUMBER(SEARCH(", "&amp;$B32&amp;", ",", "&amp;'Hoạt động (Đơn của tôi)'!$B$7:$B$500&amp;", ")),--('Hoạt động (Đơn của tôi)'!$AT$7:$AT$500="Fail"))+SUMPRODUCT(--ISNUMBER(SEARCH(", "&amp;$B32&amp;", ",", "&amp;'Ghép nối'!$B$7:$B$500&amp;", ")),--('Ghép nối'!$AT$7:$AT$500="Fail"))+SUMPRODUCT(--ISNUMBER(SEARCH(", "&amp;$B32&amp;", ",", "&amp;'Huỷ đơn - Huỷ nhận đơn'!$B$7:$B$500&amp;", ")),--('Huỷ đơn - Huỷ nhận đơn'!$AT$7:$AT$500="Fail"))+SUMPRODUCT(--ISNUMBER(SEARCH(", "&amp;$B32&amp;", ",", "&amp;'Giao nhận &amp; Theo dõi đơn'!$B$7:$B$500&amp;", ")),--('Giao nhận &amp; Theo dõi đơn'!$AT$7:$AT$500="Fail"))+SUMPRODUCT(--ISNUMBER(SEARCH(", "&amp;$B32&amp;", ",", "&amp;'Bảng tin &amp; Chi tiết tin'!$B$7:$B$500&amp;", ")),--('Bảng tin &amp; Chi tiết tin'!$AT$7:$AT$500="Fail"))+SUMPRODUCT(--ISNUMBER(SEARCH(", "&amp;$B32&amp;", ",", "&amp;'Quà cảm ơn'!$B$7:$B$500&amp;", ")),--('Quà cảm ơn'!$AT$7:$AT$500="Fail"))+SUMPRODUCT(--ISNUMBER(SEARCH(", "&amp;$B32&amp;", ",", "&amp;'Trang chủ'!$B$7:$B$500&amp;", ")),--('Trang chủ'!$AT$7:$AT$500="Fail"))+SUMPRODUCT(--ISNUMBER(SEARCH(", "&amp;$B32&amp;", ",", "&amp;'Thông báo'!$B$7:$B$500&amp;", ")),--('Thông báo'!$AT$7:$AT$500="Fail"))+SUMPRODUCT(--ISNUMBER(SEARCH(", "&amp;$B32&amp;", ",", "&amp;'Đăng tin &amp; Quản lý tin'!$B$7:$B$500&amp;", ")),--('Đăng tin &amp; Quản lý tin'!$AT$7:$AT$500="Fail"))+SUMPRODUCT(--ISNUMBER(SEARCH(", "&amp;$B32&amp;", ",", "&amp;'Trust &amp; Safety'!$B$7:$B$500&amp;", ")),--('Trust &amp; Safety'!$AT$7:$AT$500="Fail"))+SUMPRODUCT(--ISNUMBER(SEARCH(", "&amp;$B32&amp;", ",", "&amp;'Tài khoản &amp; Hồ sơ'!$B$7:$B$500&amp;", ")),--('Tài khoản &amp; Hồ sơ'!$AT$7:$AT$500="Fail"))</f>
        <v>0</v>
      </c>
      <c r="I32" s="51" t="n">
        <f aca="false">SUMPRODUCT(--ISNUMBER(SEARCH(", "&amp;$B32&amp;", ",", "&amp;'Hoạt động (Đơn của tôi)'!$B$7:$B$500&amp;", ")),--('Hoạt động (Đơn của tôi)'!$AT$7:$AT$500="Block"))+SUMPRODUCT(--ISNUMBER(SEARCH(", "&amp;$B32&amp;", ",", "&amp;'Ghép nối'!$B$7:$B$500&amp;", ")),--('Ghép nối'!$AT$7:$AT$500="Block"))+SUMPRODUCT(--ISNUMBER(SEARCH(", "&amp;$B32&amp;", ",", "&amp;'Huỷ đơn - Huỷ nhận đơn'!$B$7:$B$500&amp;", ")),--('Huỷ đơn - Huỷ nhận đơn'!$AT$7:$AT$500="Block"))+SUMPRODUCT(--ISNUMBER(SEARCH(", "&amp;$B32&amp;", ",", "&amp;'Giao nhận &amp; Theo dõi đơn'!$B$7:$B$500&amp;", ")),--('Giao nhận &amp; Theo dõi đơn'!$AT$7:$AT$500="Block"))+SUMPRODUCT(--ISNUMBER(SEARCH(", "&amp;$B32&amp;", ",", "&amp;'Bảng tin &amp; Chi tiết tin'!$B$7:$B$500&amp;", ")),--('Bảng tin &amp; Chi tiết tin'!$AT$7:$AT$500="Block"))+SUMPRODUCT(--ISNUMBER(SEARCH(", "&amp;$B32&amp;", ",", "&amp;'Quà cảm ơn'!$B$7:$B$500&amp;", ")),--('Quà cảm ơn'!$AT$7:$AT$500="Block"))+SUMPRODUCT(--ISNUMBER(SEARCH(", "&amp;$B32&amp;", ",", "&amp;'Trang chủ'!$B$7:$B$500&amp;", ")),--('Trang chủ'!$AT$7:$AT$500="Block"))+SUMPRODUCT(--ISNUMBER(SEARCH(", "&amp;$B32&amp;", ",", "&amp;'Thông báo'!$B$7:$B$500&amp;", ")),--('Thông báo'!$AT$7:$AT$500="Block"))+SUMPRODUCT(--ISNUMBER(SEARCH(", "&amp;$B32&amp;", ",", "&amp;'Đăng tin &amp; Quản lý tin'!$B$7:$B$500&amp;", ")),--('Đăng tin &amp; Quản lý tin'!$AT$7:$AT$500="Block"))+SUMPRODUCT(--ISNUMBER(SEARCH(", "&amp;$B32&amp;", ",", "&amp;'Trust &amp; Safety'!$B$7:$B$500&amp;", ")),--('Trust &amp; Safety'!$AT$7:$AT$500="Block"))+SUMPRODUCT(--ISNUMBER(SEARCH(", "&amp;$B32&amp;", ",", "&amp;'Tài khoản &amp; Hồ sơ'!$B$7:$B$500&amp;", ")),--('Tài khoản &amp; Hồ sơ'!$AT$7:$AT$500="Block"))</f>
        <v>0</v>
      </c>
      <c r="J32" s="51" t="n">
        <f aca="false">SUMPRODUCT(--ISNUMBER(SEARCH(", "&amp;$B32&amp;", ",", "&amp;'Hoạt động (Đơn của tôi)'!$B$7:$B$500&amp;", ")),--('Hoạt động (Đơn của tôi)'!$AT$7:$AT$500="N/A"))+SUMPRODUCT(--ISNUMBER(SEARCH(", "&amp;$B32&amp;", ",", "&amp;'Ghép nối'!$B$7:$B$500&amp;", ")),--('Ghép nối'!$AT$7:$AT$500="N/A"))+SUMPRODUCT(--ISNUMBER(SEARCH(", "&amp;$B32&amp;", ",", "&amp;'Huỷ đơn - Huỷ nhận đơn'!$B$7:$B$500&amp;", ")),--('Huỷ đơn - Huỷ nhận đơn'!$AT$7:$AT$500="N/A"))+SUMPRODUCT(--ISNUMBER(SEARCH(", "&amp;$B32&amp;", ",", "&amp;'Giao nhận &amp; Theo dõi đơn'!$B$7:$B$500&amp;", ")),--('Giao nhận &amp; Theo dõi đơn'!$AT$7:$AT$500="N/A"))+SUMPRODUCT(--ISNUMBER(SEARCH(", "&amp;$B32&amp;", ",", "&amp;'Bảng tin &amp; Chi tiết tin'!$B$7:$B$500&amp;", ")),--('Bảng tin &amp; Chi tiết tin'!$AT$7:$AT$500="N/A"))+SUMPRODUCT(--ISNUMBER(SEARCH(", "&amp;$B32&amp;", ",", "&amp;'Quà cảm ơn'!$B$7:$B$500&amp;", ")),--('Quà cảm ơn'!$AT$7:$AT$500="N/A"))+SUMPRODUCT(--ISNUMBER(SEARCH(", "&amp;$B32&amp;", ",", "&amp;'Trang chủ'!$B$7:$B$500&amp;", ")),--('Trang chủ'!$AT$7:$AT$500="N/A"))+SUMPRODUCT(--ISNUMBER(SEARCH(", "&amp;$B32&amp;", ",", "&amp;'Thông báo'!$B$7:$B$500&amp;", ")),--('Thông báo'!$AT$7:$AT$500="N/A"))+SUMPRODUCT(--ISNUMBER(SEARCH(", "&amp;$B32&amp;", ",", "&amp;'Đăng tin &amp; Quản lý tin'!$B$7:$B$500&amp;", ")),--('Đăng tin &amp; Quản lý tin'!$AT$7:$AT$500="N/A"))+SUMPRODUCT(--ISNUMBER(SEARCH(", "&amp;$B32&amp;", ",", "&amp;'Trust &amp; Safety'!$B$7:$B$500&amp;", ")),--('Trust &amp; Safety'!$AT$7:$AT$500="N/A"))+SUMPRODUCT(--ISNUMBER(SEARCH(", "&amp;$B32&amp;", ",", "&amp;'Tài khoản &amp; Hồ sơ'!$B$7:$B$500&amp;", ")),--('Tài khoản &amp; Hồ sơ'!$AT$7:$AT$500="N/A"))</f>
        <v>1</v>
      </c>
      <c r="K32" s="52" t="n">
        <f aca="false">IFERROR(F32/E32,0)</f>
        <v>0.333333333333333</v>
      </c>
      <c r="L32" s="124" t="str">
        <f aca="false">IF(E32=0,"Chưa có TC (gap)",IF(H32&gt;0,"Có lỗi (Fail)",IF(I32&gt;0,"Bị block",IF(F32&lt;E32,"Đang test",IF(G32=0,"Không áp dụng (N/A)","Đã test xong")))))</f>
        <v>Đang test</v>
      </c>
      <c r="AB32" s="0" t="s">
        <v>511</v>
      </c>
    </row>
    <row r="33" customFormat="false" ht="15.75" hidden="false" customHeight="true" outlineLevel="0" collapsed="false">
      <c r="A33" s="1"/>
      <c r="B33" s="176" t="s">
        <v>588</v>
      </c>
      <c r="C33" s="177" t="s">
        <v>589</v>
      </c>
      <c r="D33" s="124" t="s">
        <v>590</v>
      </c>
      <c r="E33" s="51" t="n">
        <f aca="false">SUMPRODUCT(--ISNUMBER(SEARCH(", "&amp;$B33&amp;", ",", "&amp;'Hoạt động (Đơn của tôi)'!$B$7:$B$500&amp;", ")))+SUMPRODUCT(--ISNUMBER(SEARCH(", "&amp;$B33&amp;", ",", "&amp;'Ghép nối'!$B$7:$B$500&amp;", ")))+SUMPRODUCT(--ISNUMBER(SEARCH(", "&amp;$B33&amp;", ",", "&amp;'Huỷ đơn - Huỷ nhận đơn'!$B$7:$B$500&amp;", ")))+SUMPRODUCT(--ISNUMBER(SEARCH(", "&amp;$B33&amp;", ",", "&amp;'Giao nhận &amp; Theo dõi đơn'!$B$7:$B$500&amp;", ")))+SUMPRODUCT(--ISNUMBER(SEARCH(", "&amp;$B33&amp;", ",", "&amp;'Bảng tin &amp; Chi tiết tin'!$B$7:$B$500&amp;", ")))+SUMPRODUCT(--ISNUMBER(SEARCH(", "&amp;$B33&amp;", ",", "&amp;'Quà cảm ơn'!$B$7:$B$500&amp;", ")))+SUMPRODUCT(--ISNUMBER(SEARCH(", "&amp;$B33&amp;", ",", "&amp;'Trang chủ'!$B$7:$B$500&amp;", ")))+SUMPRODUCT(--ISNUMBER(SEARCH(", "&amp;$B33&amp;", ",", "&amp;'Thông báo'!$B$7:$B$500&amp;", ")))+SUMPRODUCT(--ISNUMBER(SEARCH(", "&amp;$B33&amp;", ",", "&amp;'Đăng tin &amp; Quản lý tin'!$B$7:$B$500&amp;", ")))+SUMPRODUCT(--ISNUMBER(SEARCH(", "&amp;$B33&amp;", ",", "&amp;'Trust &amp; Safety'!$B$7:$B$500&amp;", ")))+SUMPRODUCT(--ISNUMBER(SEARCH(", "&amp;$B33&amp;", ",", "&amp;'Tài khoản &amp; Hồ sơ'!$B$7:$B$500&amp;", ")))</f>
        <v>2</v>
      </c>
      <c r="F33" s="51" t="n">
        <f aca="false">SUMPRODUCT(--ISNUMBER(SEARCH(", "&amp;$B33&amp;", ",", "&amp;'Hoạt động (Đơn của tôi)'!$B$7:$B$500&amp;", ")),--('Hoạt động (Đơn của tôi)'!$AT$7:$AT$500&lt;&gt;""))+SUMPRODUCT(--ISNUMBER(SEARCH(", "&amp;$B33&amp;", ",", "&amp;'Ghép nối'!$B$7:$B$500&amp;", ")),--('Ghép nối'!$AT$7:$AT$500&lt;&gt;""))+SUMPRODUCT(--ISNUMBER(SEARCH(", "&amp;$B33&amp;", ",", "&amp;'Huỷ đơn - Huỷ nhận đơn'!$B$7:$B$500&amp;", ")),--('Huỷ đơn - Huỷ nhận đơn'!$AT$7:$AT$500&lt;&gt;""))+SUMPRODUCT(--ISNUMBER(SEARCH(", "&amp;$B33&amp;", ",", "&amp;'Giao nhận &amp; Theo dõi đơn'!$B$7:$B$500&amp;", ")),--('Giao nhận &amp; Theo dõi đơn'!$AT$7:$AT$500&lt;&gt;""))+SUMPRODUCT(--ISNUMBER(SEARCH(", "&amp;$B33&amp;", ",", "&amp;'Bảng tin &amp; Chi tiết tin'!$B$7:$B$500&amp;", ")),--('Bảng tin &amp; Chi tiết tin'!$AT$7:$AT$500&lt;&gt;""))+SUMPRODUCT(--ISNUMBER(SEARCH(", "&amp;$B33&amp;", ",", "&amp;'Quà cảm ơn'!$B$7:$B$500&amp;", ")),--('Quà cảm ơn'!$AT$7:$AT$500&lt;&gt;""))+SUMPRODUCT(--ISNUMBER(SEARCH(", "&amp;$B33&amp;", ",", "&amp;'Trang chủ'!$B$7:$B$500&amp;", ")),--('Trang chủ'!$AT$7:$AT$500&lt;&gt;""))+SUMPRODUCT(--ISNUMBER(SEARCH(", "&amp;$B33&amp;", ",", "&amp;'Thông báo'!$B$7:$B$500&amp;", ")),--('Thông báo'!$AT$7:$AT$500&lt;&gt;""))+SUMPRODUCT(--ISNUMBER(SEARCH(", "&amp;$B33&amp;", ",", "&amp;'Đăng tin &amp; Quản lý tin'!$B$7:$B$500&amp;", ")),--('Đăng tin &amp; Quản lý tin'!$AT$7:$AT$500&lt;&gt;""))+SUMPRODUCT(--ISNUMBER(SEARCH(", "&amp;$B33&amp;", ",", "&amp;'Trust &amp; Safety'!$B$7:$B$500&amp;", ")),--('Trust &amp; Safety'!$AT$7:$AT$500&lt;&gt;""))+SUMPRODUCT(--ISNUMBER(SEARCH(", "&amp;$B33&amp;", ",", "&amp;'Tài khoản &amp; Hồ sơ'!$B$7:$B$500&amp;", ")),--('Tài khoản &amp; Hồ sơ'!$AT$7:$AT$500&lt;&gt;""))</f>
        <v>2</v>
      </c>
      <c r="G33" s="51" t="n">
        <f aca="false">SUMPRODUCT(--ISNUMBER(SEARCH(", "&amp;$B33&amp;", ",", "&amp;'Hoạt động (Đơn của tôi)'!$B$7:$B$500&amp;", ")),--('Hoạt động (Đơn của tôi)'!$AT$7:$AT$500="Pass"))+SUMPRODUCT(--ISNUMBER(SEARCH(", "&amp;$B33&amp;", ",", "&amp;'Ghép nối'!$B$7:$B$500&amp;", ")),--('Ghép nối'!$AT$7:$AT$500="Pass"))+SUMPRODUCT(--ISNUMBER(SEARCH(", "&amp;$B33&amp;", ",", "&amp;'Huỷ đơn - Huỷ nhận đơn'!$B$7:$B$500&amp;", ")),--('Huỷ đơn - Huỷ nhận đơn'!$AT$7:$AT$500="Pass"))+SUMPRODUCT(--ISNUMBER(SEARCH(", "&amp;$B33&amp;", ",", "&amp;'Giao nhận &amp; Theo dõi đơn'!$B$7:$B$500&amp;", ")),--('Giao nhận &amp; Theo dõi đơn'!$AT$7:$AT$500="Pass"))+SUMPRODUCT(--ISNUMBER(SEARCH(", "&amp;$B33&amp;", ",", "&amp;'Bảng tin &amp; Chi tiết tin'!$B$7:$B$500&amp;", ")),--('Bảng tin &amp; Chi tiết tin'!$AT$7:$AT$500="Pass"))+SUMPRODUCT(--ISNUMBER(SEARCH(", "&amp;$B33&amp;", ",", "&amp;'Quà cảm ơn'!$B$7:$B$500&amp;", ")),--('Quà cảm ơn'!$AT$7:$AT$500="Pass"))+SUMPRODUCT(--ISNUMBER(SEARCH(", "&amp;$B33&amp;", ",", "&amp;'Trang chủ'!$B$7:$B$500&amp;", ")),--('Trang chủ'!$AT$7:$AT$500="Pass"))+SUMPRODUCT(--ISNUMBER(SEARCH(", "&amp;$B33&amp;", ",", "&amp;'Thông báo'!$B$7:$B$500&amp;", ")),--('Thông báo'!$AT$7:$AT$500="Pass"))+SUMPRODUCT(--ISNUMBER(SEARCH(", "&amp;$B33&amp;", ",", "&amp;'Đăng tin &amp; Quản lý tin'!$B$7:$B$500&amp;", ")),--('Đăng tin &amp; Quản lý tin'!$AT$7:$AT$500="Pass"))+SUMPRODUCT(--ISNUMBER(SEARCH(", "&amp;$B33&amp;", ",", "&amp;'Trust &amp; Safety'!$B$7:$B$500&amp;", ")),--('Trust &amp; Safety'!$AT$7:$AT$500="Pass"))+SUMPRODUCT(--ISNUMBER(SEARCH(", "&amp;$B33&amp;", ",", "&amp;'Tài khoản &amp; Hồ sơ'!$B$7:$B$500&amp;", ")),--('Tài khoản &amp; Hồ sơ'!$AT$7:$AT$500="Pass"))</f>
        <v>0</v>
      </c>
      <c r="H33" s="51" t="n">
        <f aca="false">SUMPRODUCT(--ISNUMBER(SEARCH(", "&amp;$B33&amp;", ",", "&amp;'Hoạt động (Đơn của tôi)'!$B$7:$B$500&amp;", ")),--('Hoạt động (Đơn của tôi)'!$AT$7:$AT$500="Fail"))+SUMPRODUCT(--ISNUMBER(SEARCH(", "&amp;$B33&amp;", ",", "&amp;'Ghép nối'!$B$7:$B$500&amp;", ")),--('Ghép nối'!$AT$7:$AT$500="Fail"))+SUMPRODUCT(--ISNUMBER(SEARCH(", "&amp;$B33&amp;", ",", "&amp;'Huỷ đơn - Huỷ nhận đơn'!$B$7:$B$500&amp;", ")),--('Huỷ đơn - Huỷ nhận đơn'!$AT$7:$AT$500="Fail"))+SUMPRODUCT(--ISNUMBER(SEARCH(", "&amp;$B33&amp;", ",", "&amp;'Giao nhận &amp; Theo dõi đơn'!$B$7:$B$500&amp;", ")),--('Giao nhận &amp; Theo dõi đơn'!$AT$7:$AT$500="Fail"))+SUMPRODUCT(--ISNUMBER(SEARCH(", "&amp;$B33&amp;", ",", "&amp;'Bảng tin &amp; Chi tiết tin'!$B$7:$B$500&amp;", ")),--('Bảng tin &amp; Chi tiết tin'!$AT$7:$AT$500="Fail"))+SUMPRODUCT(--ISNUMBER(SEARCH(", "&amp;$B33&amp;", ",", "&amp;'Quà cảm ơn'!$B$7:$B$500&amp;", ")),--('Quà cảm ơn'!$AT$7:$AT$500="Fail"))+SUMPRODUCT(--ISNUMBER(SEARCH(", "&amp;$B33&amp;", ",", "&amp;'Trang chủ'!$B$7:$B$500&amp;", ")),--('Trang chủ'!$AT$7:$AT$500="Fail"))+SUMPRODUCT(--ISNUMBER(SEARCH(", "&amp;$B33&amp;", ",", "&amp;'Thông báo'!$B$7:$B$500&amp;", ")),--('Thông báo'!$AT$7:$AT$500="Fail"))+SUMPRODUCT(--ISNUMBER(SEARCH(", "&amp;$B33&amp;", ",", "&amp;'Đăng tin &amp; Quản lý tin'!$B$7:$B$500&amp;", ")),--('Đăng tin &amp; Quản lý tin'!$AT$7:$AT$500="Fail"))+SUMPRODUCT(--ISNUMBER(SEARCH(", "&amp;$B33&amp;", ",", "&amp;'Trust &amp; Safety'!$B$7:$B$500&amp;", ")),--('Trust &amp; Safety'!$AT$7:$AT$500="Fail"))+SUMPRODUCT(--ISNUMBER(SEARCH(", "&amp;$B33&amp;", ",", "&amp;'Tài khoản &amp; Hồ sơ'!$B$7:$B$500&amp;", ")),--('Tài khoản &amp; Hồ sơ'!$AT$7:$AT$500="Fail"))</f>
        <v>2</v>
      </c>
      <c r="I33" s="51" t="n">
        <f aca="false">SUMPRODUCT(--ISNUMBER(SEARCH(", "&amp;$B33&amp;", ",", "&amp;'Hoạt động (Đơn của tôi)'!$B$7:$B$500&amp;", ")),--('Hoạt động (Đơn của tôi)'!$AT$7:$AT$500="Block"))+SUMPRODUCT(--ISNUMBER(SEARCH(", "&amp;$B33&amp;", ",", "&amp;'Ghép nối'!$B$7:$B$500&amp;", ")),--('Ghép nối'!$AT$7:$AT$500="Block"))+SUMPRODUCT(--ISNUMBER(SEARCH(", "&amp;$B33&amp;", ",", "&amp;'Huỷ đơn - Huỷ nhận đơn'!$B$7:$B$500&amp;", ")),--('Huỷ đơn - Huỷ nhận đơn'!$AT$7:$AT$500="Block"))+SUMPRODUCT(--ISNUMBER(SEARCH(", "&amp;$B33&amp;", ",", "&amp;'Giao nhận &amp; Theo dõi đơn'!$B$7:$B$500&amp;", ")),--('Giao nhận &amp; Theo dõi đơn'!$AT$7:$AT$500="Block"))+SUMPRODUCT(--ISNUMBER(SEARCH(", "&amp;$B33&amp;", ",", "&amp;'Bảng tin &amp; Chi tiết tin'!$B$7:$B$500&amp;", ")),--('Bảng tin &amp; Chi tiết tin'!$AT$7:$AT$500="Block"))+SUMPRODUCT(--ISNUMBER(SEARCH(", "&amp;$B33&amp;", ",", "&amp;'Quà cảm ơn'!$B$7:$B$500&amp;", ")),--('Quà cảm ơn'!$AT$7:$AT$500="Block"))+SUMPRODUCT(--ISNUMBER(SEARCH(", "&amp;$B33&amp;", ",", "&amp;'Trang chủ'!$B$7:$B$500&amp;", ")),--('Trang chủ'!$AT$7:$AT$500="Block"))+SUMPRODUCT(--ISNUMBER(SEARCH(", "&amp;$B33&amp;", ",", "&amp;'Thông báo'!$B$7:$B$500&amp;", ")),--('Thông báo'!$AT$7:$AT$500="Block"))+SUMPRODUCT(--ISNUMBER(SEARCH(", "&amp;$B33&amp;", ",", "&amp;'Đăng tin &amp; Quản lý tin'!$B$7:$B$500&amp;", ")),--('Đăng tin &amp; Quản lý tin'!$AT$7:$AT$500="Block"))+SUMPRODUCT(--ISNUMBER(SEARCH(", "&amp;$B33&amp;", ",", "&amp;'Trust &amp; Safety'!$B$7:$B$500&amp;", ")),--('Trust &amp; Safety'!$AT$7:$AT$500="Block"))+SUMPRODUCT(--ISNUMBER(SEARCH(", "&amp;$B33&amp;", ",", "&amp;'Tài khoản &amp; Hồ sơ'!$B$7:$B$500&amp;", ")),--('Tài khoản &amp; Hồ sơ'!$AT$7:$AT$500="Block"))</f>
        <v>0</v>
      </c>
      <c r="J33" s="51" t="n">
        <f aca="false">SUMPRODUCT(--ISNUMBER(SEARCH(", "&amp;$B33&amp;", ",", "&amp;'Hoạt động (Đơn của tôi)'!$B$7:$B$500&amp;", ")),--('Hoạt động (Đơn của tôi)'!$AT$7:$AT$500="N/A"))+SUMPRODUCT(--ISNUMBER(SEARCH(", "&amp;$B33&amp;", ",", "&amp;'Ghép nối'!$B$7:$B$500&amp;", ")),--('Ghép nối'!$AT$7:$AT$500="N/A"))+SUMPRODUCT(--ISNUMBER(SEARCH(", "&amp;$B33&amp;", ",", "&amp;'Huỷ đơn - Huỷ nhận đơn'!$B$7:$B$500&amp;", ")),--('Huỷ đơn - Huỷ nhận đơn'!$AT$7:$AT$500="N/A"))+SUMPRODUCT(--ISNUMBER(SEARCH(", "&amp;$B33&amp;", ",", "&amp;'Giao nhận &amp; Theo dõi đơn'!$B$7:$B$500&amp;", ")),--('Giao nhận &amp; Theo dõi đơn'!$AT$7:$AT$500="N/A"))+SUMPRODUCT(--ISNUMBER(SEARCH(", "&amp;$B33&amp;", ",", "&amp;'Bảng tin &amp; Chi tiết tin'!$B$7:$B$500&amp;", ")),--('Bảng tin &amp; Chi tiết tin'!$AT$7:$AT$500="N/A"))+SUMPRODUCT(--ISNUMBER(SEARCH(", "&amp;$B33&amp;", ",", "&amp;'Quà cảm ơn'!$B$7:$B$500&amp;", ")),--('Quà cảm ơn'!$AT$7:$AT$500="N/A"))+SUMPRODUCT(--ISNUMBER(SEARCH(", "&amp;$B33&amp;", ",", "&amp;'Trang chủ'!$B$7:$B$500&amp;", ")),--('Trang chủ'!$AT$7:$AT$500="N/A"))+SUMPRODUCT(--ISNUMBER(SEARCH(", "&amp;$B33&amp;", ",", "&amp;'Thông báo'!$B$7:$B$500&amp;", ")),--('Thông báo'!$AT$7:$AT$500="N/A"))+SUMPRODUCT(--ISNUMBER(SEARCH(", "&amp;$B33&amp;", ",", "&amp;'Đăng tin &amp; Quản lý tin'!$B$7:$B$500&amp;", ")),--('Đăng tin &amp; Quản lý tin'!$AT$7:$AT$500="N/A"))+SUMPRODUCT(--ISNUMBER(SEARCH(", "&amp;$B33&amp;", ",", "&amp;'Trust &amp; Safety'!$B$7:$B$500&amp;", ")),--('Trust &amp; Safety'!$AT$7:$AT$500="N/A"))+SUMPRODUCT(--ISNUMBER(SEARCH(", "&amp;$B33&amp;", ",", "&amp;'Tài khoản &amp; Hồ sơ'!$B$7:$B$500&amp;", ")),--('Tài khoản &amp; Hồ sơ'!$AT$7:$AT$500="N/A"))</f>
        <v>0</v>
      </c>
      <c r="K33" s="52" t="n">
        <f aca="false">IFERROR(F33/E33,0)</f>
        <v>1</v>
      </c>
      <c r="L33" s="124" t="str">
        <f aca="false">IF(E33=0,"Chưa có TC (gap)",IF(H33&gt;0,"Có lỗi (Fail)",IF(I33&gt;0,"Bị block",IF(F33&lt;E33,"Đang test",IF(G33=0,"Không áp dụng (N/A)","Đã test xong")))))</f>
        <v>Có lỗi (Fail)</v>
      </c>
      <c r="AB33" s="0" t="s">
        <v>511</v>
      </c>
    </row>
    <row r="34" customFormat="false" ht="15.75" hidden="false" customHeight="true" outlineLevel="0" collapsed="false">
      <c r="A34" s="1"/>
      <c r="B34" s="176" t="s">
        <v>591</v>
      </c>
      <c r="C34" s="177"/>
      <c r="D34" s="124" t="s">
        <v>592</v>
      </c>
      <c r="E34" s="51" t="n">
        <f aca="false">SUMPRODUCT(--ISNUMBER(SEARCH(", "&amp;$B34&amp;", ",", "&amp;'Hoạt động (Đơn của tôi)'!$B$7:$B$500&amp;", ")))+SUMPRODUCT(--ISNUMBER(SEARCH(", "&amp;$B34&amp;", ",", "&amp;'Ghép nối'!$B$7:$B$500&amp;", ")))+SUMPRODUCT(--ISNUMBER(SEARCH(", "&amp;$B34&amp;", ",", "&amp;'Huỷ đơn - Huỷ nhận đơn'!$B$7:$B$500&amp;", ")))+SUMPRODUCT(--ISNUMBER(SEARCH(", "&amp;$B34&amp;", ",", "&amp;'Giao nhận &amp; Theo dõi đơn'!$B$7:$B$500&amp;", ")))+SUMPRODUCT(--ISNUMBER(SEARCH(", "&amp;$B34&amp;", ",", "&amp;'Bảng tin &amp; Chi tiết tin'!$B$7:$B$500&amp;", ")))+SUMPRODUCT(--ISNUMBER(SEARCH(", "&amp;$B34&amp;", ",", "&amp;'Quà cảm ơn'!$B$7:$B$500&amp;", ")))+SUMPRODUCT(--ISNUMBER(SEARCH(", "&amp;$B34&amp;", ",", "&amp;'Trang chủ'!$B$7:$B$500&amp;", ")))+SUMPRODUCT(--ISNUMBER(SEARCH(", "&amp;$B34&amp;", ",", "&amp;'Thông báo'!$B$7:$B$500&amp;", ")))+SUMPRODUCT(--ISNUMBER(SEARCH(", "&amp;$B34&amp;", ",", "&amp;'Đăng tin &amp; Quản lý tin'!$B$7:$B$500&amp;", ")))+SUMPRODUCT(--ISNUMBER(SEARCH(", "&amp;$B34&amp;", ",", "&amp;'Trust &amp; Safety'!$B$7:$B$500&amp;", ")))+SUMPRODUCT(--ISNUMBER(SEARCH(", "&amp;$B34&amp;", ",", "&amp;'Tài khoản &amp; Hồ sơ'!$B$7:$B$500&amp;", ")))</f>
        <v>1</v>
      </c>
      <c r="F34" s="51" t="n">
        <f aca="false">SUMPRODUCT(--ISNUMBER(SEARCH(", "&amp;$B34&amp;", ",", "&amp;'Hoạt động (Đơn của tôi)'!$B$7:$B$500&amp;", ")),--('Hoạt động (Đơn của tôi)'!$AT$7:$AT$500&lt;&gt;""))+SUMPRODUCT(--ISNUMBER(SEARCH(", "&amp;$B34&amp;", ",", "&amp;'Ghép nối'!$B$7:$B$500&amp;", ")),--('Ghép nối'!$AT$7:$AT$500&lt;&gt;""))+SUMPRODUCT(--ISNUMBER(SEARCH(", "&amp;$B34&amp;", ",", "&amp;'Huỷ đơn - Huỷ nhận đơn'!$B$7:$B$500&amp;", ")),--('Huỷ đơn - Huỷ nhận đơn'!$AT$7:$AT$500&lt;&gt;""))+SUMPRODUCT(--ISNUMBER(SEARCH(", "&amp;$B34&amp;", ",", "&amp;'Giao nhận &amp; Theo dõi đơn'!$B$7:$B$500&amp;", ")),--('Giao nhận &amp; Theo dõi đơn'!$AT$7:$AT$500&lt;&gt;""))+SUMPRODUCT(--ISNUMBER(SEARCH(", "&amp;$B34&amp;", ",", "&amp;'Bảng tin &amp; Chi tiết tin'!$B$7:$B$500&amp;", ")),--('Bảng tin &amp; Chi tiết tin'!$AT$7:$AT$500&lt;&gt;""))+SUMPRODUCT(--ISNUMBER(SEARCH(", "&amp;$B34&amp;", ",", "&amp;'Quà cảm ơn'!$B$7:$B$500&amp;", ")),--('Quà cảm ơn'!$AT$7:$AT$500&lt;&gt;""))+SUMPRODUCT(--ISNUMBER(SEARCH(", "&amp;$B34&amp;", ",", "&amp;'Trang chủ'!$B$7:$B$500&amp;", ")),--('Trang chủ'!$AT$7:$AT$500&lt;&gt;""))+SUMPRODUCT(--ISNUMBER(SEARCH(", "&amp;$B34&amp;", ",", "&amp;'Thông báo'!$B$7:$B$500&amp;", ")),--('Thông báo'!$AT$7:$AT$500&lt;&gt;""))+SUMPRODUCT(--ISNUMBER(SEARCH(", "&amp;$B34&amp;", ",", "&amp;'Đăng tin &amp; Quản lý tin'!$B$7:$B$500&amp;", ")),--('Đăng tin &amp; Quản lý tin'!$AT$7:$AT$500&lt;&gt;""))+SUMPRODUCT(--ISNUMBER(SEARCH(", "&amp;$B34&amp;", ",", "&amp;'Trust &amp; Safety'!$B$7:$B$500&amp;", ")),--('Trust &amp; Safety'!$AT$7:$AT$500&lt;&gt;""))+SUMPRODUCT(--ISNUMBER(SEARCH(", "&amp;$B34&amp;", ",", "&amp;'Tài khoản &amp; Hồ sơ'!$B$7:$B$500&amp;", ")),--('Tài khoản &amp; Hồ sơ'!$AT$7:$AT$500&lt;&gt;""))</f>
        <v>1</v>
      </c>
      <c r="G34" s="51" t="n">
        <f aca="false">SUMPRODUCT(--ISNUMBER(SEARCH(", "&amp;$B34&amp;", ",", "&amp;'Hoạt động (Đơn của tôi)'!$B$7:$B$500&amp;", ")),--('Hoạt động (Đơn của tôi)'!$AT$7:$AT$500="Pass"))+SUMPRODUCT(--ISNUMBER(SEARCH(", "&amp;$B34&amp;", ",", "&amp;'Ghép nối'!$B$7:$B$500&amp;", ")),--('Ghép nối'!$AT$7:$AT$500="Pass"))+SUMPRODUCT(--ISNUMBER(SEARCH(", "&amp;$B34&amp;", ",", "&amp;'Huỷ đơn - Huỷ nhận đơn'!$B$7:$B$500&amp;", ")),--('Huỷ đơn - Huỷ nhận đơn'!$AT$7:$AT$500="Pass"))+SUMPRODUCT(--ISNUMBER(SEARCH(", "&amp;$B34&amp;", ",", "&amp;'Giao nhận &amp; Theo dõi đơn'!$B$7:$B$500&amp;", ")),--('Giao nhận &amp; Theo dõi đơn'!$AT$7:$AT$500="Pass"))+SUMPRODUCT(--ISNUMBER(SEARCH(", "&amp;$B34&amp;", ",", "&amp;'Bảng tin &amp; Chi tiết tin'!$B$7:$B$500&amp;", ")),--('Bảng tin &amp; Chi tiết tin'!$AT$7:$AT$500="Pass"))+SUMPRODUCT(--ISNUMBER(SEARCH(", "&amp;$B34&amp;", ",", "&amp;'Quà cảm ơn'!$B$7:$B$500&amp;", ")),--('Quà cảm ơn'!$AT$7:$AT$500="Pass"))+SUMPRODUCT(--ISNUMBER(SEARCH(", "&amp;$B34&amp;", ",", "&amp;'Trang chủ'!$B$7:$B$500&amp;", ")),--('Trang chủ'!$AT$7:$AT$500="Pass"))+SUMPRODUCT(--ISNUMBER(SEARCH(", "&amp;$B34&amp;", ",", "&amp;'Thông báo'!$B$7:$B$500&amp;", ")),--('Thông báo'!$AT$7:$AT$500="Pass"))+SUMPRODUCT(--ISNUMBER(SEARCH(", "&amp;$B34&amp;", ",", "&amp;'Đăng tin &amp; Quản lý tin'!$B$7:$B$500&amp;", ")),--('Đăng tin &amp; Quản lý tin'!$AT$7:$AT$500="Pass"))+SUMPRODUCT(--ISNUMBER(SEARCH(", "&amp;$B34&amp;", ",", "&amp;'Trust &amp; Safety'!$B$7:$B$500&amp;", ")),--('Trust &amp; Safety'!$AT$7:$AT$500="Pass"))+SUMPRODUCT(--ISNUMBER(SEARCH(", "&amp;$B34&amp;", ",", "&amp;'Tài khoản &amp; Hồ sơ'!$B$7:$B$500&amp;", ")),--('Tài khoản &amp; Hồ sơ'!$AT$7:$AT$500="Pass"))</f>
        <v>1</v>
      </c>
      <c r="H34" s="51" t="n">
        <f aca="false">SUMPRODUCT(--ISNUMBER(SEARCH(", "&amp;$B34&amp;", ",", "&amp;'Hoạt động (Đơn của tôi)'!$B$7:$B$500&amp;", ")),--('Hoạt động (Đơn của tôi)'!$AT$7:$AT$500="Fail"))+SUMPRODUCT(--ISNUMBER(SEARCH(", "&amp;$B34&amp;", ",", "&amp;'Ghép nối'!$B$7:$B$500&amp;", ")),--('Ghép nối'!$AT$7:$AT$500="Fail"))+SUMPRODUCT(--ISNUMBER(SEARCH(", "&amp;$B34&amp;", ",", "&amp;'Huỷ đơn - Huỷ nhận đơn'!$B$7:$B$500&amp;", ")),--('Huỷ đơn - Huỷ nhận đơn'!$AT$7:$AT$500="Fail"))+SUMPRODUCT(--ISNUMBER(SEARCH(", "&amp;$B34&amp;", ",", "&amp;'Giao nhận &amp; Theo dõi đơn'!$B$7:$B$500&amp;", ")),--('Giao nhận &amp; Theo dõi đơn'!$AT$7:$AT$500="Fail"))+SUMPRODUCT(--ISNUMBER(SEARCH(", "&amp;$B34&amp;", ",", "&amp;'Bảng tin &amp; Chi tiết tin'!$B$7:$B$500&amp;", ")),--('Bảng tin &amp; Chi tiết tin'!$AT$7:$AT$500="Fail"))+SUMPRODUCT(--ISNUMBER(SEARCH(", "&amp;$B34&amp;", ",", "&amp;'Quà cảm ơn'!$B$7:$B$500&amp;", ")),--('Quà cảm ơn'!$AT$7:$AT$500="Fail"))+SUMPRODUCT(--ISNUMBER(SEARCH(", "&amp;$B34&amp;", ",", "&amp;'Trang chủ'!$B$7:$B$500&amp;", ")),--('Trang chủ'!$AT$7:$AT$500="Fail"))+SUMPRODUCT(--ISNUMBER(SEARCH(", "&amp;$B34&amp;", ",", "&amp;'Thông báo'!$B$7:$B$500&amp;", ")),--('Thông báo'!$AT$7:$AT$500="Fail"))+SUMPRODUCT(--ISNUMBER(SEARCH(", "&amp;$B34&amp;", ",", "&amp;'Đăng tin &amp; Quản lý tin'!$B$7:$B$500&amp;", ")),--('Đăng tin &amp; Quản lý tin'!$AT$7:$AT$500="Fail"))+SUMPRODUCT(--ISNUMBER(SEARCH(", "&amp;$B34&amp;", ",", "&amp;'Trust &amp; Safety'!$B$7:$B$500&amp;", ")),--('Trust &amp; Safety'!$AT$7:$AT$500="Fail"))+SUMPRODUCT(--ISNUMBER(SEARCH(", "&amp;$B34&amp;", ",", "&amp;'Tài khoản &amp; Hồ sơ'!$B$7:$B$500&amp;", ")),--('Tài khoản &amp; Hồ sơ'!$AT$7:$AT$500="Fail"))</f>
        <v>0</v>
      </c>
      <c r="I34" s="51" t="n">
        <f aca="false">SUMPRODUCT(--ISNUMBER(SEARCH(", "&amp;$B34&amp;", ",", "&amp;'Hoạt động (Đơn của tôi)'!$B$7:$B$500&amp;", ")),--('Hoạt động (Đơn của tôi)'!$AT$7:$AT$500="Block"))+SUMPRODUCT(--ISNUMBER(SEARCH(", "&amp;$B34&amp;", ",", "&amp;'Ghép nối'!$B$7:$B$500&amp;", ")),--('Ghép nối'!$AT$7:$AT$500="Block"))+SUMPRODUCT(--ISNUMBER(SEARCH(", "&amp;$B34&amp;", ",", "&amp;'Huỷ đơn - Huỷ nhận đơn'!$B$7:$B$500&amp;", ")),--('Huỷ đơn - Huỷ nhận đơn'!$AT$7:$AT$500="Block"))+SUMPRODUCT(--ISNUMBER(SEARCH(", "&amp;$B34&amp;", ",", "&amp;'Giao nhận &amp; Theo dõi đơn'!$B$7:$B$500&amp;", ")),--('Giao nhận &amp; Theo dõi đơn'!$AT$7:$AT$500="Block"))+SUMPRODUCT(--ISNUMBER(SEARCH(", "&amp;$B34&amp;", ",", "&amp;'Bảng tin &amp; Chi tiết tin'!$B$7:$B$500&amp;", ")),--('Bảng tin &amp; Chi tiết tin'!$AT$7:$AT$500="Block"))+SUMPRODUCT(--ISNUMBER(SEARCH(", "&amp;$B34&amp;", ",", "&amp;'Quà cảm ơn'!$B$7:$B$500&amp;", ")),--('Quà cảm ơn'!$AT$7:$AT$500="Block"))+SUMPRODUCT(--ISNUMBER(SEARCH(", "&amp;$B34&amp;", ",", "&amp;'Trang chủ'!$B$7:$B$500&amp;", ")),--('Trang chủ'!$AT$7:$AT$500="Block"))+SUMPRODUCT(--ISNUMBER(SEARCH(", "&amp;$B34&amp;", ",", "&amp;'Thông báo'!$B$7:$B$500&amp;", ")),--('Thông báo'!$AT$7:$AT$500="Block"))+SUMPRODUCT(--ISNUMBER(SEARCH(", "&amp;$B34&amp;", ",", "&amp;'Đăng tin &amp; Quản lý tin'!$B$7:$B$500&amp;", ")),--('Đăng tin &amp; Quản lý tin'!$AT$7:$AT$500="Block"))+SUMPRODUCT(--ISNUMBER(SEARCH(", "&amp;$B34&amp;", ",", "&amp;'Trust &amp; Safety'!$B$7:$B$500&amp;", ")),--('Trust &amp; Safety'!$AT$7:$AT$500="Block"))+SUMPRODUCT(--ISNUMBER(SEARCH(", "&amp;$B34&amp;", ",", "&amp;'Tài khoản &amp; Hồ sơ'!$B$7:$B$500&amp;", ")),--('Tài khoản &amp; Hồ sơ'!$AT$7:$AT$500="Block"))</f>
        <v>0</v>
      </c>
      <c r="J34" s="51" t="n">
        <f aca="false">SUMPRODUCT(--ISNUMBER(SEARCH(", "&amp;$B34&amp;", ",", "&amp;'Hoạt động (Đơn của tôi)'!$B$7:$B$500&amp;", ")),--('Hoạt động (Đơn của tôi)'!$AT$7:$AT$500="N/A"))+SUMPRODUCT(--ISNUMBER(SEARCH(", "&amp;$B34&amp;", ",", "&amp;'Ghép nối'!$B$7:$B$500&amp;", ")),--('Ghép nối'!$AT$7:$AT$500="N/A"))+SUMPRODUCT(--ISNUMBER(SEARCH(", "&amp;$B34&amp;", ",", "&amp;'Huỷ đơn - Huỷ nhận đơn'!$B$7:$B$500&amp;", ")),--('Huỷ đơn - Huỷ nhận đơn'!$AT$7:$AT$500="N/A"))+SUMPRODUCT(--ISNUMBER(SEARCH(", "&amp;$B34&amp;", ",", "&amp;'Giao nhận &amp; Theo dõi đơn'!$B$7:$B$500&amp;", ")),--('Giao nhận &amp; Theo dõi đơn'!$AT$7:$AT$500="N/A"))+SUMPRODUCT(--ISNUMBER(SEARCH(", "&amp;$B34&amp;", ",", "&amp;'Bảng tin &amp; Chi tiết tin'!$B$7:$B$500&amp;", ")),--('Bảng tin &amp; Chi tiết tin'!$AT$7:$AT$500="N/A"))+SUMPRODUCT(--ISNUMBER(SEARCH(", "&amp;$B34&amp;", ",", "&amp;'Quà cảm ơn'!$B$7:$B$500&amp;", ")),--('Quà cảm ơn'!$AT$7:$AT$500="N/A"))+SUMPRODUCT(--ISNUMBER(SEARCH(", "&amp;$B34&amp;", ",", "&amp;'Trang chủ'!$B$7:$B$500&amp;", ")),--('Trang chủ'!$AT$7:$AT$500="N/A"))+SUMPRODUCT(--ISNUMBER(SEARCH(", "&amp;$B34&amp;", ",", "&amp;'Thông báo'!$B$7:$B$500&amp;", ")),--('Thông báo'!$AT$7:$AT$500="N/A"))+SUMPRODUCT(--ISNUMBER(SEARCH(", "&amp;$B34&amp;", ",", "&amp;'Đăng tin &amp; Quản lý tin'!$B$7:$B$500&amp;", ")),--('Đăng tin &amp; Quản lý tin'!$AT$7:$AT$500="N/A"))+SUMPRODUCT(--ISNUMBER(SEARCH(", "&amp;$B34&amp;", ",", "&amp;'Trust &amp; Safety'!$B$7:$B$500&amp;", ")),--('Trust &amp; Safety'!$AT$7:$AT$500="N/A"))+SUMPRODUCT(--ISNUMBER(SEARCH(", "&amp;$B34&amp;", ",", "&amp;'Tài khoản &amp; Hồ sơ'!$B$7:$B$500&amp;", ")),--('Tài khoản &amp; Hồ sơ'!$AT$7:$AT$500="N/A"))</f>
        <v>0</v>
      </c>
      <c r="K34" s="52" t="n">
        <f aca="false">IFERROR(F34/E34,0)</f>
        <v>1</v>
      </c>
      <c r="L34" s="124" t="str">
        <f aca="false">IF(E34=0,"Chưa có TC (gap)",IF(H34&gt;0,"Có lỗi (Fail)",IF(I34&gt;0,"Bị block",IF(F34&lt;E34,"Đang test",IF(G34=0,"Không áp dụng (N/A)","Đã test xong")))))</f>
        <v>Đã test xong</v>
      </c>
      <c r="AB34" s="0" t="s">
        <v>515</v>
      </c>
    </row>
    <row r="35" customFormat="false" ht="15.75" hidden="false" customHeight="true" outlineLevel="0" collapsed="false">
      <c r="A35" s="1"/>
      <c r="B35" s="176" t="s">
        <v>593</v>
      </c>
      <c r="C35" s="177"/>
      <c r="D35" s="124" t="s">
        <v>594</v>
      </c>
      <c r="E35" s="51" t="n">
        <f aca="false">SUMPRODUCT(--ISNUMBER(SEARCH(", "&amp;$B35&amp;", ",", "&amp;'Hoạt động (Đơn của tôi)'!$B$7:$B$500&amp;", ")))+SUMPRODUCT(--ISNUMBER(SEARCH(", "&amp;$B35&amp;", ",", "&amp;'Ghép nối'!$B$7:$B$500&amp;", ")))+SUMPRODUCT(--ISNUMBER(SEARCH(", "&amp;$B35&amp;", ",", "&amp;'Huỷ đơn - Huỷ nhận đơn'!$B$7:$B$500&amp;", ")))+SUMPRODUCT(--ISNUMBER(SEARCH(", "&amp;$B35&amp;", ",", "&amp;'Giao nhận &amp; Theo dõi đơn'!$B$7:$B$500&amp;", ")))+SUMPRODUCT(--ISNUMBER(SEARCH(", "&amp;$B35&amp;", ",", "&amp;'Bảng tin &amp; Chi tiết tin'!$B$7:$B$500&amp;", ")))+SUMPRODUCT(--ISNUMBER(SEARCH(", "&amp;$B35&amp;", ",", "&amp;'Quà cảm ơn'!$B$7:$B$500&amp;", ")))+SUMPRODUCT(--ISNUMBER(SEARCH(", "&amp;$B35&amp;", ",", "&amp;'Trang chủ'!$B$7:$B$500&amp;", ")))+SUMPRODUCT(--ISNUMBER(SEARCH(", "&amp;$B35&amp;", ",", "&amp;'Thông báo'!$B$7:$B$500&amp;", ")))+SUMPRODUCT(--ISNUMBER(SEARCH(", "&amp;$B35&amp;", ",", "&amp;'Đăng tin &amp; Quản lý tin'!$B$7:$B$500&amp;", ")))+SUMPRODUCT(--ISNUMBER(SEARCH(", "&amp;$B35&amp;", ",", "&amp;'Trust &amp; Safety'!$B$7:$B$500&amp;", ")))+SUMPRODUCT(--ISNUMBER(SEARCH(", "&amp;$B35&amp;", ",", "&amp;'Tài khoản &amp; Hồ sơ'!$B$7:$B$500&amp;", ")))</f>
        <v>1</v>
      </c>
      <c r="F35" s="51" t="n">
        <f aca="false">SUMPRODUCT(--ISNUMBER(SEARCH(", "&amp;$B35&amp;", ",", "&amp;'Hoạt động (Đơn của tôi)'!$B$7:$B$500&amp;", ")),--('Hoạt động (Đơn của tôi)'!$AT$7:$AT$500&lt;&gt;""))+SUMPRODUCT(--ISNUMBER(SEARCH(", "&amp;$B35&amp;", ",", "&amp;'Ghép nối'!$B$7:$B$500&amp;", ")),--('Ghép nối'!$AT$7:$AT$500&lt;&gt;""))+SUMPRODUCT(--ISNUMBER(SEARCH(", "&amp;$B35&amp;", ",", "&amp;'Huỷ đơn - Huỷ nhận đơn'!$B$7:$B$500&amp;", ")),--('Huỷ đơn - Huỷ nhận đơn'!$AT$7:$AT$500&lt;&gt;""))+SUMPRODUCT(--ISNUMBER(SEARCH(", "&amp;$B35&amp;", ",", "&amp;'Giao nhận &amp; Theo dõi đơn'!$B$7:$B$500&amp;", ")),--('Giao nhận &amp; Theo dõi đơn'!$AT$7:$AT$500&lt;&gt;""))+SUMPRODUCT(--ISNUMBER(SEARCH(", "&amp;$B35&amp;", ",", "&amp;'Bảng tin &amp; Chi tiết tin'!$B$7:$B$500&amp;", ")),--('Bảng tin &amp; Chi tiết tin'!$AT$7:$AT$500&lt;&gt;""))+SUMPRODUCT(--ISNUMBER(SEARCH(", "&amp;$B35&amp;", ",", "&amp;'Quà cảm ơn'!$B$7:$B$500&amp;", ")),--('Quà cảm ơn'!$AT$7:$AT$500&lt;&gt;""))+SUMPRODUCT(--ISNUMBER(SEARCH(", "&amp;$B35&amp;", ",", "&amp;'Trang chủ'!$B$7:$B$500&amp;", ")),--('Trang chủ'!$AT$7:$AT$500&lt;&gt;""))+SUMPRODUCT(--ISNUMBER(SEARCH(", "&amp;$B35&amp;", ",", "&amp;'Thông báo'!$B$7:$B$500&amp;", ")),--('Thông báo'!$AT$7:$AT$500&lt;&gt;""))+SUMPRODUCT(--ISNUMBER(SEARCH(", "&amp;$B35&amp;", ",", "&amp;'Đăng tin &amp; Quản lý tin'!$B$7:$B$500&amp;", ")),--('Đăng tin &amp; Quản lý tin'!$AT$7:$AT$500&lt;&gt;""))+SUMPRODUCT(--ISNUMBER(SEARCH(", "&amp;$B35&amp;", ",", "&amp;'Trust &amp; Safety'!$B$7:$B$500&amp;", ")),--('Trust &amp; Safety'!$AT$7:$AT$500&lt;&gt;""))+SUMPRODUCT(--ISNUMBER(SEARCH(", "&amp;$B35&amp;", ",", "&amp;'Tài khoản &amp; Hồ sơ'!$B$7:$B$500&amp;", ")),--('Tài khoản &amp; Hồ sơ'!$AT$7:$AT$500&lt;&gt;""))</f>
        <v>1</v>
      </c>
      <c r="G35" s="51" t="n">
        <f aca="false">SUMPRODUCT(--ISNUMBER(SEARCH(", "&amp;$B35&amp;", ",", "&amp;'Hoạt động (Đơn của tôi)'!$B$7:$B$500&amp;", ")),--('Hoạt động (Đơn của tôi)'!$AT$7:$AT$500="Pass"))+SUMPRODUCT(--ISNUMBER(SEARCH(", "&amp;$B35&amp;", ",", "&amp;'Ghép nối'!$B$7:$B$500&amp;", ")),--('Ghép nối'!$AT$7:$AT$500="Pass"))+SUMPRODUCT(--ISNUMBER(SEARCH(", "&amp;$B35&amp;", ",", "&amp;'Huỷ đơn - Huỷ nhận đơn'!$B$7:$B$500&amp;", ")),--('Huỷ đơn - Huỷ nhận đơn'!$AT$7:$AT$500="Pass"))+SUMPRODUCT(--ISNUMBER(SEARCH(", "&amp;$B35&amp;", ",", "&amp;'Giao nhận &amp; Theo dõi đơn'!$B$7:$B$500&amp;", ")),--('Giao nhận &amp; Theo dõi đơn'!$AT$7:$AT$500="Pass"))+SUMPRODUCT(--ISNUMBER(SEARCH(", "&amp;$B35&amp;", ",", "&amp;'Bảng tin &amp; Chi tiết tin'!$B$7:$B$500&amp;", ")),--('Bảng tin &amp; Chi tiết tin'!$AT$7:$AT$500="Pass"))+SUMPRODUCT(--ISNUMBER(SEARCH(", "&amp;$B35&amp;", ",", "&amp;'Quà cảm ơn'!$B$7:$B$500&amp;", ")),--('Quà cảm ơn'!$AT$7:$AT$500="Pass"))+SUMPRODUCT(--ISNUMBER(SEARCH(", "&amp;$B35&amp;", ",", "&amp;'Trang chủ'!$B$7:$B$500&amp;", ")),--('Trang chủ'!$AT$7:$AT$500="Pass"))+SUMPRODUCT(--ISNUMBER(SEARCH(", "&amp;$B35&amp;", ",", "&amp;'Thông báo'!$B$7:$B$500&amp;", ")),--('Thông báo'!$AT$7:$AT$500="Pass"))+SUMPRODUCT(--ISNUMBER(SEARCH(", "&amp;$B35&amp;", ",", "&amp;'Đăng tin &amp; Quản lý tin'!$B$7:$B$500&amp;", ")),--('Đăng tin &amp; Quản lý tin'!$AT$7:$AT$500="Pass"))+SUMPRODUCT(--ISNUMBER(SEARCH(", "&amp;$B35&amp;", ",", "&amp;'Trust &amp; Safety'!$B$7:$B$500&amp;", ")),--('Trust &amp; Safety'!$AT$7:$AT$500="Pass"))+SUMPRODUCT(--ISNUMBER(SEARCH(", "&amp;$B35&amp;", ",", "&amp;'Tài khoản &amp; Hồ sơ'!$B$7:$B$500&amp;", ")),--('Tài khoản &amp; Hồ sơ'!$AT$7:$AT$500="Pass"))</f>
        <v>1</v>
      </c>
      <c r="H35" s="51" t="n">
        <f aca="false">SUMPRODUCT(--ISNUMBER(SEARCH(", "&amp;$B35&amp;", ",", "&amp;'Hoạt động (Đơn của tôi)'!$B$7:$B$500&amp;", ")),--('Hoạt động (Đơn của tôi)'!$AT$7:$AT$500="Fail"))+SUMPRODUCT(--ISNUMBER(SEARCH(", "&amp;$B35&amp;", ",", "&amp;'Ghép nối'!$B$7:$B$500&amp;", ")),--('Ghép nối'!$AT$7:$AT$500="Fail"))+SUMPRODUCT(--ISNUMBER(SEARCH(", "&amp;$B35&amp;", ",", "&amp;'Huỷ đơn - Huỷ nhận đơn'!$B$7:$B$500&amp;", ")),--('Huỷ đơn - Huỷ nhận đơn'!$AT$7:$AT$500="Fail"))+SUMPRODUCT(--ISNUMBER(SEARCH(", "&amp;$B35&amp;", ",", "&amp;'Giao nhận &amp; Theo dõi đơn'!$B$7:$B$500&amp;", ")),--('Giao nhận &amp; Theo dõi đơn'!$AT$7:$AT$500="Fail"))+SUMPRODUCT(--ISNUMBER(SEARCH(", "&amp;$B35&amp;", ",", "&amp;'Bảng tin &amp; Chi tiết tin'!$B$7:$B$500&amp;", ")),--('Bảng tin &amp; Chi tiết tin'!$AT$7:$AT$500="Fail"))+SUMPRODUCT(--ISNUMBER(SEARCH(", "&amp;$B35&amp;", ",", "&amp;'Quà cảm ơn'!$B$7:$B$500&amp;", ")),--('Quà cảm ơn'!$AT$7:$AT$500="Fail"))+SUMPRODUCT(--ISNUMBER(SEARCH(", "&amp;$B35&amp;", ",", "&amp;'Trang chủ'!$B$7:$B$500&amp;", ")),--('Trang chủ'!$AT$7:$AT$500="Fail"))+SUMPRODUCT(--ISNUMBER(SEARCH(", "&amp;$B35&amp;", ",", "&amp;'Thông báo'!$B$7:$B$500&amp;", ")),--('Thông báo'!$AT$7:$AT$500="Fail"))+SUMPRODUCT(--ISNUMBER(SEARCH(", "&amp;$B35&amp;", ",", "&amp;'Đăng tin &amp; Quản lý tin'!$B$7:$B$500&amp;", ")),--('Đăng tin &amp; Quản lý tin'!$AT$7:$AT$500="Fail"))+SUMPRODUCT(--ISNUMBER(SEARCH(", "&amp;$B35&amp;", ",", "&amp;'Trust &amp; Safety'!$B$7:$B$500&amp;", ")),--('Trust &amp; Safety'!$AT$7:$AT$500="Fail"))+SUMPRODUCT(--ISNUMBER(SEARCH(", "&amp;$B35&amp;", ",", "&amp;'Tài khoản &amp; Hồ sơ'!$B$7:$B$500&amp;", ")),--('Tài khoản &amp; Hồ sơ'!$AT$7:$AT$500="Fail"))</f>
        <v>0</v>
      </c>
      <c r="I35" s="51" t="n">
        <f aca="false">SUMPRODUCT(--ISNUMBER(SEARCH(", "&amp;$B35&amp;", ",", "&amp;'Hoạt động (Đơn của tôi)'!$B$7:$B$500&amp;", ")),--('Hoạt động (Đơn của tôi)'!$AT$7:$AT$500="Block"))+SUMPRODUCT(--ISNUMBER(SEARCH(", "&amp;$B35&amp;", ",", "&amp;'Ghép nối'!$B$7:$B$500&amp;", ")),--('Ghép nối'!$AT$7:$AT$500="Block"))+SUMPRODUCT(--ISNUMBER(SEARCH(", "&amp;$B35&amp;", ",", "&amp;'Huỷ đơn - Huỷ nhận đơn'!$B$7:$B$500&amp;", ")),--('Huỷ đơn - Huỷ nhận đơn'!$AT$7:$AT$500="Block"))+SUMPRODUCT(--ISNUMBER(SEARCH(", "&amp;$B35&amp;", ",", "&amp;'Giao nhận &amp; Theo dõi đơn'!$B$7:$B$500&amp;", ")),--('Giao nhận &amp; Theo dõi đơn'!$AT$7:$AT$500="Block"))+SUMPRODUCT(--ISNUMBER(SEARCH(", "&amp;$B35&amp;", ",", "&amp;'Bảng tin &amp; Chi tiết tin'!$B$7:$B$500&amp;", ")),--('Bảng tin &amp; Chi tiết tin'!$AT$7:$AT$500="Block"))+SUMPRODUCT(--ISNUMBER(SEARCH(", "&amp;$B35&amp;", ",", "&amp;'Quà cảm ơn'!$B$7:$B$500&amp;", ")),--('Quà cảm ơn'!$AT$7:$AT$500="Block"))+SUMPRODUCT(--ISNUMBER(SEARCH(", "&amp;$B35&amp;", ",", "&amp;'Trang chủ'!$B$7:$B$500&amp;", ")),--('Trang chủ'!$AT$7:$AT$500="Block"))+SUMPRODUCT(--ISNUMBER(SEARCH(", "&amp;$B35&amp;", ",", "&amp;'Thông báo'!$B$7:$B$500&amp;", ")),--('Thông báo'!$AT$7:$AT$500="Block"))+SUMPRODUCT(--ISNUMBER(SEARCH(", "&amp;$B35&amp;", ",", "&amp;'Đăng tin &amp; Quản lý tin'!$B$7:$B$500&amp;", ")),--('Đăng tin &amp; Quản lý tin'!$AT$7:$AT$500="Block"))+SUMPRODUCT(--ISNUMBER(SEARCH(", "&amp;$B35&amp;", ",", "&amp;'Trust &amp; Safety'!$B$7:$B$500&amp;", ")),--('Trust &amp; Safety'!$AT$7:$AT$500="Block"))+SUMPRODUCT(--ISNUMBER(SEARCH(", "&amp;$B35&amp;", ",", "&amp;'Tài khoản &amp; Hồ sơ'!$B$7:$B$500&amp;", ")),--('Tài khoản &amp; Hồ sơ'!$AT$7:$AT$500="Block"))</f>
        <v>0</v>
      </c>
      <c r="J35" s="51" t="n">
        <f aca="false">SUMPRODUCT(--ISNUMBER(SEARCH(", "&amp;$B35&amp;", ",", "&amp;'Hoạt động (Đơn của tôi)'!$B$7:$B$500&amp;", ")),--('Hoạt động (Đơn của tôi)'!$AT$7:$AT$500="N/A"))+SUMPRODUCT(--ISNUMBER(SEARCH(", "&amp;$B35&amp;", ",", "&amp;'Ghép nối'!$B$7:$B$500&amp;", ")),--('Ghép nối'!$AT$7:$AT$500="N/A"))+SUMPRODUCT(--ISNUMBER(SEARCH(", "&amp;$B35&amp;", ",", "&amp;'Huỷ đơn - Huỷ nhận đơn'!$B$7:$B$500&amp;", ")),--('Huỷ đơn - Huỷ nhận đơn'!$AT$7:$AT$500="N/A"))+SUMPRODUCT(--ISNUMBER(SEARCH(", "&amp;$B35&amp;", ",", "&amp;'Giao nhận &amp; Theo dõi đơn'!$B$7:$B$500&amp;", ")),--('Giao nhận &amp; Theo dõi đơn'!$AT$7:$AT$500="N/A"))+SUMPRODUCT(--ISNUMBER(SEARCH(", "&amp;$B35&amp;", ",", "&amp;'Bảng tin &amp; Chi tiết tin'!$B$7:$B$500&amp;", ")),--('Bảng tin &amp; Chi tiết tin'!$AT$7:$AT$500="N/A"))+SUMPRODUCT(--ISNUMBER(SEARCH(", "&amp;$B35&amp;", ",", "&amp;'Quà cảm ơn'!$B$7:$B$500&amp;", ")),--('Quà cảm ơn'!$AT$7:$AT$500="N/A"))+SUMPRODUCT(--ISNUMBER(SEARCH(", "&amp;$B35&amp;", ",", "&amp;'Trang chủ'!$B$7:$B$500&amp;", ")),--('Trang chủ'!$AT$7:$AT$500="N/A"))+SUMPRODUCT(--ISNUMBER(SEARCH(", "&amp;$B35&amp;", ",", "&amp;'Thông báo'!$B$7:$B$500&amp;", ")),--('Thông báo'!$AT$7:$AT$500="N/A"))+SUMPRODUCT(--ISNUMBER(SEARCH(", "&amp;$B35&amp;", ",", "&amp;'Đăng tin &amp; Quản lý tin'!$B$7:$B$500&amp;", ")),--('Đăng tin &amp; Quản lý tin'!$AT$7:$AT$500="N/A"))+SUMPRODUCT(--ISNUMBER(SEARCH(", "&amp;$B35&amp;", ",", "&amp;'Trust &amp; Safety'!$B$7:$B$500&amp;", ")),--('Trust &amp; Safety'!$AT$7:$AT$500="N/A"))+SUMPRODUCT(--ISNUMBER(SEARCH(", "&amp;$B35&amp;", ",", "&amp;'Tài khoản &amp; Hồ sơ'!$B$7:$B$500&amp;", ")),--('Tài khoản &amp; Hồ sơ'!$AT$7:$AT$500="N/A"))</f>
        <v>0</v>
      </c>
      <c r="K35" s="52" t="n">
        <f aca="false">IFERROR(F35/E35,0)</f>
        <v>1</v>
      </c>
      <c r="L35" s="124" t="str">
        <f aca="false">IF(E35=0,"Chưa có TC (gap)",IF(H35&gt;0,"Có lỗi (Fail)",IF(I35&gt;0,"Bị block",IF(F35&lt;E35,"Đang test",IF(G35=0,"Không áp dụng (N/A)","Đã test xong")))))</f>
        <v>Đã test xong</v>
      </c>
      <c r="AB35" s="0" t="s">
        <v>515</v>
      </c>
    </row>
    <row r="36" customFormat="false" ht="15.75" hidden="false" customHeight="true" outlineLevel="0" collapsed="false">
      <c r="A36" s="1"/>
      <c r="B36" s="176" t="s">
        <v>595</v>
      </c>
      <c r="C36" s="177"/>
      <c r="D36" s="124" t="s">
        <v>592</v>
      </c>
      <c r="E36" s="51" t="n">
        <f aca="false">SUMPRODUCT(--ISNUMBER(SEARCH(", "&amp;$B36&amp;", ",", "&amp;'Hoạt động (Đơn của tôi)'!$B$7:$B$500&amp;", ")))+SUMPRODUCT(--ISNUMBER(SEARCH(", "&amp;$B36&amp;", ",", "&amp;'Ghép nối'!$B$7:$B$500&amp;", ")))+SUMPRODUCT(--ISNUMBER(SEARCH(", "&amp;$B36&amp;", ",", "&amp;'Huỷ đơn - Huỷ nhận đơn'!$B$7:$B$500&amp;", ")))+SUMPRODUCT(--ISNUMBER(SEARCH(", "&amp;$B36&amp;", ",", "&amp;'Giao nhận &amp; Theo dõi đơn'!$B$7:$B$500&amp;", ")))+SUMPRODUCT(--ISNUMBER(SEARCH(", "&amp;$B36&amp;", ",", "&amp;'Bảng tin &amp; Chi tiết tin'!$B$7:$B$500&amp;", ")))+SUMPRODUCT(--ISNUMBER(SEARCH(", "&amp;$B36&amp;", ",", "&amp;'Quà cảm ơn'!$B$7:$B$500&amp;", ")))+SUMPRODUCT(--ISNUMBER(SEARCH(", "&amp;$B36&amp;", ",", "&amp;'Trang chủ'!$B$7:$B$500&amp;", ")))+SUMPRODUCT(--ISNUMBER(SEARCH(", "&amp;$B36&amp;", ",", "&amp;'Thông báo'!$B$7:$B$500&amp;", ")))+SUMPRODUCT(--ISNUMBER(SEARCH(", "&amp;$B36&amp;", ",", "&amp;'Đăng tin &amp; Quản lý tin'!$B$7:$B$500&amp;", ")))+SUMPRODUCT(--ISNUMBER(SEARCH(", "&amp;$B36&amp;", ",", "&amp;'Trust &amp; Safety'!$B$7:$B$500&amp;", ")))+SUMPRODUCT(--ISNUMBER(SEARCH(", "&amp;$B36&amp;", ",", "&amp;'Tài khoản &amp; Hồ sơ'!$B$7:$B$500&amp;", ")))</f>
        <v>2</v>
      </c>
      <c r="F36" s="51" t="n">
        <f aca="false">SUMPRODUCT(--ISNUMBER(SEARCH(", "&amp;$B36&amp;", ",", "&amp;'Hoạt động (Đơn của tôi)'!$B$7:$B$500&amp;", ")),--('Hoạt động (Đơn của tôi)'!$AT$7:$AT$500&lt;&gt;""))+SUMPRODUCT(--ISNUMBER(SEARCH(", "&amp;$B36&amp;", ",", "&amp;'Ghép nối'!$B$7:$B$500&amp;", ")),--('Ghép nối'!$AT$7:$AT$500&lt;&gt;""))+SUMPRODUCT(--ISNUMBER(SEARCH(", "&amp;$B36&amp;", ",", "&amp;'Huỷ đơn - Huỷ nhận đơn'!$B$7:$B$500&amp;", ")),--('Huỷ đơn - Huỷ nhận đơn'!$AT$7:$AT$500&lt;&gt;""))+SUMPRODUCT(--ISNUMBER(SEARCH(", "&amp;$B36&amp;", ",", "&amp;'Giao nhận &amp; Theo dõi đơn'!$B$7:$B$500&amp;", ")),--('Giao nhận &amp; Theo dõi đơn'!$AT$7:$AT$500&lt;&gt;""))+SUMPRODUCT(--ISNUMBER(SEARCH(", "&amp;$B36&amp;", ",", "&amp;'Bảng tin &amp; Chi tiết tin'!$B$7:$B$500&amp;", ")),--('Bảng tin &amp; Chi tiết tin'!$AT$7:$AT$500&lt;&gt;""))+SUMPRODUCT(--ISNUMBER(SEARCH(", "&amp;$B36&amp;", ",", "&amp;'Quà cảm ơn'!$B$7:$B$500&amp;", ")),--('Quà cảm ơn'!$AT$7:$AT$500&lt;&gt;""))+SUMPRODUCT(--ISNUMBER(SEARCH(", "&amp;$B36&amp;", ",", "&amp;'Trang chủ'!$B$7:$B$500&amp;", ")),--('Trang chủ'!$AT$7:$AT$500&lt;&gt;""))+SUMPRODUCT(--ISNUMBER(SEARCH(", "&amp;$B36&amp;", ",", "&amp;'Thông báo'!$B$7:$B$500&amp;", ")),--('Thông báo'!$AT$7:$AT$500&lt;&gt;""))+SUMPRODUCT(--ISNUMBER(SEARCH(", "&amp;$B36&amp;", ",", "&amp;'Đăng tin &amp; Quản lý tin'!$B$7:$B$500&amp;", ")),--('Đăng tin &amp; Quản lý tin'!$AT$7:$AT$500&lt;&gt;""))+SUMPRODUCT(--ISNUMBER(SEARCH(", "&amp;$B36&amp;", ",", "&amp;'Trust &amp; Safety'!$B$7:$B$500&amp;", ")),--('Trust &amp; Safety'!$AT$7:$AT$500&lt;&gt;""))+SUMPRODUCT(--ISNUMBER(SEARCH(", "&amp;$B36&amp;", ",", "&amp;'Tài khoản &amp; Hồ sơ'!$B$7:$B$500&amp;", ")),--('Tài khoản &amp; Hồ sơ'!$AT$7:$AT$500&lt;&gt;""))</f>
        <v>2</v>
      </c>
      <c r="G36" s="51" t="n">
        <f aca="false">SUMPRODUCT(--ISNUMBER(SEARCH(", "&amp;$B36&amp;", ",", "&amp;'Hoạt động (Đơn của tôi)'!$B$7:$B$500&amp;", ")),--('Hoạt động (Đơn của tôi)'!$AT$7:$AT$500="Pass"))+SUMPRODUCT(--ISNUMBER(SEARCH(", "&amp;$B36&amp;", ",", "&amp;'Ghép nối'!$B$7:$B$500&amp;", ")),--('Ghép nối'!$AT$7:$AT$500="Pass"))+SUMPRODUCT(--ISNUMBER(SEARCH(", "&amp;$B36&amp;", ",", "&amp;'Huỷ đơn - Huỷ nhận đơn'!$B$7:$B$500&amp;", ")),--('Huỷ đơn - Huỷ nhận đơn'!$AT$7:$AT$500="Pass"))+SUMPRODUCT(--ISNUMBER(SEARCH(", "&amp;$B36&amp;", ",", "&amp;'Giao nhận &amp; Theo dõi đơn'!$B$7:$B$500&amp;", ")),--('Giao nhận &amp; Theo dõi đơn'!$AT$7:$AT$500="Pass"))+SUMPRODUCT(--ISNUMBER(SEARCH(", "&amp;$B36&amp;", ",", "&amp;'Bảng tin &amp; Chi tiết tin'!$B$7:$B$500&amp;", ")),--('Bảng tin &amp; Chi tiết tin'!$AT$7:$AT$500="Pass"))+SUMPRODUCT(--ISNUMBER(SEARCH(", "&amp;$B36&amp;", ",", "&amp;'Quà cảm ơn'!$B$7:$B$500&amp;", ")),--('Quà cảm ơn'!$AT$7:$AT$500="Pass"))+SUMPRODUCT(--ISNUMBER(SEARCH(", "&amp;$B36&amp;", ",", "&amp;'Trang chủ'!$B$7:$B$500&amp;", ")),--('Trang chủ'!$AT$7:$AT$500="Pass"))+SUMPRODUCT(--ISNUMBER(SEARCH(", "&amp;$B36&amp;", ",", "&amp;'Thông báo'!$B$7:$B$500&amp;", ")),--('Thông báo'!$AT$7:$AT$500="Pass"))+SUMPRODUCT(--ISNUMBER(SEARCH(", "&amp;$B36&amp;", ",", "&amp;'Đăng tin &amp; Quản lý tin'!$B$7:$B$500&amp;", ")),--('Đăng tin &amp; Quản lý tin'!$AT$7:$AT$500="Pass"))+SUMPRODUCT(--ISNUMBER(SEARCH(", "&amp;$B36&amp;", ",", "&amp;'Trust &amp; Safety'!$B$7:$B$500&amp;", ")),--('Trust &amp; Safety'!$AT$7:$AT$500="Pass"))+SUMPRODUCT(--ISNUMBER(SEARCH(", "&amp;$B36&amp;", ",", "&amp;'Tài khoản &amp; Hồ sơ'!$B$7:$B$500&amp;", ")),--('Tài khoản &amp; Hồ sơ'!$AT$7:$AT$500="Pass"))</f>
        <v>2</v>
      </c>
      <c r="H36" s="51" t="n">
        <f aca="false">SUMPRODUCT(--ISNUMBER(SEARCH(", "&amp;$B36&amp;", ",", "&amp;'Hoạt động (Đơn của tôi)'!$B$7:$B$500&amp;", ")),--('Hoạt động (Đơn của tôi)'!$AT$7:$AT$500="Fail"))+SUMPRODUCT(--ISNUMBER(SEARCH(", "&amp;$B36&amp;", ",", "&amp;'Ghép nối'!$B$7:$B$500&amp;", ")),--('Ghép nối'!$AT$7:$AT$500="Fail"))+SUMPRODUCT(--ISNUMBER(SEARCH(", "&amp;$B36&amp;", ",", "&amp;'Huỷ đơn - Huỷ nhận đơn'!$B$7:$B$500&amp;", ")),--('Huỷ đơn - Huỷ nhận đơn'!$AT$7:$AT$500="Fail"))+SUMPRODUCT(--ISNUMBER(SEARCH(", "&amp;$B36&amp;", ",", "&amp;'Giao nhận &amp; Theo dõi đơn'!$B$7:$B$500&amp;", ")),--('Giao nhận &amp; Theo dõi đơn'!$AT$7:$AT$500="Fail"))+SUMPRODUCT(--ISNUMBER(SEARCH(", "&amp;$B36&amp;", ",", "&amp;'Bảng tin &amp; Chi tiết tin'!$B$7:$B$500&amp;", ")),--('Bảng tin &amp; Chi tiết tin'!$AT$7:$AT$500="Fail"))+SUMPRODUCT(--ISNUMBER(SEARCH(", "&amp;$B36&amp;", ",", "&amp;'Quà cảm ơn'!$B$7:$B$500&amp;", ")),--('Quà cảm ơn'!$AT$7:$AT$500="Fail"))+SUMPRODUCT(--ISNUMBER(SEARCH(", "&amp;$B36&amp;", ",", "&amp;'Trang chủ'!$B$7:$B$500&amp;", ")),--('Trang chủ'!$AT$7:$AT$500="Fail"))+SUMPRODUCT(--ISNUMBER(SEARCH(", "&amp;$B36&amp;", ",", "&amp;'Thông báo'!$B$7:$B$500&amp;", ")),--('Thông báo'!$AT$7:$AT$500="Fail"))+SUMPRODUCT(--ISNUMBER(SEARCH(", "&amp;$B36&amp;", ",", "&amp;'Đăng tin &amp; Quản lý tin'!$B$7:$B$500&amp;", ")),--('Đăng tin &amp; Quản lý tin'!$AT$7:$AT$500="Fail"))+SUMPRODUCT(--ISNUMBER(SEARCH(", "&amp;$B36&amp;", ",", "&amp;'Trust &amp; Safety'!$B$7:$B$500&amp;", ")),--('Trust &amp; Safety'!$AT$7:$AT$500="Fail"))+SUMPRODUCT(--ISNUMBER(SEARCH(", "&amp;$B36&amp;", ",", "&amp;'Tài khoản &amp; Hồ sơ'!$B$7:$B$500&amp;", ")),--('Tài khoản &amp; Hồ sơ'!$AT$7:$AT$500="Fail"))</f>
        <v>0</v>
      </c>
      <c r="I36" s="51" t="n">
        <f aca="false">SUMPRODUCT(--ISNUMBER(SEARCH(", "&amp;$B36&amp;", ",", "&amp;'Hoạt động (Đơn của tôi)'!$B$7:$B$500&amp;", ")),--('Hoạt động (Đơn của tôi)'!$AT$7:$AT$500="Block"))+SUMPRODUCT(--ISNUMBER(SEARCH(", "&amp;$B36&amp;", ",", "&amp;'Ghép nối'!$B$7:$B$500&amp;", ")),--('Ghép nối'!$AT$7:$AT$500="Block"))+SUMPRODUCT(--ISNUMBER(SEARCH(", "&amp;$B36&amp;", ",", "&amp;'Huỷ đơn - Huỷ nhận đơn'!$B$7:$B$500&amp;", ")),--('Huỷ đơn - Huỷ nhận đơn'!$AT$7:$AT$500="Block"))+SUMPRODUCT(--ISNUMBER(SEARCH(", "&amp;$B36&amp;", ",", "&amp;'Giao nhận &amp; Theo dõi đơn'!$B$7:$B$500&amp;", ")),--('Giao nhận &amp; Theo dõi đơn'!$AT$7:$AT$500="Block"))+SUMPRODUCT(--ISNUMBER(SEARCH(", "&amp;$B36&amp;", ",", "&amp;'Bảng tin &amp; Chi tiết tin'!$B$7:$B$500&amp;", ")),--('Bảng tin &amp; Chi tiết tin'!$AT$7:$AT$500="Block"))+SUMPRODUCT(--ISNUMBER(SEARCH(", "&amp;$B36&amp;", ",", "&amp;'Quà cảm ơn'!$B$7:$B$500&amp;", ")),--('Quà cảm ơn'!$AT$7:$AT$500="Block"))+SUMPRODUCT(--ISNUMBER(SEARCH(", "&amp;$B36&amp;", ",", "&amp;'Trang chủ'!$B$7:$B$500&amp;", ")),--('Trang chủ'!$AT$7:$AT$500="Block"))+SUMPRODUCT(--ISNUMBER(SEARCH(", "&amp;$B36&amp;", ",", "&amp;'Thông báo'!$B$7:$B$500&amp;", ")),--('Thông báo'!$AT$7:$AT$500="Block"))+SUMPRODUCT(--ISNUMBER(SEARCH(", "&amp;$B36&amp;", ",", "&amp;'Đăng tin &amp; Quản lý tin'!$B$7:$B$500&amp;", ")),--('Đăng tin &amp; Quản lý tin'!$AT$7:$AT$500="Block"))+SUMPRODUCT(--ISNUMBER(SEARCH(", "&amp;$B36&amp;", ",", "&amp;'Trust &amp; Safety'!$B$7:$B$500&amp;", ")),--('Trust &amp; Safety'!$AT$7:$AT$500="Block"))+SUMPRODUCT(--ISNUMBER(SEARCH(", "&amp;$B36&amp;", ",", "&amp;'Tài khoản &amp; Hồ sơ'!$B$7:$B$500&amp;", ")),--('Tài khoản &amp; Hồ sơ'!$AT$7:$AT$500="Block"))</f>
        <v>0</v>
      </c>
      <c r="J36" s="51" t="n">
        <f aca="false">SUMPRODUCT(--ISNUMBER(SEARCH(", "&amp;$B36&amp;", ",", "&amp;'Hoạt động (Đơn của tôi)'!$B$7:$B$500&amp;", ")),--('Hoạt động (Đơn của tôi)'!$AT$7:$AT$500="N/A"))+SUMPRODUCT(--ISNUMBER(SEARCH(", "&amp;$B36&amp;", ",", "&amp;'Ghép nối'!$B$7:$B$500&amp;", ")),--('Ghép nối'!$AT$7:$AT$500="N/A"))+SUMPRODUCT(--ISNUMBER(SEARCH(", "&amp;$B36&amp;", ",", "&amp;'Huỷ đơn - Huỷ nhận đơn'!$B$7:$B$500&amp;", ")),--('Huỷ đơn - Huỷ nhận đơn'!$AT$7:$AT$500="N/A"))+SUMPRODUCT(--ISNUMBER(SEARCH(", "&amp;$B36&amp;", ",", "&amp;'Giao nhận &amp; Theo dõi đơn'!$B$7:$B$500&amp;", ")),--('Giao nhận &amp; Theo dõi đơn'!$AT$7:$AT$500="N/A"))+SUMPRODUCT(--ISNUMBER(SEARCH(", "&amp;$B36&amp;", ",", "&amp;'Bảng tin &amp; Chi tiết tin'!$B$7:$B$500&amp;", ")),--('Bảng tin &amp; Chi tiết tin'!$AT$7:$AT$500="N/A"))+SUMPRODUCT(--ISNUMBER(SEARCH(", "&amp;$B36&amp;", ",", "&amp;'Quà cảm ơn'!$B$7:$B$500&amp;", ")),--('Quà cảm ơn'!$AT$7:$AT$500="N/A"))+SUMPRODUCT(--ISNUMBER(SEARCH(", "&amp;$B36&amp;", ",", "&amp;'Trang chủ'!$B$7:$B$500&amp;", ")),--('Trang chủ'!$AT$7:$AT$500="N/A"))+SUMPRODUCT(--ISNUMBER(SEARCH(", "&amp;$B36&amp;", ",", "&amp;'Thông báo'!$B$7:$B$500&amp;", ")),--('Thông báo'!$AT$7:$AT$500="N/A"))+SUMPRODUCT(--ISNUMBER(SEARCH(", "&amp;$B36&amp;", ",", "&amp;'Đăng tin &amp; Quản lý tin'!$B$7:$B$500&amp;", ")),--('Đăng tin &amp; Quản lý tin'!$AT$7:$AT$500="N/A"))+SUMPRODUCT(--ISNUMBER(SEARCH(", "&amp;$B36&amp;", ",", "&amp;'Trust &amp; Safety'!$B$7:$B$500&amp;", ")),--('Trust &amp; Safety'!$AT$7:$AT$500="N/A"))+SUMPRODUCT(--ISNUMBER(SEARCH(", "&amp;$B36&amp;", ",", "&amp;'Tài khoản &amp; Hồ sơ'!$B$7:$B$500&amp;", ")),--('Tài khoản &amp; Hồ sơ'!$AT$7:$AT$500="N/A"))</f>
        <v>0</v>
      </c>
      <c r="K36" s="52" t="n">
        <f aca="false">IFERROR(F36/E36,0)</f>
        <v>1</v>
      </c>
      <c r="L36" s="124" t="str">
        <f aca="false">IF(E36=0,"Chưa có TC (gap)",IF(H36&gt;0,"Có lỗi (Fail)",IF(I36&gt;0,"Bị block",IF(F36&lt;E36,"Đang test",IF(G36=0,"Không áp dụng (N/A)","Đã test xong")))))</f>
        <v>Đã test xong</v>
      </c>
      <c r="AB36" s="0" t="s">
        <v>515</v>
      </c>
    </row>
    <row r="37" customFormat="false" ht="15.75" hidden="false" customHeight="true" outlineLevel="0" collapsed="false">
      <c r="A37" s="1"/>
      <c r="B37" s="176" t="s">
        <v>596</v>
      </c>
      <c r="C37" s="177"/>
      <c r="D37" s="124" t="s">
        <v>597</v>
      </c>
      <c r="E37" s="51" t="n">
        <f aca="false">SUMPRODUCT(--ISNUMBER(SEARCH(", "&amp;$B37&amp;", ",", "&amp;'Hoạt động (Đơn của tôi)'!$B$7:$B$500&amp;", ")))+SUMPRODUCT(--ISNUMBER(SEARCH(", "&amp;$B37&amp;", ",", "&amp;'Ghép nối'!$B$7:$B$500&amp;", ")))+SUMPRODUCT(--ISNUMBER(SEARCH(", "&amp;$B37&amp;", ",", "&amp;'Huỷ đơn - Huỷ nhận đơn'!$B$7:$B$500&amp;", ")))+SUMPRODUCT(--ISNUMBER(SEARCH(", "&amp;$B37&amp;", ",", "&amp;'Giao nhận &amp; Theo dõi đơn'!$B$7:$B$500&amp;", ")))+SUMPRODUCT(--ISNUMBER(SEARCH(", "&amp;$B37&amp;", ",", "&amp;'Bảng tin &amp; Chi tiết tin'!$B$7:$B$500&amp;", ")))+SUMPRODUCT(--ISNUMBER(SEARCH(", "&amp;$B37&amp;", ",", "&amp;'Quà cảm ơn'!$B$7:$B$500&amp;", ")))+SUMPRODUCT(--ISNUMBER(SEARCH(", "&amp;$B37&amp;", ",", "&amp;'Trang chủ'!$B$7:$B$500&amp;", ")))+SUMPRODUCT(--ISNUMBER(SEARCH(", "&amp;$B37&amp;", ",", "&amp;'Thông báo'!$B$7:$B$500&amp;", ")))+SUMPRODUCT(--ISNUMBER(SEARCH(", "&amp;$B37&amp;", ",", "&amp;'Đăng tin &amp; Quản lý tin'!$B$7:$B$500&amp;", ")))+SUMPRODUCT(--ISNUMBER(SEARCH(", "&amp;$B37&amp;", ",", "&amp;'Trust &amp; Safety'!$B$7:$B$500&amp;", ")))+SUMPRODUCT(--ISNUMBER(SEARCH(", "&amp;$B37&amp;", ",", "&amp;'Tài khoản &amp; Hồ sơ'!$B$7:$B$500&amp;", ")))</f>
        <v>1</v>
      </c>
      <c r="F37" s="51" t="n">
        <f aca="false">SUMPRODUCT(--ISNUMBER(SEARCH(", "&amp;$B37&amp;", ",", "&amp;'Hoạt động (Đơn của tôi)'!$B$7:$B$500&amp;", ")),--('Hoạt động (Đơn của tôi)'!$AT$7:$AT$500&lt;&gt;""))+SUMPRODUCT(--ISNUMBER(SEARCH(", "&amp;$B37&amp;", ",", "&amp;'Ghép nối'!$B$7:$B$500&amp;", ")),--('Ghép nối'!$AT$7:$AT$500&lt;&gt;""))+SUMPRODUCT(--ISNUMBER(SEARCH(", "&amp;$B37&amp;", ",", "&amp;'Huỷ đơn - Huỷ nhận đơn'!$B$7:$B$500&amp;", ")),--('Huỷ đơn - Huỷ nhận đơn'!$AT$7:$AT$500&lt;&gt;""))+SUMPRODUCT(--ISNUMBER(SEARCH(", "&amp;$B37&amp;", ",", "&amp;'Giao nhận &amp; Theo dõi đơn'!$B$7:$B$500&amp;", ")),--('Giao nhận &amp; Theo dõi đơn'!$AT$7:$AT$500&lt;&gt;""))+SUMPRODUCT(--ISNUMBER(SEARCH(", "&amp;$B37&amp;", ",", "&amp;'Bảng tin &amp; Chi tiết tin'!$B$7:$B$500&amp;", ")),--('Bảng tin &amp; Chi tiết tin'!$AT$7:$AT$500&lt;&gt;""))+SUMPRODUCT(--ISNUMBER(SEARCH(", "&amp;$B37&amp;", ",", "&amp;'Quà cảm ơn'!$B$7:$B$500&amp;", ")),--('Quà cảm ơn'!$AT$7:$AT$500&lt;&gt;""))+SUMPRODUCT(--ISNUMBER(SEARCH(", "&amp;$B37&amp;", ",", "&amp;'Trang chủ'!$B$7:$B$500&amp;", ")),--('Trang chủ'!$AT$7:$AT$500&lt;&gt;""))+SUMPRODUCT(--ISNUMBER(SEARCH(", "&amp;$B37&amp;", ",", "&amp;'Thông báo'!$B$7:$B$500&amp;", ")),--('Thông báo'!$AT$7:$AT$500&lt;&gt;""))+SUMPRODUCT(--ISNUMBER(SEARCH(", "&amp;$B37&amp;", ",", "&amp;'Đăng tin &amp; Quản lý tin'!$B$7:$B$500&amp;", ")),--('Đăng tin &amp; Quản lý tin'!$AT$7:$AT$500&lt;&gt;""))+SUMPRODUCT(--ISNUMBER(SEARCH(", "&amp;$B37&amp;", ",", "&amp;'Trust &amp; Safety'!$B$7:$B$500&amp;", ")),--('Trust &amp; Safety'!$AT$7:$AT$500&lt;&gt;""))+SUMPRODUCT(--ISNUMBER(SEARCH(", "&amp;$B37&amp;", ",", "&amp;'Tài khoản &amp; Hồ sơ'!$B$7:$B$500&amp;", ")),--('Tài khoản &amp; Hồ sơ'!$AT$7:$AT$500&lt;&gt;""))</f>
        <v>1</v>
      </c>
      <c r="G37" s="51" t="n">
        <f aca="false">SUMPRODUCT(--ISNUMBER(SEARCH(", "&amp;$B37&amp;", ",", "&amp;'Hoạt động (Đơn của tôi)'!$B$7:$B$500&amp;", ")),--('Hoạt động (Đơn của tôi)'!$AT$7:$AT$500="Pass"))+SUMPRODUCT(--ISNUMBER(SEARCH(", "&amp;$B37&amp;", ",", "&amp;'Ghép nối'!$B$7:$B$500&amp;", ")),--('Ghép nối'!$AT$7:$AT$500="Pass"))+SUMPRODUCT(--ISNUMBER(SEARCH(", "&amp;$B37&amp;", ",", "&amp;'Huỷ đơn - Huỷ nhận đơn'!$B$7:$B$500&amp;", ")),--('Huỷ đơn - Huỷ nhận đơn'!$AT$7:$AT$500="Pass"))+SUMPRODUCT(--ISNUMBER(SEARCH(", "&amp;$B37&amp;", ",", "&amp;'Giao nhận &amp; Theo dõi đơn'!$B$7:$B$500&amp;", ")),--('Giao nhận &amp; Theo dõi đơn'!$AT$7:$AT$500="Pass"))+SUMPRODUCT(--ISNUMBER(SEARCH(", "&amp;$B37&amp;", ",", "&amp;'Bảng tin &amp; Chi tiết tin'!$B$7:$B$500&amp;", ")),--('Bảng tin &amp; Chi tiết tin'!$AT$7:$AT$500="Pass"))+SUMPRODUCT(--ISNUMBER(SEARCH(", "&amp;$B37&amp;", ",", "&amp;'Quà cảm ơn'!$B$7:$B$500&amp;", ")),--('Quà cảm ơn'!$AT$7:$AT$500="Pass"))+SUMPRODUCT(--ISNUMBER(SEARCH(", "&amp;$B37&amp;", ",", "&amp;'Trang chủ'!$B$7:$B$500&amp;", ")),--('Trang chủ'!$AT$7:$AT$500="Pass"))+SUMPRODUCT(--ISNUMBER(SEARCH(", "&amp;$B37&amp;", ",", "&amp;'Thông báo'!$B$7:$B$500&amp;", ")),--('Thông báo'!$AT$7:$AT$500="Pass"))+SUMPRODUCT(--ISNUMBER(SEARCH(", "&amp;$B37&amp;", ",", "&amp;'Đăng tin &amp; Quản lý tin'!$B$7:$B$500&amp;", ")),--('Đăng tin &amp; Quản lý tin'!$AT$7:$AT$500="Pass"))+SUMPRODUCT(--ISNUMBER(SEARCH(", "&amp;$B37&amp;", ",", "&amp;'Trust &amp; Safety'!$B$7:$B$500&amp;", ")),--('Trust &amp; Safety'!$AT$7:$AT$500="Pass"))+SUMPRODUCT(--ISNUMBER(SEARCH(", "&amp;$B37&amp;", ",", "&amp;'Tài khoản &amp; Hồ sơ'!$B$7:$B$500&amp;", ")),--('Tài khoản &amp; Hồ sơ'!$AT$7:$AT$500="Pass"))</f>
        <v>0</v>
      </c>
      <c r="H37" s="51" t="n">
        <f aca="false">SUMPRODUCT(--ISNUMBER(SEARCH(", "&amp;$B37&amp;", ",", "&amp;'Hoạt động (Đơn của tôi)'!$B$7:$B$500&amp;", ")),--('Hoạt động (Đơn của tôi)'!$AT$7:$AT$500="Fail"))+SUMPRODUCT(--ISNUMBER(SEARCH(", "&amp;$B37&amp;", ",", "&amp;'Ghép nối'!$B$7:$B$500&amp;", ")),--('Ghép nối'!$AT$7:$AT$500="Fail"))+SUMPRODUCT(--ISNUMBER(SEARCH(", "&amp;$B37&amp;", ",", "&amp;'Huỷ đơn - Huỷ nhận đơn'!$B$7:$B$500&amp;", ")),--('Huỷ đơn - Huỷ nhận đơn'!$AT$7:$AT$500="Fail"))+SUMPRODUCT(--ISNUMBER(SEARCH(", "&amp;$B37&amp;", ",", "&amp;'Giao nhận &amp; Theo dõi đơn'!$B$7:$B$500&amp;", ")),--('Giao nhận &amp; Theo dõi đơn'!$AT$7:$AT$500="Fail"))+SUMPRODUCT(--ISNUMBER(SEARCH(", "&amp;$B37&amp;", ",", "&amp;'Bảng tin &amp; Chi tiết tin'!$B$7:$B$500&amp;", ")),--('Bảng tin &amp; Chi tiết tin'!$AT$7:$AT$500="Fail"))+SUMPRODUCT(--ISNUMBER(SEARCH(", "&amp;$B37&amp;", ",", "&amp;'Quà cảm ơn'!$B$7:$B$500&amp;", ")),--('Quà cảm ơn'!$AT$7:$AT$500="Fail"))+SUMPRODUCT(--ISNUMBER(SEARCH(", "&amp;$B37&amp;", ",", "&amp;'Trang chủ'!$B$7:$B$500&amp;", ")),--('Trang chủ'!$AT$7:$AT$500="Fail"))+SUMPRODUCT(--ISNUMBER(SEARCH(", "&amp;$B37&amp;", ",", "&amp;'Thông báo'!$B$7:$B$500&amp;", ")),--('Thông báo'!$AT$7:$AT$500="Fail"))+SUMPRODUCT(--ISNUMBER(SEARCH(", "&amp;$B37&amp;", ",", "&amp;'Đăng tin &amp; Quản lý tin'!$B$7:$B$500&amp;", ")),--('Đăng tin &amp; Quản lý tin'!$AT$7:$AT$500="Fail"))+SUMPRODUCT(--ISNUMBER(SEARCH(", "&amp;$B37&amp;", ",", "&amp;'Trust &amp; Safety'!$B$7:$B$500&amp;", ")),--('Trust &amp; Safety'!$AT$7:$AT$500="Fail"))+SUMPRODUCT(--ISNUMBER(SEARCH(", "&amp;$B37&amp;", ",", "&amp;'Tài khoản &amp; Hồ sơ'!$B$7:$B$500&amp;", ")),--('Tài khoản &amp; Hồ sơ'!$AT$7:$AT$500="Fail"))</f>
        <v>0</v>
      </c>
      <c r="I37" s="51" t="n">
        <f aca="false">SUMPRODUCT(--ISNUMBER(SEARCH(", "&amp;$B37&amp;", ",", "&amp;'Hoạt động (Đơn của tôi)'!$B$7:$B$500&amp;", ")),--('Hoạt động (Đơn của tôi)'!$AT$7:$AT$500="Block"))+SUMPRODUCT(--ISNUMBER(SEARCH(", "&amp;$B37&amp;", ",", "&amp;'Ghép nối'!$B$7:$B$500&amp;", ")),--('Ghép nối'!$AT$7:$AT$500="Block"))+SUMPRODUCT(--ISNUMBER(SEARCH(", "&amp;$B37&amp;", ",", "&amp;'Huỷ đơn - Huỷ nhận đơn'!$B$7:$B$500&amp;", ")),--('Huỷ đơn - Huỷ nhận đơn'!$AT$7:$AT$500="Block"))+SUMPRODUCT(--ISNUMBER(SEARCH(", "&amp;$B37&amp;", ",", "&amp;'Giao nhận &amp; Theo dõi đơn'!$B$7:$B$500&amp;", ")),--('Giao nhận &amp; Theo dõi đơn'!$AT$7:$AT$500="Block"))+SUMPRODUCT(--ISNUMBER(SEARCH(", "&amp;$B37&amp;", ",", "&amp;'Bảng tin &amp; Chi tiết tin'!$B$7:$B$500&amp;", ")),--('Bảng tin &amp; Chi tiết tin'!$AT$7:$AT$500="Block"))+SUMPRODUCT(--ISNUMBER(SEARCH(", "&amp;$B37&amp;", ",", "&amp;'Quà cảm ơn'!$B$7:$B$500&amp;", ")),--('Quà cảm ơn'!$AT$7:$AT$500="Block"))+SUMPRODUCT(--ISNUMBER(SEARCH(", "&amp;$B37&amp;", ",", "&amp;'Trang chủ'!$B$7:$B$500&amp;", ")),--('Trang chủ'!$AT$7:$AT$500="Block"))+SUMPRODUCT(--ISNUMBER(SEARCH(", "&amp;$B37&amp;", ",", "&amp;'Thông báo'!$B$7:$B$500&amp;", ")),--('Thông báo'!$AT$7:$AT$500="Block"))+SUMPRODUCT(--ISNUMBER(SEARCH(", "&amp;$B37&amp;", ",", "&amp;'Đăng tin &amp; Quản lý tin'!$B$7:$B$500&amp;", ")),--('Đăng tin &amp; Quản lý tin'!$AT$7:$AT$500="Block"))+SUMPRODUCT(--ISNUMBER(SEARCH(", "&amp;$B37&amp;", ",", "&amp;'Trust &amp; Safety'!$B$7:$B$500&amp;", ")),--('Trust &amp; Safety'!$AT$7:$AT$500="Block"))+SUMPRODUCT(--ISNUMBER(SEARCH(", "&amp;$B37&amp;", ",", "&amp;'Tài khoản &amp; Hồ sơ'!$B$7:$B$500&amp;", ")),--('Tài khoản &amp; Hồ sơ'!$AT$7:$AT$500="Block"))</f>
        <v>1</v>
      </c>
      <c r="J37" s="51" t="n">
        <f aca="false">SUMPRODUCT(--ISNUMBER(SEARCH(", "&amp;$B37&amp;", ",", "&amp;'Hoạt động (Đơn của tôi)'!$B$7:$B$500&amp;", ")),--('Hoạt động (Đơn của tôi)'!$AT$7:$AT$500="N/A"))+SUMPRODUCT(--ISNUMBER(SEARCH(", "&amp;$B37&amp;", ",", "&amp;'Ghép nối'!$B$7:$B$500&amp;", ")),--('Ghép nối'!$AT$7:$AT$500="N/A"))+SUMPRODUCT(--ISNUMBER(SEARCH(", "&amp;$B37&amp;", ",", "&amp;'Huỷ đơn - Huỷ nhận đơn'!$B$7:$B$500&amp;", ")),--('Huỷ đơn - Huỷ nhận đơn'!$AT$7:$AT$500="N/A"))+SUMPRODUCT(--ISNUMBER(SEARCH(", "&amp;$B37&amp;", ",", "&amp;'Giao nhận &amp; Theo dõi đơn'!$B$7:$B$500&amp;", ")),--('Giao nhận &amp; Theo dõi đơn'!$AT$7:$AT$500="N/A"))+SUMPRODUCT(--ISNUMBER(SEARCH(", "&amp;$B37&amp;", ",", "&amp;'Bảng tin &amp; Chi tiết tin'!$B$7:$B$500&amp;", ")),--('Bảng tin &amp; Chi tiết tin'!$AT$7:$AT$500="N/A"))+SUMPRODUCT(--ISNUMBER(SEARCH(", "&amp;$B37&amp;", ",", "&amp;'Quà cảm ơn'!$B$7:$B$500&amp;", ")),--('Quà cảm ơn'!$AT$7:$AT$500="N/A"))+SUMPRODUCT(--ISNUMBER(SEARCH(", "&amp;$B37&amp;", ",", "&amp;'Trang chủ'!$B$7:$B$500&amp;", ")),--('Trang chủ'!$AT$7:$AT$500="N/A"))+SUMPRODUCT(--ISNUMBER(SEARCH(", "&amp;$B37&amp;", ",", "&amp;'Thông báo'!$B$7:$B$500&amp;", ")),--('Thông báo'!$AT$7:$AT$500="N/A"))+SUMPRODUCT(--ISNUMBER(SEARCH(", "&amp;$B37&amp;", ",", "&amp;'Đăng tin &amp; Quản lý tin'!$B$7:$B$500&amp;", ")),--('Đăng tin &amp; Quản lý tin'!$AT$7:$AT$500="N/A"))+SUMPRODUCT(--ISNUMBER(SEARCH(", "&amp;$B37&amp;", ",", "&amp;'Trust &amp; Safety'!$B$7:$B$500&amp;", ")),--('Trust &amp; Safety'!$AT$7:$AT$500="N/A"))+SUMPRODUCT(--ISNUMBER(SEARCH(", "&amp;$B37&amp;", ",", "&amp;'Tài khoản &amp; Hồ sơ'!$B$7:$B$500&amp;", ")),--('Tài khoản &amp; Hồ sơ'!$AT$7:$AT$500="N/A"))</f>
        <v>0</v>
      </c>
      <c r="K37" s="52" t="n">
        <f aca="false">IFERROR(F37/E37,0)</f>
        <v>1</v>
      </c>
      <c r="L37" s="124" t="str">
        <f aca="false">IF(E37=0,"Chưa có TC (gap)",IF(H37&gt;0,"Có lỗi (Fail)",IF(I37&gt;0,"Bị block",IF(F37&lt;E37,"Đang test",IF(G37=0,"Không áp dụng (N/A)","Đã test xong")))))</f>
        <v>Bị block</v>
      </c>
      <c r="AB37" s="0" t="s">
        <v>515</v>
      </c>
    </row>
    <row r="38" customFormat="false" ht="15.75" hidden="false" customHeight="true" outlineLevel="0" collapsed="false">
      <c r="A38" s="1"/>
      <c r="B38" s="176" t="s">
        <v>598</v>
      </c>
      <c r="C38" s="177" t="s">
        <v>599</v>
      </c>
      <c r="D38" s="124" t="s">
        <v>600</v>
      </c>
      <c r="E38" s="51" t="n">
        <f aca="false">SUMPRODUCT(--ISNUMBER(SEARCH(", "&amp;$B38&amp;", ",", "&amp;'Hoạt động (Đơn của tôi)'!$B$7:$B$500&amp;", ")))+SUMPRODUCT(--ISNUMBER(SEARCH(", "&amp;$B38&amp;", ",", "&amp;'Ghép nối'!$B$7:$B$500&amp;", ")))+SUMPRODUCT(--ISNUMBER(SEARCH(", "&amp;$B38&amp;", ",", "&amp;'Huỷ đơn - Huỷ nhận đơn'!$B$7:$B$500&amp;", ")))+SUMPRODUCT(--ISNUMBER(SEARCH(", "&amp;$B38&amp;", ",", "&amp;'Giao nhận &amp; Theo dõi đơn'!$B$7:$B$500&amp;", ")))+SUMPRODUCT(--ISNUMBER(SEARCH(", "&amp;$B38&amp;", ",", "&amp;'Bảng tin &amp; Chi tiết tin'!$B$7:$B$500&amp;", ")))+SUMPRODUCT(--ISNUMBER(SEARCH(", "&amp;$B38&amp;", ",", "&amp;'Quà cảm ơn'!$B$7:$B$500&amp;", ")))+SUMPRODUCT(--ISNUMBER(SEARCH(", "&amp;$B38&amp;", ",", "&amp;'Trang chủ'!$B$7:$B$500&amp;", ")))+SUMPRODUCT(--ISNUMBER(SEARCH(", "&amp;$B38&amp;", ",", "&amp;'Thông báo'!$B$7:$B$500&amp;", ")))+SUMPRODUCT(--ISNUMBER(SEARCH(", "&amp;$B38&amp;", ",", "&amp;'Đăng tin &amp; Quản lý tin'!$B$7:$B$500&amp;", ")))+SUMPRODUCT(--ISNUMBER(SEARCH(", "&amp;$B38&amp;", ",", "&amp;'Trust &amp; Safety'!$B$7:$B$500&amp;", ")))+SUMPRODUCT(--ISNUMBER(SEARCH(", "&amp;$B38&amp;", ",", "&amp;'Tài khoản &amp; Hồ sơ'!$B$7:$B$500&amp;", ")))</f>
        <v>1</v>
      </c>
      <c r="F38" s="51" t="n">
        <f aca="false">SUMPRODUCT(--ISNUMBER(SEARCH(", "&amp;$B38&amp;", ",", "&amp;'Hoạt động (Đơn của tôi)'!$B$7:$B$500&amp;", ")),--('Hoạt động (Đơn của tôi)'!$AT$7:$AT$500&lt;&gt;""))+SUMPRODUCT(--ISNUMBER(SEARCH(", "&amp;$B38&amp;", ",", "&amp;'Ghép nối'!$B$7:$B$500&amp;", ")),--('Ghép nối'!$AT$7:$AT$500&lt;&gt;""))+SUMPRODUCT(--ISNUMBER(SEARCH(", "&amp;$B38&amp;", ",", "&amp;'Huỷ đơn - Huỷ nhận đơn'!$B$7:$B$500&amp;", ")),--('Huỷ đơn - Huỷ nhận đơn'!$AT$7:$AT$500&lt;&gt;""))+SUMPRODUCT(--ISNUMBER(SEARCH(", "&amp;$B38&amp;", ",", "&amp;'Giao nhận &amp; Theo dõi đơn'!$B$7:$B$500&amp;", ")),--('Giao nhận &amp; Theo dõi đơn'!$AT$7:$AT$500&lt;&gt;""))+SUMPRODUCT(--ISNUMBER(SEARCH(", "&amp;$B38&amp;", ",", "&amp;'Bảng tin &amp; Chi tiết tin'!$B$7:$B$500&amp;", ")),--('Bảng tin &amp; Chi tiết tin'!$AT$7:$AT$500&lt;&gt;""))+SUMPRODUCT(--ISNUMBER(SEARCH(", "&amp;$B38&amp;", ",", "&amp;'Quà cảm ơn'!$B$7:$B$500&amp;", ")),--('Quà cảm ơn'!$AT$7:$AT$500&lt;&gt;""))+SUMPRODUCT(--ISNUMBER(SEARCH(", "&amp;$B38&amp;", ",", "&amp;'Trang chủ'!$B$7:$B$500&amp;", ")),--('Trang chủ'!$AT$7:$AT$500&lt;&gt;""))+SUMPRODUCT(--ISNUMBER(SEARCH(", "&amp;$B38&amp;", ",", "&amp;'Thông báo'!$B$7:$B$500&amp;", ")),--('Thông báo'!$AT$7:$AT$500&lt;&gt;""))+SUMPRODUCT(--ISNUMBER(SEARCH(", "&amp;$B38&amp;", ",", "&amp;'Đăng tin &amp; Quản lý tin'!$B$7:$B$500&amp;", ")),--('Đăng tin &amp; Quản lý tin'!$AT$7:$AT$500&lt;&gt;""))+SUMPRODUCT(--ISNUMBER(SEARCH(", "&amp;$B38&amp;", ",", "&amp;'Trust &amp; Safety'!$B$7:$B$500&amp;", ")),--('Trust &amp; Safety'!$AT$7:$AT$500&lt;&gt;""))+SUMPRODUCT(--ISNUMBER(SEARCH(", "&amp;$B38&amp;", ",", "&amp;'Tài khoản &amp; Hồ sơ'!$B$7:$B$500&amp;", ")),--('Tài khoản &amp; Hồ sơ'!$AT$7:$AT$500&lt;&gt;""))</f>
        <v>1</v>
      </c>
      <c r="G38" s="51" t="n">
        <f aca="false">SUMPRODUCT(--ISNUMBER(SEARCH(", "&amp;$B38&amp;", ",", "&amp;'Hoạt động (Đơn của tôi)'!$B$7:$B$500&amp;", ")),--('Hoạt động (Đơn của tôi)'!$AT$7:$AT$500="Pass"))+SUMPRODUCT(--ISNUMBER(SEARCH(", "&amp;$B38&amp;", ",", "&amp;'Ghép nối'!$B$7:$B$500&amp;", ")),--('Ghép nối'!$AT$7:$AT$500="Pass"))+SUMPRODUCT(--ISNUMBER(SEARCH(", "&amp;$B38&amp;", ",", "&amp;'Huỷ đơn - Huỷ nhận đơn'!$B$7:$B$500&amp;", ")),--('Huỷ đơn - Huỷ nhận đơn'!$AT$7:$AT$500="Pass"))+SUMPRODUCT(--ISNUMBER(SEARCH(", "&amp;$B38&amp;", ",", "&amp;'Giao nhận &amp; Theo dõi đơn'!$B$7:$B$500&amp;", ")),--('Giao nhận &amp; Theo dõi đơn'!$AT$7:$AT$500="Pass"))+SUMPRODUCT(--ISNUMBER(SEARCH(", "&amp;$B38&amp;", ",", "&amp;'Bảng tin &amp; Chi tiết tin'!$B$7:$B$500&amp;", ")),--('Bảng tin &amp; Chi tiết tin'!$AT$7:$AT$500="Pass"))+SUMPRODUCT(--ISNUMBER(SEARCH(", "&amp;$B38&amp;", ",", "&amp;'Quà cảm ơn'!$B$7:$B$500&amp;", ")),--('Quà cảm ơn'!$AT$7:$AT$500="Pass"))+SUMPRODUCT(--ISNUMBER(SEARCH(", "&amp;$B38&amp;", ",", "&amp;'Trang chủ'!$B$7:$B$500&amp;", ")),--('Trang chủ'!$AT$7:$AT$500="Pass"))+SUMPRODUCT(--ISNUMBER(SEARCH(", "&amp;$B38&amp;", ",", "&amp;'Thông báo'!$B$7:$B$500&amp;", ")),--('Thông báo'!$AT$7:$AT$500="Pass"))+SUMPRODUCT(--ISNUMBER(SEARCH(", "&amp;$B38&amp;", ",", "&amp;'Đăng tin &amp; Quản lý tin'!$B$7:$B$500&amp;", ")),--('Đăng tin &amp; Quản lý tin'!$AT$7:$AT$500="Pass"))+SUMPRODUCT(--ISNUMBER(SEARCH(", "&amp;$B38&amp;", ",", "&amp;'Trust &amp; Safety'!$B$7:$B$500&amp;", ")),--('Trust &amp; Safety'!$AT$7:$AT$500="Pass"))+SUMPRODUCT(--ISNUMBER(SEARCH(", "&amp;$B38&amp;", ",", "&amp;'Tài khoản &amp; Hồ sơ'!$B$7:$B$500&amp;", ")),--('Tài khoản &amp; Hồ sơ'!$AT$7:$AT$500="Pass"))</f>
        <v>1</v>
      </c>
      <c r="H38" s="51" t="n">
        <f aca="false">SUMPRODUCT(--ISNUMBER(SEARCH(", "&amp;$B38&amp;", ",", "&amp;'Hoạt động (Đơn của tôi)'!$B$7:$B$500&amp;", ")),--('Hoạt động (Đơn của tôi)'!$AT$7:$AT$500="Fail"))+SUMPRODUCT(--ISNUMBER(SEARCH(", "&amp;$B38&amp;", ",", "&amp;'Ghép nối'!$B$7:$B$500&amp;", ")),--('Ghép nối'!$AT$7:$AT$500="Fail"))+SUMPRODUCT(--ISNUMBER(SEARCH(", "&amp;$B38&amp;", ",", "&amp;'Huỷ đơn - Huỷ nhận đơn'!$B$7:$B$500&amp;", ")),--('Huỷ đơn - Huỷ nhận đơn'!$AT$7:$AT$500="Fail"))+SUMPRODUCT(--ISNUMBER(SEARCH(", "&amp;$B38&amp;", ",", "&amp;'Giao nhận &amp; Theo dõi đơn'!$B$7:$B$500&amp;", ")),--('Giao nhận &amp; Theo dõi đơn'!$AT$7:$AT$500="Fail"))+SUMPRODUCT(--ISNUMBER(SEARCH(", "&amp;$B38&amp;", ",", "&amp;'Bảng tin &amp; Chi tiết tin'!$B$7:$B$500&amp;", ")),--('Bảng tin &amp; Chi tiết tin'!$AT$7:$AT$500="Fail"))+SUMPRODUCT(--ISNUMBER(SEARCH(", "&amp;$B38&amp;", ",", "&amp;'Quà cảm ơn'!$B$7:$B$500&amp;", ")),--('Quà cảm ơn'!$AT$7:$AT$500="Fail"))+SUMPRODUCT(--ISNUMBER(SEARCH(", "&amp;$B38&amp;", ",", "&amp;'Trang chủ'!$B$7:$B$500&amp;", ")),--('Trang chủ'!$AT$7:$AT$500="Fail"))+SUMPRODUCT(--ISNUMBER(SEARCH(", "&amp;$B38&amp;", ",", "&amp;'Thông báo'!$B$7:$B$500&amp;", ")),--('Thông báo'!$AT$7:$AT$500="Fail"))+SUMPRODUCT(--ISNUMBER(SEARCH(", "&amp;$B38&amp;", ",", "&amp;'Đăng tin &amp; Quản lý tin'!$B$7:$B$500&amp;", ")),--('Đăng tin &amp; Quản lý tin'!$AT$7:$AT$500="Fail"))+SUMPRODUCT(--ISNUMBER(SEARCH(", "&amp;$B38&amp;", ",", "&amp;'Trust &amp; Safety'!$B$7:$B$500&amp;", ")),--('Trust &amp; Safety'!$AT$7:$AT$500="Fail"))+SUMPRODUCT(--ISNUMBER(SEARCH(", "&amp;$B38&amp;", ",", "&amp;'Tài khoản &amp; Hồ sơ'!$B$7:$B$500&amp;", ")),--('Tài khoản &amp; Hồ sơ'!$AT$7:$AT$500="Fail"))</f>
        <v>0</v>
      </c>
      <c r="I38" s="51" t="n">
        <f aca="false">SUMPRODUCT(--ISNUMBER(SEARCH(", "&amp;$B38&amp;", ",", "&amp;'Hoạt động (Đơn của tôi)'!$B$7:$B$500&amp;", ")),--('Hoạt động (Đơn của tôi)'!$AT$7:$AT$500="Block"))+SUMPRODUCT(--ISNUMBER(SEARCH(", "&amp;$B38&amp;", ",", "&amp;'Ghép nối'!$B$7:$B$500&amp;", ")),--('Ghép nối'!$AT$7:$AT$500="Block"))+SUMPRODUCT(--ISNUMBER(SEARCH(", "&amp;$B38&amp;", ",", "&amp;'Huỷ đơn - Huỷ nhận đơn'!$B$7:$B$500&amp;", ")),--('Huỷ đơn - Huỷ nhận đơn'!$AT$7:$AT$500="Block"))+SUMPRODUCT(--ISNUMBER(SEARCH(", "&amp;$B38&amp;", ",", "&amp;'Giao nhận &amp; Theo dõi đơn'!$B$7:$B$500&amp;", ")),--('Giao nhận &amp; Theo dõi đơn'!$AT$7:$AT$500="Block"))+SUMPRODUCT(--ISNUMBER(SEARCH(", "&amp;$B38&amp;", ",", "&amp;'Bảng tin &amp; Chi tiết tin'!$B$7:$B$500&amp;", ")),--('Bảng tin &amp; Chi tiết tin'!$AT$7:$AT$500="Block"))+SUMPRODUCT(--ISNUMBER(SEARCH(", "&amp;$B38&amp;", ",", "&amp;'Quà cảm ơn'!$B$7:$B$500&amp;", ")),--('Quà cảm ơn'!$AT$7:$AT$500="Block"))+SUMPRODUCT(--ISNUMBER(SEARCH(", "&amp;$B38&amp;", ",", "&amp;'Trang chủ'!$B$7:$B$500&amp;", ")),--('Trang chủ'!$AT$7:$AT$500="Block"))+SUMPRODUCT(--ISNUMBER(SEARCH(", "&amp;$B38&amp;", ",", "&amp;'Thông báo'!$B$7:$B$500&amp;", ")),--('Thông báo'!$AT$7:$AT$500="Block"))+SUMPRODUCT(--ISNUMBER(SEARCH(", "&amp;$B38&amp;", ",", "&amp;'Đăng tin &amp; Quản lý tin'!$B$7:$B$500&amp;", ")),--('Đăng tin &amp; Quản lý tin'!$AT$7:$AT$500="Block"))+SUMPRODUCT(--ISNUMBER(SEARCH(", "&amp;$B38&amp;", ",", "&amp;'Trust &amp; Safety'!$B$7:$B$500&amp;", ")),--('Trust &amp; Safety'!$AT$7:$AT$500="Block"))+SUMPRODUCT(--ISNUMBER(SEARCH(", "&amp;$B38&amp;", ",", "&amp;'Tài khoản &amp; Hồ sơ'!$B$7:$B$500&amp;", ")),--('Tài khoản &amp; Hồ sơ'!$AT$7:$AT$500="Block"))</f>
        <v>0</v>
      </c>
      <c r="J38" s="51" t="n">
        <f aca="false">SUMPRODUCT(--ISNUMBER(SEARCH(", "&amp;$B38&amp;", ",", "&amp;'Hoạt động (Đơn của tôi)'!$B$7:$B$500&amp;", ")),--('Hoạt động (Đơn của tôi)'!$AT$7:$AT$500="N/A"))+SUMPRODUCT(--ISNUMBER(SEARCH(", "&amp;$B38&amp;", ",", "&amp;'Ghép nối'!$B$7:$B$500&amp;", ")),--('Ghép nối'!$AT$7:$AT$500="N/A"))+SUMPRODUCT(--ISNUMBER(SEARCH(", "&amp;$B38&amp;", ",", "&amp;'Huỷ đơn - Huỷ nhận đơn'!$B$7:$B$500&amp;", ")),--('Huỷ đơn - Huỷ nhận đơn'!$AT$7:$AT$500="N/A"))+SUMPRODUCT(--ISNUMBER(SEARCH(", "&amp;$B38&amp;", ",", "&amp;'Giao nhận &amp; Theo dõi đơn'!$B$7:$B$500&amp;", ")),--('Giao nhận &amp; Theo dõi đơn'!$AT$7:$AT$500="N/A"))+SUMPRODUCT(--ISNUMBER(SEARCH(", "&amp;$B38&amp;", ",", "&amp;'Bảng tin &amp; Chi tiết tin'!$B$7:$B$500&amp;", ")),--('Bảng tin &amp; Chi tiết tin'!$AT$7:$AT$500="N/A"))+SUMPRODUCT(--ISNUMBER(SEARCH(", "&amp;$B38&amp;", ",", "&amp;'Quà cảm ơn'!$B$7:$B$500&amp;", ")),--('Quà cảm ơn'!$AT$7:$AT$500="N/A"))+SUMPRODUCT(--ISNUMBER(SEARCH(", "&amp;$B38&amp;", ",", "&amp;'Trang chủ'!$B$7:$B$500&amp;", ")),--('Trang chủ'!$AT$7:$AT$500="N/A"))+SUMPRODUCT(--ISNUMBER(SEARCH(", "&amp;$B38&amp;", ",", "&amp;'Thông báo'!$B$7:$B$500&amp;", ")),--('Thông báo'!$AT$7:$AT$500="N/A"))+SUMPRODUCT(--ISNUMBER(SEARCH(", "&amp;$B38&amp;", ",", "&amp;'Đăng tin &amp; Quản lý tin'!$B$7:$B$500&amp;", ")),--('Đăng tin &amp; Quản lý tin'!$AT$7:$AT$500="N/A"))+SUMPRODUCT(--ISNUMBER(SEARCH(", "&amp;$B38&amp;", ",", "&amp;'Trust &amp; Safety'!$B$7:$B$500&amp;", ")),--('Trust &amp; Safety'!$AT$7:$AT$500="N/A"))+SUMPRODUCT(--ISNUMBER(SEARCH(", "&amp;$B38&amp;", ",", "&amp;'Tài khoản &amp; Hồ sơ'!$B$7:$B$500&amp;", ")),--('Tài khoản &amp; Hồ sơ'!$AT$7:$AT$500="N/A"))</f>
        <v>0</v>
      </c>
      <c r="K38" s="52" t="n">
        <f aca="false">IFERROR(F38/E38,0)</f>
        <v>1</v>
      </c>
      <c r="L38" s="124" t="str">
        <f aca="false">IF(E38=0,"Chưa có TC (gap)",IF(H38&gt;0,"Có lỗi (Fail)",IF(I38&gt;0,"Bị block",IF(F38&lt;E38,"Đang test",IF(G38=0,"Không áp dụng (N/A)","Đã test xong")))))</f>
        <v>Đã test xong</v>
      </c>
      <c r="AB38" s="0" t="s">
        <v>519</v>
      </c>
    </row>
    <row r="39" customFormat="false" ht="15.75" hidden="false" customHeight="true" outlineLevel="0" collapsed="false">
      <c r="A39" s="1"/>
      <c r="B39" s="176" t="s">
        <v>601</v>
      </c>
      <c r="C39" s="177" t="s">
        <v>602</v>
      </c>
      <c r="D39" s="124" t="s">
        <v>603</v>
      </c>
      <c r="E39" s="51" t="n">
        <f aca="false">SUMPRODUCT(--ISNUMBER(SEARCH(", "&amp;$B39&amp;", ",", "&amp;'Hoạt động (Đơn của tôi)'!$B$7:$B$500&amp;", ")))+SUMPRODUCT(--ISNUMBER(SEARCH(", "&amp;$B39&amp;", ",", "&amp;'Ghép nối'!$B$7:$B$500&amp;", ")))+SUMPRODUCT(--ISNUMBER(SEARCH(", "&amp;$B39&amp;", ",", "&amp;'Huỷ đơn - Huỷ nhận đơn'!$B$7:$B$500&amp;", ")))+SUMPRODUCT(--ISNUMBER(SEARCH(", "&amp;$B39&amp;", ",", "&amp;'Giao nhận &amp; Theo dõi đơn'!$B$7:$B$500&amp;", ")))+SUMPRODUCT(--ISNUMBER(SEARCH(", "&amp;$B39&amp;", ",", "&amp;'Bảng tin &amp; Chi tiết tin'!$B$7:$B$500&amp;", ")))+SUMPRODUCT(--ISNUMBER(SEARCH(", "&amp;$B39&amp;", ",", "&amp;'Quà cảm ơn'!$B$7:$B$500&amp;", ")))+SUMPRODUCT(--ISNUMBER(SEARCH(", "&amp;$B39&amp;", ",", "&amp;'Trang chủ'!$B$7:$B$500&amp;", ")))+SUMPRODUCT(--ISNUMBER(SEARCH(", "&amp;$B39&amp;", ",", "&amp;'Thông báo'!$B$7:$B$500&amp;", ")))+SUMPRODUCT(--ISNUMBER(SEARCH(", "&amp;$B39&amp;", ",", "&amp;'Đăng tin &amp; Quản lý tin'!$B$7:$B$500&amp;", ")))+SUMPRODUCT(--ISNUMBER(SEARCH(", "&amp;$B39&amp;", ",", "&amp;'Trust &amp; Safety'!$B$7:$B$500&amp;", ")))+SUMPRODUCT(--ISNUMBER(SEARCH(", "&amp;$B39&amp;", ",", "&amp;'Tài khoản &amp; Hồ sơ'!$B$7:$B$500&amp;", ")))</f>
        <v>1</v>
      </c>
      <c r="F39" s="51" t="n">
        <f aca="false">SUMPRODUCT(--ISNUMBER(SEARCH(", "&amp;$B39&amp;", ",", "&amp;'Hoạt động (Đơn của tôi)'!$B$7:$B$500&amp;", ")),--('Hoạt động (Đơn của tôi)'!$AT$7:$AT$500&lt;&gt;""))+SUMPRODUCT(--ISNUMBER(SEARCH(", "&amp;$B39&amp;", ",", "&amp;'Ghép nối'!$B$7:$B$500&amp;", ")),--('Ghép nối'!$AT$7:$AT$500&lt;&gt;""))+SUMPRODUCT(--ISNUMBER(SEARCH(", "&amp;$B39&amp;", ",", "&amp;'Huỷ đơn - Huỷ nhận đơn'!$B$7:$B$500&amp;", ")),--('Huỷ đơn - Huỷ nhận đơn'!$AT$7:$AT$500&lt;&gt;""))+SUMPRODUCT(--ISNUMBER(SEARCH(", "&amp;$B39&amp;", ",", "&amp;'Giao nhận &amp; Theo dõi đơn'!$B$7:$B$500&amp;", ")),--('Giao nhận &amp; Theo dõi đơn'!$AT$7:$AT$500&lt;&gt;""))+SUMPRODUCT(--ISNUMBER(SEARCH(", "&amp;$B39&amp;", ",", "&amp;'Bảng tin &amp; Chi tiết tin'!$B$7:$B$500&amp;", ")),--('Bảng tin &amp; Chi tiết tin'!$AT$7:$AT$500&lt;&gt;""))+SUMPRODUCT(--ISNUMBER(SEARCH(", "&amp;$B39&amp;", ",", "&amp;'Quà cảm ơn'!$B$7:$B$500&amp;", ")),--('Quà cảm ơn'!$AT$7:$AT$500&lt;&gt;""))+SUMPRODUCT(--ISNUMBER(SEARCH(", "&amp;$B39&amp;", ",", "&amp;'Trang chủ'!$B$7:$B$500&amp;", ")),--('Trang chủ'!$AT$7:$AT$500&lt;&gt;""))+SUMPRODUCT(--ISNUMBER(SEARCH(", "&amp;$B39&amp;", ",", "&amp;'Thông báo'!$B$7:$B$500&amp;", ")),--('Thông báo'!$AT$7:$AT$500&lt;&gt;""))+SUMPRODUCT(--ISNUMBER(SEARCH(", "&amp;$B39&amp;", ",", "&amp;'Đăng tin &amp; Quản lý tin'!$B$7:$B$500&amp;", ")),--('Đăng tin &amp; Quản lý tin'!$AT$7:$AT$500&lt;&gt;""))+SUMPRODUCT(--ISNUMBER(SEARCH(", "&amp;$B39&amp;", ",", "&amp;'Trust &amp; Safety'!$B$7:$B$500&amp;", ")),--('Trust &amp; Safety'!$AT$7:$AT$500&lt;&gt;""))+SUMPRODUCT(--ISNUMBER(SEARCH(", "&amp;$B39&amp;", ",", "&amp;'Tài khoản &amp; Hồ sơ'!$B$7:$B$500&amp;", ")),--('Tài khoản &amp; Hồ sơ'!$AT$7:$AT$500&lt;&gt;""))</f>
        <v>1</v>
      </c>
      <c r="G39" s="51" t="n">
        <f aca="false">SUMPRODUCT(--ISNUMBER(SEARCH(", "&amp;$B39&amp;", ",", "&amp;'Hoạt động (Đơn của tôi)'!$B$7:$B$500&amp;", ")),--('Hoạt động (Đơn của tôi)'!$AT$7:$AT$500="Pass"))+SUMPRODUCT(--ISNUMBER(SEARCH(", "&amp;$B39&amp;", ",", "&amp;'Ghép nối'!$B$7:$B$500&amp;", ")),--('Ghép nối'!$AT$7:$AT$500="Pass"))+SUMPRODUCT(--ISNUMBER(SEARCH(", "&amp;$B39&amp;", ",", "&amp;'Huỷ đơn - Huỷ nhận đơn'!$B$7:$B$500&amp;", ")),--('Huỷ đơn - Huỷ nhận đơn'!$AT$7:$AT$500="Pass"))+SUMPRODUCT(--ISNUMBER(SEARCH(", "&amp;$B39&amp;", ",", "&amp;'Giao nhận &amp; Theo dõi đơn'!$B$7:$B$500&amp;", ")),--('Giao nhận &amp; Theo dõi đơn'!$AT$7:$AT$500="Pass"))+SUMPRODUCT(--ISNUMBER(SEARCH(", "&amp;$B39&amp;", ",", "&amp;'Bảng tin &amp; Chi tiết tin'!$B$7:$B$500&amp;", ")),--('Bảng tin &amp; Chi tiết tin'!$AT$7:$AT$500="Pass"))+SUMPRODUCT(--ISNUMBER(SEARCH(", "&amp;$B39&amp;", ",", "&amp;'Quà cảm ơn'!$B$7:$B$500&amp;", ")),--('Quà cảm ơn'!$AT$7:$AT$500="Pass"))+SUMPRODUCT(--ISNUMBER(SEARCH(", "&amp;$B39&amp;", ",", "&amp;'Trang chủ'!$B$7:$B$500&amp;", ")),--('Trang chủ'!$AT$7:$AT$500="Pass"))+SUMPRODUCT(--ISNUMBER(SEARCH(", "&amp;$B39&amp;", ",", "&amp;'Thông báo'!$B$7:$B$500&amp;", ")),--('Thông báo'!$AT$7:$AT$500="Pass"))+SUMPRODUCT(--ISNUMBER(SEARCH(", "&amp;$B39&amp;", ",", "&amp;'Đăng tin &amp; Quản lý tin'!$B$7:$B$500&amp;", ")),--('Đăng tin &amp; Quản lý tin'!$AT$7:$AT$500="Pass"))+SUMPRODUCT(--ISNUMBER(SEARCH(", "&amp;$B39&amp;", ",", "&amp;'Trust &amp; Safety'!$B$7:$B$500&amp;", ")),--('Trust &amp; Safety'!$AT$7:$AT$500="Pass"))+SUMPRODUCT(--ISNUMBER(SEARCH(", "&amp;$B39&amp;", ",", "&amp;'Tài khoản &amp; Hồ sơ'!$B$7:$B$500&amp;", ")),--('Tài khoản &amp; Hồ sơ'!$AT$7:$AT$500="Pass"))</f>
        <v>0</v>
      </c>
      <c r="H39" s="51" t="n">
        <f aca="false">SUMPRODUCT(--ISNUMBER(SEARCH(", "&amp;$B39&amp;", ",", "&amp;'Hoạt động (Đơn của tôi)'!$B$7:$B$500&amp;", ")),--('Hoạt động (Đơn của tôi)'!$AT$7:$AT$500="Fail"))+SUMPRODUCT(--ISNUMBER(SEARCH(", "&amp;$B39&amp;", ",", "&amp;'Ghép nối'!$B$7:$B$500&amp;", ")),--('Ghép nối'!$AT$7:$AT$500="Fail"))+SUMPRODUCT(--ISNUMBER(SEARCH(", "&amp;$B39&amp;", ",", "&amp;'Huỷ đơn - Huỷ nhận đơn'!$B$7:$B$500&amp;", ")),--('Huỷ đơn - Huỷ nhận đơn'!$AT$7:$AT$500="Fail"))+SUMPRODUCT(--ISNUMBER(SEARCH(", "&amp;$B39&amp;", ",", "&amp;'Giao nhận &amp; Theo dõi đơn'!$B$7:$B$500&amp;", ")),--('Giao nhận &amp; Theo dõi đơn'!$AT$7:$AT$500="Fail"))+SUMPRODUCT(--ISNUMBER(SEARCH(", "&amp;$B39&amp;", ",", "&amp;'Bảng tin &amp; Chi tiết tin'!$B$7:$B$500&amp;", ")),--('Bảng tin &amp; Chi tiết tin'!$AT$7:$AT$500="Fail"))+SUMPRODUCT(--ISNUMBER(SEARCH(", "&amp;$B39&amp;", ",", "&amp;'Quà cảm ơn'!$B$7:$B$500&amp;", ")),--('Quà cảm ơn'!$AT$7:$AT$500="Fail"))+SUMPRODUCT(--ISNUMBER(SEARCH(", "&amp;$B39&amp;", ",", "&amp;'Trang chủ'!$B$7:$B$500&amp;", ")),--('Trang chủ'!$AT$7:$AT$500="Fail"))+SUMPRODUCT(--ISNUMBER(SEARCH(", "&amp;$B39&amp;", ",", "&amp;'Thông báo'!$B$7:$B$500&amp;", ")),--('Thông báo'!$AT$7:$AT$500="Fail"))+SUMPRODUCT(--ISNUMBER(SEARCH(", "&amp;$B39&amp;", ",", "&amp;'Đăng tin &amp; Quản lý tin'!$B$7:$B$500&amp;", ")),--('Đăng tin &amp; Quản lý tin'!$AT$7:$AT$500="Fail"))+SUMPRODUCT(--ISNUMBER(SEARCH(", "&amp;$B39&amp;", ",", "&amp;'Trust &amp; Safety'!$B$7:$B$500&amp;", ")),--('Trust &amp; Safety'!$AT$7:$AT$500="Fail"))+SUMPRODUCT(--ISNUMBER(SEARCH(", "&amp;$B39&amp;", ",", "&amp;'Tài khoản &amp; Hồ sơ'!$B$7:$B$500&amp;", ")),--('Tài khoản &amp; Hồ sơ'!$AT$7:$AT$500="Fail"))</f>
        <v>1</v>
      </c>
      <c r="I39" s="51" t="n">
        <f aca="false">SUMPRODUCT(--ISNUMBER(SEARCH(", "&amp;$B39&amp;", ",", "&amp;'Hoạt động (Đơn của tôi)'!$B$7:$B$500&amp;", ")),--('Hoạt động (Đơn của tôi)'!$AT$7:$AT$500="Block"))+SUMPRODUCT(--ISNUMBER(SEARCH(", "&amp;$B39&amp;", ",", "&amp;'Ghép nối'!$B$7:$B$500&amp;", ")),--('Ghép nối'!$AT$7:$AT$500="Block"))+SUMPRODUCT(--ISNUMBER(SEARCH(", "&amp;$B39&amp;", ",", "&amp;'Huỷ đơn - Huỷ nhận đơn'!$B$7:$B$500&amp;", ")),--('Huỷ đơn - Huỷ nhận đơn'!$AT$7:$AT$500="Block"))+SUMPRODUCT(--ISNUMBER(SEARCH(", "&amp;$B39&amp;", ",", "&amp;'Giao nhận &amp; Theo dõi đơn'!$B$7:$B$500&amp;", ")),--('Giao nhận &amp; Theo dõi đơn'!$AT$7:$AT$500="Block"))+SUMPRODUCT(--ISNUMBER(SEARCH(", "&amp;$B39&amp;", ",", "&amp;'Bảng tin &amp; Chi tiết tin'!$B$7:$B$500&amp;", ")),--('Bảng tin &amp; Chi tiết tin'!$AT$7:$AT$500="Block"))+SUMPRODUCT(--ISNUMBER(SEARCH(", "&amp;$B39&amp;", ",", "&amp;'Quà cảm ơn'!$B$7:$B$500&amp;", ")),--('Quà cảm ơn'!$AT$7:$AT$500="Block"))+SUMPRODUCT(--ISNUMBER(SEARCH(", "&amp;$B39&amp;", ",", "&amp;'Trang chủ'!$B$7:$B$500&amp;", ")),--('Trang chủ'!$AT$7:$AT$500="Block"))+SUMPRODUCT(--ISNUMBER(SEARCH(", "&amp;$B39&amp;", ",", "&amp;'Thông báo'!$B$7:$B$500&amp;", ")),--('Thông báo'!$AT$7:$AT$500="Block"))+SUMPRODUCT(--ISNUMBER(SEARCH(", "&amp;$B39&amp;", ",", "&amp;'Đăng tin &amp; Quản lý tin'!$B$7:$B$500&amp;", ")),--('Đăng tin &amp; Quản lý tin'!$AT$7:$AT$500="Block"))+SUMPRODUCT(--ISNUMBER(SEARCH(", "&amp;$B39&amp;", ",", "&amp;'Trust &amp; Safety'!$B$7:$B$500&amp;", ")),--('Trust &amp; Safety'!$AT$7:$AT$500="Block"))+SUMPRODUCT(--ISNUMBER(SEARCH(", "&amp;$B39&amp;", ",", "&amp;'Tài khoản &amp; Hồ sơ'!$B$7:$B$500&amp;", ")),--('Tài khoản &amp; Hồ sơ'!$AT$7:$AT$500="Block"))</f>
        <v>0</v>
      </c>
      <c r="J39" s="51" t="n">
        <f aca="false">SUMPRODUCT(--ISNUMBER(SEARCH(", "&amp;$B39&amp;", ",", "&amp;'Hoạt động (Đơn của tôi)'!$B$7:$B$500&amp;", ")),--('Hoạt động (Đơn của tôi)'!$AT$7:$AT$500="N/A"))+SUMPRODUCT(--ISNUMBER(SEARCH(", "&amp;$B39&amp;", ",", "&amp;'Ghép nối'!$B$7:$B$500&amp;", ")),--('Ghép nối'!$AT$7:$AT$500="N/A"))+SUMPRODUCT(--ISNUMBER(SEARCH(", "&amp;$B39&amp;", ",", "&amp;'Huỷ đơn - Huỷ nhận đơn'!$B$7:$B$500&amp;", ")),--('Huỷ đơn - Huỷ nhận đơn'!$AT$7:$AT$500="N/A"))+SUMPRODUCT(--ISNUMBER(SEARCH(", "&amp;$B39&amp;", ",", "&amp;'Giao nhận &amp; Theo dõi đơn'!$B$7:$B$500&amp;", ")),--('Giao nhận &amp; Theo dõi đơn'!$AT$7:$AT$500="N/A"))+SUMPRODUCT(--ISNUMBER(SEARCH(", "&amp;$B39&amp;", ",", "&amp;'Bảng tin &amp; Chi tiết tin'!$B$7:$B$500&amp;", ")),--('Bảng tin &amp; Chi tiết tin'!$AT$7:$AT$500="N/A"))+SUMPRODUCT(--ISNUMBER(SEARCH(", "&amp;$B39&amp;", ",", "&amp;'Quà cảm ơn'!$B$7:$B$500&amp;", ")),--('Quà cảm ơn'!$AT$7:$AT$500="N/A"))+SUMPRODUCT(--ISNUMBER(SEARCH(", "&amp;$B39&amp;", ",", "&amp;'Trang chủ'!$B$7:$B$500&amp;", ")),--('Trang chủ'!$AT$7:$AT$500="N/A"))+SUMPRODUCT(--ISNUMBER(SEARCH(", "&amp;$B39&amp;", ",", "&amp;'Thông báo'!$B$7:$B$500&amp;", ")),--('Thông báo'!$AT$7:$AT$500="N/A"))+SUMPRODUCT(--ISNUMBER(SEARCH(", "&amp;$B39&amp;", ",", "&amp;'Đăng tin &amp; Quản lý tin'!$B$7:$B$500&amp;", ")),--('Đăng tin &amp; Quản lý tin'!$AT$7:$AT$500="N/A"))+SUMPRODUCT(--ISNUMBER(SEARCH(", "&amp;$B39&amp;", ",", "&amp;'Trust &amp; Safety'!$B$7:$B$500&amp;", ")),--('Trust &amp; Safety'!$AT$7:$AT$500="N/A"))+SUMPRODUCT(--ISNUMBER(SEARCH(", "&amp;$B39&amp;", ",", "&amp;'Tài khoản &amp; Hồ sơ'!$B$7:$B$500&amp;", ")),--('Tài khoản &amp; Hồ sơ'!$AT$7:$AT$500="N/A"))</f>
        <v>0</v>
      </c>
      <c r="K39" s="52" t="n">
        <f aca="false">IFERROR(F39/E39,0)</f>
        <v>1</v>
      </c>
      <c r="L39" s="124" t="str">
        <f aca="false">IF(E39=0,"Chưa có TC (gap)",IF(H39&gt;0,"Có lỗi (Fail)",IF(I39&gt;0,"Bị block",IF(F39&lt;E39,"Đang test",IF(G39=0,"Không áp dụng (N/A)","Đã test xong")))))</f>
        <v>Có lỗi (Fail)</v>
      </c>
      <c r="AB39" s="0" t="s">
        <v>519</v>
      </c>
    </row>
    <row r="40" customFormat="false" ht="15.75" hidden="false" customHeight="true" outlineLevel="0" collapsed="false">
      <c r="A40" s="1"/>
      <c r="B40" s="176" t="s">
        <v>604</v>
      </c>
      <c r="C40" s="177" t="s">
        <v>605</v>
      </c>
      <c r="D40" s="124" t="s">
        <v>606</v>
      </c>
      <c r="E40" s="51" t="n">
        <f aca="false">SUMPRODUCT(--ISNUMBER(SEARCH(", "&amp;$B40&amp;", ",", "&amp;'Hoạt động (Đơn của tôi)'!$B$7:$B$500&amp;", ")))+SUMPRODUCT(--ISNUMBER(SEARCH(", "&amp;$B40&amp;", ",", "&amp;'Ghép nối'!$B$7:$B$500&amp;", ")))+SUMPRODUCT(--ISNUMBER(SEARCH(", "&amp;$B40&amp;", ",", "&amp;'Huỷ đơn - Huỷ nhận đơn'!$B$7:$B$500&amp;", ")))+SUMPRODUCT(--ISNUMBER(SEARCH(", "&amp;$B40&amp;", ",", "&amp;'Giao nhận &amp; Theo dõi đơn'!$B$7:$B$500&amp;", ")))+SUMPRODUCT(--ISNUMBER(SEARCH(", "&amp;$B40&amp;", ",", "&amp;'Bảng tin &amp; Chi tiết tin'!$B$7:$B$500&amp;", ")))+SUMPRODUCT(--ISNUMBER(SEARCH(", "&amp;$B40&amp;", ",", "&amp;'Quà cảm ơn'!$B$7:$B$500&amp;", ")))+SUMPRODUCT(--ISNUMBER(SEARCH(", "&amp;$B40&amp;", ",", "&amp;'Trang chủ'!$B$7:$B$500&amp;", ")))+SUMPRODUCT(--ISNUMBER(SEARCH(", "&amp;$B40&amp;", ",", "&amp;'Thông báo'!$B$7:$B$500&amp;", ")))+SUMPRODUCT(--ISNUMBER(SEARCH(", "&amp;$B40&amp;", ",", "&amp;'Đăng tin &amp; Quản lý tin'!$B$7:$B$500&amp;", ")))+SUMPRODUCT(--ISNUMBER(SEARCH(", "&amp;$B40&amp;", ",", "&amp;'Trust &amp; Safety'!$B$7:$B$500&amp;", ")))+SUMPRODUCT(--ISNUMBER(SEARCH(", "&amp;$B40&amp;", ",", "&amp;'Tài khoản &amp; Hồ sơ'!$B$7:$B$500&amp;", ")))</f>
        <v>2</v>
      </c>
      <c r="F40" s="51" t="n">
        <f aca="false">SUMPRODUCT(--ISNUMBER(SEARCH(", "&amp;$B40&amp;", ",", "&amp;'Hoạt động (Đơn của tôi)'!$B$7:$B$500&amp;", ")),--('Hoạt động (Đơn của tôi)'!$AT$7:$AT$500&lt;&gt;""))+SUMPRODUCT(--ISNUMBER(SEARCH(", "&amp;$B40&amp;", ",", "&amp;'Ghép nối'!$B$7:$B$500&amp;", ")),--('Ghép nối'!$AT$7:$AT$500&lt;&gt;""))+SUMPRODUCT(--ISNUMBER(SEARCH(", "&amp;$B40&amp;", ",", "&amp;'Huỷ đơn - Huỷ nhận đơn'!$B$7:$B$500&amp;", ")),--('Huỷ đơn - Huỷ nhận đơn'!$AT$7:$AT$500&lt;&gt;""))+SUMPRODUCT(--ISNUMBER(SEARCH(", "&amp;$B40&amp;", ",", "&amp;'Giao nhận &amp; Theo dõi đơn'!$B$7:$B$500&amp;", ")),--('Giao nhận &amp; Theo dõi đơn'!$AT$7:$AT$500&lt;&gt;""))+SUMPRODUCT(--ISNUMBER(SEARCH(", "&amp;$B40&amp;", ",", "&amp;'Bảng tin &amp; Chi tiết tin'!$B$7:$B$500&amp;", ")),--('Bảng tin &amp; Chi tiết tin'!$AT$7:$AT$500&lt;&gt;""))+SUMPRODUCT(--ISNUMBER(SEARCH(", "&amp;$B40&amp;", ",", "&amp;'Quà cảm ơn'!$B$7:$B$500&amp;", ")),--('Quà cảm ơn'!$AT$7:$AT$500&lt;&gt;""))+SUMPRODUCT(--ISNUMBER(SEARCH(", "&amp;$B40&amp;", ",", "&amp;'Trang chủ'!$B$7:$B$500&amp;", ")),--('Trang chủ'!$AT$7:$AT$500&lt;&gt;""))+SUMPRODUCT(--ISNUMBER(SEARCH(", "&amp;$B40&amp;", ",", "&amp;'Thông báo'!$B$7:$B$500&amp;", ")),--('Thông báo'!$AT$7:$AT$500&lt;&gt;""))+SUMPRODUCT(--ISNUMBER(SEARCH(", "&amp;$B40&amp;", ",", "&amp;'Đăng tin &amp; Quản lý tin'!$B$7:$B$500&amp;", ")),--('Đăng tin &amp; Quản lý tin'!$AT$7:$AT$500&lt;&gt;""))+SUMPRODUCT(--ISNUMBER(SEARCH(", "&amp;$B40&amp;", ",", "&amp;'Trust &amp; Safety'!$B$7:$B$500&amp;", ")),--('Trust &amp; Safety'!$AT$7:$AT$500&lt;&gt;""))+SUMPRODUCT(--ISNUMBER(SEARCH(", "&amp;$B40&amp;", ",", "&amp;'Tài khoản &amp; Hồ sơ'!$B$7:$B$500&amp;", ")),--('Tài khoản &amp; Hồ sơ'!$AT$7:$AT$500&lt;&gt;""))</f>
        <v>2</v>
      </c>
      <c r="G40" s="51" t="n">
        <f aca="false">SUMPRODUCT(--ISNUMBER(SEARCH(", "&amp;$B40&amp;", ",", "&amp;'Hoạt động (Đơn của tôi)'!$B$7:$B$500&amp;", ")),--('Hoạt động (Đơn của tôi)'!$AT$7:$AT$500="Pass"))+SUMPRODUCT(--ISNUMBER(SEARCH(", "&amp;$B40&amp;", ",", "&amp;'Ghép nối'!$B$7:$B$500&amp;", ")),--('Ghép nối'!$AT$7:$AT$500="Pass"))+SUMPRODUCT(--ISNUMBER(SEARCH(", "&amp;$B40&amp;", ",", "&amp;'Huỷ đơn - Huỷ nhận đơn'!$B$7:$B$500&amp;", ")),--('Huỷ đơn - Huỷ nhận đơn'!$AT$7:$AT$500="Pass"))+SUMPRODUCT(--ISNUMBER(SEARCH(", "&amp;$B40&amp;", ",", "&amp;'Giao nhận &amp; Theo dõi đơn'!$B$7:$B$500&amp;", ")),--('Giao nhận &amp; Theo dõi đơn'!$AT$7:$AT$500="Pass"))+SUMPRODUCT(--ISNUMBER(SEARCH(", "&amp;$B40&amp;", ",", "&amp;'Bảng tin &amp; Chi tiết tin'!$B$7:$B$500&amp;", ")),--('Bảng tin &amp; Chi tiết tin'!$AT$7:$AT$500="Pass"))+SUMPRODUCT(--ISNUMBER(SEARCH(", "&amp;$B40&amp;", ",", "&amp;'Quà cảm ơn'!$B$7:$B$500&amp;", ")),--('Quà cảm ơn'!$AT$7:$AT$500="Pass"))+SUMPRODUCT(--ISNUMBER(SEARCH(", "&amp;$B40&amp;", ",", "&amp;'Trang chủ'!$B$7:$B$500&amp;", ")),--('Trang chủ'!$AT$7:$AT$500="Pass"))+SUMPRODUCT(--ISNUMBER(SEARCH(", "&amp;$B40&amp;", ",", "&amp;'Thông báo'!$B$7:$B$500&amp;", ")),--('Thông báo'!$AT$7:$AT$500="Pass"))+SUMPRODUCT(--ISNUMBER(SEARCH(", "&amp;$B40&amp;", ",", "&amp;'Đăng tin &amp; Quản lý tin'!$B$7:$B$500&amp;", ")),--('Đăng tin &amp; Quản lý tin'!$AT$7:$AT$500="Pass"))+SUMPRODUCT(--ISNUMBER(SEARCH(", "&amp;$B40&amp;", ",", "&amp;'Trust &amp; Safety'!$B$7:$B$500&amp;", ")),--('Trust &amp; Safety'!$AT$7:$AT$500="Pass"))+SUMPRODUCT(--ISNUMBER(SEARCH(", "&amp;$B40&amp;", ",", "&amp;'Tài khoản &amp; Hồ sơ'!$B$7:$B$500&amp;", ")),--('Tài khoản &amp; Hồ sơ'!$AT$7:$AT$500="Pass"))</f>
        <v>2</v>
      </c>
      <c r="H40" s="51" t="n">
        <f aca="false">SUMPRODUCT(--ISNUMBER(SEARCH(", "&amp;$B40&amp;", ",", "&amp;'Hoạt động (Đơn của tôi)'!$B$7:$B$500&amp;", ")),--('Hoạt động (Đơn của tôi)'!$AT$7:$AT$500="Fail"))+SUMPRODUCT(--ISNUMBER(SEARCH(", "&amp;$B40&amp;", ",", "&amp;'Ghép nối'!$B$7:$B$500&amp;", ")),--('Ghép nối'!$AT$7:$AT$500="Fail"))+SUMPRODUCT(--ISNUMBER(SEARCH(", "&amp;$B40&amp;", ",", "&amp;'Huỷ đơn - Huỷ nhận đơn'!$B$7:$B$500&amp;", ")),--('Huỷ đơn - Huỷ nhận đơn'!$AT$7:$AT$500="Fail"))+SUMPRODUCT(--ISNUMBER(SEARCH(", "&amp;$B40&amp;", ",", "&amp;'Giao nhận &amp; Theo dõi đơn'!$B$7:$B$500&amp;", ")),--('Giao nhận &amp; Theo dõi đơn'!$AT$7:$AT$500="Fail"))+SUMPRODUCT(--ISNUMBER(SEARCH(", "&amp;$B40&amp;", ",", "&amp;'Bảng tin &amp; Chi tiết tin'!$B$7:$B$500&amp;", ")),--('Bảng tin &amp; Chi tiết tin'!$AT$7:$AT$500="Fail"))+SUMPRODUCT(--ISNUMBER(SEARCH(", "&amp;$B40&amp;", ",", "&amp;'Quà cảm ơn'!$B$7:$B$500&amp;", ")),--('Quà cảm ơn'!$AT$7:$AT$500="Fail"))+SUMPRODUCT(--ISNUMBER(SEARCH(", "&amp;$B40&amp;", ",", "&amp;'Trang chủ'!$B$7:$B$500&amp;", ")),--('Trang chủ'!$AT$7:$AT$500="Fail"))+SUMPRODUCT(--ISNUMBER(SEARCH(", "&amp;$B40&amp;", ",", "&amp;'Thông báo'!$B$7:$B$500&amp;", ")),--('Thông báo'!$AT$7:$AT$500="Fail"))+SUMPRODUCT(--ISNUMBER(SEARCH(", "&amp;$B40&amp;", ",", "&amp;'Đăng tin &amp; Quản lý tin'!$B$7:$B$500&amp;", ")),--('Đăng tin &amp; Quản lý tin'!$AT$7:$AT$500="Fail"))+SUMPRODUCT(--ISNUMBER(SEARCH(", "&amp;$B40&amp;", ",", "&amp;'Trust &amp; Safety'!$B$7:$B$500&amp;", ")),--('Trust &amp; Safety'!$AT$7:$AT$500="Fail"))+SUMPRODUCT(--ISNUMBER(SEARCH(", "&amp;$B40&amp;", ",", "&amp;'Tài khoản &amp; Hồ sơ'!$B$7:$B$500&amp;", ")),--('Tài khoản &amp; Hồ sơ'!$AT$7:$AT$500="Fail"))</f>
        <v>0</v>
      </c>
      <c r="I40" s="51" t="n">
        <f aca="false">SUMPRODUCT(--ISNUMBER(SEARCH(", "&amp;$B40&amp;", ",", "&amp;'Hoạt động (Đơn của tôi)'!$B$7:$B$500&amp;", ")),--('Hoạt động (Đơn của tôi)'!$AT$7:$AT$500="Block"))+SUMPRODUCT(--ISNUMBER(SEARCH(", "&amp;$B40&amp;", ",", "&amp;'Ghép nối'!$B$7:$B$500&amp;", ")),--('Ghép nối'!$AT$7:$AT$500="Block"))+SUMPRODUCT(--ISNUMBER(SEARCH(", "&amp;$B40&amp;", ",", "&amp;'Huỷ đơn - Huỷ nhận đơn'!$B$7:$B$500&amp;", ")),--('Huỷ đơn - Huỷ nhận đơn'!$AT$7:$AT$500="Block"))+SUMPRODUCT(--ISNUMBER(SEARCH(", "&amp;$B40&amp;", ",", "&amp;'Giao nhận &amp; Theo dõi đơn'!$B$7:$B$500&amp;", ")),--('Giao nhận &amp; Theo dõi đơn'!$AT$7:$AT$500="Block"))+SUMPRODUCT(--ISNUMBER(SEARCH(", "&amp;$B40&amp;", ",", "&amp;'Bảng tin &amp; Chi tiết tin'!$B$7:$B$500&amp;", ")),--('Bảng tin &amp; Chi tiết tin'!$AT$7:$AT$500="Block"))+SUMPRODUCT(--ISNUMBER(SEARCH(", "&amp;$B40&amp;", ",", "&amp;'Quà cảm ơn'!$B$7:$B$500&amp;", ")),--('Quà cảm ơn'!$AT$7:$AT$500="Block"))+SUMPRODUCT(--ISNUMBER(SEARCH(", "&amp;$B40&amp;", ",", "&amp;'Trang chủ'!$B$7:$B$500&amp;", ")),--('Trang chủ'!$AT$7:$AT$500="Block"))+SUMPRODUCT(--ISNUMBER(SEARCH(", "&amp;$B40&amp;", ",", "&amp;'Thông báo'!$B$7:$B$500&amp;", ")),--('Thông báo'!$AT$7:$AT$500="Block"))+SUMPRODUCT(--ISNUMBER(SEARCH(", "&amp;$B40&amp;", ",", "&amp;'Đăng tin &amp; Quản lý tin'!$B$7:$B$500&amp;", ")),--('Đăng tin &amp; Quản lý tin'!$AT$7:$AT$500="Block"))+SUMPRODUCT(--ISNUMBER(SEARCH(", "&amp;$B40&amp;", ",", "&amp;'Trust &amp; Safety'!$B$7:$B$500&amp;", ")),--('Trust &amp; Safety'!$AT$7:$AT$500="Block"))+SUMPRODUCT(--ISNUMBER(SEARCH(", "&amp;$B40&amp;", ",", "&amp;'Tài khoản &amp; Hồ sơ'!$B$7:$B$500&amp;", ")),--('Tài khoản &amp; Hồ sơ'!$AT$7:$AT$500="Block"))</f>
        <v>0</v>
      </c>
      <c r="J40" s="51" t="n">
        <f aca="false">SUMPRODUCT(--ISNUMBER(SEARCH(", "&amp;$B40&amp;", ",", "&amp;'Hoạt động (Đơn của tôi)'!$B$7:$B$500&amp;", ")),--('Hoạt động (Đơn của tôi)'!$AT$7:$AT$500="N/A"))+SUMPRODUCT(--ISNUMBER(SEARCH(", "&amp;$B40&amp;", ",", "&amp;'Ghép nối'!$B$7:$B$500&amp;", ")),--('Ghép nối'!$AT$7:$AT$500="N/A"))+SUMPRODUCT(--ISNUMBER(SEARCH(", "&amp;$B40&amp;", ",", "&amp;'Huỷ đơn - Huỷ nhận đơn'!$B$7:$B$500&amp;", ")),--('Huỷ đơn - Huỷ nhận đơn'!$AT$7:$AT$500="N/A"))+SUMPRODUCT(--ISNUMBER(SEARCH(", "&amp;$B40&amp;", ",", "&amp;'Giao nhận &amp; Theo dõi đơn'!$B$7:$B$500&amp;", ")),--('Giao nhận &amp; Theo dõi đơn'!$AT$7:$AT$500="N/A"))+SUMPRODUCT(--ISNUMBER(SEARCH(", "&amp;$B40&amp;", ",", "&amp;'Bảng tin &amp; Chi tiết tin'!$B$7:$B$500&amp;", ")),--('Bảng tin &amp; Chi tiết tin'!$AT$7:$AT$500="N/A"))+SUMPRODUCT(--ISNUMBER(SEARCH(", "&amp;$B40&amp;", ",", "&amp;'Quà cảm ơn'!$B$7:$B$500&amp;", ")),--('Quà cảm ơn'!$AT$7:$AT$500="N/A"))+SUMPRODUCT(--ISNUMBER(SEARCH(", "&amp;$B40&amp;", ",", "&amp;'Trang chủ'!$B$7:$B$500&amp;", ")),--('Trang chủ'!$AT$7:$AT$500="N/A"))+SUMPRODUCT(--ISNUMBER(SEARCH(", "&amp;$B40&amp;", ",", "&amp;'Thông báo'!$B$7:$B$500&amp;", ")),--('Thông báo'!$AT$7:$AT$500="N/A"))+SUMPRODUCT(--ISNUMBER(SEARCH(", "&amp;$B40&amp;", ",", "&amp;'Đăng tin &amp; Quản lý tin'!$B$7:$B$500&amp;", ")),--('Đăng tin &amp; Quản lý tin'!$AT$7:$AT$500="N/A"))+SUMPRODUCT(--ISNUMBER(SEARCH(", "&amp;$B40&amp;", ",", "&amp;'Trust &amp; Safety'!$B$7:$B$500&amp;", ")),--('Trust &amp; Safety'!$AT$7:$AT$500="N/A"))+SUMPRODUCT(--ISNUMBER(SEARCH(", "&amp;$B40&amp;", ",", "&amp;'Tài khoản &amp; Hồ sơ'!$B$7:$B$500&amp;", ")),--('Tài khoản &amp; Hồ sơ'!$AT$7:$AT$500="N/A"))</f>
        <v>0</v>
      </c>
      <c r="K40" s="52" t="n">
        <f aca="false">IFERROR(F40/E40,0)</f>
        <v>1</v>
      </c>
      <c r="L40" s="124" t="str">
        <f aca="false">IF(E40=0,"Chưa có TC (gap)",IF(H40&gt;0,"Có lỗi (Fail)",IF(I40&gt;0,"Bị block",IF(F40&lt;E40,"Đang test",IF(G40=0,"Không áp dụng (N/A)","Đã test xong")))))</f>
        <v>Đã test xong</v>
      </c>
      <c r="AB40" s="0" t="s">
        <v>519</v>
      </c>
    </row>
    <row r="41" customFormat="false" ht="15.75" hidden="false" customHeight="true" outlineLevel="0" collapsed="false">
      <c r="A41" s="1"/>
      <c r="B41" s="176" t="s">
        <v>607</v>
      </c>
      <c r="C41" s="177" t="s">
        <v>608</v>
      </c>
      <c r="D41" s="124" t="s">
        <v>609</v>
      </c>
      <c r="E41" s="51" t="n">
        <f aca="false">SUMPRODUCT(--ISNUMBER(SEARCH(", "&amp;$B41&amp;", ",", "&amp;'Hoạt động (Đơn của tôi)'!$B$7:$B$500&amp;", ")))+SUMPRODUCT(--ISNUMBER(SEARCH(", "&amp;$B41&amp;", ",", "&amp;'Ghép nối'!$B$7:$B$500&amp;", ")))+SUMPRODUCT(--ISNUMBER(SEARCH(", "&amp;$B41&amp;", ",", "&amp;'Huỷ đơn - Huỷ nhận đơn'!$B$7:$B$500&amp;", ")))+SUMPRODUCT(--ISNUMBER(SEARCH(", "&amp;$B41&amp;", ",", "&amp;'Giao nhận &amp; Theo dõi đơn'!$B$7:$B$500&amp;", ")))+SUMPRODUCT(--ISNUMBER(SEARCH(", "&amp;$B41&amp;", ",", "&amp;'Bảng tin &amp; Chi tiết tin'!$B$7:$B$500&amp;", ")))+SUMPRODUCT(--ISNUMBER(SEARCH(", "&amp;$B41&amp;", ",", "&amp;'Quà cảm ơn'!$B$7:$B$500&amp;", ")))+SUMPRODUCT(--ISNUMBER(SEARCH(", "&amp;$B41&amp;", ",", "&amp;'Trang chủ'!$B$7:$B$500&amp;", ")))+SUMPRODUCT(--ISNUMBER(SEARCH(", "&amp;$B41&amp;", ",", "&amp;'Thông báo'!$B$7:$B$500&amp;", ")))+SUMPRODUCT(--ISNUMBER(SEARCH(", "&amp;$B41&amp;", ",", "&amp;'Đăng tin &amp; Quản lý tin'!$B$7:$B$500&amp;", ")))+SUMPRODUCT(--ISNUMBER(SEARCH(", "&amp;$B41&amp;", ",", "&amp;'Trust &amp; Safety'!$B$7:$B$500&amp;", ")))+SUMPRODUCT(--ISNUMBER(SEARCH(", "&amp;$B41&amp;", ",", "&amp;'Tài khoản &amp; Hồ sơ'!$B$7:$B$500&amp;", ")))</f>
        <v>1</v>
      </c>
      <c r="F41" s="51" t="n">
        <f aca="false">SUMPRODUCT(--ISNUMBER(SEARCH(", "&amp;$B41&amp;", ",", "&amp;'Hoạt động (Đơn của tôi)'!$B$7:$B$500&amp;", ")),--('Hoạt động (Đơn của tôi)'!$AT$7:$AT$500&lt;&gt;""))+SUMPRODUCT(--ISNUMBER(SEARCH(", "&amp;$B41&amp;", ",", "&amp;'Ghép nối'!$B$7:$B$500&amp;", ")),--('Ghép nối'!$AT$7:$AT$500&lt;&gt;""))+SUMPRODUCT(--ISNUMBER(SEARCH(", "&amp;$B41&amp;", ",", "&amp;'Huỷ đơn - Huỷ nhận đơn'!$B$7:$B$500&amp;", ")),--('Huỷ đơn - Huỷ nhận đơn'!$AT$7:$AT$500&lt;&gt;""))+SUMPRODUCT(--ISNUMBER(SEARCH(", "&amp;$B41&amp;", ",", "&amp;'Giao nhận &amp; Theo dõi đơn'!$B$7:$B$500&amp;", ")),--('Giao nhận &amp; Theo dõi đơn'!$AT$7:$AT$500&lt;&gt;""))+SUMPRODUCT(--ISNUMBER(SEARCH(", "&amp;$B41&amp;", ",", "&amp;'Bảng tin &amp; Chi tiết tin'!$B$7:$B$500&amp;", ")),--('Bảng tin &amp; Chi tiết tin'!$AT$7:$AT$500&lt;&gt;""))+SUMPRODUCT(--ISNUMBER(SEARCH(", "&amp;$B41&amp;", ",", "&amp;'Quà cảm ơn'!$B$7:$B$500&amp;", ")),--('Quà cảm ơn'!$AT$7:$AT$500&lt;&gt;""))+SUMPRODUCT(--ISNUMBER(SEARCH(", "&amp;$B41&amp;", ",", "&amp;'Trang chủ'!$B$7:$B$500&amp;", ")),--('Trang chủ'!$AT$7:$AT$500&lt;&gt;""))+SUMPRODUCT(--ISNUMBER(SEARCH(", "&amp;$B41&amp;", ",", "&amp;'Thông báo'!$B$7:$B$500&amp;", ")),--('Thông báo'!$AT$7:$AT$500&lt;&gt;""))+SUMPRODUCT(--ISNUMBER(SEARCH(", "&amp;$B41&amp;", ",", "&amp;'Đăng tin &amp; Quản lý tin'!$B$7:$B$500&amp;", ")),--('Đăng tin &amp; Quản lý tin'!$AT$7:$AT$500&lt;&gt;""))+SUMPRODUCT(--ISNUMBER(SEARCH(", "&amp;$B41&amp;", ",", "&amp;'Trust &amp; Safety'!$B$7:$B$500&amp;", ")),--('Trust &amp; Safety'!$AT$7:$AT$500&lt;&gt;""))+SUMPRODUCT(--ISNUMBER(SEARCH(", "&amp;$B41&amp;", ",", "&amp;'Tài khoản &amp; Hồ sơ'!$B$7:$B$500&amp;", ")),--('Tài khoản &amp; Hồ sơ'!$AT$7:$AT$500&lt;&gt;""))</f>
        <v>0</v>
      </c>
      <c r="G41" s="51" t="n">
        <f aca="false">SUMPRODUCT(--ISNUMBER(SEARCH(", "&amp;$B41&amp;", ",", "&amp;'Hoạt động (Đơn của tôi)'!$B$7:$B$500&amp;", ")),--('Hoạt động (Đơn của tôi)'!$AT$7:$AT$500="Pass"))+SUMPRODUCT(--ISNUMBER(SEARCH(", "&amp;$B41&amp;", ",", "&amp;'Ghép nối'!$B$7:$B$500&amp;", ")),--('Ghép nối'!$AT$7:$AT$500="Pass"))+SUMPRODUCT(--ISNUMBER(SEARCH(", "&amp;$B41&amp;", ",", "&amp;'Huỷ đơn - Huỷ nhận đơn'!$B$7:$B$500&amp;", ")),--('Huỷ đơn - Huỷ nhận đơn'!$AT$7:$AT$500="Pass"))+SUMPRODUCT(--ISNUMBER(SEARCH(", "&amp;$B41&amp;", ",", "&amp;'Giao nhận &amp; Theo dõi đơn'!$B$7:$B$500&amp;", ")),--('Giao nhận &amp; Theo dõi đơn'!$AT$7:$AT$500="Pass"))+SUMPRODUCT(--ISNUMBER(SEARCH(", "&amp;$B41&amp;", ",", "&amp;'Bảng tin &amp; Chi tiết tin'!$B$7:$B$500&amp;", ")),--('Bảng tin &amp; Chi tiết tin'!$AT$7:$AT$500="Pass"))+SUMPRODUCT(--ISNUMBER(SEARCH(", "&amp;$B41&amp;", ",", "&amp;'Quà cảm ơn'!$B$7:$B$500&amp;", ")),--('Quà cảm ơn'!$AT$7:$AT$500="Pass"))+SUMPRODUCT(--ISNUMBER(SEARCH(", "&amp;$B41&amp;", ",", "&amp;'Trang chủ'!$B$7:$B$500&amp;", ")),--('Trang chủ'!$AT$7:$AT$500="Pass"))+SUMPRODUCT(--ISNUMBER(SEARCH(", "&amp;$B41&amp;", ",", "&amp;'Thông báo'!$B$7:$B$500&amp;", ")),--('Thông báo'!$AT$7:$AT$500="Pass"))+SUMPRODUCT(--ISNUMBER(SEARCH(", "&amp;$B41&amp;", ",", "&amp;'Đăng tin &amp; Quản lý tin'!$B$7:$B$500&amp;", ")),--('Đăng tin &amp; Quản lý tin'!$AT$7:$AT$500="Pass"))+SUMPRODUCT(--ISNUMBER(SEARCH(", "&amp;$B41&amp;", ",", "&amp;'Trust &amp; Safety'!$B$7:$B$500&amp;", ")),--('Trust &amp; Safety'!$AT$7:$AT$500="Pass"))+SUMPRODUCT(--ISNUMBER(SEARCH(", "&amp;$B41&amp;", ",", "&amp;'Tài khoản &amp; Hồ sơ'!$B$7:$B$500&amp;", ")),--('Tài khoản &amp; Hồ sơ'!$AT$7:$AT$500="Pass"))</f>
        <v>0</v>
      </c>
      <c r="H41" s="51" t="n">
        <f aca="false">SUMPRODUCT(--ISNUMBER(SEARCH(", "&amp;$B41&amp;", ",", "&amp;'Hoạt động (Đơn của tôi)'!$B$7:$B$500&amp;", ")),--('Hoạt động (Đơn của tôi)'!$AT$7:$AT$500="Fail"))+SUMPRODUCT(--ISNUMBER(SEARCH(", "&amp;$B41&amp;", ",", "&amp;'Ghép nối'!$B$7:$B$500&amp;", ")),--('Ghép nối'!$AT$7:$AT$500="Fail"))+SUMPRODUCT(--ISNUMBER(SEARCH(", "&amp;$B41&amp;", ",", "&amp;'Huỷ đơn - Huỷ nhận đơn'!$B$7:$B$500&amp;", ")),--('Huỷ đơn - Huỷ nhận đơn'!$AT$7:$AT$500="Fail"))+SUMPRODUCT(--ISNUMBER(SEARCH(", "&amp;$B41&amp;", ",", "&amp;'Giao nhận &amp; Theo dõi đơn'!$B$7:$B$500&amp;", ")),--('Giao nhận &amp; Theo dõi đơn'!$AT$7:$AT$500="Fail"))+SUMPRODUCT(--ISNUMBER(SEARCH(", "&amp;$B41&amp;", ",", "&amp;'Bảng tin &amp; Chi tiết tin'!$B$7:$B$500&amp;", ")),--('Bảng tin &amp; Chi tiết tin'!$AT$7:$AT$500="Fail"))+SUMPRODUCT(--ISNUMBER(SEARCH(", "&amp;$B41&amp;", ",", "&amp;'Quà cảm ơn'!$B$7:$B$500&amp;", ")),--('Quà cảm ơn'!$AT$7:$AT$500="Fail"))+SUMPRODUCT(--ISNUMBER(SEARCH(", "&amp;$B41&amp;", ",", "&amp;'Trang chủ'!$B$7:$B$500&amp;", ")),--('Trang chủ'!$AT$7:$AT$500="Fail"))+SUMPRODUCT(--ISNUMBER(SEARCH(", "&amp;$B41&amp;", ",", "&amp;'Thông báo'!$B$7:$B$500&amp;", ")),--('Thông báo'!$AT$7:$AT$500="Fail"))+SUMPRODUCT(--ISNUMBER(SEARCH(", "&amp;$B41&amp;", ",", "&amp;'Đăng tin &amp; Quản lý tin'!$B$7:$B$500&amp;", ")),--('Đăng tin &amp; Quản lý tin'!$AT$7:$AT$500="Fail"))+SUMPRODUCT(--ISNUMBER(SEARCH(", "&amp;$B41&amp;", ",", "&amp;'Trust &amp; Safety'!$B$7:$B$500&amp;", ")),--('Trust &amp; Safety'!$AT$7:$AT$500="Fail"))+SUMPRODUCT(--ISNUMBER(SEARCH(", "&amp;$B41&amp;", ",", "&amp;'Tài khoản &amp; Hồ sơ'!$B$7:$B$500&amp;", ")),--('Tài khoản &amp; Hồ sơ'!$AT$7:$AT$500="Fail"))</f>
        <v>0</v>
      </c>
      <c r="I41" s="51" t="n">
        <f aca="false">SUMPRODUCT(--ISNUMBER(SEARCH(", "&amp;$B41&amp;", ",", "&amp;'Hoạt động (Đơn của tôi)'!$B$7:$B$500&amp;", ")),--('Hoạt động (Đơn của tôi)'!$AT$7:$AT$500="Block"))+SUMPRODUCT(--ISNUMBER(SEARCH(", "&amp;$B41&amp;", ",", "&amp;'Ghép nối'!$B$7:$B$500&amp;", ")),--('Ghép nối'!$AT$7:$AT$500="Block"))+SUMPRODUCT(--ISNUMBER(SEARCH(", "&amp;$B41&amp;", ",", "&amp;'Huỷ đơn - Huỷ nhận đơn'!$B$7:$B$500&amp;", ")),--('Huỷ đơn - Huỷ nhận đơn'!$AT$7:$AT$500="Block"))+SUMPRODUCT(--ISNUMBER(SEARCH(", "&amp;$B41&amp;", ",", "&amp;'Giao nhận &amp; Theo dõi đơn'!$B$7:$B$500&amp;", ")),--('Giao nhận &amp; Theo dõi đơn'!$AT$7:$AT$500="Block"))+SUMPRODUCT(--ISNUMBER(SEARCH(", "&amp;$B41&amp;", ",", "&amp;'Bảng tin &amp; Chi tiết tin'!$B$7:$B$500&amp;", ")),--('Bảng tin &amp; Chi tiết tin'!$AT$7:$AT$500="Block"))+SUMPRODUCT(--ISNUMBER(SEARCH(", "&amp;$B41&amp;", ",", "&amp;'Quà cảm ơn'!$B$7:$B$500&amp;", ")),--('Quà cảm ơn'!$AT$7:$AT$500="Block"))+SUMPRODUCT(--ISNUMBER(SEARCH(", "&amp;$B41&amp;", ",", "&amp;'Trang chủ'!$B$7:$B$500&amp;", ")),--('Trang chủ'!$AT$7:$AT$500="Block"))+SUMPRODUCT(--ISNUMBER(SEARCH(", "&amp;$B41&amp;", ",", "&amp;'Thông báo'!$B$7:$B$500&amp;", ")),--('Thông báo'!$AT$7:$AT$500="Block"))+SUMPRODUCT(--ISNUMBER(SEARCH(", "&amp;$B41&amp;", ",", "&amp;'Đăng tin &amp; Quản lý tin'!$B$7:$B$500&amp;", ")),--('Đăng tin &amp; Quản lý tin'!$AT$7:$AT$500="Block"))+SUMPRODUCT(--ISNUMBER(SEARCH(", "&amp;$B41&amp;", ",", "&amp;'Trust &amp; Safety'!$B$7:$B$500&amp;", ")),--('Trust &amp; Safety'!$AT$7:$AT$500="Block"))+SUMPRODUCT(--ISNUMBER(SEARCH(", "&amp;$B41&amp;", ",", "&amp;'Tài khoản &amp; Hồ sơ'!$B$7:$B$500&amp;", ")),--('Tài khoản &amp; Hồ sơ'!$AT$7:$AT$500="Block"))</f>
        <v>0</v>
      </c>
      <c r="J41" s="51" t="n">
        <f aca="false">SUMPRODUCT(--ISNUMBER(SEARCH(", "&amp;$B41&amp;", ",", "&amp;'Hoạt động (Đơn của tôi)'!$B$7:$B$500&amp;", ")),--('Hoạt động (Đơn của tôi)'!$AT$7:$AT$500="N/A"))+SUMPRODUCT(--ISNUMBER(SEARCH(", "&amp;$B41&amp;", ",", "&amp;'Ghép nối'!$B$7:$B$500&amp;", ")),--('Ghép nối'!$AT$7:$AT$500="N/A"))+SUMPRODUCT(--ISNUMBER(SEARCH(", "&amp;$B41&amp;", ",", "&amp;'Huỷ đơn - Huỷ nhận đơn'!$B$7:$B$500&amp;", ")),--('Huỷ đơn - Huỷ nhận đơn'!$AT$7:$AT$500="N/A"))+SUMPRODUCT(--ISNUMBER(SEARCH(", "&amp;$B41&amp;", ",", "&amp;'Giao nhận &amp; Theo dõi đơn'!$B$7:$B$500&amp;", ")),--('Giao nhận &amp; Theo dõi đơn'!$AT$7:$AT$500="N/A"))+SUMPRODUCT(--ISNUMBER(SEARCH(", "&amp;$B41&amp;", ",", "&amp;'Bảng tin &amp; Chi tiết tin'!$B$7:$B$500&amp;", ")),--('Bảng tin &amp; Chi tiết tin'!$AT$7:$AT$500="N/A"))+SUMPRODUCT(--ISNUMBER(SEARCH(", "&amp;$B41&amp;", ",", "&amp;'Quà cảm ơn'!$B$7:$B$500&amp;", ")),--('Quà cảm ơn'!$AT$7:$AT$500="N/A"))+SUMPRODUCT(--ISNUMBER(SEARCH(", "&amp;$B41&amp;", ",", "&amp;'Trang chủ'!$B$7:$B$500&amp;", ")),--('Trang chủ'!$AT$7:$AT$500="N/A"))+SUMPRODUCT(--ISNUMBER(SEARCH(", "&amp;$B41&amp;", ",", "&amp;'Thông báo'!$B$7:$B$500&amp;", ")),--('Thông báo'!$AT$7:$AT$500="N/A"))+SUMPRODUCT(--ISNUMBER(SEARCH(", "&amp;$B41&amp;", ",", "&amp;'Đăng tin &amp; Quản lý tin'!$B$7:$B$500&amp;", ")),--('Đăng tin &amp; Quản lý tin'!$AT$7:$AT$500="N/A"))+SUMPRODUCT(--ISNUMBER(SEARCH(", "&amp;$B41&amp;", ",", "&amp;'Trust &amp; Safety'!$B$7:$B$500&amp;", ")),--('Trust &amp; Safety'!$AT$7:$AT$500="N/A"))+SUMPRODUCT(--ISNUMBER(SEARCH(", "&amp;$B41&amp;", ",", "&amp;'Tài khoản &amp; Hồ sơ'!$B$7:$B$500&amp;", ")),--('Tài khoản &amp; Hồ sơ'!$AT$7:$AT$500="N/A"))</f>
        <v>0</v>
      </c>
      <c r="K41" s="52" t="n">
        <f aca="false">IFERROR(F41/E41,0)</f>
        <v>0</v>
      </c>
      <c r="L41" s="124" t="str">
        <f aca="false">IF(E41=0,"Chưa có TC (gap)",IF(H41&gt;0,"Có lỗi (Fail)",IF(I41&gt;0,"Bị block",IF(F41&lt;E41,"Đang test",IF(G41=0,"Không áp dụng (N/A)","Đã test xong")))))</f>
        <v>Đang test</v>
      </c>
      <c r="AB41" s="0" t="s">
        <v>519</v>
      </c>
    </row>
    <row r="42" customFormat="false" ht="15.75" hidden="false" customHeight="true" outlineLevel="0" collapsed="false">
      <c r="A42" s="1"/>
      <c r="B42" s="176" t="s">
        <v>610</v>
      </c>
      <c r="C42" s="177" t="s">
        <v>611</v>
      </c>
      <c r="D42" s="124" t="s">
        <v>514</v>
      </c>
      <c r="E42" s="51" t="n">
        <f aca="false">SUMPRODUCT(--ISNUMBER(SEARCH(", "&amp;$B42&amp;", ",", "&amp;'Hoạt động (Đơn của tôi)'!$B$7:$B$500&amp;", ")))+SUMPRODUCT(--ISNUMBER(SEARCH(", "&amp;$B42&amp;", ",", "&amp;'Ghép nối'!$B$7:$B$500&amp;", ")))+SUMPRODUCT(--ISNUMBER(SEARCH(", "&amp;$B42&amp;", ",", "&amp;'Huỷ đơn - Huỷ nhận đơn'!$B$7:$B$500&amp;", ")))+SUMPRODUCT(--ISNUMBER(SEARCH(", "&amp;$B42&amp;", ",", "&amp;'Giao nhận &amp; Theo dõi đơn'!$B$7:$B$500&amp;", ")))+SUMPRODUCT(--ISNUMBER(SEARCH(", "&amp;$B42&amp;", ",", "&amp;'Bảng tin &amp; Chi tiết tin'!$B$7:$B$500&amp;", ")))+SUMPRODUCT(--ISNUMBER(SEARCH(", "&amp;$B42&amp;", ",", "&amp;'Quà cảm ơn'!$B$7:$B$500&amp;", ")))+SUMPRODUCT(--ISNUMBER(SEARCH(", "&amp;$B42&amp;", ",", "&amp;'Trang chủ'!$B$7:$B$500&amp;", ")))+SUMPRODUCT(--ISNUMBER(SEARCH(", "&amp;$B42&amp;", ",", "&amp;'Thông báo'!$B$7:$B$500&amp;", ")))+SUMPRODUCT(--ISNUMBER(SEARCH(", "&amp;$B42&amp;", ",", "&amp;'Đăng tin &amp; Quản lý tin'!$B$7:$B$500&amp;", ")))+SUMPRODUCT(--ISNUMBER(SEARCH(", "&amp;$B42&amp;", ",", "&amp;'Trust &amp; Safety'!$B$7:$B$500&amp;", ")))+SUMPRODUCT(--ISNUMBER(SEARCH(", "&amp;$B42&amp;", ",", "&amp;'Tài khoản &amp; Hồ sơ'!$B$7:$B$500&amp;", ")))</f>
        <v>1</v>
      </c>
      <c r="F42" s="51" t="n">
        <f aca="false">SUMPRODUCT(--ISNUMBER(SEARCH(", "&amp;$B42&amp;", ",", "&amp;'Hoạt động (Đơn của tôi)'!$B$7:$B$500&amp;", ")),--('Hoạt động (Đơn của tôi)'!$AT$7:$AT$500&lt;&gt;""))+SUMPRODUCT(--ISNUMBER(SEARCH(", "&amp;$B42&amp;", ",", "&amp;'Ghép nối'!$B$7:$B$500&amp;", ")),--('Ghép nối'!$AT$7:$AT$500&lt;&gt;""))+SUMPRODUCT(--ISNUMBER(SEARCH(", "&amp;$B42&amp;", ",", "&amp;'Huỷ đơn - Huỷ nhận đơn'!$B$7:$B$500&amp;", ")),--('Huỷ đơn - Huỷ nhận đơn'!$AT$7:$AT$500&lt;&gt;""))+SUMPRODUCT(--ISNUMBER(SEARCH(", "&amp;$B42&amp;", ",", "&amp;'Giao nhận &amp; Theo dõi đơn'!$B$7:$B$500&amp;", ")),--('Giao nhận &amp; Theo dõi đơn'!$AT$7:$AT$500&lt;&gt;""))+SUMPRODUCT(--ISNUMBER(SEARCH(", "&amp;$B42&amp;", ",", "&amp;'Bảng tin &amp; Chi tiết tin'!$B$7:$B$500&amp;", ")),--('Bảng tin &amp; Chi tiết tin'!$AT$7:$AT$500&lt;&gt;""))+SUMPRODUCT(--ISNUMBER(SEARCH(", "&amp;$B42&amp;", ",", "&amp;'Quà cảm ơn'!$B$7:$B$500&amp;", ")),--('Quà cảm ơn'!$AT$7:$AT$500&lt;&gt;""))+SUMPRODUCT(--ISNUMBER(SEARCH(", "&amp;$B42&amp;", ",", "&amp;'Trang chủ'!$B$7:$B$500&amp;", ")),--('Trang chủ'!$AT$7:$AT$500&lt;&gt;""))+SUMPRODUCT(--ISNUMBER(SEARCH(", "&amp;$B42&amp;", ",", "&amp;'Thông báo'!$B$7:$B$500&amp;", ")),--('Thông báo'!$AT$7:$AT$500&lt;&gt;""))+SUMPRODUCT(--ISNUMBER(SEARCH(", "&amp;$B42&amp;", ",", "&amp;'Đăng tin &amp; Quản lý tin'!$B$7:$B$500&amp;", ")),--('Đăng tin &amp; Quản lý tin'!$AT$7:$AT$500&lt;&gt;""))+SUMPRODUCT(--ISNUMBER(SEARCH(", "&amp;$B42&amp;", ",", "&amp;'Trust &amp; Safety'!$B$7:$B$500&amp;", ")),--('Trust &amp; Safety'!$AT$7:$AT$500&lt;&gt;""))+SUMPRODUCT(--ISNUMBER(SEARCH(", "&amp;$B42&amp;", ",", "&amp;'Tài khoản &amp; Hồ sơ'!$B$7:$B$500&amp;", ")),--('Tài khoản &amp; Hồ sơ'!$AT$7:$AT$500&lt;&gt;""))</f>
        <v>0</v>
      </c>
      <c r="G42" s="51" t="n">
        <f aca="false">SUMPRODUCT(--ISNUMBER(SEARCH(", "&amp;$B42&amp;", ",", "&amp;'Hoạt động (Đơn của tôi)'!$B$7:$B$500&amp;", ")),--('Hoạt động (Đơn của tôi)'!$AT$7:$AT$500="Pass"))+SUMPRODUCT(--ISNUMBER(SEARCH(", "&amp;$B42&amp;", ",", "&amp;'Ghép nối'!$B$7:$B$500&amp;", ")),--('Ghép nối'!$AT$7:$AT$500="Pass"))+SUMPRODUCT(--ISNUMBER(SEARCH(", "&amp;$B42&amp;", ",", "&amp;'Huỷ đơn - Huỷ nhận đơn'!$B$7:$B$500&amp;", ")),--('Huỷ đơn - Huỷ nhận đơn'!$AT$7:$AT$500="Pass"))+SUMPRODUCT(--ISNUMBER(SEARCH(", "&amp;$B42&amp;", ",", "&amp;'Giao nhận &amp; Theo dõi đơn'!$B$7:$B$500&amp;", ")),--('Giao nhận &amp; Theo dõi đơn'!$AT$7:$AT$500="Pass"))+SUMPRODUCT(--ISNUMBER(SEARCH(", "&amp;$B42&amp;", ",", "&amp;'Bảng tin &amp; Chi tiết tin'!$B$7:$B$500&amp;", ")),--('Bảng tin &amp; Chi tiết tin'!$AT$7:$AT$500="Pass"))+SUMPRODUCT(--ISNUMBER(SEARCH(", "&amp;$B42&amp;", ",", "&amp;'Quà cảm ơn'!$B$7:$B$500&amp;", ")),--('Quà cảm ơn'!$AT$7:$AT$500="Pass"))+SUMPRODUCT(--ISNUMBER(SEARCH(", "&amp;$B42&amp;", ",", "&amp;'Trang chủ'!$B$7:$B$500&amp;", ")),--('Trang chủ'!$AT$7:$AT$500="Pass"))+SUMPRODUCT(--ISNUMBER(SEARCH(", "&amp;$B42&amp;", ",", "&amp;'Thông báo'!$B$7:$B$500&amp;", ")),--('Thông báo'!$AT$7:$AT$500="Pass"))+SUMPRODUCT(--ISNUMBER(SEARCH(", "&amp;$B42&amp;", ",", "&amp;'Đăng tin &amp; Quản lý tin'!$B$7:$B$500&amp;", ")),--('Đăng tin &amp; Quản lý tin'!$AT$7:$AT$500="Pass"))+SUMPRODUCT(--ISNUMBER(SEARCH(", "&amp;$B42&amp;", ",", "&amp;'Trust &amp; Safety'!$B$7:$B$500&amp;", ")),--('Trust &amp; Safety'!$AT$7:$AT$500="Pass"))+SUMPRODUCT(--ISNUMBER(SEARCH(", "&amp;$B42&amp;", ",", "&amp;'Tài khoản &amp; Hồ sơ'!$B$7:$B$500&amp;", ")),--('Tài khoản &amp; Hồ sơ'!$AT$7:$AT$500="Pass"))</f>
        <v>0</v>
      </c>
      <c r="H42" s="51" t="n">
        <f aca="false">SUMPRODUCT(--ISNUMBER(SEARCH(", "&amp;$B42&amp;", ",", "&amp;'Hoạt động (Đơn của tôi)'!$B$7:$B$500&amp;", ")),--('Hoạt động (Đơn của tôi)'!$AT$7:$AT$500="Fail"))+SUMPRODUCT(--ISNUMBER(SEARCH(", "&amp;$B42&amp;", ",", "&amp;'Ghép nối'!$B$7:$B$500&amp;", ")),--('Ghép nối'!$AT$7:$AT$500="Fail"))+SUMPRODUCT(--ISNUMBER(SEARCH(", "&amp;$B42&amp;", ",", "&amp;'Huỷ đơn - Huỷ nhận đơn'!$B$7:$B$500&amp;", ")),--('Huỷ đơn - Huỷ nhận đơn'!$AT$7:$AT$500="Fail"))+SUMPRODUCT(--ISNUMBER(SEARCH(", "&amp;$B42&amp;", ",", "&amp;'Giao nhận &amp; Theo dõi đơn'!$B$7:$B$500&amp;", ")),--('Giao nhận &amp; Theo dõi đơn'!$AT$7:$AT$500="Fail"))+SUMPRODUCT(--ISNUMBER(SEARCH(", "&amp;$B42&amp;", ",", "&amp;'Bảng tin &amp; Chi tiết tin'!$B$7:$B$500&amp;", ")),--('Bảng tin &amp; Chi tiết tin'!$AT$7:$AT$500="Fail"))+SUMPRODUCT(--ISNUMBER(SEARCH(", "&amp;$B42&amp;", ",", "&amp;'Quà cảm ơn'!$B$7:$B$500&amp;", ")),--('Quà cảm ơn'!$AT$7:$AT$500="Fail"))+SUMPRODUCT(--ISNUMBER(SEARCH(", "&amp;$B42&amp;", ",", "&amp;'Trang chủ'!$B$7:$B$500&amp;", ")),--('Trang chủ'!$AT$7:$AT$500="Fail"))+SUMPRODUCT(--ISNUMBER(SEARCH(", "&amp;$B42&amp;", ",", "&amp;'Thông báo'!$B$7:$B$500&amp;", ")),--('Thông báo'!$AT$7:$AT$500="Fail"))+SUMPRODUCT(--ISNUMBER(SEARCH(", "&amp;$B42&amp;", ",", "&amp;'Đăng tin &amp; Quản lý tin'!$B$7:$B$500&amp;", ")),--('Đăng tin &amp; Quản lý tin'!$AT$7:$AT$500="Fail"))+SUMPRODUCT(--ISNUMBER(SEARCH(", "&amp;$B42&amp;", ",", "&amp;'Trust &amp; Safety'!$B$7:$B$500&amp;", ")),--('Trust &amp; Safety'!$AT$7:$AT$500="Fail"))+SUMPRODUCT(--ISNUMBER(SEARCH(", "&amp;$B42&amp;", ",", "&amp;'Tài khoản &amp; Hồ sơ'!$B$7:$B$500&amp;", ")),--('Tài khoản &amp; Hồ sơ'!$AT$7:$AT$500="Fail"))</f>
        <v>0</v>
      </c>
      <c r="I42" s="51" t="n">
        <f aca="false">SUMPRODUCT(--ISNUMBER(SEARCH(", "&amp;$B42&amp;", ",", "&amp;'Hoạt động (Đơn của tôi)'!$B$7:$B$500&amp;", ")),--('Hoạt động (Đơn của tôi)'!$AT$7:$AT$500="Block"))+SUMPRODUCT(--ISNUMBER(SEARCH(", "&amp;$B42&amp;", ",", "&amp;'Ghép nối'!$B$7:$B$500&amp;", ")),--('Ghép nối'!$AT$7:$AT$500="Block"))+SUMPRODUCT(--ISNUMBER(SEARCH(", "&amp;$B42&amp;", ",", "&amp;'Huỷ đơn - Huỷ nhận đơn'!$B$7:$B$500&amp;", ")),--('Huỷ đơn - Huỷ nhận đơn'!$AT$7:$AT$500="Block"))+SUMPRODUCT(--ISNUMBER(SEARCH(", "&amp;$B42&amp;", ",", "&amp;'Giao nhận &amp; Theo dõi đơn'!$B$7:$B$500&amp;", ")),--('Giao nhận &amp; Theo dõi đơn'!$AT$7:$AT$500="Block"))+SUMPRODUCT(--ISNUMBER(SEARCH(", "&amp;$B42&amp;", ",", "&amp;'Bảng tin &amp; Chi tiết tin'!$B$7:$B$500&amp;", ")),--('Bảng tin &amp; Chi tiết tin'!$AT$7:$AT$500="Block"))+SUMPRODUCT(--ISNUMBER(SEARCH(", "&amp;$B42&amp;", ",", "&amp;'Quà cảm ơn'!$B$7:$B$500&amp;", ")),--('Quà cảm ơn'!$AT$7:$AT$500="Block"))+SUMPRODUCT(--ISNUMBER(SEARCH(", "&amp;$B42&amp;", ",", "&amp;'Trang chủ'!$B$7:$B$500&amp;", ")),--('Trang chủ'!$AT$7:$AT$500="Block"))+SUMPRODUCT(--ISNUMBER(SEARCH(", "&amp;$B42&amp;", ",", "&amp;'Thông báo'!$B$7:$B$500&amp;", ")),--('Thông báo'!$AT$7:$AT$500="Block"))+SUMPRODUCT(--ISNUMBER(SEARCH(", "&amp;$B42&amp;", ",", "&amp;'Đăng tin &amp; Quản lý tin'!$B$7:$B$500&amp;", ")),--('Đăng tin &amp; Quản lý tin'!$AT$7:$AT$500="Block"))+SUMPRODUCT(--ISNUMBER(SEARCH(", "&amp;$B42&amp;", ",", "&amp;'Trust &amp; Safety'!$B$7:$B$500&amp;", ")),--('Trust &amp; Safety'!$AT$7:$AT$500="Block"))+SUMPRODUCT(--ISNUMBER(SEARCH(", "&amp;$B42&amp;", ",", "&amp;'Tài khoản &amp; Hồ sơ'!$B$7:$B$500&amp;", ")),--('Tài khoản &amp; Hồ sơ'!$AT$7:$AT$500="Block"))</f>
        <v>0</v>
      </c>
      <c r="J42" s="51" t="n">
        <f aca="false">SUMPRODUCT(--ISNUMBER(SEARCH(", "&amp;$B42&amp;", ",", "&amp;'Hoạt động (Đơn của tôi)'!$B$7:$B$500&amp;", ")),--('Hoạt động (Đơn của tôi)'!$AT$7:$AT$500="N/A"))+SUMPRODUCT(--ISNUMBER(SEARCH(", "&amp;$B42&amp;", ",", "&amp;'Ghép nối'!$B$7:$B$500&amp;", ")),--('Ghép nối'!$AT$7:$AT$500="N/A"))+SUMPRODUCT(--ISNUMBER(SEARCH(", "&amp;$B42&amp;", ",", "&amp;'Huỷ đơn - Huỷ nhận đơn'!$B$7:$B$500&amp;", ")),--('Huỷ đơn - Huỷ nhận đơn'!$AT$7:$AT$500="N/A"))+SUMPRODUCT(--ISNUMBER(SEARCH(", "&amp;$B42&amp;", ",", "&amp;'Giao nhận &amp; Theo dõi đơn'!$B$7:$B$500&amp;", ")),--('Giao nhận &amp; Theo dõi đơn'!$AT$7:$AT$500="N/A"))+SUMPRODUCT(--ISNUMBER(SEARCH(", "&amp;$B42&amp;", ",", "&amp;'Bảng tin &amp; Chi tiết tin'!$B$7:$B$500&amp;", ")),--('Bảng tin &amp; Chi tiết tin'!$AT$7:$AT$500="N/A"))+SUMPRODUCT(--ISNUMBER(SEARCH(", "&amp;$B42&amp;", ",", "&amp;'Quà cảm ơn'!$B$7:$B$500&amp;", ")),--('Quà cảm ơn'!$AT$7:$AT$500="N/A"))+SUMPRODUCT(--ISNUMBER(SEARCH(", "&amp;$B42&amp;", ",", "&amp;'Trang chủ'!$B$7:$B$500&amp;", ")),--('Trang chủ'!$AT$7:$AT$500="N/A"))+SUMPRODUCT(--ISNUMBER(SEARCH(", "&amp;$B42&amp;", ",", "&amp;'Thông báo'!$B$7:$B$500&amp;", ")),--('Thông báo'!$AT$7:$AT$500="N/A"))+SUMPRODUCT(--ISNUMBER(SEARCH(", "&amp;$B42&amp;", ",", "&amp;'Đăng tin &amp; Quản lý tin'!$B$7:$B$500&amp;", ")),--('Đăng tin &amp; Quản lý tin'!$AT$7:$AT$500="N/A"))+SUMPRODUCT(--ISNUMBER(SEARCH(", "&amp;$B42&amp;", ",", "&amp;'Trust &amp; Safety'!$B$7:$B$500&amp;", ")),--('Trust &amp; Safety'!$AT$7:$AT$500="N/A"))+SUMPRODUCT(--ISNUMBER(SEARCH(", "&amp;$B42&amp;", ",", "&amp;'Tài khoản &amp; Hồ sơ'!$B$7:$B$500&amp;", ")),--('Tài khoản &amp; Hồ sơ'!$AT$7:$AT$500="N/A"))</f>
        <v>0</v>
      </c>
      <c r="K42" s="52" t="n">
        <f aca="false">IFERROR(F42/E42,0)</f>
        <v>0</v>
      </c>
      <c r="L42" s="124" t="str">
        <f aca="false">IF(E42=0,"Chưa có TC (gap)",IF(H42&gt;0,"Có lỗi (Fail)",IF(I42&gt;0,"Bị block",IF(F42&lt;E42,"Đang test",IF(G42=0,"Không áp dụng (N/A)","Đã test xong")))))</f>
        <v>Đang test</v>
      </c>
      <c r="AB42" s="0" t="s">
        <v>519</v>
      </c>
    </row>
    <row r="43" customFormat="false" ht="15.75" hidden="false" customHeight="true" outlineLevel="0" collapsed="false">
      <c r="A43" s="1"/>
      <c r="B43" s="176" t="s">
        <v>612</v>
      </c>
      <c r="C43" s="177" t="s">
        <v>613</v>
      </c>
      <c r="D43" s="124" t="s">
        <v>614</v>
      </c>
      <c r="E43" s="51" t="n">
        <f aca="false">SUMPRODUCT(--ISNUMBER(SEARCH(", "&amp;$B43&amp;", ",", "&amp;'Hoạt động (Đơn của tôi)'!$B$7:$B$500&amp;", ")))+SUMPRODUCT(--ISNUMBER(SEARCH(", "&amp;$B43&amp;", ",", "&amp;'Ghép nối'!$B$7:$B$500&amp;", ")))+SUMPRODUCT(--ISNUMBER(SEARCH(", "&amp;$B43&amp;", ",", "&amp;'Huỷ đơn - Huỷ nhận đơn'!$B$7:$B$500&amp;", ")))+SUMPRODUCT(--ISNUMBER(SEARCH(", "&amp;$B43&amp;", ",", "&amp;'Giao nhận &amp; Theo dõi đơn'!$B$7:$B$500&amp;", ")))+SUMPRODUCT(--ISNUMBER(SEARCH(", "&amp;$B43&amp;", ",", "&amp;'Bảng tin &amp; Chi tiết tin'!$B$7:$B$500&amp;", ")))+SUMPRODUCT(--ISNUMBER(SEARCH(", "&amp;$B43&amp;", ",", "&amp;'Quà cảm ơn'!$B$7:$B$500&amp;", ")))+SUMPRODUCT(--ISNUMBER(SEARCH(", "&amp;$B43&amp;", ",", "&amp;'Trang chủ'!$B$7:$B$500&amp;", ")))+SUMPRODUCT(--ISNUMBER(SEARCH(", "&amp;$B43&amp;", ",", "&amp;'Thông báo'!$B$7:$B$500&amp;", ")))+SUMPRODUCT(--ISNUMBER(SEARCH(", "&amp;$B43&amp;", ",", "&amp;'Đăng tin &amp; Quản lý tin'!$B$7:$B$500&amp;", ")))+SUMPRODUCT(--ISNUMBER(SEARCH(", "&amp;$B43&amp;", ",", "&amp;'Trust &amp; Safety'!$B$7:$B$500&amp;", ")))+SUMPRODUCT(--ISNUMBER(SEARCH(", "&amp;$B43&amp;", ",", "&amp;'Tài khoản &amp; Hồ sơ'!$B$7:$B$500&amp;", ")))</f>
        <v>2</v>
      </c>
      <c r="F43" s="51" t="n">
        <f aca="false">SUMPRODUCT(--ISNUMBER(SEARCH(", "&amp;$B43&amp;", ",", "&amp;'Hoạt động (Đơn của tôi)'!$B$7:$B$500&amp;", ")),--('Hoạt động (Đơn của tôi)'!$AT$7:$AT$500&lt;&gt;""))+SUMPRODUCT(--ISNUMBER(SEARCH(", "&amp;$B43&amp;", ",", "&amp;'Ghép nối'!$B$7:$B$500&amp;", ")),--('Ghép nối'!$AT$7:$AT$500&lt;&gt;""))+SUMPRODUCT(--ISNUMBER(SEARCH(", "&amp;$B43&amp;", ",", "&amp;'Huỷ đơn - Huỷ nhận đơn'!$B$7:$B$500&amp;", ")),--('Huỷ đơn - Huỷ nhận đơn'!$AT$7:$AT$500&lt;&gt;""))+SUMPRODUCT(--ISNUMBER(SEARCH(", "&amp;$B43&amp;", ",", "&amp;'Giao nhận &amp; Theo dõi đơn'!$B$7:$B$500&amp;", ")),--('Giao nhận &amp; Theo dõi đơn'!$AT$7:$AT$500&lt;&gt;""))+SUMPRODUCT(--ISNUMBER(SEARCH(", "&amp;$B43&amp;", ",", "&amp;'Bảng tin &amp; Chi tiết tin'!$B$7:$B$500&amp;", ")),--('Bảng tin &amp; Chi tiết tin'!$AT$7:$AT$500&lt;&gt;""))+SUMPRODUCT(--ISNUMBER(SEARCH(", "&amp;$B43&amp;", ",", "&amp;'Quà cảm ơn'!$B$7:$B$500&amp;", ")),--('Quà cảm ơn'!$AT$7:$AT$500&lt;&gt;""))+SUMPRODUCT(--ISNUMBER(SEARCH(", "&amp;$B43&amp;", ",", "&amp;'Trang chủ'!$B$7:$B$500&amp;", ")),--('Trang chủ'!$AT$7:$AT$500&lt;&gt;""))+SUMPRODUCT(--ISNUMBER(SEARCH(", "&amp;$B43&amp;", ",", "&amp;'Thông báo'!$B$7:$B$500&amp;", ")),--('Thông báo'!$AT$7:$AT$500&lt;&gt;""))+SUMPRODUCT(--ISNUMBER(SEARCH(", "&amp;$B43&amp;", ",", "&amp;'Đăng tin &amp; Quản lý tin'!$B$7:$B$500&amp;", ")),--('Đăng tin &amp; Quản lý tin'!$AT$7:$AT$500&lt;&gt;""))+SUMPRODUCT(--ISNUMBER(SEARCH(", "&amp;$B43&amp;", ",", "&amp;'Trust &amp; Safety'!$B$7:$B$500&amp;", ")),--('Trust &amp; Safety'!$AT$7:$AT$500&lt;&gt;""))+SUMPRODUCT(--ISNUMBER(SEARCH(", "&amp;$B43&amp;", ",", "&amp;'Tài khoản &amp; Hồ sơ'!$B$7:$B$500&amp;", ")),--('Tài khoản &amp; Hồ sơ'!$AT$7:$AT$500&lt;&gt;""))</f>
        <v>2</v>
      </c>
      <c r="G43" s="51" t="n">
        <f aca="false">SUMPRODUCT(--ISNUMBER(SEARCH(", "&amp;$B43&amp;", ",", "&amp;'Hoạt động (Đơn của tôi)'!$B$7:$B$500&amp;", ")),--('Hoạt động (Đơn của tôi)'!$AT$7:$AT$500="Pass"))+SUMPRODUCT(--ISNUMBER(SEARCH(", "&amp;$B43&amp;", ",", "&amp;'Ghép nối'!$B$7:$B$500&amp;", ")),--('Ghép nối'!$AT$7:$AT$500="Pass"))+SUMPRODUCT(--ISNUMBER(SEARCH(", "&amp;$B43&amp;", ",", "&amp;'Huỷ đơn - Huỷ nhận đơn'!$B$7:$B$500&amp;", ")),--('Huỷ đơn - Huỷ nhận đơn'!$AT$7:$AT$500="Pass"))+SUMPRODUCT(--ISNUMBER(SEARCH(", "&amp;$B43&amp;", ",", "&amp;'Giao nhận &amp; Theo dõi đơn'!$B$7:$B$500&amp;", ")),--('Giao nhận &amp; Theo dõi đơn'!$AT$7:$AT$500="Pass"))+SUMPRODUCT(--ISNUMBER(SEARCH(", "&amp;$B43&amp;", ",", "&amp;'Bảng tin &amp; Chi tiết tin'!$B$7:$B$500&amp;", ")),--('Bảng tin &amp; Chi tiết tin'!$AT$7:$AT$500="Pass"))+SUMPRODUCT(--ISNUMBER(SEARCH(", "&amp;$B43&amp;", ",", "&amp;'Quà cảm ơn'!$B$7:$B$500&amp;", ")),--('Quà cảm ơn'!$AT$7:$AT$500="Pass"))+SUMPRODUCT(--ISNUMBER(SEARCH(", "&amp;$B43&amp;", ",", "&amp;'Trang chủ'!$B$7:$B$500&amp;", ")),--('Trang chủ'!$AT$7:$AT$500="Pass"))+SUMPRODUCT(--ISNUMBER(SEARCH(", "&amp;$B43&amp;", ",", "&amp;'Thông báo'!$B$7:$B$500&amp;", ")),--('Thông báo'!$AT$7:$AT$500="Pass"))+SUMPRODUCT(--ISNUMBER(SEARCH(", "&amp;$B43&amp;", ",", "&amp;'Đăng tin &amp; Quản lý tin'!$B$7:$B$500&amp;", ")),--('Đăng tin &amp; Quản lý tin'!$AT$7:$AT$500="Pass"))+SUMPRODUCT(--ISNUMBER(SEARCH(", "&amp;$B43&amp;", ",", "&amp;'Trust &amp; Safety'!$B$7:$B$500&amp;", ")),--('Trust &amp; Safety'!$AT$7:$AT$500="Pass"))+SUMPRODUCT(--ISNUMBER(SEARCH(", "&amp;$B43&amp;", ",", "&amp;'Tài khoản &amp; Hồ sơ'!$B$7:$B$500&amp;", ")),--('Tài khoản &amp; Hồ sơ'!$AT$7:$AT$500="Pass"))</f>
        <v>0</v>
      </c>
      <c r="H43" s="51" t="n">
        <f aca="false">SUMPRODUCT(--ISNUMBER(SEARCH(", "&amp;$B43&amp;", ",", "&amp;'Hoạt động (Đơn của tôi)'!$B$7:$B$500&amp;", ")),--('Hoạt động (Đơn của tôi)'!$AT$7:$AT$500="Fail"))+SUMPRODUCT(--ISNUMBER(SEARCH(", "&amp;$B43&amp;", ",", "&amp;'Ghép nối'!$B$7:$B$500&amp;", ")),--('Ghép nối'!$AT$7:$AT$500="Fail"))+SUMPRODUCT(--ISNUMBER(SEARCH(", "&amp;$B43&amp;", ",", "&amp;'Huỷ đơn - Huỷ nhận đơn'!$B$7:$B$500&amp;", ")),--('Huỷ đơn - Huỷ nhận đơn'!$AT$7:$AT$500="Fail"))+SUMPRODUCT(--ISNUMBER(SEARCH(", "&amp;$B43&amp;", ",", "&amp;'Giao nhận &amp; Theo dõi đơn'!$B$7:$B$500&amp;", ")),--('Giao nhận &amp; Theo dõi đơn'!$AT$7:$AT$500="Fail"))+SUMPRODUCT(--ISNUMBER(SEARCH(", "&amp;$B43&amp;", ",", "&amp;'Bảng tin &amp; Chi tiết tin'!$B$7:$B$500&amp;", ")),--('Bảng tin &amp; Chi tiết tin'!$AT$7:$AT$500="Fail"))+SUMPRODUCT(--ISNUMBER(SEARCH(", "&amp;$B43&amp;", ",", "&amp;'Quà cảm ơn'!$B$7:$B$500&amp;", ")),--('Quà cảm ơn'!$AT$7:$AT$500="Fail"))+SUMPRODUCT(--ISNUMBER(SEARCH(", "&amp;$B43&amp;", ",", "&amp;'Trang chủ'!$B$7:$B$500&amp;", ")),--('Trang chủ'!$AT$7:$AT$500="Fail"))+SUMPRODUCT(--ISNUMBER(SEARCH(", "&amp;$B43&amp;", ",", "&amp;'Thông báo'!$B$7:$B$500&amp;", ")),--('Thông báo'!$AT$7:$AT$500="Fail"))+SUMPRODUCT(--ISNUMBER(SEARCH(", "&amp;$B43&amp;", ",", "&amp;'Đăng tin &amp; Quản lý tin'!$B$7:$B$500&amp;", ")),--('Đăng tin &amp; Quản lý tin'!$AT$7:$AT$500="Fail"))+SUMPRODUCT(--ISNUMBER(SEARCH(", "&amp;$B43&amp;", ",", "&amp;'Trust &amp; Safety'!$B$7:$B$500&amp;", ")),--('Trust &amp; Safety'!$AT$7:$AT$500="Fail"))+SUMPRODUCT(--ISNUMBER(SEARCH(", "&amp;$B43&amp;", ",", "&amp;'Tài khoản &amp; Hồ sơ'!$B$7:$B$500&amp;", ")),--('Tài khoản &amp; Hồ sơ'!$AT$7:$AT$500="Fail"))</f>
        <v>0</v>
      </c>
      <c r="I43" s="51" t="n">
        <f aca="false">SUMPRODUCT(--ISNUMBER(SEARCH(", "&amp;$B43&amp;", ",", "&amp;'Hoạt động (Đơn của tôi)'!$B$7:$B$500&amp;", ")),--('Hoạt động (Đơn của tôi)'!$AT$7:$AT$500="Block"))+SUMPRODUCT(--ISNUMBER(SEARCH(", "&amp;$B43&amp;", ",", "&amp;'Ghép nối'!$B$7:$B$500&amp;", ")),--('Ghép nối'!$AT$7:$AT$500="Block"))+SUMPRODUCT(--ISNUMBER(SEARCH(", "&amp;$B43&amp;", ",", "&amp;'Huỷ đơn - Huỷ nhận đơn'!$B$7:$B$500&amp;", ")),--('Huỷ đơn - Huỷ nhận đơn'!$AT$7:$AT$500="Block"))+SUMPRODUCT(--ISNUMBER(SEARCH(", "&amp;$B43&amp;", ",", "&amp;'Giao nhận &amp; Theo dõi đơn'!$B$7:$B$500&amp;", ")),--('Giao nhận &amp; Theo dõi đơn'!$AT$7:$AT$500="Block"))+SUMPRODUCT(--ISNUMBER(SEARCH(", "&amp;$B43&amp;", ",", "&amp;'Bảng tin &amp; Chi tiết tin'!$B$7:$B$500&amp;", ")),--('Bảng tin &amp; Chi tiết tin'!$AT$7:$AT$500="Block"))+SUMPRODUCT(--ISNUMBER(SEARCH(", "&amp;$B43&amp;", ",", "&amp;'Quà cảm ơn'!$B$7:$B$500&amp;", ")),--('Quà cảm ơn'!$AT$7:$AT$500="Block"))+SUMPRODUCT(--ISNUMBER(SEARCH(", "&amp;$B43&amp;", ",", "&amp;'Trang chủ'!$B$7:$B$500&amp;", ")),--('Trang chủ'!$AT$7:$AT$500="Block"))+SUMPRODUCT(--ISNUMBER(SEARCH(", "&amp;$B43&amp;", ",", "&amp;'Thông báo'!$B$7:$B$500&amp;", ")),--('Thông báo'!$AT$7:$AT$500="Block"))+SUMPRODUCT(--ISNUMBER(SEARCH(", "&amp;$B43&amp;", ",", "&amp;'Đăng tin &amp; Quản lý tin'!$B$7:$B$500&amp;", ")),--('Đăng tin &amp; Quản lý tin'!$AT$7:$AT$500="Block"))+SUMPRODUCT(--ISNUMBER(SEARCH(", "&amp;$B43&amp;", ",", "&amp;'Trust &amp; Safety'!$B$7:$B$500&amp;", ")),--('Trust &amp; Safety'!$AT$7:$AT$500="Block"))+SUMPRODUCT(--ISNUMBER(SEARCH(", "&amp;$B43&amp;", ",", "&amp;'Tài khoản &amp; Hồ sơ'!$B$7:$B$500&amp;", ")),--('Tài khoản &amp; Hồ sơ'!$AT$7:$AT$500="Block"))</f>
        <v>2</v>
      </c>
      <c r="J43" s="51" t="n">
        <f aca="false">SUMPRODUCT(--ISNUMBER(SEARCH(", "&amp;$B43&amp;", ",", "&amp;'Hoạt động (Đơn của tôi)'!$B$7:$B$500&amp;", ")),--('Hoạt động (Đơn của tôi)'!$AT$7:$AT$500="N/A"))+SUMPRODUCT(--ISNUMBER(SEARCH(", "&amp;$B43&amp;", ",", "&amp;'Ghép nối'!$B$7:$B$500&amp;", ")),--('Ghép nối'!$AT$7:$AT$500="N/A"))+SUMPRODUCT(--ISNUMBER(SEARCH(", "&amp;$B43&amp;", ",", "&amp;'Huỷ đơn - Huỷ nhận đơn'!$B$7:$B$500&amp;", ")),--('Huỷ đơn - Huỷ nhận đơn'!$AT$7:$AT$500="N/A"))+SUMPRODUCT(--ISNUMBER(SEARCH(", "&amp;$B43&amp;", ",", "&amp;'Giao nhận &amp; Theo dõi đơn'!$B$7:$B$500&amp;", ")),--('Giao nhận &amp; Theo dõi đơn'!$AT$7:$AT$500="N/A"))+SUMPRODUCT(--ISNUMBER(SEARCH(", "&amp;$B43&amp;", ",", "&amp;'Bảng tin &amp; Chi tiết tin'!$B$7:$B$500&amp;", ")),--('Bảng tin &amp; Chi tiết tin'!$AT$7:$AT$500="N/A"))+SUMPRODUCT(--ISNUMBER(SEARCH(", "&amp;$B43&amp;", ",", "&amp;'Quà cảm ơn'!$B$7:$B$500&amp;", ")),--('Quà cảm ơn'!$AT$7:$AT$500="N/A"))+SUMPRODUCT(--ISNUMBER(SEARCH(", "&amp;$B43&amp;", ",", "&amp;'Trang chủ'!$B$7:$B$500&amp;", ")),--('Trang chủ'!$AT$7:$AT$500="N/A"))+SUMPRODUCT(--ISNUMBER(SEARCH(", "&amp;$B43&amp;", ",", "&amp;'Thông báo'!$B$7:$B$500&amp;", ")),--('Thông báo'!$AT$7:$AT$500="N/A"))+SUMPRODUCT(--ISNUMBER(SEARCH(", "&amp;$B43&amp;", ",", "&amp;'Đăng tin &amp; Quản lý tin'!$B$7:$B$500&amp;", ")),--('Đăng tin &amp; Quản lý tin'!$AT$7:$AT$500="N/A"))+SUMPRODUCT(--ISNUMBER(SEARCH(", "&amp;$B43&amp;", ",", "&amp;'Trust &amp; Safety'!$B$7:$B$500&amp;", ")),--('Trust &amp; Safety'!$AT$7:$AT$500="N/A"))+SUMPRODUCT(--ISNUMBER(SEARCH(", "&amp;$B43&amp;", ",", "&amp;'Tài khoản &amp; Hồ sơ'!$B$7:$B$500&amp;", ")),--('Tài khoản &amp; Hồ sơ'!$AT$7:$AT$500="N/A"))</f>
        <v>0</v>
      </c>
      <c r="K43" s="52" t="n">
        <f aca="false">IFERROR(F43/E43,0)</f>
        <v>1</v>
      </c>
      <c r="L43" s="124" t="str">
        <f aca="false">IF(E43=0,"Chưa có TC (gap)",IF(H43&gt;0,"Có lỗi (Fail)",IF(I43&gt;0,"Bị block",IF(F43&lt;E43,"Đang test",IF(G43=0,"Không áp dụng (N/A)","Đã test xong")))))</f>
        <v>Bị block</v>
      </c>
      <c r="AB43" s="0" t="s">
        <v>519</v>
      </c>
    </row>
    <row r="44" customFormat="false" ht="15.75" hidden="false" customHeight="true" outlineLevel="0" collapsed="false">
      <c r="A44" s="1"/>
      <c r="B44" s="176" t="s">
        <v>615</v>
      </c>
      <c r="C44" s="177" t="s">
        <v>616</v>
      </c>
      <c r="D44" s="124" t="s">
        <v>617</v>
      </c>
      <c r="E44" s="51" t="n">
        <f aca="false">SUMPRODUCT(--ISNUMBER(SEARCH(", "&amp;$B44&amp;", ",", "&amp;'Hoạt động (Đơn của tôi)'!$B$7:$B$500&amp;", ")))+SUMPRODUCT(--ISNUMBER(SEARCH(", "&amp;$B44&amp;", ",", "&amp;'Ghép nối'!$B$7:$B$500&amp;", ")))+SUMPRODUCT(--ISNUMBER(SEARCH(", "&amp;$B44&amp;", ",", "&amp;'Huỷ đơn - Huỷ nhận đơn'!$B$7:$B$500&amp;", ")))+SUMPRODUCT(--ISNUMBER(SEARCH(", "&amp;$B44&amp;", ",", "&amp;'Giao nhận &amp; Theo dõi đơn'!$B$7:$B$500&amp;", ")))+SUMPRODUCT(--ISNUMBER(SEARCH(", "&amp;$B44&amp;", ",", "&amp;'Bảng tin &amp; Chi tiết tin'!$B$7:$B$500&amp;", ")))+SUMPRODUCT(--ISNUMBER(SEARCH(", "&amp;$B44&amp;", ",", "&amp;'Quà cảm ơn'!$B$7:$B$500&amp;", ")))+SUMPRODUCT(--ISNUMBER(SEARCH(", "&amp;$B44&amp;", ",", "&amp;'Trang chủ'!$B$7:$B$500&amp;", ")))+SUMPRODUCT(--ISNUMBER(SEARCH(", "&amp;$B44&amp;", ",", "&amp;'Thông báo'!$B$7:$B$500&amp;", ")))+SUMPRODUCT(--ISNUMBER(SEARCH(", "&amp;$B44&amp;", ",", "&amp;'Đăng tin &amp; Quản lý tin'!$B$7:$B$500&amp;", ")))+SUMPRODUCT(--ISNUMBER(SEARCH(", "&amp;$B44&amp;", ",", "&amp;'Trust &amp; Safety'!$B$7:$B$500&amp;", ")))+SUMPRODUCT(--ISNUMBER(SEARCH(", "&amp;$B44&amp;", ",", "&amp;'Tài khoản &amp; Hồ sơ'!$B$7:$B$500&amp;", ")))</f>
        <v>3</v>
      </c>
      <c r="F44" s="51" t="n">
        <f aca="false">SUMPRODUCT(--ISNUMBER(SEARCH(", "&amp;$B44&amp;", ",", "&amp;'Hoạt động (Đơn của tôi)'!$B$7:$B$500&amp;", ")),--('Hoạt động (Đơn của tôi)'!$AT$7:$AT$500&lt;&gt;""))+SUMPRODUCT(--ISNUMBER(SEARCH(", "&amp;$B44&amp;", ",", "&amp;'Ghép nối'!$B$7:$B$500&amp;", ")),--('Ghép nối'!$AT$7:$AT$500&lt;&gt;""))+SUMPRODUCT(--ISNUMBER(SEARCH(", "&amp;$B44&amp;", ",", "&amp;'Huỷ đơn - Huỷ nhận đơn'!$B$7:$B$500&amp;", ")),--('Huỷ đơn - Huỷ nhận đơn'!$AT$7:$AT$500&lt;&gt;""))+SUMPRODUCT(--ISNUMBER(SEARCH(", "&amp;$B44&amp;", ",", "&amp;'Giao nhận &amp; Theo dõi đơn'!$B$7:$B$500&amp;", ")),--('Giao nhận &amp; Theo dõi đơn'!$AT$7:$AT$500&lt;&gt;""))+SUMPRODUCT(--ISNUMBER(SEARCH(", "&amp;$B44&amp;", ",", "&amp;'Bảng tin &amp; Chi tiết tin'!$B$7:$B$500&amp;", ")),--('Bảng tin &amp; Chi tiết tin'!$AT$7:$AT$500&lt;&gt;""))+SUMPRODUCT(--ISNUMBER(SEARCH(", "&amp;$B44&amp;", ",", "&amp;'Quà cảm ơn'!$B$7:$B$500&amp;", ")),--('Quà cảm ơn'!$AT$7:$AT$500&lt;&gt;""))+SUMPRODUCT(--ISNUMBER(SEARCH(", "&amp;$B44&amp;", ",", "&amp;'Trang chủ'!$B$7:$B$500&amp;", ")),--('Trang chủ'!$AT$7:$AT$500&lt;&gt;""))+SUMPRODUCT(--ISNUMBER(SEARCH(", "&amp;$B44&amp;", ",", "&amp;'Thông báo'!$B$7:$B$500&amp;", ")),--('Thông báo'!$AT$7:$AT$500&lt;&gt;""))+SUMPRODUCT(--ISNUMBER(SEARCH(", "&amp;$B44&amp;", ",", "&amp;'Đăng tin &amp; Quản lý tin'!$B$7:$B$500&amp;", ")),--('Đăng tin &amp; Quản lý tin'!$AT$7:$AT$500&lt;&gt;""))+SUMPRODUCT(--ISNUMBER(SEARCH(", "&amp;$B44&amp;", ",", "&amp;'Trust &amp; Safety'!$B$7:$B$500&amp;", ")),--('Trust &amp; Safety'!$AT$7:$AT$500&lt;&gt;""))+SUMPRODUCT(--ISNUMBER(SEARCH(", "&amp;$B44&amp;", ",", "&amp;'Tài khoản &amp; Hồ sơ'!$B$7:$B$500&amp;", ")),--('Tài khoản &amp; Hồ sơ'!$AT$7:$AT$500&lt;&gt;""))</f>
        <v>0</v>
      </c>
      <c r="G44" s="51" t="n">
        <f aca="false">SUMPRODUCT(--ISNUMBER(SEARCH(", "&amp;$B44&amp;", ",", "&amp;'Hoạt động (Đơn của tôi)'!$B$7:$B$500&amp;", ")),--('Hoạt động (Đơn của tôi)'!$AT$7:$AT$500="Pass"))+SUMPRODUCT(--ISNUMBER(SEARCH(", "&amp;$B44&amp;", ",", "&amp;'Ghép nối'!$B$7:$B$500&amp;", ")),--('Ghép nối'!$AT$7:$AT$500="Pass"))+SUMPRODUCT(--ISNUMBER(SEARCH(", "&amp;$B44&amp;", ",", "&amp;'Huỷ đơn - Huỷ nhận đơn'!$B$7:$B$500&amp;", ")),--('Huỷ đơn - Huỷ nhận đơn'!$AT$7:$AT$500="Pass"))+SUMPRODUCT(--ISNUMBER(SEARCH(", "&amp;$B44&amp;", ",", "&amp;'Giao nhận &amp; Theo dõi đơn'!$B$7:$B$500&amp;", ")),--('Giao nhận &amp; Theo dõi đơn'!$AT$7:$AT$500="Pass"))+SUMPRODUCT(--ISNUMBER(SEARCH(", "&amp;$B44&amp;", ",", "&amp;'Bảng tin &amp; Chi tiết tin'!$B$7:$B$500&amp;", ")),--('Bảng tin &amp; Chi tiết tin'!$AT$7:$AT$500="Pass"))+SUMPRODUCT(--ISNUMBER(SEARCH(", "&amp;$B44&amp;", ",", "&amp;'Quà cảm ơn'!$B$7:$B$500&amp;", ")),--('Quà cảm ơn'!$AT$7:$AT$500="Pass"))+SUMPRODUCT(--ISNUMBER(SEARCH(", "&amp;$B44&amp;", ",", "&amp;'Trang chủ'!$B$7:$B$500&amp;", ")),--('Trang chủ'!$AT$7:$AT$500="Pass"))+SUMPRODUCT(--ISNUMBER(SEARCH(", "&amp;$B44&amp;", ",", "&amp;'Thông báo'!$B$7:$B$500&amp;", ")),--('Thông báo'!$AT$7:$AT$500="Pass"))+SUMPRODUCT(--ISNUMBER(SEARCH(", "&amp;$B44&amp;", ",", "&amp;'Đăng tin &amp; Quản lý tin'!$B$7:$B$500&amp;", ")),--('Đăng tin &amp; Quản lý tin'!$AT$7:$AT$500="Pass"))+SUMPRODUCT(--ISNUMBER(SEARCH(", "&amp;$B44&amp;", ",", "&amp;'Trust &amp; Safety'!$B$7:$B$500&amp;", ")),--('Trust &amp; Safety'!$AT$7:$AT$500="Pass"))+SUMPRODUCT(--ISNUMBER(SEARCH(", "&amp;$B44&amp;", ",", "&amp;'Tài khoản &amp; Hồ sơ'!$B$7:$B$500&amp;", ")),--('Tài khoản &amp; Hồ sơ'!$AT$7:$AT$500="Pass"))</f>
        <v>0</v>
      </c>
      <c r="H44" s="51" t="n">
        <f aca="false">SUMPRODUCT(--ISNUMBER(SEARCH(", "&amp;$B44&amp;", ",", "&amp;'Hoạt động (Đơn của tôi)'!$B$7:$B$500&amp;", ")),--('Hoạt động (Đơn của tôi)'!$AT$7:$AT$500="Fail"))+SUMPRODUCT(--ISNUMBER(SEARCH(", "&amp;$B44&amp;", ",", "&amp;'Ghép nối'!$B$7:$B$500&amp;", ")),--('Ghép nối'!$AT$7:$AT$500="Fail"))+SUMPRODUCT(--ISNUMBER(SEARCH(", "&amp;$B44&amp;", ",", "&amp;'Huỷ đơn - Huỷ nhận đơn'!$B$7:$B$500&amp;", ")),--('Huỷ đơn - Huỷ nhận đơn'!$AT$7:$AT$500="Fail"))+SUMPRODUCT(--ISNUMBER(SEARCH(", "&amp;$B44&amp;", ",", "&amp;'Giao nhận &amp; Theo dõi đơn'!$B$7:$B$500&amp;", ")),--('Giao nhận &amp; Theo dõi đơn'!$AT$7:$AT$500="Fail"))+SUMPRODUCT(--ISNUMBER(SEARCH(", "&amp;$B44&amp;", ",", "&amp;'Bảng tin &amp; Chi tiết tin'!$B$7:$B$500&amp;", ")),--('Bảng tin &amp; Chi tiết tin'!$AT$7:$AT$500="Fail"))+SUMPRODUCT(--ISNUMBER(SEARCH(", "&amp;$B44&amp;", ",", "&amp;'Quà cảm ơn'!$B$7:$B$500&amp;", ")),--('Quà cảm ơn'!$AT$7:$AT$500="Fail"))+SUMPRODUCT(--ISNUMBER(SEARCH(", "&amp;$B44&amp;", ",", "&amp;'Trang chủ'!$B$7:$B$500&amp;", ")),--('Trang chủ'!$AT$7:$AT$500="Fail"))+SUMPRODUCT(--ISNUMBER(SEARCH(", "&amp;$B44&amp;", ",", "&amp;'Thông báo'!$B$7:$B$500&amp;", ")),--('Thông báo'!$AT$7:$AT$500="Fail"))+SUMPRODUCT(--ISNUMBER(SEARCH(", "&amp;$B44&amp;", ",", "&amp;'Đăng tin &amp; Quản lý tin'!$B$7:$B$500&amp;", ")),--('Đăng tin &amp; Quản lý tin'!$AT$7:$AT$500="Fail"))+SUMPRODUCT(--ISNUMBER(SEARCH(", "&amp;$B44&amp;", ",", "&amp;'Trust &amp; Safety'!$B$7:$B$500&amp;", ")),--('Trust &amp; Safety'!$AT$7:$AT$500="Fail"))+SUMPRODUCT(--ISNUMBER(SEARCH(", "&amp;$B44&amp;", ",", "&amp;'Tài khoản &amp; Hồ sơ'!$B$7:$B$500&amp;", ")),--('Tài khoản &amp; Hồ sơ'!$AT$7:$AT$500="Fail"))</f>
        <v>0</v>
      </c>
      <c r="I44" s="51" t="n">
        <f aca="false">SUMPRODUCT(--ISNUMBER(SEARCH(", "&amp;$B44&amp;", ",", "&amp;'Hoạt động (Đơn của tôi)'!$B$7:$B$500&amp;", ")),--('Hoạt động (Đơn của tôi)'!$AT$7:$AT$500="Block"))+SUMPRODUCT(--ISNUMBER(SEARCH(", "&amp;$B44&amp;", ",", "&amp;'Ghép nối'!$B$7:$B$500&amp;", ")),--('Ghép nối'!$AT$7:$AT$500="Block"))+SUMPRODUCT(--ISNUMBER(SEARCH(", "&amp;$B44&amp;", ",", "&amp;'Huỷ đơn - Huỷ nhận đơn'!$B$7:$B$500&amp;", ")),--('Huỷ đơn - Huỷ nhận đơn'!$AT$7:$AT$500="Block"))+SUMPRODUCT(--ISNUMBER(SEARCH(", "&amp;$B44&amp;", ",", "&amp;'Giao nhận &amp; Theo dõi đơn'!$B$7:$B$500&amp;", ")),--('Giao nhận &amp; Theo dõi đơn'!$AT$7:$AT$500="Block"))+SUMPRODUCT(--ISNUMBER(SEARCH(", "&amp;$B44&amp;", ",", "&amp;'Bảng tin &amp; Chi tiết tin'!$B$7:$B$500&amp;", ")),--('Bảng tin &amp; Chi tiết tin'!$AT$7:$AT$500="Block"))+SUMPRODUCT(--ISNUMBER(SEARCH(", "&amp;$B44&amp;", ",", "&amp;'Quà cảm ơn'!$B$7:$B$500&amp;", ")),--('Quà cảm ơn'!$AT$7:$AT$500="Block"))+SUMPRODUCT(--ISNUMBER(SEARCH(", "&amp;$B44&amp;", ",", "&amp;'Trang chủ'!$B$7:$B$500&amp;", ")),--('Trang chủ'!$AT$7:$AT$500="Block"))+SUMPRODUCT(--ISNUMBER(SEARCH(", "&amp;$B44&amp;", ",", "&amp;'Thông báo'!$B$7:$B$500&amp;", ")),--('Thông báo'!$AT$7:$AT$500="Block"))+SUMPRODUCT(--ISNUMBER(SEARCH(", "&amp;$B44&amp;", ",", "&amp;'Đăng tin &amp; Quản lý tin'!$B$7:$B$500&amp;", ")),--('Đăng tin &amp; Quản lý tin'!$AT$7:$AT$500="Block"))+SUMPRODUCT(--ISNUMBER(SEARCH(", "&amp;$B44&amp;", ",", "&amp;'Trust &amp; Safety'!$B$7:$B$500&amp;", ")),--('Trust &amp; Safety'!$AT$7:$AT$500="Block"))+SUMPRODUCT(--ISNUMBER(SEARCH(", "&amp;$B44&amp;", ",", "&amp;'Tài khoản &amp; Hồ sơ'!$B$7:$B$500&amp;", ")),--('Tài khoản &amp; Hồ sơ'!$AT$7:$AT$500="Block"))</f>
        <v>0</v>
      </c>
      <c r="J44" s="51" t="n">
        <f aca="false">SUMPRODUCT(--ISNUMBER(SEARCH(", "&amp;$B44&amp;", ",", "&amp;'Hoạt động (Đơn của tôi)'!$B$7:$B$500&amp;", ")),--('Hoạt động (Đơn của tôi)'!$AT$7:$AT$500="N/A"))+SUMPRODUCT(--ISNUMBER(SEARCH(", "&amp;$B44&amp;", ",", "&amp;'Ghép nối'!$B$7:$B$500&amp;", ")),--('Ghép nối'!$AT$7:$AT$500="N/A"))+SUMPRODUCT(--ISNUMBER(SEARCH(", "&amp;$B44&amp;", ",", "&amp;'Huỷ đơn - Huỷ nhận đơn'!$B$7:$B$500&amp;", ")),--('Huỷ đơn - Huỷ nhận đơn'!$AT$7:$AT$500="N/A"))+SUMPRODUCT(--ISNUMBER(SEARCH(", "&amp;$B44&amp;", ",", "&amp;'Giao nhận &amp; Theo dõi đơn'!$B$7:$B$500&amp;", ")),--('Giao nhận &amp; Theo dõi đơn'!$AT$7:$AT$500="N/A"))+SUMPRODUCT(--ISNUMBER(SEARCH(", "&amp;$B44&amp;", ",", "&amp;'Bảng tin &amp; Chi tiết tin'!$B$7:$B$500&amp;", ")),--('Bảng tin &amp; Chi tiết tin'!$AT$7:$AT$500="N/A"))+SUMPRODUCT(--ISNUMBER(SEARCH(", "&amp;$B44&amp;", ",", "&amp;'Quà cảm ơn'!$B$7:$B$500&amp;", ")),--('Quà cảm ơn'!$AT$7:$AT$500="N/A"))+SUMPRODUCT(--ISNUMBER(SEARCH(", "&amp;$B44&amp;", ",", "&amp;'Trang chủ'!$B$7:$B$500&amp;", ")),--('Trang chủ'!$AT$7:$AT$500="N/A"))+SUMPRODUCT(--ISNUMBER(SEARCH(", "&amp;$B44&amp;", ",", "&amp;'Thông báo'!$B$7:$B$500&amp;", ")),--('Thông báo'!$AT$7:$AT$500="N/A"))+SUMPRODUCT(--ISNUMBER(SEARCH(", "&amp;$B44&amp;", ",", "&amp;'Đăng tin &amp; Quản lý tin'!$B$7:$B$500&amp;", ")),--('Đăng tin &amp; Quản lý tin'!$AT$7:$AT$500="N/A"))+SUMPRODUCT(--ISNUMBER(SEARCH(", "&amp;$B44&amp;", ",", "&amp;'Trust &amp; Safety'!$B$7:$B$500&amp;", ")),--('Trust &amp; Safety'!$AT$7:$AT$500="N/A"))+SUMPRODUCT(--ISNUMBER(SEARCH(", "&amp;$B44&amp;", ",", "&amp;'Tài khoản &amp; Hồ sơ'!$B$7:$B$500&amp;", ")),--('Tài khoản &amp; Hồ sơ'!$AT$7:$AT$500="N/A"))</f>
        <v>0</v>
      </c>
      <c r="K44" s="52" t="n">
        <f aca="false">IFERROR(F44/E44,0)</f>
        <v>0</v>
      </c>
      <c r="L44" s="124" t="str">
        <f aca="false">IF(E44=0,"Chưa có TC (gap)",IF(H44&gt;0,"Có lỗi (Fail)",IF(I44&gt;0,"Bị block",IF(F44&lt;E44,"Đang test",IF(G44=0,"Không áp dụng (N/A)","Đã test xong")))))</f>
        <v>Đang test</v>
      </c>
      <c r="AB44" s="0" t="s">
        <v>523</v>
      </c>
    </row>
    <row r="45" customFormat="false" ht="15.75" hidden="false" customHeight="true" outlineLevel="0" collapsed="false">
      <c r="A45" s="1"/>
      <c r="B45" s="176" t="s">
        <v>618</v>
      </c>
      <c r="C45" s="177" t="s">
        <v>619</v>
      </c>
      <c r="D45" s="124" t="s">
        <v>620</v>
      </c>
      <c r="E45" s="51" t="n">
        <f aca="false">SUMPRODUCT(--ISNUMBER(SEARCH(", "&amp;$B45&amp;", ",", "&amp;'Hoạt động (Đơn của tôi)'!$B$7:$B$500&amp;", ")))+SUMPRODUCT(--ISNUMBER(SEARCH(", "&amp;$B45&amp;", ",", "&amp;'Ghép nối'!$B$7:$B$500&amp;", ")))+SUMPRODUCT(--ISNUMBER(SEARCH(", "&amp;$B45&amp;", ",", "&amp;'Huỷ đơn - Huỷ nhận đơn'!$B$7:$B$500&amp;", ")))+SUMPRODUCT(--ISNUMBER(SEARCH(", "&amp;$B45&amp;", ",", "&amp;'Giao nhận &amp; Theo dõi đơn'!$B$7:$B$500&amp;", ")))+SUMPRODUCT(--ISNUMBER(SEARCH(", "&amp;$B45&amp;", ",", "&amp;'Bảng tin &amp; Chi tiết tin'!$B$7:$B$500&amp;", ")))+SUMPRODUCT(--ISNUMBER(SEARCH(", "&amp;$B45&amp;", ",", "&amp;'Quà cảm ơn'!$B$7:$B$500&amp;", ")))+SUMPRODUCT(--ISNUMBER(SEARCH(", "&amp;$B45&amp;", ",", "&amp;'Trang chủ'!$B$7:$B$500&amp;", ")))+SUMPRODUCT(--ISNUMBER(SEARCH(", "&amp;$B45&amp;", ",", "&amp;'Thông báo'!$B$7:$B$500&amp;", ")))+SUMPRODUCT(--ISNUMBER(SEARCH(", "&amp;$B45&amp;", ",", "&amp;'Đăng tin &amp; Quản lý tin'!$B$7:$B$500&amp;", ")))+SUMPRODUCT(--ISNUMBER(SEARCH(", "&amp;$B45&amp;", ",", "&amp;'Trust &amp; Safety'!$B$7:$B$500&amp;", ")))+SUMPRODUCT(--ISNUMBER(SEARCH(", "&amp;$B45&amp;", ",", "&amp;'Tài khoản &amp; Hồ sơ'!$B$7:$B$500&amp;", ")))</f>
        <v>5</v>
      </c>
      <c r="F45" s="51" t="n">
        <f aca="false">SUMPRODUCT(--ISNUMBER(SEARCH(", "&amp;$B45&amp;", ",", "&amp;'Hoạt động (Đơn của tôi)'!$B$7:$B$500&amp;", ")),--('Hoạt động (Đơn của tôi)'!$AT$7:$AT$500&lt;&gt;""))+SUMPRODUCT(--ISNUMBER(SEARCH(", "&amp;$B45&amp;", ",", "&amp;'Ghép nối'!$B$7:$B$500&amp;", ")),--('Ghép nối'!$AT$7:$AT$500&lt;&gt;""))+SUMPRODUCT(--ISNUMBER(SEARCH(", "&amp;$B45&amp;", ",", "&amp;'Huỷ đơn - Huỷ nhận đơn'!$B$7:$B$500&amp;", ")),--('Huỷ đơn - Huỷ nhận đơn'!$AT$7:$AT$500&lt;&gt;""))+SUMPRODUCT(--ISNUMBER(SEARCH(", "&amp;$B45&amp;", ",", "&amp;'Giao nhận &amp; Theo dõi đơn'!$B$7:$B$500&amp;", ")),--('Giao nhận &amp; Theo dõi đơn'!$AT$7:$AT$500&lt;&gt;""))+SUMPRODUCT(--ISNUMBER(SEARCH(", "&amp;$B45&amp;", ",", "&amp;'Bảng tin &amp; Chi tiết tin'!$B$7:$B$500&amp;", ")),--('Bảng tin &amp; Chi tiết tin'!$AT$7:$AT$500&lt;&gt;""))+SUMPRODUCT(--ISNUMBER(SEARCH(", "&amp;$B45&amp;", ",", "&amp;'Quà cảm ơn'!$B$7:$B$500&amp;", ")),--('Quà cảm ơn'!$AT$7:$AT$500&lt;&gt;""))+SUMPRODUCT(--ISNUMBER(SEARCH(", "&amp;$B45&amp;", ",", "&amp;'Trang chủ'!$B$7:$B$500&amp;", ")),--('Trang chủ'!$AT$7:$AT$500&lt;&gt;""))+SUMPRODUCT(--ISNUMBER(SEARCH(", "&amp;$B45&amp;", ",", "&amp;'Thông báo'!$B$7:$B$500&amp;", ")),--('Thông báo'!$AT$7:$AT$500&lt;&gt;""))+SUMPRODUCT(--ISNUMBER(SEARCH(", "&amp;$B45&amp;", ",", "&amp;'Đăng tin &amp; Quản lý tin'!$B$7:$B$500&amp;", ")),--('Đăng tin &amp; Quản lý tin'!$AT$7:$AT$500&lt;&gt;""))+SUMPRODUCT(--ISNUMBER(SEARCH(", "&amp;$B45&amp;", ",", "&amp;'Trust &amp; Safety'!$B$7:$B$500&amp;", ")),--('Trust &amp; Safety'!$AT$7:$AT$500&lt;&gt;""))+SUMPRODUCT(--ISNUMBER(SEARCH(", "&amp;$B45&amp;", ",", "&amp;'Tài khoản &amp; Hồ sơ'!$B$7:$B$500&amp;", ")),--('Tài khoản &amp; Hồ sơ'!$AT$7:$AT$500&lt;&gt;""))</f>
        <v>4</v>
      </c>
      <c r="G45" s="51" t="n">
        <f aca="false">SUMPRODUCT(--ISNUMBER(SEARCH(", "&amp;$B45&amp;", ",", "&amp;'Hoạt động (Đơn của tôi)'!$B$7:$B$500&amp;", ")),--('Hoạt động (Đơn của tôi)'!$AT$7:$AT$500="Pass"))+SUMPRODUCT(--ISNUMBER(SEARCH(", "&amp;$B45&amp;", ",", "&amp;'Ghép nối'!$B$7:$B$500&amp;", ")),--('Ghép nối'!$AT$7:$AT$500="Pass"))+SUMPRODUCT(--ISNUMBER(SEARCH(", "&amp;$B45&amp;", ",", "&amp;'Huỷ đơn - Huỷ nhận đơn'!$B$7:$B$500&amp;", ")),--('Huỷ đơn - Huỷ nhận đơn'!$AT$7:$AT$500="Pass"))+SUMPRODUCT(--ISNUMBER(SEARCH(", "&amp;$B45&amp;", ",", "&amp;'Giao nhận &amp; Theo dõi đơn'!$B$7:$B$500&amp;", ")),--('Giao nhận &amp; Theo dõi đơn'!$AT$7:$AT$500="Pass"))+SUMPRODUCT(--ISNUMBER(SEARCH(", "&amp;$B45&amp;", ",", "&amp;'Bảng tin &amp; Chi tiết tin'!$B$7:$B$500&amp;", ")),--('Bảng tin &amp; Chi tiết tin'!$AT$7:$AT$500="Pass"))+SUMPRODUCT(--ISNUMBER(SEARCH(", "&amp;$B45&amp;", ",", "&amp;'Quà cảm ơn'!$B$7:$B$500&amp;", ")),--('Quà cảm ơn'!$AT$7:$AT$500="Pass"))+SUMPRODUCT(--ISNUMBER(SEARCH(", "&amp;$B45&amp;", ",", "&amp;'Trang chủ'!$B$7:$B$500&amp;", ")),--('Trang chủ'!$AT$7:$AT$500="Pass"))+SUMPRODUCT(--ISNUMBER(SEARCH(", "&amp;$B45&amp;", ",", "&amp;'Thông báo'!$B$7:$B$500&amp;", ")),--('Thông báo'!$AT$7:$AT$500="Pass"))+SUMPRODUCT(--ISNUMBER(SEARCH(", "&amp;$B45&amp;", ",", "&amp;'Đăng tin &amp; Quản lý tin'!$B$7:$B$500&amp;", ")),--('Đăng tin &amp; Quản lý tin'!$AT$7:$AT$500="Pass"))+SUMPRODUCT(--ISNUMBER(SEARCH(", "&amp;$B45&amp;", ",", "&amp;'Trust &amp; Safety'!$B$7:$B$500&amp;", ")),--('Trust &amp; Safety'!$AT$7:$AT$500="Pass"))+SUMPRODUCT(--ISNUMBER(SEARCH(", "&amp;$B45&amp;", ",", "&amp;'Tài khoản &amp; Hồ sơ'!$B$7:$B$500&amp;", ")),--('Tài khoản &amp; Hồ sơ'!$AT$7:$AT$500="Pass"))</f>
        <v>3</v>
      </c>
      <c r="H45" s="51" t="n">
        <f aca="false">SUMPRODUCT(--ISNUMBER(SEARCH(", "&amp;$B45&amp;", ",", "&amp;'Hoạt động (Đơn của tôi)'!$B$7:$B$500&amp;", ")),--('Hoạt động (Đơn của tôi)'!$AT$7:$AT$500="Fail"))+SUMPRODUCT(--ISNUMBER(SEARCH(", "&amp;$B45&amp;", ",", "&amp;'Ghép nối'!$B$7:$B$500&amp;", ")),--('Ghép nối'!$AT$7:$AT$500="Fail"))+SUMPRODUCT(--ISNUMBER(SEARCH(", "&amp;$B45&amp;", ",", "&amp;'Huỷ đơn - Huỷ nhận đơn'!$B$7:$B$500&amp;", ")),--('Huỷ đơn - Huỷ nhận đơn'!$AT$7:$AT$500="Fail"))+SUMPRODUCT(--ISNUMBER(SEARCH(", "&amp;$B45&amp;", ",", "&amp;'Giao nhận &amp; Theo dõi đơn'!$B$7:$B$500&amp;", ")),--('Giao nhận &amp; Theo dõi đơn'!$AT$7:$AT$500="Fail"))+SUMPRODUCT(--ISNUMBER(SEARCH(", "&amp;$B45&amp;", ",", "&amp;'Bảng tin &amp; Chi tiết tin'!$B$7:$B$500&amp;", ")),--('Bảng tin &amp; Chi tiết tin'!$AT$7:$AT$500="Fail"))+SUMPRODUCT(--ISNUMBER(SEARCH(", "&amp;$B45&amp;", ",", "&amp;'Quà cảm ơn'!$B$7:$B$500&amp;", ")),--('Quà cảm ơn'!$AT$7:$AT$500="Fail"))+SUMPRODUCT(--ISNUMBER(SEARCH(", "&amp;$B45&amp;", ",", "&amp;'Trang chủ'!$B$7:$B$500&amp;", ")),--('Trang chủ'!$AT$7:$AT$500="Fail"))+SUMPRODUCT(--ISNUMBER(SEARCH(", "&amp;$B45&amp;", ",", "&amp;'Thông báo'!$B$7:$B$500&amp;", ")),--('Thông báo'!$AT$7:$AT$500="Fail"))+SUMPRODUCT(--ISNUMBER(SEARCH(", "&amp;$B45&amp;", ",", "&amp;'Đăng tin &amp; Quản lý tin'!$B$7:$B$500&amp;", ")),--('Đăng tin &amp; Quản lý tin'!$AT$7:$AT$500="Fail"))+SUMPRODUCT(--ISNUMBER(SEARCH(", "&amp;$B45&amp;", ",", "&amp;'Trust &amp; Safety'!$B$7:$B$500&amp;", ")),--('Trust &amp; Safety'!$AT$7:$AT$500="Fail"))+SUMPRODUCT(--ISNUMBER(SEARCH(", "&amp;$B45&amp;", ",", "&amp;'Tài khoản &amp; Hồ sơ'!$B$7:$B$500&amp;", ")),--('Tài khoản &amp; Hồ sơ'!$AT$7:$AT$500="Fail"))</f>
        <v>1</v>
      </c>
      <c r="I45" s="51" t="n">
        <f aca="false">SUMPRODUCT(--ISNUMBER(SEARCH(", "&amp;$B45&amp;", ",", "&amp;'Hoạt động (Đơn của tôi)'!$B$7:$B$500&amp;", ")),--('Hoạt động (Đơn của tôi)'!$AT$7:$AT$500="Block"))+SUMPRODUCT(--ISNUMBER(SEARCH(", "&amp;$B45&amp;", ",", "&amp;'Ghép nối'!$B$7:$B$500&amp;", ")),--('Ghép nối'!$AT$7:$AT$500="Block"))+SUMPRODUCT(--ISNUMBER(SEARCH(", "&amp;$B45&amp;", ",", "&amp;'Huỷ đơn - Huỷ nhận đơn'!$B$7:$B$500&amp;", ")),--('Huỷ đơn - Huỷ nhận đơn'!$AT$7:$AT$500="Block"))+SUMPRODUCT(--ISNUMBER(SEARCH(", "&amp;$B45&amp;", ",", "&amp;'Giao nhận &amp; Theo dõi đơn'!$B$7:$B$500&amp;", ")),--('Giao nhận &amp; Theo dõi đơn'!$AT$7:$AT$500="Block"))+SUMPRODUCT(--ISNUMBER(SEARCH(", "&amp;$B45&amp;", ",", "&amp;'Bảng tin &amp; Chi tiết tin'!$B$7:$B$500&amp;", ")),--('Bảng tin &amp; Chi tiết tin'!$AT$7:$AT$500="Block"))+SUMPRODUCT(--ISNUMBER(SEARCH(", "&amp;$B45&amp;", ",", "&amp;'Quà cảm ơn'!$B$7:$B$500&amp;", ")),--('Quà cảm ơn'!$AT$7:$AT$500="Block"))+SUMPRODUCT(--ISNUMBER(SEARCH(", "&amp;$B45&amp;", ",", "&amp;'Trang chủ'!$B$7:$B$500&amp;", ")),--('Trang chủ'!$AT$7:$AT$500="Block"))+SUMPRODUCT(--ISNUMBER(SEARCH(", "&amp;$B45&amp;", ",", "&amp;'Thông báo'!$B$7:$B$500&amp;", ")),--('Thông báo'!$AT$7:$AT$500="Block"))+SUMPRODUCT(--ISNUMBER(SEARCH(", "&amp;$B45&amp;", ",", "&amp;'Đăng tin &amp; Quản lý tin'!$B$7:$B$500&amp;", ")),--('Đăng tin &amp; Quản lý tin'!$AT$7:$AT$500="Block"))+SUMPRODUCT(--ISNUMBER(SEARCH(", "&amp;$B45&amp;", ",", "&amp;'Trust &amp; Safety'!$B$7:$B$500&amp;", ")),--('Trust &amp; Safety'!$AT$7:$AT$500="Block"))+SUMPRODUCT(--ISNUMBER(SEARCH(", "&amp;$B45&amp;", ",", "&amp;'Tài khoản &amp; Hồ sơ'!$B$7:$B$500&amp;", ")),--('Tài khoản &amp; Hồ sơ'!$AT$7:$AT$500="Block"))</f>
        <v>0</v>
      </c>
      <c r="J45" s="51" t="n">
        <f aca="false">SUMPRODUCT(--ISNUMBER(SEARCH(", "&amp;$B45&amp;", ",", "&amp;'Hoạt động (Đơn của tôi)'!$B$7:$B$500&amp;", ")),--('Hoạt động (Đơn của tôi)'!$AT$7:$AT$500="N/A"))+SUMPRODUCT(--ISNUMBER(SEARCH(", "&amp;$B45&amp;", ",", "&amp;'Ghép nối'!$B$7:$B$500&amp;", ")),--('Ghép nối'!$AT$7:$AT$500="N/A"))+SUMPRODUCT(--ISNUMBER(SEARCH(", "&amp;$B45&amp;", ",", "&amp;'Huỷ đơn - Huỷ nhận đơn'!$B$7:$B$500&amp;", ")),--('Huỷ đơn - Huỷ nhận đơn'!$AT$7:$AT$500="N/A"))+SUMPRODUCT(--ISNUMBER(SEARCH(", "&amp;$B45&amp;", ",", "&amp;'Giao nhận &amp; Theo dõi đơn'!$B$7:$B$500&amp;", ")),--('Giao nhận &amp; Theo dõi đơn'!$AT$7:$AT$500="N/A"))+SUMPRODUCT(--ISNUMBER(SEARCH(", "&amp;$B45&amp;", ",", "&amp;'Bảng tin &amp; Chi tiết tin'!$B$7:$B$500&amp;", ")),--('Bảng tin &amp; Chi tiết tin'!$AT$7:$AT$500="N/A"))+SUMPRODUCT(--ISNUMBER(SEARCH(", "&amp;$B45&amp;", ",", "&amp;'Quà cảm ơn'!$B$7:$B$500&amp;", ")),--('Quà cảm ơn'!$AT$7:$AT$500="N/A"))+SUMPRODUCT(--ISNUMBER(SEARCH(", "&amp;$B45&amp;", ",", "&amp;'Trang chủ'!$B$7:$B$500&amp;", ")),--('Trang chủ'!$AT$7:$AT$500="N/A"))+SUMPRODUCT(--ISNUMBER(SEARCH(", "&amp;$B45&amp;", ",", "&amp;'Thông báo'!$B$7:$B$500&amp;", ")),--('Thông báo'!$AT$7:$AT$500="N/A"))+SUMPRODUCT(--ISNUMBER(SEARCH(", "&amp;$B45&amp;", ",", "&amp;'Đăng tin &amp; Quản lý tin'!$B$7:$B$500&amp;", ")),--('Đăng tin &amp; Quản lý tin'!$AT$7:$AT$500="N/A"))+SUMPRODUCT(--ISNUMBER(SEARCH(", "&amp;$B45&amp;", ",", "&amp;'Trust &amp; Safety'!$B$7:$B$500&amp;", ")),--('Trust &amp; Safety'!$AT$7:$AT$500="N/A"))+SUMPRODUCT(--ISNUMBER(SEARCH(", "&amp;$B45&amp;", ",", "&amp;'Tài khoản &amp; Hồ sơ'!$B$7:$B$500&amp;", ")),--('Tài khoản &amp; Hồ sơ'!$AT$7:$AT$500="N/A"))</f>
        <v>0</v>
      </c>
      <c r="K45" s="52" t="n">
        <f aca="false">IFERROR(F45/E45,0)</f>
        <v>0.8</v>
      </c>
      <c r="L45" s="124" t="str">
        <f aca="false">IF(E45=0,"Chưa có TC (gap)",IF(H45&gt;0,"Có lỗi (Fail)",IF(I45&gt;0,"Bị block",IF(F45&lt;E45,"Đang test",IF(G45=0,"Không áp dụng (N/A)","Đã test xong")))))</f>
        <v>Có lỗi (Fail)</v>
      </c>
      <c r="AB45" s="0" t="s">
        <v>523</v>
      </c>
    </row>
    <row r="46" customFormat="false" ht="15.75" hidden="false" customHeight="true" outlineLevel="0" collapsed="false">
      <c r="A46" s="1"/>
      <c r="B46" s="176" t="s">
        <v>621</v>
      </c>
      <c r="C46" s="177" t="s">
        <v>622</v>
      </c>
      <c r="D46" s="124" t="s">
        <v>623</v>
      </c>
      <c r="E46" s="51" t="n">
        <f aca="false">SUMPRODUCT(--ISNUMBER(SEARCH(", "&amp;$B46&amp;", ",", "&amp;'Hoạt động (Đơn của tôi)'!$B$7:$B$500&amp;", ")))+SUMPRODUCT(--ISNUMBER(SEARCH(", "&amp;$B46&amp;", ",", "&amp;'Ghép nối'!$B$7:$B$500&amp;", ")))+SUMPRODUCT(--ISNUMBER(SEARCH(", "&amp;$B46&amp;", ",", "&amp;'Huỷ đơn - Huỷ nhận đơn'!$B$7:$B$500&amp;", ")))+SUMPRODUCT(--ISNUMBER(SEARCH(", "&amp;$B46&amp;", ",", "&amp;'Giao nhận &amp; Theo dõi đơn'!$B$7:$B$500&amp;", ")))+SUMPRODUCT(--ISNUMBER(SEARCH(", "&amp;$B46&amp;", ",", "&amp;'Bảng tin &amp; Chi tiết tin'!$B$7:$B$500&amp;", ")))+SUMPRODUCT(--ISNUMBER(SEARCH(", "&amp;$B46&amp;", ",", "&amp;'Quà cảm ơn'!$B$7:$B$500&amp;", ")))+SUMPRODUCT(--ISNUMBER(SEARCH(", "&amp;$B46&amp;", ",", "&amp;'Trang chủ'!$B$7:$B$500&amp;", ")))+SUMPRODUCT(--ISNUMBER(SEARCH(", "&amp;$B46&amp;", ",", "&amp;'Thông báo'!$B$7:$B$500&amp;", ")))+SUMPRODUCT(--ISNUMBER(SEARCH(", "&amp;$B46&amp;", ",", "&amp;'Đăng tin &amp; Quản lý tin'!$B$7:$B$500&amp;", ")))+SUMPRODUCT(--ISNUMBER(SEARCH(", "&amp;$B46&amp;", ",", "&amp;'Trust &amp; Safety'!$B$7:$B$500&amp;", ")))+SUMPRODUCT(--ISNUMBER(SEARCH(", "&amp;$B46&amp;", ",", "&amp;'Tài khoản &amp; Hồ sơ'!$B$7:$B$500&amp;", ")))</f>
        <v>3</v>
      </c>
      <c r="F46" s="51" t="n">
        <f aca="false">SUMPRODUCT(--ISNUMBER(SEARCH(", "&amp;$B46&amp;", ",", "&amp;'Hoạt động (Đơn của tôi)'!$B$7:$B$500&amp;", ")),--('Hoạt động (Đơn của tôi)'!$AT$7:$AT$500&lt;&gt;""))+SUMPRODUCT(--ISNUMBER(SEARCH(", "&amp;$B46&amp;", ",", "&amp;'Ghép nối'!$B$7:$B$500&amp;", ")),--('Ghép nối'!$AT$7:$AT$500&lt;&gt;""))+SUMPRODUCT(--ISNUMBER(SEARCH(", "&amp;$B46&amp;", ",", "&amp;'Huỷ đơn - Huỷ nhận đơn'!$B$7:$B$500&amp;", ")),--('Huỷ đơn - Huỷ nhận đơn'!$AT$7:$AT$500&lt;&gt;""))+SUMPRODUCT(--ISNUMBER(SEARCH(", "&amp;$B46&amp;", ",", "&amp;'Giao nhận &amp; Theo dõi đơn'!$B$7:$B$500&amp;", ")),--('Giao nhận &amp; Theo dõi đơn'!$AT$7:$AT$500&lt;&gt;""))+SUMPRODUCT(--ISNUMBER(SEARCH(", "&amp;$B46&amp;", ",", "&amp;'Bảng tin &amp; Chi tiết tin'!$B$7:$B$500&amp;", ")),--('Bảng tin &amp; Chi tiết tin'!$AT$7:$AT$500&lt;&gt;""))+SUMPRODUCT(--ISNUMBER(SEARCH(", "&amp;$B46&amp;", ",", "&amp;'Quà cảm ơn'!$B$7:$B$500&amp;", ")),--('Quà cảm ơn'!$AT$7:$AT$500&lt;&gt;""))+SUMPRODUCT(--ISNUMBER(SEARCH(", "&amp;$B46&amp;", ",", "&amp;'Trang chủ'!$B$7:$B$500&amp;", ")),--('Trang chủ'!$AT$7:$AT$500&lt;&gt;""))+SUMPRODUCT(--ISNUMBER(SEARCH(", "&amp;$B46&amp;", ",", "&amp;'Thông báo'!$B$7:$B$500&amp;", ")),--('Thông báo'!$AT$7:$AT$500&lt;&gt;""))+SUMPRODUCT(--ISNUMBER(SEARCH(", "&amp;$B46&amp;", ",", "&amp;'Đăng tin &amp; Quản lý tin'!$B$7:$B$500&amp;", ")),--('Đăng tin &amp; Quản lý tin'!$AT$7:$AT$500&lt;&gt;""))+SUMPRODUCT(--ISNUMBER(SEARCH(", "&amp;$B46&amp;", ",", "&amp;'Trust &amp; Safety'!$B$7:$B$500&amp;", ")),--('Trust &amp; Safety'!$AT$7:$AT$500&lt;&gt;""))+SUMPRODUCT(--ISNUMBER(SEARCH(", "&amp;$B46&amp;", ",", "&amp;'Tài khoản &amp; Hồ sơ'!$B$7:$B$500&amp;", ")),--('Tài khoản &amp; Hồ sơ'!$AT$7:$AT$500&lt;&gt;""))</f>
        <v>3</v>
      </c>
      <c r="G46" s="51" t="n">
        <f aca="false">SUMPRODUCT(--ISNUMBER(SEARCH(", "&amp;$B46&amp;", ",", "&amp;'Hoạt động (Đơn của tôi)'!$B$7:$B$500&amp;", ")),--('Hoạt động (Đơn của tôi)'!$AT$7:$AT$500="Pass"))+SUMPRODUCT(--ISNUMBER(SEARCH(", "&amp;$B46&amp;", ",", "&amp;'Ghép nối'!$B$7:$B$500&amp;", ")),--('Ghép nối'!$AT$7:$AT$500="Pass"))+SUMPRODUCT(--ISNUMBER(SEARCH(", "&amp;$B46&amp;", ",", "&amp;'Huỷ đơn - Huỷ nhận đơn'!$B$7:$B$500&amp;", ")),--('Huỷ đơn - Huỷ nhận đơn'!$AT$7:$AT$500="Pass"))+SUMPRODUCT(--ISNUMBER(SEARCH(", "&amp;$B46&amp;", ",", "&amp;'Giao nhận &amp; Theo dõi đơn'!$B$7:$B$500&amp;", ")),--('Giao nhận &amp; Theo dõi đơn'!$AT$7:$AT$500="Pass"))+SUMPRODUCT(--ISNUMBER(SEARCH(", "&amp;$B46&amp;", ",", "&amp;'Bảng tin &amp; Chi tiết tin'!$B$7:$B$500&amp;", ")),--('Bảng tin &amp; Chi tiết tin'!$AT$7:$AT$500="Pass"))+SUMPRODUCT(--ISNUMBER(SEARCH(", "&amp;$B46&amp;", ",", "&amp;'Quà cảm ơn'!$B$7:$B$500&amp;", ")),--('Quà cảm ơn'!$AT$7:$AT$500="Pass"))+SUMPRODUCT(--ISNUMBER(SEARCH(", "&amp;$B46&amp;", ",", "&amp;'Trang chủ'!$B$7:$B$500&amp;", ")),--('Trang chủ'!$AT$7:$AT$500="Pass"))+SUMPRODUCT(--ISNUMBER(SEARCH(", "&amp;$B46&amp;", ",", "&amp;'Thông báo'!$B$7:$B$500&amp;", ")),--('Thông báo'!$AT$7:$AT$500="Pass"))+SUMPRODUCT(--ISNUMBER(SEARCH(", "&amp;$B46&amp;", ",", "&amp;'Đăng tin &amp; Quản lý tin'!$B$7:$B$500&amp;", ")),--('Đăng tin &amp; Quản lý tin'!$AT$7:$AT$500="Pass"))+SUMPRODUCT(--ISNUMBER(SEARCH(", "&amp;$B46&amp;", ",", "&amp;'Trust &amp; Safety'!$B$7:$B$500&amp;", ")),--('Trust &amp; Safety'!$AT$7:$AT$500="Pass"))+SUMPRODUCT(--ISNUMBER(SEARCH(", "&amp;$B46&amp;", ",", "&amp;'Tài khoản &amp; Hồ sơ'!$B$7:$B$500&amp;", ")),--('Tài khoản &amp; Hồ sơ'!$AT$7:$AT$500="Pass"))</f>
        <v>1</v>
      </c>
      <c r="H46" s="51" t="n">
        <f aca="false">SUMPRODUCT(--ISNUMBER(SEARCH(", "&amp;$B46&amp;", ",", "&amp;'Hoạt động (Đơn của tôi)'!$B$7:$B$500&amp;", ")),--('Hoạt động (Đơn của tôi)'!$AT$7:$AT$500="Fail"))+SUMPRODUCT(--ISNUMBER(SEARCH(", "&amp;$B46&amp;", ",", "&amp;'Ghép nối'!$B$7:$B$500&amp;", ")),--('Ghép nối'!$AT$7:$AT$500="Fail"))+SUMPRODUCT(--ISNUMBER(SEARCH(", "&amp;$B46&amp;", ",", "&amp;'Huỷ đơn - Huỷ nhận đơn'!$B$7:$B$500&amp;", ")),--('Huỷ đơn - Huỷ nhận đơn'!$AT$7:$AT$500="Fail"))+SUMPRODUCT(--ISNUMBER(SEARCH(", "&amp;$B46&amp;", ",", "&amp;'Giao nhận &amp; Theo dõi đơn'!$B$7:$B$500&amp;", ")),--('Giao nhận &amp; Theo dõi đơn'!$AT$7:$AT$500="Fail"))+SUMPRODUCT(--ISNUMBER(SEARCH(", "&amp;$B46&amp;", ",", "&amp;'Bảng tin &amp; Chi tiết tin'!$B$7:$B$500&amp;", ")),--('Bảng tin &amp; Chi tiết tin'!$AT$7:$AT$500="Fail"))+SUMPRODUCT(--ISNUMBER(SEARCH(", "&amp;$B46&amp;", ",", "&amp;'Quà cảm ơn'!$B$7:$B$500&amp;", ")),--('Quà cảm ơn'!$AT$7:$AT$500="Fail"))+SUMPRODUCT(--ISNUMBER(SEARCH(", "&amp;$B46&amp;", ",", "&amp;'Trang chủ'!$B$7:$B$500&amp;", ")),--('Trang chủ'!$AT$7:$AT$500="Fail"))+SUMPRODUCT(--ISNUMBER(SEARCH(", "&amp;$B46&amp;", ",", "&amp;'Thông báo'!$B$7:$B$500&amp;", ")),--('Thông báo'!$AT$7:$AT$500="Fail"))+SUMPRODUCT(--ISNUMBER(SEARCH(", "&amp;$B46&amp;", ",", "&amp;'Đăng tin &amp; Quản lý tin'!$B$7:$B$500&amp;", ")),--('Đăng tin &amp; Quản lý tin'!$AT$7:$AT$500="Fail"))+SUMPRODUCT(--ISNUMBER(SEARCH(", "&amp;$B46&amp;", ",", "&amp;'Trust &amp; Safety'!$B$7:$B$500&amp;", ")),--('Trust &amp; Safety'!$AT$7:$AT$500="Fail"))+SUMPRODUCT(--ISNUMBER(SEARCH(", "&amp;$B46&amp;", ",", "&amp;'Tài khoản &amp; Hồ sơ'!$B$7:$B$500&amp;", ")),--('Tài khoản &amp; Hồ sơ'!$AT$7:$AT$500="Fail"))</f>
        <v>1</v>
      </c>
      <c r="I46" s="51" t="n">
        <f aca="false">SUMPRODUCT(--ISNUMBER(SEARCH(", "&amp;$B46&amp;", ",", "&amp;'Hoạt động (Đơn của tôi)'!$B$7:$B$500&amp;", ")),--('Hoạt động (Đơn của tôi)'!$AT$7:$AT$500="Block"))+SUMPRODUCT(--ISNUMBER(SEARCH(", "&amp;$B46&amp;", ",", "&amp;'Ghép nối'!$B$7:$B$500&amp;", ")),--('Ghép nối'!$AT$7:$AT$500="Block"))+SUMPRODUCT(--ISNUMBER(SEARCH(", "&amp;$B46&amp;", ",", "&amp;'Huỷ đơn - Huỷ nhận đơn'!$B$7:$B$500&amp;", ")),--('Huỷ đơn - Huỷ nhận đơn'!$AT$7:$AT$500="Block"))+SUMPRODUCT(--ISNUMBER(SEARCH(", "&amp;$B46&amp;", ",", "&amp;'Giao nhận &amp; Theo dõi đơn'!$B$7:$B$500&amp;", ")),--('Giao nhận &amp; Theo dõi đơn'!$AT$7:$AT$500="Block"))+SUMPRODUCT(--ISNUMBER(SEARCH(", "&amp;$B46&amp;", ",", "&amp;'Bảng tin &amp; Chi tiết tin'!$B$7:$B$500&amp;", ")),--('Bảng tin &amp; Chi tiết tin'!$AT$7:$AT$500="Block"))+SUMPRODUCT(--ISNUMBER(SEARCH(", "&amp;$B46&amp;", ",", "&amp;'Quà cảm ơn'!$B$7:$B$500&amp;", ")),--('Quà cảm ơn'!$AT$7:$AT$500="Block"))+SUMPRODUCT(--ISNUMBER(SEARCH(", "&amp;$B46&amp;", ",", "&amp;'Trang chủ'!$B$7:$B$500&amp;", ")),--('Trang chủ'!$AT$7:$AT$500="Block"))+SUMPRODUCT(--ISNUMBER(SEARCH(", "&amp;$B46&amp;", ",", "&amp;'Thông báo'!$B$7:$B$500&amp;", ")),--('Thông báo'!$AT$7:$AT$500="Block"))+SUMPRODUCT(--ISNUMBER(SEARCH(", "&amp;$B46&amp;", ",", "&amp;'Đăng tin &amp; Quản lý tin'!$B$7:$B$500&amp;", ")),--('Đăng tin &amp; Quản lý tin'!$AT$7:$AT$500="Block"))+SUMPRODUCT(--ISNUMBER(SEARCH(", "&amp;$B46&amp;", ",", "&amp;'Trust &amp; Safety'!$B$7:$B$500&amp;", ")),--('Trust &amp; Safety'!$AT$7:$AT$500="Block"))+SUMPRODUCT(--ISNUMBER(SEARCH(", "&amp;$B46&amp;", ",", "&amp;'Tài khoản &amp; Hồ sơ'!$B$7:$B$500&amp;", ")),--('Tài khoản &amp; Hồ sơ'!$AT$7:$AT$500="Block"))</f>
        <v>1</v>
      </c>
      <c r="J46" s="51" t="n">
        <f aca="false">SUMPRODUCT(--ISNUMBER(SEARCH(", "&amp;$B46&amp;", ",", "&amp;'Hoạt động (Đơn của tôi)'!$B$7:$B$500&amp;", ")),--('Hoạt động (Đơn của tôi)'!$AT$7:$AT$500="N/A"))+SUMPRODUCT(--ISNUMBER(SEARCH(", "&amp;$B46&amp;", ",", "&amp;'Ghép nối'!$B$7:$B$500&amp;", ")),--('Ghép nối'!$AT$7:$AT$500="N/A"))+SUMPRODUCT(--ISNUMBER(SEARCH(", "&amp;$B46&amp;", ",", "&amp;'Huỷ đơn - Huỷ nhận đơn'!$B$7:$B$500&amp;", ")),--('Huỷ đơn - Huỷ nhận đơn'!$AT$7:$AT$500="N/A"))+SUMPRODUCT(--ISNUMBER(SEARCH(", "&amp;$B46&amp;", ",", "&amp;'Giao nhận &amp; Theo dõi đơn'!$B$7:$B$500&amp;", ")),--('Giao nhận &amp; Theo dõi đơn'!$AT$7:$AT$500="N/A"))+SUMPRODUCT(--ISNUMBER(SEARCH(", "&amp;$B46&amp;", ",", "&amp;'Bảng tin &amp; Chi tiết tin'!$B$7:$B$500&amp;", ")),--('Bảng tin &amp; Chi tiết tin'!$AT$7:$AT$500="N/A"))+SUMPRODUCT(--ISNUMBER(SEARCH(", "&amp;$B46&amp;", ",", "&amp;'Quà cảm ơn'!$B$7:$B$500&amp;", ")),--('Quà cảm ơn'!$AT$7:$AT$500="N/A"))+SUMPRODUCT(--ISNUMBER(SEARCH(", "&amp;$B46&amp;", ",", "&amp;'Trang chủ'!$B$7:$B$500&amp;", ")),--('Trang chủ'!$AT$7:$AT$500="N/A"))+SUMPRODUCT(--ISNUMBER(SEARCH(", "&amp;$B46&amp;", ",", "&amp;'Thông báo'!$B$7:$B$500&amp;", ")),--('Thông báo'!$AT$7:$AT$500="N/A"))+SUMPRODUCT(--ISNUMBER(SEARCH(", "&amp;$B46&amp;", ",", "&amp;'Đăng tin &amp; Quản lý tin'!$B$7:$B$500&amp;", ")),--('Đăng tin &amp; Quản lý tin'!$AT$7:$AT$500="N/A"))+SUMPRODUCT(--ISNUMBER(SEARCH(", "&amp;$B46&amp;", ",", "&amp;'Trust &amp; Safety'!$B$7:$B$500&amp;", ")),--('Trust &amp; Safety'!$AT$7:$AT$500="N/A"))+SUMPRODUCT(--ISNUMBER(SEARCH(", "&amp;$B46&amp;", ",", "&amp;'Tài khoản &amp; Hồ sơ'!$B$7:$B$500&amp;", ")),--('Tài khoản &amp; Hồ sơ'!$AT$7:$AT$500="N/A"))</f>
        <v>0</v>
      </c>
      <c r="K46" s="52" t="n">
        <f aca="false">IFERROR(F46/E46,0)</f>
        <v>1</v>
      </c>
      <c r="L46" s="124" t="str">
        <f aca="false">IF(E46=0,"Chưa có TC (gap)",IF(H46&gt;0,"Có lỗi (Fail)",IF(I46&gt;0,"Bị block",IF(F46&lt;E46,"Đang test",IF(G46=0,"Không áp dụng (N/A)","Đã test xong")))))</f>
        <v>Có lỗi (Fail)</v>
      </c>
      <c r="AB46" s="0" t="s">
        <v>523</v>
      </c>
    </row>
    <row r="47" customFormat="false" ht="15.75" hidden="false" customHeight="true" outlineLevel="0" collapsed="false">
      <c r="A47" s="1"/>
      <c r="B47" s="176" t="s">
        <v>624</v>
      </c>
      <c r="C47" s="177" t="s">
        <v>625</v>
      </c>
      <c r="D47" s="124" t="s">
        <v>626</v>
      </c>
      <c r="E47" s="51" t="n">
        <f aca="false">SUMPRODUCT(--ISNUMBER(SEARCH(", "&amp;$B47&amp;", ",", "&amp;'Hoạt động (Đơn của tôi)'!$B$7:$B$500&amp;", ")))+SUMPRODUCT(--ISNUMBER(SEARCH(", "&amp;$B47&amp;", ",", "&amp;'Ghép nối'!$B$7:$B$500&amp;", ")))+SUMPRODUCT(--ISNUMBER(SEARCH(", "&amp;$B47&amp;", ",", "&amp;'Huỷ đơn - Huỷ nhận đơn'!$B$7:$B$500&amp;", ")))+SUMPRODUCT(--ISNUMBER(SEARCH(", "&amp;$B47&amp;", ",", "&amp;'Giao nhận &amp; Theo dõi đơn'!$B$7:$B$500&amp;", ")))+SUMPRODUCT(--ISNUMBER(SEARCH(", "&amp;$B47&amp;", ",", "&amp;'Bảng tin &amp; Chi tiết tin'!$B$7:$B$500&amp;", ")))+SUMPRODUCT(--ISNUMBER(SEARCH(", "&amp;$B47&amp;", ",", "&amp;'Quà cảm ơn'!$B$7:$B$500&amp;", ")))+SUMPRODUCT(--ISNUMBER(SEARCH(", "&amp;$B47&amp;", ",", "&amp;'Trang chủ'!$B$7:$B$500&amp;", ")))+SUMPRODUCT(--ISNUMBER(SEARCH(", "&amp;$B47&amp;", ",", "&amp;'Thông báo'!$B$7:$B$500&amp;", ")))+SUMPRODUCT(--ISNUMBER(SEARCH(", "&amp;$B47&amp;", ",", "&amp;'Đăng tin &amp; Quản lý tin'!$B$7:$B$500&amp;", ")))+SUMPRODUCT(--ISNUMBER(SEARCH(", "&amp;$B47&amp;", ",", "&amp;'Trust &amp; Safety'!$B$7:$B$500&amp;", ")))+SUMPRODUCT(--ISNUMBER(SEARCH(", "&amp;$B47&amp;", ",", "&amp;'Tài khoản &amp; Hồ sơ'!$B$7:$B$500&amp;", ")))</f>
        <v>1</v>
      </c>
      <c r="F47" s="51" t="n">
        <f aca="false">SUMPRODUCT(--ISNUMBER(SEARCH(", "&amp;$B47&amp;", ",", "&amp;'Hoạt động (Đơn của tôi)'!$B$7:$B$500&amp;", ")),--('Hoạt động (Đơn của tôi)'!$AT$7:$AT$500&lt;&gt;""))+SUMPRODUCT(--ISNUMBER(SEARCH(", "&amp;$B47&amp;", ",", "&amp;'Ghép nối'!$B$7:$B$500&amp;", ")),--('Ghép nối'!$AT$7:$AT$500&lt;&gt;""))+SUMPRODUCT(--ISNUMBER(SEARCH(", "&amp;$B47&amp;", ",", "&amp;'Huỷ đơn - Huỷ nhận đơn'!$B$7:$B$500&amp;", ")),--('Huỷ đơn - Huỷ nhận đơn'!$AT$7:$AT$500&lt;&gt;""))+SUMPRODUCT(--ISNUMBER(SEARCH(", "&amp;$B47&amp;", ",", "&amp;'Giao nhận &amp; Theo dõi đơn'!$B$7:$B$500&amp;", ")),--('Giao nhận &amp; Theo dõi đơn'!$AT$7:$AT$500&lt;&gt;""))+SUMPRODUCT(--ISNUMBER(SEARCH(", "&amp;$B47&amp;", ",", "&amp;'Bảng tin &amp; Chi tiết tin'!$B$7:$B$500&amp;", ")),--('Bảng tin &amp; Chi tiết tin'!$AT$7:$AT$500&lt;&gt;""))+SUMPRODUCT(--ISNUMBER(SEARCH(", "&amp;$B47&amp;", ",", "&amp;'Quà cảm ơn'!$B$7:$B$500&amp;", ")),--('Quà cảm ơn'!$AT$7:$AT$500&lt;&gt;""))+SUMPRODUCT(--ISNUMBER(SEARCH(", "&amp;$B47&amp;", ",", "&amp;'Trang chủ'!$B$7:$B$500&amp;", ")),--('Trang chủ'!$AT$7:$AT$500&lt;&gt;""))+SUMPRODUCT(--ISNUMBER(SEARCH(", "&amp;$B47&amp;", ",", "&amp;'Thông báo'!$B$7:$B$500&amp;", ")),--('Thông báo'!$AT$7:$AT$500&lt;&gt;""))+SUMPRODUCT(--ISNUMBER(SEARCH(", "&amp;$B47&amp;", ",", "&amp;'Đăng tin &amp; Quản lý tin'!$B$7:$B$500&amp;", ")),--('Đăng tin &amp; Quản lý tin'!$AT$7:$AT$500&lt;&gt;""))+SUMPRODUCT(--ISNUMBER(SEARCH(", "&amp;$B47&amp;", ",", "&amp;'Trust &amp; Safety'!$B$7:$B$500&amp;", ")),--('Trust &amp; Safety'!$AT$7:$AT$500&lt;&gt;""))+SUMPRODUCT(--ISNUMBER(SEARCH(", "&amp;$B47&amp;", ",", "&amp;'Tài khoản &amp; Hồ sơ'!$B$7:$B$500&amp;", ")),--('Tài khoản &amp; Hồ sơ'!$AT$7:$AT$500&lt;&gt;""))</f>
        <v>1</v>
      </c>
      <c r="G47" s="51" t="n">
        <f aca="false">SUMPRODUCT(--ISNUMBER(SEARCH(", "&amp;$B47&amp;", ",", "&amp;'Hoạt động (Đơn của tôi)'!$B$7:$B$500&amp;", ")),--('Hoạt động (Đơn của tôi)'!$AT$7:$AT$500="Pass"))+SUMPRODUCT(--ISNUMBER(SEARCH(", "&amp;$B47&amp;", ",", "&amp;'Ghép nối'!$B$7:$B$500&amp;", ")),--('Ghép nối'!$AT$7:$AT$500="Pass"))+SUMPRODUCT(--ISNUMBER(SEARCH(", "&amp;$B47&amp;", ",", "&amp;'Huỷ đơn - Huỷ nhận đơn'!$B$7:$B$500&amp;", ")),--('Huỷ đơn - Huỷ nhận đơn'!$AT$7:$AT$500="Pass"))+SUMPRODUCT(--ISNUMBER(SEARCH(", "&amp;$B47&amp;", ",", "&amp;'Giao nhận &amp; Theo dõi đơn'!$B$7:$B$500&amp;", ")),--('Giao nhận &amp; Theo dõi đơn'!$AT$7:$AT$500="Pass"))+SUMPRODUCT(--ISNUMBER(SEARCH(", "&amp;$B47&amp;", ",", "&amp;'Bảng tin &amp; Chi tiết tin'!$B$7:$B$500&amp;", ")),--('Bảng tin &amp; Chi tiết tin'!$AT$7:$AT$500="Pass"))+SUMPRODUCT(--ISNUMBER(SEARCH(", "&amp;$B47&amp;", ",", "&amp;'Quà cảm ơn'!$B$7:$B$500&amp;", ")),--('Quà cảm ơn'!$AT$7:$AT$500="Pass"))+SUMPRODUCT(--ISNUMBER(SEARCH(", "&amp;$B47&amp;", ",", "&amp;'Trang chủ'!$B$7:$B$500&amp;", ")),--('Trang chủ'!$AT$7:$AT$500="Pass"))+SUMPRODUCT(--ISNUMBER(SEARCH(", "&amp;$B47&amp;", ",", "&amp;'Thông báo'!$B$7:$B$500&amp;", ")),--('Thông báo'!$AT$7:$AT$500="Pass"))+SUMPRODUCT(--ISNUMBER(SEARCH(", "&amp;$B47&amp;", ",", "&amp;'Đăng tin &amp; Quản lý tin'!$B$7:$B$500&amp;", ")),--('Đăng tin &amp; Quản lý tin'!$AT$7:$AT$500="Pass"))+SUMPRODUCT(--ISNUMBER(SEARCH(", "&amp;$B47&amp;", ",", "&amp;'Trust &amp; Safety'!$B$7:$B$500&amp;", ")),--('Trust &amp; Safety'!$AT$7:$AT$500="Pass"))+SUMPRODUCT(--ISNUMBER(SEARCH(", "&amp;$B47&amp;", ",", "&amp;'Tài khoản &amp; Hồ sơ'!$B$7:$B$500&amp;", ")),--('Tài khoản &amp; Hồ sơ'!$AT$7:$AT$500="Pass"))</f>
        <v>0</v>
      </c>
      <c r="H47" s="51" t="n">
        <f aca="false">SUMPRODUCT(--ISNUMBER(SEARCH(", "&amp;$B47&amp;", ",", "&amp;'Hoạt động (Đơn của tôi)'!$B$7:$B$500&amp;", ")),--('Hoạt động (Đơn của tôi)'!$AT$7:$AT$500="Fail"))+SUMPRODUCT(--ISNUMBER(SEARCH(", "&amp;$B47&amp;", ",", "&amp;'Ghép nối'!$B$7:$B$500&amp;", ")),--('Ghép nối'!$AT$7:$AT$500="Fail"))+SUMPRODUCT(--ISNUMBER(SEARCH(", "&amp;$B47&amp;", ",", "&amp;'Huỷ đơn - Huỷ nhận đơn'!$B$7:$B$500&amp;", ")),--('Huỷ đơn - Huỷ nhận đơn'!$AT$7:$AT$500="Fail"))+SUMPRODUCT(--ISNUMBER(SEARCH(", "&amp;$B47&amp;", ",", "&amp;'Giao nhận &amp; Theo dõi đơn'!$B$7:$B$500&amp;", ")),--('Giao nhận &amp; Theo dõi đơn'!$AT$7:$AT$500="Fail"))+SUMPRODUCT(--ISNUMBER(SEARCH(", "&amp;$B47&amp;", ",", "&amp;'Bảng tin &amp; Chi tiết tin'!$B$7:$B$500&amp;", ")),--('Bảng tin &amp; Chi tiết tin'!$AT$7:$AT$500="Fail"))+SUMPRODUCT(--ISNUMBER(SEARCH(", "&amp;$B47&amp;", ",", "&amp;'Quà cảm ơn'!$B$7:$B$500&amp;", ")),--('Quà cảm ơn'!$AT$7:$AT$500="Fail"))+SUMPRODUCT(--ISNUMBER(SEARCH(", "&amp;$B47&amp;", ",", "&amp;'Trang chủ'!$B$7:$B$500&amp;", ")),--('Trang chủ'!$AT$7:$AT$500="Fail"))+SUMPRODUCT(--ISNUMBER(SEARCH(", "&amp;$B47&amp;", ",", "&amp;'Thông báo'!$B$7:$B$500&amp;", ")),--('Thông báo'!$AT$7:$AT$500="Fail"))+SUMPRODUCT(--ISNUMBER(SEARCH(", "&amp;$B47&amp;", ",", "&amp;'Đăng tin &amp; Quản lý tin'!$B$7:$B$500&amp;", ")),--('Đăng tin &amp; Quản lý tin'!$AT$7:$AT$500="Fail"))+SUMPRODUCT(--ISNUMBER(SEARCH(", "&amp;$B47&amp;", ",", "&amp;'Trust &amp; Safety'!$B$7:$B$500&amp;", ")),--('Trust &amp; Safety'!$AT$7:$AT$500="Fail"))+SUMPRODUCT(--ISNUMBER(SEARCH(", "&amp;$B47&amp;", ",", "&amp;'Tài khoản &amp; Hồ sơ'!$B$7:$B$500&amp;", ")),--('Tài khoản &amp; Hồ sơ'!$AT$7:$AT$500="Fail"))</f>
        <v>0</v>
      </c>
      <c r="I47" s="51" t="n">
        <f aca="false">SUMPRODUCT(--ISNUMBER(SEARCH(", "&amp;$B47&amp;", ",", "&amp;'Hoạt động (Đơn của tôi)'!$B$7:$B$500&amp;", ")),--('Hoạt động (Đơn của tôi)'!$AT$7:$AT$500="Block"))+SUMPRODUCT(--ISNUMBER(SEARCH(", "&amp;$B47&amp;", ",", "&amp;'Ghép nối'!$B$7:$B$500&amp;", ")),--('Ghép nối'!$AT$7:$AT$500="Block"))+SUMPRODUCT(--ISNUMBER(SEARCH(", "&amp;$B47&amp;", ",", "&amp;'Huỷ đơn - Huỷ nhận đơn'!$B$7:$B$500&amp;", ")),--('Huỷ đơn - Huỷ nhận đơn'!$AT$7:$AT$500="Block"))+SUMPRODUCT(--ISNUMBER(SEARCH(", "&amp;$B47&amp;", ",", "&amp;'Giao nhận &amp; Theo dõi đơn'!$B$7:$B$500&amp;", ")),--('Giao nhận &amp; Theo dõi đơn'!$AT$7:$AT$500="Block"))+SUMPRODUCT(--ISNUMBER(SEARCH(", "&amp;$B47&amp;", ",", "&amp;'Bảng tin &amp; Chi tiết tin'!$B$7:$B$500&amp;", ")),--('Bảng tin &amp; Chi tiết tin'!$AT$7:$AT$500="Block"))+SUMPRODUCT(--ISNUMBER(SEARCH(", "&amp;$B47&amp;", ",", "&amp;'Quà cảm ơn'!$B$7:$B$500&amp;", ")),--('Quà cảm ơn'!$AT$7:$AT$500="Block"))+SUMPRODUCT(--ISNUMBER(SEARCH(", "&amp;$B47&amp;", ",", "&amp;'Trang chủ'!$B$7:$B$500&amp;", ")),--('Trang chủ'!$AT$7:$AT$500="Block"))+SUMPRODUCT(--ISNUMBER(SEARCH(", "&amp;$B47&amp;", ",", "&amp;'Thông báo'!$B$7:$B$500&amp;", ")),--('Thông báo'!$AT$7:$AT$500="Block"))+SUMPRODUCT(--ISNUMBER(SEARCH(", "&amp;$B47&amp;", ",", "&amp;'Đăng tin &amp; Quản lý tin'!$B$7:$B$500&amp;", ")),--('Đăng tin &amp; Quản lý tin'!$AT$7:$AT$500="Block"))+SUMPRODUCT(--ISNUMBER(SEARCH(", "&amp;$B47&amp;", ",", "&amp;'Trust &amp; Safety'!$B$7:$B$500&amp;", ")),--('Trust &amp; Safety'!$AT$7:$AT$500="Block"))+SUMPRODUCT(--ISNUMBER(SEARCH(", "&amp;$B47&amp;", ",", "&amp;'Tài khoản &amp; Hồ sơ'!$B$7:$B$500&amp;", ")),--('Tài khoản &amp; Hồ sơ'!$AT$7:$AT$500="Block"))</f>
        <v>0</v>
      </c>
      <c r="J47" s="51" t="n">
        <f aca="false">SUMPRODUCT(--ISNUMBER(SEARCH(", "&amp;$B47&amp;", ",", "&amp;'Hoạt động (Đơn của tôi)'!$B$7:$B$500&amp;", ")),--('Hoạt động (Đơn của tôi)'!$AT$7:$AT$500="N/A"))+SUMPRODUCT(--ISNUMBER(SEARCH(", "&amp;$B47&amp;", ",", "&amp;'Ghép nối'!$B$7:$B$500&amp;", ")),--('Ghép nối'!$AT$7:$AT$500="N/A"))+SUMPRODUCT(--ISNUMBER(SEARCH(", "&amp;$B47&amp;", ",", "&amp;'Huỷ đơn - Huỷ nhận đơn'!$B$7:$B$500&amp;", ")),--('Huỷ đơn - Huỷ nhận đơn'!$AT$7:$AT$500="N/A"))+SUMPRODUCT(--ISNUMBER(SEARCH(", "&amp;$B47&amp;", ",", "&amp;'Giao nhận &amp; Theo dõi đơn'!$B$7:$B$500&amp;", ")),--('Giao nhận &amp; Theo dõi đơn'!$AT$7:$AT$500="N/A"))+SUMPRODUCT(--ISNUMBER(SEARCH(", "&amp;$B47&amp;", ",", "&amp;'Bảng tin &amp; Chi tiết tin'!$B$7:$B$500&amp;", ")),--('Bảng tin &amp; Chi tiết tin'!$AT$7:$AT$500="N/A"))+SUMPRODUCT(--ISNUMBER(SEARCH(", "&amp;$B47&amp;", ",", "&amp;'Quà cảm ơn'!$B$7:$B$500&amp;", ")),--('Quà cảm ơn'!$AT$7:$AT$500="N/A"))+SUMPRODUCT(--ISNUMBER(SEARCH(", "&amp;$B47&amp;", ",", "&amp;'Trang chủ'!$B$7:$B$500&amp;", ")),--('Trang chủ'!$AT$7:$AT$500="N/A"))+SUMPRODUCT(--ISNUMBER(SEARCH(", "&amp;$B47&amp;", ",", "&amp;'Thông báo'!$B$7:$B$500&amp;", ")),--('Thông báo'!$AT$7:$AT$500="N/A"))+SUMPRODUCT(--ISNUMBER(SEARCH(", "&amp;$B47&amp;", ",", "&amp;'Đăng tin &amp; Quản lý tin'!$B$7:$B$500&amp;", ")),--('Đăng tin &amp; Quản lý tin'!$AT$7:$AT$500="N/A"))+SUMPRODUCT(--ISNUMBER(SEARCH(", "&amp;$B47&amp;", ",", "&amp;'Trust &amp; Safety'!$B$7:$B$500&amp;", ")),--('Trust &amp; Safety'!$AT$7:$AT$500="N/A"))+SUMPRODUCT(--ISNUMBER(SEARCH(", "&amp;$B47&amp;", ",", "&amp;'Tài khoản &amp; Hồ sơ'!$B$7:$B$500&amp;", ")),--('Tài khoản &amp; Hồ sơ'!$AT$7:$AT$500="N/A"))</f>
        <v>1</v>
      </c>
      <c r="K47" s="52" t="n">
        <f aca="false">IFERROR(F47/E47,0)</f>
        <v>1</v>
      </c>
      <c r="L47" s="124" t="str">
        <f aca="false">IF(E47=0,"Chưa có TC (gap)",IF(H47&gt;0,"Có lỗi (Fail)",IF(I47&gt;0,"Bị block",IF(F47&lt;E47,"Đang test",IF(G47=0,"Không áp dụng (N/A)","Đã test xong")))))</f>
        <v>Không áp dụng (N/A)</v>
      </c>
      <c r="AB47" s="0" t="s">
        <v>523</v>
      </c>
    </row>
    <row r="48" customFormat="false" ht="15.75" hidden="false" customHeight="true" outlineLevel="0" collapsed="false">
      <c r="A48" s="1"/>
      <c r="B48" s="176" t="s">
        <v>627</v>
      </c>
      <c r="C48" s="177" t="s">
        <v>628</v>
      </c>
      <c r="D48" s="124" t="s">
        <v>629</v>
      </c>
      <c r="E48" s="51" t="n">
        <f aca="false">SUMPRODUCT(--ISNUMBER(SEARCH(", "&amp;$B48&amp;", ",", "&amp;'Hoạt động (Đơn của tôi)'!$B$7:$B$500&amp;", ")))+SUMPRODUCT(--ISNUMBER(SEARCH(", "&amp;$B48&amp;", ",", "&amp;'Ghép nối'!$B$7:$B$500&amp;", ")))+SUMPRODUCT(--ISNUMBER(SEARCH(", "&amp;$B48&amp;", ",", "&amp;'Huỷ đơn - Huỷ nhận đơn'!$B$7:$B$500&amp;", ")))+SUMPRODUCT(--ISNUMBER(SEARCH(", "&amp;$B48&amp;", ",", "&amp;'Giao nhận &amp; Theo dõi đơn'!$B$7:$B$500&amp;", ")))+SUMPRODUCT(--ISNUMBER(SEARCH(", "&amp;$B48&amp;", ",", "&amp;'Bảng tin &amp; Chi tiết tin'!$B$7:$B$500&amp;", ")))+SUMPRODUCT(--ISNUMBER(SEARCH(", "&amp;$B48&amp;", ",", "&amp;'Quà cảm ơn'!$B$7:$B$500&amp;", ")))+SUMPRODUCT(--ISNUMBER(SEARCH(", "&amp;$B48&amp;", ",", "&amp;'Trang chủ'!$B$7:$B$500&amp;", ")))+SUMPRODUCT(--ISNUMBER(SEARCH(", "&amp;$B48&amp;", ",", "&amp;'Thông báo'!$B$7:$B$500&amp;", ")))+SUMPRODUCT(--ISNUMBER(SEARCH(", "&amp;$B48&amp;", ",", "&amp;'Đăng tin &amp; Quản lý tin'!$B$7:$B$500&amp;", ")))+SUMPRODUCT(--ISNUMBER(SEARCH(", "&amp;$B48&amp;", ",", "&amp;'Trust &amp; Safety'!$B$7:$B$500&amp;", ")))+SUMPRODUCT(--ISNUMBER(SEARCH(", "&amp;$B48&amp;", ",", "&amp;'Tài khoản &amp; Hồ sơ'!$B$7:$B$500&amp;", ")))</f>
        <v>1</v>
      </c>
      <c r="F48" s="51" t="n">
        <f aca="false">SUMPRODUCT(--ISNUMBER(SEARCH(", "&amp;$B48&amp;", ",", "&amp;'Hoạt động (Đơn của tôi)'!$B$7:$B$500&amp;", ")),--('Hoạt động (Đơn của tôi)'!$AT$7:$AT$500&lt;&gt;""))+SUMPRODUCT(--ISNUMBER(SEARCH(", "&amp;$B48&amp;", ",", "&amp;'Ghép nối'!$B$7:$B$500&amp;", ")),--('Ghép nối'!$AT$7:$AT$500&lt;&gt;""))+SUMPRODUCT(--ISNUMBER(SEARCH(", "&amp;$B48&amp;", ",", "&amp;'Huỷ đơn - Huỷ nhận đơn'!$B$7:$B$500&amp;", ")),--('Huỷ đơn - Huỷ nhận đơn'!$AT$7:$AT$500&lt;&gt;""))+SUMPRODUCT(--ISNUMBER(SEARCH(", "&amp;$B48&amp;", ",", "&amp;'Giao nhận &amp; Theo dõi đơn'!$B$7:$B$500&amp;", ")),--('Giao nhận &amp; Theo dõi đơn'!$AT$7:$AT$500&lt;&gt;""))+SUMPRODUCT(--ISNUMBER(SEARCH(", "&amp;$B48&amp;", ",", "&amp;'Bảng tin &amp; Chi tiết tin'!$B$7:$B$500&amp;", ")),--('Bảng tin &amp; Chi tiết tin'!$AT$7:$AT$500&lt;&gt;""))+SUMPRODUCT(--ISNUMBER(SEARCH(", "&amp;$B48&amp;", ",", "&amp;'Quà cảm ơn'!$B$7:$B$500&amp;", ")),--('Quà cảm ơn'!$AT$7:$AT$500&lt;&gt;""))+SUMPRODUCT(--ISNUMBER(SEARCH(", "&amp;$B48&amp;", ",", "&amp;'Trang chủ'!$B$7:$B$500&amp;", ")),--('Trang chủ'!$AT$7:$AT$500&lt;&gt;""))+SUMPRODUCT(--ISNUMBER(SEARCH(", "&amp;$B48&amp;", ",", "&amp;'Thông báo'!$B$7:$B$500&amp;", ")),--('Thông báo'!$AT$7:$AT$500&lt;&gt;""))+SUMPRODUCT(--ISNUMBER(SEARCH(", "&amp;$B48&amp;", ",", "&amp;'Đăng tin &amp; Quản lý tin'!$B$7:$B$500&amp;", ")),--('Đăng tin &amp; Quản lý tin'!$AT$7:$AT$500&lt;&gt;""))+SUMPRODUCT(--ISNUMBER(SEARCH(", "&amp;$B48&amp;", ",", "&amp;'Trust &amp; Safety'!$B$7:$B$500&amp;", ")),--('Trust &amp; Safety'!$AT$7:$AT$500&lt;&gt;""))+SUMPRODUCT(--ISNUMBER(SEARCH(", "&amp;$B48&amp;", ",", "&amp;'Tài khoản &amp; Hồ sơ'!$B$7:$B$500&amp;", ")),--('Tài khoản &amp; Hồ sơ'!$AT$7:$AT$500&lt;&gt;""))</f>
        <v>0</v>
      </c>
      <c r="G48" s="51" t="n">
        <f aca="false">SUMPRODUCT(--ISNUMBER(SEARCH(", "&amp;$B48&amp;", ",", "&amp;'Hoạt động (Đơn của tôi)'!$B$7:$B$500&amp;", ")),--('Hoạt động (Đơn của tôi)'!$AT$7:$AT$500="Pass"))+SUMPRODUCT(--ISNUMBER(SEARCH(", "&amp;$B48&amp;", ",", "&amp;'Ghép nối'!$B$7:$B$500&amp;", ")),--('Ghép nối'!$AT$7:$AT$500="Pass"))+SUMPRODUCT(--ISNUMBER(SEARCH(", "&amp;$B48&amp;", ",", "&amp;'Huỷ đơn - Huỷ nhận đơn'!$B$7:$B$500&amp;", ")),--('Huỷ đơn - Huỷ nhận đơn'!$AT$7:$AT$500="Pass"))+SUMPRODUCT(--ISNUMBER(SEARCH(", "&amp;$B48&amp;", ",", "&amp;'Giao nhận &amp; Theo dõi đơn'!$B$7:$B$500&amp;", ")),--('Giao nhận &amp; Theo dõi đơn'!$AT$7:$AT$500="Pass"))+SUMPRODUCT(--ISNUMBER(SEARCH(", "&amp;$B48&amp;", ",", "&amp;'Bảng tin &amp; Chi tiết tin'!$B$7:$B$500&amp;", ")),--('Bảng tin &amp; Chi tiết tin'!$AT$7:$AT$500="Pass"))+SUMPRODUCT(--ISNUMBER(SEARCH(", "&amp;$B48&amp;", ",", "&amp;'Quà cảm ơn'!$B$7:$B$500&amp;", ")),--('Quà cảm ơn'!$AT$7:$AT$500="Pass"))+SUMPRODUCT(--ISNUMBER(SEARCH(", "&amp;$B48&amp;", ",", "&amp;'Trang chủ'!$B$7:$B$500&amp;", ")),--('Trang chủ'!$AT$7:$AT$500="Pass"))+SUMPRODUCT(--ISNUMBER(SEARCH(", "&amp;$B48&amp;", ",", "&amp;'Thông báo'!$B$7:$B$500&amp;", ")),--('Thông báo'!$AT$7:$AT$500="Pass"))+SUMPRODUCT(--ISNUMBER(SEARCH(", "&amp;$B48&amp;", ",", "&amp;'Đăng tin &amp; Quản lý tin'!$B$7:$B$500&amp;", ")),--('Đăng tin &amp; Quản lý tin'!$AT$7:$AT$500="Pass"))+SUMPRODUCT(--ISNUMBER(SEARCH(", "&amp;$B48&amp;", ",", "&amp;'Trust &amp; Safety'!$B$7:$B$500&amp;", ")),--('Trust &amp; Safety'!$AT$7:$AT$500="Pass"))+SUMPRODUCT(--ISNUMBER(SEARCH(", "&amp;$B48&amp;", ",", "&amp;'Tài khoản &amp; Hồ sơ'!$B$7:$B$500&amp;", ")),--('Tài khoản &amp; Hồ sơ'!$AT$7:$AT$500="Pass"))</f>
        <v>0</v>
      </c>
      <c r="H48" s="51" t="n">
        <f aca="false">SUMPRODUCT(--ISNUMBER(SEARCH(", "&amp;$B48&amp;", ",", "&amp;'Hoạt động (Đơn của tôi)'!$B$7:$B$500&amp;", ")),--('Hoạt động (Đơn của tôi)'!$AT$7:$AT$500="Fail"))+SUMPRODUCT(--ISNUMBER(SEARCH(", "&amp;$B48&amp;", ",", "&amp;'Ghép nối'!$B$7:$B$500&amp;", ")),--('Ghép nối'!$AT$7:$AT$500="Fail"))+SUMPRODUCT(--ISNUMBER(SEARCH(", "&amp;$B48&amp;", ",", "&amp;'Huỷ đơn - Huỷ nhận đơn'!$B$7:$B$500&amp;", ")),--('Huỷ đơn - Huỷ nhận đơn'!$AT$7:$AT$500="Fail"))+SUMPRODUCT(--ISNUMBER(SEARCH(", "&amp;$B48&amp;", ",", "&amp;'Giao nhận &amp; Theo dõi đơn'!$B$7:$B$500&amp;", ")),--('Giao nhận &amp; Theo dõi đơn'!$AT$7:$AT$500="Fail"))+SUMPRODUCT(--ISNUMBER(SEARCH(", "&amp;$B48&amp;", ",", "&amp;'Bảng tin &amp; Chi tiết tin'!$B$7:$B$500&amp;", ")),--('Bảng tin &amp; Chi tiết tin'!$AT$7:$AT$500="Fail"))+SUMPRODUCT(--ISNUMBER(SEARCH(", "&amp;$B48&amp;", ",", "&amp;'Quà cảm ơn'!$B$7:$B$500&amp;", ")),--('Quà cảm ơn'!$AT$7:$AT$500="Fail"))+SUMPRODUCT(--ISNUMBER(SEARCH(", "&amp;$B48&amp;", ",", "&amp;'Trang chủ'!$B$7:$B$500&amp;", ")),--('Trang chủ'!$AT$7:$AT$500="Fail"))+SUMPRODUCT(--ISNUMBER(SEARCH(", "&amp;$B48&amp;", ",", "&amp;'Thông báo'!$B$7:$B$500&amp;", ")),--('Thông báo'!$AT$7:$AT$500="Fail"))+SUMPRODUCT(--ISNUMBER(SEARCH(", "&amp;$B48&amp;", ",", "&amp;'Đăng tin &amp; Quản lý tin'!$B$7:$B$500&amp;", ")),--('Đăng tin &amp; Quản lý tin'!$AT$7:$AT$500="Fail"))+SUMPRODUCT(--ISNUMBER(SEARCH(", "&amp;$B48&amp;", ",", "&amp;'Trust &amp; Safety'!$B$7:$B$500&amp;", ")),--('Trust &amp; Safety'!$AT$7:$AT$500="Fail"))+SUMPRODUCT(--ISNUMBER(SEARCH(", "&amp;$B48&amp;", ",", "&amp;'Tài khoản &amp; Hồ sơ'!$B$7:$B$500&amp;", ")),--('Tài khoản &amp; Hồ sơ'!$AT$7:$AT$500="Fail"))</f>
        <v>0</v>
      </c>
      <c r="I48" s="51" t="n">
        <f aca="false">SUMPRODUCT(--ISNUMBER(SEARCH(", "&amp;$B48&amp;", ",", "&amp;'Hoạt động (Đơn của tôi)'!$B$7:$B$500&amp;", ")),--('Hoạt động (Đơn của tôi)'!$AT$7:$AT$500="Block"))+SUMPRODUCT(--ISNUMBER(SEARCH(", "&amp;$B48&amp;", ",", "&amp;'Ghép nối'!$B$7:$B$500&amp;", ")),--('Ghép nối'!$AT$7:$AT$500="Block"))+SUMPRODUCT(--ISNUMBER(SEARCH(", "&amp;$B48&amp;", ",", "&amp;'Huỷ đơn - Huỷ nhận đơn'!$B$7:$B$500&amp;", ")),--('Huỷ đơn - Huỷ nhận đơn'!$AT$7:$AT$500="Block"))+SUMPRODUCT(--ISNUMBER(SEARCH(", "&amp;$B48&amp;", ",", "&amp;'Giao nhận &amp; Theo dõi đơn'!$B$7:$B$500&amp;", ")),--('Giao nhận &amp; Theo dõi đơn'!$AT$7:$AT$500="Block"))+SUMPRODUCT(--ISNUMBER(SEARCH(", "&amp;$B48&amp;", ",", "&amp;'Bảng tin &amp; Chi tiết tin'!$B$7:$B$500&amp;", ")),--('Bảng tin &amp; Chi tiết tin'!$AT$7:$AT$500="Block"))+SUMPRODUCT(--ISNUMBER(SEARCH(", "&amp;$B48&amp;", ",", "&amp;'Quà cảm ơn'!$B$7:$B$500&amp;", ")),--('Quà cảm ơn'!$AT$7:$AT$500="Block"))+SUMPRODUCT(--ISNUMBER(SEARCH(", "&amp;$B48&amp;", ",", "&amp;'Trang chủ'!$B$7:$B$500&amp;", ")),--('Trang chủ'!$AT$7:$AT$500="Block"))+SUMPRODUCT(--ISNUMBER(SEARCH(", "&amp;$B48&amp;", ",", "&amp;'Thông báo'!$B$7:$B$500&amp;", ")),--('Thông báo'!$AT$7:$AT$500="Block"))+SUMPRODUCT(--ISNUMBER(SEARCH(", "&amp;$B48&amp;", ",", "&amp;'Đăng tin &amp; Quản lý tin'!$B$7:$B$500&amp;", ")),--('Đăng tin &amp; Quản lý tin'!$AT$7:$AT$500="Block"))+SUMPRODUCT(--ISNUMBER(SEARCH(", "&amp;$B48&amp;", ",", "&amp;'Trust &amp; Safety'!$B$7:$B$500&amp;", ")),--('Trust &amp; Safety'!$AT$7:$AT$500="Block"))+SUMPRODUCT(--ISNUMBER(SEARCH(", "&amp;$B48&amp;", ",", "&amp;'Tài khoản &amp; Hồ sơ'!$B$7:$B$500&amp;", ")),--('Tài khoản &amp; Hồ sơ'!$AT$7:$AT$500="Block"))</f>
        <v>0</v>
      </c>
      <c r="J48" s="51" t="n">
        <f aca="false">SUMPRODUCT(--ISNUMBER(SEARCH(", "&amp;$B48&amp;", ",", "&amp;'Hoạt động (Đơn của tôi)'!$B$7:$B$500&amp;", ")),--('Hoạt động (Đơn của tôi)'!$AT$7:$AT$500="N/A"))+SUMPRODUCT(--ISNUMBER(SEARCH(", "&amp;$B48&amp;", ",", "&amp;'Ghép nối'!$B$7:$B$500&amp;", ")),--('Ghép nối'!$AT$7:$AT$500="N/A"))+SUMPRODUCT(--ISNUMBER(SEARCH(", "&amp;$B48&amp;", ",", "&amp;'Huỷ đơn - Huỷ nhận đơn'!$B$7:$B$500&amp;", ")),--('Huỷ đơn - Huỷ nhận đơn'!$AT$7:$AT$500="N/A"))+SUMPRODUCT(--ISNUMBER(SEARCH(", "&amp;$B48&amp;", ",", "&amp;'Giao nhận &amp; Theo dõi đơn'!$B$7:$B$500&amp;", ")),--('Giao nhận &amp; Theo dõi đơn'!$AT$7:$AT$500="N/A"))+SUMPRODUCT(--ISNUMBER(SEARCH(", "&amp;$B48&amp;", ",", "&amp;'Bảng tin &amp; Chi tiết tin'!$B$7:$B$500&amp;", ")),--('Bảng tin &amp; Chi tiết tin'!$AT$7:$AT$500="N/A"))+SUMPRODUCT(--ISNUMBER(SEARCH(", "&amp;$B48&amp;", ",", "&amp;'Quà cảm ơn'!$B$7:$B$500&amp;", ")),--('Quà cảm ơn'!$AT$7:$AT$500="N/A"))+SUMPRODUCT(--ISNUMBER(SEARCH(", "&amp;$B48&amp;", ",", "&amp;'Trang chủ'!$B$7:$B$500&amp;", ")),--('Trang chủ'!$AT$7:$AT$500="N/A"))+SUMPRODUCT(--ISNUMBER(SEARCH(", "&amp;$B48&amp;", ",", "&amp;'Thông báo'!$B$7:$B$500&amp;", ")),--('Thông báo'!$AT$7:$AT$500="N/A"))+SUMPRODUCT(--ISNUMBER(SEARCH(", "&amp;$B48&amp;", ",", "&amp;'Đăng tin &amp; Quản lý tin'!$B$7:$B$500&amp;", ")),--('Đăng tin &amp; Quản lý tin'!$AT$7:$AT$500="N/A"))+SUMPRODUCT(--ISNUMBER(SEARCH(", "&amp;$B48&amp;", ",", "&amp;'Trust &amp; Safety'!$B$7:$B$500&amp;", ")),--('Trust &amp; Safety'!$AT$7:$AT$500="N/A"))+SUMPRODUCT(--ISNUMBER(SEARCH(", "&amp;$B48&amp;", ",", "&amp;'Tài khoản &amp; Hồ sơ'!$B$7:$B$500&amp;", ")),--('Tài khoản &amp; Hồ sơ'!$AT$7:$AT$500="N/A"))</f>
        <v>0</v>
      </c>
      <c r="K48" s="52" t="n">
        <f aca="false">IFERROR(F48/E48,0)</f>
        <v>0</v>
      </c>
      <c r="L48" s="124" t="str">
        <f aca="false">IF(E48=0,"Chưa có TC (gap)",IF(H48&gt;0,"Có lỗi (Fail)",IF(I48&gt;0,"Bị block",IF(F48&lt;E48,"Đang test",IF(G48=0,"Không áp dụng (N/A)","Đã test xong")))))</f>
        <v>Đang test</v>
      </c>
      <c r="AB48" s="0" t="s">
        <v>527</v>
      </c>
    </row>
    <row r="49" customFormat="false" ht="15.75" hidden="false" customHeight="true" outlineLevel="0" collapsed="false">
      <c r="A49" s="1"/>
      <c r="B49" s="176" t="s">
        <v>630</v>
      </c>
      <c r="C49" s="177" t="s">
        <v>631</v>
      </c>
      <c r="D49" s="124" t="s">
        <v>632</v>
      </c>
      <c r="E49" s="51" t="n">
        <f aca="false">SUMPRODUCT(--ISNUMBER(SEARCH(", "&amp;$B49&amp;", ",", "&amp;'Hoạt động (Đơn của tôi)'!$B$7:$B$500&amp;", ")))+SUMPRODUCT(--ISNUMBER(SEARCH(", "&amp;$B49&amp;", ",", "&amp;'Ghép nối'!$B$7:$B$500&amp;", ")))+SUMPRODUCT(--ISNUMBER(SEARCH(", "&amp;$B49&amp;", ",", "&amp;'Huỷ đơn - Huỷ nhận đơn'!$B$7:$B$500&amp;", ")))+SUMPRODUCT(--ISNUMBER(SEARCH(", "&amp;$B49&amp;", ",", "&amp;'Giao nhận &amp; Theo dõi đơn'!$B$7:$B$500&amp;", ")))+SUMPRODUCT(--ISNUMBER(SEARCH(", "&amp;$B49&amp;", ",", "&amp;'Bảng tin &amp; Chi tiết tin'!$B$7:$B$500&amp;", ")))+SUMPRODUCT(--ISNUMBER(SEARCH(", "&amp;$B49&amp;", ",", "&amp;'Quà cảm ơn'!$B$7:$B$500&amp;", ")))+SUMPRODUCT(--ISNUMBER(SEARCH(", "&amp;$B49&amp;", ",", "&amp;'Trang chủ'!$B$7:$B$500&amp;", ")))+SUMPRODUCT(--ISNUMBER(SEARCH(", "&amp;$B49&amp;", ",", "&amp;'Thông báo'!$B$7:$B$500&amp;", ")))+SUMPRODUCT(--ISNUMBER(SEARCH(", "&amp;$B49&amp;", ",", "&amp;'Đăng tin &amp; Quản lý tin'!$B$7:$B$500&amp;", ")))+SUMPRODUCT(--ISNUMBER(SEARCH(", "&amp;$B49&amp;", ",", "&amp;'Trust &amp; Safety'!$B$7:$B$500&amp;", ")))+SUMPRODUCT(--ISNUMBER(SEARCH(", "&amp;$B49&amp;", ",", "&amp;'Tài khoản &amp; Hồ sơ'!$B$7:$B$500&amp;", ")))</f>
        <v>1</v>
      </c>
      <c r="F49" s="51" t="n">
        <f aca="false">SUMPRODUCT(--ISNUMBER(SEARCH(", "&amp;$B49&amp;", ",", "&amp;'Hoạt động (Đơn của tôi)'!$B$7:$B$500&amp;", ")),--('Hoạt động (Đơn của tôi)'!$AT$7:$AT$500&lt;&gt;""))+SUMPRODUCT(--ISNUMBER(SEARCH(", "&amp;$B49&amp;", ",", "&amp;'Ghép nối'!$B$7:$B$500&amp;", ")),--('Ghép nối'!$AT$7:$AT$500&lt;&gt;""))+SUMPRODUCT(--ISNUMBER(SEARCH(", "&amp;$B49&amp;", ",", "&amp;'Huỷ đơn - Huỷ nhận đơn'!$B$7:$B$500&amp;", ")),--('Huỷ đơn - Huỷ nhận đơn'!$AT$7:$AT$500&lt;&gt;""))+SUMPRODUCT(--ISNUMBER(SEARCH(", "&amp;$B49&amp;", ",", "&amp;'Giao nhận &amp; Theo dõi đơn'!$B$7:$B$500&amp;", ")),--('Giao nhận &amp; Theo dõi đơn'!$AT$7:$AT$500&lt;&gt;""))+SUMPRODUCT(--ISNUMBER(SEARCH(", "&amp;$B49&amp;", ",", "&amp;'Bảng tin &amp; Chi tiết tin'!$B$7:$B$500&amp;", ")),--('Bảng tin &amp; Chi tiết tin'!$AT$7:$AT$500&lt;&gt;""))+SUMPRODUCT(--ISNUMBER(SEARCH(", "&amp;$B49&amp;", ",", "&amp;'Quà cảm ơn'!$B$7:$B$500&amp;", ")),--('Quà cảm ơn'!$AT$7:$AT$500&lt;&gt;""))+SUMPRODUCT(--ISNUMBER(SEARCH(", "&amp;$B49&amp;", ",", "&amp;'Trang chủ'!$B$7:$B$500&amp;", ")),--('Trang chủ'!$AT$7:$AT$500&lt;&gt;""))+SUMPRODUCT(--ISNUMBER(SEARCH(", "&amp;$B49&amp;", ",", "&amp;'Thông báo'!$B$7:$B$500&amp;", ")),--('Thông báo'!$AT$7:$AT$500&lt;&gt;""))+SUMPRODUCT(--ISNUMBER(SEARCH(", "&amp;$B49&amp;", ",", "&amp;'Đăng tin &amp; Quản lý tin'!$B$7:$B$500&amp;", ")),--('Đăng tin &amp; Quản lý tin'!$AT$7:$AT$500&lt;&gt;""))+SUMPRODUCT(--ISNUMBER(SEARCH(", "&amp;$B49&amp;", ",", "&amp;'Trust &amp; Safety'!$B$7:$B$500&amp;", ")),--('Trust &amp; Safety'!$AT$7:$AT$500&lt;&gt;""))+SUMPRODUCT(--ISNUMBER(SEARCH(", "&amp;$B49&amp;", ",", "&amp;'Tài khoản &amp; Hồ sơ'!$B$7:$B$500&amp;", ")),--('Tài khoản &amp; Hồ sơ'!$AT$7:$AT$500&lt;&gt;""))</f>
        <v>0</v>
      </c>
      <c r="G49" s="51" t="n">
        <f aca="false">SUMPRODUCT(--ISNUMBER(SEARCH(", "&amp;$B49&amp;", ",", "&amp;'Hoạt động (Đơn của tôi)'!$B$7:$B$500&amp;", ")),--('Hoạt động (Đơn của tôi)'!$AT$7:$AT$500="Pass"))+SUMPRODUCT(--ISNUMBER(SEARCH(", "&amp;$B49&amp;", ",", "&amp;'Ghép nối'!$B$7:$B$500&amp;", ")),--('Ghép nối'!$AT$7:$AT$500="Pass"))+SUMPRODUCT(--ISNUMBER(SEARCH(", "&amp;$B49&amp;", ",", "&amp;'Huỷ đơn - Huỷ nhận đơn'!$B$7:$B$500&amp;", ")),--('Huỷ đơn - Huỷ nhận đơn'!$AT$7:$AT$500="Pass"))+SUMPRODUCT(--ISNUMBER(SEARCH(", "&amp;$B49&amp;", ",", "&amp;'Giao nhận &amp; Theo dõi đơn'!$B$7:$B$500&amp;", ")),--('Giao nhận &amp; Theo dõi đơn'!$AT$7:$AT$500="Pass"))+SUMPRODUCT(--ISNUMBER(SEARCH(", "&amp;$B49&amp;", ",", "&amp;'Bảng tin &amp; Chi tiết tin'!$B$7:$B$500&amp;", ")),--('Bảng tin &amp; Chi tiết tin'!$AT$7:$AT$500="Pass"))+SUMPRODUCT(--ISNUMBER(SEARCH(", "&amp;$B49&amp;", ",", "&amp;'Quà cảm ơn'!$B$7:$B$500&amp;", ")),--('Quà cảm ơn'!$AT$7:$AT$500="Pass"))+SUMPRODUCT(--ISNUMBER(SEARCH(", "&amp;$B49&amp;", ",", "&amp;'Trang chủ'!$B$7:$B$500&amp;", ")),--('Trang chủ'!$AT$7:$AT$500="Pass"))+SUMPRODUCT(--ISNUMBER(SEARCH(", "&amp;$B49&amp;", ",", "&amp;'Thông báo'!$B$7:$B$500&amp;", ")),--('Thông báo'!$AT$7:$AT$500="Pass"))+SUMPRODUCT(--ISNUMBER(SEARCH(", "&amp;$B49&amp;", ",", "&amp;'Đăng tin &amp; Quản lý tin'!$B$7:$B$500&amp;", ")),--('Đăng tin &amp; Quản lý tin'!$AT$7:$AT$500="Pass"))+SUMPRODUCT(--ISNUMBER(SEARCH(", "&amp;$B49&amp;", ",", "&amp;'Trust &amp; Safety'!$B$7:$B$500&amp;", ")),--('Trust &amp; Safety'!$AT$7:$AT$500="Pass"))+SUMPRODUCT(--ISNUMBER(SEARCH(", "&amp;$B49&amp;", ",", "&amp;'Tài khoản &amp; Hồ sơ'!$B$7:$B$500&amp;", ")),--('Tài khoản &amp; Hồ sơ'!$AT$7:$AT$500="Pass"))</f>
        <v>0</v>
      </c>
      <c r="H49" s="51" t="n">
        <f aca="false">SUMPRODUCT(--ISNUMBER(SEARCH(", "&amp;$B49&amp;", ",", "&amp;'Hoạt động (Đơn của tôi)'!$B$7:$B$500&amp;", ")),--('Hoạt động (Đơn của tôi)'!$AT$7:$AT$500="Fail"))+SUMPRODUCT(--ISNUMBER(SEARCH(", "&amp;$B49&amp;", ",", "&amp;'Ghép nối'!$B$7:$B$500&amp;", ")),--('Ghép nối'!$AT$7:$AT$500="Fail"))+SUMPRODUCT(--ISNUMBER(SEARCH(", "&amp;$B49&amp;", ",", "&amp;'Huỷ đơn - Huỷ nhận đơn'!$B$7:$B$500&amp;", ")),--('Huỷ đơn - Huỷ nhận đơn'!$AT$7:$AT$500="Fail"))+SUMPRODUCT(--ISNUMBER(SEARCH(", "&amp;$B49&amp;", ",", "&amp;'Giao nhận &amp; Theo dõi đơn'!$B$7:$B$500&amp;", ")),--('Giao nhận &amp; Theo dõi đơn'!$AT$7:$AT$500="Fail"))+SUMPRODUCT(--ISNUMBER(SEARCH(", "&amp;$B49&amp;", ",", "&amp;'Bảng tin &amp; Chi tiết tin'!$B$7:$B$500&amp;", ")),--('Bảng tin &amp; Chi tiết tin'!$AT$7:$AT$500="Fail"))+SUMPRODUCT(--ISNUMBER(SEARCH(", "&amp;$B49&amp;", ",", "&amp;'Quà cảm ơn'!$B$7:$B$500&amp;", ")),--('Quà cảm ơn'!$AT$7:$AT$500="Fail"))+SUMPRODUCT(--ISNUMBER(SEARCH(", "&amp;$B49&amp;", ",", "&amp;'Trang chủ'!$B$7:$B$500&amp;", ")),--('Trang chủ'!$AT$7:$AT$500="Fail"))+SUMPRODUCT(--ISNUMBER(SEARCH(", "&amp;$B49&amp;", ",", "&amp;'Thông báo'!$B$7:$B$500&amp;", ")),--('Thông báo'!$AT$7:$AT$500="Fail"))+SUMPRODUCT(--ISNUMBER(SEARCH(", "&amp;$B49&amp;", ",", "&amp;'Đăng tin &amp; Quản lý tin'!$B$7:$B$500&amp;", ")),--('Đăng tin &amp; Quản lý tin'!$AT$7:$AT$500="Fail"))+SUMPRODUCT(--ISNUMBER(SEARCH(", "&amp;$B49&amp;", ",", "&amp;'Trust &amp; Safety'!$B$7:$B$500&amp;", ")),--('Trust &amp; Safety'!$AT$7:$AT$500="Fail"))+SUMPRODUCT(--ISNUMBER(SEARCH(", "&amp;$B49&amp;", ",", "&amp;'Tài khoản &amp; Hồ sơ'!$B$7:$B$500&amp;", ")),--('Tài khoản &amp; Hồ sơ'!$AT$7:$AT$500="Fail"))</f>
        <v>0</v>
      </c>
      <c r="I49" s="51" t="n">
        <f aca="false">SUMPRODUCT(--ISNUMBER(SEARCH(", "&amp;$B49&amp;", ",", "&amp;'Hoạt động (Đơn của tôi)'!$B$7:$B$500&amp;", ")),--('Hoạt động (Đơn của tôi)'!$AT$7:$AT$500="Block"))+SUMPRODUCT(--ISNUMBER(SEARCH(", "&amp;$B49&amp;", ",", "&amp;'Ghép nối'!$B$7:$B$500&amp;", ")),--('Ghép nối'!$AT$7:$AT$500="Block"))+SUMPRODUCT(--ISNUMBER(SEARCH(", "&amp;$B49&amp;", ",", "&amp;'Huỷ đơn - Huỷ nhận đơn'!$B$7:$B$500&amp;", ")),--('Huỷ đơn - Huỷ nhận đơn'!$AT$7:$AT$500="Block"))+SUMPRODUCT(--ISNUMBER(SEARCH(", "&amp;$B49&amp;", ",", "&amp;'Giao nhận &amp; Theo dõi đơn'!$B$7:$B$500&amp;", ")),--('Giao nhận &amp; Theo dõi đơn'!$AT$7:$AT$500="Block"))+SUMPRODUCT(--ISNUMBER(SEARCH(", "&amp;$B49&amp;", ",", "&amp;'Bảng tin &amp; Chi tiết tin'!$B$7:$B$500&amp;", ")),--('Bảng tin &amp; Chi tiết tin'!$AT$7:$AT$500="Block"))+SUMPRODUCT(--ISNUMBER(SEARCH(", "&amp;$B49&amp;", ",", "&amp;'Quà cảm ơn'!$B$7:$B$500&amp;", ")),--('Quà cảm ơn'!$AT$7:$AT$500="Block"))+SUMPRODUCT(--ISNUMBER(SEARCH(", "&amp;$B49&amp;", ",", "&amp;'Trang chủ'!$B$7:$B$500&amp;", ")),--('Trang chủ'!$AT$7:$AT$500="Block"))+SUMPRODUCT(--ISNUMBER(SEARCH(", "&amp;$B49&amp;", ",", "&amp;'Thông báo'!$B$7:$B$500&amp;", ")),--('Thông báo'!$AT$7:$AT$500="Block"))+SUMPRODUCT(--ISNUMBER(SEARCH(", "&amp;$B49&amp;", ",", "&amp;'Đăng tin &amp; Quản lý tin'!$B$7:$B$500&amp;", ")),--('Đăng tin &amp; Quản lý tin'!$AT$7:$AT$500="Block"))+SUMPRODUCT(--ISNUMBER(SEARCH(", "&amp;$B49&amp;", ",", "&amp;'Trust &amp; Safety'!$B$7:$B$500&amp;", ")),--('Trust &amp; Safety'!$AT$7:$AT$500="Block"))+SUMPRODUCT(--ISNUMBER(SEARCH(", "&amp;$B49&amp;", ",", "&amp;'Tài khoản &amp; Hồ sơ'!$B$7:$B$500&amp;", ")),--('Tài khoản &amp; Hồ sơ'!$AT$7:$AT$500="Block"))</f>
        <v>0</v>
      </c>
      <c r="J49" s="51" t="n">
        <f aca="false">SUMPRODUCT(--ISNUMBER(SEARCH(", "&amp;$B49&amp;", ",", "&amp;'Hoạt động (Đơn của tôi)'!$B$7:$B$500&amp;", ")),--('Hoạt động (Đơn của tôi)'!$AT$7:$AT$500="N/A"))+SUMPRODUCT(--ISNUMBER(SEARCH(", "&amp;$B49&amp;", ",", "&amp;'Ghép nối'!$B$7:$B$500&amp;", ")),--('Ghép nối'!$AT$7:$AT$500="N/A"))+SUMPRODUCT(--ISNUMBER(SEARCH(", "&amp;$B49&amp;", ",", "&amp;'Huỷ đơn - Huỷ nhận đơn'!$B$7:$B$500&amp;", ")),--('Huỷ đơn - Huỷ nhận đơn'!$AT$7:$AT$500="N/A"))+SUMPRODUCT(--ISNUMBER(SEARCH(", "&amp;$B49&amp;", ",", "&amp;'Giao nhận &amp; Theo dõi đơn'!$B$7:$B$500&amp;", ")),--('Giao nhận &amp; Theo dõi đơn'!$AT$7:$AT$500="N/A"))+SUMPRODUCT(--ISNUMBER(SEARCH(", "&amp;$B49&amp;", ",", "&amp;'Bảng tin &amp; Chi tiết tin'!$B$7:$B$500&amp;", ")),--('Bảng tin &amp; Chi tiết tin'!$AT$7:$AT$500="N/A"))+SUMPRODUCT(--ISNUMBER(SEARCH(", "&amp;$B49&amp;", ",", "&amp;'Quà cảm ơn'!$B$7:$B$500&amp;", ")),--('Quà cảm ơn'!$AT$7:$AT$500="N/A"))+SUMPRODUCT(--ISNUMBER(SEARCH(", "&amp;$B49&amp;", ",", "&amp;'Trang chủ'!$B$7:$B$500&amp;", ")),--('Trang chủ'!$AT$7:$AT$500="N/A"))+SUMPRODUCT(--ISNUMBER(SEARCH(", "&amp;$B49&amp;", ",", "&amp;'Thông báo'!$B$7:$B$500&amp;", ")),--('Thông báo'!$AT$7:$AT$500="N/A"))+SUMPRODUCT(--ISNUMBER(SEARCH(", "&amp;$B49&amp;", ",", "&amp;'Đăng tin &amp; Quản lý tin'!$B$7:$B$500&amp;", ")),--('Đăng tin &amp; Quản lý tin'!$AT$7:$AT$500="N/A"))+SUMPRODUCT(--ISNUMBER(SEARCH(", "&amp;$B49&amp;", ",", "&amp;'Trust &amp; Safety'!$B$7:$B$500&amp;", ")),--('Trust &amp; Safety'!$AT$7:$AT$500="N/A"))+SUMPRODUCT(--ISNUMBER(SEARCH(", "&amp;$B49&amp;", ",", "&amp;'Tài khoản &amp; Hồ sơ'!$B$7:$B$500&amp;", ")),--('Tài khoản &amp; Hồ sơ'!$AT$7:$AT$500="N/A"))</f>
        <v>0</v>
      </c>
      <c r="K49" s="52" t="n">
        <f aca="false">IFERROR(F49/E49,0)</f>
        <v>0</v>
      </c>
      <c r="L49" s="124" t="str">
        <f aca="false">IF(E49=0,"Chưa có TC (gap)",IF(H49&gt;0,"Có lỗi (Fail)",IF(I49&gt;0,"Bị block",IF(F49&lt;E49,"Đang test",IF(G49=0,"Không áp dụng (N/A)","Đã test xong")))))</f>
        <v>Đang test</v>
      </c>
      <c r="AB49" s="0" t="s">
        <v>527</v>
      </c>
    </row>
    <row r="50" customFormat="false" ht="15.75" hidden="false" customHeight="true" outlineLevel="0" collapsed="false">
      <c r="A50" s="1"/>
      <c r="B50" s="176" t="s">
        <v>633</v>
      </c>
      <c r="C50" s="177" t="s">
        <v>634</v>
      </c>
      <c r="D50" s="124" t="s">
        <v>635</v>
      </c>
      <c r="E50" s="51" t="n">
        <f aca="false">SUMPRODUCT(--ISNUMBER(SEARCH(", "&amp;$B50&amp;", ",", "&amp;'Hoạt động (Đơn của tôi)'!$B$7:$B$500&amp;", ")))+SUMPRODUCT(--ISNUMBER(SEARCH(", "&amp;$B50&amp;", ",", "&amp;'Ghép nối'!$B$7:$B$500&amp;", ")))+SUMPRODUCT(--ISNUMBER(SEARCH(", "&amp;$B50&amp;", ",", "&amp;'Huỷ đơn - Huỷ nhận đơn'!$B$7:$B$500&amp;", ")))+SUMPRODUCT(--ISNUMBER(SEARCH(", "&amp;$B50&amp;", ",", "&amp;'Giao nhận &amp; Theo dõi đơn'!$B$7:$B$500&amp;", ")))+SUMPRODUCT(--ISNUMBER(SEARCH(", "&amp;$B50&amp;", ",", "&amp;'Bảng tin &amp; Chi tiết tin'!$B$7:$B$500&amp;", ")))+SUMPRODUCT(--ISNUMBER(SEARCH(", "&amp;$B50&amp;", ",", "&amp;'Quà cảm ơn'!$B$7:$B$500&amp;", ")))+SUMPRODUCT(--ISNUMBER(SEARCH(", "&amp;$B50&amp;", ",", "&amp;'Trang chủ'!$B$7:$B$500&amp;", ")))+SUMPRODUCT(--ISNUMBER(SEARCH(", "&amp;$B50&amp;", ",", "&amp;'Thông báo'!$B$7:$B$500&amp;", ")))+SUMPRODUCT(--ISNUMBER(SEARCH(", "&amp;$B50&amp;", ",", "&amp;'Đăng tin &amp; Quản lý tin'!$B$7:$B$500&amp;", ")))+SUMPRODUCT(--ISNUMBER(SEARCH(", "&amp;$B50&amp;", ",", "&amp;'Trust &amp; Safety'!$B$7:$B$500&amp;", ")))+SUMPRODUCT(--ISNUMBER(SEARCH(", "&amp;$B50&amp;", ",", "&amp;'Tài khoản &amp; Hồ sơ'!$B$7:$B$500&amp;", ")))</f>
        <v>1</v>
      </c>
      <c r="F50" s="51" t="n">
        <f aca="false">SUMPRODUCT(--ISNUMBER(SEARCH(", "&amp;$B50&amp;", ",", "&amp;'Hoạt động (Đơn của tôi)'!$B$7:$B$500&amp;", ")),--('Hoạt động (Đơn của tôi)'!$AT$7:$AT$500&lt;&gt;""))+SUMPRODUCT(--ISNUMBER(SEARCH(", "&amp;$B50&amp;", ",", "&amp;'Ghép nối'!$B$7:$B$500&amp;", ")),--('Ghép nối'!$AT$7:$AT$500&lt;&gt;""))+SUMPRODUCT(--ISNUMBER(SEARCH(", "&amp;$B50&amp;", ",", "&amp;'Huỷ đơn - Huỷ nhận đơn'!$B$7:$B$500&amp;", ")),--('Huỷ đơn - Huỷ nhận đơn'!$AT$7:$AT$500&lt;&gt;""))+SUMPRODUCT(--ISNUMBER(SEARCH(", "&amp;$B50&amp;", ",", "&amp;'Giao nhận &amp; Theo dõi đơn'!$B$7:$B$500&amp;", ")),--('Giao nhận &amp; Theo dõi đơn'!$AT$7:$AT$500&lt;&gt;""))+SUMPRODUCT(--ISNUMBER(SEARCH(", "&amp;$B50&amp;", ",", "&amp;'Bảng tin &amp; Chi tiết tin'!$B$7:$B$500&amp;", ")),--('Bảng tin &amp; Chi tiết tin'!$AT$7:$AT$500&lt;&gt;""))+SUMPRODUCT(--ISNUMBER(SEARCH(", "&amp;$B50&amp;", ",", "&amp;'Quà cảm ơn'!$B$7:$B$500&amp;", ")),--('Quà cảm ơn'!$AT$7:$AT$500&lt;&gt;""))+SUMPRODUCT(--ISNUMBER(SEARCH(", "&amp;$B50&amp;", ",", "&amp;'Trang chủ'!$B$7:$B$500&amp;", ")),--('Trang chủ'!$AT$7:$AT$500&lt;&gt;""))+SUMPRODUCT(--ISNUMBER(SEARCH(", "&amp;$B50&amp;", ",", "&amp;'Thông báo'!$B$7:$B$500&amp;", ")),--('Thông báo'!$AT$7:$AT$500&lt;&gt;""))+SUMPRODUCT(--ISNUMBER(SEARCH(", "&amp;$B50&amp;", ",", "&amp;'Đăng tin &amp; Quản lý tin'!$B$7:$B$500&amp;", ")),--('Đăng tin &amp; Quản lý tin'!$AT$7:$AT$500&lt;&gt;""))+SUMPRODUCT(--ISNUMBER(SEARCH(", "&amp;$B50&amp;", ",", "&amp;'Trust &amp; Safety'!$B$7:$B$500&amp;", ")),--('Trust &amp; Safety'!$AT$7:$AT$500&lt;&gt;""))+SUMPRODUCT(--ISNUMBER(SEARCH(", "&amp;$B50&amp;", ",", "&amp;'Tài khoản &amp; Hồ sơ'!$B$7:$B$500&amp;", ")),--('Tài khoản &amp; Hồ sơ'!$AT$7:$AT$500&lt;&gt;""))</f>
        <v>0</v>
      </c>
      <c r="G50" s="51" t="n">
        <f aca="false">SUMPRODUCT(--ISNUMBER(SEARCH(", "&amp;$B50&amp;", ",", "&amp;'Hoạt động (Đơn của tôi)'!$B$7:$B$500&amp;", ")),--('Hoạt động (Đơn của tôi)'!$AT$7:$AT$500="Pass"))+SUMPRODUCT(--ISNUMBER(SEARCH(", "&amp;$B50&amp;", ",", "&amp;'Ghép nối'!$B$7:$B$500&amp;", ")),--('Ghép nối'!$AT$7:$AT$500="Pass"))+SUMPRODUCT(--ISNUMBER(SEARCH(", "&amp;$B50&amp;", ",", "&amp;'Huỷ đơn - Huỷ nhận đơn'!$B$7:$B$500&amp;", ")),--('Huỷ đơn - Huỷ nhận đơn'!$AT$7:$AT$500="Pass"))+SUMPRODUCT(--ISNUMBER(SEARCH(", "&amp;$B50&amp;", ",", "&amp;'Giao nhận &amp; Theo dõi đơn'!$B$7:$B$500&amp;", ")),--('Giao nhận &amp; Theo dõi đơn'!$AT$7:$AT$500="Pass"))+SUMPRODUCT(--ISNUMBER(SEARCH(", "&amp;$B50&amp;", ",", "&amp;'Bảng tin &amp; Chi tiết tin'!$B$7:$B$500&amp;", ")),--('Bảng tin &amp; Chi tiết tin'!$AT$7:$AT$500="Pass"))+SUMPRODUCT(--ISNUMBER(SEARCH(", "&amp;$B50&amp;", ",", "&amp;'Quà cảm ơn'!$B$7:$B$500&amp;", ")),--('Quà cảm ơn'!$AT$7:$AT$500="Pass"))+SUMPRODUCT(--ISNUMBER(SEARCH(", "&amp;$B50&amp;", ",", "&amp;'Trang chủ'!$B$7:$B$500&amp;", ")),--('Trang chủ'!$AT$7:$AT$500="Pass"))+SUMPRODUCT(--ISNUMBER(SEARCH(", "&amp;$B50&amp;", ",", "&amp;'Thông báo'!$B$7:$B$500&amp;", ")),--('Thông báo'!$AT$7:$AT$500="Pass"))+SUMPRODUCT(--ISNUMBER(SEARCH(", "&amp;$B50&amp;", ",", "&amp;'Đăng tin &amp; Quản lý tin'!$B$7:$B$500&amp;", ")),--('Đăng tin &amp; Quản lý tin'!$AT$7:$AT$500="Pass"))+SUMPRODUCT(--ISNUMBER(SEARCH(", "&amp;$B50&amp;", ",", "&amp;'Trust &amp; Safety'!$B$7:$B$500&amp;", ")),--('Trust &amp; Safety'!$AT$7:$AT$500="Pass"))+SUMPRODUCT(--ISNUMBER(SEARCH(", "&amp;$B50&amp;", ",", "&amp;'Tài khoản &amp; Hồ sơ'!$B$7:$B$500&amp;", ")),--('Tài khoản &amp; Hồ sơ'!$AT$7:$AT$500="Pass"))</f>
        <v>0</v>
      </c>
      <c r="H50" s="51" t="n">
        <f aca="false">SUMPRODUCT(--ISNUMBER(SEARCH(", "&amp;$B50&amp;", ",", "&amp;'Hoạt động (Đơn của tôi)'!$B$7:$B$500&amp;", ")),--('Hoạt động (Đơn của tôi)'!$AT$7:$AT$500="Fail"))+SUMPRODUCT(--ISNUMBER(SEARCH(", "&amp;$B50&amp;", ",", "&amp;'Ghép nối'!$B$7:$B$500&amp;", ")),--('Ghép nối'!$AT$7:$AT$500="Fail"))+SUMPRODUCT(--ISNUMBER(SEARCH(", "&amp;$B50&amp;", ",", "&amp;'Huỷ đơn - Huỷ nhận đơn'!$B$7:$B$500&amp;", ")),--('Huỷ đơn - Huỷ nhận đơn'!$AT$7:$AT$500="Fail"))+SUMPRODUCT(--ISNUMBER(SEARCH(", "&amp;$B50&amp;", ",", "&amp;'Giao nhận &amp; Theo dõi đơn'!$B$7:$B$500&amp;", ")),--('Giao nhận &amp; Theo dõi đơn'!$AT$7:$AT$500="Fail"))+SUMPRODUCT(--ISNUMBER(SEARCH(", "&amp;$B50&amp;", ",", "&amp;'Bảng tin &amp; Chi tiết tin'!$B$7:$B$500&amp;", ")),--('Bảng tin &amp; Chi tiết tin'!$AT$7:$AT$500="Fail"))+SUMPRODUCT(--ISNUMBER(SEARCH(", "&amp;$B50&amp;", ",", "&amp;'Quà cảm ơn'!$B$7:$B$500&amp;", ")),--('Quà cảm ơn'!$AT$7:$AT$500="Fail"))+SUMPRODUCT(--ISNUMBER(SEARCH(", "&amp;$B50&amp;", ",", "&amp;'Trang chủ'!$B$7:$B$500&amp;", ")),--('Trang chủ'!$AT$7:$AT$500="Fail"))+SUMPRODUCT(--ISNUMBER(SEARCH(", "&amp;$B50&amp;", ",", "&amp;'Thông báo'!$B$7:$B$500&amp;", ")),--('Thông báo'!$AT$7:$AT$500="Fail"))+SUMPRODUCT(--ISNUMBER(SEARCH(", "&amp;$B50&amp;", ",", "&amp;'Đăng tin &amp; Quản lý tin'!$B$7:$B$500&amp;", ")),--('Đăng tin &amp; Quản lý tin'!$AT$7:$AT$500="Fail"))+SUMPRODUCT(--ISNUMBER(SEARCH(", "&amp;$B50&amp;", ",", "&amp;'Trust &amp; Safety'!$B$7:$B$500&amp;", ")),--('Trust &amp; Safety'!$AT$7:$AT$500="Fail"))+SUMPRODUCT(--ISNUMBER(SEARCH(", "&amp;$B50&amp;", ",", "&amp;'Tài khoản &amp; Hồ sơ'!$B$7:$B$500&amp;", ")),--('Tài khoản &amp; Hồ sơ'!$AT$7:$AT$500="Fail"))</f>
        <v>0</v>
      </c>
      <c r="I50" s="51" t="n">
        <f aca="false">SUMPRODUCT(--ISNUMBER(SEARCH(", "&amp;$B50&amp;", ",", "&amp;'Hoạt động (Đơn của tôi)'!$B$7:$B$500&amp;", ")),--('Hoạt động (Đơn của tôi)'!$AT$7:$AT$500="Block"))+SUMPRODUCT(--ISNUMBER(SEARCH(", "&amp;$B50&amp;", ",", "&amp;'Ghép nối'!$B$7:$B$500&amp;", ")),--('Ghép nối'!$AT$7:$AT$500="Block"))+SUMPRODUCT(--ISNUMBER(SEARCH(", "&amp;$B50&amp;", ",", "&amp;'Huỷ đơn - Huỷ nhận đơn'!$B$7:$B$500&amp;", ")),--('Huỷ đơn - Huỷ nhận đơn'!$AT$7:$AT$500="Block"))+SUMPRODUCT(--ISNUMBER(SEARCH(", "&amp;$B50&amp;", ",", "&amp;'Giao nhận &amp; Theo dõi đơn'!$B$7:$B$500&amp;", ")),--('Giao nhận &amp; Theo dõi đơn'!$AT$7:$AT$500="Block"))+SUMPRODUCT(--ISNUMBER(SEARCH(", "&amp;$B50&amp;", ",", "&amp;'Bảng tin &amp; Chi tiết tin'!$B$7:$B$500&amp;", ")),--('Bảng tin &amp; Chi tiết tin'!$AT$7:$AT$500="Block"))+SUMPRODUCT(--ISNUMBER(SEARCH(", "&amp;$B50&amp;", ",", "&amp;'Quà cảm ơn'!$B$7:$B$500&amp;", ")),--('Quà cảm ơn'!$AT$7:$AT$500="Block"))+SUMPRODUCT(--ISNUMBER(SEARCH(", "&amp;$B50&amp;", ",", "&amp;'Trang chủ'!$B$7:$B$500&amp;", ")),--('Trang chủ'!$AT$7:$AT$500="Block"))+SUMPRODUCT(--ISNUMBER(SEARCH(", "&amp;$B50&amp;", ",", "&amp;'Thông báo'!$B$7:$B$500&amp;", ")),--('Thông báo'!$AT$7:$AT$500="Block"))+SUMPRODUCT(--ISNUMBER(SEARCH(", "&amp;$B50&amp;", ",", "&amp;'Đăng tin &amp; Quản lý tin'!$B$7:$B$500&amp;", ")),--('Đăng tin &amp; Quản lý tin'!$AT$7:$AT$500="Block"))+SUMPRODUCT(--ISNUMBER(SEARCH(", "&amp;$B50&amp;", ",", "&amp;'Trust &amp; Safety'!$B$7:$B$500&amp;", ")),--('Trust &amp; Safety'!$AT$7:$AT$500="Block"))+SUMPRODUCT(--ISNUMBER(SEARCH(", "&amp;$B50&amp;", ",", "&amp;'Tài khoản &amp; Hồ sơ'!$B$7:$B$500&amp;", ")),--('Tài khoản &amp; Hồ sơ'!$AT$7:$AT$500="Block"))</f>
        <v>0</v>
      </c>
      <c r="J50" s="51" t="n">
        <f aca="false">SUMPRODUCT(--ISNUMBER(SEARCH(", "&amp;$B50&amp;", ",", "&amp;'Hoạt động (Đơn của tôi)'!$B$7:$B$500&amp;", ")),--('Hoạt động (Đơn của tôi)'!$AT$7:$AT$500="N/A"))+SUMPRODUCT(--ISNUMBER(SEARCH(", "&amp;$B50&amp;", ",", "&amp;'Ghép nối'!$B$7:$B$500&amp;", ")),--('Ghép nối'!$AT$7:$AT$500="N/A"))+SUMPRODUCT(--ISNUMBER(SEARCH(", "&amp;$B50&amp;", ",", "&amp;'Huỷ đơn - Huỷ nhận đơn'!$B$7:$B$500&amp;", ")),--('Huỷ đơn - Huỷ nhận đơn'!$AT$7:$AT$500="N/A"))+SUMPRODUCT(--ISNUMBER(SEARCH(", "&amp;$B50&amp;", ",", "&amp;'Giao nhận &amp; Theo dõi đơn'!$B$7:$B$500&amp;", ")),--('Giao nhận &amp; Theo dõi đơn'!$AT$7:$AT$500="N/A"))+SUMPRODUCT(--ISNUMBER(SEARCH(", "&amp;$B50&amp;", ",", "&amp;'Bảng tin &amp; Chi tiết tin'!$B$7:$B$500&amp;", ")),--('Bảng tin &amp; Chi tiết tin'!$AT$7:$AT$500="N/A"))+SUMPRODUCT(--ISNUMBER(SEARCH(", "&amp;$B50&amp;", ",", "&amp;'Quà cảm ơn'!$B$7:$B$500&amp;", ")),--('Quà cảm ơn'!$AT$7:$AT$500="N/A"))+SUMPRODUCT(--ISNUMBER(SEARCH(", "&amp;$B50&amp;", ",", "&amp;'Trang chủ'!$B$7:$B$500&amp;", ")),--('Trang chủ'!$AT$7:$AT$500="N/A"))+SUMPRODUCT(--ISNUMBER(SEARCH(", "&amp;$B50&amp;", ",", "&amp;'Thông báo'!$B$7:$B$500&amp;", ")),--('Thông báo'!$AT$7:$AT$500="N/A"))+SUMPRODUCT(--ISNUMBER(SEARCH(", "&amp;$B50&amp;", ",", "&amp;'Đăng tin &amp; Quản lý tin'!$B$7:$B$500&amp;", ")),--('Đăng tin &amp; Quản lý tin'!$AT$7:$AT$500="N/A"))+SUMPRODUCT(--ISNUMBER(SEARCH(", "&amp;$B50&amp;", ",", "&amp;'Trust &amp; Safety'!$B$7:$B$500&amp;", ")),--('Trust &amp; Safety'!$AT$7:$AT$500="N/A"))+SUMPRODUCT(--ISNUMBER(SEARCH(", "&amp;$B50&amp;", ",", "&amp;'Tài khoản &amp; Hồ sơ'!$B$7:$B$500&amp;", ")),--('Tài khoản &amp; Hồ sơ'!$AT$7:$AT$500="N/A"))</f>
        <v>0</v>
      </c>
      <c r="K50" s="52" t="n">
        <f aca="false">IFERROR(F50/E50,0)</f>
        <v>0</v>
      </c>
      <c r="L50" s="124" t="str">
        <f aca="false">IF(E50=0,"Chưa có TC (gap)",IF(H50&gt;0,"Có lỗi (Fail)",IF(I50&gt;0,"Bị block",IF(F50&lt;E50,"Đang test",IF(G50=0,"Không áp dụng (N/A)","Đã test xong")))))</f>
        <v>Đang test</v>
      </c>
      <c r="AB50" s="0" t="s">
        <v>527</v>
      </c>
    </row>
    <row r="51" customFormat="false" ht="15.75" hidden="false" customHeight="true" outlineLevel="0" collapsed="false">
      <c r="A51" s="1"/>
      <c r="B51" s="176" t="s">
        <v>636</v>
      </c>
      <c r="C51" s="177" t="s">
        <v>637</v>
      </c>
      <c r="D51" s="124" t="s">
        <v>629</v>
      </c>
      <c r="E51" s="51" t="n">
        <f aca="false">SUMPRODUCT(--ISNUMBER(SEARCH(", "&amp;$B51&amp;", ",", "&amp;'Hoạt động (Đơn của tôi)'!$B$7:$B$500&amp;", ")))+SUMPRODUCT(--ISNUMBER(SEARCH(", "&amp;$B51&amp;", ",", "&amp;'Ghép nối'!$B$7:$B$500&amp;", ")))+SUMPRODUCT(--ISNUMBER(SEARCH(", "&amp;$B51&amp;", ",", "&amp;'Huỷ đơn - Huỷ nhận đơn'!$B$7:$B$500&amp;", ")))+SUMPRODUCT(--ISNUMBER(SEARCH(", "&amp;$B51&amp;", ",", "&amp;'Giao nhận &amp; Theo dõi đơn'!$B$7:$B$500&amp;", ")))+SUMPRODUCT(--ISNUMBER(SEARCH(", "&amp;$B51&amp;", ",", "&amp;'Bảng tin &amp; Chi tiết tin'!$B$7:$B$500&amp;", ")))+SUMPRODUCT(--ISNUMBER(SEARCH(", "&amp;$B51&amp;", ",", "&amp;'Quà cảm ơn'!$B$7:$B$500&amp;", ")))+SUMPRODUCT(--ISNUMBER(SEARCH(", "&amp;$B51&amp;", ",", "&amp;'Trang chủ'!$B$7:$B$500&amp;", ")))+SUMPRODUCT(--ISNUMBER(SEARCH(", "&amp;$B51&amp;", ",", "&amp;'Thông báo'!$B$7:$B$500&amp;", ")))+SUMPRODUCT(--ISNUMBER(SEARCH(", "&amp;$B51&amp;", ",", "&amp;'Đăng tin &amp; Quản lý tin'!$B$7:$B$500&amp;", ")))+SUMPRODUCT(--ISNUMBER(SEARCH(", "&amp;$B51&amp;", ",", "&amp;'Trust &amp; Safety'!$B$7:$B$500&amp;", ")))+SUMPRODUCT(--ISNUMBER(SEARCH(", "&amp;$B51&amp;", ",", "&amp;'Tài khoản &amp; Hồ sơ'!$B$7:$B$500&amp;", ")))</f>
        <v>6</v>
      </c>
      <c r="F51" s="51" t="n">
        <f aca="false">SUMPRODUCT(--ISNUMBER(SEARCH(", "&amp;$B51&amp;", ",", "&amp;'Hoạt động (Đơn của tôi)'!$B$7:$B$500&amp;", ")),--('Hoạt động (Đơn của tôi)'!$AT$7:$AT$500&lt;&gt;""))+SUMPRODUCT(--ISNUMBER(SEARCH(", "&amp;$B51&amp;", ",", "&amp;'Ghép nối'!$B$7:$B$500&amp;", ")),--('Ghép nối'!$AT$7:$AT$500&lt;&gt;""))+SUMPRODUCT(--ISNUMBER(SEARCH(", "&amp;$B51&amp;", ",", "&amp;'Huỷ đơn - Huỷ nhận đơn'!$B$7:$B$500&amp;", ")),--('Huỷ đơn - Huỷ nhận đơn'!$AT$7:$AT$500&lt;&gt;""))+SUMPRODUCT(--ISNUMBER(SEARCH(", "&amp;$B51&amp;", ",", "&amp;'Giao nhận &amp; Theo dõi đơn'!$B$7:$B$500&amp;", ")),--('Giao nhận &amp; Theo dõi đơn'!$AT$7:$AT$500&lt;&gt;""))+SUMPRODUCT(--ISNUMBER(SEARCH(", "&amp;$B51&amp;", ",", "&amp;'Bảng tin &amp; Chi tiết tin'!$B$7:$B$500&amp;", ")),--('Bảng tin &amp; Chi tiết tin'!$AT$7:$AT$500&lt;&gt;""))+SUMPRODUCT(--ISNUMBER(SEARCH(", "&amp;$B51&amp;", ",", "&amp;'Quà cảm ơn'!$B$7:$B$500&amp;", ")),--('Quà cảm ơn'!$AT$7:$AT$500&lt;&gt;""))+SUMPRODUCT(--ISNUMBER(SEARCH(", "&amp;$B51&amp;", ",", "&amp;'Trang chủ'!$B$7:$B$500&amp;", ")),--('Trang chủ'!$AT$7:$AT$500&lt;&gt;""))+SUMPRODUCT(--ISNUMBER(SEARCH(", "&amp;$B51&amp;", ",", "&amp;'Thông báo'!$B$7:$B$500&amp;", ")),--('Thông báo'!$AT$7:$AT$500&lt;&gt;""))+SUMPRODUCT(--ISNUMBER(SEARCH(", "&amp;$B51&amp;", ",", "&amp;'Đăng tin &amp; Quản lý tin'!$B$7:$B$500&amp;", ")),--('Đăng tin &amp; Quản lý tin'!$AT$7:$AT$500&lt;&gt;""))+SUMPRODUCT(--ISNUMBER(SEARCH(", "&amp;$B51&amp;", ",", "&amp;'Trust &amp; Safety'!$B$7:$B$500&amp;", ")),--('Trust &amp; Safety'!$AT$7:$AT$500&lt;&gt;""))+SUMPRODUCT(--ISNUMBER(SEARCH(", "&amp;$B51&amp;", ",", "&amp;'Tài khoản &amp; Hồ sơ'!$B$7:$B$500&amp;", ")),--('Tài khoản &amp; Hồ sơ'!$AT$7:$AT$500&lt;&gt;""))</f>
        <v>0</v>
      </c>
      <c r="G51" s="51" t="n">
        <f aca="false">SUMPRODUCT(--ISNUMBER(SEARCH(", "&amp;$B51&amp;", ",", "&amp;'Hoạt động (Đơn của tôi)'!$B$7:$B$500&amp;", ")),--('Hoạt động (Đơn của tôi)'!$AT$7:$AT$500="Pass"))+SUMPRODUCT(--ISNUMBER(SEARCH(", "&amp;$B51&amp;", ",", "&amp;'Ghép nối'!$B$7:$B$500&amp;", ")),--('Ghép nối'!$AT$7:$AT$500="Pass"))+SUMPRODUCT(--ISNUMBER(SEARCH(", "&amp;$B51&amp;", ",", "&amp;'Huỷ đơn - Huỷ nhận đơn'!$B$7:$B$500&amp;", ")),--('Huỷ đơn - Huỷ nhận đơn'!$AT$7:$AT$500="Pass"))+SUMPRODUCT(--ISNUMBER(SEARCH(", "&amp;$B51&amp;", ",", "&amp;'Giao nhận &amp; Theo dõi đơn'!$B$7:$B$500&amp;", ")),--('Giao nhận &amp; Theo dõi đơn'!$AT$7:$AT$500="Pass"))+SUMPRODUCT(--ISNUMBER(SEARCH(", "&amp;$B51&amp;", ",", "&amp;'Bảng tin &amp; Chi tiết tin'!$B$7:$B$500&amp;", ")),--('Bảng tin &amp; Chi tiết tin'!$AT$7:$AT$500="Pass"))+SUMPRODUCT(--ISNUMBER(SEARCH(", "&amp;$B51&amp;", ",", "&amp;'Quà cảm ơn'!$B$7:$B$500&amp;", ")),--('Quà cảm ơn'!$AT$7:$AT$500="Pass"))+SUMPRODUCT(--ISNUMBER(SEARCH(", "&amp;$B51&amp;", ",", "&amp;'Trang chủ'!$B$7:$B$500&amp;", ")),--('Trang chủ'!$AT$7:$AT$500="Pass"))+SUMPRODUCT(--ISNUMBER(SEARCH(", "&amp;$B51&amp;", ",", "&amp;'Thông báo'!$B$7:$B$500&amp;", ")),--('Thông báo'!$AT$7:$AT$500="Pass"))+SUMPRODUCT(--ISNUMBER(SEARCH(", "&amp;$B51&amp;", ",", "&amp;'Đăng tin &amp; Quản lý tin'!$B$7:$B$500&amp;", ")),--('Đăng tin &amp; Quản lý tin'!$AT$7:$AT$500="Pass"))+SUMPRODUCT(--ISNUMBER(SEARCH(", "&amp;$B51&amp;", ",", "&amp;'Trust &amp; Safety'!$B$7:$B$500&amp;", ")),--('Trust &amp; Safety'!$AT$7:$AT$500="Pass"))+SUMPRODUCT(--ISNUMBER(SEARCH(", "&amp;$B51&amp;", ",", "&amp;'Tài khoản &amp; Hồ sơ'!$B$7:$B$500&amp;", ")),--('Tài khoản &amp; Hồ sơ'!$AT$7:$AT$500="Pass"))</f>
        <v>0</v>
      </c>
      <c r="H51" s="51" t="n">
        <f aca="false">SUMPRODUCT(--ISNUMBER(SEARCH(", "&amp;$B51&amp;", ",", "&amp;'Hoạt động (Đơn của tôi)'!$B$7:$B$500&amp;", ")),--('Hoạt động (Đơn của tôi)'!$AT$7:$AT$500="Fail"))+SUMPRODUCT(--ISNUMBER(SEARCH(", "&amp;$B51&amp;", ",", "&amp;'Ghép nối'!$B$7:$B$500&amp;", ")),--('Ghép nối'!$AT$7:$AT$500="Fail"))+SUMPRODUCT(--ISNUMBER(SEARCH(", "&amp;$B51&amp;", ",", "&amp;'Huỷ đơn - Huỷ nhận đơn'!$B$7:$B$500&amp;", ")),--('Huỷ đơn - Huỷ nhận đơn'!$AT$7:$AT$500="Fail"))+SUMPRODUCT(--ISNUMBER(SEARCH(", "&amp;$B51&amp;", ",", "&amp;'Giao nhận &amp; Theo dõi đơn'!$B$7:$B$500&amp;", ")),--('Giao nhận &amp; Theo dõi đơn'!$AT$7:$AT$500="Fail"))+SUMPRODUCT(--ISNUMBER(SEARCH(", "&amp;$B51&amp;", ",", "&amp;'Bảng tin &amp; Chi tiết tin'!$B$7:$B$500&amp;", ")),--('Bảng tin &amp; Chi tiết tin'!$AT$7:$AT$500="Fail"))+SUMPRODUCT(--ISNUMBER(SEARCH(", "&amp;$B51&amp;", ",", "&amp;'Quà cảm ơn'!$B$7:$B$500&amp;", ")),--('Quà cảm ơn'!$AT$7:$AT$500="Fail"))+SUMPRODUCT(--ISNUMBER(SEARCH(", "&amp;$B51&amp;", ",", "&amp;'Trang chủ'!$B$7:$B$500&amp;", ")),--('Trang chủ'!$AT$7:$AT$500="Fail"))+SUMPRODUCT(--ISNUMBER(SEARCH(", "&amp;$B51&amp;", ",", "&amp;'Thông báo'!$B$7:$B$500&amp;", ")),--('Thông báo'!$AT$7:$AT$500="Fail"))+SUMPRODUCT(--ISNUMBER(SEARCH(", "&amp;$B51&amp;", ",", "&amp;'Đăng tin &amp; Quản lý tin'!$B$7:$B$500&amp;", ")),--('Đăng tin &amp; Quản lý tin'!$AT$7:$AT$500="Fail"))+SUMPRODUCT(--ISNUMBER(SEARCH(", "&amp;$B51&amp;", ",", "&amp;'Trust &amp; Safety'!$B$7:$B$500&amp;", ")),--('Trust &amp; Safety'!$AT$7:$AT$500="Fail"))+SUMPRODUCT(--ISNUMBER(SEARCH(", "&amp;$B51&amp;", ",", "&amp;'Tài khoản &amp; Hồ sơ'!$B$7:$B$500&amp;", ")),--('Tài khoản &amp; Hồ sơ'!$AT$7:$AT$500="Fail"))</f>
        <v>0</v>
      </c>
      <c r="I51" s="51" t="n">
        <f aca="false">SUMPRODUCT(--ISNUMBER(SEARCH(", "&amp;$B51&amp;", ",", "&amp;'Hoạt động (Đơn của tôi)'!$B$7:$B$500&amp;", ")),--('Hoạt động (Đơn của tôi)'!$AT$7:$AT$500="Block"))+SUMPRODUCT(--ISNUMBER(SEARCH(", "&amp;$B51&amp;", ",", "&amp;'Ghép nối'!$B$7:$B$500&amp;", ")),--('Ghép nối'!$AT$7:$AT$500="Block"))+SUMPRODUCT(--ISNUMBER(SEARCH(", "&amp;$B51&amp;", ",", "&amp;'Huỷ đơn - Huỷ nhận đơn'!$B$7:$B$500&amp;", ")),--('Huỷ đơn - Huỷ nhận đơn'!$AT$7:$AT$500="Block"))+SUMPRODUCT(--ISNUMBER(SEARCH(", "&amp;$B51&amp;", ",", "&amp;'Giao nhận &amp; Theo dõi đơn'!$B$7:$B$500&amp;", ")),--('Giao nhận &amp; Theo dõi đơn'!$AT$7:$AT$500="Block"))+SUMPRODUCT(--ISNUMBER(SEARCH(", "&amp;$B51&amp;", ",", "&amp;'Bảng tin &amp; Chi tiết tin'!$B$7:$B$500&amp;", ")),--('Bảng tin &amp; Chi tiết tin'!$AT$7:$AT$500="Block"))+SUMPRODUCT(--ISNUMBER(SEARCH(", "&amp;$B51&amp;", ",", "&amp;'Quà cảm ơn'!$B$7:$B$500&amp;", ")),--('Quà cảm ơn'!$AT$7:$AT$500="Block"))+SUMPRODUCT(--ISNUMBER(SEARCH(", "&amp;$B51&amp;", ",", "&amp;'Trang chủ'!$B$7:$B$500&amp;", ")),--('Trang chủ'!$AT$7:$AT$500="Block"))+SUMPRODUCT(--ISNUMBER(SEARCH(", "&amp;$B51&amp;", ",", "&amp;'Thông báo'!$B$7:$B$500&amp;", ")),--('Thông báo'!$AT$7:$AT$500="Block"))+SUMPRODUCT(--ISNUMBER(SEARCH(", "&amp;$B51&amp;", ",", "&amp;'Đăng tin &amp; Quản lý tin'!$B$7:$B$500&amp;", ")),--('Đăng tin &amp; Quản lý tin'!$AT$7:$AT$500="Block"))+SUMPRODUCT(--ISNUMBER(SEARCH(", "&amp;$B51&amp;", ",", "&amp;'Trust &amp; Safety'!$B$7:$B$500&amp;", ")),--('Trust &amp; Safety'!$AT$7:$AT$500="Block"))+SUMPRODUCT(--ISNUMBER(SEARCH(", "&amp;$B51&amp;", ",", "&amp;'Tài khoản &amp; Hồ sơ'!$B$7:$B$500&amp;", ")),--('Tài khoản &amp; Hồ sơ'!$AT$7:$AT$500="Block"))</f>
        <v>0</v>
      </c>
      <c r="J51" s="51" t="n">
        <f aca="false">SUMPRODUCT(--ISNUMBER(SEARCH(", "&amp;$B51&amp;", ",", "&amp;'Hoạt động (Đơn của tôi)'!$B$7:$B$500&amp;", ")),--('Hoạt động (Đơn của tôi)'!$AT$7:$AT$500="N/A"))+SUMPRODUCT(--ISNUMBER(SEARCH(", "&amp;$B51&amp;", ",", "&amp;'Ghép nối'!$B$7:$B$500&amp;", ")),--('Ghép nối'!$AT$7:$AT$500="N/A"))+SUMPRODUCT(--ISNUMBER(SEARCH(", "&amp;$B51&amp;", ",", "&amp;'Huỷ đơn - Huỷ nhận đơn'!$B$7:$B$500&amp;", ")),--('Huỷ đơn - Huỷ nhận đơn'!$AT$7:$AT$500="N/A"))+SUMPRODUCT(--ISNUMBER(SEARCH(", "&amp;$B51&amp;", ",", "&amp;'Giao nhận &amp; Theo dõi đơn'!$B$7:$B$500&amp;", ")),--('Giao nhận &amp; Theo dõi đơn'!$AT$7:$AT$500="N/A"))+SUMPRODUCT(--ISNUMBER(SEARCH(", "&amp;$B51&amp;", ",", "&amp;'Bảng tin &amp; Chi tiết tin'!$B$7:$B$500&amp;", ")),--('Bảng tin &amp; Chi tiết tin'!$AT$7:$AT$500="N/A"))+SUMPRODUCT(--ISNUMBER(SEARCH(", "&amp;$B51&amp;", ",", "&amp;'Quà cảm ơn'!$B$7:$B$500&amp;", ")),--('Quà cảm ơn'!$AT$7:$AT$500="N/A"))+SUMPRODUCT(--ISNUMBER(SEARCH(", "&amp;$B51&amp;", ",", "&amp;'Trang chủ'!$B$7:$B$500&amp;", ")),--('Trang chủ'!$AT$7:$AT$500="N/A"))+SUMPRODUCT(--ISNUMBER(SEARCH(", "&amp;$B51&amp;", ",", "&amp;'Thông báo'!$B$7:$B$500&amp;", ")),--('Thông báo'!$AT$7:$AT$500="N/A"))+SUMPRODUCT(--ISNUMBER(SEARCH(", "&amp;$B51&amp;", ",", "&amp;'Đăng tin &amp; Quản lý tin'!$B$7:$B$500&amp;", ")),--('Đăng tin &amp; Quản lý tin'!$AT$7:$AT$500="N/A"))+SUMPRODUCT(--ISNUMBER(SEARCH(", "&amp;$B51&amp;", ",", "&amp;'Trust &amp; Safety'!$B$7:$B$500&amp;", ")),--('Trust &amp; Safety'!$AT$7:$AT$500="N/A"))+SUMPRODUCT(--ISNUMBER(SEARCH(", "&amp;$B51&amp;", ",", "&amp;'Tài khoản &amp; Hồ sơ'!$B$7:$B$500&amp;", ")),--('Tài khoản &amp; Hồ sơ'!$AT$7:$AT$500="N/A"))</f>
        <v>0</v>
      </c>
      <c r="K51" s="52" t="n">
        <f aca="false">IFERROR(F51/E51,0)</f>
        <v>0</v>
      </c>
      <c r="L51" s="124" t="str">
        <f aca="false">IF(E51=0,"Chưa có TC (gap)",IF(H51&gt;0,"Có lỗi (Fail)",IF(I51&gt;0,"Bị block",IF(F51&lt;E51,"Đang test",IF(G51=0,"Không áp dụng (N/A)","Đã test xong")))))</f>
        <v>Đang test</v>
      </c>
      <c r="AB51" s="0" t="s">
        <v>527</v>
      </c>
    </row>
    <row r="52" customFormat="false" ht="15.75" hidden="false" customHeight="true" outlineLevel="0" collapsed="false">
      <c r="A52" s="1"/>
      <c r="B52" s="176" t="s">
        <v>638</v>
      </c>
      <c r="C52" s="177" t="s">
        <v>639</v>
      </c>
      <c r="D52" s="124" t="s">
        <v>640</v>
      </c>
      <c r="E52" s="51" t="n">
        <f aca="false">SUMPRODUCT(--ISNUMBER(SEARCH(", "&amp;$B52&amp;", ",", "&amp;'Hoạt động (Đơn của tôi)'!$B$7:$B$500&amp;", ")))+SUMPRODUCT(--ISNUMBER(SEARCH(", "&amp;$B52&amp;", ",", "&amp;'Ghép nối'!$B$7:$B$500&amp;", ")))+SUMPRODUCT(--ISNUMBER(SEARCH(", "&amp;$B52&amp;", ",", "&amp;'Huỷ đơn - Huỷ nhận đơn'!$B$7:$B$500&amp;", ")))+SUMPRODUCT(--ISNUMBER(SEARCH(", "&amp;$B52&amp;", ",", "&amp;'Giao nhận &amp; Theo dõi đơn'!$B$7:$B$500&amp;", ")))+SUMPRODUCT(--ISNUMBER(SEARCH(", "&amp;$B52&amp;", ",", "&amp;'Bảng tin &amp; Chi tiết tin'!$B$7:$B$500&amp;", ")))+SUMPRODUCT(--ISNUMBER(SEARCH(", "&amp;$B52&amp;", ",", "&amp;'Quà cảm ơn'!$B$7:$B$500&amp;", ")))+SUMPRODUCT(--ISNUMBER(SEARCH(", "&amp;$B52&amp;", ",", "&amp;'Trang chủ'!$B$7:$B$500&amp;", ")))+SUMPRODUCT(--ISNUMBER(SEARCH(", "&amp;$B52&amp;", ",", "&amp;'Thông báo'!$B$7:$B$500&amp;", ")))+SUMPRODUCT(--ISNUMBER(SEARCH(", "&amp;$B52&amp;", ",", "&amp;'Đăng tin &amp; Quản lý tin'!$B$7:$B$500&amp;", ")))+SUMPRODUCT(--ISNUMBER(SEARCH(", "&amp;$B52&amp;", ",", "&amp;'Trust &amp; Safety'!$B$7:$B$500&amp;", ")))+SUMPRODUCT(--ISNUMBER(SEARCH(", "&amp;$B52&amp;", ",", "&amp;'Tài khoản &amp; Hồ sơ'!$B$7:$B$500&amp;", ")))</f>
        <v>1</v>
      </c>
      <c r="F52" s="51" t="n">
        <f aca="false">SUMPRODUCT(--ISNUMBER(SEARCH(", "&amp;$B52&amp;", ",", "&amp;'Hoạt động (Đơn của tôi)'!$B$7:$B$500&amp;", ")),--('Hoạt động (Đơn của tôi)'!$AT$7:$AT$500&lt;&gt;""))+SUMPRODUCT(--ISNUMBER(SEARCH(", "&amp;$B52&amp;", ",", "&amp;'Ghép nối'!$B$7:$B$500&amp;", ")),--('Ghép nối'!$AT$7:$AT$500&lt;&gt;""))+SUMPRODUCT(--ISNUMBER(SEARCH(", "&amp;$B52&amp;", ",", "&amp;'Huỷ đơn - Huỷ nhận đơn'!$B$7:$B$500&amp;", ")),--('Huỷ đơn - Huỷ nhận đơn'!$AT$7:$AT$500&lt;&gt;""))+SUMPRODUCT(--ISNUMBER(SEARCH(", "&amp;$B52&amp;", ",", "&amp;'Giao nhận &amp; Theo dõi đơn'!$B$7:$B$500&amp;", ")),--('Giao nhận &amp; Theo dõi đơn'!$AT$7:$AT$500&lt;&gt;""))+SUMPRODUCT(--ISNUMBER(SEARCH(", "&amp;$B52&amp;", ",", "&amp;'Bảng tin &amp; Chi tiết tin'!$B$7:$B$500&amp;", ")),--('Bảng tin &amp; Chi tiết tin'!$AT$7:$AT$500&lt;&gt;""))+SUMPRODUCT(--ISNUMBER(SEARCH(", "&amp;$B52&amp;", ",", "&amp;'Quà cảm ơn'!$B$7:$B$500&amp;", ")),--('Quà cảm ơn'!$AT$7:$AT$500&lt;&gt;""))+SUMPRODUCT(--ISNUMBER(SEARCH(", "&amp;$B52&amp;", ",", "&amp;'Trang chủ'!$B$7:$B$500&amp;", ")),--('Trang chủ'!$AT$7:$AT$500&lt;&gt;""))+SUMPRODUCT(--ISNUMBER(SEARCH(", "&amp;$B52&amp;", ",", "&amp;'Thông báo'!$B$7:$B$500&amp;", ")),--('Thông báo'!$AT$7:$AT$500&lt;&gt;""))+SUMPRODUCT(--ISNUMBER(SEARCH(", "&amp;$B52&amp;", ",", "&amp;'Đăng tin &amp; Quản lý tin'!$B$7:$B$500&amp;", ")),--('Đăng tin &amp; Quản lý tin'!$AT$7:$AT$500&lt;&gt;""))+SUMPRODUCT(--ISNUMBER(SEARCH(", "&amp;$B52&amp;", ",", "&amp;'Trust &amp; Safety'!$B$7:$B$500&amp;", ")),--('Trust &amp; Safety'!$AT$7:$AT$500&lt;&gt;""))+SUMPRODUCT(--ISNUMBER(SEARCH(", "&amp;$B52&amp;", ",", "&amp;'Tài khoản &amp; Hồ sơ'!$B$7:$B$500&amp;", ")),--('Tài khoản &amp; Hồ sơ'!$AT$7:$AT$500&lt;&gt;""))</f>
        <v>1</v>
      </c>
      <c r="G52" s="51" t="n">
        <f aca="false">SUMPRODUCT(--ISNUMBER(SEARCH(", "&amp;$B52&amp;", ",", "&amp;'Hoạt động (Đơn của tôi)'!$B$7:$B$500&amp;", ")),--('Hoạt động (Đơn của tôi)'!$AT$7:$AT$500="Pass"))+SUMPRODUCT(--ISNUMBER(SEARCH(", "&amp;$B52&amp;", ",", "&amp;'Ghép nối'!$B$7:$B$500&amp;", ")),--('Ghép nối'!$AT$7:$AT$500="Pass"))+SUMPRODUCT(--ISNUMBER(SEARCH(", "&amp;$B52&amp;", ",", "&amp;'Huỷ đơn - Huỷ nhận đơn'!$B$7:$B$500&amp;", ")),--('Huỷ đơn - Huỷ nhận đơn'!$AT$7:$AT$500="Pass"))+SUMPRODUCT(--ISNUMBER(SEARCH(", "&amp;$B52&amp;", ",", "&amp;'Giao nhận &amp; Theo dõi đơn'!$B$7:$B$500&amp;", ")),--('Giao nhận &amp; Theo dõi đơn'!$AT$7:$AT$500="Pass"))+SUMPRODUCT(--ISNUMBER(SEARCH(", "&amp;$B52&amp;", ",", "&amp;'Bảng tin &amp; Chi tiết tin'!$B$7:$B$500&amp;", ")),--('Bảng tin &amp; Chi tiết tin'!$AT$7:$AT$500="Pass"))+SUMPRODUCT(--ISNUMBER(SEARCH(", "&amp;$B52&amp;", ",", "&amp;'Quà cảm ơn'!$B$7:$B$500&amp;", ")),--('Quà cảm ơn'!$AT$7:$AT$500="Pass"))+SUMPRODUCT(--ISNUMBER(SEARCH(", "&amp;$B52&amp;", ",", "&amp;'Trang chủ'!$B$7:$B$500&amp;", ")),--('Trang chủ'!$AT$7:$AT$500="Pass"))+SUMPRODUCT(--ISNUMBER(SEARCH(", "&amp;$B52&amp;", ",", "&amp;'Thông báo'!$B$7:$B$500&amp;", ")),--('Thông báo'!$AT$7:$AT$500="Pass"))+SUMPRODUCT(--ISNUMBER(SEARCH(", "&amp;$B52&amp;", ",", "&amp;'Đăng tin &amp; Quản lý tin'!$B$7:$B$500&amp;", ")),--('Đăng tin &amp; Quản lý tin'!$AT$7:$AT$500="Pass"))+SUMPRODUCT(--ISNUMBER(SEARCH(", "&amp;$B52&amp;", ",", "&amp;'Trust &amp; Safety'!$B$7:$B$500&amp;", ")),--('Trust &amp; Safety'!$AT$7:$AT$500="Pass"))+SUMPRODUCT(--ISNUMBER(SEARCH(", "&amp;$B52&amp;", ",", "&amp;'Tài khoản &amp; Hồ sơ'!$B$7:$B$500&amp;", ")),--('Tài khoản &amp; Hồ sơ'!$AT$7:$AT$500="Pass"))</f>
        <v>1</v>
      </c>
      <c r="H52" s="51" t="n">
        <f aca="false">SUMPRODUCT(--ISNUMBER(SEARCH(", "&amp;$B52&amp;", ",", "&amp;'Hoạt động (Đơn của tôi)'!$B$7:$B$500&amp;", ")),--('Hoạt động (Đơn của tôi)'!$AT$7:$AT$500="Fail"))+SUMPRODUCT(--ISNUMBER(SEARCH(", "&amp;$B52&amp;", ",", "&amp;'Ghép nối'!$B$7:$B$500&amp;", ")),--('Ghép nối'!$AT$7:$AT$500="Fail"))+SUMPRODUCT(--ISNUMBER(SEARCH(", "&amp;$B52&amp;", ",", "&amp;'Huỷ đơn - Huỷ nhận đơn'!$B$7:$B$500&amp;", ")),--('Huỷ đơn - Huỷ nhận đơn'!$AT$7:$AT$500="Fail"))+SUMPRODUCT(--ISNUMBER(SEARCH(", "&amp;$B52&amp;", ",", "&amp;'Giao nhận &amp; Theo dõi đơn'!$B$7:$B$500&amp;", ")),--('Giao nhận &amp; Theo dõi đơn'!$AT$7:$AT$500="Fail"))+SUMPRODUCT(--ISNUMBER(SEARCH(", "&amp;$B52&amp;", ",", "&amp;'Bảng tin &amp; Chi tiết tin'!$B$7:$B$500&amp;", ")),--('Bảng tin &amp; Chi tiết tin'!$AT$7:$AT$500="Fail"))+SUMPRODUCT(--ISNUMBER(SEARCH(", "&amp;$B52&amp;", ",", "&amp;'Quà cảm ơn'!$B$7:$B$500&amp;", ")),--('Quà cảm ơn'!$AT$7:$AT$500="Fail"))+SUMPRODUCT(--ISNUMBER(SEARCH(", "&amp;$B52&amp;", ",", "&amp;'Trang chủ'!$B$7:$B$500&amp;", ")),--('Trang chủ'!$AT$7:$AT$500="Fail"))+SUMPRODUCT(--ISNUMBER(SEARCH(", "&amp;$B52&amp;", ",", "&amp;'Thông báo'!$B$7:$B$500&amp;", ")),--('Thông báo'!$AT$7:$AT$500="Fail"))+SUMPRODUCT(--ISNUMBER(SEARCH(", "&amp;$B52&amp;", ",", "&amp;'Đăng tin &amp; Quản lý tin'!$B$7:$B$500&amp;", ")),--('Đăng tin &amp; Quản lý tin'!$AT$7:$AT$500="Fail"))+SUMPRODUCT(--ISNUMBER(SEARCH(", "&amp;$B52&amp;", ",", "&amp;'Trust &amp; Safety'!$B$7:$B$500&amp;", ")),--('Trust &amp; Safety'!$AT$7:$AT$500="Fail"))+SUMPRODUCT(--ISNUMBER(SEARCH(", "&amp;$B52&amp;", ",", "&amp;'Tài khoản &amp; Hồ sơ'!$B$7:$B$500&amp;", ")),--('Tài khoản &amp; Hồ sơ'!$AT$7:$AT$500="Fail"))</f>
        <v>0</v>
      </c>
      <c r="I52" s="51" t="n">
        <f aca="false">SUMPRODUCT(--ISNUMBER(SEARCH(", "&amp;$B52&amp;", ",", "&amp;'Hoạt động (Đơn của tôi)'!$B$7:$B$500&amp;", ")),--('Hoạt động (Đơn của tôi)'!$AT$7:$AT$500="Block"))+SUMPRODUCT(--ISNUMBER(SEARCH(", "&amp;$B52&amp;", ",", "&amp;'Ghép nối'!$B$7:$B$500&amp;", ")),--('Ghép nối'!$AT$7:$AT$500="Block"))+SUMPRODUCT(--ISNUMBER(SEARCH(", "&amp;$B52&amp;", ",", "&amp;'Huỷ đơn - Huỷ nhận đơn'!$B$7:$B$500&amp;", ")),--('Huỷ đơn - Huỷ nhận đơn'!$AT$7:$AT$500="Block"))+SUMPRODUCT(--ISNUMBER(SEARCH(", "&amp;$B52&amp;", ",", "&amp;'Giao nhận &amp; Theo dõi đơn'!$B$7:$B$500&amp;", ")),--('Giao nhận &amp; Theo dõi đơn'!$AT$7:$AT$500="Block"))+SUMPRODUCT(--ISNUMBER(SEARCH(", "&amp;$B52&amp;", ",", "&amp;'Bảng tin &amp; Chi tiết tin'!$B$7:$B$500&amp;", ")),--('Bảng tin &amp; Chi tiết tin'!$AT$7:$AT$500="Block"))+SUMPRODUCT(--ISNUMBER(SEARCH(", "&amp;$B52&amp;", ",", "&amp;'Quà cảm ơn'!$B$7:$B$500&amp;", ")),--('Quà cảm ơn'!$AT$7:$AT$500="Block"))+SUMPRODUCT(--ISNUMBER(SEARCH(", "&amp;$B52&amp;", ",", "&amp;'Trang chủ'!$B$7:$B$500&amp;", ")),--('Trang chủ'!$AT$7:$AT$500="Block"))+SUMPRODUCT(--ISNUMBER(SEARCH(", "&amp;$B52&amp;", ",", "&amp;'Thông báo'!$B$7:$B$500&amp;", ")),--('Thông báo'!$AT$7:$AT$500="Block"))+SUMPRODUCT(--ISNUMBER(SEARCH(", "&amp;$B52&amp;", ",", "&amp;'Đăng tin &amp; Quản lý tin'!$B$7:$B$500&amp;", ")),--('Đăng tin &amp; Quản lý tin'!$AT$7:$AT$500="Block"))+SUMPRODUCT(--ISNUMBER(SEARCH(", "&amp;$B52&amp;", ",", "&amp;'Trust &amp; Safety'!$B$7:$B$500&amp;", ")),--('Trust &amp; Safety'!$AT$7:$AT$500="Block"))+SUMPRODUCT(--ISNUMBER(SEARCH(", "&amp;$B52&amp;", ",", "&amp;'Tài khoản &amp; Hồ sơ'!$B$7:$B$500&amp;", ")),--('Tài khoản &amp; Hồ sơ'!$AT$7:$AT$500="Block"))</f>
        <v>0</v>
      </c>
      <c r="J52" s="51" t="n">
        <f aca="false">SUMPRODUCT(--ISNUMBER(SEARCH(", "&amp;$B52&amp;", ",", "&amp;'Hoạt động (Đơn của tôi)'!$B$7:$B$500&amp;", ")),--('Hoạt động (Đơn của tôi)'!$AT$7:$AT$500="N/A"))+SUMPRODUCT(--ISNUMBER(SEARCH(", "&amp;$B52&amp;", ",", "&amp;'Ghép nối'!$B$7:$B$500&amp;", ")),--('Ghép nối'!$AT$7:$AT$500="N/A"))+SUMPRODUCT(--ISNUMBER(SEARCH(", "&amp;$B52&amp;", ",", "&amp;'Huỷ đơn - Huỷ nhận đơn'!$B$7:$B$500&amp;", ")),--('Huỷ đơn - Huỷ nhận đơn'!$AT$7:$AT$500="N/A"))+SUMPRODUCT(--ISNUMBER(SEARCH(", "&amp;$B52&amp;", ",", "&amp;'Giao nhận &amp; Theo dõi đơn'!$B$7:$B$500&amp;", ")),--('Giao nhận &amp; Theo dõi đơn'!$AT$7:$AT$500="N/A"))+SUMPRODUCT(--ISNUMBER(SEARCH(", "&amp;$B52&amp;", ",", "&amp;'Bảng tin &amp; Chi tiết tin'!$B$7:$B$500&amp;", ")),--('Bảng tin &amp; Chi tiết tin'!$AT$7:$AT$500="N/A"))+SUMPRODUCT(--ISNUMBER(SEARCH(", "&amp;$B52&amp;", ",", "&amp;'Quà cảm ơn'!$B$7:$B$500&amp;", ")),--('Quà cảm ơn'!$AT$7:$AT$500="N/A"))+SUMPRODUCT(--ISNUMBER(SEARCH(", "&amp;$B52&amp;", ",", "&amp;'Trang chủ'!$B$7:$B$500&amp;", ")),--('Trang chủ'!$AT$7:$AT$500="N/A"))+SUMPRODUCT(--ISNUMBER(SEARCH(", "&amp;$B52&amp;", ",", "&amp;'Thông báo'!$B$7:$B$500&amp;", ")),--('Thông báo'!$AT$7:$AT$500="N/A"))+SUMPRODUCT(--ISNUMBER(SEARCH(", "&amp;$B52&amp;", ",", "&amp;'Đăng tin &amp; Quản lý tin'!$B$7:$B$500&amp;", ")),--('Đăng tin &amp; Quản lý tin'!$AT$7:$AT$500="N/A"))+SUMPRODUCT(--ISNUMBER(SEARCH(", "&amp;$B52&amp;", ",", "&amp;'Trust &amp; Safety'!$B$7:$B$500&amp;", ")),--('Trust &amp; Safety'!$AT$7:$AT$500="N/A"))+SUMPRODUCT(--ISNUMBER(SEARCH(", "&amp;$B52&amp;", ",", "&amp;'Tài khoản &amp; Hồ sơ'!$B$7:$B$500&amp;", ")),--('Tài khoản &amp; Hồ sơ'!$AT$7:$AT$500="N/A"))</f>
        <v>0</v>
      </c>
      <c r="K52" s="52" t="n">
        <f aca="false">IFERROR(F52/E52,0)</f>
        <v>1</v>
      </c>
      <c r="L52" s="124" t="str">
        <f aca="false">IF(E52=0,"Chưa có TC (gap)",IF(H52&gt;0,"Có lỗi (Fail)",IF(I52&gt;0,"Bị block",IF(F52&lt;E52,"Đang test",IF(G52=0,"Không áp dụng (N/A)","Đã test xong")))))</f>
        <v>Đã test xong</v>
      </c>
      <c r="AB52" s="0" t="s">
        <v>531</v>
      </c>
    </row>
    <row r="53" customFormat="false" ht="15.75" hidden="false" customHeight="true" outlineLevel="0" collapsed="false">
      <c r="A53" s="1"/>
      <c r="B53" s="176" t="s">
        <v>641</v>
      </c>
      <c r="C53" s="177" t="s">
        <v>642</v>
      </c>
      <c r="D53" s="124" t="s">
        <v>643</v>
      </c>
      <c r="E53" s="51" t="n">
        <f aca="false">SUMPRODUCT(--ISNUMBER(SEARCH(", "&amp;$B53&amp;", ",", "&amp;'Hoạt động (Đơn của tôi)'!$B$7:$B$500&amp;", ")))+SUMPRODUCT(--ISNUMBER(SEARCH(", "&amp;$B53&amp;", ",", "&amp;'Ghép nối'!$B$7:$B$500&amp;", ")))+SUMPRODUCT(--ISNUMBER(SEARCH(", "&amp;$B53&amp;", ",", "&amp;'Huỷ đơn - Huỷ nhận đơn'!$B$7:$B$500&amp;", ")))+SUMPRODUCT(--ISNUMBER(SEARCH(", "&amp;$B53&amp;", ",", "&amp;'Giao nhận &amp; Theo dõi đơn'!$B$7:$B$500&amp;", ")))+SUMPRODUCT(--ISNUMBER(SEARCH(", "&amp;$B53&amp;", ",", "&amp;'Bảng tin &amp; Chi tiết tin'!$B$7:$B$500&amp;", ")))+SUMPRODUCT(--ISNUMBER(SEARCH(", "&amp;$B53&amp;", ",", "&amp;'Quà cảm ơn'!$B$7:$B$500&amp;", ")))+SUMPRODUCT(--ISNUMBER(SEARCH(", "&amp;$B53&amp;", ",", "&amp;'Trang chủ'!$B$7:$B$500&amp;", ")))+SUMPRODUCT(--ISNUMBER(SEARCH(", "&amp;$B53&amp;", ",", "&amp;'Thông báo'!$B$7:$B$500&amp;", ")))+SUMPRODUCT(--ISNUMBER(SEARCH(", "&amp;$B53&amp;", ",", "&amp;'Đăng tin &amp; Quản lý tin'!$B$7:$B$500&amp;", ")))+SUMPRODUCT(--ISNUMBER(SEARCH(", "&amp;$B53&amp;", ",", "&amp;'Trust &amp; Safety'!$B$7:$B$500&amp;", ")))+SUMPRODUCT(--ISNUMBER(SEARCH(", "&amp;$B53&amp;", ",", "&amp;'Tài khoản &amp; Hồ sơ'!$B$7:$B$500&amp;", ")))</f>
        <v>7</v>
      </c>
      <c r="F53" s="51" t="n">
        <f aca="false">SUMPRODUCT(--ISNUMBER(SEARCH(", "&amp;$B53&amp;", ",", "&amp;'Hoạt động (Đơn của tôi)'!$B$7:$B$500&amp;", ")),--('Hoạt động (Đơn của tôi)'!$AT$7:$AT$500&lt;&gt;""))+SUMPRODUCT(--ISNUMBER(SEARCH(", "&amp;$B53&amp;", ",", "&amp;'Ghép nối'!$B$7:$B$500&amp;", ")),--('Ghép nối'!$AT$7:$AT$500&lt;&gt;""))+SUMPRODUCT(--ISNUMBER(SEARCH(", "&amp;$B53&amp;", ",", "&amp;'Huỷ đơn - Huỷ nhận đơn'!$B$7:$B$500&amp;", ")),--('Huỷ đơn - Huỷ nhận đơn'!$AT$7:$AT$500&lt;&gt;""))+SUMPRODUCT(--ISNUMBER(SEARCH(", "&amp;$B53&amp;", ",", "&amp;'Giao nhận &amp; Theo dõi đơn'!$B$7:$B$500&amp;", ")),--('Giao nhận &amp; Theo dõi đơn'!$AT$7:$AT$500&lt;&gt;""))+SUMPRODUCT(--ISNUMBER(SEARCH(", "&amp;$B53&amp;", ",", "&amp;'Bảng tin &amp; Chi tiết tin'!$B$7:$B$500&amp;", ")),--('Bảng tin &amp; Chi tiết tin'!$AT$7:$AT$500&lt;&gt;""))+SUMPRODUCT(--ISNUMBER(SEARCH(", "&amp;$B53&amp;", ",", "&amp;'Quà cảm ơn'!$B$7:$B$500&amp;", ")),--('Quà cảm ơn'!$AT$7:$AT$500&lt;&gt;""))+SUMPRODUCT(--ISNUMBER(SEARCH(", "&amp;$B53&amp;", ",", "&amp;'Trang chủ'!$B$7:$B$500&amp;", ")),--('Trang chủ'!$AT$7:$AT$500&lt;&gt;""))+SUMPRODUCT(--ISNUMBER(SEARCH(", "&amp;$B53&amp;", ",", "&amp;'Thông báo'!$B$7:$B$500&amp;", ")),--('Thông báo'!$AT$7:$AT$500&lt;&gt;""))+SUMPRODUCT(--ISNUMBER(SEARCH(", "&amp;$B53&amp;", ",", "&amp;'Đăng tin &amp; Quản lý tin'!$B$7:$B$500&amp;", ")),--('Đăng tin &amp; Quản lý tin'!$AT$7:$AT$500&lt;&gt;""))+SUMPRODUCT(--ISNUMBER(SEARCH(", "&amp;$B53&amp;", ",", "&amp;'Trust &amp; Safety'!$B$7:$B$500&amp;", ")),--('Trust &amp; Safety'!$AT$7:$AT$500&lt;&gt;""))+SUMPRODUCT(--ISNUMBER(SEARCH(", "&amp;$B53&amp;", ",", "&amp;'Tài khoản &amp; Hồ sơ'!$B$7:$B$500&amp;", ")),--('Tài khoản &amp; Hồ sơ'!$AT$7:$AT$500&lt;&gt;""))</f>
        <v>7</v>
      </c>
      <c r="G53" s="51" t="n">
        <f aca="false">SUMPRODUCT(--ISNUMBER(SEARCH(", "&amp;$B53&amp;", ",", "&amp;'Hoạt động (Đơn của tôi)'!$B$7:$B$500&amp;", ")),--('Hoạt động (Đơn của tôi)'!$AT$7:$AT$500="Pass"))+SUMPRODUCT(--ISNUMBER(SEARCH(", "&amp;$B53&amp;", ",", "&amp;'Ghép nối'!$B$7:$B$500&amp;", ")),--('Ghép nối'!$AT$7:$AT$500="Pass"))+SUMPRODUCT(--ISNUMBER(SEARCH(", "&amp;$B53&amp;", ",", "&amp;'Huỷ đơn - Huỷ nhận đơn'!$B$7:$B$500&amp;", ")),--('Huỷ đơn - Huỷ nhận đơn'!$AT$7:$AT$500="Pass"))+SUMPRODUCT(--ISNUMBER(SEARCH(", "&amp;$B53&amp;", ",", "&amp;'Giao nhận &amp; Theo dõi đơn'!$B$7:$B$500&amp;", ")),--('Giao nhận &amp; Theo dõi đơn'!$AT$7:$AT$500="Pass"))+SUMPRODUCT(--ISNUMBER(SEARCH(", "&amp;$B53&amp;", ",", "&amp;'Bảng tin &amp; Chi tiết tin'!$B$7:$B$500&amp;", ")),--('Bảng tin &amp; Chi tiết tin'!$AT$7:$AT$500="Pass"))+SUMPRODUCT(--ISNUMBER(SEARCH(", "&amp;$B53&amp;", ",", "&amp;'Quà cảm ơn'!$B$7:$B$500&amp;", ")),--('Quà cảm ơn'!$AT$7:$AT$500="Pass"))+SUMPRODUCT(--ISNUMBER(SEARCH(", "&amp;$B53&amp;", ",", "&amp;'Trang chủ'!$B$7:$B$500&amp;", ")),--('Trang chủ'!$AT$7:$AT$500="Pass"))+SUMPRODUCT(--ISNUMBER(SEARCH(", "&amp;$B53&amp;", ",", "&amp;'Thông báo'!$B$7:$B$500&amp;", ")),--('Thông báo'!$AT$7:$AT$500="Pass"))+SUMPRODUCT(--ISNUMBER(SEARCH(", "&amp;$B53&amp;", ",", "&amp;'Đăng tin &amp; Quản lý tin'!$B$7:$B$500&amp;", ")),--('Đăng tin &amp; Quản lý tin'!$AT$7:$AT$500="Pass"))+SUMPRODUCT(--ISNUMBER(SEARCH(", "&amp;$B53&amp;", ",", "&amp;'Trust &amp; Safety'!$B$7:$B$500&amp;", ")),--('Trust &amp; Safety'!$AT$7:$AT$500="Pass"))+SUMPRODUCT(--ISNUMBER(SEARCH(", "&amp;$B53&amp;", ",", "&amp;'Tài khoản &amp; Hồ sơ'!$B$7:$B$500&amp;", ")),--('Tài khoản &amp; Hồ sơ'!$AT$7:$AT$500="Pass"))</f>
        <v>5</v>
      </c>
      <c r="H53" s="51" t="n">
        <f aca="false">SUMPRODUCT(--ISNUMBER(SEARCH(", "&amp;$B53&amp;", ",", "&amp;'Hoạt động (Đơn của tôi)'!$B$7:$B$500&amp;", ")),--('Hoạt động (Đơn của tôi)'!$AT$7:$AT$500="Fail"))+SUMPRODUCT(--ISNUMBER(SEARCH(", "&amp;$B53&amp;", ",", "&amp;'Ghép nối'!$B$7:$B$500&amp;", ")),--('Ghép nối'!$AT$7:$AT$500="Fail"))+SUMPRODUCT(--ISNUMBER(SEARCH(", "&amp;$B53&amp;", ",", "&amp;'Huỷ đơn - Huỷ nhận đơn'!$B$7:$B$500&amp;", ")),--('Huỷ đơn - Huỷ nhận đơn'!$AT$7:$AT$500="Fail"))+SUMPRODUCT(--ISNUMBER(SEARCH(", "&amp;$B53&amp;", ",", "&amp;'Giao nhận &amp; Theo dõi đơn'!$B$7:$B$500&amp;", ")),--('Giao nhận &amp; Theo dõi đơn'!$AT$7:$AT$500="Fail"))+SUMPRODUCT(--ISNUMBER(SEARCH(", "&amp;$B53&amp;", ",", "&amp;'Bảng tin &amp; Chi tiết tin'!$B$7:$B$500&amp;", ")),--('Bảng tin &amp; Chi tiết tin'!$AT$7:$AT$500="Fail"))+SUMPRODUCT(--ISNUMBER(SEARCH(", "&amp;$B53&amp;", ",", "&amp;'Quà cảm ơn'!$B$7:$B$500&amp;", ")),--('Quà cảm ơn'!$AT$7:$AT$500="Fail"))+SUMPRODUCT(--ISNUMBER(SEARCH(", "&amp;$B53&amp;", ",", "&amp;'Trang chủ'!$B$7:$B$500&amp;", ")),--('Trang chủ'!$AT$7:$AT$500="Fail"))+SUMPRODUCT(--ISNUMBER(SEARCH(", "&amp;$B53&amp;", ",", "&amp;'Thông báo'!$B$7:$B$500&amp;", ")),--('Thông báo'!$AT$7:$AT$500="Fail"))+SUMPRODUCT(--ISNUMBER(SEARCH(", "&amp;$B53&amp;", ",", "&amp;'Đăng tin &amp; Quản lý tin'!$B$7:$B$500&amp;", ")),--('Đăng tin &amp; Quản lý tin'!$AT$7:$AT$500="Fail"))+SUMPRODUCT(--ISNUMBER(SEARCH(", "&amp;$B53&amp;", ",", "&amp;'Trust &amp; Safety'!$B$7:$B$500&amp;", ")),--('Trust &amp; Safety'!$AT$7:$AT$500="Fail"))+SUMPRODUCT(--ISNUMBER(SEARCH(", "&amp;$B53&amp;", ",", "&amp;'Tài khoản &amp; Hồ sơ'!$B$7:$B$500&amp;", ")),--('Tài khoản &amp; Hồ sơ'!$AT$7:$AT$500="Fail"))</f>
        <v>1</v>
      </c>
      <c r="I53" s="51" t="n">
        <f aca="false">SUMPRODUCT(--ISNUMBER(SEARCH(", "&amp;$B53&amp;", ",", "&amp;'Hoạt động (Đơn của tôi)'!$B$7:$B$500&amp;", ")),--('Hoạt động (Đơn của tôi)'!$AT$7:$AT$500="Block"))+SUMPRODUCT(--ISNUMBER(SEARCH(", "&amp;$B53&amp;", ",", "&amp;'Ghép nối'!$B$7:$B$500&amp;", ")),--('Ghép nối'!$AT$7:$AT$500="Block"))+SUMPRODUCT(--ISNUMBER(SEARCH(", "&amp;$B53&amp;", ",", "&amp;'Huỷ đơn - Huỷ nhận đơn'!$B$7:$B$500&amp;", ")),--('Huỷ đơn - Huỷ nhận đơn'!$AT$7:$AT$500="Block"))+SUMPRODUCT(--ISNUMBER(SEARCH(", "&amp;$B53&amp;", ",", "&amp;'Giao nhận &amp; Theo dõi đơn'!$B$7:$B$500&amp;", ")),--('Giao nhận &amp; Theo dõi đơn'!$AT$7:$AT$500="Block"))+SUMPRODUCT(--ISNUMBER(SEARCH(", "&amp;$B53&amp;", ",", "&amp;'Bảng tin &amp; Chi tiết tin'!$B$7:$B$500&amp;", ")),--('Bảng tin &amp; Chi tiết tin'!$AT$7:$AT$500="Block"))+SUMPRODUCT(--ISNUMBER(SEARCH(", "&amp;$B53&amp;", ",", "&amp;'Quà cảm ơn'!$B$7:$B$500&amp;", ")),--('Quà cảm ơn'!$AT$7:$AT$500="Block"))+SUMPRODUCT(--ISNUMBER(SEARCH(", "&amp;$B53&amp;", ",", "&amp;'Trang chủ'!$B$7:$B$500&amp;", ")),--('Trang chủ'!$AT$7:$AT$500="Block"))+SUMPRODUCT(--ISNUMBER(SEARCH(", "&amp;$B53&amp;", ",", "&amp;'Thông báo'!$B$7:$B$500&amp;", ")),--('Thông báo'!$AT$7:$AT$500="Block"))+SUMPRODUCT(--ISNUMBER(SEARCH(", "&amp;$B53&amp;", ",", "&amp;'Đăng tin &amp; Quản lý tin'!$B$7:$B$500&amp;", ")),--('Đăng tin &amp; Quản lý tin'!$AT$7:$AT$500="Block"))+SUMPRODUCT(--ISNUMBER(SEARCH(", "&amp;$B53&amp;", ",", "&amp;'Trust &amp; Safety'!$B$7:$B$500&amp;", ")),--('Trust &amp; Safety'!$AT$7:$AT$500="Block"))+SUMPRODUCT(--ISNUMBER(SEARCH(", "&amp;$B53&amp;", ",", "&amp;'Tài khoản &amp; Hồ sơ'!$B$7:$B$500&amp;", ")),--('Tài khoản &amp; Hồ sơ'!$AT$7:$AT$500="Block"))</f>
        <v>1</v>
      </c>
      <c r="J53" s="51" t="n">
        <f aca="false">SUMPRODUCT(--ISNUMBER(SEARCH(", "&amp;$B53&amp;", ",", "&amp;'Hoạt động (Đơn của tôi)'!$B$7:$B$500&amp;", ")),--('Hoạt động (Đơn của tôi)'!$AT$7:$AT$500="N/A"))+SUMPRODUCT(--ISNUMBER(SEARCH(", "&amp;$B53&amp;", ",", "&amp;'Ghép nối'!$B$7:$B$500&amp;", ")),--('Ghép nối'!$AT$7:$AT$500="N/A"))+SUMPRODUCT(--ISNUMBER(SEARCH(", "&amp;$B53&amp;", ",", "&amp;'Huỷ đơn - Huỷ nhận đơn'!$B$7:$B$500&amp;", ")),--('Huỷ đơn - Huỷ nhận đơn'!$AT$7:$AT$500="N/A"))+SUMPRODUCT(--ISNUMBER(SEARCH(", "&amp;$B53&amp;", ",", "&amp;'Giao nhận &amp; Theo dõi đơn'!$B$7:$B$500&amp;", ")),--('Giao nhận &amp; Theo dõi đơn'!$AT$7:$AT$500="N/A"))+SUMPRODUCT(--ISNUMBER(SEARCH(", "&amp;$B53&amp;", ",", "&amp;'Bảng tin &amp; Chi tiết tin'!$B$7:$B$500&amp;", ")),--('Bảng tin &amp; Chi tiết tin'!$AT$7:$AT$500="N/A"))+SUMPRODUCT(--ISNUMBER(SEARCH(", "&amp;$B53&amp;", ",", "&amp;'Quà cảm ơn'!$B$7:$B$500&amp;", ")),--('Quà cảm ơn'!$AT$7:$AT$500="N/A"))+SUMPRODUCT(--ISNUMBER(SEARCH(", "&amp;$B53&amp;", ",", "&amp;'Trang chủ'!$B$7:$B$500&amp;", ")),--('Trang chủ'!$AT$7:$AT$500="N/A"))+SUMPRODUCT(--ISNUMBER(SEARCH(", "&amp;$B53&amp;", ",", "&amp;'Thông báo'!$B$7:$B$500&amp;", ")),--('Thông báo'!$AT$7:$AT$500="N/A"))+SUMPRODUCT(--ISNUMBER(SEARCH(", "&amp;$B53&amp;", ",", "&amp;'Đăng tin &amp; Quản lý tin'!$B$7:$B$500&amp;", ")),--('Đăng tin &amp; Quản lý tin'!$AT$7:$AT$500="N/A"))+SUMPRODUCT(--ISNUMBER(SEARCH(", "&amp;$B53&amp;", ",", "&amp;'Trust &amp; Safety'!$B$7:$B$500&amp;", ")),--('Trust &amp; Safety'!$AT$7:$AT$500="N/A"))+SUMPRODUCT(--ISNUMBER(SEARCH(", "&amp;$B53&amp;", ",", "&amp;'Tài khoản &amp; Hồ sơ'!$B$7:$B$500&amp;", ")),--('Tài khoản &amp; Hồ sơ'!$AT$7:$AT$500="N/A"))</f>
        <v>0</v>
      </c>
      <c r="K53" s="52" t="n">
        <f aca="false">IFERROR(F53/E53,0)</f>
        <v>1</v>
      </c>
      <c r="L53" s="124" t="str">
        <f aca="false">IF(E53=0,"Chưa có TC (gap)",IF(H53&gt;0,"Có lỗi (Fail)",IF(I53&gt;0,"Bị block",IF(F53&lt;E53,"Đang test",IF(G53=0,"Không áp dụng (N/A)","Đã test xong")))))</f>
        <v>Có lỗi (Fail)</v>
      </c>
      <c r="AB53" s="0" t="s">
        <v>531</v>
      </c>
    </row>
    <row r="54" customFormat="false" ht="15.75" hidden="false" customHeight="true" outlineLevel="0" collapsed="false">
      <c r="A54" s="1"/>
      <c r="B54" s="176" t="s">
        <v>644</v>
      </c>
      <c r="C54" s="177" t="s">
        <v>645</v>
      </c>
      <c r="D54" s="124" t="s">
        <v>646</v>
      </c>
      <c r="E54" s="51" t="n">
        <f aca="false">SUMPRODUCT(--ISNUMBER(SEARCH(", "&amp;$B54&amp;", ",", "&amp;'Hoạt động (Đơn của tôi)'!$B$7:$B$500&amp;", ")))+SUMPRODUCT(--ISNUMBER(SEARCH(", "&amp;$B54&amp;", ",", "&amp;'Ghép nối'!$B$7:$B$500&amp;", ")))+SUMPRODUCT(--ISNUMBER(SEARCH(", "&amp;$B54&amp;", ",", "&amp;'Huỷ đơn - Huỷ nhận đơn'!$B$7:$B$500&amp;", ")))+SUMPRODUCT(--ISNUMBER(SEARCH(", "&amp;$B54&amp;", ",", "&amp;'Giao nhận &amp; Theo dõi đơn'!$B$7:$B$500&amp;", ")))+SUMPRODUCT(--ISNUMBER(SEARCH(", "&amp;$B54&amp;", ",", "&amp;'Bảng tin &amp; Chi tiết tin'!$B$7:$B$500&amp;", ")))+SUMPRODUCT(--ISNUMBER(SEARCH(", "&amp;$B54&amp;", ",", "&amp;'Quà cảm ơn'!$B$7:$B$500&amp;", ")))+SUMPRODUCT(--ISNUMBER(SEARCH(", "&amp;$B54&amp;", ",", "&amp;'Trang chủ'!$B$7:$B$500&amp;", ")))+SUMPRODUCT(--ISNUMBER(SEARCH(", "&amp;$B54&amp;", ",", "&amp;'Thông báo'!$B$7:$B$500&amp;", ")))+SUMPRODUCT(--ISNUMBER(SEARCH(", "&amp;$B54&amp;", ",", "&amp;'Đăng tin &amp; Quản lý tin'!$B$7:$B$500&amp;", ")))+SUMPRODUCT(--ISNUMBER(SEARCH(", "&amp;$B54&amp;", ",", "&amp;'Trust &amp; Safety'!$B$7:$B$500&amp;", ")))+SUMPRODUCT(--ISNUMBER(SEARCH(", "&amp;$B54&amp;", ",", "&amp;'Tài khoản &amp; Hồ sơ'!$B$7:$B$500&amp;", ")))</f>
        <v>1</v>
      </c>
      <c r="F54" s="51" t="n">
        <f aca="false">SUMPRODUCT(--ISNUMBER(SEARCH(", "&amp;$B54&amp;", ",", "&amp;'Hoạt động (Đơn của tôi)'!$B$7:$B$500&amp;", ")),--('Hoạt động (Đơn của tôi)'!$AT$7:$AT$500&lt;&gt;""))+SUMPRODUCT(--ISNUMBER(SEARCH(", "&amp;$B54&amp;", ",", "&amp;'Ghép nối'!$B$7:$B$500&amp;", ")),--('Ghép nối'!$AT$7:$AT$500&lt;&gt;""))+SUMPRODUCT(--ISNUMBER(SEARCH(", "&amp;$B54&amp;", ",", "&amp;'Huỷ đơn - Huỷ nhận đơn'!$B$7:$B$500&amp;", ")),--('Huỷ đơn - Huỷ nhận đơn'!$AT$7:$AT$500&lt;&gt;""))+SUMPRODUCT(--ISNUMBER(SEARCH(", "&amp;$B54&amp;", ",", "&amp;'Giao nhận &amp; Theo dõi đơn'!$B$7:$B$500&amp;", ")),--('Giao nhận &amp; Theo dõi đơn'!$AT$7:$AT$500&lt;&gt;""))+SUMPRODUCT(--ISNUMBER(SEARCH(", "&amp;$B54&amp;", ",", "&amp;'Bảng tin &amp; Chi tiết tin'!$B$7:$B$500&amp;", ")),--('Bảng tin &amp; Chi tiết tin'!$AT$7:$AT$500&lt;&gt;""))+SUMPRODUCT(--ISNUMBER(SEARCH(", "&amp;$B54&amp;", ",", "&amp;'Quà cảm ơn'!$B$7:$B$500&amp;", ")),--('Quà cảm ơn'!$AT$7:$AT$500&lt;&gt;""))+SUMPRODUCT(--ISNUMBER(SEARCH(", "&amp;$B54&amp;", ",", "&amp;'Trang chủ'!$B$7:$B$500&amp;", ")),--('Trang chủ'!$AT$7:$AT$500&lt;&gt;""))+SUMPRODUCT(--ISNUMBER(SEARCH(", "&amp;$B54&amp;", ",", "&amp;'Thông báo'!$B$7:$B$500&amp;", ")),--('Thông báo'!$AT$7:$AT$500&lt;&gt;""))+SUMPRODUCT(--ISNUMBER(SEARCH(", "&amp;$B54&amp;", ",", "&amp;'Đăng tin &amp; Quản lý tin'!$B$7:$B$500&amp;", ")),--('Đăng tin &amp; Quản lý tin'!$AT$7:$AT$500&lt;&gt;""))+SUMPRODUCT(--ISNUMBER(SEARCH(", "&amp;$B54&amp;", ",", "&amp;'Trust &amp; Safety'!$B$7:$B$500&amp;", ")),--('Trust &amp; Safety'!$AT$7:$AT$500&lt;&gt;""))+SUMPRODUCT(--ISNUMBER(SEARCH(", "&amp;$B54&amp;", ",", "&amp;'Tài khoản &amp; Hồ sơ'!$B$7:$B$500&amp;", ")),--('Tài khoản &amp; Hồ sơ'!$AT$7:$AT$500&lt;&gt;""))</f>
        <v>1</v>
      </c>
      <c r="G54" s="51" t="n">
        <f aca="false">SUMPRODUCT(--ISNUMBER(SEARCH(", "&amp;$B54&amp;", ",", "&amp;'Hoạt động (Đơn của tôi)'!$B$7:$B$500&amp;", ")),--('Hoạt động (Đơn của tôi)'!$AT$7:$AT$500="Pass"))+SUMPRODUCT(--ISNUMBER(SEARCH(", "&amp;$B54&amp;", ",", "&amp;'Ghép nối'!$B$7:$B$500&amp;", ")),--('Ghép nối'!$AT$7:$AT$500="Pass"))+SUMPRODUCT(--ISNUMBER(SEARCH(", "&amp;$B54&amp;", ",", "&amp;'Huỷ đơn - Huỷ nhận đơn'!$B$7:$B$500&amp;", ")),--('Huỷ đơn - Huỷ nhận đơn'!$AT$7:$AT$500="Pass"))+SUMPRODUCT(--ISNUMBER(SEARCH(", "&amp;$B54&amp;", ",", "&amp;'Giao nhận &amp; Theo dõi đơn'!$B$7:$B$500&amp;", ")),--('Giao nhận &amp; Theo dõi đơn'!$AT$7:$AT$500="Pass"))+SUMPRODUCT(--ISNUMBER(SEARCH(", "&amp;$B54&amp;", ",", "&amp;'Bảng tin &amp; Chi tiết tin'!$B$7:$B$500&amp;", ")),--('Bảng tin &amp; Chi tiết tin'!$AT$7:$AT$500="Pass"))+SUMPRODUCT(--ISNUMBER(SEARCH(", "&amp;$B54&amp;", ",", "&amp;'Quà cảm ơn'!$B$7:$B$500&amp;", ")),--('Quà cảm ơn'!$AT$7:$AT$500="Pass"))+SUMPRODUCT(--ISNUMBER(SEARCH(", "&amp;$B54&amp;", ",", "&amp;'Trang chủ'!$B$7:$B$500&amp;", ")),--('Trang chủ'!$AT$7:$AT$500="Pass"))+SUMPRODUCT(--ISNUMBER(SEARCH(", "&amp;$B54&amp;", ",", "&amp;'Thông báo'!$B$7:$B$500&amp;", ")),--('Thông báo'!$AT$7:$AT$500="Pass"))+SUMPRODUCT(--ISNUMBER(SEARCH(", "&amp;$B54&amp;", ",", "&amp;'Đăng tin &amp; Quản lý tin'!$B$7:$B$500&amp;", ")),--('Đăng tin &amp; Quản lý tin'!$AT$7:$AT$500="Pass"))+SUMPRODUCT(--ISNUMBER(SEARCH(", "&amp;$B54&amp;", ",", "&amp;'Trust &amp; Safety'!$B$7:$B$500&amp;", ")),--('Trust &amp; Safety'!$AT$7:$AT$500="Pass"))+SUMPRODUCT(--ISNUMBER(SEARCH(", "&amp;$B54&amp;", ",", "&amp;'Tài khoản &amp; Hồ sơ'!$B$7:$B$500&amp;", ")),--('Tài khoản &amp; Hồ sơ'!$AT$7:$AT$500="Pass"))</f>
        <v>1</v>
      </c>
      <c r="H54" s="51" t="n">
        <f aca="false">SUMPRODUCT(--ISNUMBER(SEARCH(", "&amp;$B54&amp;", ",", "&amp;'Hoạt động (Đơn của tôi)'!$B$7:$B$500&amp;", ")),--('Hoạt động (Đơn của tôi)'!$AT$7:$AT$500="Fail"))+SUMPRODUCT(--ISNUMBER(SEARCH(", "&amp;$B54&amp;", ",", "&amp;'Ghép nối'!$B$7:$B$500&amp;", ")),--('Ghép nối'!$AT$7:$AT$500="Fail"))+SUMPRODUCT(--ISNUMBER(SEARCH(", "&amp;$B54&amp;", ",", "&amp;'Huỷ đơn - Huỷ nhận đơn'!$B$7:$B$500&amp;", ")),--('Huỷ đơn - Huỷ nhận đơn'!$AT$7:$AT$500="Fail"))+SUMPRODUCT(--ISNUMBER(SEARCH(", "&amp;$B54&amp;", ",", "&amp;'Giao nhận &amp; Theo dõi đơn'!$B$7:$B$500&amp;", ")),--('Giao nhận &amp; Theo dõi đơn'!$AT$7:$AT$500="Fail"))+SUMPRODUCT(--ISNUMBER(SEARCH(", "&amp;$B54&amp;", ",", "&amp;'Bảng tin &amp; Chi tiết tin'!$B$7:$B$500&amp;", ")),--('Bảng tin &amp; Chi tiết tin'!$AT$7:$AT$500="Fail"))+SUMPRODUCT(--ISNUMBER(SEARCH(", "&amp;$B54&amp;", ",", "&amp;'Quà cảm ơn'!$B$7:$B$500&amp;", ")),--('Quà cảm ơn'!$AT$7:$AT$500="Fail"))+SUMPRODUCT(--ISNUMBER(SEARCH(", "&amp;$B54&amp;", ",", "&amp;'Trang chủ'!$B$7:$B$500&amp;", ")),--('Trang chủ'!$AT$7:$AT$500="Fail"))+SUMPRODUCT(--ISNUMBER(SEARCH(", "&amp;$B54&amp;", ",", "&amp;'Thông báo'!$B$7:$B$500&amp;", ")),--('Thông báo'!$AT$7:$AT$500="Fail"))+SUMPRODUCT(--ISNUMBER(SEARCH(", "&amp;$B54&amp;", ",", "&amp;'Đăng tin &amp; Quản lý tin'!$B$7:$B$500&amp;", ")),--('Đăng tin &amp; Quản lý tin'!$AT$7:$AT$500="Fail"))+SUMPRODUCT(--ISNUMBER(SEARCH(", "&amp;$B54&amp;", ",", "&amp;'Trust &amp; Safety'!$B$7:$B$500&amp;", ")),--('Trust &amp; Safety'!$AT$7:$AT$500="Fail"))+SUMPRODUCT(--ISNUMBER(SEARCH(", "&amp;$B54&amp;", ",", "&amp;'Tài khoản &amp; Hồ sơ'!$B$7:$B$500&amp;", ")),--('Tài khoản &amp; Hồ sơ'!$AT$7:$AT$500="Fail"))</f>
        <v>0</v>
      </c>
      <c r="I54" s="51" t="n">
        <f aca="false">SUMPRODUCT(--ISNUMBER(SEARCH(", "&amp;$B54&amp;", ",", "&amp;'Hoạt động (Đơn của tôi)'!$B$7:$B$500&amp;", ")),--('Hoạt động (Đơn của tôi)'!$AT$7:$AT$500="Block"))+SUMPRODUCT(--ISNUMBER(SEARCH(", "&amp;$B54&amp;", ",", "&amp;'Ghép nối'!$B$7:$B$500&amp;", ")),--('Ghép nối'!$AT$7:$AT$500="Block"))+SUMPRODUCT(--ISNUMBER(SEARCH(", "&amp;$B54&amp;", ",", "&amp;'Huỷ đơn - Huỷ nhận đơn'!$B$7:$B$500&amp;", ")),--('Huỷ đơn - Huỷ nhận đơn'!$AT$7:$AT$500="Block"))+SUMPRODUCT(--ISNUMBER(SEARCH(", "&amp;$B54&amp;", ",", "&amp;'Giao nhận &amp; Theo dõi đơn'!$B$7:$B$500&amp;", ")),--('Giao nhận &amp; Theo dõi đơn'!$AT$7:$AT$500="Block"))+SUMPRODUCT(--ISNUMBER(SEARCH(", "&amp;$B54&amp;", ",", "&amp;'Bảng tin &amp; Chi tiết tin'!$B$7:$B$500&amp;", ")),--('Bảng tin &amp; Chi tiết tin'!$AT$7:$AT$500="Block"))+SUMPRODUCT(--ISNUMBER(SEARCH(", "&amp;$B54&amp;", ",", "&amp;'Quà cảm ơn'!$B$7:$B$500&amp;", ")),--('Quà cảm ơn'!$AT$7:$AT$500="Block"))+SUMPRODUCT(--ISNUMBER(SEARCH(", "&amp;$B54&amp;", ",", "&amp;'Trang chủ'!$B$7:$B$500&amp;", ")),--('Trang chủ'!$AT$7:$AT$500="Block"))+SUMPRODUCT(--ISNUMBER(SEARCH(", "&amp;$B54&amp;", ",", "&amp;'Thông báo'!$B$7:$B$500&amp;", ")),--('Thông báo'!$AT$7:$AT$500="Block"))+SUMPRODUCT(--ISNUMBER(SEARCH(", "&amp;$B54&amp;", ",", "&amp;'Đăng tin &amp; Quản lý tin'!$B$7:$B$500&amp;", ")),--('Đăng tin &amp; Quản lý tin'!$AT$7:$AT$500="Block"))+SUMPRODUCT(--ISNUMBER(SEARCH(", "&amp;$B54&amp;", ",", "&amp;'Trust &amp; Safety'!$B$7:$B$500&amp;", ")),--('Trust &amp; Safety'!$AT$7:$AT$500="Block"))+SUMPRODUCT(--ISNUMBER(SEARCH(", "&amp;$B54&amp;", ",", "&amp;'Tài khoản &amp; Hồ sơ'!$B$7:$B$500&amp;", ")),--('Tài khoản &amp; Hồ sơ'!$AT$7:$AT$500="Block"))</f>
        <v>0</v>
      </c>
      <c r="J54" s="51" t="n">
        <f aca="false">SUMPRODUCT(--ISNUMBER(SEARCH(", "&amp;$B54&amp;", ",", "&amp;'Hoạt động (Đơn của tôi)'!$B$7:$B$500&amp;", ")),--('Hoạt động (Đơn của tôi)'!$AT$7:$AT$500="N/A"))+SUMPRODUCT(--ISNUMBER(SEARCH(", "&amp;$B54&amp;", ",", "&amp;'Ghép nối'!$B$7:$B$500&amp;", ")),--('Ghép nối'!$AT$7:$AT$500="N/A"))+SUMPRODUCT(--ISNUMBER(SEARCH(", "&amp;$B54&amp;", ",", "&amp;'Huỷ đơn - Huỷ nhận đơn'!$B$7:$B$500&amp;", ")),--('Huỷ đơn - Huỷ nhận đơn'!$AT$7:$AT$500="N/A"))+SUMPRODUCT(--ISNUMBER(SEARCH(", "&amp;$B54&amp;", ",", "&amp;'Giao nhận &amp; Theo dõi đơn'!$B$7:$B$500&amp;", ")),--('Giao nhận &amp; Theo dõi đơn'!$AT$7:$AT$500="N/A"))+SUMPRODUCT(--ISNUMBER(SEARCH(", "&amp;$B54&amp;", ",", "&amp;'Bảng tin &amp; Chi tiết tin'!$B$7:$B$500&amp;", ")),--('Bảng tin &amp; Chi tiết tin'!$AT$7:$AT$500="N/A"))+SUMPRODUCT(--ISNUMBER(SEARCH(", "&amp;$B54&amp;", ",", "&amp;'Quà cảm ơn'!$B$7:$B$500&amp;", ")),--('Quà cảm ơn'!$AT$7:$AT$500="N/A"))+SUMPRODUCT(--ISNUMBER(SEARCH(", "&amp;$B54&amp;", ",", "&amp;'Trang chủ'!$B$7:$B$500&amp;", ")),--('Trang chủ'!$AT$7:$AT$500="N/A"))+SUMPRODUCT(--ISNUMBER(SEARCH(", "&amp;$B54&amp;", ",", "&amp;'Thông báo'!$B$7:$B$500&amp;", ")),--('Thông báo'!$AT$7:$AT$500="N/A"))+SUMPRODUCT(--ISNUMBER(SEARCH(", "&amp;$B54&amp;", ",", "&amp;'Đăng tin &amp; Quản lý tin'!$B$7:$B$500&amp;", ")),--('Đăng tin &amp; Quản lý tin'!$AT$7:$AT$500="N/A"))+SUMPRODUCT(--ISNUMBER(SEARCH(", "&amp;$B54&amp;", ",", "&amp;'Trust &amp; Safety'!$B$7:$B$500&amp;", ")),--('Trust &amp; Safety'!$AT$7:$AT$500="N/A"))+SUMPRODUCT(--ISNUMBER(SEARCH(", "&amp;$B54&amp;", ",", "&amp;'Tài khoản &amp; Hồ sơ'!$B$7:$B$500&amp;", ")),--('Tài khoản &amp; Hồ sơ'!$AT$7:$AT$500="N/A"))</f>
        <v>0</v>
      </c>
      <c r="K54" s="52" t="n">
        <f aca="false">IFERROR(F54/E54,0)</f>
        <v>1</v>
      </c>
      <c r="L54" s="124" t="str">
        <f aca="false">IF(E54=0,"Chưa có TC (gap)",IF(H54&gt;0,"Có lỗi (Fail)",IF(I54&gt;0,"Bị block",IF(F54&lt;E54,"Đang test",IF(G54=0,"Không áp dụng (N/A)","Đã test xong")))))</f>
        <v>Đã test xong</v>
      </c>
      <c r="AB54" s="0" t="s">
        <v>531</v>
      </c>
    </row>
    <row r="55" customFormat="false" ht="15.75" hidden="false" customHeight="true" outlineLevel="0" collapsed="false">
      <c r="A55" s="1"/>
      <c r="B55" s="176" t="s">
        <v>647</v>
      </c>
      <c r="C55" s="177" t="s">
        <v>648</v>
      </c>
      <c r="D55" s="124" t="s">
        <v>649</v>
      </c>
      <c r="E55" s="51" t="n">
        <f aca="false">SUMPRODUCT(--ISNUMBER(SEARCH(", "&amp;$B55&amp;", ",", "&amp;'Hoạt động (Đơn của tôi)'!$B$7:$B$500&amp;", ")))+SUMPRODUCT(--ISNUMBER(SEARCH(", "&amp;$B55&amp;", ",", "&amp;'Ghép nối'!$B$7:$B$500&amp;", ")))+SUMPRODUCT(--ISNUMBER(SEARCH(", "&amp;$B55&amp;", ",", "&amp;'Huỷ đơn - Huỷ nhận đơn'!$B$7:$B$500&amp;", ")))+SUMPRODUCT(--ISNUMBER(SEARCH(", "&amp;$B55&amp;", ",", "&amp;'Giao nhận &amp; Theo dõi đơn'!$B$7:$B$500&amp;", ")))+SUMPRODUCT(--ISNUMBER(SEARCH(", "&amp;$B55&amp;", ",", "&amp;'Bảng tin &amp; Chi tiết tin'!$B$7:$B$500&amp;", ")))+SUMPRODUCT(--ISNUMBER(SEARCH(", "&amp;$B55&amp;", ",", "&amp;'Quà cảm ơn'!$B$7:$B$500&amp;", ")))+SUMPRODUCT(--ISNUMBER(SEARCH(", "&amp;$B55&amp;", ",", "&amp;'Trang chủ'!$B$7:$B$500&amp;", ")))+SUMPRODUCT(--ISNUMBER(SEARCH(", "&amp;$B55&amp;", ",", "&amp;'Thông báo'!$B$7:$B$500&amp;", ")))+SUMPRODUCT(--ISNUMBER(SEARCH(", "&amp;$B55&amp;", ",", "&amp;'Đăng tin &amp; Quản lý tin'!$B$7:$B$500&amp;", ")))+SUMPRODUCT(--ISNUMBER(SEARCH(", "&amp;$B55&amp;", ",", "&amp;'Trust &amp; Safety'!$B$7:$B$500&amp;", ")))+SUMPRODUCT(--ISNUMBER(SEARCH(", "&amp;$B55&amp;", ",", "&amp;'Tài khoản &amp; Hồ sơ'!$B$7:$B$500&amp;", ")))</f>
        <v>3</v>
      </c>
      <c r="F55" s="51" t="n">
        <f aca="false">SUMPRODUCT(--ISNUMBER(SEARCH(", "&amp;$B55&amp;", ",", "&amp;'Hoạt động (Đơn của tôi)'!$B$7:$B$500&amp;", ")),--('Hoạt động (Đơn của tôi)'!$AT$7:$AT$500&lt;&gt;""))+SUMPRODUCT(--ISNUMBER(SEARCH(", "&amp;$B55&amp;", ",", "&amp;'Ghép nối'!$B$7:$B$500&amp;", ")),--('Ghép nối'!$AT$7:$AT$500&lt;&gt;""))+SUMPRODUCT(--ISNUMBER(SEARCH(", "&amp;$B55&amp;", ",", "&amp;'Huỷ đơn - Huỷ nhận đơn'!$B$7:$B$500&amp;", ")),--('Huỷ đơn - Huỷ nhận đơn'!$AT$7:$AT$500&lt;&gt;""))+SUMPRODUCT(--ISNUMBER(SEARCH(", "&amp;$B55&amp;", ",", "&amp;'Giao nhận &amp; Theo dõi đơn'!$B$7:$B$500&amp;", ")),--('Giao nhận &amp; Theo dõi đơn'!$AT$7:$AT$500&lt;&gt;""))+SUMPRODUCT(--ISNUMBER(SEARCH(", "&amp;$B55&amp;", ",", "&amp;'Bảng tin &amp; Chi tiết tin'!$B$7:$B$500&amp;", ")),--('Bảng tin &amp; Chi tiết tin'!$AT$7:$AT$500&lt;&gt;""))+SUMPRODUCT(--ISNUMBER(SEARCH(", "&amp;$B55&amp;", ",", "&amp;'Quà cảm ơn'!$B$7:$B$500&amp;", ")),--('Quà cảm ơn'!$AT$7:$AT$500&lt;&gt;""))+SUMPRODUCT(--ISNUMBER(SEARCH(", "&amp;$B55&amp;", ",", "&amp;'Trang chủ'!$B$7:$B$500&amp;", ")),--('Trang chủ'!$AT$7:$AT$500&lt;&gt;""))+SUMPRODUCT(--ISNUMBER(SEARCH(", "&amp;$B55&amp;", ",", "&amp;'Thông báo'!$B$7:$B$500&amp;", ")),--('Thông báo'!$AT$7:$AT$500&lt;&gt;""))+SUMPRODUCT(--ISNUMBER(SEARCH(", "&amp;$B55&amp;", ",", "&amp;'Đăng tin &amp; Quản lý tin'!$B$7:$B$500&amp;", ")),--('Đăng tin &amp; Quản lý tin'!$AT$7:$AT$500&lt;&gt;""))+SUMPRODUCT(--ISNUMBER(SEARCH(", "&amp;$B55&amp;", ",", "&amp;'Trust &amp; Safety'!$B$7:$B$500&amp;", ")),--('Trust &amp; Safety'!$AT$7:$AT$500&lt;&gt;""))+SUMPRODUCT(--ISNUMBER(SEARCH(", "&amp;$B55&amp;", ",", "&amp;'Tài khoản &amp; Hồ sơ'!$B$7:$B$500&amp;", ")),--('Tài khoản &amp; Hồ sơ'!$AT$7:$AT$500&lt;&gt;""))</f>
        <v>3</v>
      </c>
      <c r="G55" s="51" t="n">
        <f aca="false">SUMPRODUCT(--ISNUMBER(SEARCH(", "&amp;$B55&amp;", ",", "&amp;'Hoạt động (Đơn của tôi)'!$B$7:$B$500&amp;", ")),--('Hoạt động (Đơn của tôi)'!$AT$7:$AT$500="Pass"))+SUMPRODUCT(--ISNUMBER(SEARCH(", "&amp;$B55&amp;", ",", "&amp;'Ghép nối'!$B$7:$B$500&amp;", ")),--('Ghép nối'!$AT$7:$AT$500="Pass"))+SUMPRODUCT(--ISNUMBER(SEARCH(", "&amp;$B55&amp;", ",", "&amp;'Huỷ đơn - Huỷ nhận đơn'!$B$7:$B$500&amp;", ")),--('Huỷ đơn - Huỷ nhận đơn'!$AT$7:$AT$500="Pass"))+SUMPRODUCT(--ISNUMBER(SEARCH(", "&amp;$B55&amp;", ",", "&amp;'Giao nhận &amp; Theo dõi đơn'!$B$7:$B$500&amp;", ")),--('Giao nhận &amp; Theo dõi đơn'!$AT$7:$AT$500="Pass"))+SUMPRODUCT(--ISNUMBER(SEARCH(", "&amp;$B55&amp;", ",", "&amp;'Bảng tin &amp; Chi tiết tin'!$B$7:$B$500&amp;", ")),--('Bảng tin &amp; Chi tiết tin'!$AT$7:$AT$500="Pass"))+SUMPRODUCT(--ISNUMBER(SEARCH(", "&amp;$B55&amp;", ",", "&amp;'Quà cảm ơn'!$B$7:$B$500&amp;", ")),--('Quà cảm ơn'!$AT$7:$AT$500="Pass"))+SUMPRODUCT(--ISNUMBER(SEARCH(", "&amp;$B55&amp;", ",", "&amp;'Trang chủ'!$B$7:$B$500&amp;", ")),--('Trang chủ'!$AT$7:$AT$500="Pass"))+SUMPRODUCT(--ISNUMBER(SEARCH(", "&amp;$B55&amp;", ",", "&amp;'Thông báo'!$B$7:$B$500&amp;", ")),--('Thông báo'!$AT$7:$AT$500="Pass"))+SUMPRODUCT(--ISNUMBER(SEARCH(", "&amp;$B55&amp;", ",", "&amp;'Đăng tin &amp; Quản lý tin'!$B$7:$B$500&amp;", ")),--('Đăng tin &amp; Quản lý tin'!$AT$7:$AT$500="Pass"))+SUMPRODUCT(--ISNUMBER(SEARCH(", "&amp;$B55&amp;", ",", "&amp;'Trust &amp; Safety'!$B$7:$B$500&amp;", ")),--('Trust &amp; Safety'!$AT$7:$AT$500="Pass"))+SUMPRODUCT(--ISNUMBER(SEARCH(", "&amp;$B55&amp;", ",", "&amp;'Tài khoản &amp; Hồ sơ'!$B$7:$B$500&amp;", ")),--('Tài khoản &amp; Hồ sơ'!$AT$7:$AT$500="Pass"))</f>
        <v>3</v>
      </c>
      <c r="H55" s="51" t="n">
        <f aca="false">SUMPRODUCT(--ISNUMBER(SEARCH(", "&amp;$B55&amp;", ",", "&amp;'Hoạt động (Đơn của tôi)'!$B$7:$B$500&amp;", ")),--('Hoạt động (Đơn của tôi)'!$AT$7:$AT$500="Fail"))+SUMPRODUCT(--ISNUMBER(SEARCH(", "&amp;$B55&amp;", ",", "&amp;'Ghép nối'!$B$7:$B$500&amp;", ")),--('Ghép nối'!$AT$7:$AT$500="Fail"))+SUMPRODUCT(--ISNUMBER(SEARCH(", "&amp;$B55&amp;", ",", "&amp;'Huỷ đơn - Huỷ nhận đơn'!$B$7:$B$500&amp;", ")),--('Huỷ đơn - Huỷ nhận đơn'!$AT$7:$AT$500="Fail"))+SUMPRODUCT(--ISNUMBER(SEARCH(", "&amp;$B55&amp;", ",", "&amp;'Giao nhận &amp; Theo dõi đơn'!$B$7:$B$500&amp;", ")),--('Giao nhận &amp; Theo dõi đơn'!$AT$7:$AT$500="Fail"))+SUMPRODUCT(--ISNUMBER(SEARCH(", "&amp;$B55&amp;", ",", "&amp;'Bảng tin &amp; Chi tiết tin'!$B$7:$B$500&amp;", ")),--('Bảng tin &amp; Chi tiết tin'!$AT$7:$AT$500="Fail"))+SUMPRODUCT(--ISNUMBER(SEARCH(", "&amp;$B55&amp;", ",", "&amp;'Quà cảm ơn'!$B$7:$B$500&amp;", ")),--('Quà cảm ơn'!$AT$7:$AT$500="Fail"))+SUMPRODUCT(--ISNUMBER(SEARCH(", "&amp;$B55&amp;", ",", "&amp;'Trang chủ'!$B$7:$B$500&amp;", ")),--('Trang chủ'!$AT$7:$AT$500="Fail"))+SUMPRODUCT(--ISNUMBER(SEARCH(", "&amp;$B55&amp;", ",", "&amp;'Thông báo'!$B$7:$B$500&amp;", ")),--('Thông báo'!$AT$7:$AT$500="Fail"))+SUMPRODUCT(--ISNUMBER(SEARCH(", "&amp;$B55&amp;", ",", "&amp;'Đăng tin &amp; Quản lý tin'!$B$7:$B$500&amp;", ")),--('Đăng tin &amp; Quản lý tin'!$AT$7:$AT$500="Fail"))+SUMPRODUCT(--ISNUMBER(SEARCH(", "&amp;$B55&amp;", ",", "&amp;'Trust &amp; Safety'!$B$7:$B$500&amp;", ")),--('Trust &amp; Safety'!$AT$7:$AT$500="Fail"))+SUMPRODUCT(--ISNUMBER(SEARCH(", "&amp;$B55&amp;", ",", "&amp;'Tài khoản &amp; Hồ sơ'!$B$7:$B$500&amp;", ")),--('Tài khoản &amp; Hồ sơ'!$AT$7:$AT$500="Fail"))</f>
        <v>0</v>
      </c>
      <c r="I55" s="51" t="n">
        <f aca="false">SUMPRODUCT(--ISNUMBER(SEARCH(", "&amp;$B55&amp;", ",", "&amp;'Hoạt động (Đơn của tôi)'!$B$7:$B$500&amp;", ")),--('Hoạt động (Đơn của tôi)'!$AT$7:$AT$500="Block"))+SUMPRODUCT(--ISNUMBER(SEARCH(", "&amp;$B55&amp;", ",", "&amp;'Ghép nối'!$B$7:$B$500&amp;", ")),--('Ghép nối'!$AT$7:$AT$500="Block"))+SUMPRODUCT(--ISNUMBER(SEARCH(", "&amp;$B55&amp;", ",", "&amp;'Huỷ đơn - Huỷ nhận đơn'!$B$7:$B$500&amp;", ")),--('Huỷ đơn - Huỷ nhận đơn'!$AT$7:$AT$500="Block"))+SUMPRODUCT(--ISNUMBER(SEARCH(", "&amp;$B55&amp;", ",", "&amp;'Giao nhận &amp; Theo dõi đơn'!$B$7:$B$500&amp;", ")),--('Giao nhận &amp; Theo dõi đơn'!$AT$7:$AT$500="Block"))+SUMPRODUCT(--ISNUMBER(SEARCH(", "&amp;$B55&amp;", ",", "&amp;'Bảng tin &amp; Chi tiết tin'!$B$7:$B$500&amp;", ")),--('Bảng tin &amp; Chi tiết tin'!$AT$7:$AT$500="Block"))+SUMPRODUCT(--ISNUMBER(SEARCH(", "&amp;$B55&amp;", ",", "&amp;'Quà cảm ơn'!$B$7:$B$500&amp;", ")),--('Quà cảm ơn'!$AT$7:$AT$500="Block"))+SUMPRODUCT(--ISNUMBER(SEARCH(", "&amp;$B55&amp;", ",", "&amp;'Trang chủ'!$B$7:$B$500&amp;", ")),--('Trang chủ'!$AT$7:$AT$500="Block"))+SUMPRODUCT(--ISNUMBER(SEARCH(", "&amp;$B55&amp;", ",", "&amp;'Thông báo'!$B$7:$B$500&amp;", ")),--('Thông báo'!$AT$7:$AT$500="Block"))+SUMPRODUCT(--ISNUMBER(SEARCH(", "&amp;$B55&amp;", ",", "&amp;'Đăng tin &amp; Quản lý tin'!$B$7:$B$500&amp;", ")),--('Đăng tin &amp; Quản lý tin'!$AT$7:$AT$500="Block"))+SUMPRODUCT(--ISNUMBER(SEARCH(", "&amp;$B55&amp;", ",", "&amp;'Trust &amp; Safety'!$B$7:$B$500&amp;", ")),--('Trust &amp; Safety'!$AT$7:$AT$500="Block"))+SUMPRODUCT(--ISNUMBER(SEARCH(", "&amp;$B55&amp;", ",", "&amp;'Tài khoản &amp; Hồ sơ'!$B$7:$B$500&amp;", ")),--('Tài khoản &amp; Hồ sơ'!$AT$7:$AT$500="Block"))</f>
        <v>0</v>
      </c>
      <c r="J55" s="51" t="n">
        <f aca="false">SUMPRODUCT(--ISNUMBER(SEARCH(", "&amp;$B55&amp;", ",", "&amp;'Hoạt động (Đơn của tôi)'!$B$7:$B$500&amp;", ")),--('Hoạt động (Đơn của tôi)'!$AT$7:$AT$500="N/A"))+SUMPRODUCT(--ISNUMBER(SEARCH(", "&amp;$B55&amp;", ",", "&amp;'Ghép nối'!$B$7:$B$500&amp;", ")),--('Ghép nối'!$AT$7:$AT$500="N/A"))+SUMPRODUCT(--ISNUMBER(SEARCH(", "&amp;$B55&amp;", ",", "&amp;'Huỷ đơn - Huỷ nhận đơn'!$B$7:$B$500&amp;", ")),--('Huỷ đơn - Huỷ nhận đơn'!$AT$7:$AT$500="N/A"))+SUMPRODUCT(--ISNUMBER(SEARCH(", "&amp;$B55&amp;", ",", "&amp;'Giao nhận &amp; Theo dõi đơn'!$B$7:$B$500&amp;", ")),--('Giao nhận &amp; Theo dõi đơn'!$AT$7:$AT$500="N/A"))+SUMPRODUCT(--ISNUMBER(SEARCH(", "&amp;$B55&amp;", ",", "&amp;'Bảng tin &amp; Chi tiết tin'!$B$7:$B$500&amp;", ")),--('Bảng tin &amp; Chi tiết tin'!$AT$7:$AT$500="N/A"))+SUMPRODUCT(--ISNUMBER(SEARCH(", "&amp;$B55&amp;", ",", "&amp;'Quà cảm ơn'!$B$7:$B$500&amp;", ")),--('Quà cảm ơn'!$AT$7:$AT$500="N/A"))+SUMPRODUCT(--ISNUMBER(SEARCH(", "&amp;$B55&amp;", ",", "&amp;'Trang chủ'!$B$7:$B$500&amp;", ")),--('Trang chủ'!$AT$7:$AT$500="N/A"))+SUMPRODUCT(--ISNUMBER(SEARCH(", "&amp;$B55&amp;", ",", "&amp;'Thông báo'!$B$7:$B$500&amp;", ")),--('Thông báo'!$AT$7:$AT$500="N/A"))+SUMPRODUCT(--ISNUMBER(SEARCH(", "&amp;$B55&amp;", ",", "&amp;'Đăng tin &amp; Quản lý tin'!$B$7:$B$500&amp;", ")),--('Đăng tin &amp; Quản lý tin'!$AT$7:$AT$500="N/A"))+SUMPRODUCT(--ISNUMBER(SEARCH(", "&amp;$B55&amp;", ",", "&amp;'Trust &amp; Safety'!$B$7:$B$500&amp;", ")),--('Trust &amp; Safety'!$AT$7:$AT$500="N/A"))+SUMPRODUCT(--ISNUMBER(SEARCH(", "&amp;$B55&amp;", ",", "&amp;'Tài khoản &amp; Hồ sơ'!$B$7:$B$500&amp;", ")),--('Tài khoản &amp; Hồ sơ'!$AT$7:$AT$500="N/A"))</f>
        <v>0</v>
      </c>
      <c r="K55" s="52" t="n">
        <f aca="false">IFERROR(F55/E55,0)</f>
        <v>1</v>
      </c>
      <c r="L55" s="124" t="str">
        <f aca="false">IF(E55=0,"Chưa có TC (gap)",IF(H55&gt;0,"Có lỗi (Fail)",IF(I55&gt;0,"Bị block",IF(F55&lt;E55,"Đang test",IF(G55=0,"Không áp dụng (N/A)","Đã test xong")))))</f>
        <v>Đã test xong</v>
      </c>
      <c r="AB55" s="0" t="s">
        <v>531</v>
      </c>
    </row>
    <row r="56" customFormat="false" ht="15.75" hidden="false" customHeight="true" outlineLevel="0" collapsed="false">
      <c r="A56" s="1"/>
      <c r="B56" s="176" t="s">
        <v>650</v>
      </c>
      <c r="C56" s="177" t="s">
        <v>651</v>
      </c>
      <c r="D56" s="124" t="s">
        <v>652</v>
      </c>
      <c r="E56" s="51" t="n">
        <f aca="false">SUMPRODUCT(--ISNUMBER(SEARCH(", "&amp;$B56&amp;", ",", "&amp;'Hoạt động (Đơn của tôi)'!$B$7:$B$500&amp;", ")))+SUMPRODUCT(--ISNUMBER(SEARCH(", "&amp;$B56&amp;", ",", "&amp;'Ghép nối'!$B$7:$B$500&amp;", ")))+SUMPRODUCT(--ISNUMBER(SEARCH(", "&amp;$B56&amp;", ",", "&amp;'Huỷ đơn - Huỷ nhận đơn'!$B$7:$B$500&amp;", ")))+SUMPRODUCT(--ISNUMBER(SEARCH(", "&amp;$B56&amp;", ",", "&amp;'Giao nhận &amp; Theo dõi đơn'!$B$7:$B$500&amp;", ")))+SUMPRODUCT(--ISNUMBER(SEARCH(", "&amp;$B56&amp;", ",", "&amp;'Bảng tin &amp; Chi tiết tin'!$B$7:$B$500&amp;", ")))+SUMPRODUCT(--ISNUMBER(SEARCH(", "&amp;$B56&amp;", ",", "&amp;'Quà cảm ơn'!$B$7:$B$500&amp;", ")))+SUMPRODUCT(--ISNUMBER(SEARCH(", "&amp;$B56&amp;", ",", "&amp;'Trang chủ'!$B$7:$B$500&amp;", ")))+SUMPRODUCT(--ISNUMBER(SEARCH(", "&amp;$B56&amp;", ",", "&amp;'Thông báo'!$B$7:$B$500&amp;", ")))+SUMPRODUCT(--ISNUMBER(SEARCH(", "&amp;$B56&amp;", ",", "&amp;'Đăng tin &amp; Quản lý tin'!$B$7:$B$500&amp;", ")))+SUMPRODUCT(--ISNUMBER(SEARCH(", "&amp;$B56&amp;", ",", "&amp;'Trust &amp; Safety'!$B$7:$B$500&amp;", ")))+SUMPRODUCT(--ISNUMBER(SEARCH(", "&amp;$B56&amp;", ",", "&amp;'Tài khoản &amp; Hồ sơ'!$B$7:$B$500&amp;", ")))</f>
        <v>4</v>
      </c>
      <c r="F56" s="51" t="n">
        <f aca="false">SUMPRODUCT(--ISNUMBER(SEARCH(", "&amp;$B56&amp;", ",", "&amp;'Hoạt động (Đơn của tôi)'!$B$7:$B$500&amp;", ")),--('Hoạt động (Đơn của tôi)'!$AT$7:$AT$500&lt;&gt;""))+SUMPRODUCT(--ISNUMBER(SEARCH(", "&amp;$B56&amp;", ",", "&amp;'Ghép nối'!$B$7:$B$500&amp;", ")),--('Ghép nối'!$AT$7:$AT$500&lt;&gt;""))+SUMPRODUCT(--ISNUMBER(SEARCH(", "&amp;$B56&amp;", ",", "&amp;'Huỷ đơn - Huỷ nhận đơn'!$B$7:$B$500&amp;", ")),--('Huỷ đơn - Huỷ nhận đơn'!$AT$7:$AT$500&lt;&gt;""))+SUMPRODUCT(--ISNUMBER(SEARCH(", "&amp;$B56&amp;", ",", "&amp;'Giao nhận &amp; Theo dõi đơn'!$B$7:$B$500&amp;", ")),--('Giao nhận &amp; Theo dõi đơn'!$AT$7:$AT$500&lt;&gt;""))+SUMPRODUCT(--ISNUMBER(SEARCH(", "&amp;$B56&amp;", ",", "&amp;'Bảng tin &amp; Chi tiết tin'!$B$7:$B$500&amp;", ")),--('Bảng tin &amp; Chi tiết tin'!$AT$7:$AT$500&lt;&gt;""))+SUMPRODUCT(--ISNUMBER(SEARCH(", "&amp;$B56&amp;", ",", "&amp;'Quà cảm ơn'!$B$7:$B$500&amp;", ")),--('Quà cảm ơn'!$AT$7:$AT$500&lt;&gt;""))+SUMPRODUCT(--ISNUMBER(SEARCH(", "&amp;$B56&amp;", ",", "&amp;'Trang chủ'!$B$7:$B$500&amp;", ")),--('Trang chủ'!$AT$7:$AT$500&lt;&gt;""))+SUMPRODUCT(--ISNUMBER(SEARCH(", "&amp;$B56&amp;", ",", "&amp;'Thông báo'!$B$7:$B$500&amp;", ")),--('Thông báo'!$AT$7:$AT$500&lt;&gt;""))+SUMPRODUCT(--ISNUMBER(SEARCH(", "&amp;$B56&amp;", ",", "&amp;'Đăng tin &amp; Quản lý tin'!$B$7:$B$500&amp;", ")),--('Đăng tin &amp; Quản lý tin'!$AT$7:$AT$500&lt;&gt;""))+SUMPRODUCT(--ISNUMBER(SEARCH(", "&amp;$B56&amp;", ",", "&amp;'Trust &amp; Safety'!$B$7:$B$500&amp;", ")),--('Trust &amp; Safety'!$AT$7:$AT$500&lt;&gt;""))+SUMPRODUCT(--ISNUMBER(SEARCH(", "&amp;$B56&amp;", ",", "&amp;'Tài khoản &amp; Hồ sơ'!$B$7:$B$500&amp;", ")),--('Tài khoản &amp; Hồ sơ'!$AT$7:$AT$500&lt;&gt;""))</f>
        <v>4</v>
      </c>
      <c r="G56" s="51" t="n">
        <f aca="false">SUMPRODUCT(--ISNUMBER(SEARCH(", "&amp;$B56&amp;", ",", "&amp;'Hoạt động (Đơn của tôi)'!$B$7:$B$500&amp;", ")),--('Hoạt động (Đơn của tôi)'!$AT$7:$AT$500="Pass"))+SUMPRODUCT(--ISNUMBER(SEARCH(", "&amp;$B56&amp;", ",", "&amp;'Ghép nối'!$B$7:$B$500&amp;", ")),--('Ghép nối'!$AT$7:$AT$500="Pass"))+SUMPRODUCT(--ISNUMBER(SEARCH(", "&amp;$B56&amp;", ",", "&amp;'Huỷ đơn - Huỷ nhận đơn'!$B$7:$B$500&amp;", ")),--('Huỷ đơn - Huỷ nhận đơn'!$AT$7:$AT$500="Pass"))+SUMPRODUCT(--ISNUMBER(SEARCH(", "&amp;$B56&amp;", ",", "&amp;'Giao nhận &amp; Theo dõi đơn'!$B$7:$B$500&amp;", ")),--('Giao nhận &amp; Theo dõi đơn'!$AT$7:$AT$500="Pass"))+SUMPRODUCT(--ISNUMBER(SEARCH(", "&amp;$B56&amp;", ",", "&amp;'Bảng tin &amp; Chi tiết tin'!$B$7:$B$500&amp;", ")),--('Bảng tin &amp; Chi tiết tin'!$AT$7:$AT$500="Pass"))+SUMPRODUCT(--ISNUMBER(SEARCH(", "&amp;$B56&amp;", ",", "&amp;'Quà cảm ơn'!$B$7:$B$500&amp;", ")),--('Quà cảm ơn'!$AT$7:$AT$500="Pass"))+SUMPRODUCT(--ISNUMBER(SEARCH(", "&amp;$B56&amp;", ",", "&amp;'Trang chủ'!$B$7:$B$500&amp;", ")),--('Trang chủ'!$AT$7:$AT$500="Pass"))+SUMPRODUCT(--ISNUMBER(SEARCH(", "&amp;$B56&amp;", ",", "&amp;'Thông báo'!$B$7:$B$500&amp;", ")),--('Thông báo'!$AT$7:$AT$500="Pass"))+SUMPRODUCT(--ISNUMBER(SEARCH(", "&amp;$B56&amp;", ",", "&amp;'Đăng tin &amp; Quản lý tin'!$B$7:$B$500&amp;", ")),--('Đăng tin &amp; Quản lý tin'!$AT$7:$AT$500="Pass"))+SUMPRODUCT(--ISNUMBER(SEARCH(", "&amp;$B56&amp;", ",", "&amp;'Trust &amp; Safety'!$B$7:$B$500&amp;", ")),--('Trust &amp; Safety'!$AT$7:$AT$500="Pass"))+SUMPRODUCT(--ISNUMBER(SEARCH(", "&amp;$B56&amp;", ",", "&amp;'Tài khoản &amp; Hồ sơ'!$B$7:$B$500&amp;", ")),--('Tài khoản &amp; Hồ sơ'!$AT$7:$AT$500="Pass"))</f>
        <v>4</v>
      </c>
      <c r="H56" s="51" t="n">
        <f aca="false">SUMPRODUCT(--ISNUMBER(SEARCH(", "&amp;$B56&amp;", ",", "&amp;'Hoạt động (Đơn của tôi)'!$B$7:$B$500&amp;", ")),--('Hoạt động (Đơn của tôi)'!$AT$7:$AT$500="Fail"))+SUMPRODUCT(--ISNUMBER(SEARCH(", "&amp;$B56&amp;", ",", "&amp;'Ghép nối'!$B$7:$B$500&amp;", ")),--('Ghép nối'!$AT$7:$AT$500="Fail"))+SUMPRODUCT(--ISNUMBER(SEARCH(", "&amp;$B56&amp;", ",", "&amp;'Huỷ đơn - Huỷ nhận đơn'!$B$7:$B$500&amp;", ")),--('Huỷ đơn - Huỷ nhận đơn'!$AT$7:$AT$500="Fail"))+SUMPRODUCT(--ISNUMBER(SEARCH(", "&amp;$B56&amp;", ",", "&amp;'Giao nhận &amp; Theo dõi đơn'!$B$7:$B$500&amp;", ")),--('Giao nhận &amp; Theo dõi đơn'!$AT$7:$AT$500="Fail"))+SUMPRODUCT(--ISNUMBER(SEARCH(", "&amp;$B56&amp;", ",", "&amp;'Bảng tin &amp; Chi tiết tin'!$B$7:$B$500&amp;", ")),--('Bảng tin &amp; Chi tiết tin'!$AT$7:$AT$500="Fail"))+SUMPRODUCT(--ISNUMBER(SEARCH(", "&amp;$B56&amp;", ",", "&amp;'Quà cảm ơn'!$B$7:$B$500&amp;", ")),--('Quà cảm ơn'!$AT$7:$AT$500="Fail"))+SUMPRODUCT(--ISNUMBER(SEARCH(", "&amp;$B56&amp;", ",", "&amp;'Trang chủ'!$B$7:$B$500&amp;", ")),--('Trang chủ'!$AT$7:$AT$500="Fail"))+SUMPRODUCT(--ISNUMBER(SEARCH(", "&amp;$B56&amp;", ",", "&amp;'Thông báo'!$B$7:$B$500&amp;", ")),--('Thông báo'!$AT$7:$AT$500="Fail"))+SUMPRODUCT(--ISNUMBER(SEARCH(", "&amp;$B56&amp;", ",", "&amp;'Đăng tin &amp; Quản lý tin'!$B$7:$B$500&amp;", ")),--('Đăng tin &amp; Quản lý tin'!$AT$7:$AT$500="Fail"))+SUMPRODUCT(--ISNUMBER(SEARCH(", "&amp;$B56&amp;", ",", "&amp;'Trust &amp; Safety'!$B$7:$B$500&amp;", ")),--('Trust &amp; Safety'!$AT$7:$AT$500="Fail"))+SUMPRODUCT(--ISNUMBER(SEARCH(", "&amp;$B56&amp;", ",", "&amp;'Tài khoản &amp; Hồ sơ'!$B$7:$B$500&amp;", ")),--('Tài khoản &amp; Hồ sơ'!$AT$7:$AT$500="Fail"))</f>
        <v>0</v>
      </c>
      <c r="I56" s="51" t="n">
        <f aca="false">SUMPRODUCT(--ISNUMBER(SEARCH(", "&amp;$B56&amp;", ",", "&amp;'Hoạt động (Đơn của tôi)'!$B$7:$B$500&amp;", ")),--('Hoạt động (Đơn của tôi)'!$AT$7:$AT$500="Block"))+SUMPRODUCT(--ISNUMBER(SEARCH(", "&amp;$B56&amp;", ",", "&amp;'Ghép nối'!$B$7:$B$500&amp;", ")),--('Ghép nối'!$AT$7:$AT$500="Block"))+SUMPRODUCT(--ISNUMBER(SEARCH(", "&amp;$B56&amp;", ",", "&amp;'Huỷ đơn - Huỷ nhận đơn'!$B$7:$B$500&amp;", ")),--('Huỷ đơn - Huỷ nhận đơn'!$AT$7:$AT$500="Block"))+SUMPRODUCT(--ISNUMBER(SEARCH(", "&amp;$B56&amp;", ",", "&amp;'Giao nhận &amp; Theo dõi đơn'!$B$7:$B$500&amp;", ")),--('Giao nhận &amp; Theo dõi đơn'!$AT$7:$AT$500="Block"))+SUMPRODUCT(--ISNUMBER(SEARCH(", "&amp;$B56&amp;", ",", "&amp;'Bảng tin &amp; Chi tiết tin'!$B$7:$B$500&amp;", ")),--('Bảng tin &amp; Chi tiết tin'!$AT$7:$AT$500="Block"))+SUMPRODUCT(--ISNUMBER(SEARCH(", "&amp;$B56&amp;", ",", "&amp;'Quà cảm ơn'!$B$7:$B$500&amp;", ")),--('Quà cảm ơn'!$AT$7:$AT$500="Block"))+SUMPRODUCT(--ISNUMBER(SEARCH(", "&amp;$B56&amp;", ",", "&amp;'Trang chủ'!$B$7:$B$500&amp;", ")),--('Trang chủ'!$AT$7:$AT$500="Block"))+SUMPRODUCT(--ISNUMBER(SEARCH(", "&amp;$B56&amp;", ",", "&amp;'Thông báo'!$B$7:$B$500&amp;", ")),--('Thông báo'!$AT$7:$AT$500="Block"))+SUMPRODUCT(--ISNUMBER(SEARCH(", "&amp;$B56&amp;", ",", "&amp;'Đăng tin &amp; Quản lý tin'!$B$7:$B$500&amp;", ")),--('Đăng tin &amp; Quản lý tin'!$AT$7:$AT$500="Block"))+SUMPRODUCT(--ISNUMBER(SEARCH(", "&amp;$B56&amp;", ",", "&amp;'Trust &amp; Safety'!$B$7:$B$500&amp;", ")),--('Trust &amp; Safety'!$AT$7:$AT$500="Block"))+SUMPRODUCT(--ISNUMBER(SEARCH(", "&amp;$B56&amp;", ",", "&amp;'Tài khoản &amp; Hồ sơ'!$B$7:$B$500&amp;", ")),--('Tài khoản &amp; Hồ sơ'!$AT$7:$AT$500="Block"))</f>
        <v>0</v>
      </c>
      <c r="J56" s="51" t="n">
        <f aca="false">SUMPRODUCT(--ISNUMBER(SEARCH(", "&amp;$B56&amp;", ",", "&amp;'Hoạt động (Đơn của tôi)'!$B$7:$B$500&amp;", ")),--('Hoạt động (Đơn của tôi)'!$AT$7:$AT$500="N/A"))+SUMPRODUCT(--ISNUMBER(SEARCH(", "&amp;$B56&amp;", ",", "&amp;'Ghép nối'!$B$7:$B$500&amp;", ")),--('Ghép nối'!$AT$7:$AT$500="N/A"))+SUMPRODUCT(--ISNUMBER(SEARCH(", "&amp;$B56&amp;", ",", "&amp;'Huỷ đơn - Huỷ nhận đơn'!$B$7:$B$500&amp;", ")),--('Huỷ đơn - Huỷ nhận đơn'!$AT$7:$AT$500="N/A"))+SUMPRODUCT(--ISNUMBER(SEARCH(", "&amp;$B56&amp;", ",", "&amp;'Giao nhận &amp; Theo dõi đơn'!$B$7:$B$500&amp;", ")),--('Giao nhận &amp; Theo dõi đơn'!$AT$7:$AT$500="N/A"))+SUMPRODUCT(--ISNUMBER(SEARCH(", "&amp;$B56&amp;", ",", "&amp;'Bảng tin &amp; Chi tiết tin'!$B$7:$B$500&amp;", ")),--('Bảng tin &amp; Chi tiết tin'!$AT$7:$AT$500="N/A"))+SUMPRODUCT(--ISNUMBER(SEARCH(", "&amp;$B56&amp;", ",", "&amp;'Quà cảm ơn'!$B$7:$B$500&amp;", ")),--('Quà cảm ơn'!$AT$7:$AT$500="N/A"))+SUMPRODUCT(--ISNUMBER(SEARCH(", "&amp;$B56&amp;", ",", "&amp;'Trang chủ'!$B$7:$B$500&amp;", ")),--('Trang chủ'!$AT$7:$AT$500="N/A"))+SUMPRODUCT(--ISNUMBER(SEARCH(", "&amp;$B56&amp;", ",", "&amp;'Thông báo'!$B$7:$B$500&amp;", ")),--('Thông báo'!$AT$7:$AT$500="N/A"))+SUMPRODUCT(--ISNUMBER(SEARCH(", "&amp;$B56&amp;", ",", "&amp;'Đăng tin &amp; Quản lý tin'!$B$7:$B$500&amp;", ")),--('Đăng tin &amp; Quản lý tin'!$AT$7:$AT$500="N/A"))+SUMPRODUCT(--ISNUMBER(SEARCH(", "&amp;$B56&amp;", ",", "&amp;'Trust &amp; Safety'!$B$7:$B$500&amp;", ")),--('Trust &amp; Safety'!$AT$7:$AT$500="N/A"))+SUMPRODUCT(--ISNUMBER(SEARCH(", "&amp;$B56&amp;", ",", "&amp;'Tài khoản &amp; Hồ sơ'!$B$7:$B$500&amp;", ")),--('Tài khoản &amp; Hồ sơ'!$AT$7:$AT$500="N/A"))</f>
        <v>0</v>
      </c>
      <c r="K56" s="52" t="n">
        <f aca="false">IFERROR(F56/E56,0)</f>
        <v>1</v>
      </c>
      <c r="L56" s="124" t="str">
        <f aca="false">IF(E56=0,"Chưa có TC (gap)",IF(H56&gt;0,"Có lỗi (Fail)",IF(I56&gt;0,"Bị block",IF(F56&lt;E56,"Đang test",IF(G56=0,"Không áp dụng (N/A)","Đã test xong")))))</f>
        <v>Đã test xong</v>
      </c>
      <c r="AB56" s="0" t="s">
        <v>531</v>
      </c>
    </row>
    <row r="57" customFormat="false" ht="15.75" hidden="false" customHeight="true" outlineLevel="0" collapsed="false">
      <c r="A57" s="1"/>
      <c r="B57" s="176" t="s">
        <v>653</v>
      </c>
      <c r="C57" s="177" t="s">
        <v>654</v>
      </c>
      <c r="D57" s="124" t="s">
        <v>655</v>
      </c>
      <c r="E57" s="51" t="n">
        <f aca="false">SUMPRODUCT(--ISNUMBER(SEARCH(", "&amp;$B57&amp;", ",", "&amp;'Hoạt động (Đơn của tôi)'!$B$7:$B$500&amp;", ")))+SUMPRODUCT(--ISNUMBER(SEARCH(", "&amp;$B57&amp;", ",", "&amp;'Ghép nối'!$B$7:$B$500&amp;", ")))+SUMPRODUCT(--ISNUMBER(SEARCH(", "&amp;$B57&amp;", ",", "&amp;'Huỷ đơn - Huỷ nhận đơn'!$B$7:$B$500&amp;", ")))+SUMPRODUCT(--ISNUMBER(SEARCH(", "&amp;$B57&amp;", ",", "&amp;'Giao nhận &amp; Theo dõi đơn'!$B$7:$B$500&amp;", ")))+SUMPRODUCT(--ISNUMBER(SEARCH(", "&amp;$B57&amp;", ",", "&amp;'Bảng tin &amp; Chi tiết tin'!$B$7:$B$500&amp;", ")))+SUMPRODUCT(--ISNUMBER(SEARCH(", "&amp;$B57&amp;", ",", "&amp;'Quà cảm ơn'!$B$7:$B$500&amp;", ")))+SUMPRODUCT(--ISNUMBER(SEARCH(", "&amp;$B57&amp;", ",", "&amp;'Trang chủ'!$B$7:$B$500&amp;", ")))+SUMPRODUCT(--ISNUMBER(SEARCH(", "&amp;$B57&amp;", ",", "&amp;'Thông báo'!$B$7:$B$500&amp;", ")))+SUMPRODUCT(--ISNUMBER(SEARCH(", "&amp;$B57&amp;", ",", "&amp;'Đăng tin &amp; Quản lý tin'!$B$7:$B$500&amp;", ")))+SUMPRODUCT(--ISNUMBER(SEARCH(", "&amp;$B57&amp;", ",", "&amp;'Trust &amp; Safety'!$B$7:$B$500&amp;", ")))+SUMPRODUCT(--ISNUMBER(SEARCH(", "&amp;$B57&amp;", ",", "&amp;'Tài khoản &amp; Hồ sơ'!$B$7:$B$500&amp;", ")))</f>
        <v>3</v>
      </c>
      <c r="F57" s="51" t="n">
        <f aca="false">SUMPRODUCT(--ISNUMBER(SEARCH(", "&amp;$B57&amp;", ",", "&amp;'Hoạt động (Đơn của tôi)'!$B$7:$B$500&amp;", ")),--('Hoạt động (Đơn của tôi)'!$AT$7:$AT$500&lt;&gt;""))+SUMPRODUCT(--ISNUMBER(SEARCH(", "&amp;$B57&amp;", ",", "&amp;'Ghép nối'!$B$7:$B$500&amp;", ")),--('Ghép nối'!$AT$7:$AT$500&lt;&gt;""))+SUMPRODUCT(--ISNUMBER(SEARCH(", "&amp;$B57&amp;", ",", "&amp;'Huỷ đơn - Huỷ nhận đơn'!$B$7:$B$500&amp;", ")),--('Huỷ đơn - Huỷ nhận đơn'!$AT$7:$AT$500&lt;&gt;""))+SUMPRODUCT(--ISNUMBER(SEARCH(", "&amp;$B57&amp;", ",", "&amp;'Giao nhận &amp; Theo dõi đơn'!$B$7:$B$500&amp;", ")),--('Giao nhận &amp; Theo dõi đơn'!$AT$7:$AT$500&lt;&gt;""))+SUMPRODUCT(--ISNUMBER(SEARCH(", "&amp;$B57&amp;", ",", "&amp;'Bảng tin &amp; Chi tiết tin'!$B$7:$B$500&amp;", ")),--('Bảng tin &amp; Chi tiết tin'!$AT$7:$AT$500&lt;&gt;""))+SUMPRODUCT(--ISNUMBER(SEARCH(", "&amp;$B57&amp;", ",", "&amp;'Quà cảm ơn'!$B$7:$B$500&amp;", ")),--('Quà cảm ơn'!$AT$7:$AT$500&lt;&gt;""))+SUMPRODUCT(--ISNUMBER(SEARCH(", "&amp;$B57&amp;", ",", "&amp;'Trang chủ'!$B$7:$B$500&amp;", ")),--('Trang chủ'!$AT$7:$AT$500&lt;&gt;""))+SUMPRODUCT(--ISNUMBER(SEARCH(", "&amp;$B57&amp;", ",", "&amp;'Thông báo'!$B$7:$B$500&amp;", ")),--('Thông báo'!$AT$7:$AT$500&lt;&gt;""))+SUMPRODUCT(--ISNUMBER(SEARCH(", "&amp;$B57&amp;", ",", "&amp;'Đăng tin &amp; Quản lý tin'!$B$7:$B$500&amp;", ")),--('Đăng tin &amp; Quản lý tin'!$AT$7:$AT$500&lt;&gt;""))+SUMPRODUCT(--ISNUMBER(SEARCH(", "&amp;$B57&amp;", ",", "&amp;'Trust &amp; Safety'!$B$7:$B$500&amp;", ")),--('Trust &amp; Safety'!$AT$7:$AT$500&lt;&gt;""))+SUMPRODUCT(--ISNUMBER(SEARCH(", "&amp;$B57&amp;", ",", "&amp;'Tài khoản &amp; Hồ sơ'!$B$7:$B$500&amp;", ")),--('Tài khoản &amp; Hồ sơ'!$AT$7:$AT$500&lt;&gt;""))</f>
        <v>3</v>
      </c>
      <c r="G57" s="51" t="n">
        <f aca="false">SUMPRODUCT(--ISNUMBER(SEARCH(", "&amp;$B57&amp;", ",", "&amp;'Hoạt động (Đơn của tôi)'!$B$7:$B$500&amp;", ")),--('Hoạt động (Đơn của tôi)'!$AT$7:$AT$500="Pass"))+SUMPRODUCT(--ISNUMBER(SEARCH(", "&amp;$B57&amp;", ",", "&amp;'Ghép nối'!$B$7:$B$500&amp;", ")),--('Ghép nối'!$AT$7:$AT$500="Pass"))+SUMPRODUCT(--ISNUMBER(SEARCH(", "&amp;$B57&amp;", ",", "&amp;'Huỷ đơn - Huỷ nhận đơn'!$B$7:$B$500&amp;", ")),--('Huỷ đơn - Huỷ nhận đơn'!$AT$7:$AT$500="Pass"))+SUMPRODUCT(--ISNUMBER(SEARCH(", "&amp;$B57&amp;", ",", "&amp;'Giao nhận &amp; Theo dõi đơn'!$B$7:$B$500&amp;", ")),--('Giao nhận &amp; Theo dõi đơn'!$AT$7:$AT$500="Pass"))+SUMPRODUCT(--ISNUMBER(SEARCH(", "&amp;$B57&amp;", ",", "&amp;'Bảng tin &amp; Chi tiết tin'!$B$7:$B$500&amp;", ")),--('Bảng tin &amp; Chi tiết tin'!$AT$7:$AT$500="Pass"))+SUMPRODUCT(--ISNUMBER(SEARCH(", "&amp;$B57&amp;", ",", "&amp;'Quà cảm ơn'!$B$7:$B$500&amp;", ")),--('Quà cảm ơn'!$AT$7:$AT$500="Pass"))+SUMPRODUCT(--ISNUMBER(SEARCH(", "&amp;$B57&amp;", ",", "&amp;'Trang chủ'!$B$7:$B$500&amp;", ")),--('Trang chủ'!$AT$7:$AT$500="Pass"))+SUMPRODUCT(--ISNUMBER(SEARCH(", "&amp;$B57&amp;", ",", "&amp;'Thông báo'!$B$7:$B$500&amp;", ")),--('Thông báo'!$AT$7:$AT$500="Pass"))+SUMPRODUCT(--ISNUMBER(SEARCH(", "&amp;$B57&amp;", ",", "&amp;'Đăng tin &amp; Quản lý tin'!$B$7:$B$500&amp;", ")),--('Đăng tin &amp; Quản lý tin'!$AT$7:$AT$500="Pass"))+SUMPRODUCT(--ISNUMBER(SEARCH(", "&amp;$B57&amp;", ",", "&amp;'Trust &amp; Safety'!$B$7:$B$500&amp;", ")),--('Trust &amp; Safety'!$AT$7:$AT$500="Pass"))+SUMPRODUCT(--ISNUMBER(SEARCH(", "&amp;$B57&amp;", ",", "&amp;'Tài khoản &amp; Hồ sơ'!$B$7:$B$500&amp;", ")),--('Tài khoản &amp; Hồ sơ'!$AT$7:$AT$500="Pass"))</f>
        <v>1</v>
      </c>
      <c r="H57" s="51" t="n">
        <f aca="false">SUMPRODUCT(--ISNUMBER(SEARCH(", "&amp;$B57&amp;", ",", "&amp;'Hoạt động (Đơn của tôi)'!$B$7:$B$500&amp;", ")),--('Hoạt động (Đơn của tôi)'!$AT$7:$AT$500="Fail"))+SUMPRODUCT(--ISNUMBER(SEARCH(", "&amp;$B57&amp;", ",", "&amp;'Ghép nối'!$B$7:$B$500&amp;", ")),--('Ghép nối'!$AT$7:$AT$500="Fail"))+SUMPRODUCT(--ISNUMBER(SEARCH(", "&amp;$B57&amp;", ",", "&amp;'Huỷ đơn - Huỷ nhận đơn'!$B$7:$B$500&amp;", ")),--('Huỷ đơn - Huỷ nhận đơn'!$AT$7:$AT$500="Fail"))+SUMPRODUCT(--ISNUMBER(SEARCH(", "&amp;$B57&amp;", ",", "&amp;'Giao nhận &amp; Theo dõi đơn'!$B$7:$B$500&amp;", ")),--('Giao nhận &amp; Theo dõi đơn'!$AT$7:$AT$500="Fail"))+SUMPRODUCT(--ISNUMBER(SEARCH(", "&amp;$B57&amp;", ",", "&amp;'Bảng tin &amp; Chi tiết tin'!$B$7:$B$500&amp;", ")),--('Bảng tin &amp; Chi tiết tin'!$AT$7:$AT$500="Fail"))+SUMPRODUCT(--ISNUMBER(SEARCH(", "&amp;$B57&amp;", ",", "&amp;'Quà cảm ơn'!$B$7:$B$500&amp;", ")),--('Quà cảm ơn'!$AT$7:$AT$500="Fail"))+SUMPRODUCT(--ISNUMBER(SEARCH(", "&amp;$B57&amp;", ",", "&amp;'Trang chủ'!$B$7:$B$500&amp;", ")),--('Trang chủ'!$AT$7:$AT$500="Fail"))+SUMPRODUCT(--ISNUMBER(SEARCH(", "&amp;$B57&amp;", ",", "&amp;'Thông báo'!$B$7:$B$500&amp;", ")),--('Thông báo'!$AT$7:$AT$500="Fail"))+SUMPRODUCT(--ISNUMBER(SEARCH(", "&amp;$B57&amp;", ",", "&amp;'Đăng tin &amp; Quản lý tin'!$B$7:$B$500&amp;", ")),--('Đăng tin &amp; Quản lý tin'!$AT$7:$AT$500="Fail"))+SUMPRODUCT(--ISNUMBER(SEARCH(", "&amp;$B57&amp;", ",", "&amp;'Trust &amp; Safety'!$B$7:$B$500&amp;", ")),--('Trust &amp; Safety'!$AT$7:$AT$500="Fail"))+SUMPRODUCT(--ISNUMBER(SEARCH(", "&amp;$B57&amp;", ",", "&amp;'Tài khoản &amp; Hồ sơ'!$B$7:$B$500&amp;", ")),--('Tài khoản &amp; Hồ sơ'!$AT$7:$AT$500="Fail"))</f>
        <v>2</v>
      </c>
      <c r="I57" s="51" t="n">
        <f aca="false">SUMPRODUCT(--ISNUMBER(SEARCH(", "&amp;$B57&amp;", ",", "&amp;'Hoạt động (Đơn của tôi)'!$B$7:$B$500&amp;", ")),--('Hoạt động (Đơn của tôi)'!$AT$7:$AT$500="Block"))+SUMPRODUCT(--ISNUMBER(SEARCH(", "&amp;$B57&amp;", ",", "&amp;'Ghép nối'!$B$7:$B$500&amp;", ")),--('Ghép nối'!$AT$7:$AT$500="Block"))+SUMPRODUCT(--ISNUMBER(SEARCH(", "&amp;$B57&amp;", ",", "&amp;'Huỷ đơn - Huỷ nhận đơn'!$B$7:$B$500&amp;", ")),--('Huỷ đơn - Huỷ nhận đơn'!$AT$7:$AT$500="Block"))+SUMPRODUCT(--ISNUMBER(SEARCH(", "&amp;$B57&amp;", ",", "&amp;'Giao nhận &amp; Theo dõi đơn'!$B$7:$B$500&amp;", ")),--('Giao nhận &amp; Theo dõi đơn'!$AT$7:$AT$500="Block"))+SUMPRODUCT(--ISNUMBER(SEARCH(", "&amp;$B57&amp;", ",", "&amp;'Bảng tin &amp; Chi tiết tin'!$B$7:$B$500&amp;", ")),--('Bảng tin &amp; Chi tiết tin'!$AT$7:$AT$500="Block"))+SUMPRODUCT(--ISNUMBER(SEARCH(", "&amp;$B57&amp;", ",", "&amp;'Quà cảm ơn'!$B$7:$B$500&amp;", ")),--('Quà cảm ơn'!$AT$7:$AT$500="Block"))+SUMPRODUCT(--ISNUMBER(SEARCH(", "&amp;$B57&amp;", ",", "&amp;'Trang chủ'!$B$7:$B$500&amp;", ")),--('Trang chủ'!$AT$7:$AT$500="Block"))+SUMPRODUCT(--ISNUMBER(SEARCH(", "&amp;$B57&amp;", ",", "&amp;'Thông báo'!$B$7:$B$500&amp;", ")),--('Thông báo'!$AT$7:$AT$500="Block"))+SUMPRODUCT(--ISNUMBER(SEARCH(", "&amp;$B57&amp;", ",", "&amp;'Đăng tin &amp; Quản lý tin'!$B$7:$B$500&amp;", ")),--('Đăng tin &amp; Quản lý tin'!$AT$7:$AT$500="Block"))+SUMPRODUCT(--ISNUMBER(SEARCH(", "&amp;$B57&amp;", ",", "&amp;'Trust &amp; Safety'!$B$7:$B$500&amp;", ")),--('Trust &amp; Safety'!$AT$7:$AT$500="Block"))+SUMPRODUCT(--ISNUMBER(SEARCH(", "&amp;$B57&amp;", ",", "&amp;'Tài khoản &amp; Hồ sơ'!$B$7:$B$500&amp;", ")),--('Tài khoản &amp; Hồ sơ'!$AT$7:$AT$500="Block"))</f>
        <v>0</v>
      </c>
      <c r="J57" s="51" t="n">
        <f aca="false">SUMPRODUCT(--ISNUMBER(SEARCH(", "&amp;$B57&amp;", ",", "&amp;'Hoạt động (Đơn của tôi)'!$B$7:$B$500&amp;", ")),--('Hoạt động (Đơn của tôi)'!$AT$7:$AT$500="N/A"))+SUMPRODUCT(--ISNUMBER(SEARCH(", "&amp;$B57&amp;", ",", "&amp;'Ghép nối'!$B$7:$B$500&amp;", ")),--('Ghép nối'!$AT$7:$AT$500="N/A"))+SUMPRODUCT(--ISNUMBER(SEARCH(", "&amp;$B57&amp;", ",", "&amp;'Huỷ đơn - Huỷ nhận đơn'!$B$7:$B$500&amp;", ")),--('Huỷ đơn - Huỷ nhận đơn'!$AT$7:$AT$500="N/A"))+SUMPRODUCT(--ISNUMBER(SEARCH(", "&amp;$B57&amp;", ",", "&amp;'Giao nhận &amp; Theo dõi đơn'!$B$7:$B$500&amp;", ")),--('Giao nhận &amp; Theo dõi đơn'!$AT$7:$AT$500="N/A"))+SUMPRODUCT(--ISNUMBER(SEARCH(", "&amp;$B57&amp;", ",", "&amp;'Bảng tin &amp; Chi tiết tin'!$B$7:$B$500&amp;", ")),--('Bảng tin &amp; Chi tiết tin'!$AT$7:$AT$500="N/A"))+SUMPRODUCT(--ISNUMBER(SEARCH(", "&amp;$B57&amp;", ",", "&amp;'Quà cảm ơn'!$B$7:$B$500&amp;", ")),--('Quà cảm ơn'!$AT$7:$AT$500="N/A"))+SUMPRODUCT(--ISNUMBER(SEARCH(", "&amp;$B57&amp;", ",", "&amp;'Trang chủ'!$B$7:$B$500&amp;", ")),--('Trang chủ'!$AT$7:$AT$500="N/A"))+SUMPRODUCT(--ISNUMBER(SEARCH(", "&amp;$B57&amp;", ",", "&amp;'Thông báo'!$B$7:$B$500&amp;", ")),--('Thông báo'!$AT$7:$AT$500="N/A"))+SUMPRODUCT(--ISNUMBER(SEARCH(", "&amp;$B57&amp;", ",", "&amp;'Đăng tin &amp; Quản lý tin'!$B$7:$B$500&amp;", ")),--('Đăng tin &amp; Quản lý tin'!$AT$7:$AT$500="N/A"))+SUMPRODUCT(--ISNUMBER(SEARCH(", "&amp;$B57&amp;", ",", "&amp;'Trust &amp; Safety'!$B$7:$B$500&amp;", ")),--('Trust &amp; Safety'!$AT$7:$AT$500="N/A"))+SUMPRODUCT(--ISNUMBER(SEARCH(", "&amp;$B57&amp;", ",", "&amp;'Tài khoản &amp; Hồ sơ'!$B$7:$B$500&amp;", ")),--('Tài khoản &amp; Hồ sơ'!$AT$7:$AT$500="N/A"))</f>
        <v>0</v>
      </c>
      <c r="K57" s="52" t="n">
        <f aca="false">IFERROR(F57/E57,0)</f>
        <v>1</v>
      </c>
      <c r="L57" s="124" t="str">
        <f aca="false">IF(E57=0,"Chưa có TC (gap)",IF(H57&gt;0,"Có lỗi (Fail)",IF(I57&gt;0,"Bị block",IF(F57&lt;E57,"Đang test",IF(G57=0,"Không áp dụng (N/A)","Đã test xong")))))</f>
        <v>Có lỗi (Fail)</v>
      </c>
      <c r="AB57" s="0" t="s">
        <v>531</v>
      </c>
    </row>
    <row r="58" customFormat="false" ht="15.75" hidden="false" customHeight="true" outlineLevel="0" collapsed="false">
      <c r="A58" s="1"/>
      <c r="B58" s="176" t="s">
        <v>656</v>
      </c>
      <c r="C58" s="177" t="s">
        <v>657</v>
      </c>
      <c r="D58" s="124" t="s">
        <v>658</v>
      </c>
      <c r="E58" s="51" t="n">
        <f aca="false">SUMPRODUCT(--ISNUMBER(SEARCH(", "&amp;$B58&amp;", ",", "&amp;'Hoạt động (Đơn của tôi)'!$B$7:$B$500&amp;", ")))+SUMPRODUCT(--ISNUMBER(SEARCH(", "&amp;$B58&amp;", ",", "&amp;'Ghép nối'!$B$7:$B$500&amp;", ")))+SUMPRODUCT(--ISNUMBER(SEARCH(", "&amp;$B58&amp;", ",", "&amp;'Huỷ đơn - Huỷ nhận đơn'!$B$7:$B$500&amp;", ")))+SUMPRODUCT(--ISNUMBER(SEARCH(", "&amp;$B58&amp;", ",", "&amp;'Giao nhận &amp; Theo dõi đơn'!$B$7:$B$500&amp;", ")))+SUMPRODUCT(--ISNUMBER(SEARCH(", "&amp;$B58&amp;", ",", "&amp;'Bảng tin &amp; Chi tiết tin'!$B$7:$B$500&amp;", ")))+SUMPRODUCT(--ISNUMBER(SEARCH(", "&amp;$B58&amp;", ",", "&amp;'Quà cảm ơn'!$B$7:$B$500&amp;", ")))+SUMPRODUCT(--ISNUMBER(SEARCH(", "&amp;$B58&amp;", ",", "&amp;'Trang chủ'!$B$7:$B$500&amp;", ")))+SUMPRODUCT(--ISNUMBER(SEARCH(", "&amp;$B58&amp;", ",", "&amp;'Thông báo'!$B$7:$B$500&amp;", ")))+SUMPRODUCT(--ISNUMBER(SEARCH(", "&amp;$B58&amp;", ",", "&amp;'Đăng tin &amp; Quản lý tin'!$B$7:$B$500&amp;", ")))+SUMPRODUCT(--ISNUMBER(SEARCH(", "&amp;$B58&amp;", ",", "&amp;'Trust &amp; Safety'!$B$7:$B$500&amp;", ")))+SUMPRODUCT(--ISNUMBER(SEARCH(", "&amp;$B58&amp;", ",", "&amp;'Tài khoản &amp; Hồ sơ'!$B$7:$B$500&amp;", ")))</f>
        <v>1</v>
      </c>
      <c r="F58" s="51" t="n">
        <f aca="false">SUMPRODUCT(--ISNUMBER(SEARCH(", "&amp;$B58&amp;", ",", "&amp;'Hoạt động (Đơn của tôi)'!$B$7:$B$500&amp;", ")),--('Hoạt động (Đơn của tôi)'!$AT$7:$AT$500&lt;&gt;""))+SUMPRODUCT(--ISNUMBER(SEARCH(", "&amp;$B58&amp;", ",", "&amp;'Ghép nối'!$B$7:$B$500&amp;", ")),--('Ghép nối'!$AT$7:$AT$500&lt;&gt;""))+SUMPRODUCT(--ISNUMBER(SEARCH(", "&amp;$B58&amp;", ",", "&amp;'Huỷ đơn - Huỷ nhận đơn'!$B$7:$B$500&amp;", ")),--('Huỷ đơn - Huỷ nhận đơn'!$AT$7:$AT$500&lt;&gt;""))+SUMPRODUCT(--ISNUMBER(SEARCH(", "&amp;$B58&amp;", ",", "&amp;'Giao nhận &amp; Theo dõi đơn'!$B$7:$B$500&amp;", ")),--('Giao nhận &amp; Theo dõi đơn'!$AT$7:$AT$500&lt;&gt;""))+SUMPRODUCT(--ISNUMBER(SEARCH(", "&amp;$B58&amp;", ",", "&amp;'Bảng tin &amp; Chi tiết tin'!$B$7:$B$500&amp;", ")),--('Bảng tin &amp; Chi tiết tin'!$AT$7:$AT$500&lt;&gt;""))+SUMPRODUCT(--ISNUMBER(SEARCH(", "&amp;$B58&amp;", ",", "&amp;'Quà cảm ơn'!$B$7:$B$500&amp;", ")),--('Quà cảm ơn'!$AT$7:$AT$500&lt;&gt;""))+SUMPRODUCT(--ISNUMBER(SEARCH(", "&amp;$B58&amp;", ",", "&amp;'Trang chủ'!$B$7:$B$500&amp;", ")),--('Trang chủ'!$AT$7:$AT$500&lt;&gt;""))+SUMPRODUCT(--ISNUMBER(SEARCH(", "&amp;$B58&amp;", ",", "&amp;'Thông báo'!$B$7:$B$500&amp;", ")),--('Thông báo'!$AT$7:$AT$500&lt;&gt;""))+SUMPRODUCT(--ISNUMBER(SEARCH(", "&amp;$B58&amp;", ",", "&amp;'Đăng tin &amp; Quản lý tin'!$B$7:$B$500&amp;", ")),--('Đăng tin &amp; Quản lý tin'!$AT$7:$AT$500&lt;&gt;""))+SUMPRODUCT(--ISNUMBER(SEARCH(", "&amp;$B58&amp;", ",", "&amp;'Trust &amp; Safety'!$B$7:$B$500&amp;", ")),--('Trust &amp; Safety'!$AT$7:$AT$500&lt;&gt;""))+SUMPRODUCT(--ISNUMBER(SEARCH(", "&amp;$B58&amp;", ",", "&amp;'Tài khoản &amp; Hồ sơ'!$B$7:$B$500&amp;", ")),--('Tài khoản &amp; Hồ sơ'!$AT$7:$AT$500&lt;&gt;""))</f>
        <v>1</v>
      </c>
      <c r="G58" s="51" t="n">
        <f aca="false">SUMPRODUCT(--ISNUMBER(SEARCH(", "&amp;$B58&amp;", ",", "&amp;'Hoạt động (Đơn của tôi)'!$B$7:$B$500&amp;", ")),--('Hoạt động (Đơn của tôi)'!$AT$7:$AT$500="Pass"))+SUMPRODUCT(--ISNUMBER(SEARCH(", "&amp;$B58&amp;", ",", "&amp;'Ghép nối'!$B$7:$B$500&amp;", ")),--('Ghép nối'!$AT$7:$AT$500="Pass"))+SUMPRODUCT(--ISNUMBER(SEARCH(", "&amp;$B58&amp;", ",", "&amp;'Huỷ đơn - Huỷ nhận đơn'!$B$7:$B$500&amp;", ")),--('Huỷ đơn - Huỷ nhận đơn'!$AT$7:$AT$500="Pass"))+SUMPRODUCT(--ISNUMBER(SEARCH(", "&amp;$B58&amp;", ",", "&amp;'Giao nhận &amp; Theo dõi đơn'!$B$7:$B$500&amp;", ")),--('Giao nhận &amp; Theo dõi đơn'!$AT$7:$AT$500="Pass"))+SUMPRODUCT(--ISNUMBER(SEARCH(", "&amp;$B58&amp;", ",", "&amp;'Bảng tin &amp; Chi tiết tin'!$B$7:$B$500&amp;", ")),--('Bảng tin &amp; Chi tiết tin'!$AT$7:$AT$500="Pass"))+SUMPRODUCT(--ISNUMBER(SEARCH(", "&amp;$B58&amp;", ",", "&amp;'Quà cảm ơn'!$B$7:$B$500&amp;", ")),--('Quà cảm ơn'!$AT$7:$AT$500="Pass"))+SUMPRODUCT(--ISNUMBER(SEARCH(", "&amp;$B58&amp;", ",", "&amp;'Trang chủ'!$B$7:$B$500&amp;", ")),--('Trang chủ'!$AT$7:$AT$500="Pass"))+SUMPRODUCT(--ISNUMBER(SEARCH(", "&amp;$B58&amp;", ",", "&amp;'Thông báo'!$B$7:$B$500&amp;", ")),--('Thông báo'!$AT$7:$AT$500="Pass"))+SUMPRODUCT(--ISNUMBER(SEARCH(", "&amp;$B58&amp;", ",", "&amp;'Đăng tin &amp; Quản lý tin'!$B$7:$B$500&amp;", ")),--('Đăng tin &amp; Quản lý tin'!$AT$7:$AT$500="Pass"))+SUMPRODUCT(--ISNUMBER(SEARCH(", "&amp;$B58&amp;", ",", "&amp;'Trust &amp; Safety'!$B$7:$B$500&amp;", ")),--('Trust &amp; Safety'!$AT$7:$AT$500="Pass"))+SUMPRODUCT(--ISNUMBER(SEARCH(", "&amp;$B58&amp;", ",", "&amp;'Tài khoản &amp; Hồ sơ'!$B$7:$B$500&amp;", ")),--('Tài khoản &amp; Hồ sơ'!$AT$7:$AT$500="Pass"))</f>
        <v>1</v>
      </c>
      <c r="H58" s="51" t="n">
        <f aca="false">SUMPRODUCT(--ISNUMBER(SEARCH(", "&amp;$B58&amp;", ",", "&amp;'Hoạt động (Đơn của tôi)'!$B$7:$B$500&amp;", ")),--('Hoạt động (Đơn của tôi)'!$AT$7:$AT$500="Fail"))+SUMPRODUCT(--ISNUMBER(SEARCH(", "&amp;$B58&amp;", ",", "&amp;'Ghép nối'!$B$7:$B$500&amp;", ")),--('Ghép nối'!$AT$7:$AT$500="Fail"))+SUMPRODUCT(--ISNUMBER(SEARCH(", "&amp;$B58&amp;", ",", "&amp;'Huỷ đơn - Huỷ nhận đơn'!$B$7:$B$500&amp;", ")),--('Huỷ đơn - Huỷ nhận đơn'!$AT$7:$AT$500="Fail"))+SUMPRODUCT(--ISNUMBER(SEARCH(", "&amp;$B58&amp;", ",", "&amp;'Giao nhận &amp; Theo dõi đơn'!$B$7:$B$500&amp;", ")),--('Giao nhận &amp; Theo dõi đơn'!$AT$7:$AT$500="Fail"))+SUMPRODUCT(--ISNUMBER(SEARCH(", "&amp;$B58&amp;", ",", "&amp;'Bảng tin &amp; Chi tiết tin'!$B$7:$B$500&amp;", ")),--('Bảng tin &amp; Chi tiết tin'!$AT$7:$AT$500="Fail"))+SUMPRODUCT(--ISNUMBER(SEARCH(", "&amp;$B58&amp;", ",", "&amp;'Quà cảm ơn'!$B$7:$B$500&amp;", ")),--('Quà cảm ơn'!$AT$7:$AT$500="Fail"))+SUMPRODUCT(--ISNUMBER(SEARCH(", "&amp;$B58&amp;", ",", "&amp;'Trang chủ'!$B$7:$B$500&amp;", ")),--('Trang chủ'!$AT$7:$AT$500="Fail"))+SUMPRODUCT(--ISNUMBER(SEARCH(", "&amp;$B58&amp;", ",", "&amp;'Thông báo'!$B$7:$B$500&amp;", ")),--('Thông báo'!$AT$7:$AT$500="Fail"))+SUMPRODUCT(--ISNUMBER(SEARCH(", "&amp;$B58&amp;", ",", "&amp;'Đăng tin &amp; Quản lý tin'!$B$7:$B$500&amp;", ")),--('Đăng tin &amp; Quản lý tin'!$AT$7:$AT$500="Fail"))+SUMPRODUCT(--ISNUMBER(SEARCH(", "&amp;$B58&amp;", ",", "&amp;'Trust &amp; Safety'!$B$7:$B$500&amp;", ")),--('Trust &amp; Safety'!$AT$7:$AT$500="Fail"))+SUMPRODUCT(--ISNUMBER(SEARCH(", "&amp;$B58&amp;", ",", "&amp;'Tài khoản &amp; Hồ sơ'!$B$7:$B$500&amp;", ")),--('Tài khoản &amp; Hồ sơ'!$AT$7:$AT$500="Fail"))</f>
        <v>0</v>
      </c>
      <c r="I58" s="51" t="n">
        <f aca="false">SUMPRODUCT(--ISNUMBER(SEARCH(", "&amp;$B58&amp;", ",", "&amp;'Hoạt động (Đơn của tôi)'!$B$7:$B$500&amp;", ")),--('Hoạt động (Đơn của tôi)'!$AT$7:$AT$500="Block"))+SUMPRODUCT(--ISNUMBER(SEARCH(", "&amp;$B58&amp;", ",", "&amp;'Ghép nối'!$B$7:$B$500&amp;", ")),--('Ghép nối'!$AT$7:$AT$500="Block"))+SUMPRODUCT(--ISNUMBER(SEARCH(", "&amp;$B58&amp;", ",", "&amp;'Huỷ đơn - Huỷ nhận đơn'!$B$7:$B$500&amp;", ")),--('Huỷ đơn - Huỷ nhận đơn'!$AT$7:$AT$500="Block"))+SUMPRODUCT(--ISNUMBER(SEARCH(", "&amp;$B58&amp;", ",", "&amp;'Giao nhận &amp; Theo dõi đơn'!$B$7:$B$500&amp;", ")),--('Giao nhận &amp; Theo dõi đơn'!$AT$7:$AT$500="Block"))+SUMPRODUCT(--ISNUMBER(SEARCH(", "&amp;$B58&amp;", ",", "&amp;'Bảng tin &amp; Chi tiết tin'!$B$7:$B$500&amp;", ")),--('Bảng tin &amp; Chi tiết tin'!$AT$7:$AT$500="Block"))+SUMPRODUCT(--ISNUMBER(SEARCH(", "&amp;$B58&amp;", ",", "&amp;'Quà cảm ơn'!$B$7:$B$500&amp;", ")),--('Quà cảm ơn'!$AT$7:$AT$500="Block"))+SUMPRODUCT(--ISNUMBER(SEARCH(", "&amp;$B58&amp;", ",", "&amp;'Trang chủ'!$B$7:$B$500&amp;", ")),--('Trang chủ'!$AT$7:$AT$500="Block"))+SUMPRODUCT(--ISNUMBER(SEARCH(", "&amp;$B58&amp;", ",", "&amp;'Thông báo'!$B$7:$B$500&amp;", ")),--('Thông báo'!$AT$7:$AT$500="Block"))+SUMPRODUCT(--ISNUMBER(SEARCH(", "&amp;$B58&amp;", ",", "&amp;'Đăng tin &amp; Quản lý tin'!$B$7:$B$500&amp;", ")),--('Đăng tin &amp; Quản lý tin'!$AT$7:$AT$500="Block"))+SUMPRODUCT(--ISNUMBER(SEARCH(", "&amp;$B58&amp;", ",", "&amp;'Trust &amp; Safety'!$B$7:$B$500&amp;", ")),--('Trust &amp; Safety'!$AT$7:$AT$500="Block"))+SUMPRODUCT(--ISNUMBER(SEARCH(", "&amp;$B58&amp;", ",", "&amp;'Tài khoản &amp; Hồ sơ'!$B$7:$B$500&amp;", ")),--('Tài khoản &amp; Hồ sơ'!$AT$7:$AT$500="Block"))</f>
        <v>0</v>
      </c>
      <c r="J58" s="51" t="n">
        <f aca="false">SUMPRODUCT(--ISNUMBER(SEARCH(", "&amp;$B58&amp;", ",", "&amp;'Hoạt động (Đơn của tôi)'!$B$7:$B$500&amp;", ")),--('Hoạt động (Đơn của tôi)'!$AT$7:$AT$500="N/A"))+SUMPRODUCT(--ISNUMBER(SEARCH(", "&amp;$B58&amp;", ",", "&amp;'Ghép nối'!$B$7:$B$500&amp;", ")),--('Ghép nối'!$AT$7:$AT$500="N/A"))+SUMPRODUCT(--ISNUMBER(SEARCH(", "&amp;$B58&amp;", ",", "&amp;'Huỷ đơn - Huỷ nhận đơn'!$B$7:$B$500&amp;", ")),--('Huỷ đơn - Huỷ nhận đơn'!$AT$7:$AT$500="N/A"))+SUMPRODUCT(--ISNUMBER(SEARCH(", "&amp;$B58&amp;", ",", "&amp;'Giao nhận &amp; Theo dõi đơn'!$B$7:$B$500&amp;", ")),--('Giao nhận &amp; Theo dõi đơn'!$AT$7:$AT$500="N/A"))+SUMPRODUCT(--ISNUMBER(SEARCH(", "&amp;$B58&amp;", ",", "&amp;'Bảng tin &amp; Chi tiết tin'!$B$7:$B$500&amp;", ")),--('Bảng tin &amp; Chi tiết tin'!$AT$7:$AT$500="N/A"))+SUMPRODUCT(--ISNUMBER(SEARCH(", "&amp;$B58&amp;", ",", "&amp;'Quà cảm ơn'!$B$7:$B$500&amp;", ")),--('Quà cảm ơn'!$AT$7:$AT$500="N/A"))+SUMPRODUCT(--ISNUMBER(SEARCH(", "&amp;$B58&amp;", ",", "&amp;'Trang chủ'!$B$7:$B$500&amp;", ")),--('Trang chủ'!$AT$7:$AT$500="N/A"))+SUMPRODUCT(--ISNUMBER(SEARCH(", "&amp;$B58&amp;", ",", "&amp;'Thông báo'!$B$7:$B$500&amp;", ")),--('Thông báo'!$AT$7:$AT$500="N/A"))+SUMPRODUCT(--ISNUMBER(SEARCH(", "&amp;$B58&amp;", ",", "&amp;'Đăng tin &amp; Quản lý tin'!$B$7:$B$500&amp;", ")),--('Đăng tin &amp; Quản lý tin'!$AT$7:$AT$500="N/A"))+SUMPRODUCT(--ISNUMBER(SEARCH(", "&amp;$B58&amp;", ",", "&amp;'Trust &amp; Safety'!$B$7:$B$500&amp;", ")),--('Trust &amp; Safety'!$AT$7:$AT$500="N/A"))+SUMPRODUCT(--ISNUMBER(SEARCH(", "&amp;$B58&amp;", ",", "&amp;'Tài khoản &amp; Hồ sơ'!$B$7:$B$500&amp;", ")),--('Tài khoản &amp; Hồ sơ'!$AT$7:$AT$500="N/A"))</f>
        <v>0</v>
      </c>
      <c r="K58" s="52" t="n">
        <f aca="false">IFERROR(F58/E58,0)</f>
        <v>1</v>
      </c>
      <c r="L58" s="124" t="str">
        <f aca="false">IF(E58=0,"Chưa có TC (gap)",IF(H58&gt;0,"Có lỗi (Fail)",IF(I58&gt;0,"Bị block",IF(F58&lt;E58,"Đang test",IF(G58=0,"Không áp dụng (N/A)","Đã test xong")))))</f>
        <v>Đã test xong</v>
      </c>
      <c r="AB58" s="0" t="s">
        <v>531</v>
      </c>
    </row>
    <row r="59" customFormat="false" ht="15.75" hidden="false" customHeight="true" outlineLevel="0" collapsed="false">
      <c r="A59" s="1"/>
      <c r="B59" s="176" t="s">
        <v>659</v>
      </c>
      <c r="C59" s="177" t="s">
        <v>660</v>
      </c>
      <c r="D59" s="124" t="s">
        <v>661</v>
      </c>
      <c r="E59" s="51" t="n">
        <f aca="false">SUMPRODUCT(--ISNUMBER(SEARCH(", "&amp;$B59&amp;", ",", "&amp;'Hoạt động (Đơn của tôi)'!$B$7:$B$500&amp;", ")))+SUMPRODUCT(--ISNUMBER(SEARCH(", "&amp;$B59&amp;", ",", "&amp;'Ghép nối'!$B$7:$B$500&amp;", ")))+SUMPRODUCT(--ISNUMBER(SEARCH(", "&amp;$B59&amp;", ",", "&amp;'Huỷ đơn - Huỷ nhận đơn'!$B$7:$B$500&amp;", ")))+SUMPRODUCT(--ISNUMBER(SEARCH(", "&amp;$B59&amp;", ",", "&amp;'Giao nhận &amp; Theo dõi đơn'!$B$7:$B$500&amp;", ")))+SUMPRODUCT(--ISNUMBER(SEARCH(", "&amp;$B59&amp;", ",", "&amp;'Bảng tin &amp; Chi tiết tin'!$B$7:$B$500&amp;", ")))+SUMPRODUCT(--ISNUMBER(SEARCH(", "&amp;$B59&amp;", ",", "&amp;'Quà cảm ơn'!$B$7:$B$500&amp;", ")))+SUMPRODUCT(--ISNUMBER(SEARCH(", "&amp;$B59&amp;", ",", "&amp;'Trang chủ'!$B$7:$B$500&amp;", ")))+SUMPRODUCT(--ISNUMBER(SEARCH(", "&amp;$B59&amp;", ",", "&amp;'Thông báo'!$B$7:$B$500&amp;", ")))+SUMPRODUCT(--ISNUMBER(SEARCH(", "&amp;$B59&amp;", ",", "&amp;'Đăng tin &amp; Quản lý tin'!$B$7:$B$500&amp;", ")))+SUMPRODUCT(--ISNUMBER(SEARCH(", "&amp;$B59&amp;", ",", "&amp;'Trust &amp; Safety'!$B$7:$B$500&amp;", ")))+SUMPRODUCT(--ISNUMBER(SEARCH(", "&amp;$B59&amp;", ",", "&amp;'Tài khoản &amp; Hồ sơ'!$B$7:$B$500&amp;", ")))</f>
        <v>1</v>
      </c>
      <c r="F59" s="51" t="n">
        <f aca="false">SUMPRODUCT(--ISNUMBER(SEARCH(", "&amp;$B59&amp;", ",", "&amp;'Hoạt động (Đơn của tôi)'!$B$7:$B$500&amp;", ")),--('Hoạt động (Đơn của tôi)'!$AT$7:$AT$500&lt;&gt;""))+SUMPRODUCT(--ISNUMBER(SEARCH(", "&amp;$B59&amp;", ",", "&amp;'Ghép nối'!$B$7:$B$500&amp;", ")),--('Ghép nối'!$AT$7:$AT$500&lt;&gt;""))+SUMPRODUCT(--ISNUMBER(SEARCH(", "&amp;$B59&amp;", ",", "&amp;'Huỷ đơn - Huỷ nhận đơn'!$B$7:$B$500&amp;", ")),--('Huỷ đơn - Huỷ nhận đơn'!$AT$7:$AT$500&lt;&gt;""))+SUMPRODUCT(--ISNUMBER(SEARCH(", "&amp;$B59&amp;", ",", "&amp;'Giao nhận &amp; Theo dõi đơn'!$B$7:$B$500&amp;", ")),--('Giao nhận &amp; Theo dõi đơn'!$AT$7:$AT$500&lt;&gt;""))+SUMPRODUCT(--ISNUMBER(SEARCH(", "&amp;$B59&amp;", ",", "&amp;'Bảng tin &amp; Chi tiết tin'!$B$7:$B$500&amp;", ")),--('Bảng tin &amp; Chi tiết tin'!$AT$7:$AT$500&lt;&gt;""))+SUMPRODUCT(--ISNUMBER(SEARCH(", "&amp;$B59&amp;", ",", "&amp;'Quà cảm ơn'!$B$7:$B$500&amp;", ")),--('Quà cảm ơn'!$AT$7:$AT$500&lt;&gt;""))+SUMPRODUCT(--ISNUMBER(SEARCH(", "&amp;$B59&amp;", ",", "&amp;'Trang chủ'!$B$7:$B$500&amp;", ")),--('Trang chủ'!$AT$7:$AT$500&lt;&gt;""))+SUMPRODUCT(--ISNUMBER(SEARCH(", "&amp;$B59&amp;", ",", "&amp;'Thông báo'!$B$7:$B$500&amp;", ")),--('Thông báo'!$AT$7:$AT$500&lt;&gt;""))+SUMPRODUCT(--ISNUMBER(SEARCH(", "&amp;$B59&amp;", ",", "&amp;'Đăng tin &amp; Quản lý tin'!$B$7:$B$500&amp;", ")),--('Đăng tin &amp; Quản lý tin'!$AT$7:$AT$500&lt;&gt;""))+SUMPRODUCT(--ISNUMBER(SEARCH(", "&amp;$B59&amp;", ",", "&amp;'Trust &amp; Safety'!$B$7:$B$500&amp;", ")),--('Trust &amp; Safety'!$AT$7:$AT$500&lt;&gt;""))+SUMPRODUCT(--ISNUMBER(SEARCH(", "&amp;$B59&amp;", ",", "&amp;'Tài khoản &amp; Hồ sơ'!$B$7:$B$500&amp;", ")),--('Tài khoản &amp; Hồ sơ'!$AT$7:$AT$500&lt;&gt;""))</f>
        <v>1</v>
      </c>
      <c r="G59" s="51" t="n">
        <f aca="false">SUMPRODUCT(--ISNUMBER(SEARCH(", "&amp;$B59&amp;", ",", "&amp;'Hoạt động (Đơn của tôi)'!$B$7:$B$500&amp;", ")),--('Hoạt động (Đơn của tôi)'!$AT$7:$AT$500="Pass"))+SUMPRODUCT(--ISNUMBER(SEARCH(", "&amp;$B59&amp;", ",", "&amp;'Ghép nối'!$B$7:$B$500&amp;", ")),--('Ghép nối'!$AT$7:$AT$500="Pass"))+SUMPRODUCT(--ISNUMBER(SEARCH(", "&amp;$B59&amp;", ",", "&amp;'Huỷ đơn - Huỷ nhận đơn'!$B$7:$B$500&amp;", ")),--('Huỷ đơn - Huỷ nhận đơn'!$AT$7:$AT$500="Pass"))+SUMPRODUCT(--ISNUMBER(SEARCH(", "&amp;$B59&amp;", ",", "&amp;'Giao nhận &amp; Theo dõi đơn'!$B$7:$B$500&amp;", ")),--('Giao nhận &amp; Theo dõi đơn'!$AT$7:$AT$500="Pass"))+SUMPRODUCT(--ISNUMBER(SEARCH(", "&amp;$B59&amp;", ",", "&amp;'Bảng tin &amp; Chi tiết tin'!$B$7:$B$500&amp;", ")),--('Bảng tin &amp; Chi tiết tin'!$AT$7:$AT$500="Pass"))+SUMPRODUCT(--ISNUMBER(SEARCH(", "&amp;$B59&amp;", ",", "&amp;'Quà cảm ơn'!$B$7:$B$500&amp;", ")),--('Quà cảm ơn'!$AT$7:$AT$500="Pass"))+SUMPRODUCT(--ISNUMBER(SEARCH(", "&amp;$B59&amp;", ",", "&amp;'Trang chủ'!$B$7:$B$500&amp;", ")),--('Trang chủ'!$AT$7:$AT$500="Pass"))+SUMPRODUCT(--ISNUMBER(SEARCH(", "&amp;$B59&amp;", ",", "&amp;'Thông báo'!$B$7:$B$500&amp;", ")),--('Thông báo'!$AT$7:$AT$500="Pass"))+SUMPRODUCT(--ISNUMBER(SEARCH(", "&amp;$B59&amp;", ",", "&amp;'Đăng tin &amp; Quản lý tin'!$B$7:$B$500&amp;", ")),--('Đăng tin &amp; Quản lý tin'!$AT$7:$AT$500="Pass"))+SUMPRODUCT(--ISNUMBER(SEARCH(", "&amp;$B59&amp;", ",", "&amp;'Trust &amp; Safety'!$B$7:$B$500&amp;", ")),--('Trust &amp; Safety'!$AT$7:$AT$500="Pass"))+SUMPRODUCT(--ISNUMBER(SEARCH(", "&amp;$B59&amp;", ",", "&amp;'Tài khoản &amp; Hồ sơ'!$B$7:$B$500&amp;", ")),--('Tài khoản &amp; Hồ sơ'!$AT$7:$AT$500="Pass"))</f>
        <v>1</v>
      </c>
      <c r="H59" s="51" t="n">
        <f aca="false">SUMPRODUCT(--ISNUMBER(SEARCH(", "&amp;$B59&amp;", ",", "&amp;'Hoạt động (Đơn của tôi)'!$B$7:$B$500&amp;", ")),--('Hoạt động (Đơn của tôi)'!$AT$7:$AT$500="Fail"))+SUMPRODUCT(--ISNUMBER(SEARCH(", "&amp;$B59&amp;", ",", "&amp;'Ghép nối'!$B$7:$B$500&amp;", ")),--('Ghép nối'!$AT$7:$AT$500="Fail"))+SUMPRODUCT(--ISNUMBER(SEARCH(", "&amp;$B59&amp;", ",", "&amp;'Huỷ đơn - Huỷ nhận đơn'!$B$7:$B$500&amp;", ")),--('Huỷ đơn - Huỷ nhận đơn'!$AT$7:$AT$500="Fail"))+SUMPRODUCT(--ISNUMBER(SEARCH(", "&amp;$B59&amp;", ",", "&amp;'Giao nhận &amp; Theo dõi đơn'!$B$7:$B$500&amp;", ")),--('Giao nhận &amp; Theo dõi đơn'!$AT$7:$AT$500="Fail"))+SUMPRODUCT(--ISNUMBER(SEARCH(", "&amp;$B59&amp;", ",", "&amp;'Bảng tin &amp; Chi tiết tin'!$B$7:$B$500&amp;", ")),--('Bảng tin &amp; Chi tiết tin'!$AT$7:$AT$500="Fail"))+SUMPRODUCT(--ISNUMBER(SEARCH(", "&amp;$B59&amp;", ",", "&amp;'Quà cảm ơn'!$B$7:$B$500&amp;", ")),--('Quà cảm ơn'!$AT$7:$AT$500="Fail"))+SUMPRODUCT(--ISNUMBER(SEARCH(", "&amp;$B59&amp;", ",", "&amp;'Trang chủ'!$B$7:$B$500&amp;", ")),--('Trang chủ'!$AT$7:$AT$500="Fail"))+SUMPRODUCT(--ISNUMBER(SEARCH(", "&amp;$B59&amp;", ",", "&amp;'Thông báo'!$B$7:$B$500&amp;", ")),--('Thông báo'!$AT$7:$AT$500="Fail"))+SUMPRODUCT(--ISNUMBER(SEARCH(", "&amp;$B59&amp;", ",", "&amp;'Đăng tin &amp; Quản lý tin'!$B$7:$B$500&amp;", ")),--('Đăng tin &amp; Quản lý tin'!$AT$7:$AT$500="Fail"))+SUMPRODUCT(--ISNUMBER(SEARCH(", "&amp;$B59&amp;", ",", "&amp;'Trust &amp; Safety'!$B$7:$B$500&amp;", ")),--('Trust &amp; Safety'!$AT$7:$AT$500="Fail"))+SUMPRODUCT(--ISNUMBER(SEARCH(", "&amp;$B59&amp;", ",", "&amp;'Tài khoản &amp; Hồ sơ'!$B$7:$B$500&amp;", ")),--('Tài khoản &amp; Hồ sơ'!$AT$7:$AT$500="Fail"))</f>
        <v>0</v>
      </c>
      <c r="I59" s="51" t="n">
        <f aca="false">SUMPRODUCT(--ISNUMBER(SEARCH(", "&amp;$B59&amp;", ",", "&amp;'Hoạt động (Đơn của tôi)'!$B$7:$B$500&amp;", ")),--('Hoạt động (Đơn của tôi)'!$AT$7:$AT$500="Block"))+SUMPRODUCT(--ISNUMBER(SEARCH(", "&amp;$B59&amp;", ",", "&amp;'Ghép nối'!$B$7:$B$500&amp;", ")),--('Ghép nối'!$AT$7:$AT$500="Block"))+SUMPRODUCT(--ISNUMBER(SEARCH(", "&amp;$B59&amp;", ",", "&amp;'Huỷ đơn - Huỷ nhận đơn'!$B$7:$B$500&amp;", ")),--('Huỷ đơn - Huỷ nhận đơn'!$AT$7:$AT$500="Block"))+SUMPRODUCT(--ISNUMBER(SEARCH(", "&amp;$B59&amp;", ",", "&amp;'Giao nhận &amp; Theo dõi đơn'!$B$7:$B$500&amp;", ")),--('Giao nhận &amp; Theo dõi đơn'!$AT$7:$AT$500="Block"))+SUMPRODUCT(--ISNUMBER(SEARCH(", "&amp;$B59&amp;", ",", "&amp;'Bảng tin &amp; Chi tiết tin'!$B$7:$B$500&amp;", ")),--('Bảng tin &amp; Chi tiết tin'!$AT$7:$AT$500="Block"))+SUMPRODUCT(--ISNUMBER(SEARCH(", "&amp;$B59&amp;", ",", "&amp;'Quà cảm ơn'!$B$7:$B$500&amp;", ")),--('Quà cảm ơn'!$AT$7:$AT$500="Block"))+SUMPRODUCT(--ISNUMBER(SEARCH(", "&amp;$B59&amp;", ",", "&amp;'Trang chủ'!$B$7:$B$500&amp;", ")),--('Trang chủ'!$AT$7:$AT$500="Block"))+SUMPRODUCT(--ISNUMBER(SEARCH(", "&amp;$B59&amp;", ",", "&amp;'Thông báo'!$B$7:$B$500&amp;", ")),--('Thông báo'!$AT$7:$AT$500="Block"))+SUMPRODUCT(--ISNUMBER(SEARCH(", "&amp;$B59&amp;", ",", "&amp;'Đăng tin &amp; Quản lý tin'!$B$7:$B$500&amp;", ")),--('Đăng tin &amp; Quản lý tin'!$AT$7:$AT$500="Block"))+SUMPRODUCT(--ISNUMBER(SEARCH(", "&amp;$B59&amp;", ",", "&amp;'Trust &amp; Safety'!$B$7:$B$500&amp;", ")),--('Trust &amp; Safety'!$AT$7:$AT$500="Block"))+SUMPRODUCT(--ISNUMBER(SEARCH(", "&amp;$B59&amp;", ",", "&amp;'Tài khoản &amp; Hồ sơ'!$B$7:$B$500&amp;", ")),--('Tài khoản &amp; Hồ sơ'!$AT$7:$AT$500="Block"))</f>
        <v>0</v>
      </c>
      <c r="J59" s="51" t="n">
        <f aca="false">SUMPRODUCT(--ISNUMBER(SEARCH(", "&amp;$B59&amp;", ",", "&amp;'Hoạt động (Đơn của tôi)'!$B$7:$B$500&amp;", ")),--('Hoạt động (Đơn của tôi)'!$AT$7:$AT$500="N/A"))+SUMPRODUCT(--ISNUMBER(SEARCH(", "&amp;$B59&amp;", ",", "&amp;'Ghép nối'!$B$7:$B$500&amp;", ")),--('Ghép nối'!$AT$7:$AT$500="N/A"))+SUMPRODUCT(--ISNUMBER(SEARCH(", "&amp;$B59&amp;", ",", "&amp;'Huỷ đơn - Huỷ nhận đơn'!$B$7:$B$500&amp;", ")),--('Huỷ đơn - Huỷ nhận đơn'!$AT$7:$AT$500="N/A"))+SUMPRODUCT(--ISNUMBER(SEARCH(", "&amp;$B59&amp;", ",", "&amp;'Giao nhận &amp; Theo dõi đơn'!$B$7:$B$500&amp;", ")),--('Giao nhận &amp; Theo dõi đơn'!$AT$7:$AT$500="N/A"))+SUMPRODUCT(--ISNUMBER(SEARCH(", "&amp;$B59&amp;", ",", "&amp;'Bảng tin &amp; Chi tiết tin'!$B$7:$B$500&amp;", ")),--('Bảng tin &amp; Chi tiết tin'!$AT$7:$AT$500="N/A"))+SUMPRODUCT(--ISNUMBER(SEARCH(", "&amp;$B59&amp;", ",", "&amp;'Quà cảm ơn'!$B$7:$B$500&amp;", ")),--('Quà cảm ơn'!$AT$7:$AT$500="N/A"))+SUMPRODUCT(--ISNUMBER(SEARCH(", "&amp;$B59&amp;", ",", "&amp;'Trang chủ'!$B$7:$B$500&amp;", ")),--('Trang chủ'!$AT$7:$AT$500="N/A"))+SUMPRODUCT(--ISNUMBER(SEARCH(", "&amp;$B59&amp;", ",", "&amp;'Thông báo'!$B$7:$B$500&amp;", ")),--('Thông báo'!$AT$7:$AT$500="N/A"))+SUMPRODUCT(--ISNUMBER(SEARCH(", "&amp;$B59&amp;", ",", "&amp;'Đăng tin &amp; Quản lý tin'!$B$7:$B$500&amp;", ")),--('Đăng tin &amp; Quản lý tin'!$AT$7:$AT$500="N/A"))+SUMPRODUCT(--ISNUMBER(SEARCH(", "&amp;$B59&amp;", ",", "&amp;'Trust &amp; Safety'!$B$7:$B$500&amp;", ")),--('Trust &amp; Safety'!$AT$7:$AT$500="N/A"))+SUMPRODUCT(--ISNUMBER(SEARCH(", "&amp;$B59&amp;", ",", "&amp;'Tài khoản &amp; Hồ sơ'!$B$7:$B$500&amp;", ")),--('Tài khoản &amp; Hồ sơ'!$AT$7:$AT$500="N/A"))</f>
        <v>0</v>
      </c>
      <c r="K59" s="52" t="n">
        <f aca="false">IFERROR(F59/E59,0)</f>
        <v>1</v>
      </c>
      <c r="L59" s="124" t="str">
        <f aca="false">IF(E59=0,"Chưa có TC (gap)",IF(H59&gt;0,"Có lỗi (Fail)",IF(I59&gt;0,"Bị block",IF(F59&lt;E59,"Đang test",IF(G59=0,"Không áp dụng (N/A)","Đã test xong")))))</f>
        <v>Đã test xong</v>
      </c>
      <c r="AB59" s="0" t="s">
        <v>531</v>
      </c>
    </row>
    <row r="60" customFormat="false" ht="15.75" hidden="false" customHeight="true" outlineLevel="0" collapsed="false">
      <c r="A60" s="1"/>
      <c r="B60" s="176" t="s">
        <v>662</v>
      </c>
      <c r="C60" s="177" t="s">
        <v>663</v>
      </c>
      <c r="D60" s="124" t="s">
        <v>664</v>
      </c>
      <c r="E60" s="51" t="n">
        <f aca="false">SUMPRODUCT(--ISNUMBER(SEARCH(", "&amp;$B60&amp;", ",", "&amp;'Hoạt động (Đơn của tôi)'!$B$7:$B$500&amp;", ")))+SUMPRODUCT(--ISNUMBER(SEARCH(", "&amp;$B60&amp;", ",", "&amp;'Ghép nối'!$B$7:$B$500&amp;", ")))+SUMPRODUCT(--ISNUMBER(SEARCH(", "&amp;$B60&amp;", ",", "&amp;'Huỷ đơn - Huỷ nhận đơn'!$B$7:$B$500&amp;", ")))+SUMPRODUCT(--ISNUMBER(SEARCH(", "&amp;$B60&amp;", ",", "&amp;'Giao nhận &amp; Theo dõi đơn'!$B$7:$B$500&amp;", ")))+SUMPRODUCT(--ISNUMBER(SEARCH(", "&amp;$B60&amp;", ",", "&amp;'Bảng tin &amp; Chi tiết tin'!$B$7:$B$500&amp;", ")))+SUMPRODUCT(--ISNUMBER(SEARCH(", "&amp;$B60&amp;", ",", "&amp;'Quà cảm ơn'!$B$7:$B$500&amp;", ")))+SUMPRODUCT(--ISNUMBER(SEARCH(", "&amp;$B60&amp;", ",", "&amp;'Trang chủ'!$B$7:$B$500&amp;", ")))+SUMPRODUCT(--ISNUMBER(SEARCH(", "&amp;$B60&amp;", ",", "&amp;'Thông báo'!$B$7:$B$500&amp;", ")))+SUMPRODUCT(--ISNUMBER(SEARCH(", "&amp;$B60&amp;", ",", "&amp;'Đăng tin &amp; Quản lý tin'!$B$7:$B$500&amp;", ")))+SUMPRODUCT(--ISNUMBER(SEARCH(", "&amp;$B60&amp;", ",", "&amp;'Trust &amp; Safety'!$B$7:$B$500&amp;", ")))+SUMPRODUCT(--ISNUMBER(SEARCH(", "&amp;$B60&amp;", ",", "&amp;'Tài khoản &amp; Hồ sơ'!$B$7:$B$500&amp;", ")))</f>
        <v>3</v>
      </c>
      <c r="F60" s="51" t="n">
        <f aca="false">SUMPRODUCT(--ISNUMBER(SEARCH(", "&amp;$B60&amp;", ",", "&amp;'Hoạt động (Đơn của tôi)'!$B$7:$B$500&amp;", ")),--('Hoạt động (Đơn của tôi)'!$AT$7:$AT$500&lt;&gt;""))+SUMPRODUCT(--ISNUMBER(SEARCH(", "&amp;$B60&amp;", ",", "&amp;'Ghép nối'!$B$7:$B$500&amp;", ")),--('Ghép nối'!$AT$7:$AT$500&lt;&gt;""))+SUMPRODUCT(--ISNUMBER(SEARCH(", "&amp;$B60&amp;", ",", "&amp;'Huỷ đơn - Huỷ nhận đơn'!$B$7:$B$500&amp;", ")),--('Huỷ đơn - Huỷ nhận đơn'!$AT$7:$AT$500&lt;&gt;""))+SUMPRODUCT(--ISNUMBER(SEARCH(", "&amp;$B60&amp;", ",", "&amp;'Giao nhận &amp; Theo dõi đơn'!$B$7:$B$500&amp;", ")),--('Giao nhận &amp; Theo dõi đơn'!$AT$7:$AT$500&lt;&gt;""))+SUMPRODUCT(--ISNUMBER(SEARCH(", "&amp;$B60&amp;", ",", "&amp;'Bảng tin &amp; Chi tiết tin'!$B$7:$B$500&amp;", ")),--('Bảng tin &amp; Chi tiết tin'!$AT$7:$AT$500&lt;&gt;""))+SUMPRODUCT(--ISNUMBER(SEARCH(", "&amp;$B60&amp;", ",", "&amp;'Quà cảm ơn'!$B$7:$B$500&amp;", ")),--('Quà cảm ơn'!$AT$7:$AT$500&lt;&gt;""))+SUMPRODUCT(--ISNUMBER(SEARCH(", "&amp;$B60&amp;", ",", "&amp;'Trang chủ'!$B$7:$B$500&amp;", ")),--('Trang chủ'!$AT$7:$AT$500&lt;&gt;""))+SUMPRODUCT(--ISNUMBER(SEARCH(", "&amp;$B60&amp;", ",", "&amp;'Thông báo'!$B$7:$B$500&amp;", ")),--('Thông báo'!$AT$7:$AT$500&lt;&gt;""))+SUMPRODUCT(--ISNUMBER(SEARCH(", "&amp;$B60&amp;", ",", "&amp;'Đăng tin &amp; Quản lý tin'!$B$7:$B$500&amp;", ")),--('Đăng tin &amp; Quản lý tin'!$AT$7:$AT$500&lt;&gt;""))+SUMPRODUCT(--ISNUMBER(SEARCH(", "&amp;$B60&amp;", ",", "&amp;'Trust &amp; Safety'!$B$7:$B$500&amp;", ")),--('Trust &amp; Safety'!$AT$7:$AT$500&lt;&gt;""))+SUMPRODUCT(--ISNUMBER(SEARCH(", "&amp;$B60&amp;", ",", "&amp;'Tài khoản &amp; Hồ sơ'!$B$7:$B$500&amp;", ")),--('Tài khoản &amp; Hồ sơ'!$AT$7:$AT$500&lt;&gt;""))</f>
        <v>3</v>
      </c>
      <c r="G60" s="51" t="n">
        <f aca="false">SUMPRODUCT(--ISNUMBER(SEARCH(", "&amp;$B60&amp;", ",", "&amp;'Hoạt động (Đơn của tôi)'!$B$7:$B$500&amp;", ")),--('Hoạt động (Đơn của tôi)'!$AT$7:$AT$500="Pass"))+SUMPRODUCT(--ISNUMBER(SEARCH(", "&amp;$B60&amp;", ",", "&amp;'Ghép nối'!$B$7:$B$500&amp;", ")),--('Ghép nối'!$AT$7:$AT$500="Pass"))+SUMPRODUCT(--ISNUMBER(SEARCH(", "&amp;$B60&amp;", ",", "&amp;'Huỷ đơn - Huỷ nhận đơn'!$B$7:$B$500&amp;", ")),--('Huỷ đơn - Huỷ nhận đơn'!$AT$7:$AT$500="Pass"))+SUMPRODUCT(--ISNUMBER(SEARCH(", "&amp;$B60&amp;", ",", "&amp;'Giao nhận &amp; Theo dõi đơn'!$B$7:$B$500&amp;", ")),--('Giao nhận &amp; Theo dõi đơn'!$AT$7:$AT$500="Pass"))+SUMPRODUCT(--ISNUMBER(SEARCH(", "&amp;$B60&amp;", ",", "&amp;'Bảng tin &amp; Chi tiết tin'!$B$7:$B$500&amp;", ")),--('Bảng tin &amp; Chi tiết tin'!$AT$7:$AT$500="Pass"))+SUMPRODUCT(--ISNUMBER(SEARCH(", "&amp;$B60&amp;", ",", "&amp;'Quà cảm ơn'!$B$7:$B$500&amp;", ")),--('Quà cảm ơn'!$AT$7:$AT$500="Pass"))+SUMPRODUCT(--ISNUMBER(SEARCH(", "&amp;$B60&amp;", ",", "&amp;'Trang chủ'!$B$7:$B$500&amp;", ")),--('Trang chủ'!$AT$7:$AT$500="Pass"))+SUMPRODUCT(--ISNUMBER(SEARCH(", "&amp;$B60&amp;", ",", "&amp;'Thông báo'!$B$7:$B$500&amp;", ")),--('Thông báo'!$AT$7:$AT$500="Pass"))+SUMPRODUCT(--ISNUMBER(SEARCH(", "&amp;$B60&amp;", ",", "&amp;'Đăng tin &amp; Quản lý tin'!$B$7:$B$500&amp;", ")),--('Đăng tin &amp; Quản lý tin'!$AT$7:$AT$500="Pass"))+SUMPRODUCT(--ISNUMBER(SEARCH(", "&amp;$B60&amp;", ",", "&amp;'Trust &amp; Safety'!$B$7:$B$500&amp;", ")),--('Trust &amp; Safety'!$AT$7:$AT$500="Pass"))+SUMPRODUCT(--ISNUMBER(SEARCH(", "&amp;$B60&amp;", ",", "&amp;'Tài khoản &amp; Hồ sơ'!$B$7:$B$500&amp;", ")),--('Tài khoản &amp; Hồ sơ'!$AT$7:$AT$500="Pass"))</f>
        <v>3</v>
      </c>
      <c r="H60" s="51" t="n">
        <f aca="false">SUMPRODUCT(--ISNUMBER(SEARCH(", "&amp;$B60&amp;", ",", "&amp;'Hoạt động (Đơn của tôi)'!$B$7:$B$500&amp;", ")),--('Hoạt động (Đơn của tôi)'!$AT$7:$AT$500="Fail"))+SUMPRODUCT(--ISNUMBER(SEARCH(", "&amp;$B60&amp;", ",", "&amp;'Ghép nối'!$B$7:$B$500&amp;", ")),--('Ghép nối'!$AT$7:$AT$500="Fail"))+SUMPRODUCT(--ISNUMBER(SEARCH(", "&amp;$B60&amp;", ",", "&amp;'Huỷ đơn - Huỷ nhận đơn'!$B$7:$B$500&amp;", ")),--('Huỷ đơn - Huỷ nhận đơn'!$AT$7:$AT$500="Fail"))+SUMPRODUCT(--ISNUMBER(SEARCH(", "&amp;$B60&amp;", ",", "&amp;'Giao nhận &amp; Theo dõi đơn'!$B$7:$B$500&amp;", ")),--('Giao nhận &amp; Theo dõi đơn'!$AT$7:$AT$500="Fail"))+SUMPRODUCT(--ISNUMBER(SEARCH(", "&amp;$B60&amp;", ",", "&amp;'Bảng tin &amp; Chi tiết tin'!$B$7:$B$500&amp;", ")),--('Bảng tin &amp; Chi tiết tin'!$AT$7:$AT$500="Fail"))+SUMPRODUCT(--ISNUMBER(SEARCH(", "&amp;$B60&amp;", ",", "&amp;'Quà cảm ơn'!$B$7:$B$500&amp;", ")),--('Quà cảm ơn'!$AT$7:$AT$500="Fail"))+SUMPRODUCT(--ISNUMBER(SEARCH(", "&amp;$B60&amp;", ",", "&amp;'Trang chủ'!$B$7:$B$500&amp;", ")),--('Trang chủ'!$AT$7:$AT$500="Fail"))+SUMPRODUCT(--ISNUMBER(SEARCH(", "&amp;$B60&amp;", ",", "&amp;'Thông báo'!$B$7:$B$500&amp;", ")),--('Thông báo'!$AT$7:$AT$500="Fail"))+SUMPRODUCT(--ISNUMBER(SEARCH(", "&amp;$B60&amp;", ",", "&amp;'Đăng tin &amp; Quản lý tin'!$B$7:$B$500&amp;", ")),--('Đăng tin &amp; Quản lý tin'!$AT$7:$AT$500="Fail"))+SUMPRODUCT(--ISNUMBER(SEARCH(", "&amp;$B60&amp;", ",", "&amp;'Trust &amp; Safety'!$B$7:$B$500&amp;", ")),--('Trust &amp; Safety'!$AT$7:$AT$500="Fail"))+SUMPRODUCT(--ISNUMBER(SEARCH(", "&amp;$B60&amp;", ",", "&amp;'Tài khoản &amp; Hồ sơ'!$B$7:$B$500&amp;", ")),--('Tài khoản &amp; Hồ sơ'!$AT$7:$AT$500="Fail"))</f>
        <v>0</v>
      </c>
      <c r="I60" s="51" t="n">
        <f aca="false">SUMPRODUCT(--ISNUMBER(SEARCH(", "&amp;$B60&amp;", ",", "&amp;'Hoạt động (Đơn của tôi)'!$B$7:$B$500&amp;", ")),--('Hoạt động (Đơn của tôi)'!$AT$7:$AT$500="Block"))+SUMPRODUCT(--ISNUMBER(SEARCH(", "&amp;$B60&amp;", ",", "&amp;'Ghép nối'!$B$7:$B$500&amp;", ")),--('Ghép nối'!$AT$7:$AT$500="Block"))+SUMPRODUCT(--ISNUMBER(SEARCH(", "&amp;$B60&amp;", ",", "&amp;'Huỷ đơn - Huỷ nhận đơn'!$B$7:$B$500&amp;", ")),--('Huỷ đơn - Huỷ nhận đơn'!$AT$7:$AT$500="Block"))+SUMPRODUCT(--ISNUMBER(SEARCH(", "&amp;$B60&amp;", ",", "&amp;'Giao nhận &amp; Theo dõi đơn'!$B$7:$B$500&amp;", ")),--('Giao nhận &amp; Theo dõi đơn'!$AT$7:$AT$500="Block"))+SUMPRODUCT(--ISNUMBER(SEARCH(", "&amp;$B60&amp;", ",", "&amp;'Bảng tin &amp; Chi tiết tin'!$B$7:$B$500&amp;", ")),--('Bảng tin &amp; Chi tiết tin'!$AT$7:$AT$500="Block"))+SUMPRODUCT(--ISNUMBER(SEARCH(", "&amp;$B60&amp;", ",", "&amp;'Quà cảm ơn'!$B$7:$B$500&amp;", ")),--('Quà cảm ơn'!$AT$7:$AT$500="Block"))+SUMPRODUCT(--ISNUMBER(SEARCH(", "&amp;$B60&amp;", ",", "&amp;'Trang chủ'!$B$7:$B$500&amp;", ")),--('Trang chủ'!$AT$7:$AT$500="Block"))+SUMPRODUCT(--ISNUMBER(SEARCH(", "&amp;$B60&amp;", ",", "&amp;'Thông báo'!$B$7:$B$500&amp;", ")),--('Thông báo'!$AT$7:$AT$500="Block"))+SUMPRODUCT(--ISNUMBER(SEARCH(", "&amp;$B60&amp;", ",", "&amp;'Đăng tin &amp; Quản lý tin'!$B$7:$B$500&amp;", ")),--('Đăng tin &amp; Quản lý tin'!$AT$7:$AT$500="Block"))+SUMPRODUCT(--ISNUMBER(SEARCH(", "&amp;$B60&amp;", ",", "&amp;'Trust &amp; Safety'!$B$7:$B$500&amp;", ")),--('Trust &amp; Safety'!$AT$7:$AT$500="Block"))+SUMPRODUCT(--ISNUMBER(SEARCH(", "&amp;$B60&amp;", ",", "&amp;'Tài khoản &amp; Hồ sơ'!$B$7:$B$500&amp;", ")),--('Tài khoản &amp; Hồ sơ'!$AT$7:$AT$500="Block"))</f>
        <v>0</v>
      </c>
      <c r="J60" s="51" t="n">
        <f aca="false">SUMPRODUCT(--ISNUMBER(SEARCH(", "&amp;$B60&amp;", ",", "&amp;'Hoạt động (Đơn của tôi)'!$B$7:$B$500&amp;", ")),--('Hoạt động (Đơn của tôi)'!$AT$7:$AT$500="N/A"))+SUMPRODUCT(--ISNUMBER(SEARCH(", "&amp;$B60&amp;", ",", "&amp;'Ghép nối'!$B$7:$B$500&amp;", ")),--('Ghép nối'!$AT$7:$AT$500="N/A"))+SUMPRODUCT(--ISNUMBER(SEARCH(", "&amp;$B60&amp;", ",", "&amp;'Huỷ đơn - Huỷ nhận đơn'!$B$7:$B$500&amp;", ")),--('Huỷ đơn - Huỷ nhận đơn'!$AT$7:$AT$500="N/A"))+SUMPRODUCT(--ISNUMBER(SEARCH(", "&amp;$B60&amp;", ",", "&amp;'Giao nhận &amp; Theo dõi đơn'!$B$7:$B$500&amp;", ")),--('Giao nhận &amp; Theo dõi đơn'!$AT$7:$AT$500="N/A"))+SUMPRODUCT(--ISNUMBER(SEARCH(", "&amp;$B60&amp;", ",", "&amp;'Bảng tin &amp; Chi tiết tin'!$B$7:$B$500&amp;", ")),--('Bảng tin &amp; Chi tiết tin'!$AT$7:$AT$500="N/A"))+SUMPRODUCT(--ISNUMBER(SEARCH(", "&amp;$B60&amp;", ",", "&amp;'Quà cảm ơn'!$B$7:$B$500&amp;", ")),--('Quà cảm ơn'!$AT$7:$AT$500="N/A"))+SUMPRODUCT(--ISNUMBER(SEARCH(", "&amp;$B60&amp;", ",", "&amp;'Trang chủ'!$B$7:$B$500&amp;", ")),--('Trang chủ'!$AT$7:$AT$500="N/A"))+SUMPRODUCT(--ISNUMBER(SEARCH(", "&amp;$B60&amp;", ",", "&amp;'Thông báo'!$B$7:$B$500&amp;", ")),--('Thông báo'!$AT$7:$AT$500="N/A"))+SUMPRODUCT(--ISNUMBER(SEARCH(", "&amp;$B60&amp;", ",", "&amp;'Đăng tin &amp; Quản lý tin'!$B$7:$B$500&amp;", ")),--('Đăng tin &amp; Quản lý tin'!$AT$7:$AT$500="N/A"))+SUMPRODUCT(--ISNUMBER(SEARCH(", "&amp;$B60&amp;", ",", "&amp;'Trust &amp; Safety'!$B$7:$B$500&amp;", ")),--('Trust &amp; Safety'!$AT$7:$AT$500="N/A"))+SUMPRODUCT(--ISNUMBER(SEARCH(", "&amp;$B60&amp;", ",", "&amp;'Tài khoản &amp; Hồ sơ'!$B$7:$B$500&amp;", ")),--('Tài khoản &amp; Hồ sơ'!$AT$7:$AT$500="N/A"))</f>
        <v>0</v>
      </c>
      <c r="K60" s="52" t="n">
        <f aca="false">IFERROR(F60/E60,0)</f>
        <v>1</v>
      </c>
      <c r="L60" s="124" t="str">
        <f aca="false">IF(E60=0,"Chưa có TC (gap)",IF(H60&gt;0,"Có lỗi (Fail)",IF(I60&gt;0,"Bị block",IF(F60&lt;E60,"Đang test",IF(G60=0,"Không áp dụng (N/A)","Đã test xong")))))</f>
        <v>Đã test xong</v>
      </c>
      <c r="AB60" s="0" t="s">
        <v>531</v>
      </c>
    </row>
    <row r="61" customFormat="false" ht="15.75" hidden="false" customHeight="true" outlineLevel="0" collapsed="false">
      <c r="A61" s="1"/>
      <c r="B61" s="176" t="s">
        <v>665</v>
      </c>
      <c r="C61" s="177" t="s">
        <v>666</v>
      </c>
      <c r="D61" s="124" t="s">
        <v>506</v>
      </c>
      <c r="E61" s="51" t="n">
        <f aca="false">SUMPRODUCT(--ISNUMBER(SEARCH(", "&amp;$B61&amp;", ",", "&amp;'Hoạt động (Đơn của tôi)'!$B$7:$B$500&amp;", ")))+SUMPRODUCT(--ISNUMBER(SEARCH(", "&amp;$B61&amp;", ",", "&amp;'Ghép nối'!$B$7:$B$500&amp;", ")))+SUMPRODUCT(--ISNUMBER(SEARCH(", "&amp;$B61&amp;", ",", "&amp;'Huỷ đơn - Huỷ nhận đơn'!$B$7:$B$500&amp;", ")))+SUMPRODUCT(--ISNUMBER(SEARCH(", "&amp;$B61&amp;", ",", "&amp;'Giao nhận &amp; Theo dõi đơn'!$B$7:$B$500&amp;", ")))+SUMPRODUCT(--ISNUMBER(SEARCH(", "&amp;$B61&amp;", ",", "&amp;'Bảng tin &amp; Chi tiết tin'!$B$7:$B$500&amp;", ")))+SUMPRODUCT(--ISNUMBER(SEARCH(", "&amp;$B61&amp;", ",", "&amp;'Quà cảm ơn'!$B$7:$B$500&amp;", ")))+SUMPRODUCT(--ISNUMBER(SEARCH(", "&amp;$B61&amp;", ",", "&amp;'Trang chủ'!$B$7:$B$500&amp;", ")))+SUMPRODUCT(--ISNUMBER(SEARCH(", "&amp;$B61&amp;", ",", "&amp;'Thông báo'!$B$7:$B$500&amp;", ")))+SUMPRODUCT(--ISNUMBER(SEARCH(", "&amp;$B61&amp;", ",", "&amp;'Đăng tin &amp; Quản lý tin'!$B$7:$B$500&amp;", ")))+SUMPRODUCT(--ISNUMBER(SEARCH(", "&amp;$B61&amp;", ",", "&amp;'Trust &amp; Safety'!$B$7:$B$500&amp;", ")))+SUMPRODUCT(--ISNUMBER(SEARCH(", "&amp;$B61&amp;", ",", "&amp;'Tài khoản &amp; Hồ sơ'!$B$7:$B$500&amp;", ")))</f>
        <v>2</v>
      </c>
      <c r="F61" s="51" t="n">
        <f aca="false">SUMPRODUCT(--ISNUMBER(SEARCH(", "&amp;$B61&amp;", ",", "&amp;'Hoạt động (Đơn của tôi)'!$B$7:$B$500&amp;", ")),--('Hoạt động (Đơn của tôi)'!$AT$7:$AT$500&lt;&gt;""))+SUMPRODUCT(--ISNUMBER(SEARCH(", "&amp;$B61&amp;", ",", "&amp;'Ghép nối'!$B$7:$B$500&amp;", ")),--('Ghép nối'!$AT$7:$AT$500&lt;&gt;""))+SUMPRODUCT(--ISNUMBER(SEARCH(", "&amp;$B61&amp;", ",", "&amp;'Huỷ đơn - Huỷ nhận đơn'!$B$7:$B$500&amp;", ")),--('Huỷ đơn - Huỷ nhận đơn'!$AT$7:$AT$500&lt;&gt;""))+SUMPRODUCT(--ISNUMBER(SEARCH(", "&amp;$B61&amp;", ",", "&amp;'Giao nhận &amp; Theo dõi đơn'!$B$7:$B$500&amp;", ")),--('Giao nhận &amp; Theo dõi đơn'!$AT$7:$AT$500&lt;&gt;""))+SUMPRODUCT(--ISNUMBER(SEARCH(", "&amp;$B61&amp;", ",", "&amp;'Bảng tin &amp; Chi tiết tin'!$B$7:$B$500&amp;", ")),--('Bảng tin &amp; Chi tiết tin'!$AT$7:$AT$500&lt;&gt;""))+SUMPRODUCT(--ISNUMBER(SEARCH(", "&amp;$B61&amp;", ",", "&amp;'Quà cảm ơn'!$B$7:$B$500&amp;", ")),--('Quà cảm ơn'!$AT$7:$AT$500&lt;&gt;""))+SUMPRODUCT(--ISNUMBER(SEARCH(", "&amp;$B61&amp;", ",", "&amp;'Trang chủ'!$B$7:$B$500&amp;", ")),--('Trang chủ'!$AT$7:$AT$500&lt;&gt;""))+SUMPRODUCT(--ISNUMBER(SEARCH(", "&amp;$B61&amp;", ",", "&amp;'Thông báo'!$B$7:$B$500&amp;", ")),--('Thông báo'!$AT$7:$AT$500&lt;&gt;""))+SUMPRODUCT(--ISNUMBER(SEARCH(", "&amp;$B61&amp;", ",", "&amp;'Đăng tin &amp; Quản lý tin'!$B$7:$B$500&amp;", ")),--('Đăng tin &amp; Quản lý tin'!$AT$7:$AT$500&lt;&gt;""))+SUMPRODUCT(--ISNUMBER(SEARCH(", "&amp;$B61&amp;", ",", "&amp;'Trust &amp; Safety'!$B$7:$B$500&amp;", ")),--('Trust &amp; Safety'!$AT$7:$AT$500&lt;&gt;""))+SUMPRODUCT(--ISNUMBER(SEARCH(", "&amp;$B61&amp;", ",", "&amp;'Tài khoản &amp; Hồ sơ'!$B$7:$B$500&amp;", ")),--('Tài khoản &amp; Hồ sơ'!$AT$7:$AT$500&lt;&gt;""))</f>
        <v>2</v>
      </c>
      <c r="G61" s="51" t="n">
        <f aca="false">SUMPRODUCT(--ISNUMBER(SEARCH(", "&amp;$B61&amp;", ",", "&amp;'Hoạt động (Đơn của tôi)'!$B$7:$B$500&amp;", ")),--('Hoạt động (Đơn của tôi)'!$AT$7:$AT$500="Pass"))+SUMPRODUCT(--ISNUMBER(SEARCH(", "&amp;$B61&amp;", ",", "&amp;'Ghép nối'!$B$7:$B$500&amp;", ")),--('Ghép nối'!$AT$7:$AT$500="Pass"))+SUMPRODUCT(--ISNUMBER(SEARCH(", "&amp;$B61&amp;", ",", "&amp;'Huỷ đơn - Huỷ nhận đơn'!$B$7:$B$500&amp;", ")),--('Huỷ đơn - Huỷ nhận đơn'!$AT$7:$AT$500="Pass"))+SUMPRODUCT(--ISNUMBER(SEARCH(", "&amp;$B61&amp;", ",", "&amp;'Giao nhận &amp; Theo dõi đơn'!$B$7:$B$500&amp;", ")),--('Giao nhận &amp; Theo dõi đơn'!$AT$7:$AT$500="Pass"))+SUMPRODUCT(--ISNUMBER(SEARCH(", "&amp;$B61&amp;", ",", "&amp;'Bảng tin &amp; Chi tiết tin'!$B$7:$B$500&amp;", ")),--('Bảng tin &amp; Chi tiết tin'!$AT$7:$AT$500="Pass"))+SUMPRODUCT(--ISNUMBER(SEARCH(", "&amp;$B61&amp;", ",", "&amp;'Quà cảm ơn'!$B$7:$B$500&amp;", ")),--('Quà cảm ơn'!$AT$7:$AT$500="Pass"))+SUMPRODUCT(--ISNUMBER(SEARCH(", "&amp;$B61&amp;", ",", "&amp;'Trang chủ'!$B$7:$B$500&amp;", ")),--('Trang chủ'!$AT$7:$AT$500="Pass"))+SUMPRODUCT(--ISNUMBER(SEARCH(", "&amp;$B61&amp;", ",", "&amp;'Thông báo'!$B$7:$B$500&amp;", ")),--('Thông báo'!$AT$7:$AT$500="Pass"))+SUMPRODUCT(--ISNUMBER(SEARCH(", "&amp;$B61&amp;", ",", "&amp;'Đăng tin &amp; Quản lý tin'!$B$7:$B$500&amp;", ")),--('Đăng tin &amp; Quản lý tin'!$AT$7:$AT$500="Pass"))+SUMPRODUCT(--ISNUMBER(SEARCH(", "&amp;$B61&amp;", ",", "&amp;'Trust &amp; Safety'!$B$7:$B$500&amp;", ")),--('Trust &amp; Safety'!$AT$7:$AT$500="Pass"))+SUMPRODUCT(--ISNUMBER(SEARCH(", "&amp;$B61&amp;", ",", "&amp;'Tài khoản &amp; Hồ sơ'!$B$7:$B$500&amp;", ")),--('Tài khoản &amp; Hồ sơ'!$AT$7:$AT$500="Pass"))</f>
        <v>2</v>
      </c>
      <c r="H61" s="51" t="n">
        <f aca="false">SUMPRODUCT(--ISNUMBER(SEARCH(", "&amp;$B61&amp;", ",", "&amp;'Hoạt động (Đơn của tôi)'!$B$7:$B$500&amp;", ")),--('Hoạt động (Đơn của tôi)'!$AT$7:$AT$500="Fail"))+SUMPRODUCT(--ISNUMBER(SEARCH(", "&amp;$B61&amp;", ",", "&amp;'Ghép nối'!$B$7:$B$500&amp;", ")),--('Ghép nối'!$AT$7:$AT$500="Fail"))+SUMPRODUCT(--ISNUMBER(SEARCH(", "&amp;$B61&amp;", ",", "&amp;'Huỷ đơn - Huỷ nhận đơn'!$B$7:$B$500&amp;", ")),--('Huỷ đơn - Huỷ nhận đơn'!$AT$7:$AT$500="Fail"))+SUMPRODUCT(--ISNUMBER(SEARCH(", "&amp;$B61&amp;", ",", "&amp;'Giao nhận &amp; Theo dõi đơn'!$B$7:$B$500&amp;", ")),--('Giao nhận &amp; Theo dõi đơn'!$AT$7:$AT$500="Fail"))+SUMPRODUCT(--ISNUMBER(SEARCH(", "&amp;$B61&amp;", ",", "&amp;'Bảng tin &amp; Chi tiết tin'!$B$7:$B$500&amp;", ")),--('Bảng tin &amp; Chi tiết tin'!$AT$7:$AT$500="Fail"))+SUMPRODUCT(--ISNUMBER(SEARCH(", "&amp;$B61&amp;", ",", "&amp;'Quà cảm ơn'!$B$7:$B$500&amp;", ")),--('Quà cảm ơn'!$AT$7:$AT$500="Fail"))+SUMPRODUCT(--ISNUMBER(SEARCH(", "&amp;$B61&amp;", ",", "&amp;'Trang chủ'!$B$7:$B$500&amp;", ")),--('Trang chủ'!$AT$7:$AT$500="Fail"))+SUMPRODUCT(--ISNUMBER(SEARCH(", "&amp;$B61&amp;", ",", "&amp;'Thông báo'!$B$7:$B$500&amp;", ")),--('Thông báo'!$AT$7:$AT$500="Fail"))+SUMPRODUCT(--ISNUMBER(SEARCH(", "&amp;$B61&amp;", ",", "&amp;'Đăng tin &amp; Quản lý tin'!$B$7:$B$500&amp;", ")),--('Đăng tin &amp; Quản lý tin'!$AT$7:$AT$500="Fail"))+SUMPRODUCT(--ISNUMBER(SEARCH(", "&amp;$B61&amp;", ",", "&amp;'Trust &amp; Safety'!$B$7:$B$500&amp;", ")),--('Trust &amp; Safety'!$AT$7:$AT$500="Fail"))+SUMPRODUCT(--ISNUMBER(SEARCH(", "&amp;$B61&amp;", ",", "&amp;'Tài khoản &amp; Hồ sơ'!$B$7:$B$500&amp;", ")),--('Tài khoản &amp; Hồ sơ'!$AT$7:$AT$500="Fail"))</f>
        <v>0</v>
      </c>
      <c r="I61" s="51" t="n">
        <f aca="false">SUMPRODUCT(--ISNUMBER(SEARCH(", "&amp;$B61&amp;", ",", "&amp;'Hoạt động (Đơn của tôi)'!$B$7:$B$500&amp;", ")),--('Hoạt động (Đơn của tôi)'!$AT$7:$AT$500="Block"))+SUMPRODUCT(--ISNUMBER(SEARCH(", "&amp;$B61&amp;", ",", "&amp;'Ghép nối'!$B$7:$B$500&amp;", ")),--('Ghép nối'!$AT$7:$AT$500="Block"))+SUMPRODUCT(--ISNUMBER(SEARCH(", "&amp;$B61&amp;", ",", "&amp;'Huỷ đơn - Huỷ nhận đơn'!$B$7:$B$500&amp;", ")),--('Huỷ đơn - Huỷ nhận đơn'!$AT$7:$AT$500="Block"))+SUMPRODUCT(--ISNUMBER(SEARCH(", "&amp;$B61&amp;", ",", "&amp;'Giao nhận &amp; Theo dõi đơn'!$B$7:$B$500&amp;", ")),--('Giao nhận &amp; Theo dõi đơn'!$AT$7:$AT$500="Block"))+SUMPRODUCT(--ISNUMBER(SEARCH(", "&amp;$B61&amp;", ",", "&amp;'Bảng tin &amp; Chi tiết tin'!$B$7:$B$500&amp;", ")),--('Bảng tin &amp; Chi tiết tin'!$AT$7:$AT$500="Block"))+SUMPRODUCT(--ISNUMBER(SEARCH(", "&amp;$B61&amp;", ",", "&amp;'Quà cảm ơn'!$B$7:$B$500&amp;", ")),--('Quà cảm ơn'!$AT$7:$AT$500="Block"))+SUMPRODUCT(--ISNUMBER(SEARCH(", "&amp;$B61&amp;", ",", "&amp;'Trang chủ'!$B$7:$B$500&amp;", ")),--('Trang chủ'!$AT$7:$AT$500="Block"))+SUMPRODUCT(--ISNUMBER(SEARCH(", "&amp;$B61&amp;", ",", "&amp;'Thông báo'!$B$7:$B$500&amp;", ")),--('Thông báo'!$AT$7:$AT$500="Block"))+SUMPRODUCT(--ISNUMBER(SEARCH(", "&amp;$B61&amp;", ",", "&amp;'Đăng tin &amp; Quản lý tin'!$B$7:$B$500&amp;", ")),--('Đăng tin &amp; Quản lý tin'!$AT$7:$AT$500="Block"))+SUMPRODUCT(--ISNUMBER(SEARCH(", "&amp;$B61&amp;", ",", "&amp;'Trust &amp; Safety'!$B$7:$B$500&amp;", ")),--('Trust &amp; Safety'!$AT$7:$AT$500="Block"))+SUMPRODUCT(--ISNUMBER(SEARCH(", "&amp;$B61&amp;", ",", "&amp;'Tài khoản &amp; Hồ sơ'!$B$7:$B$500&amp;", ")),--('Tài khoản &amp; Hồ sơ'!$AT$7:$AT$500="Block"))</f>
        <v>0</v>
      </c>
      <c r="J61" s="51" t="n">
        <f aca="false">SUMPRODUCT(--ISNUMBER(SEARCH(", "&amp;$B61&amp;", ",", "&amp;'Hoạt động (Đơn của tôi)'!$B$7:$B$500&amp;", ")),--('Hoạt động (Đơn của tôi)'!$AT$7:$AT$500="N/A"))+SUMPRODUCT(--ISNUMBER(SEARCH(", "&amp;$B61&amp;", ",", "&amp;'Ghép nối'!$B$7:$B$500&amp;", ")),--('Ghép nối'!$AT$7:$AT$500="N/A"))+SUMPRODUCT(--ISNUMBER(SEARCH(", "&amp;$B61&amp;", ",", "&amp;'Huỷ đơn - Huỷ nhận đơn'!$B$7:$B$500&amp;", ")),--('Huỷ đơn - Huỷ nhận đơn'!$AT$7:$AT$500="N/A"))+SUMPRODUCT(--ISNUMBER(SEARCH(", "&amp;$B61&amp;", ",", "&amp;'Giao nhận &amp; Theo dõi đơn'!$B$7:$B$500&amp;", ")),--('Giao nhận &amp; Theo dõi đơn'!$AT$7:$AT$500="N/A"))+SUMPRODUCT(--ISNUMBER(SEARCH(", "&amp;$B61&amp;", ",", "&amp;'Bảng tin &amp; Chi tiết tin'!$B$7:$B$500&amp;", ")),--('Bảng tin &amp; Chi tiết tin'!$AT$7:$AT$500="N/A"))+SUMPRODUCT(--ISNUMBER(SEARCH(", "&amp;$B61&amp;", ",", "&amp;'Quà cảm ơn'!$B$7:$B$500&amp;", ")),--('Quà cảm ơn'!$AT$7:$AT$500="N/A"))+SUMPRODUCT(--ISNUMBER(SEARCH(", "&amp;$B61&amp;", ",", "&amp;'Trang chủ'!$B$7:$B$500&amp;", ")),--('Trang chủ'!$AT$7:$AT$500="N/A"))+SUMPRODUCT(--ISNUMBER(SEARCH(", "&amp;$B61&amp;", ",", "&amp;'Thông báo'!$B$7:$B$500&amp;", ")),--('Thông báo'!$AT$7:$AT$500="N/A"))+SUMPRODUCT(--ISNUMBER(SEARCH(", "&amp;$B61&amp;", ",", "&amp;'Đăng tin &amp; Quản lý tin'!$B$7:$B$500&amp;", ")),--('Đăng tin &amp; Quản lý tin'!$AT$7:$AT$500="N/A"))+SUMPRODUCT(--ISNUMBER(SEARCH(", "&amp;$B61&amp;", ",", "&amp;'Trust &amp; Safety'!$B$7:$B$500&amp;", ")),--('Trust &amp; Safety'!$AT$7:$AT$500="N/A"))+SUMPRODUCT(--ISNUMBER(SEARCH(", "&amp;$B61&amp;", ",", "&amp;'Tài khoản &amp; Hồ sơ'!$B$7:$B$500&amp;", ")),--('Tài khoản &amp; Hồ sơ'!$AT$7:$AT$500="N/A"))</f>
        <v>0</v>
      </c>
      <c r="K61" s="52" t="n">
        <f aca="false">IFERROR(F61/E61,0)</f>
        <v>1</v>
      </c>
      <c r="L61" s="124" t="str">
        <f aca="false">IF(E61=0,"Chưa có TC (gap)",IF(H61&gt;0,"Có lỗi (Fail)",IF(I61&gt;0,"Bị block",IF(F61&lt;E61,"Đang test",IF(G61=0,"Không áp dụng (N/A)","Đã test xong")))))</f>
        <v>Đã test xong</v>
      </c>
      <c r="AB61" s="0" t="s">
        <v>531</v>
      </c>
    </row>
    <row r="62" customFormat="false" ht="15.75" hidden="false" customHeight="true" outlineLevel="0" collapsed="false">
      <c r="A62" s="1"/>
      <c r="B62" s="176" t="s">
        <v>667</v>
      </c>
      <c r="C62" s="177" t="s">
        <v>668</v>
      </c>
      <c r="D62" s="124" t="s">
        <v>669</v>
      </c>
      <c r="E62" s="51" t="n">
        <f aca="false">SUMPRODUCT(--ISNUMBER(SEARCH(", "&amp;$B62&amp;", ",", "&amp;'Hoạt động (Đơn của tôi)'!$B$7:$B$500&amp;", ")))+SUMPRODUCT(--ISNUMBER(SEARCH(", "&amp;$B62&amp;", ",", "&amp;'Ghép nối'!$B$7:$B$500&amp;", ")))+SUMPRODUCT(--ISNUMBER(SEARCH(", "&amp;$B62&amp;", ",", "&amp;'Huỷ đơn - Huỷ nhận đơn'!$B$7:$B$500&amp;", ")))+SUMPRODUCT(--ISNUMBER(SEARCH(", "&amp;$B62&amp;", ",", "&amp;'Giao nhận &amp; Theo dõi đơn'!$B$7:$B$500&amp;", ")))+SUMPRODUCT(--ISNUMBER(SEARCH(", "&amp;$B62&amp;", ",", "&amp;'Bảng tin &amp; Chi tiết tin'!$B$7:$B$500&amp;", ")))+SUMPRODUCT(--ISNUMBER(SEARCH(", "&amp;$B62&amp;", ",", "&amp;'Quà cảm ơn'!$B$7:$B$500&amp;", ")))+SUMPRODUCT(--ISNUMBER(SEARCH(", "&amp;$B62&amp;", ",", "&amp;'Trang chủ'!$B$7:$B$500&amp;", ")))+SUMPRODUCT(--ISNUMBER(SEARCH(", "&amp;$B62&amp;", ",", "&amp;'Thông báo'!$B$7:$B$500&amp;", ")))+SUMPRODUCT(--ISNUMBER(SEARCH(", "&amp;$B62&amp;", ",", "&amp;'Đăng tin &amp; Quản lý tin'!$B$7:$B$500&amp;", ")))+SUMPRODUCT(--ISNUMBER(SEARCH(", "&amp;$B62&amp;", ",", "&amp;'Trust &amp; Safety'!$B$7:$B$500&amp;", ")))+SUMPRODUCT(--ISNUMBER(SEARCH(", "&amp;$B62&amp;", ",", "&amp;'Tài khoản &amp; Hồ sơ'!$B$7:$B$500&amp;", ")))</f>
        <v>2</v>
      </c>
      <c r="F62" s="51" t="n">
        <f aca="false">SUMPRODUCT(--ISNUMBER(SEARCH(", "&amp;$B62&amp;", ",", "&amp;'Hoạt động (Đơn của tôi)'!$B$7:$B$500&amp;", ")),--('Hoạt động (Đơn của tôi)'!$AT$7:$AT$500&lt;&gt;""))+SUMPRODUCT(--ISNUMBER(SEARCH(", "&amp;$B62&amp;", ",", "&amp;'Ghép nối'!$B$7:$B$500&amp;", ")),--('Ghép nối'!$AT$7:$AT$500&lt;&gt;""))+SUMPRODUCT(--ISNUMBER(SEARCH(", "&amp;$B62&amp;", ",", "&amp;'Huỷ đơn - Huỷ nhận đơn'!$B$7:$B$500&amp;", ")),--('Huỷ đơn - Huỷ nhận đơn'!$AT$7:$AT$500&lt;&gt;""))+SUMPRODUCT(--ISNUMBER(SEARCH(", "&amp;$B62&amp;", ",", "&amp;'Giao nhận &amp; Theo dõi đơn'!$B$7:$B$500&amp;", ")),--('Giao nhận &amp; Theo dõi đơn'!$AT$7:$AT$500&lt;&gt;""))+SUMPRODUCT(--ISNUMBER(SEARCH(", "&amp;$B62&amp;", ",", "&amp;'Bảng tin &amp; Chi tiết tin'!$B$7:$B$500&amp;", ")),--('Bảng tin &amp; Chi tiết tin'!$AT$7:$AT$500&lt;&gt;""))+SUMPRODUCT(--ISNUMBER(SEARCH(", "&amp;$B62&amp;", ",", "&amp;'Quà cảm ơn'!$B$7:$B$500&amp;", ")),--('Quà cảm ơn'!$AT$7:$AT$500&lt;&gt;""))+SUMPRODUCT(--ISNUMBER(SEARCH(", "&amp;$B62&amp;", ",", "&amp;'Trang chủ'!$B$7:$B$500&amp;", ")),--('Trang chủ'!$AT$7:$AT$500&lt;&gt;""))+SUMPRODUCT(--ISNUMBER(SEARCH(", "&amp;$B62&amp;", ",", "&amp;'Thông báo'!$B$7:$B$500&amp;", ")),--('Thông báo'!$AT$7:$AT$500&lt;&gt;""))+SUMPRODUCT(--ISNUMBER(SEARCH(", "&amp;$B62&amp;", ",", "&amp;'Đăng tin &amp; Quản lý tin'!$B$7:$B$500&amp;", ")),--('Đăng tin &amp; Quản lý tin'!$AT$7:$AT$500&lt;&gt;""))+SUMPRODUCT(--ISNUMBER(SEARCH(", "&amp;$B62&amp;", ",", "&amp;'Trust &amp; Safety'!$B$7:$B$500&amp;", ")),--('Trust &amp; Safety'!$AT$7:$AT$500&lt;&gt;""))+SUMPRODUCT(--ISNUMBER(SEARCH(", "&amp;$B62&amp;", ",", "&amp;'Tài khoản &amp; Hồ sơ'!$B$7:$B$500&amp;", ")),--('Tài khoản &amp; Hồ sơ'!$AT$7:$AT$500&lt;&gt;""))</f>
        <v>2</v>
      </c>
      <c r="G62" s="51" t="n">
        <f aca="false">SUMPRODUCT(--ISNUMBER(SEARCH(", "&amp;$B62&amp;", ",", "&amp;'Hoạt động (Đơn của tôi)'!$B$7:$B$500&amp;", ")),--('Hoạt động (Đơn của tôi)'!$AT$7:$AT$500="Pass"))+SUMPRODUCT(--ISNUMBER(SEARCH(", "&amp;$B62&amp;", ",", "&amp;'Ghép nối'!$B$7:$B$500&amp;", ")),--('Ghép nối'!$AT$7:$AT$500="Pass"))+SUMPRODUCT(--ISNUMBER(SEARCH(", "&amp;$B62&amp;", ",", "&amp;'Huỷ đơn - Huỷ nhận đơn'!$B$7:$B$500&amp;", ")),--('Huỷ đơn - Huỷ nhận đơn'!$AT$7:$AT$500="Pass"))+SUMPRODUCT(--ISNUMBER(SEARCH(", "&amp;$B62&amp;", ",", "&amp;'Giao nhận &amp; Theo dõi đơn'!$B$7:$B$500&amp;", ")),--('Giao nhận &amp; Theo dõi đơn'!$AT$7:$AT$500="Pass"))+SUMPRODUCT(--ISNUMBER(SEARCH(", "&amp;$B62&amp;", ",", "&amp;'Bảng tin &amp; Chi tiết tin'!$B$7:$B$500&amp;", ")),--('Bảng tin &amp; Chi tiết tin'!$AT$7:$AT$500="Pass"))+SUMPRODUCT(--ISNUMBER(SEARCH(", "&amp;$B62&amp;", ",", "&amp;'Quà cảm ơn'!$B$7:$B$500&amp;", ")),--('Quà cảm ơn'!$AT$7:$AT$500="Pass"))+SUMPRODUCT(--ISNUMBER(SEARCH(", "&amp;$B62&amp;", ",", "&amp;'Trang chủ'!$B$7:$B$500&amp;", ")),--('Trang chủ'!$AT$7:$AT$500="Pass"))+SUMPRODUCT(--ISNUMBER(SEARCH(", "&amp;$B62&amp;", ",", "&amp;'Thông báo'!$B$7:$B$500&amp;", ")),--('Thông báo'!$AT$7:$AT$500="Pass"))+SUMPRODUCT(--ISNUMBER(SEARCH(", "&amp;$B62&amp;", ",", "&amp;'Đăng tin &amp; Quản lý tin'!$B$7:$B$500&amp;", ")),--('Đăng tin &amp; Quản lý tin'!$AT$7:$AT$500="Pass"))+SUMPRODUCT(--ISNUMBER(SEARCH(", "&amp;$B62&amp;", ",", "&amp;'Trust &amp; Safety'!$B$7:$B$500&amp;", ")),--('Trust &amp; Safety'!$AT$7:$AT$500="Pass"))+SUMPRODUCT(--ISNUMBER(SEARCH(", "&amp;$B62&amp;", ",", "&amp;'Tài khoản &amp; Hồ sơ'!$B$7:$B$500&amp;", ")),--('Tài khoản &amp; Hồ sơ'!$AT$7:$AT$500="Pass"))</f>
        <v>1</v>
      </c>
      <c r="H62" s="51" t="n">
        <f aca="false">SUMPRODUCT(--ISNUMBER(SEARCH(", "&amp;$B62&amp;", ",", "&amp;'Hoạt động (Đơn của tôi)'!$B$7:$B$500&amp;", ")),--('Hoạt động (Đơn của tôi)'!$AT$7:$AT$500="Fail"))+SUMPRODUCT(--ISNUMBER(SEARCH(", "&amp;$B62&amp;", ",", "&amp;'Ghép nối'!$B$7:$B$500&amp;", ")),--('Ghép nối'!$AT$7:$AT$500="Fail"))+SUMPRODUCT(--ISNUMBER(SEARCH(", "&amp;$B62&amp;", ",", "&amp;'Huỷ đơn - Huỷ nhận đơn'!$B$7:$B$500&amp;", ")),--('Huỷ đơn - Huỷ nhận đơn'!$AT$7:$AT$500="Fail"))+SUMPRODUCT(--ISNUMBER(SEARCH(", "&amp;$B62&amp;", ",", "&amp;'Giao nhận &amp; Theo dõi đơn'!$B$7:$B$500&amp;", ")),--('Giao nhận &amp; Theo dõi đơn'!$AT$7:$AT$500="Fail"))+SUMPRODUCT(--ISNUMBER(SEARCH(", "&amp;$B62&amp;", ",", "&amp;'Bảng tin &amp; Chi tiết tin'!$B$7:$B$500&amp;", ")),--('Bảng tin &amp; Chi tiết tin'!$AT$7:$AT$500="Fail"))+SUMPRODUCT(--ISNUMBER(SEARCH(", "&amp;$B62&amp;", ",", "&amp;'Quà cảm ơn'!$B$7:$B$500&amp;", ")),--('Quà cảm ơn'!$AT$7:$AT$500="Fail"))+SUMPRODUCT(--ISNUMBER(SEARCH(", "&amp;$B62&amp;", ",", "&amp;'Trang chủ'!$B$7:$B$500&amp;", ")),--('Trang chủ'!$AT$7:$AT$500="Fail"))+SUMPRODUCT(--ISNUMBER(SEARCH(", "&amp;$B62&amp;", ",", "&amp;'Thông báo'!$B$7:$B$500&amp;", ")),--('Thông báo'!$AT$7:$AT$500="Fail"))+SUMPRODUCT(--ISNUMBER(SEARCH(", "&amp;$B62&amp;", ",", "&amp;'Đăng tin &amp; Quản lý tin'!$B$7:$B$500&amp;", ")),--('Đăng tin &amp; Quản lý tin'!$AT$7:$AT$500="Fail"))+SUMPRODUCT(--ISNUMBER(SEARCH(", "&amp;$B62&amp;", ",", "&amp;'Trust &amp; Safety'!$B$7:$B$500&amp;", ")),--('Trust &amp; Safety'!$AT$7:$AT$500="Fail"))+SUMPRODUCT(--ISNUMBER(SEARCH(", "&amp;$B62&amp;", ",", "&amp;'Tài khoản &amp; Hồ sơ'!$B$7:$B$500&amp;", ")),--('Tài khoản &amp; Hồ sơ'!$AT$7:$AT$500="Fail"))</f>
        <v>1</v>
      </c>
      <c r="I62" s="51" t="n">
        <f aca="false">SUMPRODUCT(--ISNUMBER(SEARCH(", "&amp;$B62&amp;", ",", "&amp;'Hoạt động (Đơn của tôi)'!$B$7:$B$500&amp;", ")),--('Hoạt động (Đơn của tôi)'!$AT$7:$AT$500="Block"))+SUMPRODUCT(--ISNUMBER(SEARCH(", "&amp;$B62&amp;", ",", "&amp;'Ghép nối'!$B$7:$B$500&amp;", ")),--('Ghép nối'!$AT$7:$AT$500="Block"))+SUMPRODUCT(--ISNUMBER(SEARCH(", "&amp;$B62&amp;", ",", "&amp;'Huỷ đơn - Huỷ nhận đơn'!$B$7:$B$500&amp;", ")),--('Huỷ đơn - Huỷ nhận đơn'!$AT$7:$AT$500="Block"))+SUMPRODUCT(--ISNUMBER(SEARCH(", "&amp;$B62&amp;", ",", "&amp;'Giao nhận &amp; Theo dõi đơn'!$B$7:$B$500&amp;", ")),--('Giao nhận &amp; Theo dõi đơn'!$AT$7:$AT$500="Block"))+SUMPRODUCT(--ISNUMBER(SEARCH(", "&amp;$B62&amp;", ",", "&amp;'Bảng tin &amp; Chi tiết tin'!$B$7:$B$500&amp;", ")),--('Bảng tin &amp; Chi tiết tin'!$AT$7:$AT$500="Block"))+SUMPRODUCT(--ISNUMBER(SEARCH(", "&amp;$B62&amp;", ",", "&amp;'Quà cảm ơn'!$B$7:$B$500&amp;", ")),--('Quà cảm ơn'!$AT$7:$AT$500="Block"))+SUMPRODUCT(--ISNUMBER(SEARCH(", "&amp;$B62&amp;", ",", "&amp;'Trang chủ'!$B$7:$B$500&amp;", ")),--('Trang chủ'!$AT$7:$AT$500="Block"))+SUMPRODUCT(--ISNUMBER(SEARCH(", "&amp;$B62&amp;", ",", "&amp;'Thông báo'!$B$7:$B$500&amp;", ")),--('Thông báo'!$AT$7:$AT$500="Block"))+SUMPRODUCT(--ISNUMBER(SEARCH(", "&amp;$B62&amp;", ",", "&amp;'Đăng tin &amp; Quản lý tin'!$B$7:$B$500&amp;", ")),--('Đăng tin &amp; Quản lý tin'!$AT$7:$AT$500="Block"))+SUMPRODUCT(--ISNUMBER(SEARCH(", "&amp;$B62&amp;", ",", "&amp;'Trust &amp; Safety'!$B$7:$B$500&amp;", ")),--('Trust &amp; Safety'!$AT$7:$AT$500="Block"))+SUMPRODUCT(--ISNUMBER(SEARCH(", "&amp;$B62&amp;", ",", "&amp;'Tài khoản &amp; Hồ sơ'!$B$7:$B$500&amp;", ")),--('Tài khoản &amp; Hồ sơ'!$AT$7:$AT$500="Block"))</f>
        <v>0</v>
      </c>
      <c r="J62" s="51" t="n">
        <f aca="false">SUMPRODUCT(--ISNUMBER(SEARCH(", "&amp;$B62&amp;", ",", "&amp;'Hoạt động (Đơn của tôi)'!$B$7:$B$500&amp;", ")),--('Hoạt động (Đơn của tôi)'!$AT$7:$AT$500="N/A"))+SUMPRODUCT(--ISNUMBER(SEARCH(", "&amp;$B62&amp;", ",", "&amp;'Ghép nối'!$B$7:$B$500&amp;", ")),--('Ghép nối'!$AT$7:$AT$500="N/A"))+SUMPRODUCT(--ISNUMBER(SEARCH(", "&amp;$B62&amp;", ",", "&amp;'Huỷ đơn - Huỷ nhận đơn'!$B$7:$B$500&amp;", ")),--('Huỷ đơn - Huỷ nhận đơn'!$AT$7:$AT$500="N/A"))+SUMPRODUCT(--ISNUMBER(SEARCH(", "&amp;$B62&amp;", ",", "&amp;'Giao nhận &amp; Theo dõi đơn'!$B$7:$B$500&amp;", ")),--('Giao nhận &amp; Theo dõi đơn'!$AT$7:$AT$500="N/A"))+SUMPRODUCT(--ISNUMBER(SEARCH(", "&amp;$B62&amp;", ",", "&amp;'Bảng tin &amp; Chi tiết tin'!$B$7:$B$500&amp;", ")),--('Bảng tin &amp; Chi tiết tin'!$AT$7:$AT$500="N/A"))+SUMPRODUCT(--ISNUMBER(SEARCH(", "&amp;$B62&amp;", ",", "&amp;'Quà cảm ơn'!$B$7:$B$500&amp;", ")),--('Quà cảm ơn'!$AT$7:$AT$500="N/A"))+SUMPRODUCT(--ISNUMBER(SEARCH(", "&amp;$B62&amp;", ",", "&amp;'Trang chủ'!$B$7:$B$500&amp;", ")),--('Trang chủ'!$AT$7:$AT$500="N/A"))+SUMPRODUCT(--ISNUMBER(SEARCH(", "&amp;$B62&amp;", ",", "&amp;'Thông báo'!$B$7:$B$500&amp;", ")),--('Thông báo'!$AT$7:$AT$500="N/A"))+SUMPRODUCT(--ISNUMBER(SEARCH(", "&amp;$B62&amp;", ",", "&amp;'Đăng tin &amp; Quản lý tin'!$B$7:$B$500&amp;", ")),--('Đăng tin &amp; Quản lý tin'!$AT$7:$AT$500="N/A"))+SUMPRODUCT(--ISNUMBER(SEARCH(", "&amp;$B62&amp;", ",", "&amp;'Trust &amp; Safety'!$B$7:$B$500&amp;", ")),--('Trust &amp; Safety'!$AT$7:$AT$500="N/A"))+SUMPRODUCT(--ISNUMBER(SEARCH(", "&amp;$B62&amp;", ",", "&amp;'Tài khoản &amp; Hồ sơ'!$B$7:$B$500&amp;", ")),--('Tài khoản &amp; Hồ sơ'!$AT$7:$AT$500="N/A"))</f>
        <v>0</v>
      </c>
      <c r="K62" s="52" t="n">
        <f aca="false">IFERROR(F62/E62,0)</f>
        <v>1</v>
      </c>
      <c r="L62" s="124" t="str">
        <f aca="false">IF(E62=0,"Chưa có TC (gap)",IF(H62&gt;0,"Có lỗi (Fail)",IF(I62&gt;0,"Bị block",IF(F62&lt;E62,"Đang test",IF(G62=0,"Không áp dụng (N/A)","Đã test xong")))))</f>
        <v>Có lỗi (Fail)</v>
      </c>
      <c r="AB62" s="0" t="s">
        <v>531</v>
      </c>
    </row>
    <row r="63" customFormat="false" ht="15.75" hidden="false" customHeight="true" outlineLevel="0" collapsed="false">
      <c r="A63" s="1"/>
      <c r="B63" s="176" t="s">
        <v>670</v>
      </c>
      <c r="C63" s="177" t="s">
        <v>671</v>
      </c>
      <c r="D63" s="124" t="s">
        <v>672</v>
      </c>
      <c r="E63" s="51" t="n">
        <f aca="false">SUMPRODUCT(--ISNUMBER(SEARCH(", "&amp;$B63&amp;", ",", "&amp;'Hoạt động (Đơn của tôi)'!$B$7:$B$500&amp;", ")))+SUMPRODUCT(--ISNUMBER(SEARCH(", "&amp;$B63&amp;", ",", "&amp;'Ghép nối'!$B$7:$B$500&amp;", ")))+SUMPRODUCT(--ISNUMBER(SEARCH(", "&amp;$B63&amp;", ",", "&amp;'Huỷ đơn - Huỷ nhận đơn'!$B$7:$B$500&amp;", ")))+SUMPRODUCT(--ISNUMBER(SEARCH(", "&amp;$B63&amp;", ",", "&amp;'Giao nhận &amp; Theo dõi đơn'!$B$7:$B$500&amp;", ")))+SUMPRODUCT(--ISNUMBER(SEARCH(", "&amp;$B63&amp;", ",", "&amp;'Bảng tin &amp; Chi tiết tin'!$B$7:$B$500&amp;", ")))+SUMPRODUCT(--ISNUMBER(SEARCH(", "&amp;$B63&amp;", ",", "&amp;'Quà cảm ơn'!$B$7:$B$500&amp;", ")))+SUMPRODUCT(--ISNUMBER(SEARCH(", "&amp;$B63&amp;", ",", "&amp;'Trang chủ'!$B$7:$B$500&amp;", ")))+SUMPRODUCT(--ISNUMBER(SEARCH(", "&amp;$B63&amp;", ",", "&amp;'Thông báo'!$B$7:$B$500&amp;", ")))+SUMPRODUCT(--ISNUMBER(SEARCH(", "&amp;$B63&amp;", ",", "&amp;'Đăng tin &amp; Quản lý tin'!$B$7:$B$500&amp;", ")))+SUMPRODUCT(--ISNUMBER(SEARCH(", "&amp;$B63&amp;", ",", "&amp;'Trust &amp; Safety'!$B$7:$B$500&amp;", ")))+SUMPRODUCT(--ISNUMBER(SEARCH(", "&amp;$B63&amp;", ",", "&amp;'Tài khoản &amp; Hồ sơ'!$B$7:$B$500&amp;", ")))</f>
        <v>4</v>
      </c>
      <c r="F63" s="51" t="n">
        <f aca="false">SUMPRODUCT(--ISNUMBER(SEARCH(", "&amp;$B63&amp;", ",", "&amp;'Hoạt động (Đơn của tôi)'!$B$7:$B$500&amp;", ")),--('Hoạt động (Đơn của tôi)'!$AT$7:$AT$500&lt;&gt;""))+SUMPRODUCT(--ISNUMBER(SEARCH(", "&amp;$B63&amp;", ",", "&amp;'Ghép nối'!$B$7:$B$500&amp;", ")),--('Ghép nối'!$AT$7:$AT$500&lt;&gt;""))+SUMPRODUCT(--ISNUMBER(SEARCH(", "&amp;$B63&amp;", ",", "&amp;'Huỷ đơn - Huỷ nhận đơn'!$B$7:$B$500&amp;", ")),--('Huỷ đơn - Huỷ nhận đơn'!$AT$7:$AT$500&lt;&gt;""))+SUMPRODUCT(--ISNUMBER(SEARCH(", "&amp;$B63&amp;", ",", "&amp;'Giao nhận &amp; Theo dõi đơn'!$B$7:$B$500&amp;", ")),--('Giao nhận &amp; Theo dõi đơn'!$AT$7:$AT$500&lt;&gt;""))+SUMPRODUCT(--ISNUMBER(SEARCH(", "&amp;$B63&amp;", ",", "&amp;'Bảng tin &amp; Chi tiết tin'!$B$7:$B$500&amp;", ")),--('Bảng tin &amp; Chi tiết tin'!$AT$7:$AT$500&lt;&gt;""))+SUMPRODUCT(--ISNUMBER(SEARCH(", "&amp;$B63&amp;", ",", "&amp;'Quà cảm ơn'!$B$7:$B$500&amp;", ")),--('Quà cảm ơn'!$AT$7:$AT$500&lt;&gt;""))+SUMPRODUCT(--ISNUMBER(SEARCH(", "&amp;$B63&amp;", ",", "&amp;'Trang chủ'!$B$7:$B$500&amp;", ")),--('Trang chủ'!$AT$7:$AT$500&lt;&gt;""))+SUMPRODUCT(--ISNUMBER(SEARCH(", "&amp;$B63&amp;", ",", "&amp;'Thông báo'!$B$7:$B$500&amp;", ")),--('Thông báo'!$AT$7:$AT$500&lt;&gt;""))+SUMPRODUCT(--ISNUMBER(SEARCH(", "&amp;$B63&amp;", ",", "&amp;'Đăng tin &amp; Quản lý tin'!$B$7:$B$500&amp;", ")),--('Đăng tin &amp; Quản lý tin'!$AT$7:$AT$500&lt;&gt;""))+SUMPRODUCT(--ISNUMBER(SEARCH(", "&amp;$B63&amp;", ",", "&amp;'Trust &amp; Safety'!$B$7:$B$500&amp;", ")),--('Trust &amp; Safety'!$AT$7:$AT$500&lt;&gt;""))+SUMPRODUCT(--ISNUMBER(SEARCH(", "&amp;$B63&amp;", ",", "&amp;'Tài khoản &amp; Hồ sơ'!$B$7:$B$500&amp;", ")),--('Tài khoản &amp; Hồ sơ'!$AT$7:$AT$500&lt;&gt;""))</f>
        <v>3</v>
      </c>
      <c r="G63" s="51" t="n">
        <f aca="false">SUMPRODUCT(--ISNUMBER(SEARCH(", "&amp;$B63&amp;", ",", "&amp;'Hoạt động (Đơn của tôi)'!$B$7:$B$500&amp;", ")),--('Hoạt động (Đơn của tôi)'!$AT$7:$AT$500="Pass"))+SUMPRODUCT(--ISNUMBER(SEARCH(", "&amp;$B63&amp;", ",", "&amp;'Ghép nối'!$B$7:$B$500&amp;", ")),--('Ghép nối'!$AT$7:$AT$500="Pass"))+SUMPRODUCT(--ISNUMBER(SEARCH(", "&amp;$B63&amp;", ",", "&amp;'Huỷ đơn - Huỷ nhận đơn'!$B$7:$B$500&amp;", ")),--('Huỷ đơn - Huỷ nhận đơn'!$AT$7:$AT$500="Pass"))+SUMPRODUCT(--ISNUMBER(SEARCH(", "&amp;$B63&amp;", ",", "&amp;'Giao nhận &amp; Theo dõi đơn'!$B$7:$B$500&amp;", ")),--('Giao nhận &amp; Theo dõi đơn'!$AT$7:$AT$500="Pass"))+SUMPRODUCT(--ISNUMBER(SEARCH(", "&amp;$B63&amp;", ",", "&amp;'Bảng tin &amp; Chi tiết tin'!$B$7:$B$500&amp;", ")),--('Bảng tin &amp; Chi tiết tin'!$AT$7:$AT$500="Pass"))+SUMPRODUCT(--ISNUMBER(SEARCH(", "&amp;$B63&amp;", ",", "&amp;'Quà cảm ơn'!$B$7:$B$500&amp;", ")),--('Quà cảm ơn'!$AT$7:$AT$500="Pass"))+SUMPRODUCT(--ISNUMBER(SEARCH(", "&amp;$B63&amp;", ",", "&amp;'Trang chủ'!$B$7:$B$500&amp;", ")),--('Trang chủ'!$AT$7:$AT$500="Pass"))+SUMPRODUCT(--ISNUMBER(SEARCH(", "&amp;$B63&amp;", ",", "&amp;'Thông báo'!$B$7:$B$500&amp;", ")),--('Thông báo'!$AT$7:$AT$500="Pass"))+SUMPRODUCT(--ISNUMBER(SEARCH(", "&amp;$B63&amp;", ",", "&amp;'Đăng tin &amp; Quản lý tin'!$B$7:$B$500&amp;", ")),--('Đăng tin &amp; Quản lý tin'!$AT$7:$AT$500="Pass"))+SUMPRODUCT(--ISNUMBER(SEARCH(", "&amp;$B63&amp;", ",", "&amp;'Trust &amp; Safety'!$B$7:$B$500&amp;", ")),--('Trust &amp; Safety'!$AT$7:$AT$500="Pass"))+SUMPRODUCT(--ISNUMBER(SEARCH(", "&amp;$B63&amp;", ",", "&amp;'Tài khoản &amp; Hồ sơ'!$B$7:$B$500&amp;", ")),--('Tài khoản &amp; Hồ sơ'!$AT$7:$AT$500="Pass"))</f>
        <v>1</v>
      </c>
      <c r="H63" s="51" t="n">
        <f aca="false">SUMPRODUCT(--ISNUMBER(SEARCH(", "&amp;$B63&amp;", ",", "&amp;'Hoạt động (Đơn của tôi)'!$B$7:$B$500&amp;", ")),--('Hoạt động (Đơn của tôi)'!$AT$7:$AT$500="Fail"))+SUMPRODUCT(--ISNUMBER(SEARCH(", "&amp;$B63&amp;", ",", "&amp;'Ghép nối'!$B$7:$B$500&amp;", ")),--('Ghép nối'!$AT$7:$AT$500="Fail"))+SUMPRODUCT(--ISNUMBER(SEARCH(", "&amp;$B63&amp;", ",", "&amp;'Huỷ đơn - Huỷ nhận đơn'!$B$7:$B$500&amp;", ")),--('Huỷ đơn - Huỷ nhận đơn'!$AT$7:$AT$500="Fail"))+SUMPRODUCT(--ISNUMBER(SEARCH(", "&amp;$B63&amp;", ",", "&amp;'Giao nhận &amp; Theo dõi đơn'!$B$7:$B$500&amp;", ")),--('Giao nhận &amp; Theo dõi đơn'!$AT$7:$AT$500="Fail"))+SUMPRODUCT(--ISNUMBER(SEARCH(", "&amp;$B63&amp;", ",", "&amp;'Bảng tin &amp; Chi tiết tin'!$B$7:$B$500&amp;", ")),--('Bảng tin &amp; Chi tiết tin'!$AT$7:$AT$500="Fail"))+SUMPRODUCT(--ISNUMBER(SEARCH(", "&amp;$B63&amp;", ",", "&amp;'Quà cảm ơn'!$B$7:$B$500&amp;", ")),--('Quà cảm ơn'!$AT$7:$AT$500="Fail"))+SUMPRODUCT(--ISNUMBER(SEARCH(", "&amp;$B63&amp;", ",", "&amp;'Trang chủ'!$B$7:$B$500&amp;", ")),--('Trang chủ'!$AT$7:$AT$500="Fail"))+SUMPRODUCT(--ISNUMBER(SEARCH(", "&amp;$B63&amp;", ",", "&amp;'Thông báo'!$B$7:$B$500&amp;", ")),--('Thông báo'!$AT$7:$AT$500="Fail"))+SUMPRODUCT(--ISNUMBER(SEARCH(", "&amp;$B63&amp;", ",", "&amp;'Đăng tin &amp; Quản lý tin'!$B$7:$B$500&amp;", ")),--('Đăng tin &amp; Quản lý tin'!$AT$7:$AT$500="Fail"))+SUMPRODUCT(--ISNUMBER(SEARCH(", "&amp;$B63&amp;", ",", "&amp;'Trust &amp; Safety'!$B$7:$B$500&amp;", ")),--('Trust &amp; Safety'!$AT$7:$AT$500="Fail"))+SUMPRODUCT(--ISNUMBER(SEARCH(", "&amp;$B63&amp;", ",", "&amp;'Tài khoản &amp; Hồ sơ'!$B$7:$B$500&amp;", ")),--('Tài khoản &amp; Hồ sơ'!$AT$7:$AT$500="Fail"))</f>
        <v>2</v>
      </c>
      <c r="I63" s="51" t="n">
        <f aca="false">SUMPRODUCT(--ISNUMBER(SEARCH(", "&amp;$B63&amp;", ",", "&amp;'Hoạt động (Đơn của tôi)'!$B$7:$B$500&amp;", ")),--('Hoạt động (Đơn của tôi)'!$AT$7:$AT$500="Block"))+SUMPRODUCT(--ISNUMBER(SEARCH(", "&amp;$B63&amp;", ",", "&amp;'Ghép nối'!$B$7:$B$500&amp;", ")),--('Ghép nối'!$AT$7:$AT$500="Block"))+SUMPRODUCT(--ISNUMBER(SEARCH(", "&amp;$B63&amp;", ",", "&amp;'Huỷ đơn - Huỷ nhận đơn'!$B$7:$B$500&amp;", ")),--('Huỷ đơn - Huỷ nhận đơn'!$AT$7:$AT$500="Block"))+SUMPRODUCT(--ISNUMBER(SEARCH(", "&amp;$B63&amp;", ",", "&amp;'Giao nhận &amp; Theo dõi đơn'!$B$7:$B$500&amp;", ")),--('Giao nhận &amp; Theo dõi đơn'!$AT$7:$AT$500="Block"))+SUMPRODUCT(--ISNUMBER(SEARCH(", "&amp;$B63&amp;", ",", "&amp;'Bảng tin &amp; Chi tiết tin'!$B$7:$B$500&amp;", ")),--('Bảng tin &amp; Chi tiết tin'!$AT$7:$AT$500="Block"))+SUMPRODUCT(--ISNUMBER(SEARCH(", "&amp;$B63&amp;", ",", "&amp;'Quà cảm ơn'!$B$7:$B$500&amp;", ")),--('Quà cảm ơn'!$AT$7:$AT$500="Block"))+SUMPRODUCT(--ISNUMBER(SEARCH(", "&amp;$B63&amp;", ",", "&amp;'Trang chủ'!$B$7:$B$500&amp;", ")),--('Trang chủ'!$AT$7:$AT$500="Block"))+SUMPRODUCT(--ISNUMBER(SEARCH(", "&amp;$B63&amp;", ",", "&amp;'Thông báo'!$B$7:$B$500&amp;", ")),--('Thông báo'!$AT$7:$AT$500="Block"))+SUMPRODUCT(--ISNUMBER(SEARCH(", "&amp;$B63&amp;", ",", "&amp;'Đăng tin &amp; Quản lý tin'!$B$7:$B$500&amp;", ")),--('Đăng tin &amp; Quản lý tin'!$AT$7:$AT$500="Block"))+SUMPRODUCT(--ISNUMBER(SEARCH(", "&amp;$B63&amp;", ",", "&amp;'Trust &amp; Safety'!$B$7:$B$500&amp;", ")),--('Trust &amp; Safety'!$AT$7:$AT$500="Block"))+SUMPRODUCT(--ISNUMBER(SEARCH(", "&amp;$B63&amp;", ",", "&amp;'Tài khoản &amp; Hồ sơ'!$B$7:$B$500&amp;", ")),--('Tài khoản &amp; Hồ sơ'!$AT$7:$AT$500="Block"))</f>
        <v>0</v>
      </c>
      <c r="J63" s="51" t="n">
        <f aca="false">SUMPRODUCT(--ISNUMBER(SEARCH(", "&amp;$B63&amp;", ",", "&amp;'Hoạt động (Đơn của tôi)'!$B$7:$B$500&amp;", ")),--('Hoạt động (Đơn của tôi)'!$AT$7:$AT$500="N/A"))+SUMPRODUCT(--ISNUMBER(SEARCH(", "&amp;$B63&amp;", ",", "&amp;'Ghép nối'!$B$7:$B$500&amp;", ")),--('Ghép nối'!$AT$7:$AT$500="N/A"))+SUMPRODUCT(--ISNUMBER(SEARCH(", "&amp;$B63&amp;", ",", "&amp;'Huỷ đơn - Huỷ nhận đơn'!$B$7:$B$500&amp;", ")),--('Huỷ đơn - Huỷ nhận đơn'!$AT$7:$AT$500="N/A"))+SUMPRODUCT(--ISNUMBER(SEARCH(", "&amp;$B63&amp;", ",", "&amp;'Giao nhận &amp; Theo dõi đơn'!$B$7:$B$500&amp;", ")),--('Giao nhận &amp; Theo dõi đơn'!$AT$7:$AT$500="N/A"))+SUMPRODUCT(--ISNUMBER(SEARCH(", "&amp;$B63&amp;", ",", "&amp;'Bảng tin &amp; Chi tiết tin'!$B$7:$B$500&amp;", ")),--('Bảng tin &amp; Chi tiết tin'!$AT$7:$AT$500="N/A"))+SUMPRODUCT(--ISNUMBER(SEARCH(", "&amp;$B63&amp;", ",", "&amp;'Quà cảm ơn'!$B$7:$B$500&amp;", ")),--('Quà cảm ơn'!$AT$7:$AT$500="N/A"))+SUMPRODUCT(--ISNUMBER(SEARCH(", "&amp;$B63&amp;", ",", "&amp;'Trang chủ'!$B$7:$B$500&amp;", ")),--('Trang chủ'!$AT$7:$AT$500="N/A"))+SUMPRODUCT(--ISNUMBER(SEARCH(", "&amp;$B63&amp;", ",", "&amp;'Thông báo'!$B$7:$B$500&amp;", ")),--('Thông báo'!$AT$7:$AT$500="N/A"))+SUMPRODUCT(--ISNUMBER(SEARCH(", "&amp;$B63&amp;", ",", "&amp;'Đăng tin &amp; Quản lý tin'!$B$7:$B$500&amp;", ")),--('Đăng tin &amp; Quản lý tin'!$AT$7:$AT$500="N/A"))+SUMPRODUCT(--ISNUMBER(SEARCH(", "&amp;$B63&amp;", ",", "&amp;'Trust &amp; Safety'!$B$7:$B$500&amp;", ")),--('Trust &amp; Safety'!$AT$7:$AT$500="N/A"))+SUMPRODUCT(--ISNUMBER(SEARCH(", "&amp;$B63&amp;", ",", "&amp;'Tài khoản &amp; Hồ sơ'!$B$7:$B$500&amp;", ")),--('Tài khoản &amp; Hồ sơ'!$AT$7:$AT$500="N/A"))</f>
        <v>0</v>
      </c>
      <c r="K63" s="52" t="n">
        <f aca="false">IFERROR(F63/E63,0)</f>
        <v>0.75</v>
      </c>
      <c r="L63" s="124" t="str">
        <f aca="false">IF(E63=0,"Chưa có TC (gap)",IF(H63&gt;0,"Có lỗi (Fail)",IF(I63&gt;0,"Bị block",IF(F63&lt;E63,"Đang test",IF(G63=0,"Không áp dụng (N/A)","Đã test xong")))))</f>
        <v>Có lỗi (Fail)</v>
      </c>
      <c r="AB63" s="0" t="s">
        <v>531</v>
      </c>
    </row>
    <row r="64" customFormat="false" ht="15.75" hidden="false" customHeight="true" outlineLevel="0" collapsed="false">
      <c r="A64" s="1"/>
      <c r="B64" s="176" t="s">
        <v>673</v>
      </c>
      <c r="C64" s="177" t="s">
        <v>674</v>
      </c>
      <c r="D64" s="124" t="s">
        <v>675</v>
      </c>
      <c r="E64" s="51" t="n">
        <f aca="false">SUMPRODUCT(--ISNUMBER(SEARCH(", "&amp;$B64&amp;", ",", "&amp;'Hoạt động (Đơn của tôi)'!$B$7:$B$500&amp;", ")))+SUMPRODUCT(--ISNUMBER(SEARCH(", "&amp;$B64&amp;", ",", "&amp;'Ghép nối'!$B$7:$B$500&amp;", ")))+SUMPRODUCT(--ISNUMBER(SEARCH(", "&amp;$B64&amp;", ",", "&amp;'Huỷ đơn - Huỷ nhận đơn'!$B$7:$B$500&amp;", ")))+SUMPRODUCT(--ISNUMBER(SEARCH(", "&amp;$B64&amp;", ",", "&amp;'Giao nhận &amp; Theo dõi đơn'!$B$7:$B$500&amp;", ")))+SUMPRODUCT(--ISNUMBER(SEARCH(", "&amp;$B64&amp;", ",", "&amp;'Bảng tin &amp; Chi tiết tin'!$B$7:$B$500&amp;", ")))+SUMPRODUCT(--ISNUMBER(SEARCH(", "&amp;$B64&amp;", ",", "&amp;'Quà cảm ơn'!$B$7:$B$500&amp;", ")))+SUMPRODUCT(--ISNUMBER(SEARCH(", "&amp;$B64&amp;", ",", "&amp;'Trang chủ'!$B$7:$B$500&amp;", ")))+SUMPRODUCT(--ISNUMBER(SEARCH(", "&amp;$B64&amp;", ",", "&amp;'Thông báo'!$B$7:$B$500&amp;", ")))+SUMPRODUCT(--ISNUMBER(SEARCH(", "&amp;$B64&amp;", ",", "&amp;'Đăng tin &amp; Quản lý tin'!$B$7:$B$500&amp;", ")))+SUMPRODUCT(--ISNUMBER(SEARCH(", "&amp;$B64&amp;", ",", "&amp;'Trust &amp; Safety'!$B$7:$B$500&amp;", ")))+SUMPRODUCT(--ISNUMBER(SEARCH(", "&amp;$B64&amp;", ",", "&amp;'Tài khoản &amp; Hồ sơ'!$B$7:$B$500&amp;", ")))</f>
        <v>2</v>
      </c>
      <c r="F64" s="51" t="n">
        <f aca="false">SUMPRODUCT(--ISNUMBER(SEARCH(", "&amp;$B64&amp;", ",", "&amp;'Hoạt động (Đơn của tôi)'!$B$7:$B$500&amp;", ")),--('Hoạt động (Đơn của tôi)'!$AT$7:$AT$500&lt;&gt;""))+SUMPRODUCT(--ISNUMBER(SEARCH(", "&amp;$B64&amp;", ",", "&amp;'Ghép nối'!$B$7:$B$500&amp;", ")),--('Ghép nối'!$AT$7:$AT$500&lt;&gt;""))+SUMPRODUCT(--ISNUMBER(SEARCH(", "&amp;$B64&amp;", ",", "&amp;'Huỷ đơn - Huỷ nhận đơn'!$B$7:$B$500&amp;", ")),--('Huỷ đơn - Huỷ nhận đơn'!$AT$7:$AT$500&lt;&gt;""))+SUMPRODUCT(--ISNUMBER(SEARCH(", "&amp;$B64&amp;", ",", "&amp;'Giao nhận &amp; Theo dõi đơn'!$B$7:$B$500&amp;", ")),--('Giao nhận &amp; Theo dõi đơn'!$AT$7:$AT$500&lt;&gt;""))+SUMPRODUCT(--ISNUMBER(SEARCH(", "&amp;$B64&amp;", ",", "&amp;'Bảng tin &amp; Chi tiết tin'!$B$7:$B$500&amp;", ")),--('Bảng tin &amp; Chi tiết tin'!$AT$7:$AT$500&lt;&gt;""))+SUMPRODUCT(--ISNUMBER(SEARCH(", "&amp;$B64&amp;", ",", "&amp;'Quà cảm ơn'!$B$7:$B$500&amp;", ")),--('Quà cảm ơn'!$AT$7:$AT$500&lt;&gt;""))+SUMPRODUCT(--ISNUMBER(SEARCH(", "&amp;$B64&amp;", ",", "&amp;'Trang chủ'!$B$7:$B$500&amp;", ")),--('Trang chủ'!$AT$7:$AT$500&lt;&gt;""))+SUMPRODUCT(--ISNUMBER(SEARCH(", "&amp;$B64&amp;", ",", "&amp;'Thông báo'!$B$7:$B$500&amp;", ")),--('Thông báo'!$AT$7:$AT$500&lt;&gt;""))+SUMPRODUCT(--ISNUMBER(SEARCH(", "&amp;$B64&amp;", ",", "&amp;'Đăng tin &amp; Quản lý tin'!$B$7:$B$500&amp;", ")),--('Đăng tin &amp; Quản lý tin'!$AT$7:$AT$500&lt;&gt;""))+SUMPRODUCT(--ISNUMBER(SEARCH(", "&amp;$B64&amp;", ",", "&amp;'Trust &amp; Safety'!$B$7:$B$500&amp;", ")),--('Trust &amp; Safety'!$AT$7:$AT$500&lt;&gt;""))+SUMPRODUCT(--ISNUMBER(SEARCH(", "&amp;$B64&amp;", ",", "&amp;'Tài khoản &amp; Hồ sơ'!$B$7:$B$500&amp;", ")),--('Tài khoản &amp; Hồ sơ'!$AT$7:$AT$500&lt;&gt;""))</f>
        <v>2</v>
      </c>
      <c r="G64" s="51" t="n">
        <f aca="false">SUMPRODUCT(--ISNUMBER(SEARCH(", "&amp;$B64&amp;", ",", "&amp;'Hoạt động (Đơn của tôi)'!$B$7:$B$500&amp;", ")),--('Hoạt động (Đơn của tôi)'!$AT$7:$AT$500="Pass"))+SUMPRODUCT(--ISNUMBER(SEARCH(", "&amp;$B64&amp;", ",", "&amp;'Ghép nối'!$B$7:$B$500&amp;", ")),--('Ghép nối'!$AT$7:$AT$500="Pass"))+SUMPRODUCT(--ISNUMBER(SEARCH(", "&amp;$B64&amp;", ",", "&amp;'Huỷ đơn - Huỷ nhận đơn'!$B$7:$B$500&amp;", ")),--('Huỷ đơn - Huỷ nhận đơn'!$AT$7:$AT$500="Pass"))+SUMPRODUCT(--ISNUMBER(SEARCH(", "&amp;$B64&amp;", ",", "&amp;'Giao nhận &amp; Theo dõi đơn'!$B$7:$B$500&amp;", ")),--('Giao nhận &amp; Theo dõi đơn'!$AT$7:$AT$500="Pass"))+SUMPRODUCT(--ISNUMBER(SEARCH(", "&amp;$B64&amp;", ",", "&amp;'Bảng tin &amp; Chi tiết tin'!$B$7:$B$500&amp;", ")),--('Bảng tin &amp; Chi tiết tin'!$AT$7:$AT$500="Pass"))+SUMPRODUCT(--ISNUMBER(SEARCH(", "&amp;$B64&amp;", ",", "&amp;'Quà cảm ơn'!$B$7:$B$500&amp;", ")),--('Quà cảm ơn'!$AT$7:$AT$500="Pass"))+SUMPRODUCT(--ISNUMBER(SEARCH(", "&amp;$B64&amp;", ",", "&amp;'Trang chủ'!$B$7:$B$500&amp;", ")),--('Trang chủ'!$AT$7:$AT$500="Pass"))+SUMPRODUCT(--ISNUMBER(SEARCH(", "&amp;$B64&amp;", ",", "&amp;'Thông báo'!$B$7:$B$500&amp;", ")),--('Thông báo'!$AT$7:$AT$500="Pass"))+SUMPRODUCT(--ISNUMBER(SEARCH(", "&amp;$B64&amp;", ",", "&amp;'Đăng tin &amp; Quản lý tin'!$B$7:$B$500&amp;", ")),--('Đăng tin &amp; Quản lý tin'!$AT$7:$AT$500="Pass"))+SUMPRODUCT(--ISNUMBER(SEARCH(", "&amp;$B64&amp;", ",", "&amp;'Trust &amp; Safety'!$B$7:$B$500&amp;", ")),--('Trust &amp; Safety'!$AT$7:$AT$500="Pass"))+SUMPRODUCT(--ISNUMBER(SEARCH(", "&amp;$B64&amp;", ",", "&amp;'Tài khoản &amp; Hồ sơ'!$B$7:$B$500&amp;", ")),--('Tài khoản &amp; Hồ sơ'!$AT$7:$AT$500="Pass"))</f>
        <v>2</v>
      </c>
      <c r="H64" s="51" t="n">
        <f aca="false">SUMPRODUCT(--ISNUMBER(SEARCH(", "&amp;$B64&amp;", ",", "&amp;'Hoạt động (Đơn của tôi)'!$B$7:$B$500&amp;", ")),--('Hoạt động (Đơn của tôi)'!$AT$7:$AT$500="Fail"))+SUMPRODUCT(--ISNUMBER(SEARCH(", "&amp;$B64&amp;", ",", "&amp;'Ghép nối'!$B$7:$B$500&amp;", ")),--('Ghép nối'!$AT$7:$AT$500="Fail"))+SUMPRODUCT(--ISNUMBER(SEARCH(", "&amp;$B64&amp;", ",", "&amp;'Huỷ đơn - Huỷ nhận đơn'!$B$7:$B$500&amp;", ")),--('Huỷ đơn - Huỷ nhận đơn'!$AT$7:$AT$500="Fail"))+SUMPRODUCT(--ISNUMBER(SEARCH(", "&amp;$B64&amp;", ",", "&amp;'Giao nhận &amp; Theo dõi đơn'!$B$7:$B$500&amp;", ")),--('Giao nhận &amp; Theo dõi đơn'!$AT$7:$AT$500="Fail"))+SUMPRODUCT(--ISNUMBER(SEARCH(", "&amp;$B64&amp;", ",", "&amp;'Bảng tin &amp; Chi tiết tin'!$B$7:$B$500&amp;", ")),--('Bảng tin &amp; Chi tiết tin'!$AT$7:$AT$500="Fail"))+SUMPRODUCT(--ISNUMBER(SEARCH(", "&amp;$B64&amp;", ",", "&amp;'Quà cảm ơn'!$B$7:$B$500&amp;", ")),--('Quà cảm ơn'!$AT$7:$AT$500="Fail"))+SUMPRODUCT(--ISNUMBER(SEARCH(", "&amp;$B64&amp;", ",", "&amp;'Trang chủ'!$B$7:$B$500&amp;", ")),--('Trang chủ'!$AT$7:$AT$500="Fail"))+SUMPRODUCT(--ISNUMBER(SEARCH(", "&amp;$B64&amp;", ",", "&amp;'Thông báo'!$B$7:$B$500&amp;", ")),--('Thông báo'!$AT$7:$AT$500="Fail"))+SUMPRODUCT(--ISNUMBER(SEARCH(", "&amp;$B64&amp;", ",", "&amp;'Đăng tin &amp; Quản lý tin'!$B$7:$B$500&amp;", ")),--('Đăng tin &amp; Quản lý tin'!$AT$7:$AT$500="Fail"))+SUMPRODUCT(--ISNUMBER(SEARCH(", "&amp;$B64&amp;", ",", "&amp;'Trust &amp; Safety'!$B$7:$B$500&amp;", ")),--('Trust &amp; Safety'!$AT$7:$AT$500="Fail"))+SUMPRODUCT(--ISNUMBER(SEARCH(", "&amp;$B64&amp;", ",", "&amp;'Tài khoản &amp; Hồ sơ'!$B$7:$B$500&amp;", ")),--('Tài khoản &amp; Hồ sơ'!$AT$7:$AT$500="Fail"))</f>
        <v>0</v>
      </c>
      <c r="I64" s="51" t="n">
        <f aca="false">SUMPRODUCT(--ISNUMBER(SEARCH(", "&amp;$B64&amp;", ",", "&amp;'Hoạt động (Đơn của tôi)'!$B$7:$B$500&amp;", ")),--('Hoạt động (Đơn của tôi)'!$AT$7:$AT$500="Block"))+SUMPRODUCT(--ISNUMBER(SEARCH(", "&amp;$B64&amp;", ",", "&amp;'Ghép nối'!$B$7:$B$500&amp;", ")),--('Ghép nối'!$AT$7:$AT$500="Block"))+SUMPRODUCT(--ISNUMBER(SEARCH(", "&amp;$B64&amp;", ",", "&amp;'Huỷ đơn - Huỷ nhận đơn'!$B$7:$B$500&amp;", ")),--('Huỷ đơn - Huỷ nhận đơn'!$AT$7:$AT$500="Block"))+SUMPRODUCT(--ISNUMBER(SEARCH(", "&amp;$B64&amp;", ",", "&amp;'Giao nhận &amp; Theo dõi đơn'!$B$7:$B$500&amp;", ")),--('Giao nhận &amp; Theo dõi đơn'!$AT$7:$AT$500="Block"))+SUMPRODUCT(--ISNUMBER(SEARCH(", "&amp;$B64&amp;", ",", "&amp;'Bảng tin &amp; Chi tiết tin'!$B$7:$B$500&amp;", ")),--('Bảng tin &amp; Chi tiết tin'!$AT$7:$AT$500="Block"))+SUMPRODUCT(--ISNUMBER(SEARCH(", "&amp;$B64&amp;", ",", "&amp;'Quà cảm ơn'!$B$7:$B$500&amp;", ")),--('Quà cảm ơn'!$AT$7:$AT$500="Block"))+SUMPRODUCT(--ISNUMBER(SEARCH(", "&amp;$B64&amp;", ",", "&amp;'Trang chủ'!$B$7:$B$500&amp;", ")),--('Trang chủ'!$AT$7:$AT$500="Block"))+SUMPRODUCT(--ISNUMBER(SEARCH(", "&amp;$B64&amp;", ",", "&amp;'Thông báo'!$B$7:$B$500&amp;", ")),--('Thông báo'!$AT$7:$AT$500="Block"))+SUMPRODUCT(--ISNUMBER(SEARCH(", "&amp;$B64&amp;", ",", "&amp;'Đăng tin &amp; Quản lý tin'!$B$7:$B$500&amp;", ")),--('Đăng tin &amp; Quản lý tin'!$AT$7:$AT$500="Block"))+SUMPRODUCT(--ISNUMBER(SEARCH(", "&amp;$B64&amp;", ",", "&amp;'Trust &amp; Safety'!$B$7:$B$500&amp;", ")),--('Trust &amp; Safety'!$AT$7:$AT$500="Block"))+SUMPRODUCT(--ISNUMBER(SEARCH(", "&amp;$B64&amp;", ",", "&amp;'Tài khoản &amp; Hồ sơ'!$B$7:$B$500&amp;", ")),--('Tài khoản &amp; Hồ sơ'!$AT$7:$AT$500="Block"))</f>
        <v>0</v>
      </c>
      <c r="J64" s="51" t="n">
        <f aca="false">SUMPRODUCT(--ISNUMBER(SEARCH(", "&amp;$B64&amp;", ",", "&amp;'Hoạt động (Đơn của tôi)'!$B$7:$B$500&amp;", ")),--('Hoạt động (Đơn của tôi)'!$AT$7:$AT$500="N/A"))+SUMPRODUCT(--ISNUMBER(SEARCH(", "&amp;$B64&amp;", ",", "&amp;'Ghép nối'!$B$7:$B$500&amp;", ")),--('Ghép nối'!$AT$7:$AT$500="N/A"))+SUMPRODUCT(--ISNUMBER(SEARCH(", "&amp;$B64&amp;", ",", "&amp;'Huỷ đơn - Huỷ nhận đơn'!$B$7:$B$500&amp;", ")),--('Huỷ đơn - Huỷ nhận đơn'!$AT$7:$AT$500="N/A"))+SUMPRODUCT(--ISNUMBER(SEARCH(", "&amp;$B64&amp;", ",", "&amp;'Giao nhận &amp; Theo dõi đơn'!$B$7:$B$500&amp;", ")),--('Giao nhận &amp; Theo dõi đơn'!$AT$7:$AT$500="N/A"))+SUMPRODUCT(--ISNUMBER(SEARCH(", "&amp;$B64&amp;", ",", "&amp;'Bảng tin &amp; Chi tiết tin'!$B$7:$B$500&amp;", ")),--('Bảng tin &amp; Chi tiết tin'!$AT$7:$AT$500="N/A"))+SUMPRODUCT(--ISNUMBER(SEARCH(", "&amp;$B64&amp;", ",", "&amp;'Quà cảm ơn'!$B$7:$B$500&amp;", ")),--('Quà cảm ơn'!$AT$7:$AT$500="N/A"))+SUMPRODUCT(--ISNUMBER(SEARCH(", "&amp;$B64&amp;", ",", "&amp;'Trang chủ'!$B$7:$B$500&amp;", ")),--('Trang chủ'!$AT$7:$AT$500="N/A"))+SUMPRODUCT(--ISNUMBER(SEARCH(", "&amp;$B64&amp;", ",", "&amp;'Thông báo'!$B$7:$B$500&amp;", ")),--('Thông báo'!$AT$7:$AT$500="N/A"))+SUMPRODUCT(--ISNUMBER(SEARCH(", "&amp;$B64&amp;", ",", "&amp;'Đăng tin &amp; Quản lý tin'!$B$7:$B$500&amp;", ")),--('Đăng tin &amp; Quản lý tin'!$AT$7:$AT$500="N/A"))+SUMPRODUCT(--ISNUMBER(SEARCH(", "&amp;$B64&amp;", ",", "&amp;'Trust &amp; Safety'!$B$7:$B$500&amp;", ")),--('Trust &amp; Safety'!$AT$7:$AT$500="N/A"))+SUMPRODUCT(--ISNUMBER(SEARCH(", "&amp;$B64&amp;", ",", "&amp;'Tài khoản &amp; Hồ sơ'!$B$7:$B$500&amp;", ")),--('Tài khoản &amp; Hồ sơ'!$AT$7:$AT$500="N/A"))</f>
        <v>0</v>
      </c>
      <c r="K64" s="52" t="n">
        <f aca="false">IFERROR(F64/E64,0)</f>
        <v>1</v>
      </c>
      <c r="L64" s="124" t="str">
        <f aca="false">IF(E64=0,"Chưa có TC (gap)",IF(H64&gt;0,"Có lỗi (Fail)",IF(I64&gt;0,"Bị block",IF(F64&lt;E64,"Đang test",IF(G64=0,"Không áp dụng (N/A)","Đã test xong")))))</f>
        <v>Đã test xong</v>
      </c>
      <c r="AB64" s="0" t="s">
        <v>531</v>
      </c>
    </row>
    <row r="65" customFormat="false" ht="15.75" hidden="false" customHeight="true" outlineLevel="0" collapsed="false">
      <c r="A65" s="1"/>
      <c r="B65" s="176" t="s">
        <v>676</v>
      </c>
      <c r="C65" s="177" t="s">
        <v>677</v>
      </c>
      <c r="D65" s="124" t="s">
        <v>678</v>
      </c>
      <c r="E65" s="51" t="n">
        <f aca="false">SUMPRODUCT(--ISNUMBER(SEARCH(", "&amp;$B65&amp;", ",", "&amp;'Hoạt động (Đơn của tôi)'!$B$7:$B$500&amp;", ")))+SUMPRODUCT(--ISNUMBER(SEARCH(", "&amp;$B65&amp;", ",", "&amp;'Ghép nối'!$B$7:$B$500&amp;", ")))+SUMPRODUCT(--ISNUMBER(SEARCH(", "&amp;$B65&amp;", ",", "&amp;'Huỷ đơn - Huỷ nhận đơn'!$B$7:$B$500&amp;", ")))+SUMPRODUCT(--ISNUMBER(SEARCH(", "&amp;$B65&amp;", ",", "&amp;'Giao nhận &amp; Theo dõi đơn'!$B$7:$B$500&amp;", ")))+SUMPRODUCT(--ISNUMBER(SEARCH(", "&amp;$B65&amp;", ",", "&amp;'Bảng tin &amp; Chi tiết tin'!$B$7:$B$500&amp;", ")))+SUMPRODUCT(--ISNUMBER(SEARCH(", "&amp;$B65&amp;", ",", "&amp;'Quà cảm ơn'!$B$7:$B$500&amp;", ")))+SUMPRODUCT(--ISNUMBER(SEARCH(", "&amp;$B65&amp;", ",", "&amp;'Trang chủ'!$B$7:$B$500&amp;", ")))+SUMPRODUCT(--ISNUMBER(SEARCH(", "&amp;$B65&amp;", ",", "&amp;'Thông báo'!$B$7:$B$500&amp;", ")))+SUMPRODUCT(--ISNUMBER(SEARCH(", "&amp;$B65&amp;", ",", "&amp;'Đăng tin &amp; Quản lý tin'!$B$7:$B$500&amp;", ")))+SUMPRODUCT(--ISNUMBER(SEARCH(", "&amp;$B65&amp;", ",", "&amp;'Trust &amp; Safety'!$B$7:$B$500&amp;", ")))+SUMPRODUCT(--ISNUMBER(SEARCH(", "&amp;$B65&amp;", ",", "&amp;'Tài khoản &amp; Hồ sơ'!$B$7:$B$500&amp;", ")))</f>
        <v>5</v>
      </c>
      <c r="F65" s="51" t="n">
        <f aca="false">SUMPRODUCT(--ISNUMBER(SEARCH(", "&amp;$B65&amp;", ",", "&amp;'Hoạt động (Đơn của tôi)'!$B$7:$B$500&amp;", ")),--('Hoạt động (Đơn của tôi)'!$AT$7:$AT$500&lt;&gt;""))+SUMPRODUCT(--ISNUMBER(SEARCH(", "&amp;$B65&amp;", ",", "&amp;'Ghép nối'!$B$7:$B$500&amp;", ")),--('Ghép nối'!$AT$7:$AT$500&lt;&gt;""))+SUMPRODUCT(--ISNUMBER(SEARCH(", "&amp;$B65&amp;", ",", "&amp;'Huỷ đơn - Huỷ nhận đơn'!$B$7:$B$500&amp;", ")),--('Huỷ đơn - Huỷ nhận đơn'!$AT$7:$AT$500&lt;&gt;""))+SUMPRODUCT(--ISNUMBER(SEARCH(", "&amp;$B65&amp;", ",", "&amp;'Giao nhận &amp; Theo dõi đơn'!$B$7:$B$500&amp;", ")),--('Giao nhận &amp; Theo dõi đơn'!$AT$7:$AT$500&lt;&gt;""))+SUMPRODUCT(--ISNUMBER(SEARCH(", "&amp;$B65&amp;", ",", "&amp;'Bảng tin &amp; Chi tiết tin'!$B$7:$B$500&amp;", ")),--('Bảng tin &amp; Chi tiết tin'!$AT$7:$AT$500&lt;&gt;""))+SUMPRODUCT(--ISNUMBER(SEARCH(", "&amp;$B65&amp;", ",", "&amp;'Quà cảm ơn'!$B$7:$B$500&amp;", ")),--('Quà cảm ơn'!$AT$7:$AT$500&lt;&gt;""))+SUMPRODUCT(--ISNUMBER(SEARCH(", "&amp;$B65&amp;", ",", "&amp;'Trang chủ'!$B$7:$B$500&amp;", ")),--('Trang chủ'!$AT$7:$AT$500&lt;&gt;""))+SUMPRODUCT(--ISNUMBER(SEARCH(", "&amp;$B65&amp;", ",", "&amp;'Thông báo'!$B$7:$B$500&amp;", ")),--('Thông báo'!$AT$7:$AT$500&lt;&gt;""))+SUMPRODUCT(--ISNUMBER(SEARCH(", "&amp;$B65&amp;", ",", "&amp;'Đăng tin &amp; Quản lý tin'!$B$7:$B$500&amp;", ")),--('Đăng tin &amp; Quản lý tin'!$AT$7:$AT$500&lt;&gt;""))+SUMPRODUCT(--ISNUMBER(SEARCH(", "&amp;$B65&amp;", ",", "&amp;'Trust &amp; Safety'!$B$7:$B$500&amp;", ")),--('Trust &amp; Safety'!$AT$7:$AT$500&lt;&gt;""))+SUMPRODUCT(--ISNUMBER(SEARCH(", "&amp;$B65&amp;", ",", "&amp;'Tài khoản &amp; Hồ sơ'!$B$7:$B$500&amp;", ")),--('Tài khoản &amp; Hồ sơ'!$AT$7:$AT$500&lt;&gt;""))</f>
        <v>5</v>
      </c>
      <c r="G65" s="51" t="n">
        <f aca="false">SUMPRODUCT(--ISNUMBER(SEARCH(", "&amp;$B65&amp;", ",", "&amp;'Hoạt động (Đơn của tôi)'!$B$7:$B$500&amp;", ")),--('Hoạt động (Đơn của tôi)'!$AT$7:$AT$500="Pass"))+SUMPRODUCT(--ISNUMBER(SEARCH(", "&amp;$B65&amp;", ",", "&amp;'Ghép nối'!$B$7:$B$500&amp;", ")),--('Ghép nối'!$AT$7:$AT$500="Pass"))+SUMPRODUCT(--ISNUMBER(SEARCH(", "&amp;$B65&amp;", ",", "&amp;'Huỷ đơn - Huỷ nhận đơn'!$B$7:$B$500&amp;", ")),--('Huỷ đơn - Huỷ nhận đơn'!$AT$7:$AT$500="Pass"))+SUMPRODUCT(--ISNUMBER(SEARCH(", "&amp;$B65&amp;", ",", "&amp;'Giao nhận &amp; Theo dõi đơn'!$B$7:$B$500&amp;", ")),--('Giao nhận &amp; Theo dõi đơn'!$AT$7:$AT$500="Pass"))+SUMPRODUCT(--ISNUMBER(SEARCH(", "&amp;$B65&amp;", ",", "&amp;'Bảng tin &amp; Chi tiết tin'!$B$7:$B$500&amp;", ")),--('Bảng tin &amp; Chi tiết tin'!$AT$7:$AT$500="Pass"))+SUMPRODUCT(--ISNUMBER(SEARCH(", "&amp;$B65&amp;", ",", "&amp;'Quà cảm ơn'!$B$7:$B$500&amp;", ")),--('Quà cảm ơn'!$AT$7:$AT$500="Pass"))+SUMPRODUCT(--ISNUMBER(SEARCH(", "&amp;$B65&amp;", ",", "&amp;'Trang chủ'!$B$7:$B$500&amp;", ")),--('Trang chủ'!$AT$7:$AT$500="Pass"))+SUMPRODUCT(--ISNUMBER(SEARCH(", "&amp;$B65&amp;", ",", "&amp;'Thông báo'!$B$7:$B$500&amp;", ")),--('Thông báo'!$AT$7:$AT$500="Pass"))+SUMPRODUCT(--ISNUMBER(SEARCH(", "&amp;$B65&amp;", ",", "&amp;'Đăng tin &amp; Quản lý tin'!$B$7:$B$500&amp;", ")),--('Đăng tin &amp; Quản lý tin'!$AT$7:$AT$500="Pass"))+SUMPRODUCT(--ISNUMBER(SEARCH(", "&amp;$B65&amp;", ",", "&amp;'Trust &amp; Safety'!$B$7:$B$500&amp;", ")),--('Trust &amp; Safety'!$AT$7:$AT$500="Pass"))+SUMPRODUCT(--ISNUMBER(SEARCH(", "&amp;$B65&amp;", ",", "&amp;'Tài khoản &amp; Hồ sơ'!$B$7:$B$500&amp;", ")),--('Tài khoản &amp; Hồ sơ'!$AT$7:$AT$500="Pass"))</f>
        <v>3</v>
      </c>
      <c r="H65" s="51" t="n">
        <f aca="false">SUMPRODUCT(--ISNUMBER(SEARCH(", "&amp;$B65&amp;", ",", "&amp;'Hoạt động (Đơn của tôi)'!$B$7:$B$500&amp;", ")),--('Hoạt động (Đơn của tôi)'!$AT$7:$AT$500="Fail"))+SUMPRODUCT(--ISNUMBER(SEARCH(", "&amp;$B65&amp;", ",", "&amp;'Ghép nối'!$B$7:$B$500&amp;", ")),--('Ghép nối'!$AT$7:$AT$500="Fail"))+SUMPRODUCT(--ISNUMBER(SEARCH(", "&amp;$B65&amp;", ",", "&amp;'Huỷ đơn - Huỷ nhận đơn'!$B$7:$B$500&amp;", ")),--('Huỷ đơn - Huỷ nhận đơn'!$AT$7:$AT$500="Fail"))+SUMPRODUCT(--ISNUMBER(SEARCH(", "&amp;$B65&amp;", ",", "&amp;'Giao nhận &amp; Theo dõi đơn'!$B$7:$B$500&amp;", ")),--('Giao nhận &amp; Theo dõi đơn'!$AT$7:$AT$500="Fail"))+SUMPRODUCT(--ISNUMBER(SEARCH(", "&amp;$B65&amp;", ",", "&amp;'Bảng tin &amp; Chi tiết tin'!$B$7:$B$500&amp;", ")),--('Bảng tin &amp; Chi tiết tin'!$AT$7:$AT$500="Fail"))+SUMPRODUCT(--ISNUMBER(SEARCH(", "&amp;$B65&amp;", ",", "&amp;'Quà cảm ơn'!$B$7:$B$500&amp;", ")),--('Quà cảm ơn'!$AT$7:$AT$500="Fail"))+SUMPRODUCT(--ISNUMBER(SEARCH(", "&amp;$B65&amp;", ",", "&amp;'Trang chủ'!$B$7:$B$500&amp;", ")),--('Trang chủ'!$AT$7:$AT$500="Fail"))+SUMPRODUCT(--ISNUMBER(SEARCH(", "&amp;$B65&amp;", ",", "&amp;'Thông báo'!$B$7:$B$500&amp;", ")),--('Thông báo'!$AT$7:$AT$500="Fail"))+SUMPRODUCT(--ISNUMBER(SEARCH(", "&amp;$B65&amp;", ",", "&amp;'Đăng tin &amp; Quản lý tin'!$B$7:$B$500&amp;", ")),--('Đăng tin &amp; Quản lý tin'!$AT$7:$AT$500="Fail"))+SUMPRODUCT(--ISNUMBER(SEARCH(", "&amp;$B65&amp;", ",", "&amp;'Trust &amp; Safety'!$B$7:$B$500&amp;", ")),--('Trust &amp; Safety'!$AT$7:$AT$500="Fail"))+SUMPRODUCT(--ISNUMBER(SEARCH(", "&amp;$B65&amp;", ",", "&amp;'Tài khoản &amp; Hồ sơ'!$B$7:$B$500&amp;", ")),--('Tài khoản &amp; Hồ sơ'!$AT$7:$AT$500="Fail"))</f>
        <v>2</v>
      </c>
      <c r="I65" s="51" t="n">
        <f aca="false">SUMPRODUCT(--ISNUMBER(SEARCH(", "&amp;$B65&amp;", ",", "&amp;'Hoạt động (Đơn của tôi)'!$B$7:$B$500&amp;", ")),--('Hoạt động (Đơn của tôi)'!$AT$7:$AT$500="Block"))+SUMPRODUCT(--ISNUMBER(SEARCH(", "&amp;$B65&amp;", ",", "&amp;'Ghép nối'!$B$7:$B$500&amp;", ")),--('Ghép nối'!$AT$7:$AT$500="Block"))+SUMPRODUCT(--ISNUMBER(SEARCH(", "&amp;$B65&amp;", ",", "&amp;'Huỷ đơn - Huỷ nhận đơn'!$B$7:$B$500&amp;", ")),--('Huỷ đơn - Huỷ nhận đơn'!$AT$7:$AT$500="Block"))+SUMPRODUCT(--ISNUMBER(SEARCH(", "&amp;$B65&amp;", ",", "&amp;'Giao nhận &amp; Theo dõi đơn'!$B$7:$B$500&amp;", ")),--('Giao nhận &amp; Theo dõi đơn'!$AT$7:$AT$500="Block"))+SUMPRODUCT(--ISNUMBER(SEARCH(", "&amp;$B65&amp;", ",", "&amp;'Bảng tin &amp; Chi tiết tin'!$B$7:$B$500&amp;", ")),--('Bảng tin &amp; Chi tiết tin'!$AT$7:$AT$500="Block"))+SUMPRODUCT(--ISNUMBER(SEARCH(", "&amp;$B65&amp;", ",", "&amp;'Quà cảm ơn'!$B$7:$B$500&amp;", ")),--('Quà cảm ơn'!$AT$7:$AT$500="Block"))+SUMPRODUCT(--ISNUMBER(SEARCH(", "&amp;$B65&amp;", ",", "&amp;'Trang chủ'!$B$7:$B$500&amp;", ")),--('Trang chủ'!$AT$7:$AT$500="Block"))+SUMPRODUCT(--ISNUMBER(SEARCH(", "&amp;$B65&amp;", ",", "&amp;'Thông báo'!$B$7:$B$500&amp;", ")),--('Thông báo'!$AT$7:$AT$500="Block"))+SUMPRODUCT(--ISNUMBER(SEARCH(", "&amp;$B65&amp;", ",", "&amp;'Đăng tin &amp; Quản lý tin'!$B$7:$B$500&amp;", ")),--('Đăng tin &amp; Quản lý tin'!$AT$7:$AT$500="Block"))+SUMPRODUCT(--ISNUMBER(SEARCH(", "&amp;$B65&amp;", ",", "&amp;'Trust &amp; Safety'!$B$7:$B$500&amp;", ")),--('Trust &amp; Safety'!$AT$7:$AT$500="Block"))+SUMPRODUCT(--ISNUMBER(SEARCH(", "&amp;$B65&amp;", ",", "&amp;'Tài khoản &amp; Hồ sơ'!$B$7:$B$500&amp;", ")),--('Tài khoản &amp; Hồ sơ'!$AT$7:$AT$500="Block"))</f>
        <v>0</v>
      </c>
      <c r="J65" s="51" t="n">
        <f aca="false">SUMPRODUCT(--ISNUMBER(SEARCH(", "&amp;$B65&amp;", ",", "&amp;'Hoạt động (Đơn của tôi)'!$B$7:$B$500&amp;", ")),--('Hoạt động (Đơn của tôi)'!$AT$7:$AT$500="N/A"))+SUMPRODUCT(--ISNUMBER(SEARCH(", "&amp;$B65&amp;", ",", "&amp;'Ghép nối'!$B$7:$B$500&amp;", ")),--('Ghép nối'!$AT$7:$AT$500="N/A"))+SUMPRODUCT(--ISNUMBER(SEARCH(", "&amp;$B65&amp;", ",", "&amp;'Huỷ đơn - Huỷ nhận đơn'!$B$7:$B$500&amp;", ")),--('Huỷ đơn - Huỷ nhận đơn'!$AT$7:$AT$500="N/A"))+SUMPRODUCT(--ISNUMBER(SEARCH(", "&amp;$B65&amp;", ",", "&amp;'Giao nhận &amp; Theo dõi đơn'!$B$7:$B$500&amp;", ")),--('Giao nhận &amp; Theo dõi đơn'!$AT$7:$AT$500="N/A"))+SUMPRODUCT(--ISNUMBER(SEARCH(", "&amp;$B65&amp;", ",", "&amp;'Bảng tin &amp; Chi tiết tin'!$B$7:$B$500&amp;", ")),--('Bảng tin &amp; Chi tiết tin'!$AT$7:$AT$500="N/A"))+SUMPRODUCT(--ISNUMBER(SEARCH(", "&amp;$B65&amp;", ",", "&amp;'Quà cảm ơn'!$B$7:$B$500&amp;", ")),--('Quà cảm ơn'!$AT$7:$AT$500="N/A"))+SUMPRODUCT(--ISNUMBER(SEARCH(", "&amp;$B65&amp;", ",", "&amp;'Trang chủ'!$B$7:$B$500&amp;", ")),--('Trang chủ'!$AT$7:$AT$500="N/A"))+SUMPRODUCT(--ISNUMBER(SEARCH(", "&amp;$B65&amp;", ",", "&amp;'Thông báo'!$B$7:$B$500&amp;", ")),--('Thông báo'!$AT$7:$AT$500="N/A"))+SUMPRODUCT(--ISNUMBER(SEARCH(", "&amp;$B65&amp;", ",", "&amp;'Đăng tin &amp; Quản lý tin'!$B$7:$B$500&amp;", ")),--('Đăng tin &amp; Quản lý tin'!$AT$7:$AT$500="N/A"))+SUMPRODUCT(--ISNUMBER(SEARCH(", "&amp;$B65&amp;", ",", "&amp;'Trust &amp; Safety'!$B$7:$B$500&amp;", ")),--('Trust &amp; Safety'!$AT$7:$AT$500="N/A"))+SUMPRODUCT(--ISNUMBER(SEARCH(", "&amp;$B65&amp;", ",", "&amp;'Tài khoản &amp; Hồ sơ'!$B$7:$B$500&amp;", ")),--('Tài khoản &amp; Hồ sơ'!$AT$7:$AT$500="N/A"))</f>
        <v>0</v>
      </c>
      <c r="K65" s="52" t="n">
        <f aca="false">IFERROR(F65/E65,0)</f>
        <v>1</v>
      </c>
      <c r="L65" s="124" t="str">
        <f aca="false">IF(E65=0,"Chưa có TC (gap)",IF(H65&gt;0,"Có lỗi (Fail)",IF(I65&gt;0,"Bị block",IF(F65&lt;E65,"Đang test",IF(G65=0,"Không áp dụng (N/A)","Đã test xong")))))</f>
        <v>Có lỗi (Fail)</v>
      </c>
      <c r="AB65" s="0" t="s">
        <v>531</v>
      </c>
    </row>
    <row r="66" customFormat="false" ht="15.75" hidden="false" customHeight="true" outlineLevel="0" collapsed="false">
      <c r="A66" s="1"/>
      <c r="B66" s="176" t="s">
        <v>679</v>
      </c>
      <c r="C66" s="177" t="s">
        <v>680</v>
      </c>
      <c r="D66" s="124" t="s">
        <v>681</v>
      </c>
      <c r="E66" s="51" t="n">
        <f aca="false">SUMPRODUCT(--ISNUMBER(SEARCH(", "&amp;$B66&amp;", ",", "&amp;'Hoạt động (Đơn của tôi)'!$B$7:$B$500&amp;", ")))+SUMPRODUCT(--ISNUMBER(SEARCH(", "&amp;$B66&amp;", ",", "&amp;'Ghép nối'!$B$7:$B$500&amp;", ")))+SUMPRODUCT(--ISNUMBER(SEARCH(", "&amp;$B66&amp;", ",", "&amp;'Huỷ đơn - Huỷ nhận đơn'!$B$7:$B$500&amp;", ")))+SUMPRODUCT(--ISNUMBER(SEARCH(", "&amp;$B66&amp;", ",", "&amp;'Giao nhận &amp; Theo dõi đơn'!$B$7:$B$500&amp;", ")))+SUMPRODUCT(--ISNUMBER(SEARCH(", "&amp;$B66&amp;", ",", "&amp;'Bảng tin &amp; Chi tiết tin'!$B$7:$B$500&amp;", ")))+SUMPRODUCT(--ISNUMBER(SEARCH(", "&amp;$B66&amp;", ",", "&amp;'Quà cảm ơn'!$B$7:$B$500&amp;", ")))+SUMPRODUCT(--ISNUMBER(SEARCH(", "&amp;$B66&amp;", ",", "&amp;'Trang chủ'!$B$7:$B$500&amp;", ")))+SUMPRODUCT(--ISNUMBER(SEARCH(", "&amp;$B66&amp;", ",", "&amp;'Thông báo'!$B$7:$B$500&amp;", ")))+SUMPRODUCT(--ISNUMBER(SEARCH(", "&amp;$B66&amp;", ",", "&amp;'Đăng tin &amp; Quản lý tin'!$B$7:$B$500&amp;", ")))+SUMPRODUCT(--ISNUMBER(SEARCH(", "&amp;$B66&amp;", ",", "&amp;'Trust &amp; Safety'!$B$7:$B$500&amp;", ")))+SUMPRODUCT(--ISNUMBER(SEARCH(", "&amp;$B66&amp;", ",", "&amp;'Tài khoản &amp; Hồ sơ'!$B$7:$B$500&amp;", ")))</f>
        <v>4</v>
      </c>
      <c r="F66" s="51" t="n">
        <f aca="false">SUMPRODUCT(--ISNUMBER(SEARCH(", "&amp;$B66&amp;", ",", "&amp;'Hoạt động (Đơn của tôi)'!$B$7:$B$500&amp;", ")),--('Hoạt động (Đơn của tôi)'!$AT$7:$AT$500&lt;&gt;""))+SUMPRODUCT(--ISNUMBER(SEARCH(", "&amp;$B66&amp;", ",", "&amp;'Ghép nối'!$B$7:$B$500&amp;", ")),--('Ghép nối'!$AT$7:$AT$500&lt;&gt;""))+SUMPRODUCT(--ISNUMBER(SEARCH(", "&amp;$B66&amp;", ",", "&amp;'Huỷ đơn - Huỷ nhận đơn'!$B$7:$B$500&amp;", ")),--('Huỷ đơn - Huỷ nhận đơn'!$AT$7:$AT$500&lt;&gt;""))+SUMPRODUCT(--ISNUMBER(SEARCH(", "&amp;$B66&amp;", ",", "&amp;'Giao nhận &amp; Theo dõi đơn'!$B$7:$B$500&amp;", ")),--('Giao nhận &amp; Theo dõi đơn'!$AT$7:$AT$500&lt;&gt;""))+SUMPRODUCT(--ISNUMBER(SEARCH(", "&amp;$B66&amp;", ",", "&amp;'Bảng tin &amp; Chi tiết tin'!$B$7:$B$500&amp;", ")),--('Bảng tin &amp; Chi tiết tin'!$AT$7:$AT$500&lt;&gt;""))+SUMPRODUCT(--ISNUMBER(SEARCH(", "&amp;$B66&amp;", ",", "&amp;'Quà cảm ơn'!$B$7:$B$500&amp;", ")),--('Quà cảm ơn'!$AT$7:$AT$500&lt;&gt;""))+SUMPRODUCT(--ISNUMBER(SEARCH(", "&amp;$B66&amp;", ",", "&amp;'Trang chủ'!$B$7:$B$500&amp;", ")),--('Trang chủ'!$AT$7:$AT$500&lt;&gt;""))+SUMPRODUCT(--ISNUMBER(SEARCH(", "&amp;$B66&amp;", ",", "&amp;'Thông báo'!$B$7:$B$500&amp;", ")),--('Thông báo'!$AT$7:$AT$500&lt;&gt;""))+SUMPRODUCT(--ISNUMBER(SEARCH(", "&amp;$B66&amp;", ",", "&amp;'Đăng tin &amp; Quản lý tin'!$B$7:$B$500&amp;", ")),--('Đăng tin &amp; Quản lý tin'!$AT$7:$AT$500&lt;&gt;""))+SUMPRODUCT(--ISNUMBER(SEARCH(", "&amp;$B66&amp;", ",", "&amp;'Trust &amp; Safety'!$B$7:$B$500&amp;", ")),--('Trust &amp; Safety'!$AT$7:$AT$500&lt;&gt;""))+SUMPRODUCT(--ISNUMBER(SEARCH(", "&amp;$B66&amp;", ",", "&amp;'Tài khoản &amp; Hồ sơ'!$B$7:$B$500&amp;", ")),--('Tài khoản &amp; Hồ sơ'!$AT$7:$AT$500&lt;&gt;""))</f>
        <v>2</v>
      </c>
      <c r="G66" s="51" t="n">
        <f aca="false">SUMPRODUCT(--ISNUMBER(SEARCH(", "&amp;$B66&amp;", ",", "&amp;'Hoạt động (Đơn của tôi)'!$B$7:$B$500&amp;", ")),--('Hoạt động (Đơn của tôi)'!$AT$7:$AT$500="Pass"))+SUMPRODUCT(--ISNUMBER(SEARCH(", "&amp;$B66&amp;", ",", "&amp;'Ghép nối'!$B$7:$B$500&amp;", ")),--('Ghép nối'!$AT$7:$AT$500="Pass"))+SUMPRODUCT(--ISNUMBER(SEARCH(", "&amp;$B66&amp;", ",", "&amp;'Huỷ đơn - Huỷ nhận đơn'!$B$7:$B$500&amp;", ")),--('Huỷ đơn - Huỷ nhận đơn'!$AT$7:$AT$500="Pass"))+SUMPRODUCT(--ISNUMBER(SEARCH(", "&amp;$B66&amp;", ",", "&amp;'Giao nhận &amp; Theo dõi đơn'!$B$7:$B$500&amp;", ")),--('Giao nhận &amp; Theo dõi đơn'!$AT$7:$AT$500="Pass"))+SUMPRODUCT(--ISNUMBER(SEARCH(", "&amp;$B66&amp;", ",", "&amp;'Bảng tin &amp; Chi tiết tin'!$B$7:$B$500&amp;", ")),--('Bảng tin &amp; Chi tiết tin'!$AT$7:$AT$500="Pass"))+SUMPRODUCT(--ISNUMBER(SEARCH(", "&amp;$B66&amp;", ",", "&amp;'Quà cảm ơn'!$B$7:$B$500&amp;", ")),--('Quà cảm ơn'!$AT$7:$AT$500="Pass"))+SUMPRODUCT(--ISNUMBER(SEARCH(", "&amp;$B66&amp;", ",", "&amp;'Trang chủ'!$B$7:$B$500&amp;", ")),--('Trang chủ'!$AT$7:$AT$500="Pass"))+SUMPRODUCT(--ISNUMBER(SEARCH(", "&amp;$B66&amp;", ",", "&amp;'Thông báo'!$B$7:$B$500&amp;", ")),--('Thông báo'!$AT$7:$AT$500="Pass"))+SUMPRODUCT(--ISNUMBER(SEARCH(", "&amp;$B66&amp;", ",", "&amp;'Đăng tin &amp; Quản lý tin'!$B$7:$B$500&amp;", ")),--('Đăng tin &amp; Quản lý tin'!$AT$7:$AT$500="Pass"))+SUMPRODUCT(--ISNUMBER(SEARCH(", "&amp;$B66&amp;", ",", "&amp;'Trust &amp; Safety'!$B$7:$B$500&amp;", ")),--('Trust &amp; Safety'!$AT$7:$AT$500="Pass"))+SUMPRODUCT(--ISNUMBER(SEARCH(", "&amp;$B66&amp;", ",", "&amp;'Tài khoản &amp; Hồ sơ'!$B$7:$B$500&amp;", ")),--('Tài khoản &amp; Hồ sơ'!$AT$7:$AT$500="Pass"))</f>
        <v>2</v>
      </c>
      <c r="H66" s="51" t="n">
        <f aca="false">SUMPRODUCT(--ISNUMBER(SEARCH(", "&amp;$B66&amp;", ",", "&amp;'Hoạt động (Đơn của tôi)'!$B$7:$B$500&amp;", ")),--('Hoạt động (Đơn của tôi)'!$AT$7:$AT$500="Fail"))+SUMPRODUCT(--ISNUMBER(SEARCH(", "&amp;$B66&amp;", ",", "&amp;'Ghép nối'!$B$7:$B$500&amp;", ")),--('Ghép nối'!$AT$7:$AT$500="Fail"))+SUMPRODUCT(--ISNUMBER(SEARCH(", "&amp;$B66&amp;", ",", "&amp;'Huỷ đơn - Huỷ nhận đơn'!$B$7:$B$500&amp;", ")),--('Huỷ đơn - Huỷ nhận đơn'!$AT$7:$AT$500="Fail"))+SUMPRODUCT(--ISNUMBER(SEARCH(", "&amp;$B66&amp;", ",", "&amp;'Giao nhận &amp; Theo dõi đơn'!$B$7:$B$500&amp;", ")),--('Giao nhận &amp; Theo dõi đơn'!$AT$7:$AT$500="Fail"))+SUMPRODUCT(--ISNUMBER(SEARCH(", "&amp;$B66&amp;", ",", "&amp;'Bảng tin &amp; Chi tiết tin'!$B$7:$B$500&amp;", ")),--('Bảng tin &amp; Chi tiết tin'!$AT$7:$AT$500="Fail"))+SUMPRODUCT(--ISNUMBER(SEARCH(", "&amp;$B66&amp;", ",", "&amp;'Quà cảm ơn'!$B$7:$B$500&amp;", ")),--('Quà cảm ơn'!$AT$7:$AT$500="Fail"))+SUMPRODUCT(--ISNUMBER(SEARCH(", "&amp;$B66&amp;", ",", "&amp;'Trang chủ'!$B$7:$B$500&amp;", ")),--('Trang chủ'!$AT$7:$AT$500="Fail"))+SUMPRODUCT(--ISNUMBER(SEARCH(", "&amp;$B66&amp;", ",", "&amp;'Thông báo'!$B$7:$B$500&amp;", ")),--('Thông báo'!$AT$7:$AT$500="Fail"))+SUMPRODUCT(--ISNUMBER(SEARCH(", "&amp;$B66&amp;", ",", "&amp;'Đăng tin &amp; Quản lý tin'!$B$7:$B$500&amp;", ")),--('Đăng tin &amp; Quản lý tin'!$AT$7:$AT$500="Fail"))+SUMPRODUCT(--ISNUMBER(SEARCH(", "&amp;$B66&amp;", ",", "&amp;'Trust &amp; Safety'!$B$7:$B$500&amp;", ")),--('Trust &amp; Safety'!$AT$7:$AT$500="Fail"))+SUMPRODUCT(--ISNUMBER(SEARCH(", "&amp;$B66&amp;", ",", "&amp;'Tài khoản &amp; Hồ sơ'!$B$7:$B$500&amp;", ")),--('Tài khoản &amp; Hồ sơ'!$AT$7:$AT$500="Fail"))</f>
        <v>0</v>
      </c>
      <c r="I66" s="51" t="n">
        <f aca="false">SUMPRODUCT(--ISNUMBER(SEARCH(", "&amp;$B66&amp;", ",", "&amp;'Hoạt động (Đơn của tôi)'!$B$7:$B$500&amp;", ")),--('Hoạt động (Đơn của tôi)'!$AT$7:$AT$500="Block"))+SUMPRODUCT(--ISNUMBER(SEARCH(", "&amp;$B66&amp;", ",", "&amp;'Ghép nối'!$B$7:$B$500&amp;", ")),--('Ghép nối'!$AT$7:$AT$500="Block"))+SUMPRODUCT(--ISNUMBER(SEARCH(", "&amp;$B66&amp;", ",", "&amp;'Huỷ đơn - Huỷ nhận đơn'!$B$7:$B$500&amp;", ")),--('Huỷ đơn - Huỷ nhận đơn'!$AT$7:$AT$500="Block"))+SUMPRODUCT(--ISNUMBER(SEARCH(", "&amp;$B66&amp;", ",", "&amp;'Giao nhận &amp; Theo dõi đơn'!$B$7:$B$500&amp;", ")),--('Giao nhận &amp; Theo dõi đơn'!$AT$7:$AT$500="Block"))+SUMPRODUCT(--ISNUMBER(SEARCH(", "&amp;$B66&amp;", ",", "&amp;'Bảng tin &amp; Chi tiết tin'!$B$7:$B$500&amp;", ")),--('Bảng tin &amp; Chi tiết tin'!$AT$7:$AT$500="Block"))+SUMPRODUCT(--ISNUMBER(SEARCH(", "&amp;$B66&amp;", ",", "&amp;'Quà cảm ơn'!$B$7:$B$500&amp;", ")),--('Quà cảm ơn'!$AT$7:$AT$500="Block"))+SUMPRODUCT(--ISNUMBER(SEARCH(", "&amp;$B66&amp;", ",", "&amp;'Trang chủ'!$B$7:$B$500&amp;", ")),--('Trang chủ'!$AT$7:$AT$500="Block"))+SUMPRODUCT(--ISNUMBER(SEARCH(", "&amp;$B66&amp;", ",", "&amp;'Thông báo'!$B$7:$B$500&amp;", ")),--('Thông báo'!$AT$7:$AT$500="Block"))+SUMPRODUCT(--ISNUMBER(SEARCH(", "&amp;$B66&amp;", ",", "&amp;'Đăng tin &amp; Quản lý tin'!$B$7:$B$500&amp;", ")),--('Đăng tin &amp; Quản lý tin'!$AT$7:$AT$500="Block"))+SUMPRODUCT(--ISNUMBER(SEARCH(", "&amp;$B66&amp;", ",", "&amp;'Trust &amp; Safety'!$B$7:$B$500&amp;", ")),--('Trust &amp; Safety'!$AT$7:$AT$500="Block"))+SUMPRODUCT(--ISNUMBER(SEARCH(", "&amp;$B66&amp;", ",", "&amp;'Tài khoản &amp; Hồ sơ'!$B$7:$B$500&amp;", ")),--('Tài khoản &amp; Hồ sơ'!$AT$7:$AT$500="Block"))</f>
        <v>0</v>
      </c>
      <c r="J66" s="51" t="n">
        <f aca="false">SUMPRODUCT(--ISNUMBER(SEARCH(", "&amp;$B66&amp;", ",", "&amp;'Hoạt động (Đơn của tôi)'!$B$7:$B$500&amp;", ")),--('Hoạt động (Đơn của tôi)'!$AT$7:$AT$500="N/A"))+SUMPRODUCT(--ISNUMBER(SEARCH(", "&amp;$B66&amp;", ",", "&amp;'Ghép nối'!$B$7:$B$500&amp;", ")),--('Ghép nối'!$AT$7:$AT$500="N/A"))+SUMPRODUCT(--ISNUMBER(SEARCH(", "&amp;$B66&amp;", ",", "&amp;'Huỷ đơn - Huỷ nhận đơn'!$B$7:$B$500&amp;", ")),--('Huỷ đơn - Huỷ nhận đơn'!$AT$7:$AT$500="N/A"))+SUMPRODUCT(--ISNUMBER(SEARCH(", "&amp;$B66&amp;", ",", "&amp;'Giao nhận &amp; Theo dõi đơn'!$B$7:$B$500&amp;", ")),--('Giao nhận &amp; Theo dõi đơn'!$AT$7:$AT$500="N/A"))+SUMPRODUCT(--ISNUMBER(SEARCH(", "&amp;$B66&amp;", ",", "&amp;'Bảng tin &amp; Chi tiết tin'!$B$7:$B$500&amp;", ")),--('Bảng tin &amp; Chi tiết tin'!$AT$7:$AT$500="N/A"))+SUMPRODUCT(--ISNUMBER(SEARCH(", "&amp;$B66&amp;", ",", "&amp;'Quà cảm ơn'!$B$7:$B$500&amp;", ")),--('Quà cảm ơn'!$AT$7:$AT$500="N/A"))+SUMPRODUCT(--ISNUMBER(SEARCH(", "&amp;$B66&amp;", ",", "&amp;'Trang chủ'!$B$7:$B$500&amp;", ")),--('Trang chủ'!$AT$7:$AT$500="N/A"))+SUMPRODUCT(--ISNUMBER(SEARCH(", "&amp;$B66&amp;", ",", "&amp;'Thông báo'!$B$7:$B$500&amp;", ")),--('Thông báo'!$AT$7:$AT$500="N/A"))+SUMPRODUCT(--ISNUMBER(SEARCH(", "&amp;$B66&amp;", ",", "&amp;'Đăng tin &amp; Quản lý tin'!$B$7:$B$500&amp;", ")),--('Đăng tin &amp; Quản lý tin'!$AT$7:$AT$500="N/A"))+SUMPRODUCT(--ISNUMBER(SEARCH(", "&amp;$B66&amp;", ",", "&amp;'Trust &amp; Safety'!$B$7:$B$500&amp;", ")),--('Trust &amp; Safety'!$AT$7:$AT$500="N/A"))+SUMPRODUCT(--ISNUMBER(SEARCH(", "&amp;$B66&amp;", ",", "&amp;'Tài khoản &amp; Hồ sơ'!$B$7:$B$500&amp;", ")),--('Tài khoản &amp; Hồ sơ'!$AT$7:$AT$500="N/A"))</f>
        <v>0</v>
      </c>
      <c r="K66" s="52" t="n">
        <f aca="false">IFERROR(F66/E66,0)</f>
        <v>0.5</v>
      </c>
      <c r="L66" s="124" t="str">
        <f aca="false">IF(E66=0,"Chưa có TC (gap)",IF(H66&gt;0,"Có lỗi (Fail)",IF(I66&gt;0,"Bị block",IF(F66&lt;E66,"Đang test",IF(G66=0,"Không áp dụng (N/A)","Đã test xong")))))</f>
        <v>Đang test</v>
      </c>
      <c r="AB66" s="0" t="s">
        <v>531</v>
      </c>
    </row>
    <row r="67" customFormat="false" ht="15.75" hidden="false" customHeight="true" outlineLevel="0" collapsed="false">
      <c r="A67" s="1"/>
      <c r="B67" s="176" t="s">
        <v>682</v>
      </c>
      <c r="C67" s="177" t="s">
        <v>683</v>
      </c>
      <c r="D67" s="124" t="s">
        <v>684</v>
      </c>
      <c r="E67" s="51" t="n">
        <f aca="false">SUMPRODUCT(--ISNUMBER(SEARCH(", "&amp;$B67&amp;", ",", "&amp;'Hoạt động (Đơn của tôi)'!$B$7:$B$500&amp;", ")))+SUMPRODUCT(--ISNUMBER(SEARCH(", "&amp;$B67&amp;", ",", "&amp;'Ghép nối'!$B$7:$B$500&amp;", ")))+SUMPRODUCT(--ISNUMBER(SEARCH(", "&amp;$B67&amp;", ",", "&amp;'Huỷ đơn - Huỷ nhận đơn'!$B$7:$B$500&amp;", ")))+SUMPRODUCT(--ISNUMBER(SEARCH(", "&amp;$B67&amp;", ",", "&amp;'Giao nhận &amp; Theo dõi đơn'!$B$7:$B$500&amp;", ")))+SUMPRODUCT(--ISNUMBER(SEARCH(", "&amp;$B67&amp;", ",", "&amp;'Bảng tin &amp; Chi tiết tin'!$B$7:$B$500&amp;", ")))+SUMPRODUCT(--ISNUMBER(SEARCH(", "&amp;$B67&amp;", ",", "&amp;'Quà cảm ơn'!$B$7:$B$500&amp;", ")))+SUMPRODUCT(--ISNUMBER(SEARCH(", "&amp;$B67&amp;", ",", "&amp;'Trang chủ'!$B$7:$B$500&amp;", ")))+SUMPRODUCT(--ISNUMBER(SEARCH(", "&amp;$B67&amp;", ",", "&amp;'Thông báo'!$B$7:$B$500&amp;", ")))+SUMPRODUCT(--ISNUMBER(SEARCH(", "&amp;$B67&amp;", ",", "&amp;'Đăng tin &amp; Quản lý tin'!$B$7:$B$500&amp;", ")))+SUMPRODUCT(--ISNUMBER(SEARCH(", "&amp;$B67&amp;", ",", "&amp;'Trust &amp; Safety'!$B$7:$B$500&amp;", ")))+SUMPRODUCT(--ISNUMBER(SEARCH(", "&amp;$B67&amp;", ",", "&amp;'Tài khoản &amp; Hồ sơ'!$B$7:$B$500&amp;", ")))</f>
        <v>2</v>
      </c>
      <c r="F67" s="51" t="n">
        <f aca="false">SUMPRODUCT(--ISNUMBER(SEARCH(", "&amp;$B67&amp;", ",", "&amp;'Hoạt động (Đơn của tôi)'!$B$7:$B$500&amp;", ")),--('Hoạt động (Đơn của tôi)'!$AT$7:$AT$500&lt;&gt;""))+SUMPRODUCT(--ISNUMBER(SEARCH(", "&amp;$B67&amp;", ",", "&amp;'Ghép nối'!$B$7:$B$500&amp;", ")),--('Ghép nối'!$AT$7:$AT$500&lt;&gt;""))+SUMPRODUCT(--ISNUMBER(SEARCH(", "&amp;$B67&amp;", ",", "&amp;'Huỷ đơn - Huỷ nhận đơn'!$B$7:$B$500&amp;", ")),--('Huỷ đơn - Huỷ nhận đơn'!$AT$7:$AT$500&lt;&gt;""))+SUMPRODUCT(--ISNUMBER(SEARCH(", "&amp;$B67&amp;", ",", "&amp;'Giao nhận &amp; Theo dõi đơn'!$B$7:$B$500&amp;", ")),--('Giao nhận &amp; Theo dõi đơn'!$AT$7:$AT$500&lt;&gt;""))+SUMPRODUCT(--ISNUMBER(SEARCH(", "&amp;$B67&amp;", ",", "&amp;'Bảng tin &amp; Chi tiết tin'!$B$7:$B$500&amp;", ")),--('Bảng tin &amp; Chi tiết tin'!$AT$7:$AT$500&lt;&gt;""))+SUMPRODUCT(--ISNUMBER(SEARCH(", "&amp;$B67&amp;", ",", "&amp;'Quà cảm ơn'!$B$7:$B$500&amp;", ")),--('Quà cảm ơn'!$AT$7:$AT$500&lt;&gt;""))+SUMPRODUCT(--ISNUMBER(SEARCH(", "&amp;$B67&amp;", ",", "&amp;'Trang chủ'!$B$7:$B$500&amp;", ")),--('Trang chủ'!$AT$7:$AT$500&lt;&gt;""))+SUMPRODUCT(--ISNUMBER(SEARCH(", "&amp;$B67&amp;", ",", "&amp;'Thông báo'!$B$7:$B$500&amp;", ")),--('Thông báo'!$AT$7:$AT$500&lt;&gt;""))+SUMPRODUCT(--ISNUMBER(SEARCH(", "&amp;$B67&amp;", ",", "&amp;'Đăng tin &amp; Quản lý tin'!$B$7:$B$500&amp;", ")),--('Đăng tin &amp; Quản lý tin'!$AT$7:$AT$500&lt;&gt;""))+SUMPRODUCT(--ISNUMBER(SEARCH(", "&amp;$B67&amp;", ",", "&amp;'Trust &amp; Safety'!$B$7:$B$500&amp;", ")),--('Trust &amp; Safety'!$AT$7:$AT$500&lt;&gt;""))+SUMPRODUCT(--ISNUMBER(SEARCH(", "&amp;$B67&amp;", ",", "&amp;'Tài khoản &amp; Hồ sơ'!$B$7:$B$500&amp;", ")),--('Tài khoản &amp; Hồ sơ'!$AT$7:$AT$500&lt;&gt;""))</f>
        <v>2</v>
      </c>
      <c r="G67" s="51" t="n">
        <f aca="false">SUMPRODUCT(--ISNUMBER(SEARCH(", "&amp;$B67&amp;", ",", "&amp;'Hoạt động (Đơn của tôi)'!$B$7:$B$500&amp;", ")),--('Hoạt động (Đơn của tôi)'!$AT$7:$AT$500="Pass"))+SUMPRODUCT(--ISNUMBER(SEARCH(", "&amp;$B67&amp;", ",", "&amp;'Ghép nối'!$B$7:$B$500&amp;", ")),--('Ghép nối'!$AT$7:$AT$500="Pass"))+SUMPRODUCT(--ISNUMBER(SEARCH(", "&amp;$B67&amp;", ",", "&amp;'Huỷ đơn - Huỷ nhận đơn'!$B$7:$B$500&amp;", ")),--('Huỷ đơn - Huỷ nhận đơn'!$AT$7:$AT$500="Pass"))+SUMPRODUCT(--ISNUMBER(SEARCH(", "&amp;$B67&amp;", ",", "&amp;'Giao nhận &amp; Theo dõi đơn'!$B$7:$B$500&amp;", ")),--('Giao nhận &amp; Theo dõi đơn'!$AT$7:$AT$500="Pass"))+SUMPRODUCT(--ISNUMBER(SEARCH(", "&amp;$B67&amp;", ",", "&amp;'Bảng tin &amp; Chi tiết tin'!$B$7:$B$500&amp;", ")),--('Bảng tin &amp; Chi tiết tin'!$AT$7:$AT$500="Pass"))+SUMPRODUCT(--ISNUMBER(SEARCH(", "&amp;$B67&amp;", ",", "&amp;'Quà cảm ơn'!$B$7:$B$500&amp;", ")),--('Quà cảm ơn'!$AT$7:$AT$500="Pass"))+SUMPRODUCT(--ISNUMBER(SEARCH(", "&amp;$B67&amp;", ",", "&amp;'Trang chủ'!$B$7:$B$500&amp;", ")),--('Trang chủ'!$AT$7:$AT$500="Pass"))+SUMPRODUCT(--ISNUMBER(SEARCH(", "&amp;$B67&amp;", ",", "&amp;'Thông báo'!$B$7:$B$500&amp;", ")),--('Thông báo'!$AT$7:$AT$500="Pass"))+SUMPRODUCT(--ISNUMBER(SEARCH(", "&amp;$B67&amp;", ",", "&amp;'Đăng tin &amp; Quản lý tin'!$B$7:$B$500&amp;", ")),--('Đăng tin &amp; Quản lý tin'!$AT$7:$AT$500="Pass"))+SUMPRODUCT(--ISNUMBER(SEARCH(", "&amp;$B67&amp;", ",", "&amp;'Trust &amp; Safety'!$B$7:$B$500&amp;", ")),--('Trust &amp; Safety'!$AT$7:$AT$500="Pass"))+SUMPRODUCT(--ISNUMBER(SEARCH(", "&amp;$B67&amp;", ",", "&amp;'Tài khoản &amp; Hồ sơ'!$B$7:$B$500&amp;", ")),--('Tài khoản &amp; Hồ sơ'!$AT$7:$AT$500="Pass"))</f>
        <v>1</v>
      </c>
      <c r="H67" s="51" t="n">
        <f aca="false">SUMPRODUCT(--ISNUMBER(SEARCH(", "&amp;$B67&amp;", ",", "&amp;'Hoạt động (Đơn của tôi)'!$B$7:$B$500&amp;", ")),--('Hoạt động (Đơn của tôi)'!$AT$7:$AT$500="Fail"))+SUMPRODUCT(--ISNUMBER(SEARCH(", "&amp;$B67&amp;", ",", "&amp;'Ghép nối'!$B$7:$B$500&amp;", ")),--('Ghép nối'!$AT$7:$AT$500="Fail"))+SUMPRODUCT(--ISNUMBER(SEARCH(", "&amp;$B67&amp;", ",", "&amp;'Huỷ đơn - Huỷ nhận đơn'!$B$7:$B$500&amp;", ")),--('Huỷ đơn - Huỷ nhận đơn'!$AT$7:$AT$500="Fail"))+SUMPRODUCT(--ISNUMBER(SEARCH(", "&amp;$B67&amp;", ",", "&amp;'Giao nhận &amp; Theo dõi đơn'!$B$7:$B$500&amp;", ")),--('Giao nhận &amp; Theo dõi đơn'!$AT$7:$AT$500="Fail"))+SUMPRODUCT(--ISNUMBER(SEARCH(", "&amp;$B67&amp;", ",", "&amp;'Bảng tin &amp; Chi tiết tin'!$B$7:$B$500&amp;", ")),--('Bảng tin &amp; Chi tiết tin'!$AT$7:$AT$500="Fail"))+SUMPRODUCT(--ISNUMBER(SEARCH(", "&amp;$B67&amp;", ",", "&amp;'Quà cảm ơn'!$B$7:$B$500&amp;", ")),--('Quà cảm ơn'!$AT$7:$AT$500="Fail"))+SUMPRODUCT(--ISNUMBER(SEARCH(", "&amp;$B67&amp;", ",", "&amp;'Trang chủ'!$B$7:$B$500&amp;", ")),--('Trang chủ'!$AT$7:$AT$500="Fail"))+SUMPRODUCT(--ISNUMBER(SEARCH(", "&amp;$B67&amp;", ",", "&amp;'Thông báo'!$B$7:$B$500&amp;", ")),--('Thông báo'!$AT$7:$AT$500="Fail"))+SUMPRODUCT(--ISNUMBER(SEARCH(", "&amp;$B67&amp;", ",", "&amp;'Đăng tin &amp; Quản lý tin'!$B$7:$B$500&amp;", ")),--('Đăng tin &amp; Quản lý tin'!$AT$7:$AT$500="Fail"))+SUMPRODUCT(--ISNUMBER(SEARCH(", "&amp;$B67&amp;", ",", "&amp;'Trust &amp; Safety'!$B$7:$B$500&amp;", ")),--('Trust &amp; Safety'!$AT$7:$AT$500="Fail"))+SUMPRODUCT(--ISNUMBER(SEARCH(", "&amp;$B67&amp;", ",", "&amp;'Tài khoản &amp; Hồ sơ'!$B$7:$B$500&amp;", ")),--('Tài khoản &amp; Hồ sơ'!$AT$7:$AT$500="Fail"))</f>
        <v>0</v>
      </c>
      <c r="I67" s="51" t="n">
        <f aca="false">SUMPRODUCT(--ISNUMBER(SEARCH(", "&amp;$B67&amp;", ",", "&amp;'Hoạt động (Đơn của tôi)'!$B$7:$B$500&amp;", ")),--('Hoạt động (Đơn của tôi)'!$AT$7:$AT$500="Block"))+SUMPRODUCT(--ISNUMBER(SEARCH(", "&amp;$B67&amp;", ",", "&amp;'Ghép nối'!$B$7:$B$500&amp;", ")),--('Ghép nối'!$AT$7:$AT$500="Block"))+SUMPRODUCT(--ISNUMBER(SEARCH(", "&amp;$B67&amp;", ",", "&amp;'Huỷ đơn - Huỷ nhận đơn'!$B$7:$B$500&amp;", ")),--('Huỷ đơn - Huỷ nhận đơn'!$AT$7:$AT$500="Block"))+SUMPRODUCT(--ISNUMBER(SEARCH(", "&amp;$B67&amp;", ",", "&amp;'Giao nhận &amp; Theo dõi đơn'!$B$7:$B$500&amp;", ")),--('Giao nhận &amp; Theo dõi đơn'!$AT$7:$AT$500="Block"))+SUMPRODUCT(--ISNUMBER(SEARCH(", "&amp;$B67&amp;", ",", "&amp;'Bảng tin &amp; Chi tiết tin'!$B$7:$B$500&amp;", ")),--('Bảng tin &amp; Chi tiết tin'!$AT$7:$AT$500="Block"))+SUMPRODUCT(--ISNUMBER(SEARCH(", "&amp;$B67&amp;", ",", "&amp;'Quà cảm ơn'!$B$7:$B$500&amp;", ")),--('Quà cảm ơn'!$AT$7:$AT$500="Block"))+SUMPRODUCT(--ISNUMBER(SEARCH(", "&amp;$B67&amp;", ",", "&amp;'Trang chủ'!$B$7:$B$500&amp;", ")),--('Trang chủ'!$AT$7:$AT$500="Block"))+SUMPRODUCT(--ISNUMBER(SEARCH(", "&amp;$B67&amp;", ",", "&amp;'Thông báo'!$B$7:$B$500&amp;", ")),--('Thông báo'!$AT$7:$AT$500="Block"))+SUMPRODUCT(--ISNUMBER(SEARCH(", "&amp;$B67&amp;", ",", "&amp;'Đăng tin &amp; Quản lý tin'!$B$7:$B$500&amp;", ")),--('Đăng tin &amp; Quản lý tin'!$AT$7:$AT$500="Block"))+SUMPRODUCT(--ISNUMBER(SEARCH(", "&amp;$B67&amp;", ",", "&amp;'Trust &amp; Safety'!$B$7:$B$500&amp;", ")),--('Trust &amp; Safety'!$AT$7:$AT$500="Block"))+SUMPRODUCT(--ISNUMBER(SEARCH(", "&amp;$B67&amp;", ",", "&amp;'Tài khoản &amp; Hồ sơ'!$B$7:$B$500&amp;", ")),--('Tài khoản &amp; Hồ sơ'!$AT$7:$AT$500="Block"))</f>
        <v>1</v>
      </c>
      <c r="J67" s="51" t="n">
        <f aca="false">SUMPRODUCT(--ISNUMBER(SEARCH(", "&amp;$B67&amp;", ",", "&amp;'Hoạt động (Đơn của tôi)'!$B$7:$B$500&amp;", ")),--('Hoạt động (Đơn của tôi)'!$AT$7:$AT$500="N/A"))+SUMPRODUCT(--ISNUMBER(SEARCH(", "&amp;$B67&amp;", ",", "&amp;'Ghép nối'!$B$7:$B$500&amp;", ")),--('Ghép nối'!$AT$7:$AT$500="N/A"))+SUMPRODUCT(--ISNUMBER(SEARCH(", "&amp;$B67&amp;", ",", "&amp;'Huỷ đơn - Huỷ nhận đơn'!$B$7:$B$500&amp;", ")),--('Huỷ đơn - Huỷ nhận đơn'!$AT$7:$AT$500="N/A"))+SUMPRODUCT(--ISNUMBER(SEARCH(", "&amp;$B67&amp;", ",", "&amp;'Giao nhận &amp; Theo dõi đơn'!$B$7:$B$500&amp;", ")),--('Giao nhận &amp; Theo dõi đơn'!$AT$7:$AT$500="N/A"))+SUMPRODUCT(--ISNUMBER(SEARCH(", "&amp;$B67&amp;", ",", "&amp;'Bảng tin &amp; Chi tiết tin'!$B$7:$B$500&amp;", ")),--('Bảng tin &amp; Chi tiết tin'!$AT$7:$AT$500="N/A"))+SUMPRODUCT(--ISNUMBER(SEARCH(", "&amp;$B67&amp;", ",", "&amp;'Quà cảm ơn'!$B$7:$B$500&amp;", ")),--('Quà cảm ơn'!$AT$7:$AT$500="N/A"))+SUMPRODUCT(--ISNUMBER(SEARCH(", "&amp;$B67&amp;", ",", "&amp;'Trang chủ'!$B$7:$B$500&amp;", ")),--('Trang chủ'!$AT$7:$AT$500="N/A"))+SUMPRODUCT(--ISNUMBER(SEARCH(", "&amp;$B67&amp;", ",", "&amp;'Thông báo'!$B$7:$B$500&amp;", ")),--('Thông báo'!$AT$7:$AT$500="N/A"))+SUMPRODUCT(--ISNUMBER(SEARCH(", "&amp;$B67&amp;", ",", "&amp;'Đăng tin &amp; Quản lý tin'!$B$7:$B$500&amp;", ")),--('Đăng tin &amp; Quản lý tin'!$AT$7:$AT$500="N/A"))+SUMPRODUCT(--ISNUMBER(SEARCH(", "&amp;$B67&amp;", ",", "&amp;'Trust &amp; Safety'!$B$7:$B$500&amp;", ")),--('Trust &amp; Safety'!$AT$7:$AT$500="N/A"))+SUMPRODUCT(--ISNUMBER(SEARCH(", "&amp;$B67&amp;", ",", "&amp;'Tài khoản &amp; Hồ sơ'!$B$7:$B$500&amp;", ")),--('Tài khoản &amp; Hồ sơ'!$AT$7:$AT$500="N/A"))</f>
        <v>0</v>
      </c>
      <c r="K67" s="52" t="n">
        <f aca="false">IFERROR(F67/E67,0)</f>
        <v>1</v>
      </c>
      <c r="L67" s="124" t="str">
        <f aca="false">IF(E67=0,"Chưa có TC (gap)",IF(H67&gt;0,"Có lỗi (Fail)",IF(I67&gt;0,"Bị block",IF(F67&lt;E67,"Đang test",IF(G67=0,"Không áp dụng (N/A)","Đã test xong")))))</f>
        <v>Bị block</v>
      </c>
      <c r="AB67" s="0" t="s">
        <v>531</v>
      </c>
    </row>
    <row r="68" customFormat="false" ht="15.75" hidden="false" customHeight="true" outlineLevel="0" collapsed="false">
      <c r="A68" s="1"/>
      <c r="B68" s="176" t="s">
        <v>685</v>
      </c>
      <c r="C68" s="177" t="s">
        <v>686</v>
      </c>
      <c r="D68" s="124" t="s">
        <v>687</v>
      </c>
      <c r="E68" s="51" t="n">
        <f aca="false">SUMPRODUCT(--ISNUMBER(SEARCH(", "&amp;$B68&amp;", ",", "&amp;'Hoạt động (Đơn của tôi)'!$B$7:$B$500&amp;", ")))+SUMPRODUCT(--ISNUMBER(SEARCH(", "&amp;$B68&amp;", ",", "&amp;'Ghép nối'!$B$7:$B$500&amp;", ")))+SUMPRODUCT(--ISNUMBER(SEARCH(", "&amp;$B68&amp;", ",", "&amp;'Huỷ đơn - Huỷ nhận đơn'!$B$7:$B$500&amp;", ")))+SUMPRODUCT(--ISNUMBER(SEARCH(", "&amp;$B68&amp;", ",", "&amp;'Giao nhận &amp; Theo dõi đơn'!$B$7:$B$500&amp;", ")))+SUMPRODUCT(--ISNUMBER(SEARCH(", "&amp;$B68&amp;", ",", "&amp;'Bảng tin &amp; Chi tiết tin'!$B$7:$B$500&amp;", ")))+SUMPRODUCT(--ISNUMBER(SEARCH(", "&amp;$B68&amp;", ",", "&amp;'Quà cảm ơn'!$B$7:$B$500&amp;", ")))+SUMPRODUCT(--ISNUMBER(SEARCH(", "&amp;$B68&amp;", ",", "&amp;'Trang chủ'!$B$7:$B$500&amp;", ")))+SUMPRODUCT(--ISNUMBER(SEARCH(", "&amp;$B68&amp;", ",", "&amp;'Thông báo'!$B$7:$B$500&amp;", ")))+SUMPRODUCT(--ISNUMBER(SEARCH(", "&amp;$B68&amp;", ",", "&amp;'Đăng tin &amp; Quản lý tin'!$B$7:$B$500&amp;", ")))+SUMPRODUCT(--ISNUMBER(SEARCH(", "&amp;$B68&amp;", ",", "&amp;'Trust &amp; Safety'!$B$7:$B$500&amp;", ")))+SUMPRODUCT(--ISNUMBER(SEARCH(", "&amp;$B68&amp;", ",", "&amp;'Tài khoản &amp; Hồ sơ'!$B$7:$B$500&amp;", ")))</f>
        <v>1</v>
      </c>
      <c r="F68" s="51" t="n">
        <f aca="false">SUMPRODUCT(--ISNUMBER(SEARCH(", "&amp;$B68&amp;", ",", "&amp;'Hoạt động (Đơn của tôi)'!$B$7:$B$500&amp;", ")),--('Hoạt động (Đơn của tôi)'!$AT$7:$AT$500&lt;&gt;""))+SUMPRODUCT(--ISNUMBER(SEARCH(", "&amp;$B68&amp;", ",", "&amp;'Ghép nối'!$B$7:$B$500&amp;", ")),--('Ghép nối'!$AT$7:$AT$500&lt;&gt;""))+SUMPRODUCT(--ISNUMBER(SEARCH(", "&amp;$B68&amp;", ",", "&amp;'Huỷ đơn - Huỷ nhận đơn'!$B$7:$B$500&amp;", ")),--('Huỷ đơn - Huỷ nhận đơn'!$AT$7:$AT$500&lt;&gt;""))+SUMPRODUCT(--ISNUMBER(SEARCH(", "&amp;$B68&amp;", ",", "&amp;'Giao nhận &amp; Theo dõi đơn'!$B$7:$B$500&amp;", ")),--('Giao nhận &amp; Theo dõi đơn'!$AT$7:$AT$500&lt;&gt;""))+SUMPRODUCT(--ISNUMBER(SEARCH(", "&amp;$B68&amp;", ",", "&amp;'Bảng tin &amp; Chi tiết tin'!$B$7:$B$500&amp;", ")),--('Bảng tin &amp; Chi tiết tin'!$AT$7:$AT$500&lt;&gt;""))+SUMPRODUCT(--ISNUMBER(SEARCH(", "&amp;$B68&amp;", ",", "&amp;'Quà cảm ơn'!$B$7:$B$500&amp;", ")),--('Quà cảm ơn'!$AT$7:$AT$500&lt;&gt;""))+SUMPRODUCT(--ISNUMBER(SEARCH(", "&amp;$B68&amp;", ",", "&amp;'Trang chủ'!$B$7:$B$500&amp;", ")),--('Trang chủ'!$AT$7:$AT$500&lt;&gt;""))+SUMPRODUCT(--ISNUMBER(SEARCH(", "&amp;$B68&amp;", ",", "&amp;'Thông báo'!$B$7:$B$500&amp;", ")),--('Thông báo'!$AT$7:$AT$500&lt;&gt;""))+SUMPRODUCT(--ISNUMBER(SEARCH(", "&amp;$B68&amp;", ",", "&amp;'Đăng tin &amp; Quản lý tin'!$B$7:$B$500&amp;", ")),--('Đăng tin &amp; Quản lý tin'!$AT$7:$AT$500&lt;&gt;""))+SUMPRODUCT(--ISNUMBER(SEARCH(", "&amp;$B68&amp;", ",", "&amp;'Trust &amp; Safety'!$B$7:$B$500&amp;", ")),--('Trust &amp; Safety'!$AT$7:$AT$500&lt;&gt;""))+SUMPRODUCT(--ISNUMBER(SEARCH(", "&amp;$B68&amp;", ",", "&amp;'Tài khoản &amp; Hồ sơ'!$B$7:$B$500&amp;", ")),--('Tài khoản &amp; Hồ sơ'!$AT$7:$AT$500&lt;&gt;""))</f>
        <v>1</v>
      </c>
      <c r="G68" s="51" t="n">
        <f aca="false">SUMPRODUCT(--ISNUMBER(SEARCH(", "&amp;$B68&amp;", ",", "&amp;'Hoạt động (Đơn của tôi)'!$B$7:$B$500&amp;", ")),--('Hoạt động (Đơn của tôi)'!$AT$7:$AT$500="Pass"))+SUMPRODUCT(--ISNUMBER(SEARCH(", "&amp;$B68&amp;", ",", "&amp;'Ghép nối'!$B$7:$B$500&amp;", ")),--('Ghép nối'!$AT$7:$AT$500="Pass"))+SUMPRODUCT(--ISNUMBER(SEARCH(", "&amp;$B68&amp;", ",", "&amp;'Huỷ đơn - Huỷ nhận đơn'!$B$7:$B$500&amp;", ")),--('Huỷ đơn - Huỷ nhận đơn'!$AT$7:$AT$500="Pass"))+SUMPRODUCT(--ISNUMBER(SEARCH(", "&amp;$B68&amp;", ",", "&amp;'Giao nhận &amp; Theo dõi đơn'!$B$7:$B$500&amp;", ")),--('Giao nhận &amp; Theo dõi đơn'!$AT$7:$AT$500="Pass"))+SUMPRODUCT(--ISNUMBER(SEARCH(", "&amp;$B68&amp;", ",", "&amp;'Bảng tin &amp; Chi tiết tin'!$B$7:$B$500&amp;", ")),--('Bảng tin &amp; Chi tiết tin'!$AT$7:$AT$500="Pass"))+SUMPRODUCT(--ISNUMBER(SEARCH(", "&amp;$B68&amp;", ",", "&amp;'Quà cảm ơn'!$B$7:$B$500&amp;", ")),--('Quà cảm ơn'!$AT$7:$AT$500="Pass"))+SUMPRODUCT(--ISNUMBER(SEARCH(", "&amp;$B68&amp;", ",", "&amp;'Trang chủ'!$B$7:$B$500&amp;", ")),--('Trang chủ'!$AT$7:$AT$500="Pass"))+SUMPRODUCT(--ISNUMBER(SEARCH(", "&amp;$B68&amp;", ",", "&amp;'Thông báo'!$B$7:$B$500&amp;", ")),--('Thông báo'!$AT$7:$AT$500="Pass"))+SUMPRODUCT(--ISNUMBER(SEARCH(", "&amp;$B68&amp;", ",", "&amp;'Đăng tin &amp; Quản lý tin'!$B$7:$B$500&amp;", ")),--('Đăng tin &amp; Quản lý tin'!$AT$7:$AT$500="Pass"))+SUMPRODUCT(--ISNUMBER(SEARCH(", "&amp;$B68&amp;", ",", "&amp;'Trust &amp; Safety'!$B$7:$B$500&amp;", ")),--('Trust &amp; Safety'!$AT$7:$AT$500="Pass"))+SUMPRODUCT(--ISNUMBER(SEARCH(", "&amp;$B68&amp;", ",", "&amp;'Tài khoản &amp; Hồ sơ'!$B$7:$B$500&amp;", ")),--('Tài khoản &amp; Hồ sơ'!$AT$7:$AT$500="Pass"))</f>
        <v>1</v>
      </c>
      <c r="H68" s="51" t="n">
        <f aca="false">SUMPRODUCT(--ISNUMBER(SEARCH(", "&amp;$B68&amp;", ",", "&amp;'Hoạt động (Đơn của tôi)'!$B$7:$B$500&amp;", ")),--('Hoạt động (Đơn của tôi)'!$AT$7:$AT$500="Fail"))+SUMPRODUCT(--ISNUMBER(SEARCH(", "&amp;$B68&amp;", ",", "&amp;'Ghép nối'!$B$7:$B$500&amp;", ")),--('Ghép nối'!$AT$7:$AT$500="Fail"))+SUMPRODUCT(--ISNUMBER(SEARCH(", "&amp;$B68&amp;", ",", "&amp;'Huỷ đơn - Huỷ nhận đơn'!$B$7:$B$500&amp;", ")),--('Huỷ đơn - Huỷ nhận đơn'!$AT$7:$AT$500="Fail"))+SUMPRODUCT(--ISNUMBER(SEARCH(", "&amp;$B68&amp;", ",", "&amp;'Giao nhận &amp; Theo dõi đơn'!$B$7:$B$500&amp;", ")),--('Giao nhận &amp; Theo dõi đơn'!$AT$7:$AT$500="Fail"))+SUMPRODUCT(--ISNUMBER(SEARCH(", "&amp;$B68&amp;", ",", "&amp;'Bảng tin &amp; Chi tiết tin'!$B$7:$B$500&amp;", ")),--('Bảng tin &amp; Chi tiết tin'!$AT$7:$AT$500="Fail"))+SUMPRODUCT(--ISNUMBER(SEARCH(", "&amp;$B68&amp;", ",", "&amp;'Quà cảm ơn'!$B$7:$B$500&amp;", ")),--('Quà cảm ơn'!$AT$7:$AT$500="Fail"))+SUMPRODUCT(--ISNUMBER(SEARCH(", "&amp;$B68&amp;", ",", "&amp;'Trang chủ'!$B$7:$B$500&amp;", ")),--('Trang chủ'!$AT$7:$AT$500="Fail"))+SUMPRODUCT(--ISNUMBER(SEARCH(", "&amp;$B68&amp;", ",", "&amp;'Thông báo'!$B$7:$B$500&amp;", ")),--('Thông báo'!$AT$7:$AT$500="Fail"))+SUMPRODUCT(--ISNUMBER(SEARCH(", "&amp;$B68&amp;", ",", "&amp;'Đăng tin &amp; Quản lý tin'!$B$7:$B$500&amp;", ")),--('Đăng tin &amp; Quản lý tin'!$AT$7:$AT$500="Fail"))+SUMPRODUCT(--ISNUMBER(SEARCH(", "&amp;$B68&amp;", ",", "&amp;'Trust &amp; Safety'!$B$7:$B$500&amp;", ")),--('Trust &amp; Safety'!$AT$7:$AT$500="Fail"))+SUMPRODUCT(--ISNUMBER(SEARCH(", "&amp;$B68&amp;", ",", "&amp;'Tài khoản &amp; Hồ sơ'!$B$7:$B$500&amp;", ")),--('Tài khoản &amp; Hồ sơ'!$AT$7:$AT$500="Fail"))</f>
        <v>0</v>
      </c>
      <c r="I68" s="51" t="n">
        <f aca="false">SUMPRODUCT(--ISNUMBER(SEARCH(", "&amp;$B68&amp;", ",", "&amp;'Hoạt động (Đơn của tôi)'!$B$7:$B$500&amp;", ")),--('Hoạt động (Đơn của tôi)'!$AT$7:$AT$500="Block"))+SUMPRODUCT(--ISNUMBER(SEARCH(", "&amp;$B68&amp;", ",", "&amp;'Ghép nối'!$B$7:$B$500&amp;", ")),--('Ghép nối'!$AT$7:$AT$500="Block"))+SUMPRODUCT(--ISNUMBER(SEARCH(", "&amp;$B68&amp;", ",", "&amp;'Huỷ đơn - Huỷ nhận đơn'!$B$7:$B$500&amp;", ")),--('Huỷ đơn - Huỷ nhận đơn'!$AT$7:$AT$500="Block"))+SUMPRODUCT(--ISNUMBER(SEARCH(", "&amp;$B68&amp;", ",", "&amp;'Giao nhận &amp; Theo dõi đơn'!$B$7:$B$500&amp;", ")),--('Giao nhận &amp; Theo dõi đơn'!$AT$7:$AT$500="Block"))+SUMPRODUCT(--ISNUMBER(SEARCH(", "&amp;$B68&amp;", ",", "&amp;'Bảng tin &amp; Chi tiết tin'!$B$7:$B$500&amp;", ")),--('Bảng tin &amp; Chi tiết tin'!$AT$7:$AT$500="Block"))+SUMPRODUCT(--ISNUMBER(SEARCH(", "&amp;$B68&amp;", ",", "&amp;'Quà cảm ơn'!$B$7:$B$500&amp;", ")),--('Quà cảm ơn'!$AT$7:$AT$500="Block"))+SUMPRODUCT(--ISNUMBER(SEARCH(", "&amp;$B68&amp;", ",", "&amp;'Trang chủ'!$B$7:$B$500&amp;", ")),--('Trang chủ'!$AT$7:$AT$500="Block"))+SUMPRODUCT(--ISNUMBER(SEARCH(", "&amp;$B68&amp;", ",", "&amp;'Thông báo'!$B$7:$B$500&amp;", ")),--('Thông báo'!$AT$7:$AT$500="Block"))+SUMPRODUCT(--ISNUMBER(SEARCH(", "&amp;$B68&amp;", ",", "&amp;'Đăng tin &amp; Quản lý tin'!$B$7:$B$500&amp;", ")),--('Đăng tin &amp; Quản lý tin'!$AT$7:$AT$500="Block"))+SUMPRODUCT(--ISNUMBER(SEARCH(", "&amp;$B68&amp;", ",", "&amp;'Trust &amp; Safety'!$B$7:$B$500&amp;", ")),--('Trust &amp; Safety'!$AT$7:$AT$500="Block"))+SUMPRODUCT(--ISNUMBER(SEARCH(", "&amp;$B68&amp;", ",", "&amp;'Tài khoản &amp; Hồ sơ'!$B$7:$B$500&amp;", ")),--('Tài khoản &amp; Hồ sơ'!$AT$7:$AT$500="Block"))</f>
        <v>0</v>
      </c>
      <c r="J68" s="51" t="n">
        <f aca="false">SUMPRODUCT(--ISNUMBER(SEARCH(", "&amp;$B68&amp;", ",", "&amp;'Hoạt động (Đơn của tôi)'!$B$7:$B$500&amp;", ")),--('Hoạt động (Đơn của tôi)'!$AT$7:$AT$500="N/A"))+SUMPRODUCT(--ISNUMBER(SEARCH(", "&amp;$B68&amp;", ",", "&amp;'Ghép nối'!$B$7:$B$500&amp;", ")),--('Ghép nối'!$AT$7:$AT$500="N/A"))+SUMPRODUCT(--ISNUMBER(SEARCH(", "&amp;$B68&amp;", ",", "&amp;'Huỷ đơn - Huỷ nhận đơn'!$B$7:$B$500&amp;", ")),--('Huỷ đơn - Huỷ nhận đơn'!$AT$7:$AT$500="N/A"))+SUMPRODUCT(--ISNUMBER(SEARCH(", "&amp;$B68&amp;", ",", "&amp;'Giao nhận &amp; Theo dõi đơn'!$B$7:$B$500&amp;", ")),--('Giao nhận &amp; Theo dõi đơn'!$AT$7:$AT$500="N/A"))+SUMPRODUCT(--ISNUMBER(SEARCH(", "&amp;$B68&amp;", ",", "&amp;'Bảng tin &amp; Chi tiết tin'!$B$7:$B$500&amp;", ")),--('Bảng tin &amp; Chi tiết tin'!$AT$7:$AT$500="N/A"))+SUMPRODUCT(--ISNUMBER(SEARCH(", "&amp;$B68&amp;", ",", "&amp;'Quà cảm ơn'!$B$7:$B$500&amp;", ")),--('Quà cảm ơn'!$AT$7:$AT$500="N/A"))+SUMPRODUCT(--ISNUMBER(SEARCH(", "&amp;$B68&amp;", ",", "&amp;'Trang chủ'!$B$7:$B$500&amp;", ")),--('Trang chủ'!$AT$7:$AT$500="N/A"))+SUMPRODUCT(--ISNUMBER(SEARCH(", "&amp;$B68&amp;", ",", "&amp;'Thông báo'!$B$7:$B$500&amp;", ")),--('Thông báo'!$AT$7:$AT$500="N/A"))+SUMPRODUCT(--ISNUMBER(SEARCH(", "&amp;$B68&amp;", ",", "&amp;'Đăng tin &amp; Quản lý tin'!$B$7:$B$500&amp;", ")),--('Đăng tin &amp; Quản lý tin'!$AT$7:$AT$500="N/A"))+SUMPRODUCT(--ISNUMBER(SEARCH(", "&amp;$B68&amp;", ",", "&amp;'Trust &amp; Safety'!$B$7:$B$500&amp;", ")),--('Trust &amp; Safety'!$AT$7:$AT$500="N/A"))+SUMPRODUCT(--ISNUMBER(SEARCH(", "&amp;$B68&amp;", ",", "&amp;'Tài khoản &amp; Hồ sơ'!$B$7:$B$500&amp;", ")),--('Tài khoản &amp; Hồ sơ'!$AT$7:$AT$500="N/A"))</f>
        <v>0</v>
      </c>
      <c r="K68" s="52" t="n">
        <f aca="false">IFERROR(F68/E68,0)</f>
        <v>1</v>
      </c>
      <c r="L68" s="124" t="str">
        <f aca="false">IF(E68=0,"Chưa có TC (gap)",IF(H68&gt;0,"Có lỗi (Fail)",IF(I68&gt;0,"Bị block",IF(F68&lt;E68,"Đang test",IF(G68=0,"Không áp dụng (N/A)","Đã test xong")))))</f>
        <v>Đã test xong</v>
      </c>
      <c r="AB68" s="0" t="s">
        <v>531</v>
      </c>
    </row>
    <row r="69" customFormat="false" ht="15.75" hidden="false" customHeight="true" outlineLevel="0" collapsed="false">
      <c r="A69" s="1"/>
      <c r="B69" s="176" t="s">
        <v>688</v>
      </c>
      <c r="C69" s="177" t="s">
        <v>689</v>
      </c>
      <c r="D69" s="124" t="s">
        <v>690</v>
      </c>
      <c r="E69" s="51" t="n">
        <f aca="false">SUMPRODUCT(--ISNUMBER(SEARCH(", "&amp;$B69&amp;", ",", "&amp;'Hoạt động (Đơn của tôi)'!$B$7:$B$500&amp;", ")))+SUMPRODUCT(--ISNUMBER(SEARCH(", "&amp;$B69&amp;", ",", "&amp;'Ghép nối'!$B$7:$B$500&amp;", ")))+SUMPRODUCT(--ISNUMBER(SEARCH(", "&amp;$B69&amp;", ",", "&amp;'Huỷ đơn - Huỷ nhận đơn'!$B$7:$B$500&amp;", ")))+SUMPRODUCT(--ISNUMBER(SEARCH(", "&amp;$B69&amp;", ",", "&amp;'Giao nhận &amp; Theo dõi đơn'!$B$7:$B$500&amp;", ")))+SUMPRODUCT(--ISNUMBER(SEARCH(", "&amp;$B69&amp;", ",", "&amp;'Bảng tin &amp; Chi tiết tin'!$B$7:$B$500&amp;", ")))+SUMPRODUCT(--ISNUMBER(SEARCH(", "&amp;$B69&amp;", ",", "&amp;'Quà cảm ơn'!$B$7:$B$500&amp;", ")))+SUMPRODUCT(--ISNUMBER(SEARCH(", "&amp;$B69&amp;", ",", "&amp;'Trang chủ'!$B$7:$B$500&amp;", ")))+SUMPRODUCT(--ISNUMBER(SEARCH(", "&amp;$B69&amp;", ",", "&amp;'Thông báo'!$B$7:$B$500&amp;", ")))+SUMPRODUCT(--ISNUMBER(SEARCH(", "&amp;$B69&amp;", ",", "&amp;'Đăng tin &amp; Quản lý tin'!$B$7:$B$500&amp;", ")))+SUMPRODUCT(--ISNUMBER(SEARCH(", "&amp;$B69&amp;", ",", "&amp;'Trust &amp; Safety'!$B$7:$B$500&amp;", ")))+SUMPRODUCT(--ISNUMBER(SEARCH(", "&amp;$B69&amp;", ",", "&amp;'Tài khoản &amp; Hồ sơ'!$B$7:$B$500&amp;", ")))</f>
        <v>2</v>
      </c>
      <c r="F69" s="51" t="n">
        <f aca="false">SUMPRODUCT(--ISNUMBER(SEARCH(", "&amp;$B69&amp;", ",", "&amp;'Hoạt động (Đơn của tôi)'!$B$7:$B$500&amp;", ")),--('Hoạt động (Đơn của tôi)'!$AT$7:$AT$500&lt;&gt;""))+SUMPRODUCT(--ISNUMBER(SEARCH(", "&amp;$B69&amp;", ",", "&amp;'Ghép nối'!$B$7:$B$500&amp;", ")),--('Ghép nối'!$AT$7:$AT$500&lt;&gt;""))+SUMPRODUCT(--ISNUMBER(SEARCH(", "&amp;$B69&amp;", ",", "&amp;'Huỷ đơn - Huỷ nhận đơn'!$B$7:$B$500&amp;", ")),--('Huỷ đơn - Huỷ nhận đơn'!$AT$7:$AT$500&lt;&gt;""))+SUMPRODUCT(--ISNUMBER(SEARCH(", "&amp;$B69&amp;", ",", "&amp;'Giao nhận &amp; Theo dõi đơn'!$B$7:$B$500&amp;", ")),--('Giao nhận &amp; Theo dõi đơn'!$AT$7:$AT$500&lt;&gt;""))+SUMPRODUCT(--ISNUMBER(SEARCH(", "&amp;$B69&amp;", ",", "&amp;'Bảng tin &amp; Chi tiết tin'!$B$7:$B$500&amp;", ")),--('Bảng tin &amp; Chi tiết tin'!$AT$7:$AT$500&lt;&gt;""))+SUMPRODUCT(--ISNUMBER(SEARCH(", "&amp;$B69&amp;", ",", "&amp;'Quà cảm ơn'!$B$7:$B$500&amp;", ")),--('Quà cảm ơn'!$AT$7:$AT$500&lt;&gt;""))+SUMPRODUCT(--ISNUMBER(SEARCH(", "&amp;$B69&amp;", ",", "&amp;'Trang chủ'!$B$7:$B$500&amp;", ")),--('Trang chủ'!$AT$7:$AT$500&lt;&gt;""))+SUMPRODUCT(--ISNUMBER(SEARCH(", "&amp;$B69&amp;", ",", "&amp;'Thông báo'!$B$7:$B$500&amp;", ")),--('Thông báo'!$AT$7:$AT$500&lt;&gt;""))+SUMPRODUCT(--ISNUMBER(SEARCH(", "&amp;$B69&amp;", ",", "&amp;'Đăng tin &amp; Quản lý tin'!$B$7:$B$500&amp;", ")),--('Đăng tin &amp; Quản lý tin'!$AT$7:$AT$500&lt;&gt;""))+SUMPRODUCT(--ISNUMBER(SEARCH(", "&amp;$B69&amp;", ",", "&amp;'Trust &amp; Safety'!$B$7:$B$500&amp;", ")),--('Trust &amp; Safety'!$AT$7:$AT$500&lt;&gt;""))+SUMPRODUCT(--ISNUMBER(SEARCH(", "&amp;$B69&amp;", ",", "&amp;'Tài khoản &amp; Hồ sơ'!$B$7:$B$500&amp;", ")),--('Tài khoản &amp; Hồ sơ'!$AT$7:$AT$500&lt;&gt;""))</f>
        <v>2</v>
      </c>
      <c r="G69" s="51" t="n">
        <f aca="false">SUMPRODUCT(--ISNUMBER(SEARCH(", "&amp;$B69&amp;", ",", "&amp;'Hoạt động (Đơn của tôi)'!$B$7:$B$500&amp;", ")),--('Hoạt động (Đơn của tôi)'!$AT$7:$AT$500="Pass"))+SUMPRODUCT(--ISNUMBER(SEARCH(", "&amp;$B69&amp;", ",", "&amp;'Ghép nối'!$B$7:$B$500&amp;", ")),--('Ghép nối'!$AT$7:$AT$500="Pass"))+SUMPRODUCT(--ISNUMBER(SEARCH(", "&amp;$B69&amp;", ",", "&amp;'Huỷ đơn - Huỷ nhận đơn'!$B$7:$B$500&amp;", ")),--('Huỷ đơn - Huỷ nhận đơn'!$AT$7:$AT$500="Pass"))+SUMPRODUCT(--ISNUMBER(SEARCH(", "&amp;$B69&amp;", ",", "&amp;'Giao nhận &amp; Theo dõi đơn'!$B$7:$B$500&amp;", ")),--('Giao nhận &amp; Theo dõi đơn'!$AT$7:$AT$500="Pass"))+SUMPRODUCT(--ISNUMBER(SEARCH(", "&amp;$B69&amp;", ",", "&amp;'Bảng tin &amp; Chi tiết tin'!$B$7:$B$500&amp;", ")),--('Bảng tin &amp; Chi tiết tin'!$AT$7:$AT$500="Pass"))+SUMPRODUCT(--ISNUMBER(SEARCH(", "&amp;$B69&amp;", ",", "&amp;'Quà cảm ơn'!$B$7:$B$500&amp;", ")),--('Quà cảm ơn'!$AT$7:$AT$500="Pass"))+SUMPRODUCT(--ISNUMBER(SEARCH(", "&amp;$B69&amp;", ",", "&amp;'Trang chủ'!$B$7:$B$500&amp;", ")),--('Trang chủ'!$AT$7:$AT$500="Pass"))+SUMPRODUCT(--ISNUMBER(SEARCH(", "&amp;$B69&amp;", ",", "&amp;'Thông báo'!$B$7:$B$500&amp;", ")),--('Thông báo'!$AT$7:$AT$500="Pass"))+SUMPRODUCT(--ISNUMBER(SEARCH(", "&amp;$B69&amp;", ",", "&amp;'Đăng tin &amp; Quản lý tin'!$B$7:$B$500&amp;", ")),--('Đăng tin &amp; Quản lý tin'!$AT$7:$AT$500="Pass"))+SUMPRODUCT(--ISNUMBER(SEARCH(", "&amp;$B69&amp;", ",", "&amp;'Trust &amp; Safety'!$B$7:$B$500&amp;", ")),--('Trust &amp; Safety'!$AT$7:$AT$500="Pass"))+SUMPRODUCT(--ISNUMBER(SEARCH(", "&amp;$B69&amp;", ",", "&amp;'Tài khoản &amp; Hồ sơ'!$B$7:$B$500&amp;", ")),--('Tài khoản &amp; Hồ sơ'!$AT$7:$AT$500="Pass"))</f>
        <v>1</v>
      </c>
      <c r="H69" s="51" t="n">
        <f aca="false">SUMPRODUCT(--ISNUMBER(SEARCH(", "&amp;$B69&amp;", ",", "&amp;'Hoạt động (Đơn của tôi)'!$B$7:$B$500&amp;", ")),--('Hoạt động (Đơn của tôi)'!$AT$7:$AT$500="Fail"))+SUMPRODUCT(--ISNUMBER(SEARCH(", "&amp;$B69&amp;", ",", "&amp;'Ghép nối'!$B$7:$B$500&amp;", ")),--('Ghép nối'!$AT$7:$AT$500="Fail"))+SUMPRODUCT(--ISNUMBER(SEARCH(", "&amp;$B69&amp;", ",", "&amp;'Huỷ đơn - Huỷ nhận đơn'!$B$7:$B$500&amp;", ")),--('Huỷ đơn - Huỷ nhận đơn'!$AT$7:$AT$500="Fail"))+SUMPRODUCT(--ISNUMBER(SEARCH(", "&amp;$B69&amp;", ",", "&amp;'Giao nhận &amp; Theo dõi đơn'!$B$7:$B$500&amp;", ")),--('Giao nhận &amp; Theo dõi đơn'!$AT$7:$AT$500="Fail"))+SUMPRODUCT(--ISNUMBER(SEARCH(", "&amp;$B69&amp;", ",", "&amp;'Bảng tin &amp; Chi tiết tin'!$B$7:$B$500&amp;", ")),--('Bảng tin &amp; Chi tiết tin'!$AT$7:$AT$500="Fail"))+SUMPRODUCT(--ISNUMBER(SEARCH(", "&amp;$B69&amp;", ",", "&amp;'Quà cảm ơn'!$B$7:$B$500&amp;", ")),--('Quà cảm ơn'!$AT$7:$AT$500="Fail"))+SUMPRODUCT(--ISNUMBER(SEARCH(", "&amp;$B69&amp;", ",", "&amp;'Trang chủ'!$B$7:$B$500&amp;", ")),--('Trang chủ'!$AT$7:$AT$500="Fail"))+SUMPRODUCT(--ISNUMBER(SEARCH(", "&amp;$B69&amp;", ",", "&amp;'Thông báo'!$B$7:$B$500&amp;", ")),--('Thông báo'!$AT$7:$AT$500="Fail"))+SUMPRODUCT(--ISNUMBER(SEARCH(", "&amp;$B69&amp;", ",", "&amp;'Đăng tin &amp; Quản lý tin'!$B$7:$B$500&amp;", ")),--('Đăng tin &amp; Quản lý tin'!$AT$7:$AT$500="Fail"))+SUMPRODUCT(--ISNUMBER(SEARCH(", "&amp;$B69&amp;", ",", "&amp;'Trust &amp; Safety'!$B$7:$B$500&amp;", ")),--('Trust &amp; Safety'!$AT$7:$AT$500="Fail"))+SUMPRODUCT(--ISNUMBER(SEARCH(", "&amp;$B69&amp;", ",", "&amp;'Tài khoản &amp; Hồ sơ'!$B$7:$B$500&amp;", ")),--('Tài khoản &amp; Hồ sơ'!$AT$7:$AT$500="Fail"))</f>
        <v>0</v>
      </c>
      <c r="I69" s="51" t="n">
        <f aca="false">SUMPRODUCT(--ISNUMBER(SEARCH(", "&amp;$B69&amp;", ",", "&amp;'Hoạt động (Đơn của tôi)'!$B$7:$B$500&amp;", ")),--('Hoạt động (Đơn của tôi)'!$AT$7:$AT$500="Block"))+SUMPRODUCT(--ISNUMBER(SEARCH(", "&amp;$B69&amp;", ",", "&amp;'Ghép nối'!$B$7:$B$500&amp;", ")),--('Ghép nối'!$AT$7:$AT$500="Block"))+SUMPRODUCT(--ISNUMBER(SEARCH(", "&amp;$B69&amp;", ",", "&amp;'Huỷ đơn - Huỷ nhận đơn'!$B$7:$B$500&amp;", ")),--('Huỷ đơn - Huỷ nhận đơn'!$AT$7:$AT$500="Block"))+SUMPRODUCT(--ISNUMBER(SEARCH(", "&amp;$B69&amp;", ",", "&amp;'Giao nhận &amp; Theo dõi đơn'!$B$7:$B$500&amp;", ")),--('Giao nhận &amp; Theo dõi đơn'!$AT$7:$AT$500="Block"))+SUMPRODUCT(--ISNUMBER(SEARCH(", "&amp;$B69&amp;", ",", "&amp;'Bảng tin &amp; Chi tiết tin'!$B$7:$B$500&amp;", ")),--('Bảng tin &amp; Chi tiết tin'!$AT$7:$AT$500="Block"))+SUMPRODUCT(--ISNUMBER(SEARCH(", "&amp;$B69&amp;", ",", "&amp;'Quà cảm ơn'!$B$7:$B$500&amp;", ")),--('Quà cảm ơn'!$AT$7:$AT$500="Block"))+SUMPRODUCT(--ISNUMBER(SEARCH(", "&amp;$B69&amp;", ",", "&amp;'Trang chủ'!$B$7:$B$500&amp;", ")),--('Trang chủ'!$AT$7:$AT$500="Block"))+SUMPRODUCT(--ISNUMBER(SEARCH(", "&amp;$B69&amp;", ",", "&amp;'Thông báo'!$B$7:$B$500&amp;", ")),--('Thông báo'!$AT$7:$AT$500="Block"))+SUMPRODUCT(--ISNUMBER(SEARCH(", "&amp;$B69&amp;", ",", "&amp;'Đăng tin &amp; Quản lý tin'!$B$7:$B$500&amp;", ")),--('Đăng tin &amp; Quản lý tin'!$AT$7:$AT$500="Block"))+SUMPRODUCT(--ISNUMBER(SEARCH(", "&amp;$B69&amp;", ",", "&amp;'Trust &amp; Safety'!$B$7:$B$500&amp;", ")),--('Trust &amp; Safety'!$AT$7:$AT$500="Block"))+SUMPRODUCT(--ISNUMBER(SEARCH(", "&amp;$B69&amp;", ",", "&amp;'Tài khoản &amp; Hồ sơ'!$B$7:$B$500&amp;", ")),--('Tài khoản &amp; Hồ sơ'!$AT$7:$AT$500="Block"))</f>
        <v>1</v>
      </c>
      <c r="J69" s="51" t="n">
        <f aca="false">SUMPRODUCT(--ISNUMBER(SEARCH(", "&amp;$B69&amp;", ",", "&amp;'Hoạt động (Đơn của tôi)'!$B$7:$B$500&amp;", ")),--('Hoạt động (Đơn của tôi)'!$AT$7:$AT$500="N/A"))+SUMPRODUCT(--ISNUMBER(SEARCH(", "&amp;$B69&amp;", ",", "&amp;'Ghép nối'!$B$7:$B$500&amp;", ")),--('Ghép nối'!$AT$7:$AT$500="N/A"))+SUMPRODUCT(--ISNUMBER(SEARCH(", "&amp;$B69&amp;", ",", "&amp;'Huỷ đơn - Huỷ nhận đơn'!$B$7:$B$500&amp;", ")),--('Huỷ đơn - Huỷ nhận đơn'!$AT$7:$AT$500="N/A"))+SUMPRODUCT(--ISNUMBER(SEARCH(", "&amp;$B69&amp;", ",", "&amp;'Giao nhận &amp; Theo dõi đơn'!$B$7:$B$500&amp;", ")),--('Giao nhận &amp; Theo dõi đơn'!$AT$7:$AT$500="N/A"))+SUMPRODUCT(--ISNUMBER(SEARCH(", "&amp;$B69&amp;", ",", "&amp;'Bảng tin &amp; Chi tiết tin'!$B$7:$B$500&amp;", ")),--('Bảng tin &amp; Chi tiết tin'!$AT$7:$AT$500="N/A"))+SUMPRODUCT(--ISNUMBER(SEARCH(", "&amp;$B69&amp;", ",", "&amp;'Quà cảm ơn'!$B$7:$B$500&amp;", ")),--('Quà cảm ơn'!$AT$7:$AT$500="N/A"))+SUMPRODUCT(--ISNUMBER(SEARCH(", "&amp;$B69&amp;", ",", "&amp;'Trang chủ'!$B$7:$B$500&amp;", ")),--('Trang chủ'!$AT$7:$AT$500="N/A"))+SUMPRODUCT(--ISNUMBER(SEARCH(", "&amp;$B69&amp;", ",", "&amp;'Thông báo'!$B$7:$B$500&amp;", ")),--('Thông báo'!$AT$7:$AT$500="N/A"))+SUMPRODUCT(--ISNUMBER(SEARCH(", "&amp;$B69&amp;", ",", "&amp;'Đăng tin &amp; Quản lý tin'!$B$7:$B$500&amp;", ")),--('Đăng tin &amp; Quản lý tin'!$AT$7:$AT$500="N/A"))+SUMPRODUCT(--ISNUMBER(SEARCH(", "&amp;$B69&amp;", ",", "&amp;'Trust &amp; Safety'!$B$7:$B$500&amp;", ")),--('Trust &amp; Safety'!$AT$7:$AT$500="N/A"))+SUMPRODUCT(--ISNUMBER(SEARCH(", "&amp;$B69&amp;", ",", "&amp;'Tài khoản &amp; Hồ sơ'!$B$7:$B$500&amp;", ")),--('Tài khoản &amp; Hồ sơ'!$AT$7:$AT$500="N/A"))</f>
        <v>0</v>
      </c>
      <c r="K69" s="52" t="n">
        <f aca="false">IFERROR(F69/E69,0)</f>
        <v>1</v>
      </c>
      <c r="L69" s="124" t="str">
        <f aca="false">IF(E69=0,"Chưa có TC (gap)",IF(H69&gt;0,"Có lỗi (Fail)",IF(I69&gt;0,"Bị block",IF(F69&lt;E69,"Đang test",IF(G69=0,"Không áp dụng (N/A)","Đã test xong")))))</f>
        <v>Bị block</v>
      </c>
      <c r="AB69" s="0" t="s">
        <v>531</v>
      </c>
    </row>
    <row r="70" customFormat="false" ht="15.75" hidden="false" customHeight="true" outlineLevel="0" collapsed="false">
      <c r="A70" s="1"/>
      <c r="B70" s="176" t="s">
        <v>691</v>
      </c>
      <c r="C70" s="177" t="s">
        <v>692</v>
      </c>
      <c r="D70" s="124" t="s">
        <v>693</v>
      </c>
      <c r="E70" s="51" t="n">
        <f aca="false">SUMPRODUCT(--ISNUMBER(SEARCH(", "&amp;$B70&amp;", ",", "&amp;'Hoạt động (Đơn của tôi)'!$B$7:$B$500&amp;", ")))+SUMPRODUCT(--ISNUMBER(SEARCH(", "&amp;$B70&amp;", ",", "&amp;'Ghép nối'!$B$7:$B$500&amp;", ")))+SUMPRODUCT(--ISNUMBER(SEARCH(", "&amp;$B70&amp;", ",", "&amp;'Huỷ đơn - Huỷ nhận đơn'!$B$7:$B$500&amp;", ")))+SUMPRODUCT(--ISNUMBER(SEARCH(", "&amp;$B70&amp;", ",", "&amp;'Giao nhận &amp; Theo dõi đơn'!$B$7:$B$500&amp;", ")))+SUMPRODUCT(--ISNUMBER(SEARCH(", "&amp;$B70&amp;", ",", "&amp;'Bảng tin &amp; Chi tiết tin'!$B$7:$B$500&amp;", ")))+SUMPRODUCT(--ISNUMBER(SEARCH(", "&amp;$B70&amp;", ",", "&amp;'Quà cảm ơn'!$B$7:$B$500&amp;", ")))+SUMPRODUCT(--ISNUMBER(SEARCH(", "&amp;$B70&amp;", ",", "&amp;'Trang chủ'!$B$7:$B$500&amp;", ")))+SUMPRODUCT(--ISNUMBER(SEARCH(", "&amp;$B70&amp;", ",", "&amp;'Thông báo'!$B$7:$B$500&amp;", ")))+SUMPRODUCT(--ISNUMBER(SEARCH(", "&amp;$B70&amp;", ",", "&amp;'Đăng tin &amp; Quản lý tin'!$B$7:$B$500&amp;", ")))+SUMPRODUCT(--ISNUMBER(SEARCH(", "&amp;$B70&amp;", ",", "&amp;'Trust &amp; Safety'!$B$7:$B$500&amp;", ")))+SUMPRODUCT(--ISNUMBER(SEARCH(", "&amp;$B70&amp;", ",", "&amp;'Tài khoản &amp; Hồ sơ'!$B$7:$B$500&amp;", ")))</f>
        <v>2</v>
      </c>
      <c r="F70" s="51" t="n">
        <f aca="false">SUMPRODUCT(--ISNUMBER(SEARCH(", "&amp;$B70&amp;", ",", "&amp;'Hoạt động (Đơn của tôi)'!$B$7:$B$500&amp;", ")),--('Hoạt động (Đơn của tôi)'!$AT$7:$AT$500&lt;&gt;""))+SUMPRODUCT(--ISNUMBER(SEARCH(", "&amp;$B70&amp;", ",", "&amp;'Ghép nối'!$B$7:$B$500&amp;", ")),--('Ghép nối'!$AT$7:$AT$500&lt;&gt;""))+SUMPRODUCT(--ISNUMBER(SEARCH(", "&amp;$B70&amp;", ",", "&amp;'Huỷ đơn - Huỷ nhận đơn'!$B$7:$B$500&amp;", ")),--('Huỷ đơn - Huỷ nhận đơn'!$AT$7:$AT$500&lt;&gt;""))+SUMPRODUCT(--ISNUMBER(SEARCH(", "&amp;$B70&amp;", ",", "&amp;'Giao nhận &amp; Theo dõi đơn'!$B$7:$B$500&amp;", ")),--('Giao nhận &amp; Theo dõi đơn'!$AT$7:$AT$500&lt;&gt;""))+SUMPRODUCT(--ISNUMBER(SEARCH(", "&amp;$B70&amp;", ",", "&amp;'Bảng tin &amp; Chi tiết tin'!$B$7:$B$500&amp;", ")),--('Bảng tin &amp; Chi tiết tin'!$AT$7:$AT$500&lt;&gt;""))+SUMPRODUCT(--ISNUMBER(SEARCH(", "&amp;$B70&amp;", ",", "&amp;'Quà cảm ơn'!$B$7:$B$500&amp;", ")),--('Quà cảm ơn'!$AT$7:$AT$500&lt;&gt;""))+SUMPRODUCT(--ISNUMBER(SEARCH(", "&amp;$B70&amp;", ",", "&amp;'Trang chủ'!$B$7:$B$500&amp;", ")),--('Trang chủ'!$AT$7:$AT$500&lt;&gt;""))+SUMPRODUCT(--ISNUMBER(SEARCH(", "&amp;$B70&amp;", ",", "&amp;'Thông báo'!$B$7:$B$500&amp;", ")),--('Thông báo'!$AT$7:$AT$500&lt;&gt;""))+SUMPRODUCT(--ISNUMBER(SEARCH(", "&amp;$B70&amp;", ",", "&amp;'Đăng tin &amp; Quản lý tin'!$B$7:$B$500&amp;", ")),--('Đăng tin &amp; Quản lý tin'!$AT$7:$AT$500&lt;&gt;""))+SUMPRODUCT(--ISNUMBER(SEARCH(", "&amp;$B70&amp;", ",", "&amp;'Trust &amp; Safety'!$B$7:$B$500&amp;", ")),--('Trust &amp; Safety'!$AT$7:$AT$500&lt;&gt;""))+SUMPRODUCT(--ISNUMBER(SEARCH(", "&amp;$B70&amp;", ",", "&amp;'Tài khoản &amp; Hồ sơ'!$B$7:$B$500&amp;", ")),--('Tài khoản &amp; Hồ sơ'!$AT$7:$AT$500&lt;&gt;""))</f>
        <v>2</v>
      </c>
      <c r="G70" s="51" t="n">
        <f aca="false">SUMPRODUCT(--ISNUMBER(SEARCH(", "&amp;$B70&amp;", ",", "&amp;'Hoạt động (Đơn của tôi)'!$B$7:$B$500&amp;", ")),--('Hoạt động (Đơn của tôi)'!$AT$7:$AT$500="Pass"))+SUMPRODUCT(--ISNUMBER(SEARCH(", "&amp;$B70&amp;", ",", "&amp;'Ghép nối'!$B$7:$B$500&amp;", ")),--('Ghép nối'!$AT$7:$AT$500="Pass"))+SUMPRODUCT(--ISNUMBER(SEARCH(", "&amp;$B70&amp;", ",", "&amp;'Huỷ đơn - Huỷ nhận đơn'!$B$7:$B$500&amp;", ")),--('Huỷ đơn - Huỷ nhận đơn'!$AT$7:$AT$500="Pass"))+SUMPRODUCT(--ISNUMBER(SEARCH(", "&amp;$B70&amp;", ",", "&amp;'Giao nhận &amp; Theo dõi đơn'!$B$7:$B$500&amp;", ")),--('Giao nhận &amp; Theo dõi đơn'!$AT$7:$AT$500="Pass"))+SUMPRODUCT(--ISNUMBER(SEARCH(", "&amp;$B70&amp;", ",", "&amp;'Bảng tin &amp; Chi tiết tin'!$B$7:$B$500&amp;", ")),--('Bảng tin &amp; Chi tiết tin'!$AT$7:$AT$500="Pass"))+SUMPRODUCT(--ISNUMBER(SEARCH(", "&amp;$B70&amp;", ",", "&amp;'Quà cảm ơn'!$B$7:$B$500&amp;", ")),--('Quà cảm ơn'!$AT$7:$AT$500="Pass"))+SUMPRODUCT(--ISNUMBER(SEARCH(", "&amp;$B70&amp;", ",", "&amp;'Trang chủ'!$B$7:$B$500&amp;", ")),--('Trang chủ'!$AT$7:$AT$500="Pass"))+SUMPRODUCT(--ISNUMBER(SEARCH(", "&amp;$B70&amp;", ",", "&amp;'Thông báo'!$B$7:$B$500&amp;", ")),--('Thông báo'!$AT$7:$AT$500="Pass"))+SUMPRODUCT(--ISNUMBER(SEARCH(", "&amp;$B70&amp;", ",", "&amp;'Đăng tin &amp; Quản lý tin'!$B$7:$B$500&amp;", ")),--('Đăng tin &amp; Quản lý tin'!$AT$7:$AT$500="Pass"))+SUMPRODUCT(--ISNUMBER(SEARCH(", "&amp;$B70&amp;", ",", "&amp;'Trust &amp; Safety'!$B$7:$B$500&amp;", ")),--('Trust &amp; Safety'!$AT$7:$AT$500="Pass"))+SUMPRODUCT(--ISNUMBER(SEARCH(", "&amp;$B70&amp;", ",", "&amp;'Tài khoản &amp; Hồ sơ'!$B$7:$B$500&amp;", ")),--('Tài khoản &amp; Hồ sơ'!$AT$7:$AT$500="Pass"))</f>
        <v>2</v>
      </c>
      <c r="H70" s="51" t="n">
        <f aca="false">SUMPRODUCT(--ISNUMBER(SEARCH(", "&amp;$B70&amp;", ",", "&amp;'Hoạt động (Đơn của tôi)'!$B$7:$B$500&amp;", ")),--('Hoạt động (Đơn của tôi)'!$AT$7:$AT$500="Fail"))+SUMPRODUCT(--ISNUMBER(SEARCH(", "&amp;$B70&amp;", ",", "&amp;'Ghép nối'!$B$7:$B$500&amp;", ")),--('Ghép nối'!$AT$7:$AT$500="Fail"))+SUMPRODUCT(--ISNUMBER(SEARCH(", "&amp;$B70&amp;", ",", "&amp;'Huỷ đơn - Huỷ nhận đơn'!$B$7:$B$500&amp;", ")),--('Huỷ đơn - Huỷ nhận đơn'!$AT$7:$AT$500="Fail"))+SUMPRODUCT(--ISNUMBER(SEARCH(", "&amp;$B70&amp;", ",", "&amp;'Giao nhận &amp; Theo dõi đơn'!$B$7:$B$500&amp;", ")),--('Giao nhận &amp; Theo dõi đơn'!$AT$7:$AT$500="Fail"))+SUMPRODUCT(--ISNUMBER(SEARCH(", "&amp;$B70&amp;", ",", "&amp;'Bảng tin &amp; Chi tiết tin'!$B$7:$B$500&amp;", ")),--('Bảng tin &amp; Chi tiết tin'!$AT$7:$AT$500="Fail"))+SUMPRODUCT(--ISNUMBER(SEARCH(", "&amp;$B70&amp;", ",", "&amp;'Quà cảm ơn'!$B$7:$B$500&amp;", ")),--('Quà cảm ơn'!$AT$7:$AT$500="Fail"))+SUMPRODUCT(--ISNUMBER(SEARCH(", "&amp;$B70&amp;", ",", "&amp;'Trang chủ'!$B$7:$B$500&amp;", ")),--('Trang chủ'!$AT$7:$AT$500="Fail"))+SUMPRODUCT(--ISNUMBER(SEARCH(", "&amp;$B70&amp;", ",", "&amp;'Thông báo'!$B$7:$B$500&amp;", ")),--('Thông báo'!$AT$7:$AT$500="Fail"))+SUMPRODUCT(--ISNUMBER(SEARCH(", "&amp;$B70&amp;", ",", "&amp;'Đăng tin &amp; Quản lý tin'!$B$7:$B$500&amp;", ")),--('Đăng tin &amp; Quản lý tin'!$AT$7:$AT$500="Fail"))+SUMPRODUCT(--ISNUMBER(SEARCH(", "&amp;$B70&amp;", ",", "&amp;'Trust &amp; Safety'!$B$7:$B$500&amp;", ")),--('Trust &amp; Safety'!$AT$7:$AT$500="Fail"))+SUMPRODUCT(--ISNUMBER(SEARCH(", "&amp;$B70&amp;", ",", "&amp;'Tài khoản &amp; Hồ sơ'!$B$7:$B$500&amp;", ")),--('Tài khoản &amp; Hồ sơ'!$AT$7:$AT$500="Fail"))</f>
        <v>0</v>
      </c>
      <c r="I70" s="51" t="n">
        <f aca="false">SUMPRODUCT(--ISNUMBER(SEARCH(", "&amp;$B70&amp;", ",", "&amp;'Hoạt động (Đơn của tôi)'!$B$7:$B$500&amp;", ")),--('Hoạt động (Đơn của tôi)'!$AT$7:$AT$500="Block"))+SUMPRODUCT(--ISNUMBER(SEARCH(", "&amp;$B70&amp;", ",", "&amp;'Ghép nối'!$B$7:$B$500&amp;", ")),--('Ghép nối'!$AT$7:$AT$500="Block"))+SUMPRODUCT(--ISNUMBER(SEARCH(", "&amp;$B70&amp;", ",", "&amp;'Huỷ đơn - Huỷ nhận đơn'!$B$7:$B$500&amp;", ")),--('Huỷ đơn - Huỷ nhận đơn'!$AT$7:$AT$500="Block"))+SUMPRODUCT(--ISNUMBER(SEARCH(", "&amp;$B70&amp;", ",", "&amp;'Giao nhận &amp; Theo dõi đơn'!$B$7:$B$500&amp;", ")),--('Giao nhận &amp; Theo dõi đơn'!$AT$7:$AT$500="Block"))+SUMPRODUCT(--ISNUMBER(SEARCH(", "&amp;$B70&amp;", ",", "&amp;'Bảng tin &amp; Chi tiết tin'!$B$7:$B$500&amp;", ")),--('Bảng tin &amp; Chi tiết tin'!$AT$7:$AT$500="Block"))+SUMPRODUCT(--ISNUMBER(SEARCH(", "&amp;$B70&amp;", ",", "&amp;'Quà cảm ơn'!$B$7:$B$500&amp;", ")),--('Quà cảm ơn'!$AT$7:$AT$500="Block"))+SUMPRODUCT(--ISNUMBER(SEARCH(", "&amp;$B70&amp;", ",", "&amp;'Trang chủ'!$B$7:$B$500&amp;", ")),--('Trang chủ'!$AT$7:$AT$500="Block"))+SUMPRODUCT(--ISNUMBER(SEARCH(", "&amp;$B70&amp;", ",", "&amp;'Thông báo'!$B$7:$B$500&amp;", ")),--('Thông báo'!$AT$7:$AT$500="Block"))+SUMPRODUCT(--ISNUMBER(SEARCH(", "&amp;$B70&amp;", ",", "&amp;'Đăng tin &amp; Quản lý tin'!$B$7:$B$500&amp;", ")),--('Đăng tin &amp; Quản lý tin'!$AT$7:$AT$500="Block"))+SUMPRODUCT(--ISNUMBER(SEARCH(", "&amp;$B70&amp;", ",", "&amp;'Trust &amp; Safety'!$B$7:$B$500&amp;", ")),--('Trust &amp; Safety'!$AT$7:$AT$500="Block"))+SUMPRODUCT(--ISNUMBER(SEARCH(", "&amp;$B70&amp;", ",", "&amp;'Tài khoản &amp; Hồ sơ'!$B$7:$B$500&amp;", ")),--('Tài khoản &amp; Hồ sơ'!$AT$7:$AT$500="Block"))</f>
        <v>0</v>
      </c>
      <c r="J70" s="51" t="n">
        <f aca="false">SUMPRODUCT(--ISNUMBER(SEARCH(", "&amp;$B70&amp;", ",", "&amp;'Hoạt động (Đơn của tôi)'!$B$7:$B$500&amp;", ")),--('Hoạt động (Đơn của tôi)'!$AT$7:$AT$500="N/A"))+SUMPRODUCT(--ISNUMBER(SEARCH(", "&amp;$B70&amp;", ",", "&amp;'Ghép nối'!$B$7:$B$500&amp;", ")),--('Ghép nối'!$AT$7:$AT$500="N/A"))+SUMPRODUCT(--ISNUMBER(SEARCH(", "&amp;$B70&amp;", ",", "&amp;'Huỷ đơn - Huỷ nhận đơn'!$B$7:$B$500&amp;", ")),--('Huỷ đơn - Huỷ nhận đơn'!$AT$7:$AT$500="N/A"))+SUMPRODUCT(--ISNUMBER(SEARCH(", "&amp;$B70&amp;", ",", "&amp;'Giao nhận &amp; Theo dõi đơn'!$B$7:$B$500&amp;", ")),--('Giao nhận &amp; Theo dõi đơn'!$AT$7:$AT$500="N/A"))+SUMPRODUCT(--ISNUMBER(SEARCH(", "&amp;$B70&amp;", ",", "&amp;'Bảng tin &amp; Chi tiết tin'!$B$7:$B$500&amp;", ")),--('Bảng tin &amp; Chi tiết tin'!$AT$7:$AT$500="N/A"))+SUMPRODUCT(--ISNUMBER(SEARCH(", "&amp;$B70&amp;", ",", "&amp;'Quà cảm ơn'!$B$7:$B$500&amp;", ")),--('Quà cảm ơn'!$AT$7:$AT$500="N/A"))+SUMPRODUCT(--ISNUMBER(SEARCH(", "&amp;$B70&amp;", ",", "&amp;'Trang chủ'!$B$7:$B$500&amp;", ")),--('Trang chủ'!$AT$7:$AT$500="N/A"))+SUMPRODUCT(--ISNUMBER(SEARCH(", "&amp;$B70&amp;", ",", "&amp;'Thông báo'!$B$7:$B$500&amp;", ")),--('Thông báo'!$AT$7:$AT$500="N/A"))+SUMPRODUCT(--ISNUMBER(SEARCH(", "&amp;$B70&amp;", ",", "&amp;'Đăng tin &amp; Quản lý tin'!$B$7:$B$500&amp;", ")),--('Đăng tin &amp; Quản lý tin'!$AT$7:$AT$500="N/A"))+SUMPRODUCT(--ISNUMBER(SEARCH(", "&amp;$B70&amp;", ",", "&amp;'Trust &amp; Safety'!$B$7:$B$500&amp;", ")),--('Trust &amp; Safety'!$AT$7:$AT$500="N/A"))+SUMPRODUCT(--ISNUMBER(SEARCH(", "&amp;$B70&amp;", ",", "&amp;'Tài khoản &amp; Hồ sơ'!$B$7:$B$500&amp;", ")),--('Tài khoản &amp; Hồ sơ'!$AT$7:$AT$500="N/A"))</f>
        <v>0</v>
      </c>
      <c r="K70" s="52" t="n">
        <f aca="false">IFERROR(F70/E70,0)</f>
        <v>1</v>
      </c>
      <c r="L70" s="124" t="str">
        <f aca="false">IF(E70=0,"Chưa có TC (gap)",IF(H70&gt;0,"Có lỗi (Fail)",IF(I70&gt;0,"Bị block",IF(F70&lt;E70,"Đang test",IF(G70=0,"Không áp dụng (N/A)","Đã test xong")))))</f>
        <v>Đã test xong</v>
      </c>
      <c r="AB70" s="0" t="s">
        <v>531</v>
      </c>
    </row>
    <row r="71" customFormat="false" ht="15.75" hidden="false" customHeight="true" outlineLevel="0" collapsed="false">
      <c r="A71" s="1"/>
      <c r="B71" s="176" t="s">
        <v>694</v>
      </c>
      <c r="C71" s="177" t="s">
        <v>695</v>
      </c>
      <c r="D71" s="124" t="s">
        <v>696</v>
      </c>
      <c r="E71" s="51" t="n">
        <f aca="false">SUMPRODUCT(--ISNUMBER(SEARCH(", "&amp;$B71&amp;", ",", "&amp;'Hoạt động (Đơn của tôi)'!$B$7:$B$500&amp;", ")))+SUMPRODUCT(--ISNUMBER(SEARCH(", "&amp;$B71&amp;", ",", "&amp;'Ghép nối'!$B$7:$B$500&amp;", ")))+SUMPRODUCT(--ISNUMBER(SEARCH(", "&amp;$B71&amp;", ",", "&amp;'Huỷ đơn - Huỷ nhận đơn'!$B$7:$B$500&amp;", ")))+SUMPRODUCT(--ISNUMBER(SEARCH(", "&amp;$B71&amp;", ",", "&amp;'Giao nhận &amp; Theo dõi đơn'!$B$7:$B$500&amp;", ")))+SUMPRODUCT(--ISNUMBER(SEARCH(", "&amp;$B71&amp;", ",", "&amp;'Bảng tin &amp; Chi tiết tin'!$B$7:$B$500&amp;", ")))+SUMPRODUCT(--ISNUMBER(SEARCH(", "&amp;$B71&amp;", ",", "&amp;'Quà cảm ơn'!$B$7:$B$500&amp;", ")))+SUMPRODUCT(--ISNUMBER(SEARCH(", "&amp;$B71&amp;", ",", "&amp;'Trang chủ'!$B$7:$B$500&amp;", ")))+SUMPRODUCT(--ISNUMBER(SEARCH(", "&amp;$B71&amp;", ",", "&amp;'Thông báo'!$B$7:$B$500&amp;", ")))+SUMPRODUCT(--ISNUMBER(SEARCH(", "&amp;$B71&amp;", ",", "&amp;'Đăng tin &amp; Quản lý tin'!$B$7:$B$500&amp;", ")))+SUMPRODUCT(--ISNUMBER(SEARCH(", "&amp;$B71&amp;", ",", "&amp;'Trust &amp; Safety'!$B$7:$B$500&amp;", ")))+SUMPRODUCT(--ISNUMBER(SEARCH(", "&amp;$B71&amp;", ",", "&amp;'Tài khoản &amp; Hồ sơ'!$B$7:$B$500&amp;", ")))</f>
        <v>17</v>
      </c>
      <c r="F71" s="51" t="n">
        <f aca="false">SUMPRODUCT(--ISNUMBER(SEARCH(", "&amp;$B71&amp;", ",", "&amp;'Hoạt động (Đơn của tôi)'!$B$7:$B$500&amp;", ")),--('Hoạt động (Đơn của tôi)'!$AT$7:$AT$500&lt;&gt;""))+SUMPRODUCT(--ISNUMBER(SEARCH(", "&amp;$B71&amp;", ",", "&amp;'Ghép nối'!$B$7:$B$500&amp;", ")),--('Ghép nối'!$AT$7:$AT$500&lt;&gt;""))+SUMPRODUCT(--ISNUMBER(SEARCH(", "&amp;$B71&amp;", ",", "&amp;'Huỷ đơn - Huỷ nhận đơn'!$B$7:$B$500&amp;", ")),--('Huỷ đơn - Huỷ nhận đơn'!$AT$7:$AT$500&lt;&gt;""))+SUMPRODUCT(--ISNUMBER(SEARCH(", "&amp;$B71&amp;", ",", "&amp;'Giao nhận &amp; Theo dõi đơn'!$B$7:$B$500&amp;", ")),--('Giao nhận &amp; Theo dõi đơn'!$AT$7:$AT$500&lt;&gt;""))+SUMPRODUCT(--ISNUMBER(SEARCH(", "&amp;$B71&amp;", ",", "&amp;'Bảng tin &amp; Chi tiết tin'!$B$7:$B$500&amp;", ")),--('Bảng tin &amp; Chi tiết tin'!$AT$7:$AT$500&lt;&gt;""))+SUMPRODUCT(--ISNUMBER(SEARCH(", "&amp;$B71&amp;", ",", "&amp;'Quà cảm ơn'!$B$7:$B$500&amp;", ")),--('Quà cảm ơn'!$AT$7:$AT$500&lt;&gt;""))+SUMPRODUCT(--ISNUMBER(SEARCH(", "&amp;$B71&amp;", ",", "&amp;'Trang chủ'!$B$7:$B$500&amp;", ")),--('Trang chủ'!$AT$7:$AT$500&lt;&gt;""))+SUMPRODUCT(--ISNUMBER(SEARCH(", "&amp;$B71&amp;", ",", "&amp;'Thông báo'!$B$7:$B$500&amp;", ")),--('Thông báo'!$AT$7:$AT$500&lt;&gt;""))+SUMPRODUCT(--ISNUMBER(SEARCH(", "&amp;$B71&amp;", ",", "&amp;'Đăng tin &amp; Quản lý tin'!$B$7:$B$500&amp;", ")),--('Đăng tin &amp; Quản lý tin'!$AT$7:$AT$500&lt;&gt;""))+SUMPRODUCT(--ISNUMBER(SEARCH(", "&amp;$B71&amp;", ",", "&amp;'Trust &amp; Safety'!$B$7:$B$500&amp;", ")),--('Trust &amp; Safety'!$AT$7:$AT$500&lt;&gt;""))+SUMPRODUCT(--ISNUMBER(SEARCH(", "&amp;$B71&amp;", ",", "&amp;'Tài khoản &amp; Hồ sơ'!$B$7:$B$500&amp;", ")),--('Tài khoản &amp; Hồ sơ'!$AT$7:$AT$500&lt;&gt;""))</f>
        <v>17</v>
      </c>
      <c r="G71" s="51" t="n">
        <f aca="false">SUMPRODUCT(--ISNUMBER(SEARCH(", "&amp;$B71&amp;", ",", "&amp;'Hoạt động (Đơn của tôi)'!$B$7:$B$500&amp;", ")),--('Hoạt động (Đơn của tôi)'!$AT$7:$AT$500="Pass"))+SUMPRODUCT(--ISNUMBER(SEARCH(", "&amp;$B71&amp;", ",", "&amp;'Ghép nối'!$B$7:$B$500&amp;", ")),--('Ghép nối'!$AT$7:$AT$500="Pass"))+SUMPRODUCT(--ISNUMBER(SEARCH(", "&amp;$B71&amp;", ",", "&amp;'Huỷ đơn - Huỷ nhận đơn'!$B$7:$B$500&amp;", ")),--('Huỷ đơn - Huỷ nhận đơn'!$AT$7:$AT$500="Pass"))+SUMPRODUCT(--ISNUMBER(SEARCH(", "&amp;$B71&amp;", ",", "&amp;'Giao nhận &amp; Theo dõi đơn'!$B$7:$B$500&amp;", ")),--('Giao nhận &amp; Theo dõi đơn'!$AT$7:$AT$500="Pass"))+SUMPRODUCT(--ISNUMBER(SEARCH(", "&amp;$B71&amp;", ",", "&amp;'Bảng tin &amp; Chi tiết tin'!$B$7:$B$500&amp;", ")),--('Bảng tin &amp; Chi tiết tin'!$AT$7:$AT$500="Pass"))+SUMPRODUCT(--ISNUMBER(SEARCH(", "&amp;$B71&amp;", ",", "&amp;'Quà cảm ơn'!$B$7:$B$500&amp;", ")),--('Quà cảm ơn'!$AT$7:$AT$500="Pass"))+SUMPRODUCT(--ISNUMBER(SEARCH(", "&amp;$B71&amp;", ",", "&amp;'Trang chủ'!$B$7:$B$500&amp;", ")),--('Trang chủ'!$AT$7:$AT$500="Pass"))+SUMPRODUCT(--ISNUMBER(SEARCH(", "&amp;$B71&amp;", ",", "&amp;'Thông báo'!$B$7:$B$500&amp;", ")),--('Thông báo'!$AT$7:$AT$500="Pass"))+SUMPRODUCT(--ISNUMBER(SEARCH(", "&amp;$B71&amp;", ",", "&amp;'Đăng tin &amp; Quản lý tin'!$B$7:$B$500&amp;", ")),--('Đăng tin &amp; Quản lý tin'!$AT$7:$AT$500="Pass"))+SUMPRODUCT(--ISNUMBER(SEARCH(", "&amp;$B71&amp;", ",", "&amp;'Trust &amp; Safety'!$B$7:$B$500&amp;", ")),--('Trust &amp; Safety'!$AT$7:$AT$500="Pass"))+SUMPRODUCT(--ISNUMBER(SEARCH(", "&amp;$B71&amp;", ",", "&amp;'Tài khoản &amp; Hồ sơ'!$B$7:$B$500&amp;", ")),--('Tài khoản &amp; Hồ sơ'!$AT$7:$AT$500="Pass"))</f>
        <v>11</v>
      </c>
      <c r="H71" s="51" t="n">
        <f aca="false">SUMPRODUCT(--ISNUMBER(SEARCH(", "&amp;$B71&amp;", ",", "&amp;'Hoạt động (Đơn của tôi)'!$B$7:$B$500&amp;", ")),--('Hoạt động (Đơn của tôi)'!$AT$7:$AT$500="Fail"))+SUMPRODUCT(--ISNUMBER(SEARCH(", "&amp;$B71&amp;", ",", "&amp;'Ghép nối'!$B$7:$B$500&amp;", ")),--('Ghép nối'!$AT$7:$AT$500="Fail"))+SUMPRODUCT(--ISNUMBER(SEARCH(", "&amp;$B71&amp;", ",", "&amp;'Huỷ đơn - Huỷ nhận đơn'!$B$7:$B$500&amp;", ")),--('Huỷ đơn - Huỷ nhận đơn'!$AT$7:$AT$500="Fail"))+SUMPRODUCT(--ISNUMBER(SEARCH(", "&amp;$B71&amp;", ",", "&amp;'Giao nhận &amp; Theo dõi đơn'!$B$7:$B$500&amp;", ")),--('Giao nhận &amp; Theo dõi đơn'!$AT$7:$AT$500="Fail"))+SUMPRODUCT(--ISNUMBER(SEARCH(", "&amp;$B71&amp;", ",", "&amp;'Bảng tin &amp; Chi tiết tin'!$B$7:$B$500&amp;", ")),--('Bảng tin &amp; Chi tiết tin'!$AT$7:$AT$500="Fail"))+SUMPRODUCT(--ISNUMBER(SEARCH(", "&amp;$B71&amp;", ",", "&amp;'Quà cảm ơn'!$B$7:$B$500&amp;", ")),--('Quà cảm ơn'!$AT$7:$AT$500="Fail"))+SUMPRODUCT(--ISNUMBER(SEARCH(", "&amp;$B71&amp;", ",", "&amp;'Trang chủ'!$B$7:$B$500&amp;", ")),--('Trang chủ'!$AT$7:$AT$500="Fail"))+SUMPRODUCT(--ISNUMBER(SEARCH(", "&amp;$B71&amp;", ",", "&amp;'Thông báo'!$B$7:$B$500&amp;", ")),--('Thông báo'!$AT$7:$AT$500="Fail"))+SUMPRODUCT(--ISNUMBER(SEARCH(", "&amp;$B71&amp;", ",", "&amp;'Đăng tin &amp; Quản lý tin'!$B$7:$B$500&amp;", ")),--('Đăng tin &amp; Quản lý tin'!$AT$7:$AT$500="Fail"))+SUMPRODUCT(--ISNUMBER(SEARCH(", "&amp;$B71&amp;", ",", "&amp;'Trust &amp; Safety'!$B$7:$B$500&amp;", ")),--('Trust &amp; Safety'!$AT$7:$AT$500="Fail"))+SUMPRODUCT(--ISNUMBER(SEARCH(", "&amp;$B71&amp;", ",", "&amp;'Tài khoản &amp; Hồ sơ'!$B$7:$B$500&amp;", ")),--('Tài khoản &amp; Hồ sơ'!$AT$7:$AT$500="Fail"))</f>
        <v>5</v>
      </c>
      <c r="I71" s="51" t="n">
        <f aca="false">SUMPRODUCT(--ISNUMBER(SEARCH(", "&amp;$B71&amp;", ",", "&amp;'Hoạt động (Đơn của tôi)'!$B$7:$B$500&amp;", ")),--('Hoạt động (Đơn của tôi)'!$AT$7:$AT$500="Block"))+SUMPRODUCT(--ISNUMBER(SEARCH(", "&amp;$B71&amp;", ",", "&amp;'Ghép nối'!$B$7:$B$500&amp;", ")),--('Ghép nối'!$AT$7:$AT$500="Block"))+SUMPRODUCT(--ISNUMBER(SEARCH(", "&amp;$B71&amp;", ",", "&amp;'Huỷ đơn - Huỷ nhận đơn'!$B$7:$B$500&amp;", ")),--('Huỷ đơn - Huỷ nhận đơn'!$AT$7:$AT$500="Block"))+SUMPRODUCT(--ISNUMBER(SEARCH(", "&amp;$B71&amp;", ",", "&amp;'Giao nhận &amp; Theo dõi đơn'!$B$7:$B$500&amp;", ")),--('Giao nhận &amp; Theo dõi đơn'!$AT$7:$AT$500="Block"))+SUMPRODUCT(--ISNUMBER(SEARCH(", "&amp;$B71&amp;", ",", "&amp;'Bảng tin &amp; Chi tiết tin'!$B$7:$B$500&amp;", ")),--('Bảng tin &amp; Chi tiết tin'!$AT$7:$AT$500="Block"))+SUMPRODUCT(--ISNUMBER(SEARCH(", "&amp;$B71&amp;", ",", "&amp;'Quà cảm ơn'!$B$7:$B$500&amp;", ")),--('Quà cảm ơn'!$AT$7:$AT$500="Block"))+SUMPRODUCT(--ISNUMBER(SEARCH(", "&amp;$B71&amp;", ",", "&amp;'Trang chủ'!$B$7:$B$500&amp;", ")),--('Trang chủ'!$AT$7:$AT$500="Block"))+SUMPRODUCT(--ISNUMBER(SEARCH(", "&amp;$B71&amp;", ",", "&amp;'Thông báo'!$B$7:$B$500&amp;", ")),--('Thông báo'!$AT$7:$AT$500="Block"))+SUMPRODUCT(--ISNUMBER(SEARCH(", "&amp;$B71&amp;", ",", "&amp;'Đăng tin &amp; Quản lý tin'!$B$7:$B$500&amp;", ")),--('Đăng tin &amp; Quản lý tin'!$AT$7:$AT$500="Block"))+SUMPRODUCT(--ISNUMBER(SEARCH(", "&amp;$B71&amp;", ",", "&amp;'Trust &amp; Safety'!$B$7:$B$500&amp;", ")),--('Trust &amp; Safety'!$AT$7:$AT$500="Block"))+SUMPRODUCT(--ISNUMBER(SEARCH(", "&amp;$B71&amp;", ",", "&amp;'Tài khoản &amp; Hồ sơ'!$B$7:$B$500&amp;", ")),--('Tài khoản &amp; Hồ sơ'!$AT$7:$AT$500="Block"))</f>
        <v>1</v>
      </c>
      <c r="J71" s="51" t="n">
        <f aca="false">SUMPRODUCT(--ISNUMBER(SEARCH(", "&amp;$B71&amp;", ",", "&amp;'Hoạt động (Đơn của tôi)'!$B$7:$B$500&amp;", ")),--('Hoạt động (Đơn của tôi)'!$AT$7:$AT$500="N/A"))+SUMPRODUCT(--ISNUMBER(SEARCH(", "&amp;$B71&amp;", ",", "&amp;'Ghép nối'!$B$7:$B$500&amp;", ")),--('Ghép nối'!$AT$7:$AT$500="N/A"))+SUMPRODUCT(--ISNUMBER(SEARCH(", "&amp;$B71&amp;", ",", "&amp;'Huỷ đơn - Huỷ nhận đơn'!$B$7:$B$500&amp;", ")),--('Huỷ đơn - Huỷ nhận đơn'!$AT$7:$AT$500="N/A"))+SUMPRODUCT(--ISNUMBER(SEARCH(", "&amp;$B71&amp;", ",", "&amp;'Giao nhận &amp; Theo dõi đơn'!$B$7:$B$500&amp;", ")),--('Giao nhận &amp; Theo dõi đơn'!$AT$7:$AT$500="N/A"))+SUMPRODUCT(--ISNUMBER(SEARCH(", "&amp;$B71&amp;", ",", "&amp;'Bảng tin &amp; Chi tiết tin'!$B$7:$B$500&amp;", ")),--('Bảng tin &amp; Chi tiết tin'!$AT$7:$AT$500="N/A"))+SUMPRODUCT(--ISNUMBER(SEARCH(", "&amp;$B71&amp;", ",", "&amp;'Quà cảm ơn'!$B$7:$B$500&amp;", ")),--('Quà cảm ơn'!$AT$7:$AT$500="N/A"))+SUMPRODUCT(--ISNUMBER(SEARCH(", "&amp;$B71&amp;", ",", "&amp;'Trang chủ'!$B$7:$B$500&amp;", ")),--('Trang chủ'!$AT$7:$AT$500="N/A"))+SUMPRODUCT(--ISNUMBER(SEARCH(", "&amp;$B71&amp;", ",", "&amp;'Thông báo'!$B$7:$B$500&amp;", ")),--('Thông báo'!$AT$7:$AT$500="N/A"))+SUMPRODUCT(--ISNUMBER(SEARCH(", "&amp;$B71&amp;", ",", "&amp;'Đăng tin &amp; Quản lý tin'!$B$7:$B$500&amp;", ")),--('Đăng tin &amp; Quản lý tin'!$AT$7:$AT$500="N/A"))+SUMPRODUCT(--ISNUMBER(SEARCH(", "&amp;$B71&amp;", ",", "&amp;'Trust &amp; Safety'!$B$7:$B$500&amp;", ")),--('Trust &amp; Safety'!$AT$7:$AT$500="N/A"))+SUMPRODUCT(--ISNUMBER(SEARCH(", "&amp;$B71&amp;", ",", "&amp;'Tài khoản &amp; Hồ sơ'!$B$7:$B$500&amp;", ")),--('Tài khoản &amp; Hồ sơ'!$AT$7:$AT$500="N/A"))</f>
        <v>0</v>
      </c>
      <c r="K71" s="52" t="n">
        <f aca="false">IFERROR(F71/E71,0)</f>
        <v>1</v>
      </c>
      <c r="L71" s="124" t="str">
        <f aca="false">IF(E71=0,"Chưa có TC (gap)",IF(H71&gt;0,"Có lỗi (Fail)",IF(I71&gt;0,"Bị block",IF(F71&lt;E71,"Đang test",IF(G71=0,"Không áp dụng (N/A)","Đã test xong")))))</f>
        <v>Có lỗi (Fail)</v>
      </c>
      <c r="AB71" s="0" t="s">
        <v>535</v>
      </c>
    </row>
    <row r="72" customFormat="false" ht="15.75" hidden="false" customHeight="true" outlineLevel="0" collapsed="false">
      <c r="A72" s="1"/>
      <c r="B72" s="176" t="s">
        <v>697</v>
      </c>
      <c r="C72" s="177" t="s">
        <v>698</v>
      </c>
      <c r="D72" s="124" t="s">
        <v>699</v>
      </c>
      <c r="E72" s="51" t="n">
        <f aca="false">SUMPRODUCT(--ISNUMBER(SEARCH(", "&amp;$B72&amp;", ",", "&amp;'Hoạt động (Đơn của tôi)'!$B$7:$B$500&amp;", ")))+SUMPRODUCT(--ISNUMBER(SEARCH(", "&amp;$B72&amp;", ",", "&amp;'Ghép nối'!$B$7:$B$500&amp;", ")))+SUMPRODUCT(--ISNUMBER(SEARCH(", "&amp;$B72&amp;", ",", "&amp;'Huỷ đơn - Huỷ nhận đơn'!$B$7:$B$500&amp;", ")))+SUMPRODUCT(--ISNUMBER(SEARCH(", "&amp;$B72&amp;", ",", "&amp;'Giao nhận &amp; Theo dõi đơn'!$B$7:$B$500&amp;", ")))+SUMPRODUCT(--ISNUMBER(SEARCH(", "&amp;$B72&amp;", ",", "&amp;'Bảng tin &amp; Chi tiết tin'!$B$7:$B$500&amp;", ")))+SUMPRODUCT(--ISNUMBER(SEARCH(", "&amp;$B72&amp;", ",", "&amp;'Quà cảm ơn'!$B$7:$B$500&amp;", ")))+SUMPRODUCT(--ISNUMBER(SEARCH(", "&amp;$B72&amp;", ",", "&amp;'Trang chủ'!$B$7:$B$500&amp;", ")))+SUMPRODUCT(--ISNUMBER(SEARCH(", "&amp;$B72&amp;", ",", "&amp;'Thông báo'!$B$7:$B$500&amp;", ")))+SUMPRODUCT(--ISNUMBER(SEARCH(", "&amp;$B72&amp;", ",", "&amp;'Đăng tin &amp; Quản lý tin'!$B$7:$B$500&amp;", ")))+SUMPRODUCT(--ISNUMBER(SEARCH(", "&amp;$B72&amp;", ",", "&amp;'Trust &amp; Safety'!$B$7:$B$500&amp;", ")))+SUMPRODUCT(--ISNUMBER(SEARCH(", "&amp;$B72&amp;", ",", "&amp;'Tài khoản &amp; Hồ sơ'!$B$7:$B$500&amp;", ")))</f>
        <v>3</v>
      </c>
      <c r="F72" s="51" t="n">
        <f aca="false">SUMPRODUCT(--ISNUMBER(SEARCH(", "&amp;$B72&amp;", ",", "&amp;'Hoạt động (Đơn của tôi)'!$B$7:$B$500&amp;", ")),--('Hoạt động (Đơn của tôi)'!$AT$7:$AT$500&lt;&gt;""))+SUMPRODUCT(--ISNUMBER(SEARCH(", "&amp;$B72&amp;", ",", "&amp;'Ghép nối'!$B$7:$B$500&amp;", ")),--('Ghép nối'!$AT$7:$AT$500&lt;&gt;""))+SUMPRODUCT(--ISNUMBER(SEARCH(", "&amp;$B72&amp;", ",", "&amp;'Huỷ đơn - Huỷ nhận đơn'!$B$7:$B$500&amp;", ")),--('Huỷ đơn - Huỷ nhận đơn'!$AT$7:$AT$500&lt;&gt;""))+SUMPRODUCT(--ISNUMBER(SEARCH(", "&amp;$B72&amp;", ",", "&amp;'Giao nhận &amp; Theo dõi đơn'!$B$7:$B$500&amp;", ")),--('Giao nhận &amp; Theo dõi đơn'!$AT$7:$AT$500&lt;&gt;""))+SUMPRODUCT(--ISNUMBER(SEARCH(", "&amp;$B72&amp;", ",", "&amp;'Bảng tin &amp; Chi tiết tin'!$B$7:$B$500&amp;", ")),--('Bảng tin &amp; Chi tiết tin'!$AT$7:$AT$500&lt;&gt;""))+SUMPRODUCT(--ISNUMBER(SEARCH(", "&amp;$B72&amp;", ",", "&amp;'Quà cảm ơn'!$B$7:$B$500&amp;", ")),--('Quà cảm ơn'!$AT$7:$AT$500&lt;&gt;""))+SUMPRODUCT(--ISNUMBER(SEARCH(", "&amp;$B72&amp;", ",", "&amp;'Trang chủ'!$B$7:$B$500&amp;", ")),--('Trang chủ'!$AT$7:$AT$500&lt;&gt;""))+SUMPRODUCT(--ISNUMBER(SEARCH(", "&amp;$B72&amp;", ",", "&amp;'Thông báo'!$B$7:$B$500&amp;", ")),--('Thông báo'!$AT$7:$AT$500&lt;&gt;""))+SUMPRODUCT(--ISNUMBER(SEARCH(", "&amp;$B72&amp;", ",", "&amp;'Đăng tin &amp; Quản lý tin'!$B$7:$B$500&amp;", ")),--('Đăng tin &amp; Quản lý tin'!$AT$7:$AT$500&lt;&gt;""))+SUMPRODUCT(--ISNUMBER(SEARCH(", "&amp;$B72&amp;", ",", "&amp;'Trust &amp; Safety'!$B$7:$B$500&amp;", ")),--('Trust &amp; Safety'!$AT$7:$AT$500&lt;&gt;""))+SUMPRODUCT(--ISNUMBER(SEARCH(", "&amp;$B72&amp;", ",", "&amp;'Tài khoản &amp; Hồ sơ'!$B$7:$B$500&amp;", ")),--('Tài khoản &amp; Hồ sơ'!$AT$7:$AT$500&lt;&gt;""))</f>
        <v>3</v>
      </c>
      <c r="G72" s="51" t="n">
        <f aca="false">SUMPRODUCT(--ISNUMBER(SEARCH(", "&amp;$B72&amp;", ",", "&amp;'Hoạt động (Đơn của tôi)'!$B$7:$B$500&amp;", ")),--('Hoạt động (Đơn của tôi)'!$AT$7:$AT$500="Pass"))+SUMPRODUCT(--ISNUMBER(SEARCH(", "&amp;$B72&amp;", ",", "&amp;'Ghép nối'!$B$7:$B$500&amp;", ")),--('Ghép nối'!$AT$7:$AT$500="Pass"))+SUMPRODUCT(--ISNUMBER(SEARCH(", "&amp;$B72&amp;", ",", "&amp;'Huỷ đơn - Huỷ nhận đơn'!$B$7:$B$500&amp;", ")),--('Huỷ đơn - Huỷ nhận đơn'!$AT$7:$AT$500="Pass"))+SUMPRODUCT(--ISNUMBER(SEARCH(", "&amp;$B72&amp;", ",", "&amp;'Giao nhận &amp; Theo dõi đơn'!$B$7:$B$500&amp;", ")),--('Giao nhận &amp; Theo dõi đơn'!$AT$7:$AT$500="Pass"))+SUMPRODUCT(--ISNUMBER(SEARCH(", "&amp;$B72&amp;", ",", "&amp;'Bảng tin &amp; Chi tiết tin'!$B$7:$B$500&amp;", ")),--('Bảng tin &amp; Chi tiết tin'!$AT$7:$AT$500="Pass"))+SUMPRODUCT(--ISNUMBER(SEARCH(", "&amp;$B72&amp;", ",", "&amp;'Quà cảm ơn'!$B$7:$B$500&amp;", ")),--('Quà cảm ơn'!$AT$7:$AT$500="Pass"))+SUMPRODUCT(--ISNUMBER(SEARCH(", "&amp;$B72&amp;", ",", "&amp;'Trang chủ'!$B$7:$B$500&amp;", ")),--('Trang chủ'!$AT$7:$AT$500="Pass"))+SUMPRODUCT(--ISNUMBER(SEARCH(", "&amp;$B72&amp;", ",", "&amp;'Thông báo'!$B$7:$B$500&amp;", ")),--('Thông báo'!$AT$7:$AT$500="Pass"))+SUMPRODUCT(--ISNUMBER(SEARCH(", "&amp;$B72&amp;", ",", "&amp;'Đăng tin &amp; Quản lý tin'!$B$7:$B$500&amp;", ")),--('Đăng tin &amp; Quản lý tin'!$AT$7:$AT$500="Pass"))+SUMPRODUCT(--ISNUMBER(SEARCH(", "&amp;$B72&amp;", ",", "&amp;'Trust &amp; Safety'!$B$7:$B$500&amp;", ")),--('Trust &amp; Safety'!$AT$7:$AT$500="Pass"))+SUMPRODUCT(--ISNUMBER(SEARCH(", "&amp;$B72&amp;", ",", "&amp;'Tài khoản &amp; Hồ sơ'!$B$7:$B$500&amp;", ")),--('Tài khoản &amp; Hồ sơ'!$AT$7:$AT$500="Pass"))</f>
        <v>1</v>
      </c>
      <c r="H72" s="51" t="n">
        <f aca="false">SUMPRODUCT(--ISNUMBER(SEARCH(", "&amp;$B72&amp;", ",", "&amp;'Hoạt động (Đơn của tôi)'!$B$7:$B$500&amp;", ")),--('Hoạt động (Đơn của tôi)'!$AT$7:$AT$500="Fail"))+SUMPRODUCT(--ISNUMBER(SEARCH(", "&amp;$B72&amp;", ",", "&amp;'Ghép nối'!$B$7:$B$500&amp;", ")),--('Ghép nối'!$AT$7:$AT$500="Fail"))+SUMPRODUCT(--ISNUMBER(SEARCH(", "&amp;$B72&amp;", ",", "&amp;'Huỷ đơn - Huỷ nhận đơn'!$B$7:$B$500&amp;", ")),--('Huỷ đơn - Huỷ nhận đơn'!$AT$7:$AT$500="Fail"))+SUMPRODUCT(--ISNUMBER(SEARCH(", "&amp;$B72&amp;", ",", "&amp;'Giao nhận &amp; Theo dõi đơn'!$B$7:$B$500&amp;", ")),--('Giao nhận &amp; Theo dõi đơn'!$AT$7:$AT$500="Fail"))+SUMPRODUCT(--ISNUMBER(SEARCH(", "&amp;$B72&amp;", ",", "&amp;'Bảng tin &amp; Chi tiết tin'!$B$7:$B$500&amp;", ")),--('Bảng tin &amp; Chi tiết tin'!$AT$7:$AT$500="Fail"))+SUMPRODUCT(--ISNUMBER(SEARCH(", "&amp;$B72&amp;", ",", "&amp;'Quà cảm ơn'!$B$7:$B$500&amp;", ")),--('Quà cảm ơn'!$AT$7:$AT$500="Fail"))+SUMPRODUCT(--ISNUMBER(SEARCH(", "&amp;$B72&amp;", ",", "&amp;'Trang chủ'!$B$7:$B$500&amp;", ")),--('Trang chủ'!$AT$7:$AT$500="Fail"))+SUMPRODUCT(--ISNUMBER(SEARCH(", "&amp;$B72&amp;", ",", "&amp;'Thông báo'!$B$7:$B$500&amp;", ")),--('Thông báo'!$AT$7:$AT$500="Fail"))+SUMPRODUCT(--ISNUMBER(SEARCH(", "&amp;$B72&amp;", ",", "&amp;'Đăng tin &amp; Quản lý tin'!$B$7:$B$500&amp;", ")),--('Đăng tin &amp; Quản lý tin'!$AT$7:$AT$500="Fail"))+SUMPRODUCT(--ISNUMBER(SEARCH(", "&amp;$B72&amp;", ",", "&amp;'Trust &amp; Safety'!$B$7:$B$500&amp;", ")),--('Trust &amp; Safety'!$AT$7:$AT$500="Fail"))+SUMPRODUCT(--ISNUMBER(SEARCH(", "&amp;$B72&amp;", ",", "&amp;'Tài khoản &amp; Hồ sơ'!$B$7:$B$500&amp;", ")),--('Tài khoản &amp; Hồ sơ'!$AT$7:$AT$500="Fail"))</f>
        <v>2</v>
      </c>
      <c r="I72" s="51" t="n">
        <f aca="false">SUMPRODUCT(--ISNUMBER(SEARCH(", "&amp;$B72&amp;", ",", "&amp;'Hoạt động (Đơn của tôi)'!$B$7:$B$500&amp;", ")),--('Hoạt động (Đơn của tôi)'!$AT$7:$AT$500="Block"))+SUMPRODUCT(--ISNUMBER(SEARCH(", "&amp;$B72&amp;", ",", "&amp;'Ghép nối'!$B$7:$B$500&amp;", ")),--('Ghép nối'!$AT$7:$AT$500="Block"))+SUMPRODUCT(--ISNUMBER(SEARCH(", "&amp;$B72&amp;", ",", "&amp;'Huỷ đơn - Huỷ nhận đơn'!$B$7:$B$500&amp;", ")),--('Huỷ đơn - Huỷ nhận đơn'!$AT$7:$AT$500="Block"))+SUMPRODUCT(--ISNUMBER(SEARCH(", "&amp;$B72&amp;", ",", "&amp;'Giao nhận &amp; Theo dõi đơn'!$B$7:$B$500&amp;", ")),--('Giao nhận &amp; Theo dõi đơn'!$AT$7:$AT$500="Block"))+SUMPRODUCT(--ISNUMBER(SEARCH(", "&amp;$B72&amp;", ",", "&amp;'Bảng tin &amp; Chi tiết tin'!$B$7:$B$500&amp;", ")),--('Bảng tin &amp; Chi tiết tin'!$AT$7:$AT$500="Block"))+SUMPRODUCT(--ISNUMBER(SEARCH(", "&amp;$B72&amp;", ",", "&amp;'Quà cảm ơn'!$B$7:$B$500&amp;", ")),--('Quà cảm ơn'!$AT$7:$AT$500="Block"))+SUMPRODUCT(--ISNUMBER(SEARCH(", "&amp;$B72&amp;", ",", "&amp;'Trang chủ'!$B$7:$B$500&amp;", ")),--('Trang chủ'!$AT$7:$AT$500="Block"))+SUMPRODUCT(--ISNUMBER(SEARCH(", "&amp;$B72&amp;", ",", "&amp;'Thông báo'!$B$7:$B$500&amp;", ")),--('Thông báo'!$AT$7:$AT$500="Block"))+SUMPRODUCT(--ISNUMBER(SEARCH(", "&amp;$B72&amp;", ",", "&amp;'Đăng tin &amp; Quản lý tin'!$B$7:$B$500&amp;", ")),--('Đăng tin &amp; Quản lý tin'!$AT$7:$AT$500="Block"))+SUMPRODUCT(--ISNUMBER(SEARCH(", "&amp;$B72&amp;", ",", "&amp;'Trust &amp; Safety'!$B$7:$B$500&amp;", ")),--('Trust &amp; Safety'!$AT$7:$AT$500="Block"))+SUMPRODUCT(--ISNUMBER(SEARCH(", "&amp;$B72&amp;", ",", "&amp;'Tài khoản &amp; Hồ sơ'!$B$7:$B$500&amp;", ")),--('Tài khoản &amp; Hồ sơ'!$AT$7:$AT$500="Block"))</f>
        <v>0</v>
      </c>
      <c r="J72" s="51" t="n">
        <f aca="false">SUMPRODUCT(--ISNUMBER(SEARCH(", "&amp;$B72&amp;", ",", "&amp;'Hoạt động (Đơn của tôi)'!$B$7:$B$500&amp;", ")),--('Hoạt động (Đơn của tôi)'!$AT$7:$AT$500="N/A"))+SUMPRODUCT(--ISNUMBER(SEARCH(", "&amp;$B72&amp;", ",", "&amp;'Ghép nối'!$B$7:$B$500&amp;", ")),--('Ghép nối'!$AT$7:$AT$500="N/A"))+SUMPRODUCT(--ISNUMBER(SEARCH(", "&amp;$B72&amp;", ",", "&amp;'Huỷ đơn - Huỷ nhận đơn'!$B$7:$B$500&amp;", ")),--('Huỷ đơn - Huỷ nhận đơn'!$AT$7:$AT$500="N/A"))+SUMPRODUCT(--ISNUMBER(SEARCH(", "&amp;$B72&amp;", ",", "&amp;'Giao nhận &amp; Theo dõi đơn'!$B$7:$B$500&amp;", ")),--('Giao nhận &amp; Theo dõi đơn'!$AT$7:$AT$500="N/A"))+SUMPRODUCT(--ISNUMBER(SEARCH(", "&amp;$B72&amp;", ",", "&amp;'Bảng tin &amp; Chi tiết tin'!$B$7:$B$500&amp;", ")),--('Bảng tin &amp; Chi tiết tin'!$AT$7:$AT$500="N/A"))+SUMPRODUCT(--ISNUMBER(SEARCH(", "&amp;$B72&amp;", ",", "&amp;'Quà cảm ơn'!$B$7:$B$500&amp;", ")),--('Quà cảm ơn'!$AT$7:$AT$500="N/A"))+SUMPRODUCT(--ISNUMBER(SEARCH(", "&amp;$B72&amp;", ",", "&amp;'Trang chủ'!$B$7:$B$500&amp;", ")),--('Trang chủ'!$AT$7:$AT$500="N/A"))+SUMPRODUCT(--ISNUMBER(SEARCH(", "&amp;$B72&amp;", ",", "&amp;'Thông báo'!$B$7:$B$500&amp;", ")),--('Thông báo'!$AT$7:$AT$500="N/A"))+SUMPRODUCT(--ISNUMBER(SEARCH(", "&amp;$B72&amp;", ",", "&amp;'Đăng tin &amp; Quản lý tin'!$B$7:$B$500&amp;", ")),--('Đăng tin &amp; Quản lý tin'!$AT$7:$AT$500="N/A"))+SUMPRODUCT(--ISNUMBER(SEARCH(", "&amp;$B72&amp;", ",", "&amp;'Trust &amp; Safety'!$B$7:$B$500&amp;", ")),--('Trust &amp; Safety'!$AT$7:$AT$500="N/A"))+SUMPRODUCT(--ISNUMBER(SEARCH(", "&amp;$B72&amp;", ",", "&amp;'Tài khoản &amp; Hồ sơ'!$B$7:$B$500&amp;", ")),--('Tài khoản &amp; Hồ sơ'!$AT$7:$AT$500="N/A"))</f>
        <v>0</v>
      </c>
      <c r="K72" s="52" t="n">
        <f aca="false">IFERROR(F72/E72,0)</f>
        <v>1</v>
      </c>
      <c r="L72" s="124" t="str">
        <f aca="false">IF(E72=0,"Chưa có TC (gap)",IF(H72&gt;0,"Có lỗi (Fail)",IF(I72&gt;0,"Bị block",IF(F72&lt;E72,"Đang test",IF(G72=0,"Không áp dụng (N/A)","Đã test xong")))))</f>
        <v>Có lỗi (Fail)</v>
      </c>
      <c r="AB72" s="0" t="s">
        <v>539</v>
      </c>
    </row>
    <row r="73" customFormat="false" ht="15.75" hidden="false" customHeight="true" outlineLevel="0" collapsed="false">
      <c r="A73" s="1"/>
      <c r="B73" s="176" t="s">
        <v>700</v>
      </c>
      <c r="C73" s="177" t="s">
        <v>701</v>
      </c>
      <c r="D73" s="124" t="s">
        <v>702</v>
      </c>
      <c r="E73" s="51" t="n">
        <f aca="false">SUMPRODUCT(--ISNUMBER(SEARCH(", "&amp;$B73&amp;", ",", "&amp;'Hoạt động (Đơn của tôi)'!$B$7:$B$500&amp;", ")))+SUMPRODUCT(--ISNUMBER(SEARCH(", "&amp;$B73&amp;", ",", "&amp;'Ghép nối'!$B$7:$B$500&amp;", ")))+SUMPRODUCT(--ISNUMBER(SEARCH(", "&amp;$B73&amp;", ",", "&amp;'Huỷ đơn - Huỷ nhận đơn'!$B$7:$B$500&amp;", ")))+SUMPRODUCT(--ISNUMBER(SEARCH(", "&amp;$B73&amp;", ",", "&amp;'Giao nhận &amp; Theo dõi đơn'!$B$7:$B$500&amp;", ")))+SUMPRODUCT(--ISNUMBER(SEARCH(", "&amp;$B73&amp;", ",", "&amp;'Bảng tin &amp; Chi tiết tin'!$B$7:$B$500&amp;", ")))+SUMPRODUCT(--ISNUMBER(SEARCH(", "&amp;$B73&amp;", ",", "&amp;'Quà cảm ơn'!$B$7:$B$500&amp;", ")))+SUMPRODUCT(--ISNUMBER(SEARCH(", "&amp;$B73&amp;", ",", "&amp;'Trang chủ'!$B$7:$B$500&amp;", ")))+SUMPRODUCT(--ISNUMBER(SEARCH(", "&amp;$B73&amp;", ",", "&amp;'Thông báo'!$B$7:$B$500&amp;", ")))+SUMPRODUCT(--ISNUMBER(SEARCH(", "&amp;$B73&amp;", ",", "&amp;'Đăng tin &amp; Quản lý tin'!$B$7:$B$500&amp;", ")))+SUMPRODUCT(--ISNUMBER(SEARCH(", "&amp;$B73&amp;", ",", "&amp;'Trust &amp; Safety'!$B$7:$B$500&amp;", ")))+SUMPRODUCT(--ISNUMBER(SEARCH(", "&amp;$B73&amp;", ",", "&amp;'Tài khoản &amp; Hồ sơ'!$B$7:$B$500&amp;", ")))</f>
        <v>2</v>
      </c>
      <c r="F73" s="51" t="n">
        <f aca="false">SUMPRODUCT(--ISNUMBER(SEARCH(", "&amp;$B73&amp;", ",", "&amp;'Hoạt động (Đơn của tôi)'!$B$7:$B$500&amp;", ")),--('Hoạt động (Đơn của tôi)'!$AT$7:$AT$500&lt;&gt;""))+SUMPRODUCT(--ISNUMBER(SEARCH(", "&amp;$B73&amp;", ",", "&amp;'Ghép nối'!$B$7:$B$500&amp;", ")),--('Ghép nối'!$AT$7:$AT$500&lt;&gt;""))+SUMPRODUCT(--ISNUMBER(SEARCH(", "&amp;$B73&amp;", ",", "&amp;'Huỷ đơn - Huỷ nhận đơn'!$B$7:$B$500&amp;", ")),--('Huỷ đơn - Huỷ nhận đơn'!$AT$7:$AT$500&lt;&gt;""))+SUMPRODUCT(--ISNUMBER(SEARCH(", "&amp;$B73&amp;", ",", "&amp;'Giao nhận &amp; Theo dõi đơn'!$B$7:$B$500&amp;", ")),--('Giao nhận &amp; Theo dõi đơn'!$AT$7:$AT$500&lt;&gt;""))+SUMPRODUCT(--ISNUMBER(SEARCH(", "&amp;$B73&amp;", ",", "&amp;'Bảng tin &amp; Chi tiết tin'!$B$7:$B$500&amp;", ")),--('Bảng tin &amp; Chi tiết tin'!$AT$7:$AT$500&lt;&gt;""))+SUMPRODUCT(--ISNUMBER(SEARCH(", "&amp;$B73&amp;", ",", "&amp;'Quà cảm ơn'!$B$7:$B$500&amp;", ")),--('Quà cảm ơn'!$AT$7:$AT$500&lt;&gt;""))+SUMPRODUCT(--ISNUMBER(SEARCH(", "&amp;$B73&amp;", ",", "&amp;'Trang chủ'!$B$7:$B$500&amp;", ")),--('Trang chủ'!$AT$7:$AT$500&lt;&gt;""))+SUMPRODUCT(--ISNUMBER(SEARCH(", "&amp;$B73&amp;", ",", "&amp;'Thông báo'!$B$7:$B$500&amp;", ")),--('Thông báo'!$AT$7:$AT$500&lt;&gt;""))+SUMPRODUCT(--ISNUMBER(SEARCH(", "&amp;$B73&amp;", ",", "&amp;'Đăng tin &amp; Quản lý tin'!$B$7:$B$500&amp;", ")),--('Đăng tin &amp; Quản lý tin'!$AT$7:$AT$500&lt;&gt;""))+SUMPRODUCT(--ISNUMBER(SEARCH(", "&amp;$B73&amp;", ",", "&amp;'Trust &amp; Safety'!$B$7:$B$500&amp;", ")),--('Trust &amp; Safety'!$AT$7:$AT$500&lt;&gt;""))+SUMPRODUCT(--ISNUMBER(SEARCH(", "&amp;$B73&amp;", ",", "&amp;'Tài khoản &amp; Hồ sơ'!$B$7:$B$500&amp;", ")),--('Tài khoản &amp; Hồ sơ'!$AT$7:$AT$500&lt;&gt;""))</f>
        <v>2</v>
      </c>
      <c r="G73" s="51" t="n">
        <f aca="false">SUMPRODUCT(--ISNUMBER(SEARCH(", "&amp;$B73&amp;", ",", "&amp;'Hoạt động (Đơn của tôi)'!$B$7:$B$500&amp;", ")),--('Hoạt động (Đơn của tôi)'!$AT$7:$AT$500="Pass"))+SUMPRODUCT(--ISNUMBER(SEARCH(", "&amp;$B73&amp;", ",", "&amp;'Ghép nối'!$B$7:$B$500&amp;", ")),--('Ghép nối'!$AT$7:$AT$500="Pass"))+SUMPRODUCT(--ISNUMBER(SEARCH(", "&amp;$B73&amp;", ",", "&amp;'Huỷ đơn - Huỷ nhận đơn'!$B$7:$B$500&amp;", ")),--('Huỷ đơn - Huỷ nhận đơn'!$AT$7:$AT$500="Pass"))+SUMPRODUCT(--ISNUMBER(SEARCH(", "&amp;$B73&amp;", ",", "&amp;'Giao nhận &amp; Theo dõi đơn'!$B$7:$B$500&amp;", ")),--('Giao nhận &amp; Theo dõi đơn'!$AT$7:$AT$500="Pass"))+SUMPRODUCT(--ISNUMBER(SEARCH(", "&amp;$B73&amp;", ",", "&amp;'Bảng tin &amp; Chi tiết tin'!$B$7:$B$500&amp;", ")),--('Bảng tin &amp; Chi tiết tin'!$AT$7:$AT$500="Pass"))+SUMPRODUCT(--ISNUMBER(SEARCH(", "&amp;$B73&amp;", ",", "&amp;'Quà cảm ơn'!$B$7:$B$500&amp;", ")),--('Quà cảm ơn'!$AT$7:$AT$500="Pass"))+SUMPRODUCT(--ISNUMBER(SEARCH(", "&amp;$B73&amp;", ",", "&amp;'Trang chủ'!$B$7:$B$500&amp;", ")),--('Trang chủ'!$AT$7:$AT$500="Pass"))+SUMPRODUCT(--ISNUMBER(SEARCH(", "&amp;$B73&amp;", ",", "&amp;'Thông báo'!$B$7:$B$500&amp;", ")),--('Thông báo'!$AT$7:$AT$500="Pass"))+SUMPRODUCT(--ISNUMBER(SEARCH(", "&amp;$B73&amp;", ",", "&amp;'Đăng tin &amp; Quản lý tin'!$B$7:$B$500&amp;", ")),--('Đăng tin &amp; Quản lý tin'!$AT$7:$AT$500="Pass"))+SUMPRODUCT(--ISNUMBER(SEARCH(", "&amp;$B73&amp;", ",", "&amp;'Trust &amp; Safety'!$B$7:$B$500&amp;", ")),--('Trust &amp; Safety'!$AT$7:$AT$500="Pass"))+SUMPRODUCT(--ISNUMBER(SEARCH(", "&amp;$B73&amp;", ",", "&amp;'Tài khoản &amp; Hồ sơ'!$B$7:$B$500&amp;", ")),--('Tài khoản &amp; Hồ sơ'!$AT$7:$AT$500="Pass"))</f>
        <v>2</v>
      </c>
      <c r="H73" s="51" t="n">
        <f aca="false">SUMPRODUCT(--ISNUMBER(SEARCH(", "&amp;$B73&amp;", ",", "&amp;'Hoạt động (Đơn của tôi)'!$B$7:$B$500&amp;", ")),--('Hoạt động (Đơn của tôi)'!$AT$7:$AT$500="Fail"))+SUMPRODUCT(--ISNUMBER(SEARCH(", "&amp;$B73&amp;", ",", "&amp;'Ghép nối'!$B$7:$B$500&amp;", ")),--('Ghép nối'!$AT$7:$AT$500="Fail"))+SUMPRODUCT(--ISNUMBER(SEARCH(", "&amp;$B73&amp;", ",", "&amp;'Huỷ đơn - Huỷ nhận đơn'!$B$7:$B$500&amp;", ")),--('Huỷ đơn - Huỷ nhận đơn'!$AT$7:$AT$500="Fail"))+SUMPRODUCT(--ISNUMBER(SEARCH(", "&amp;$B73&amp;", ",", "&amp;'Giao nhận &amp; Theo dõi đơn'!$B$7:$B$500&amp;", ")),--('Giao nhận &amp; Theo dõi đơn'!$AT$7:$AT$500="Fail"))+SUMPRODUCT(--ISNUMBER(SEARCH(", "&amp;$B73&amp;", ",", "&amp;'Bảng tin &amp; Chi tiết tin'!$B$7:$B$500&amp;", ")),--('Bảng tin &amp; Chi tiết tin'!$AT$7:$AT$500="Fail"))+SUMPRODUCT(--ISNUMBER(SEARCH(", "&amp;$B73&amp;", ",", "&amp;'Quà cảm ơn'!$B$7:$B$500&amp;", ")),--('Quà cảm ơn'!$AT$7:$AT$500="Fail"))+SUMPRODUCT(--ISNUMBER(SEARCH(", "&amp;$B73&amp;", ",", "&amp;'Trang chủ'!$B$7:$B$500&amp;", ")),--('Trang chủ'!$AT$7:$AT$500="Fail"))+SUMPRODUCT(--ISNUMBER(SEARCH(", "&amp;$B73&amp;", ",", "&amp;'Thông báo'!$B$7:$B$500&amp;", ")),--('Thông báo'!$AT$7:$AT$500="Fail"))+SUMPRODUCT(--ISNUMBER(SEARCH(", "&amp;$B73&amp;", ",", "&amp;'Đăng tin &amp; Quản lý tin'!$B$7:$B$500&amp;", ")),--('Đăng tin &amp; Quản lý tin'!$AT$7:$AT$500="Fail"))+SUMPRODUCT(--ISNUMBER(SEARCH(", "&amp;$B73&amp;", ",", "&amp;'Trust &amp; Safety'!$B$7:$B$500&amp;", ")),--('Trust &amp; Safety'!$AT$7:$AT$500="Fail"))+SUMPRODUCT(--ISNUMBER(SEARCH(", "&amp;$B73&amp;", ",", "&amp;'Tài khoản &amp; Hồ sơ'!$B$7:$B$500&amp;", ")),--('Tài khoản &amp; Hồ sơ'!$AT$7:$AT$500="Fail"))</f>
        <v>0</v>
      </c>
      <c r="I73" s="51" t="n">
        <f aca="false">SUMPRODUCT(--ISNUMBER(SEARCH(", "&amp;$B73&amp;", ",", "&amp;'Hoạt động (Đơn của tôi)'!$B$7:$B$500&amp;", ")),--('Hoạt động (Đơn của tôi)'!$AT$7:$AT$500="Block"))+SUMPRODUCT(--ISNUMBER(SEARCH(", "&amp;$B73&amp;", ",", "&amp;'Ghép nối'!$B$7:$B$500&amp;", ")),--('Ghép nối'!$AT$7:$AT$500="Block"))+SUMPRODUCT(--ISNUMBER(SEARCH(", "&amp;$B73&amp;", ",", "&amp;'Huỷ đơn - Huỷ nhận đơn'!$B$7:$B$500&amp;", ")),--('Huỷ đơn - Huỷ nhận đơn'!$AT$7:$AT$500="Block"))+SUMPRODUCT(--ISNUMBER(SEARCH(", "&amp;$B73&amp;", ",", "&amp;'Giao nhận &amp; Theo dõi đơn'!$B$7:$B$500&amp;", ")),--('Giao nhận &amp; Theo dõi đơn'!$AT$7:$AT$500="Block"))+SUMPRODUCT(--ISNUMBER(SEARCH(", "&amp;$B73&amp;", ",", "&amp;'Bảng tin &amp; Chi tiết tin'!$B$7:$B$500&amp;", ")),--('Bảng tin &amp; Chi tiết tin'!$AT$7:$AT$500="Block"))+SUMPRODUCT(--ISNUMBER(SEARCH(", "&amp;$B73&amp;", ",", "&amp;'Quà cảm ơn'!$B$7:$B$500&amp;", ")),--('Quà cảm ơn'!$AT$7:$AT$500="Block"))+SUMPRODUCT(--ISNUMBER(SEARCH(", "&amp;$B73&amp;", ",", "&amp;'Trang chủ'!$B$7:$B$500&amp;", ")),--('Trang chủ'!$AT$7:$AT$500="Block"))+SUMPRODUCT(--ISNUMBER(SEARCH(", "&amp;$B73&amp;", ",", "&amp;'Thông báo'!$B$7:$B$500&amp;", ")),--('Thông báo'!$AT$7:$AT$500="Block"))+SUMPRODUCT(--ISNUMBER(SEARCH(", "&amp;$B73&amp;", ",", "&amp;'Đăng tin &amp; Quản lý tin'!$B$7:$B$500&amp;", ")),--('Đăng tin &amp; Quản lý tin'!$AT$7:$AT$500="Block"))+SUMPRODUCT(--ISNUMBER(SEARCH(", "&amp;$B73&amp;", ",", "&amp;'Trust &amp; Safety'!$B$7:$B$500&amp;", ")),--('Trust &amp; Safety'!$AT$7:$AT$500="Block"))+SUMPRODUCT(--ISNUMBER(SEARCH(", "&amp;$B73&amp;", ",", "&amp;'Tài khoản &amp; Hồ sơ'!$B$7:$B$500&amp;", ")),--('Tài khoản &amp; Hồ sơ'!$AT$7:$AT$500="Block"))</f>
        <v>0</v>
      </c>
      <c r="J73" s="51" t="n">
        <f aca="false">SUMPRODUCT(--ISNUMBER(SEARCH(", "&amp;$B73&amp;", ",", "&amp;'Hoạt động (Đơn của tôi)'!$B$7:$B$500&amp;", ")),--('Hoạt động (Đơn của tôi)'!$AT$7:$AT$500="N/A"))+SUMPRODUCT(--ISNUMBER(SEARCH(", "&amp;$B73&amp;", ",", "&amp;'Ghép nối'!$B$7:$B$500&amp;", ")),--('Ghép nối'!$AT$7:$AT$500="N/A"))+SUMPRODUCT(--ISNUMBER(SEARCH(", "&amp;$B73&amp;", ",", "&amp;'Huỷ đơn - Huỷ nhận đơn'!$B$7:$B$500&amp;", ")),--('Huỷ đơn - Huỷ nhận đơn'!$AT$7:$AT$500="N/A"))+SUMPRODUCT(--ISNUMBER(SEARCH(", "&amp;$B73&amp;", ",", "&amp;'Giao nhận &amp; Theo dõi đơn'!$B$7:$B$500&amp;", ")),--('Giao nhận &amp; Theo dõi đơn'!$AT$7:$AT$500="N/A"))+SUMPRODUCT(--ISNUMBER(SEARCH(", "&amp;$B73&amp;", ",", "&amp;'Bảng tin &amp; Chi tiết tin'!$B$7:$B$500&amp;", ")),--('Bảng tin &amp; Chi tiết tin'!$AT$7:$AT$500="N/A"))+SUMPRODUCT(--ISNUMBER(SEARCH(", "&amp;$B73&amp;", ",", "&amp;'Quà cảm ơn'!$B$7:$B$500&amp;", ")),--('Quà cảm ơn'!$AT$7:$AT$500="N/A"))+SUMPRODUCT(--ISNUMBER(SEARCH(", "&amp;$B73&amp;", ",", "&amp;'Trang chủ'!$B$7:$B$500&amp;", ")),--('Trang chủ'!$AT$7:$AT$500="N/A"))+SUMPRODUCT(--ISNUMBER(SEARCH(", "&amp;$B73&amp;", ",", "&amp;'Thông báo'!$B$7:$B$500&amp;", ")),--('Thông báo'!$AT$7:$AT$500="N/A"))+SUMPRODUCT(--ISNUMBER(SEARCH(", "&amp;$B73&amp;", ",", "&amp;'Đăng tin &amp; Quản lý tin'!$B$7:$B$500&amp;", ")),--('Đăng tin &amp; Quản lý tin'!$AT$7:$AT$500="N/A"))+SUMPRODUCT(--ISNUMBER(SEARCH(", "&amp;$B73&amp;", ",", "&amp;'Trust &amp; Safety'!$B$7:$B$500&amp;", ")),--('Trust &amp; Safety'!$AT$7:$AT$500="N/A"))+SUMPRODUCT(--ISNUMBER(SEARCH(", "&amp;$B73&amp;", ",", "&amp;'Tài khoản &amp; Hồ sơ'!$B$7:$B$500&amp;", ")),--('Tài khoản &amp; Hồ sơ'!$AT$7:$AT$500="N/A"))</f>
        <v>0</v>
      </c>
      <c r="K73" s="52" t="n">
        <f aca="false">IFERROR(F73/E73,0)</f>
        <v>1</v>
      </c>
      <c r="L73" s="124" t="str">
        <f aca="false">IF(E73=0,"Chưa có TC (gap)",IF(H73&gt;0,"Có lỗi (Fail)",IF(I73&gt;0,"Bị block",IF(F73&lt;E73,"Đang test",IF(G73=0,"Không áp dụng (N/A)","Đã test xong")))))</f>
        <v>Đã test xong</v>
      </c>
      <c r="AB73" s="0" t="s">
        <v>539</v>
      </c>
    </row>
    <row r="74" customFormat="false" ht="15.75" hidden="false" customHeight="true" outlineLevel="0" collapsed="false">
      <c r="A74" s="1"/>
      <c r="B74" s="176" t="s">
        <v>703</v>
      </c>
      <c r="C74" s="177" t="s">
        <v>704</v>
      </c>
      <c r="D74" s="124" t="s">
        <v>705</v>
      </c>
      <c r="E74" s="51" t="n">
        <f aca="false">SUMPRODUCT(--ISNUMBER(SEARCH(", "&amp;$B74&amp;", ",", "&amp;'Hoạt động (Đơn của tôi)'!$B$7:$B$500&amp;", ")))+SUMPRODUCT(--ISNUMBER(SEARCH(", "&amp;$B74&amp;", ",", "&amp;'Ghép nối'!$B$7:$B$500&amp;", ")))+SUMPRODUCT(--ISNUMBER(SEARCH(", "&amp;$B74&amp;", ",", "&amp;'Huỷ đơn - Huỷ nhận đơn'!$B$7:$B$500&amp;", ")))+SUMPRODUCT(--ISNUMBER(SEARCH(", "&amp;$B74&amp;", ",", "&amp;'Giao nhận &amp; Theo dõi đơn'!$B$7:$B$500&amp;", ")))+SUMPRODUCT(--ISNUMBER(SEARCH(", "&amp;$B74&amp;", ",", "&amp;'Bảng tin &amp; Chi tiết tin'!$B$7:$B$500&amp;", ")))+SUMPRODUCT(--ISNUMBER(SEARCH(", "&amp;$B74&amp;", ",", "&amp;'Quà cảm ơn'!$B$7:$B$500&amp;", ")))+SUMPRODUCT(--ISNUMBER(SEARCH(", "&amp;$B74&amp;", ",", "&amp;'Trang chủ'!$B$7:$B$500&amp;", ")))+SUMPRODUCT(--ISNUMBER(SEARCH(", "&amp;$B74&amp;", ",", "&amp;'Thông báo'!$B$7:$B$500&amp;", ")))+SUMPRODUCT(--ISNUMBER(SEARCH(", "&amp;$B74&amp;", ",", "&amp;'Đăng tin &amp; Quản lý tin'!$B$7:$B$500&amp;", ")))+SUMPRODUCT(--ISNUMBER(SEARCH(", "&amp;$B74&amp;", ",", "&amp;'Trust &amp; Safety'!$B$7:$B$500&amp;", ")))+SUMPRODUCT(--ISNUMBER(SEARCH(", "&amp;$B74&amp;", ",", "&amp;'Tài khoản &amp; Hồ sơ'!$B$7:$B$500&amp;", ")))</f>
        <v>2</v>
      </c>
      <c r="F74" s="51" t="n">
        <f aca="false">SUMPRODUCT(--ISNUMBER(SEARCH(", "&amp;$B74&amp;", ",", "&amp;'Hoạt động (Đơn của tôi)'!$B$7:$B$500&amp;", ")),--('Hoạt động (Đơn của tôi)'!$AT$7:$AT$500&lt;&gt;""))+SUMPRODUCT(--ISNUMBER(SEARCH(", "&amp;$B74&amp;", ",", "&amp;'Ghép nối'!$B$7:$B$500&amp;", ")),--('Ghép nối'!$AT$7:$AT$500&lt;&gt;""))+SUMPRODUCT(--ISNUMBER(SEARCH(", "&amp;$B74&amp;", ",", "&amp;'Huỷ đơn - Huỷ nhận đơn'!$B$7:$B$500&amp;", ")),--('Huỷ đơn - Huỷ nhận đơn'!$AT$7:$AT$500&lt;&gt;""))+SUMPRODUCT(--ISNUMBER(SEARCH(", "&amp;$B74&amp;", ",", "&amp;'Giao nhận &amp; Theo dõi đơn'!$B$7:$B$500&amp;", ")),--('Giao nhận &amp; Theo dõi đơn'!$AT$7:$AT$500&lt;&gt;""))+SUMPRODUCT(--ISNUMBER(SEARCH(", "&amp;$B74&amp;", ",", "&amp;'Bảng tin &amp; Chi tiết tin'!$B$7:$B$500&amp;", ")),--('Bảng tin &amp; Chi tiết tin'!$AT$7:$AT$500&lt;&gt;""))+SUMPRODUCT(--ISNUMBER(SEARCH(", "&amp;$B74&amp;", ",", "&amp;'Quà cảm ơn'!$B$7:$B$500&amp;", ")),--('Quà cảm ơn'!$AT$7:$AT$500&lt;&gt;""))+SUMPRODUCT(--ISNUMBER(SEARCH(", "&amp;$B74&amp;", ",", "&amp;'Trang chủ'!$B$7:$B$500&amp;", ")),--('Trang chủ'!$AT$7:$AT$500&lt;&gt;""))+SUMPRODUCT(--ISNUMBER(SEARCH(", "&amp;$B74&amp;", ",", "&amp;'Thông báo'!$B$7:$B$500&amp;", ")),--('Thông báo'!$AT$7:$AT$500&lt;&gt;""))+SUMPRODUCT(--ISNUMBER(SEARCH(", "&amp;$B74&amp;", ",", "&amp;'Đăng tin &amp; Quản lý tin'!$B$7:$B$500&amp;", ")),--('Đăng tin &amp; Quản lý tin'!$AT$7:$AT$500&lt;&gt;""))+SUMPRODUCT(--ISNUMBER(SEARCH(", "&amp;$B74&amp;", ",", "&amp;'Trust &amp; Safety'!$B$7:$B$500&amp;", ")),--('Trust &amp; Safety'!$AT$7:$AT$500&lt;&gt;""))+SUMPRODUCT(--ISNUMBER(SEARCH(", "&amp;$B74&amp;", ",", "&amp;'Tài khoản &amp; Hồ sơ'!$B$7:$B$500&amp;", ")),--('Tài khoản &amp; Hồ sơ'!$AT$7:$AT$500&lt;&gt;""))</f>
        <v>2</v>
      </c>
      <c r="G74" s="51" t="n">
        <f aca="false">SUMPRODUCT(--ISNUMBER(SEARCH(", "&amp;$B74&amp;", ",", "&amp;'Hoạt động (Đơn của tôi)'!$B$7:$B$500&amp;", ")),--('Hoạt động (Đơn của tôi)'!$AT$7:$AT$500="Pass"))+SUMPRODUCT(--ISNUMBER(SEARCH(", "&amp;$B74&amp;", ",", "&amp;'Ghép nối'!$B$7:$B$500&amp;", ")),--('Ghép nối'!$AT$7:$AT$500="Pass"))+SUMPRODUCT(--ISNUMBER(SEARCH(", "&amp;$B74&amp;", ",", "&amp;'Huỷ đơn - Huỷ nhận đơn'!$B$7:$B$500&amp;", ")),--('Huỷ đơn - Huỷ nhận đơn'!$AT$7:$AT$500="Pass"))+SUMPRODUCT(--ISNUMBER(SEARCH(", "&amp;$B74&amp;", ",", "&amp;'Giao nhận &amp; Theo dõi đơn'!$B$7:$B$500&amp;", ")),--('Giao nhận &amp; Theo dõi đơn'!$AT$7:$AT$500="Pass"))+SUMPRODUCT(--ISNUMBER(SEARCH(", "&amp;$B74&amp;", ",", "&amp;'Bảng tin &amp; Chi tiết tin'!$B$7:$B$500&amp;", ")),--('Bảng tin &amp; Chi tiết tin'!$AT$7:$AT$500="Pass"))+SUMPRODUCT(--ISNUMBER(SEARCH(", "&amp;$B74&amp;", ",", "&amp;'Quà cảm ơn'!$B$7:$B$500&amp;", ")),--('Quà cảm ơn'!$AT$7:$AT$500="Pass"))+SUMPRODUCT(--ISNUMBER(SEARCH(", "&amp;$B74&amp;", ",", "&amp;'Trang chủ'!$B$7:$B$500&amp;", ")),--('Trang chủ'!$AT$7:$AT$500="Pass"))+SUMPRODUCT(--ISNUMBER(SEARCH(", "&amp;$B74&amp;", ",", "&amp;'Thông báo'!$B$7:$B$500&amp;", ")),--('Thông báo'!$AT$7:$AT$500="Pass"))+SUMPRODUCT(--ISNUMBER(SEARCH(", "&amp;$B74&amp;", ",", "&amp;'Đăng tin &amp; Quản lý tin'!$B$7:$B$500&amp;", ")),--('Đăng tin &amp; Quản lý tin'!$AT$7:$AT$500="Pass"))+SUMPRODUCT(--ISNUMBER(SEARCH(", "&amp;$B74&amp;", ",", "&amp;'Trust &amp; Safety'!$B$7:$B$500&amp;", ")),--('Trust &amp; Safety'!$AT$7:$AT$500="Pass"))+SUMPRODUCT(--ISNUMBER(SEARCH(", "&amp;$B74&amp;", ",", "&amp;'Tài khoản &amp; Hồ sơ'!$B$7:$B$500&amp;", ")),--('Tài khoản &amp; Hồ sơ'!$AT$7:$AT$500="Pass"))</f>
        <v>1</v>
      </c>
      <c r="H74" s="51" t="n">
        <f aca="false">SUMPRODUCT(--ISNUMBER(SEARCH(", "&amp;$B74&amp;", ",", "&amp;'Hoạt động (Đơn của tôi)'!$B$7:$B$500&amp;", ")),--('Hoạt động (Đơn của tôi)'!$AT$7:$AT$500="Fail"))+SUMPRODUCT(--ISNUMBER(SEARCH(", "&amp;$B74&amp;", ",", "&amp;'Ghép nối'!$B$7:$B$500&amp;", ")),--('Ghép nối'!$AT$7:$AT$500="Fail"))+SUMPRODUCT(--ISNUMBER(SEARCH(", "&amp;$B74&amp;", ",", "&amp;'Huỷ đơn - Huỷ nhận đơn'!$B$7:$B$500&amp;", ")),--('Huỷ đơn - Huỷ nhận đơn'!$AT$7:$AT$500="Fail"))+SUMPRODUCT(--ISNUMBER(SEARCH(", "&amp;$B74&amp;", ",", "&amp;'Giao nhận &amp; Theo dõi đơn'!$B$7:$B$500&amp;", ")),--('Giao nhận &amp; Theo dõi đơn'!$AT$7:$AT$500="Fail"))+SUMPRODUCT(--ISNUMBER(SEARCH(", "&amp;$B74&amp;", ",", "&amp;'Bảng tin &amp; Chi tiết tin'!$B$7:$B$500&amp;", ")),--('Bảng tin &amp; Chi tiết tin'!$AT$7:$AT$500="Fail"))+SUMPRODUCT(--ISNUMBER(SEARCH(", "&amp;$B74&amp;", ",", "&amp;'Quà cảm ơn'!$B$7:$B$500&amp;", ")),--('Quà cảm ơn'!$AT$7:$AT$500="Fail"))+SUMPRODUCT(--ISNUMBER(SEARCH(", "&amp;$B74&amp;", ",", "&amp;'Trang chủ'!$B$7:$B$500&amp;", ")),--('Trang chủ'!$AT$7:$AT$500="Fail"))+SUMPRODUCT(--ISNUMBER(SEARCH(", "&amp;$B74&amp;", ",", "&amp;'Thông báo'!$B$7:$B$500&amp;", ")),--('Thông báo'!$AT$7:$AT$500="Fail"))+SUMPRODUCT(--ISNUMBER(SEARCH(", "&amp;$B74&amp;", ",", "&amp;'Đăng tin &amp; Quản lý tin'!$B$7:$B$500&amp;", ")),--('Đăng tin &amp; Quản lý tin'!$AT$7:$AT$500="Fail"))+SUMPRODUCT(--ISNUMBER(SEARCH(", "&amp;$B74&amp;", ",", "&amp;'Trust &amp; Safety'!$B$7:$B$500&amp;", ")),--('Trust &amp; Safety'!$AT$7:$AT$500="Fail"))+SUMPRODUCT(--ISNUMBER(SEARCH(", "&amp;$B74&amp;", ",", "&amp;'Tài khoản &amp; Hồ sơ'!$B$7:$B$500&amp;", ")),--('Tài khoản &amp; Hồ sơ'!$AT$7:$AT$500="Fail"))</f>
        <v>1</v>
      </c>
      <c r="I74" s="51" t="n">
        <f aca="false">SUMPRODUCT(--ISNUMBER(SEARCH(", "&amp;$B74&amp;", ",", "&amp;'Hoạt động (Đơn của tôi)'!$B$7:$B$500&amp;", ")),--('Hoạt động (Đơn của tôi)'!$AT$7:$AT$500="Block"))+SUMPRODUCT(--ISNUMBER(SEARCH(", "&amp;$B74&amp;", ",", "&amp;'Ghép nối'!$B$7:$B$500&amp;", ")),--('Ghép nối'!$AT$7:$AT$500="Block"))+SUMPRODUCT(--ISNUMBER(SEARCH(", "&amp;$B74&amp;", ",", "&amp;'Huỷ đơn - Huỷ nhận đơn'!$B$7:$B$500&amp;", ")),--('Huỷ đơn - Huỷ nhận đơn'!$AT$7:$AT$500="Block"))+SUMPRODUCT(--ISNUMBER(SEARCH(", "&amp;$B74&amp;", ",", "&amp;'Giao nhận &amp; Theo dõi đơn'!$B$7:$B$500&amp;", ")),--('Giao nhận &amp; Theo dõi đơn'!$AT$7:$AT$500="Block"))+SUMPRODUCT(--ISNUMBER(SEARCH(", "&amp;$B74&amp;", ",", "&amp;'Bảng tin &amp; Chi tiết tin'!$B$7:$B$500&amp;", ")),--('Bảng tin &amp; Chi tiết tin'!$AT$7:$AT$500="Block"))+SUMPRODUCT(--ISNUMBER(SEARCH(", "&amp;$B74&amp;", ",", "&amp;'Quà cảm ơn'!$B$7:$B$500&amp;", ")),--('Quà cảm ơn'!$AT$7:$AT$500="Block"))+SUMPRODUCT(--ISNUMBER(SEARCH(", "&amp;$B74&amp;", ",", "&amp;'Trang chủ'!$B$7:$B$500&amp;", ")),--('Trang chủ'!$AT$7:$AT$500="Block"))+SUMPRODUCT(--ISNUMBER(SEARCH(", "&amp;$B74&amp;", ",", "&amp;'Thông báo'!$B$7:$B$500&amp;", ")),--('Thông báo'!$AT$7:$AT$500="Block"))+SUMPRODUCT(--ISNUMBER(SEARCH(", "&amp;$B74&amp;", ",", "&amp;'Đăng tin &amp; Quản lý tin'!$B$7:$B$500&amp;", ")),--('Đăng tin &amp; Quản lý tin'!$AT$7:$AT$500="Block"))+SUMPRODUCT(--ISNUMBER(SEARCH(", "&amp;$B74&amp;", ",", "&amp;'Trust &amp; Safety'!$B$7:$B$500&amp;", ")),--('Trust &amp; Safety'!$AT$7:$AT$500="Block"))+SUMPRODUCT(--ISNUMBER(SEARCH(", "&amp;$B74&amp;", ",", "&amp;'Tài khoản &amp; Hồ sơ'!$B$7:$B$500&amp;", ")),--('Tài khoản &amp; Hồ sơ'!$AT$7:$AT$500="Block"))</f>
        <v>0</v>
      </c>
      <c r="J74" s="51" t="n">
        <f aca="false">SUMPRODUCT(--ISNUMBER(SEARCH(", "&amp;$B74&amp;", ",", "&amp;'Hoạt động (Đơn của tôi)'!$B$7:$B$500&amp;", ")),--('Hoạt động (Đơn của tôi)'!$AT$7:$AT$500="N/A"))+SUMPRODUCT(--ISNUMBER(SEARCH(", "&amp;$B74&amp;", ",", "&amp;'Ghép nối'!$B$7:$B$500&amp;", ")),--('Ghép nối'!$AT$7:$AT$500="N/A"))+SUMPRODUCT(--ISNUMBER(SEARCH(", "&amp;$B74&amp;", ",", "&amp;'Huỷ đơn - Huỷ nhận đơn'!$B$7:$B$500&amp;", ")),--('Huỷ đơn - Huỷ nhận đơn'!$AT$7:$AT$500="N/A"))+SUMPRODUCT(--ISNUMBER(SEARCH(", "&amp;$B74&amp;", ",", "&amp;'Giao nhận &amp; Theo dõi đơn'!$B$7:$B$500&amp;", ")),--('Giao nhận &amp; Theo dõi đơn'!$AT$7:$AT$500="N/A"))+SUMPRODUCT(--ISNUMBER(SEARCH(", "&amp;$B74&amp;", ",", "&amp;'Bảng tin &amp; Chi tiết tin'!$B$7:$B$500&amp;", ")),--('Bảng tin &amp; Chi tiết tin'!$AT$7:$AT$500="N/A"))+SUMPRODUCT(--ISNUMBER(SEARCH(", "&amp;$B74&amp;", ",", "&amp;'Quà cảm ơn'!$B$7:$B$500&amp;", ")),--('Quà cảm ơn'!$AT$7:$AT$500="N/A"))+SUMPRODUCT(--ISNUMBER(SEARCH(", "&amp;$B74&amp;", ",", "&amp;'Trang chủ'!$B$7:$B$500&amp;", ")),--('Trang chủ'!$AT$7:$AT$500="N/A"))+SUMPRODUCT(--ISNUMBER(SEARCH(", "&amp;$B74&amp;", ",", "&amp;'Thông báo'!$B$7:$B$500&amp;", ")),--('Thông báo'!$AT$7:$AT$500="N/A"))+SUMPRODUCT(--ISNUMBER(SEARCH(", "&amp;$B74&amp;", ",", "&amp;'Đăng tin &amp; Quản lý tin'!$B$7:$B$500&amp;", ")),--('Đăng tin &amp; Quản lý tin'!$AT$7:$AT$500="N/A"))+SUMPRODUCT(--ISNUMBER(SEARCH(", "&amp;$B74&amp;", ",", "&amp;'Trust &amp; Safety'!$B$7:$B$500&amp;", ")),--('Trust &amp; Safety'!$AT$7:$AT$500="N/A"))+SUMPRODUCT(--ISNUMBER(SEARCH(", "&amp;$B74&amp;", ",", "&amp;'Tài khoản &amp; Hồ sơ'!$B$7:$B$500&amp;", ")),--('Tài khoản &amp; Hồ sơ'!$AT$7:$AT$500="N/A"))</f>
        <v>0</v>
      </c>
      <c r="K74" s="52" t="n">
        <f aca="false">IFERROR(F74/E74,0)</f>
        <v>1</v>
      </c>
      <c r="L74" s="124" t="str">
        <f aca="false">IF(E74=0,"Chưa có TC (gap)",IF(H74&gt;0,"Có lỗi (Fail)",IF(I74&gt;0,"Bị block",IF(F74&lt;E74,"Đang test",IF(G74=0,"Không áp dụng (N/A)","Đã test xong")))))</f>
        <v>Có lỗi (Fail)</v>
      </c>
      <c r="AB74" s="0" t="s">
        <v>539</v>
      </c>
    </row>
    <row r="75" customFormat="false" ht="15.75" hidden="false" customHeight="true" outlineLevel="0" collapsed="false">
      <c r="A75" s="1"/>
      <c r="B75" s="176" t="s">
        <v>706</v>
      </c>
      <c r="C75" s="177" t="s">
        <v>707</v>
      </c>
      <c r="D75" s="124" t="s">
        <v>708</v>
      </c>
      <c r="E75" s="51" t="n">
        <f aca="false">SUMPRODUCT(--ISNUMBER(SEARCH(", "&amp;$B75&amp;", ",", "&amp;'Hoạt động (Đơn của tôi)'!$B$7:$B$500&amp;", ")))+SUMPRODUCT(--ISNUMBER(SEARCH(", "&amp;$B75&amp;", ",", "&amp;'Ghép nối'!$B$7:$B$500&amp;", ")))+SUMPRODUCT(--ISNUMBER(SEARCH(", "&amp;$B75&amp;", ",", "&amp;'Huỷ đơn - Huỷ nhận đơn'!$B$7:$B$500&amp;", ")))+SUMPRODUCT(--ISNUMBER(SEARCH(", "&amp;$B75&amp;", ",", "&amp;'Giao nhận &amp; Theo dõi đơn'!$B$7:$B$500&amp;", ")))+SUMPRODUCT(--ISNUMBER(SEARCH(", "&amp;$B75&amp;", ",", "&amp;'Bảng tin &amp; Chi tiết tin'!$B$7:$B$500&amp;", ")))+SUMPRODUCT(--ISNUMBER(SEARCH(", "&amp;$B75&amp;", ",", "&amp;'Quà cảm ơn'!$B$7:$B$500&amp;", ")))+SUMPRODUCT(--ISNUMBER(SEARCH(", "&amp;$B75&amp;", ",", "&amp;'Trang chủ'!$B$7:$B$500&amp;", ")))+SUMPRODUCT(--ISNUMBER(SEARCH(", "&amp;$B75&amp;", ",", "&amp;'Thông báo'!$B$7:$B$500&amp;", ")))+SUMPRODUCT(--ISNUMBER(SEARCH(", "&amp;$B75&amp;", ",", "&amp;'Đăng tin &amp; Quản lý tin'!$B$7:$B$500&amp;", ")))+SUMPRODUCT(--ISNUMBER(SEARCH(", "&amp;$B75&amp;", ",", "&amp;'Trust &amp; Safety'!$B$7:$B$500&amp;", ")))+SUMPRODUCT(--ISNUMBER(SEARCH(", "&amp;$B75&amp;", ",", "&amp;'Tài khoản &amp; Hồ sơ'!$B$7:$B$500&amp;", ")))</f>
        <v>31</v>
      </c>
      <c r="F75" s="51" t="n">
        <f aca="false">SUMPRODUCT(--ISNUMBER(SEARCH(", "&amp;$B75&amp;", ",", "&amp;'Hoạt động (Đơn của tôi)'!$B$7:$B$500&amp;", ")),--('Hoạt động (Đơn của tôi)'!$AT$7:$AT$500&lt;&gt;""))+SUMPRODUCT(--ISNUMBER(SEARCH(", "&amp;$B75&amp;", ",", "&amp;'Ghép nối'!$B$7:$B$500&amp;", ")),--('Ghép nối'!$AT$7:$AT$500&lt;&gt;""))+SUMPRODUCT(--ISNUMBER(SEARCH(", "&amp;$B75&amp;", ",", "&amp;'Huỷ đơn - Huỷ nhận đơn'!$B$7:$B$500&amp;", ")),--('Huỷ đơn - Huỷ nhận đơn'!$AT$7:$AT$500&lt;&gt;""))+SUMPRODUCT(--ISNUMBER(SEARCH(", "&amp;$B75&amp;", ",", "&amp;'Giao nhận &amp; Theo dõi đơn'!$B$7:$B$500&amp;", ")),--('Giao nhận &amp; Theo dõi đơn'!$AT$7:$AT$500&lt;&gt;""))+SUMPRODUCT(--ISNUMBER(SEARCH(", "&amp;$B75&amp;", ",", "&amp;'Bảng tin &amp; Chi tiết tin'!$B$7:$B$500&amp;", ")),--('Bảng tin &amp; Chi tiết tin'!$AT$7:$AT$500&lt;&gt;""))+SUMPRODUCT(--ISNUMBER(SEARCH(", "&amp;$B75&amp;", ",", "&amp;'Quà cảm ơn'!$B$7:$B$500&amp;", ")),--('Quà cảm ơn'!$AT$7:$AT$500&lt;&gt;""))+SUMPRODUCT(--ISNUMBER(SEARCH(", "&amp;$B75&amp;", ",", "&amp;'Trang chủ'!$B$7:$B$500&amp;", ")),--('Trang chủ'!$AT$7:$AT$500&lt;&gt;""))+SUMPRODUCT(--ISNUMBER(SEARCH(", "&amp;$B75&amp;", ",", "&amp;'Thông báo'!$B$7:$B$500&amp;", ")),--('Thông báo'!$AT$7:$AT$500&lt;&gt;""))+SUMPRODUCT(--ISNUMBER(SEARCH(", "&amp;$B75&amp;", ",", "&amp;'Đăng tin &amp; Quản lý tin'!$B$7:$B$500&amp;", ")),--('Đăng tin &amp; Quản lý tin'!$AT$7:$AT$500&lt;&gt;""))+SUMPRODUCT(--ISNUMBER(SEARCH(", "&amp;$B75&amp;", ",", "&amp;'Trust &amp; Safety'!$B$7:$B$500&amp;", ")),--('Trust &amp; Safety'!$AT$7:$AT$500&lt;&gt;""))+SUMPRODUCT(--ISNUMBER(SEARCH(", "&amp;$B75&amp;", ",", "&amp;'Tài khoản &amp; Hồ sơ'!$B$7:$B$500&amp;", ")),--('Tài khoản &amp; Hồ sơ'!$AT$7:$AT$500&lt;&gt;""))</f>
        <v>31</v>
      </c>
      <c r="G75" s="51" t="n">
        <f aca="false">SUMPRODUCT(--ISNUMBER(SEARCH(", "&amp;$B75&amp;", ",", "&amp;'Hoạt động (Đơn của tôi)'!$B$7:$B$500&amp;", ")),--('Hoạt động (Đơn của tôi)'!$AT$7:$AT$500="Pass"))+SUMPRODUCT(--ISNUMBER(SEARCH(", "&amp;$B75&amp;", ",", "&amp;'Ghép nối'!$B$7:$B$500&amp;", ")),--('Ghép nối'!$AT$7:$AT$500="Pass"))+SUMPRODUCT(--ISNUMBER(SEARCH(", "&amp;$B75&amp;", ",", "&amp;'Huỷ đơn - Huỷ nhận đơn'!$B$7:$B$500&amp;", ")),--('Huỷ đơn - Huỷ nhận đơn'!$AT$7:$AT$500="Pass"))+SUMPRODUCT(--ISNUMBER(SEARCH(", "&amp;$B75&amp;", ",", "&amp;'Giao nhận &amp; Theo dõi đơn'!$B$7:$B$500&amp;", ")),--('Giao nhận &amp; Theo dõi đơn'!$AT$7:$AT$500="Pass"))+SUMPRODUCT(--ISNUMBER(SEARCH(", "&amp;$B75&amp;", ",", "&amp;'Bảng tin &amp; Chi tiết tin'!$B$7:$B$500&amp;", ")),--('Bảng tin &amp; Chi tiết tin'!$AT$7:$AT$500="Pass"))+SUMPRODUCT(--ISNUMBER(SEARCH(", "&amp;$B75&amp;", ",", "&amp;'Quà cảm ơn'!$B$7:$B$500&amp;", ")),--('Quà cảm ơn'!$AT$7:$AT$500="Pass"))+SUMPRODUCT(--ISNUMBER(SEARCH(", "&amp;$B75&amp;", ",", "&amp;'Trang chủ'!$B$7:$B$500&amp;", ")),--('Trang chủ'!$AT$7:$AT$500="Pass"))+SUMPRODUCT(--ISNUMBER(SEARCH(", "&amp;$B75&amp;", ",", "&amp;'Thông báo'!$B$7:$B$500&amp;", ")),--('Thông báo'!$AT$7:$AT$500="Pass"))+SUMPRODUCT(--ISNUMBER(SEARCH(", "&amp;$B75&amp;", ",", "&amp;'Đăng tin &amp; Quản lý tin'!$B$7:$B$500&amp;", ")),--('Đăng tin &amp; Quản lý tin'!$AT$7:$AT$500="Pass"))+SUMPRODUCT(--ISNUMBER(SEARCH(", "&amp;$B75&amp;", ",", "&amp;'Trust &amp; Safety'!$B$7:$B$500&amp;", ")),--('Trust &amp; Safety'!$AT$7:$AT$500="Pass"))+SUMPRODUCT(--ISNUMBER(SEARCH(", "&amp;$B75&amp;", ",", "&amp;'Tài khoản &amp; Hồ sơ'!$B$7:$B$500&amp;", ")),--('Tài khoản &amp; Hồ sơ'!$AT$7:$AT$500="Pass"))</f>
        <v>11</v>
      </c>
      <c r="H75" s="51" t="n">
        <f aca="false">SUMPRODUCT(--ISNUMBER(SEARCH(", "&amp;$B75&amp;", ",", "&amp;'Hoạt động (Đơn của tôi)'!$B$7:$B$500&amp;", ")),--('Hoạt động (Đơn của tôi)'!$AT$7:$AT$500="Fail"))+SUMPRODUCT(--ISNUMBER(SEARCH(", "&amp;$B75&amp;", ",", "&amp;'Ghép nối'!$B$7:$B$500&amp;", ")),--('Ghép nối'!$AT$7:$AT$500="Fail"))+SUMPRODUCT(--ISNUMBER(SEARCH(", "&amp;$B75&amp;", ",", "&amp;'Huỷ đơn - Huỷ nhận đơn'!$B$7:$B$500&amp;", ")),--('Huỷ đơn - Huỷ nhận đơn'!$AT$7:$AT$500="Fail"))+SUMPRODUCT(--ISNUMBER(SEARCH(", "&amp;$B75&amp;", ",", "&amp;'Giao nhận &amp; Theo dõi đơn'!$B$7:$B$500&amp;", ")),--('Giao nhận &amp; Theo dõi đơn'!$AT$7:$AT$500="Fail"))+SUMPRODUCT(--ISNUMBER(SEARCH(", "&amp;$B75&amp;", ",", "&amp;'Bảng tin &amp; Chi tiết tin'!$B$7:$B$500&amp;", ")),--('Bảng tin &amp; Chi tiết tin'!$AT$7:$AT$500="Fail"))+SUMPRODUCT(--ISNUMBER(SEARCH(", "&amp;$B75&amp;", ",", "&amp;'Quà cảm ơn'!$B$7:$B$500&amp;", ")),--('Quà cảm ơn'!$AT$7:$AT$500="Fail"))+SUMPRODUCT(--ISNUMBER(SEARCH(", "&amp;$B75&amp;", ",", "&amp;'Trang chủ'!$B$7:$B$500&amp;", ")),--('Trang chủ'!$AT$7:$AT$500="Fail"))+SUMPRODUCT(--ISNUMBER(SEARCH(", "&amp;$B75&amp;", ",", "&amp;'Thông báo'!$B$7:$B$500&amp;", ")),--('Thông báo'!$AT$7:$AT$500="Fail"))+SUMPRODUCT(--ISNUMBER(SEARCH(", "&amp;$B75&amp;", ",", "&amp;'Đăng tin &amp; Quản lý tin'!$B$7:$B$500&amp;", ")),--('Đăng tin &amp; Quản lý tin'!$AT$7:$AT$500="Fail"))+SUMPRODUCT(--ISNUMBER(SEARCH(", "&amp;$B75&amp;", ",", "&amp;'Trust &amp; Safety'!$B$7:$B$500&amp;", ")),--('Trust &amp; Safety'!$AT$7:$AT$500="Fail"))+SUMPRODUCT(--ISNUMBER(SEARCH(", "&amp;$B75&amp;", ",", "&amp;'Tài khoản &amp; Hồ sơ'!$B$7:$B$500&amp;", ")),--('Tài khoản &amp; Hồ sơ'!$AT$7:$AT$500="Fail"))</f>
        <v>13</v>
      </c>
      <c r="I75" s="51" t="n">
        <f aca="false">SUMPRODUCT(--ISNUMBER(SEARCH(", "&amp;$B75&amp;", ",", "&amp;'Hoạt động (Đơn của tôi)'!$B$7:$B$500&amp;", ")),--('Hoạt động (Đơn của tôi)'!$AT$7:$AT$500="Block"))+SUMPRODUCT(--ISNUMBER(SEARCH(", "&amp;$B75&amp;", ",", "&amp;'Ghép nối'!$B$7:$B$500&amp;", ")),--('Ghép nối'!$AT$7:$AT$500="Block"))+SUMPRODUCT(--ISNUMBER(SEARCH(", "&amp;$B75&amp;", ",", "&amp;'Huỷ đơn - Huỷ nhận đơn'!$B$7:$B$500&amp;", ")),--('Huỷ đơn - Huỷ nhận đơn'!$AT$7:$AT$500="Block"))+SUMPRODUCT(--ISNUMBER(SEARCH(", "&amp;$B75&amp;", ",", "&amp;'Giao nhận &amp; Theo dõi đơn'!$B$7:$B$500&amp;", ")),--('Giao nhận &amp; Theo dõi đơn'!$AT$7:$AT$500="Block"))+SUMPRODUCT(--ISNUMBER(SEARCH(", "&amp;$B75&amp;", ",", "&amp;'Bảng tin &amp; Chi tiết tin'!$B$7:$B$500&amp;", ")),--('Bảng tin &amp; Chi tiết tin'!$AT$7:$AT$500="Block"))+SUMPRODUCT(--ISNUMBER(SEARCH(", "&amp;$B75&amp;", ",", "&amp;'Quà cảm ơn'!$B$7:$B$500&amp;", ")),--('Quà cảm ơn'!$AT$7:$AT$500="Block"))+SUMPRODUCT(--ISNUMBER(SEARCH(", "&amp;$B75&amp;", ",", "&amp;'Trang chủ'!$B$7:$B$500&amp;", ")),--('Trang chủ'!$AT$7:$AT$500="Block"))+SUMPRODUCT(--ISNUMBER(SEARCH(", "&amp;$B75&amp;", ",", "&amp;'Thông báo'!$B$7:$B$500&amp;", ")),--('Thông báo'!$AT$7:$AT$500="Block"))+SUMPRODUCT(--ISNUMBER(SEARCH(", "&amp;$B75&amp;", ",", "&amp;'Đăng tin &amp; Quản lý tin'!$B$7:$B$500&amp;", ")),--('Đăng tin &amp; Quản lý tin'!$AT$7:$AT$500="Block"))+SUMPRODUCT(--ISNUMBER(SEARCH(", "&amp;$B75&amp;", ",", "&amp;'Trust &amp; Safety'!$B$7:$B$500&amp;", ")),--('Trust &amp; Safety'!$AT$7:$AT$500="Block"))+SUMPRODUCT(--ISNUMBER(SEARCH(", "&amp;$B75&amp;", ",", "&amp;'Tài khoản &amp; Hồ sơ'!$B$7:$B$500&amp;", ")),--('Tài khoản &amp; Hồ sơ'!$AT$7:$AT$500="Block"))</f>
        <v>5</v>
      </c>
      <c r="J75" s="51" t="n">
        <f aca="false">SUMPRODUCT(--ISNUMBER(SEARCH(", "&amp;$B75&amp;", ",", "&amp;'Hoạt động (Đơn của tôi)'!$B$7:$B$500&amp;", ")),--('Hoạt động (Đơn của tôi)'!$AT$7:$AT$500="N/A"))+SUMPRODUCT(--ISNUMBER(SEARCH(", "&amp;$B75&amp;", ",", "&amp;'Ghép nối'!$B$7:$B$500&amp;", ")),--('Ghép nối'!$AT$7:$AT$500="N/A"))+SUMPRODUCT(--ISNUMBER(SEARCH(", "&amp;$B75&amp;", ",", "&amp;'Huỷ đơn - Huỷ nhận đơn'!$B$7:$B$500&amp;", ")),--('Huỷ đơn - Huỷ nhận đơn'!$AT$7:$AT$500="N/A"))+SUMPRODUCT(--ISNUMBER(SEARCH(", "&amp;$B75&amp;", ",", "&amp;'Giao nhận &amp; Theo dõi đơn'!$B$7:$B$500&amp;", ")),--('Giao nhận &amp; Theo dõi đơn'!$AT$7:$AT$500="N/A"))+SUMPRODUCT(--ISNUMBER(SEARCH(", "&amp;$B75&amp;", ",", "&amp;'Bảng tin &amp; Chi tiết tin'!$B$7:$B$500&amp;", ")),--('Bảng tin &amp; Chi tiết tin'!$AT$7:$AT$500="N/A"))+SUMPRODUCT(--ISNUMBER(SEARCH(", "&amp;$B75&amp;", ",", "&amp;'Quà cảm ơn'!$B$7:$B$500&amp;", ")),--('Quà cảm ơn'!$AT$7:$AT$500="N/A"))+SUMPRODUCT(--ISNUMBER(SEARCH(", "&amp;$B75&amp;", ",", "&amp;'Trang chủ'!$B$7:$B$500&amp;", ")),--('Trang chủ'!$AT$7:$AT$500="N/A"))+SUMPRODUCT(--ISNUMBER(SEARCH(", "&amp;$B75&amp;", ",", "&amp;'Thông báo'!$B$7:$B$500&amp;", ")),--('Thông báo'!$AT$7:$AT$500="N/A"))+SUMPRODUCT(--ISNUMBER(SEARCH(", "&amp;$B75&amp;", ",", "&amp;'Đăng tin &amp; Quản lý tin'!$B$7:$B$500&amp;", ")),--('Đăng tin &amp; Quản lý tin'!$AT$7:$AT$500="N/A"))+SUMPRODUCT(--ISNUMBER(SEARCH(", "&amp;$B75&amp;", ",", "&amp;'Trust &amp; Safety'!$B$7:$B$500&amp;", ")),--('Trust &amp; Safety'!$AT$7:$AT$500="N/A"))+SUMPRODUCT(--ISNUMBER(SEARCH(", "&amp;$B75&amp;", ",", "&amp;'Tài khoản &amp; Hồ sơ'!$B$7:$B$500&amp;", ")),--('Tài khoản &amp; Hồ sơ'!$AT$7:$AT$500="N/A"))</f>
        <v>2</v>
      </c>
      <c r="K75" s="52" t="n">
        <f aca="false">IFERROR(F75/E75,0)</f>
        <v>1</v>
      </c>
      <c r="L75" s="124" t="str">
        <f aca="false">IF(E75=0,"Chưa có TC (gap)",IF(H75&gt;0,"Có lỗi (Fail)",IF(I75&gt;0,"Bị block",IF(F75&lt;E75,"Đang test",IF(G75=0,"Không áp dụng (N/A)","Đã test xong")))))</f>
        <v>Có lỗi (Fail)</v>
      </c>
      <c r="AB75" s="0" t="s">
        <v>539</v>
      </c>
    </row>
    <row r="76" customFormat="false" ht="15.75" hidden="false" customHeight="true" outlineLevel="0" collapsed="false">
      <c r="A76" s="1"/>
      <c r="B76" s="176" t="s">
        <v>709</v>
      </c>
      <c r="C76" s="177" t="s">
        <v>710</v>
      </c>
      <c r="D76" s="124" t="s">
        <v>711</v>
      </c>
      <c r="E76" s="51" t="n">
        <f aca="false">SUMPRODUCT(--ISNUMBER(SEARCH(", "&amp;$B76&amp;", ",", "&amp;'Hoạt động (Đơn của tôi)'!$B$7:$B$500&amp;", ")))+SUMPRODUCT(--ISNUMBER(SEARCH(", "&amp;$B76&amp;", ",", "&amp;'Ghép nối'!$B$7:$B$500&amp;", ")))+SUMPRODUCT(--ISNUMBER(SEARCH(", "&amp;$B76&amp;", ",", "&amp;'Huỷ đơn - Huỷ nhận đơn'!$B$7:$B$500&amp;", ")))+SUMPRODUCT(--ISNUMBER(SEARCH(", "&amp;$B76&amp;", ",", "&amp;'Giao nhận &amp; Theo dõi đơn'!$B$7:$B$500&amp;", ")))+SUMPRODUCT(--ISNUMBER(SEARCH(", "&amp;$B76&amp;", ",", "&amp;'Bảng tin &amp; Chi tiết tin'!$B$7:$B$500&amp;", ")))+SUMPRODUCT(--ISNUMBER(SEARCH(", "&amp;$B76&amp;", ",", "&amp;'Quà cảm ơn'!$B$7:$B$500&amp;", ")))+SUMPRODUCT(--ISNUMBER(SEARCH(", "&amp;$B76&amp;", ",", "&amp;'Trang chủ'!$B$7:$B$500&amp;", ")))+SUMPRODUCT(--ISNUMBER(SEARCH(", "&amp;$B76&amp;", ",", "&amp;'Thông báo'!$B$7:$B$500&amp;", ")))+SUMPRODUCT(--ISNUMBER(SEARCH(", "&amp;$B76&amp;", ",", "&amp;'Đăng tin &amp; Quản lý tin'!$B$7:$B$500&amp;", ")))+SUMPRODUCT(--ISNUMBER(SEARCH(", "&amp;$B76&amp;", ",", "&amp;'Trust &amp; Safety'!$B$7:$B$500&amp;", ")))+SUMPRODUCT(--ISNUMBER(SEARCH(", "&amp;$B76&amp;", ",", "&amp;'Tài khoản &amp; Hồ sơ'!$B$7:$B$500&amp;", ")))</f>
        <v>1</v>
      </c>
      <c r="F76" s="51" t="n">
        <f aca="false">SUMPRODUCT(--ISNUMBER(SEARCH(", "&amp;$B76&amp;", ",", "&amp;'Hoạt động (Đơn của tôi)'!$B$7:$B$500&amp;", ")),--('Hoạt động (Đơn của tôi)'!$AT$7:$AT$500&lt;&gt;""))+SUMPRODUCT(--ISNUMBER(SEARCH(", "&amp;$B76&amp;", ",", "&amp;'Ghép nối'!$B$7:$B$500&amp;", ")),--('Ghép nối'!$AT$7:$AT$500&lt;&gt;""))+SUMPRODUCT(--ISNUMBER(SEARCH(", "&amp;$B76&amp;", ",", "&amp;'Huỷ đơn - Huỷ nhận đơn'!$B$7:$B$500&amp;", ")),--('Huỷ đơn - Huỷ nhận đơn'!$AT$7:$AT$500&lt;&gt;""))+SUMPRODUCT(--ISNUMBER(SEARCH(", "&amp;$B76&amp;", ",", "&amp;'Giao nhận &amp; Theo dõi đơn'!$B$7:$B$500&amp;", ")),--('Giao nhận &amp; Theo dõi đơn'!$AT$7:$AT$500&lt;&gt;""))+SUMPRODUCT(--ISNUMBER(SEARCH(", "&amp;$B76&amp;", ",", "&amp;'Bảng tin &amp; Chi tiết tin'!$B$7:$B$500&amp;", ")),--('Bảng tin &amp; Chi tiết tin'!$AT$7:$AT$500&lt;&gt;""))+SUMPRODUCT(--ISNUMBER(SEARCH(", "&amp;$B76&amp;", ",", "&amp;'Quà cảm ơn'!$B$7:$B$500&amp;", ")),--('Quà cảm ơn'!$AT$7:$AT$500&lt;&gt;""))+SUMPRODUCT(--ISNUMBER(SEARCH(", "&amp;$B76&amp;", ",", "&amp;'Trang chủ'!$B$7:$B$500&amp;", ")),--('Trang chủ'!$AT$7:$AT$500&lt;&gt;""))+SUMPRODUCT(--ISNUMBER(SEARCH(", "&amp;$B76&amp;", ",", "&amp;'Thông báo'!$B$7:$B$500&amp;", ")),--('Thông báo'!$AT$7:$AT$500&lt;&gt;""))+SUMPRODUCT(--ISNUMBER(SEARCH(", "&amp;$B76&amp;", ",", "&amp;'Đăng tin &amp; Quản lý tin'!$B$7:$B$500&amp;", ")),--('Đăng tin &amp; Quản lý tin'!$AT$7:$AT$500&lt;&gt;""))+SUMPRODUCT(--ISNUMBER(SEARCH(", "&amp;$B76&amp;", ",", "&amp;'Trust &amp; Safety'!$B$7:$B$500&amp;", ")),--('Trust &amp; Safety'!$AT$7:$AT$500&lt;&gt;""))+SUMPRODUCT(--ISNUMBER(SEARCH(", "&amp;$B76&amp;", ",", "&amp;'Tài khoản &amp; Hồ sơ'!$B$7:$B$500&amp;", ")),--('Tài khoản &amp; Hồ sơ'!$AT$7:$AT$500&lt;&gt;""))</f>
        <v>1</v>
      </c>
      <c r="G76" s="51" t="n">
        <f aca="false">SUMPRODUCT(--ISNUMBER(SEARCH(", "&amp;$B76&amp;", ",", "&amp;'Hoạt động (Đơn của tôi)'!$B$7:$B$500&amp;", ")),--('Hoạt động (Đơn của tôi)'!$AT$7:$AT$500="Pass"))+SUMPRODUCT(--ISNUMBER(SEARCH(", "&amp;$B76&amp;", ",", "&amp;'Ghép nối'!$B$7:$B$500&amp;", ")),--('Ghép nối'!$AT$7:$AT$500="Pass"))+SUMPRODUCT(--ISNUMBER(SEARCH(", "&amp;$B76&amp;", ",", "&amp;'Huỷ đơn - Huỷ nhận đơn'!$B$7:$B$500&amp;", ")),--('Huỷ đơn - Huỷ nhận đơn'!$AT$7:$AT$500="Pass"))+SUMPRODUCT(--ISNUMBER(SEARCH(", "&amp;$B76&amp;", ",", "&amp;'Giao nhận &amp; Theo dõi đơn'!$B$7:$B$500&amp;", ")),--('Giao nhận &amp; Theo dõi đơn'!$AT$7:$AT$500="Pass"))+SUMPRODUCT(--ISNUMBER(SEARCH(", "&amp;$B76&amp;", ",", "&amp;'Bảng tin &amp; Chi tiết tin'!$B$7:$B$500&amp;", ")),--('Bảng tin &amp; Chi tiết tin'!$AT$7:$AT$500="Pass"))+SUMPRODUCT(--ISNUMBER(SEARCH(", "&amp;$B76&amp;", ",", "&amp;'Quà cảm ơn'!$B$7:$B$500&amp;", ")),--('Quà cảm ơn'!$AT$7:$AT$500="Pass"))+SUMPRODUCT(--ISNUMBER(SEARCH(", "&amp;$B76&amp;", ",", "&amp;'Trang chủ'!$B$7:$B$500&amp;", ")),--('Trang chủ'!$AT$7:$AT$500="Pass"))+SUMPRODUCT(--ISNUMBER(SEARCH(", "&amp;$B76&amp;", ",", "&amp;'Thông báo'!$B$7:$B$500&amp;", ")),--('Thông báo'!$AT$7:$AT$500="Pass"))+SUMPRODUCT(--ISNUMBER(SEARCH(", "&amp;$B76&amp;", ",", "&amp;'Đăng tin &amp; Quản lý tin'!$B$7:$B$500&amp;", ")),--('Đăng tin &amp; Quản lý tin'!$AT$7:$AT$500="Pass"))+SUMPRODUCT(--ISNUMBER(SEARCH(", "&amp;$B76&amp;", ",", "&amp;'Trust &amp; Safety'!$B$7:$B$500&amp;", ")),--('Trust &amp; Safety'!$AT$7:$AT$500="Pass"))+SUMPRODUCT(--ISNUMBER(SEARCH(", "&amp;$B76&amp;", ",", "&amp;'Tài khoản &amp; Hồ sơ'!$B$7:$B$500&amp;", ")),--('Tài khoản &amp; Hồ sơ'!$AT$7:$AT$500="Pass"))</f>
        <v>1</v>
      </c>
      <c r="H76" s="51" t="n">
        <f aca="false">SUMPRODUCT(--ISNUMBER(SEARCH(", "&amp;$B76&amp;", ",", "&amp;'Hoạt động (Đơn của tôi)'!$B$7:$B$500&amp;", ")),--('Hoạt động (Đơn của tôi)'!$AT$7:$AT$500="Fail"))+SUMPRODUCT(--ISNUMBER(SEARCH(", "&amp;$B76&amp;", ",", "&amp;'Ghép nối'!$B$7:$B$500&amp;", ")),--('Ghép nối'!$AT$7:$AT$500="Fail"))+SUMPRODUCT(--ISNUMBER(SEARCH(", "&amp;$B76&amp;", ",", "&amp;'Huỷ đơn - Huỷ nhận đơn'!$B$7:$B$500&amp;", ")),--('Huỷ đơn - Huỷ nhận đơn'!$AT$7:$AT$500="Fail"))+SUMPRODUCT(--ISNUMBER(SEARCH(", "&amp;$B76&amp;", ",", "&amp;'Giao nhận &amp; Theo dõi đơn'!$B$7:$B$500&amp;", ")),--('Giao nhận &amp; Theo dõi đơn'!$AT$7:$AT$500="Fail"))+SUMPRODUCT(--ISNUMBER(SEARCH(", "&amp;$B76&amp;", ",", "&amp;'Bảng tin &amp; Chi tiết tin'!$B$7:$B$500&amp;", ")),--('Bảng tin &amp; Chi tiết tin'!$AT$7:$AT$500="Fail"))+SUMPRODUCT(--ISNUMBER(SEARCH(", "&amp;$B76&amp;", ",", "&amp;'Quà cảm ơn'!$B$7:$B$500&amp;", ")),--('Quà cảm ơn'!$AT$7:$AT$500="Fail"))+SUMPRODUCT(--ISNUMBER(SEARCH(", "&amp;$B76&amp;", ",", "&amp;'Trang chủ'!$B$7:$B$500&amp;", ")),--('Trang chủ'!$AT$7:$AT$500="Fail"))+SUMPRODUCT(--ISNUMBER(SEARCH(", "&amp;$B76&amp;", ",", "&amp;'Thông báo'!$B$7:$B$500&amp;", ")),--('Thông báo'!$AT$7:$AT$500="Fail"))+SUMPRODUCT(--ISNUMBER(SEARCH(", "&amp;$B76&amp;", ",", "&amp;'Đăng tin &amp; Quản lý tin'!$B$7:$B$500&amp;", ")),--('Đăng tin &amp; Quản lý tin'!$AT$7:$AT$500="Fail"))+SUMPRODUCT(--ISNUMBER(SEARCH(", "&amp;$B76&amp;", ",", "&amp;'Trust &amp; Safety'!$B$7:$B$500&amp;", ")),--('Trust &amp; Safety'!$AT$7:$AT$500="Fail"))+SUMPRODUCT(--ISNUMBER(SEARCH(", "&amp;$B76&amp;", ",", "&amp;'Tài khoản &amp; Hồ sơ'!$B$7:$B$500&amp;", ")),--('Tài khoản &amp; Hồ sơ'!$AT$7:$AT$500="Fail"))</f>
        <v>0</v>
      </c>
      <c r="I76" s="51" t="n">
        <f aca="false">SUMPRODUCT(--ISNUMBER(SEARCH(", "&amp;$B76&amp;", ",", "&amp;'Hoạt động (Đơn của tôi)'!$B$7:$B$500&amp;", ")),--('Hoạt động (Đơn của tôi)'!$AT$7:$AT$500="Block"))+SUMPRODUCT(--ISNUMBER(SEARCH(", "&amp;$B76&amp;", ",", "&amp;'Ghép nối'!$B$7:$B$500&amp;", ")),--('Ghép nối'!$AT$7:$AT$500="Block"))+SUMPRODUCT(--ISNUMBER(SEARCH(", "&amp;$B76&amp;", ",", "&amp;'Huỷ đơn - Huỷ nhận đơn'!$B$7:$B$500&amp;", ")),--('Huỷ đơn - Huỷ nhận đơn'!$AT$7:$AT$500="Block"))+SUMPRODUCT(--ISNUMBER(SEARCH(", "&amp;$B76&amp;", ",", "&amp;'Giao nhận &amp; Theo dõi đơn'!$B$7:$B$500&amp;", ")),--('Giao nhận &amp; Theo dõi đơn'!$AT$7:$AT$500="Block"))+SUMPRODUCT(--ISNUMBER(SEARCH(", "&amp;$B76&amp;", ",", "&amp;'Bảng tin &amp; Chi tiết tin'!$B$7:$B$500&amp;", ")),--('Bảng tin &amp; Chi tiết tin'!$AT$7:$AT$500="Block"))+SUMPRODUCT(--ISNUMBER(SEARCH(", "&amp;$B76&amp;", ",", "&amp;'Quà cảm ơn'!$B$7:$B$500&amp;", ")),--('Quà cảm ơn'!$AT$7:$AT$500="Block"))+SUMPRODUCT(--ISNUMBER(SEARCH(", "&amp;$B76&amp;", ",", "&amp;'Trang chủ'!$B$7:$B$500&amp;", ")),--('Trang chủ'!$AT$7:$AT$500="Block"))+SUMPRODUCT(--ISNUMBER(SEARCH(", "&amp;$B76&amp;", ",", "&amp;'Thông báo'!$B$7:$B$500&amp;", ")),--('Thông báo'!$AT$7:$AT$500="Block"))+SUMPRODUCT(--ISNUMBER(SEARCH(", "&amp;$B76&amp;", ",", "&amp;'Đăng tin &amp; Quản lý tin'!$B$7:$B$500&amp;", ")),--('Đăng tin &amp; Quản lý tin'!$AT$7:$AT$500="Block"))+SUMPRODUCT(--ISNUMBER(SEARCH(", "&amp;$B76&amp;", ",", "&amp;'Trust &amp; Safety'!$B$7:$B$500&amp;", ")),--('Trust &amp; Safety'!$AT$7:$AT$500="Block"))+SUMPRODUCT(--ISNUMBER(SEARCH(", "&amp;$B76&amp;", ",", "&amp;'Tài khoản &amp; Hồ sơ'!$B$7:$B$500&amp;", ")),--('Tài khoản &amp; Hồ sơ'!$AT$7:$AT$500="Block"))</f>
        <v>0</v>
      </c>
      <c r="J76" s="51" t="n">
        <f aca="false">SUMPRODUCT(--ISNUMBER(SEARCH(", "&amp;$B76&amp;", ",", "&amp;'Hoạt động (Đơn của tôi)'!$B$7:$B$500&amp;", ")),--('Hoạt động (Đơn của tôi)'!$AT$7:$AT$500="N/A"))+SUMPRODUCT(--ISNUMBER(SEARCH(", "&amp;$B76&amp;", ",", "&amp;'Ghép nối'!$B$7:$B$500&amp;", ")),--('Ghép nối'!$AT$7:$AT$500="N/A"))+SUMPRODUCT(--ISNUMBER(SEARCH(", "&amp;$B76&amp;", ",", "&amp;'Huỷ đơn - Huỷ nhận đơn'!$B$7:$B$500&amp;", ")),--('Huỷ đơn - Huỷ nhận đơn'!$AT$7:$AT$500="N/A"))+SUMPRODUCT(--ISNUMBER(SEARCH(", "&amp;$B76&amp;", ",", "&amp;'Giao nhận &amp; Theo dõi đơn'!$B$7:$B$500&amp;", ")),--('Giao nhận &amp; Theo dõi đơn'!$AT$7:$AT$500="N/A"))+SUMPRODUCT(--ISNUMBER(SEARCH(", "&amp;$B76&amp;", ",", "&amp;'Bảng tin &amp; Chi tiết tin'!$B$7:$B$500&amp;", ")),--('Bảng tin &amp; Chi tiết tin'!$AT$7:$AT$500="N/A"))+SUMPRODUCT(--ISNUMBER(SEARCH(", "&amp;$B76&amp;", ",", "&amp;'Quà cảm ơn'!$B$7:$B$500&amp;", ")),--('Quà cảm ơn'!$AT$7:$AT$500="N/A"))+SUMPRODUCT(--ISNUMBER(SEARCH(", "&amp;$B76&amp;", ",", "&amp;'Trang chủ'!$B$7:$B$500&amp;", ")),--('Trang chủ'!$AT$7:$AT$500="N/A"))+SUMPRODUCT(--ISNUMBER(SEARCH(", "&amp;$B76&amp;", ",", "&amp;'Thông báo'!$B$7:$B$500&amp;", ")),--('Thông báo'!$AT$7:$AT$500="N/A"))+SUMPRODUCT(--ISNUMBER(SEARCH(", "&amp;$B76&amp;", ",", "&amp;'Đăng tin &amp; Quản lý tin'!$B$7:$B$500&amp;", ")),--('Đăng tin &amp; Quản lý tin'!$AT$7:$AT$500="N/A"))+SUMPRODUCT(--ISNUMBER(SEARCH(", "&amp;$B76&amp;", ",", "&amp;'Trust &amp; Safety'!$B$7:$B$500&amp;", ")),--('Trust &amp; Safety'!$AT$7:$AT$500="N/A"))+SUMPRODUCT(--ISNUMBER(SEARCH(", "&amp;$B76&amp;", ",", "&amp;'Tài khoản &amp; Hồ sơ'!$B$7:$B$500&amp;", ")),--('Tài khoản &amp; Hồ sơ'!$AT$7:$AT$500="N/A"))</f>
        <v>0</v>
      </c>
      <c r="K76" s="52" t="n">
        <f aca="false">IFERROR(F76/E76,0)</f>
        <v>1</v>
      </c>
      <c r="L76" s="124" t="str">
        <f aca="false">IF(E76=0,"Chưa có TC (gap)",IF(H76&gt;0,"Có lỗi (Fail)",IF(I76&gt;0,"Bị block",IF(F76&lt;E76,"Đang test",IF(G76=0,"Không áp dụng (N/A)","Đã test xong")))))</f>
        <v>Đã test xong</v>
      </c>
      <c r="AB76" s="0" t="s">
        <v>539</v>
      </c>
    </row>
    <row r="77" customFormat="false" ht="15.75" hidden="false" customHeight="true" outlineLevel="0" collapsed="false">
      <c r="A77" s="1"/>
      <c r="B77" s="176" t="s">
        <v>712</v>
      </c>
      <c r="C77" s="177" t="s">
        <v>713</v>
      </c>
      <c r="D77" s="124" t="s">
        <v>714</v>
      </c>
      <c r="E77" s="51" t="n">
        <f aca="false">SUMPRODUCT(--ISNUMBER(SEARCH(", "&amp;$B77&amp;", ",", "&amp;'Hoạt động (Đơn của tôi)'!$B$7:$B$500&amp;", ")))+SUMPRODUCT(--ISNUMBER(SEARCH(", "&amp;$B77&amp;", ",", "&amp;'Ghép nối'!$B$7:$B$500&amp;", ")))+SUMPRODUCT(--ISNUMBER(SEARCH(", "&amp;$B77&amp;", ",", "&amp;'Huỷ đơn - Huỷ nhận đơn'!$B$7:$B$500&amp;", ")))+SUMPRODUCT(--ISNUMBER(SEARCH(", "&amp;$B77&amp;", ",", "&amp;'Giao nhận &amp; Theo dõi đơn'!$B$7:$B$500&amp;", ")))+SUMPRODUCT(--ISNUMBER(SEARCH(", "&amp;$B77&amp;", ",", "&amp;'Bảng tin &amp; Chi tiết tin'!$B$7:$B$500&amp;", ")))+SUMPRODUCT(--ISNUMBER(SEARCH(", "&amp;$B77&amp;", ",", "&amp;'Quà cảm ơn'!$B$7:$B$500&amp;", ")))+SUMPRODUCT(--ISNUMBER(SEARCH(", "&amp;$B77&amp;", ",", "&amp;'Trang chủ'!$B$7:$B$500&amp;", ")))+SUMPRODUCT(--ISNUMBER(SEARCH(", "&amp;$B77&amp;", ",", "&amp;'Thông báo'!$B$7:$B$500&amp;", ")))+SUMPRODUCT(--ISNUMBER(SEARCH(", "&amp;$B77&amp;", ",", "&amp;'Đăng tin &amp; Quản lý tin'!$B$7:$B$500&amp;", ")))+SUMPRODUCT(--ISNUMBER(SEARCH(", "&amp;$B77&amp;", ",", "&amp;'Trust &amp; Safety'!$B$7:$B$500&amp;", ")))+SUMPRODUCT(--ISNUMBER(SEARCH(", "&amp;$B77&amp;", ",", "&amp;'Tài khoản &amp; Hồ sơ'!$B$7:$B$500&amp;", ")))</f>
        <v>1</v>
      </c>
      <c r="F77" s="51" t="n">
        <f aca="false">SUMPRODUCT(--ISNUMBER(SEARCH(", "&amp;$B77&amp;", ",", "&amp;'Hoạt động (Đơn của tôi)'!$B$7:$B$500&amp;", ")),--('Hoạt động (Đơn của tôi)'!$AT$7:$AT$500&lt;&gt;""))+SUMPRODUCT(--ISNUMBER(SEARCH(", "&amp;$B77&amp;", ",", "&amp;'Ghép nối'!$B$7:$B$500&amp;", ")),--('Ghép nối'!$AT$7:$AT$500&lt;&gt;""))+SUMPRODUCT(--ISNUMBER(SEARCH(", "&amp;$B77&amp;", ",", "&amp;'Huỷ đơn - Huỷ nhận đơn'!$B$7:$B$500&amp;", ")),--('Huỷ đơn - Huỷ nhận đơn'!$AT$7:$AT$500&lt;&gt;""))+SUMPRODUCT(--ISNUMBER(SEARCH(", "&amp;$B77&amp;", ",", "&amp;'Giao nhận &amp; Theo dõi đơn'!$B$7:$B$500&amp;", ")),--('Giao nhận &amp; Theo dõi đơn'!$AT$7:$AT$500&lt;&gt;""))+SUMPRODUCT(--ISNUMBER(SEARCH(", "&amp;$B77&amp;", ",", "&amp;'Bảng tin &amp; Chi tiết tin'!$B$7:$B$500&amp;", ")),--('Bảng tin &amp; Chi tiết tin'!$AT$7:$AT$500&lt;&gt;""))+SUMPRODUCT(--ISNUMBER(SEARCH(", "&amp;$B77&amp;", ",", "&amp;'Quà cảm ơn'!$B$7:$B$500&amp;", ")),--('Quà cảm ơn'!$AT$7:$AT$500&lt;&gt;""))+SUMPRODUCT(--ISNUMBER(SEARCH(", "&amp;$B77&amp;", ",", "&amp;'Trang chủ'!$B$7:$B$500&amp;", ")),--('Trang chủ'!$AT$7:$AT$500&lt;&gt;""))+SUMPRODUCT(--ISNUMBER(SEARCH(", "&amp;$B77&amp;", ",", "&amp;'Thông báo'!$B$7:$B$500&amp;", ")),--('Thông báo'!$AT$7:$AT$500&lt;&gt;""))+SUMPRODUCT(--ISNUMBER(SEARCH(", "&amp;$B77&amp;", ",", "&amp;'Đăng tin &amp; Quản lý tin'!$B$7:$B$500&amp;", ")),--('Đăng tin &amp; Quản lý tin'!$AT$7:$AT$500&lt;&gt;""))+SUMPRODUCT(--ISNUMBER(SEARCH(", "&amp;$B77&amp;", ",", "&amp;'Trust &amp; Safety'!$B$7:$B$500&amp;", ")),--('Trust &amp; Safety'!$AT$7:$AT$500&lt;&gt;""))+SUMPRODUCT(--ISNUMBER(SEARCH(", "&amp;$B77&amp;", ",", "&amp;'Tài khoản &amp; Hồ sơ'!$B$7:$B$500&amp;", ")),--('Tài khoản &amp; Hồ sơ'!$AT$7:$AT$500&lt;&gt;""))</f>
        <v>1</v>
      </c>
      <c r="G77" s="51" t="n">
        <f aca="false">SUMPRODUCT(--ISNUMBER(SEARCH(", "&amp;$B77&amp;", ",", "&amp;'Hoạt động (Đơn của tôi)'!$B$7:$B$500&amp;", ")),--('Hoạt động (Đơn của tôi)'!$AT$7:$AT$500="Pass"))+SUMPRODUCT(--ISNUMBER(SEARCH(", "&amp;$B77&amp;", ",", "&amp;'Ghép nối'!$B$7:$B$500&amp;", ")),--('Ghép nối'!$AT$7:$AT$500="Pass"))+SUMPRODUCT(--ISNUMBER(SEARCH(", "&amp;$B77&amp;", ",", "&amp;'Huỷ đơn - Huỷ nhận đơn'!$B$7:$B$500&amp;", ")),--('Huỷ đơn - Huỷ nhận đơn'!$AT$7:$AT$500="Pass"))+SUMPRODUCT(--ISNUMBER(SEARCH(", "&amp;$B77&amp;", ",", "&amp;'Giao nhận &amp; Theo dõi đơn'!$B$7:$B$500&amp;", ")),--('Giao nhận &amp; Theo dõi đơn'!$AT$7:$AT$500="Pass"))+SUMPRODUCT(--ISNUMBER(SEARCH(", "&amp;$B77&amp;", ",", "&amp;'Bảng tin &amp; Chi tiết tin'!$B$7:$B$500&amp;", ")),--('Bảng tin &amp; Chi tiết tin'!$AT$7:$AT$500="Pass"))+SUMPRODUCT(--ISNUMBER(SEARCH(", "&amp;$B77&amp;", ",", "&amp;'Quà cảm ơn'!$B$7:$B$500&amp;", ")),--('Quà cảm ơn'!$AT$7:$AT$500="Pass"))+SUMPRODUCT(--ISNUMBER(SEARCH(", "&amp;$B77&amp;", ",", "&amp;'Trang chủ'!$B$7:$B$500&amp;", ")),--('Trang chủ'!$AT$7:$AT$500="Pass"))+SUMPRODUCT(--ISNUMBER(SEARCH(", "&amp;$B77&amp;", ",", "&amp;'Thông báo'!$B$7:$B$500&amp;", ")),--('Thông báo'!$AT$7:$AT$500="Pass"))+SUMPRODUCT(--ISNUMBER(SEARCH(", "&amp;$B77&amp;", ",", "&amp;'Đăng tin &amp; Quản lý tin'!$B$7:$B$500&amp;", ")),--('Đăng tin &amp; Quản lý tin'!$AT$7:$AT$500="Pass"))+SUMPRODUCT(--ISNUMBER(SEARCH(", "&amp;$B77&amp;", ",", "&amp;'Trust &amp; Safety'!$B$7:$B$500&amp;", ")),--('Trust &amp; Safety'!$AT$7:$AT$500="Pass"))+SUMPRODUCT(--ISNUMBER(SEARCH(", "&amp;$B77&amp;", ",", "&amp;'Tài khoản &amp; Hồ sơ'!$B$7:$B$500&amp;", ")),--('Tài khoản &amp; Hồ sơ'!$AT$7:$AT$500="Pass"))</f>
        <v>1</v>
      </c>
      <c r="H77" s="51" t="n">
        <f aca="false">SUMPRODUCT(--ISNUMBER(SEARCH(", "&amp;$B77&amp;", ",", "&amp;'Hoạt động (Đơn của tôi)'!$B$7:$B$500&amp;", ")),--('Hoạt động (Đơn của tôi)'!$AT$7:$AT$500="Fail"))+SUMPRODUCT(--ISNUMBER(SEARCH(", "&amp;$B77&amp;", ",", "&amp;'Ghép nối'!$B$7:$B$500&amp;", ")),--('Ghép nối'!$AT$7:$AT$500="Fail"))+SUMPRODUCT(--ISNUMBER(SEARCH(", "&amp;$B77&amp;", ",", "&amp;'Huỷ đơn - Huỷ nhận đơn'!$B$7:$B$500&amp;", ")),--('Huỷ đơn - Huỷ nhận đơn'!$AT$7:$AT$500="Fail"))+SUMPRODUCT(--ISNUMBER(SEARCH(", "&amp;$B77&amp;", ",", "&amp;'Giao nhận &amp; Theo dõi đơn'!$B$7:$B$500&amp;", ")),--('Giao nhận &amp; Theo dõi đơn'!$AT$7:$AT$500="Fail"))+SUMPRODUCT(--ISNUMBER(SEARCH(", "&amp;$B77&amp;", ",", "&amp;'Bảng tin &amp; Chi tiết tin'!$B$7:$B$500&amp;", ")),--('Bảng tin &amp; Chi tiết tin'!$AT$7:$AT$500="Fail"))+SUMPRODUCT(--ISNUMBER(SEARCH(", "&amp;$B77&amp;", ",", "&amp;'Quà cảm ơn'!$B$7:$B$500&amp;", ")),--('Quà cảm ơn'!$AT$7:$AT$500="Fail"))+SUMPRODUCT(--ISNUMBER(SEARCH(", "&amp;$B77&amp;", ",", "&amp;'Trang chủ'!$B$7:$B$500&amp;", ")),--('Trang chủ'!$AT$7:$AT$500="Fail"))+SUMPRODUCT(--ISNUMBER(SEARCH(", "&amp;$B77&amp;", ",", "&amp;'Thông báo'!$B$7:$B$500&amp;", ")),--('Thông báo'!$AT$7:$AT$500="Fail"))+SUMPRODUCT(--ISNUMBER(SEARCH(", "&amp;$B77&amp;", ",", "&amp;'Đăng tin &amp; Quản lý tin'!$B$7:$B$500&amp;", ")),--('Đăng tin &amp; Quản lý tin'!$AT$7:$AT$500="Fail"))+SUMPRODUCT(--ISNUMBER(SEARCH(", "&amp;$B77&amp;", ",", "&amp;'Trust &amp; Safety'!$B$7:$B$500&amp;", ")),--('Trust &amp; Safety'!$AT$7:$AT$500="Fail"))+SUMPRODUCT(--ISNUMBER(SEARCH(", "&amp;$B77&amp;", ",", "&amp;'Tài khoản &amp; Hồ sơ'!$B$7:$B$500&amp;", ")),--('Tài khoản &amp; Hồ sơ'!$AT$7:$AT$500="Fail"))</f>
        <v>0</v>
      </c>
      <c r="I77" s="51" t="n">
        <f aca="false">SUMPRODUCT(--ISNUMBER(SEARCH(", "&amp;$B77&amp;", ",", "&amp;'Hoạt động (Đơn của tôi)'!$B$7:$B$500&amp;", ")),--('Hoạt động (Đơn của tôi)'!$AT$7:$AT$500="Block"))+SUMPRODUCT(--ISNUMBER(SEARCH(", "&amp;$B77&amp;", ",", "&amp;'Ghép nối'!$B$7:$B$500&amp;", ")),--('Ghép nối'!$AT$7:$AT$500="Block"))+SUMPRODUCT(--ISNUMBER(SEARCH(", "&amp;$B77&amp;", ",", "&amp;'Huỷ đơn - Huỷ nhận đơn'!$B$7:$B$500&amp;", ")),--('Huỷ đơn - Huỷ nhận đơn'!$AT$7:$AT$500="Block"))+SUMPRODUCT(--ISNUMBER(SEARCH(", "&amp;$B77&amp;", ",", "&amp;'Giao nhận &amp; Theo dõi đơn'!$B$7:$B$500&amp;", ")),--('Giao nhận &amp; Theo dõi đơn'!$AT$7:$AT$500="Block"))+SUMPRODUCT(--ISNUMBER(SEARCH(", "&amp;$B77&amp;", ",", "&amp;'Bảng tin &amp; Chi tiết tin'!$B$7:$B$500&amp;", ")),--('Bảng tin &amp; Chi tiết tin'!$AT$7:$AT$500="Block"))+SUMPRODUCT(--ISNUMBER(SEARCH(", "&amp;$B77&amp;", ",", "&amp;'Quà cảm ơn'!$B$7:$B$500&amp;", ")),--('Quà cảm ơn'!$AT$7:$AT$500="Block"))+SUMPRODUCT(--ISNUMBER(SEARCH(", "&amp;$B77&amp;", ",", "&amp;'Trang chủ'!$B$7:$B$500&amp;", ")),--('Trang chủ'!$AT$7:$AT$500="Block"))+SUMPRODUCT(--ISNUMBER(SEARCH(", "&amp;$B77&amp;", ",", "&amp;'Thông báo'!$B$7:$B$500&amp;", ")),--('Thông báo'!$AT$7:$AT$500="Block"))+SUMPRODUCT(--ISNUMBER(SEARCH(", "&amp;$B77&amp;", ",", "&amp;'Đăng tin &amp; Quản lý tin'!$B$7:$B$500&amp;", ")),--('Đăng tin &amp; Quản lý tin'!$AT$7:$AT$500="Block"))+SUMPRODUCT(--ISNUMBER(SEARCH(", "&amp;$B77&amp;", ",", "&amp;'Trust &amp; Safety'!$B$7:$B$500&amp;", ")),--('Trust &amp; Safety'!$AT$7:$AT$500="Block"))+SUMPRODUCT(--ISNUMBER(SEARCH(", "&amp;$B77&amp;", ",", "&amp;'Tài khoản &amp; Hồ sơ'!$B$7:$B$500&amp;", ")),--('Tài khoản &amp; Hồ sơ'!$AT$7:$AT$500="Block"))</f>
        <v>0</v>
      </c>
      <c r="J77" s="51" t="n">
        <f aca="false">SUMPRODUCT(--ISNUMBER(SEARCH(", "&amp;$B77&amp;", ",", "&amp;'Hoạt động (Đơn của tôi)'!$B$7:$B$500&amp;", ")),--('Hoạt động (Đơn của tôi)'!$AT$7:$AT$500="N/A"))+SUMPRODUCT(--ISNUMBER(SEARCH(", "&amp;$B77&amp;", ",", "&amp;'Ghép nối'!$B$7:$B$500&amp;", ")),--('Ghép nối'!$AT$7:$AT$500="N/A"))+SUMPRODUCT(--ISNUMBER(SEARCH(", "&amp;$B77&amp;", ",", "&amp;'Huỷ đơn - Huỷ nhận đơn'!$B$7:$B$500&amp;", ")),--('Huỷ đơn - Huỷ nhận đơn'!$AT$7:$AT$500="N/A"))+SUMPRODUCT(--ISNUMBER(SEARCH(", "&amp;$B77&amp;", ",", "&amp;'Giao nhận &amp; Theo dõi đơn'!$B$7:$B$500&amp;", ")),--('Giao nhận &amp; Theo dõi đơn'!$AT$7:$AT$500="N/A"))+SUMPRODUCT(--ISNUMBER(SEARCH(", "&amp;$B77&amp;", ",", "&amp;'Bảng tin &amp; Chi tiết tin'!$B$7:$B$500&amp;", ")),--('Bảng tin &amp; Chi tiết tin'!$AT$7:$AT$500="N/A"))+SUMPRODUCT(--ISNUMBER(SEARCH(", "&amp;$B77&amp;", ",", "&amp;'Quà cảm ơn'!$B$7:$B$500&amp;", ")),--('Quà cảm ơn'!$AT$7:$AT$500="N/A"))+SUMPRODUCT(--ISNUMBER(SEARCH(", "&amp;$B77&amp;", ",", "&amp;'Trang chủ'!$B$7:$B$500&amp;", ")),--('Trang chủ'!$AT$7:$AT$500="N/A"))+SUMPRODUCT(--ISNUMBER(SEARCH(", "&amp;$B77&amp;", ",", "&amp;'Thông báo'!$B$7:$B$500&amp;", ")),--('Thông báo'!$AT$7:$AT$500="N/A"))+SUMPRODUCT(--ISNUMBER(SEARCH(", "&amp;$B77&amp;", ",", "&amp;'Đăng tin &amp; Quản lý tin'!$B$7:$B$500&amp;", ")),--('Đăng tin &amp; Quản lý tin'!$AT$7:$AT$500="N/A"))+SUMPRODUCT(--ISNUMBER(SEARCH(", "&amp;$B77&amp;", ",", "&amp;'Trust &amp; Safety'!$B$7:$B$500&amp;", ")),--('Trust &amp; Safety'!$AT$7:$AT$500="N/A"))+SUMPRODUCT(--ISNUMBER(SEARCH(", "&amp;$B77&amp;", ",", "&amp;'Tài khoản &amp; Hồ sơ'!$B$7:$B$500&amp;", ")),--('Tài khoản &amp; Hồ sơ'!$AT$7:$AT$500="N/A"))</f>
        <v>0</v>
      </c>
      <c r="K77" s="52" t="n">
        <f aca="false">IFERROR(F77/E77,0)</f>
        <v>1</v>
      </c>
      <c r="L77" s="124" t="str">
        <f aca="false">IF(E77=0,"Chưa có TC (gap)",IF(H77&gt;0,"Có lỗi (Fail)",IF(I77&gt;0,"Bị block",IF(F77&lt;E77,"Đang test",IF(G77=0,"Không áp dụng (N/A)","Đã test xong")))))</f>
        <v>Đã test xong</v>
      </c>
      <c r="AB77" s="0" t="s">
        <v>539</v>
      </c>
    </row>
    <row r="78" customFormat="false" ht="15.75" hidden="false" customHeight="true" outlineLevel="0" collapsed="false">
      <c r="A78" s="1"/>
      <c r="B78" s="126" t="s">
        <v>114</v>
      </c>
      <c r="C78" s="178"/>
      <c r="D78" s="179"/>
      <c r="E78" s="42" t="n">
        <f aca="false">SUM(E6:E77)</f>
        <v>231</v>
      </c>
      <c r="F78" s="42" t="n">
        <f aca="false">SUM(F6:F77)</f>
        <v>173</v>
      </c>
      <c r="G78" s="42" t="n">
        <f aca="false">SUM(G6:G77)</f>
        <v>108</v>
      </c>
      <c r="H78" s="42" t="n">
        <f aca="false">SUM(H6:H77)</f>
        <v>38</v>
      </c>
      <c r="I78" s="42" t="n">
        <f aca="false">SUM(I6:I77)</f>
        <v>20</v>
      </c>
      <c r="J78" s="42" t="n">
        <f aca="false">SUM(J6:J77)</f>
        <v>7</v>
      </c>
      <c r="K78" s="55" t="n">
        <f aca="false">IFERROR(F78/E78,0)</f>
        <v>0.748917748917749</v>
      </c>
      <c r="L78" s="127"/>
    </row>
    <row r="79" customFormat="false" ht="15.75" hidden="false" customHeight="true" outlineLevel="0" collapsed="false">
      <c r="A79" s="1"/>
      <c r="B79" s="180" t="s">
        <v>715</v>
      </c>
      <c r="C79" s="180"/>
      <c r="D79" s="180"/>
      <c r="E79" s="180"/>
      <c r="F79" s="180"/>
      <c r="G79" s="180"/>
      <c r="H79" s="180"/>
      <c r="I79" s="180"/>
      <c r="J79" s="180"/>
      <c r="K79" s="180"/>
      <c r="L79" s="180"/>
    </row>
    <row r="80" customFormat="false" ht="15.75" hidden="false" customHeight="true" outlineLevel="0" collapsed="false">
      <c r="A80" s="1"/>
      <c r="B80" s="1"/>
      <c r="C80" s="1"/>
      <c r="D80" s="1"/>
      <c r="E80" s="1"/>
      <c r="F80" s="1"/>
      <c r="G80" s="1"/>
      <c r="H80" s="1"/>
      <c r="I80" s="1"/>
      <c r="J80" s="1"/>
      <c r="K80" s="1"/>
      <c r="L80" s="1"/>
    </row>
    <row r="81" customFormat="false" ht="15.75" hidden="false" customHeight="true" outlineLevel="0" collapsed="false">
      <c r="A81" s="1"/>
      <c r="B81" s="1"/>
      <c r="C81" s="1"/>
      <c r="D81" s="1"/>
      <c r="E81" s="1"/>
      <c r="F81" s="1"/>
      <c r="G81" s="1"/>
      <c r="H81" s="1"/>
      <c r="I81" s="1"/>
      <c r="J81" s="1"/>
      <c r="K81" s="1"/>
      <c r="L81" s="1"/>
    </row>
    <row r="82" customFormat="false" ht="15.75" hidden="false" customHeight="true" outlineLevel="0" collapsed="false">
      <c r="A82" s="1"/>
      <c r="B82" s="1"/>
      <c r="C82" s="1"/>
      <c r="D82" s="1"/>
      <c r="E82" s="1"/>
      <c r="F82" s="1"/>
      <c r="G82" s="1"/>
      <c r="H82" s="1"/>
      <c r="I82" s="1"/>
      <c r="J82" s="1"/>
      <c r="K82" s="1"/>
      <c r="L82" s="1"/>
    </row>
    <row r="83" customFormat="false" ht="15.75" hidden="false" customHeight="true" outlineLevel="0" collapsed="false">
      <c r="A83" s="1"/>
      <c r="B83" s="1"/>
      <c r="C83" s="1"/>
      <c r="D83" s="1"/>
      <c r="E83" s="1"/>
      <c r="F83" s="1"/>
      <c r="G83" s="1"/>
      <c r="H83" s="1"/>
      <c r="I83" s="1"/>
      <c r="J83" s="1"/>
      <c r="K83" s="1"/>
      <c r="L83" s="1"/>
    </row>
    <row r="84" customFormat="false" ht="15.75" hidden="false" customHeight="true" outlineLevel="0" collapsed="false">
      <c r="A84" s="1"/>
      <c r="B84" s="1"/>
      <c r="C84" s="1"/>
      <c r="D84" s="1"/>
      <c r="E84" s="1"/>
      <c r="F84" s="1"/>
      <c r="G84" s="1"/>
      <c r="H84" s="1"/>
      <c r="I84" s="1"/>
      <c r="J84" s="1"/>
      <c r="K84" s="1"/>
      <c r="L84" s="1"/>
    </row>
    <row r="85" customFormat="false" ht="15.75" hidden="false" customHeight="true" outlineLevel="0" collapsed="false">
      <c r="A85" s="1"/>
      <c r="B85" s="1"/>
      <c r="C85" s="1"/>
      <c r="D85" s="1"/>
      <c r="E85" s="1"/>
      <c r="F85" s="1"/>
      <c r="G85" s="1"/>
      <c r="H85" s="1"/>
      <c r="I85" s="1"/>
      <c r="J85" s="1"/>
      <c r="K85" s="1"/>
      <c r="L85" s="1"/>
    </row>
    <row r="86" customFormat="false" ht="15.75" hidden="false" customHeight="true" outlineLevel="0" collapsed="false">
      <c r="A86" s="1"/>
      <c r="B86" s="1"/>
      <c r="C86" s="1"/>
      <c r="D86" s="1"/>
      <c r="E86" s="1"/>
      <c r="F86" s="1"/>
      <c r="G86" s="1"/>
      <c r="H86" s="1"/>
      <c r="I86" s="1"/>
      <c r="J86" s="1"/>
      <c r="K86" s="1"/>
      <c r="L86" s="1"/>
    </row>
    <row r="87" customFormat="false" ht="15.75" hidden="false" customHeight="true" outlineLevel="0" collapsed="false">
      <c r="A87" s="1"/>
      <c r="B87" s="1"/>
      <c r="C87" s="1"/>
      <c r="D87" s="1"/>
      <c r="E87" s="1"/>
      <c r="F87" s="1"/>
      <c r="G87" s="1"/>
      <c r="H87" s="1"/>
      <c r="I87" s="1"/>
      <c r="J87" s="1"/>
      <c r="K87" s="1"/>
      <c r="L87" s="1"/>
    </row>
    <row r="88" customFormat="false" ht="15.75" hidden="false" customHeight="true" outlineLevel="0" collapsed="false">
      <c r="A88" s="1"/>
      <c r="B88" s="1"/>
      <c r="C88" s="1"/>
      <c r="D88" s="1"/>
      <c r="E88" s="1"/>
      <c r="F88" s="1"/>
      <c r="G88" s="1"/>
      <c r="H88" s="1"/>
      <c r="I88" s="1"/>
      <c r="J88" s="1"/>
      <c r="K88" s="1"/>
      <c r="L88" s="1"/>
    </row>
    <row r="89" customFormat="false" ht="15.75" hidden="false" customHeight="true" outlineLevel="0" collapsed="false">
      <c r="A89" s="1"/>
      <c r="B89" s="1"/>
      <c r="C89" s="1"/>
      <c r="D89" s="1"/>
      <c r="E89" s="1"/>
      <c r="F89" s="1"/>
      <c r="G89" s="1"/>
      <c r="H89" s="1"/>
      <c r="I89" s="1"/>
      <c r="J89" s="1"/>
      <c r="K89" s="1"/>
      <c r="L89" s="1"/>
    </row>
    <row r="90" customFormat="false" ht="15.75" hidden="false" customHeight="true" outlineLevel="0" collapsed="false">
      <c r="A90" s="1"/>
      <c r="B90" s="1"/>
      <c r="C90" s="1"/>
      <c r="D90" s="1"/>
      <c r="E90" s="1"/>
      <c r="F90" s="1"/>
      <c r="G90" s="1"/>
      <c r="H90" s="1"/>
      <c r="I90" s="1"/>
      <c r="J90" s="1"/>
      <c r="K90" s="1"/>
      <c r="L90" s="1"/>
    </row>
    <row r="91" customFormat="false" ht="15.75" hidden="false" customHeight="true" outlineLevel="0" collapsed="false">
      <c r="A91" s="1"/>
      <c r="B91" s="1"/>
      <c r="C91" s="1"/>
      <c r="D91" s="1"/>
      <c r="E91" s="1"/>
      <c r="F91" s="1"/>
      <c r="G91" s="1"/>
      <c r="H91" s="1"/>
      <c r="I91" s="1"/>
      <c r="J91" s="1"/>
      <c r="K91" s="1"/>
      <c r="L91" s="1"/>
    </row>
    <row r="92" customFormat="false" ht="15.75" hidden="false" customHeight="true" outlineLevel="0" collapsed="false">
      <c r="A92" s="1"/>
      <c r="B92" s="1"/>
      <c r="C92" s="1"/>
      <c r="D92" s="1"/>
      <c r="E92" s="1"/>
      <c r="F92" s="1"/>
      <c r="G92" s="1"/>
      <c r="H92" s="1"/>
      <c r="I92" s="1"/>
      <c r="J92" s="1"/>
      <c r="K92" s="1"/>
      <c r="L92" s="1"/>
    </row>
    <row r="93" customFormat="false" ht="15.75" hidden="false" customHeight="true" outlineLevel="0" collapsed="false">
      <c r="A93" s="1"/>
      <c r="B93" s="1"/>
      <c r="C93" s="1"/>
      <c r="D93" s="1"/>
      <c r="E93" s="1"/>
      <c r="F93" s="1"/>
      <c r="G93" s="1"/>
      <c r="H93" s="1"/>
      <c r="I93" s="1"/>
      <c r="J93" s="1"/>
      <c r="K93" s="1"/>
      <c r="L93" s="1"/>
    </row>
    <row r="94" customFormat="false" ht="15.75" hidden="false" customHeight="true" outlineLevel="0" collapsed="false">
      <c r="A94" s="1"/>
      <c r="B94" s="1"/>
      <c r="C94" s="1"/>
      <c r="D94" s="1"/>
      <c r="E94" s="1"/>
      <c r="F94" s="1"/>
      <c r="G94" s="1"/>
      <c r="H94" s="1"/>
      <c r="I94" s="1"/>
      <c r="J94" s="1"/>
      <c r="K94" s="1"/>
      <c r="L94" s="1"/>
    </row>
    <row r="95" customFormat="false" ht="15.75" hidden="false" customHeight="true" outlineLevel="0" collapsed="false">
      <c r="A95" s="1"/>
      <c r="B95" s="1"/>
      <c r="C95" s="1"/>
      <c r="D95" s="1"/>
      <c r="E95" s="1"/>
      <c r="F95" s="1"/>
      <c r="G95" s="1"/>
      <c r="H95" s="1"/>
      <c r="I95" s="1"/>
      <c r="J95" s="1"/>
      <c r="K95" s="1"/>
      <c r="L95" s="1"/>
    </row>
    <row r="96" customFormat="false" ht="15.75" hidden="false" customHeight="true" outlineLevel="0" collapsed="false">
      <c r="A96" s="1"/>
      <c r="B96" s="1"/>
      <c r="C96" s="1"/>
      <c r="D96" s="1"/>
      <c r="E96" s="1"/>
      <c r="F96" s="1"/>
      <c r="G96" s="1"/>
      <c r="H96" s="1"/>
      <c r="I96" s="1"/>
      <c r="J96" s="1"/>
      <c r="K96" s="1"/>
      <c r="L96" s="1"/>
    </row>
    <row r="97" customFormat="false" ht="15.75" hidden="false" customHeight="true" outlineLevel="0" collapsed="false">
      <c r="A97" s="1"/>
      <c r="B97" s="1"/>
      <c r="C97" s="1"/>
      <c r="D97" s="1"/>
      <c r="E97" s="1"/>
      <c r="F97" s="1"/>
      <c r="G97" s="1"/>
      <c r="H97" s="1"/>
      <c r="I97" s="1"/>
      <c r="J97" s="1"/>
      <c r="K97" s="1"/>
      <c r="L97" s="1"/>
    </row>
    <row r="98" customFormat="false" ht="15.75" hidden="false" customHeight="true" outlineLevel="0" collapsed="false">
      <c r="A98" s="1"/>
      <c r="B98" s="1"/>
      <c r="C98" s="1"/>
      <c r="D98" s="1"/>
      <c r="E98" s="1"/>
      <c r="F98" s="1"/>
      <c r="G98" s="1"/>
      <c r="H98" s="1"/>
      <c r="I98" s="1"/>
      <c r="J98" s="1"/>
      <c r="K98" s="1"/>
      <c r="L98" s="1"/>
    </row>
    <row r="99" customFormat="false" ht="15.75" hidden="false" customHeight="true" outlineLevel="0" collapsed="false">
      <c r="A99" s="1"/>
      <c r="B99" s="1"/>
      <c r="C99" s="1"/>
      <c r="D99" s="1"/>
      <c r="E99" s="1"/>
      <c r="F99" s="1"/>
      <c r="G99" s="1"/>
      <c r="H99" s="1"/>
      <c r="I99" s="1"/>
      <c r="J99" s="1"/>
      <c r="K99" s="1"/>
      <c r="L99" s="1"/>
    </row>
    <row r="100" customFormat="false" ht="15.75" hidden="false" customHeight="true" outlineLevel="0" collapsed="false">
      <c r="A100" s="1"/>
      <c r="B100" s="1"/>
      <c r="C100" s="1"/>
      <c r="D100" s="1"/>
      <c r="E100" s="1"/>
      <c r="F100" s="1"/>
      <c r="G100" s="1"/>
      <c r="H100" s="1"/>
      <c r="I100" s="1"/>
      <c r="J100" s="1"/>
      <c r="K100" s="1"/>
      <c r="L100" s="1"/>
    </row>
    <row r="101" customFormat="false" ht="15.75" hidden="false" customHeight="true" outlineLevel="0" collapsed="false">
      <c r="A101" s="1"/>
      <c r="B101" s="1"/>
      <c r="C101" s="1"/>
      <c r="D101" s="1"/>
      <c r="E101" s="1"/>
      <c r="F101" s="1"/>
      <c r="G101" s="1"/>
      <c r="H101" s="1"/>
      <c r="I101" s="1"/>
      <c r="J101" s="1"/>
      <c r="K101" s="1"/>
      <c r="L101" s="1"/>
    </row>
    <row r="102" customFormat="false" ht="15.75" hidden="false" customHeight="true" outlineLevel="0" collapsed="false">
      <c r="A102" s="1"/>
      <c r="B102" s="1"/>
      <c r="C102" s="1"/>
      <c r="D102" s="1"/>
      <c r="E102" s="1"/>
      <c r="F102" s="1"/>
      <c r="G102" s="1"/>
      <c r="H102" s="1"/>
      <c r="I102" s="1"/>
      <c r="J102" s="1"/>
      <c r="K102" s="1"/>
      <c r="L102" s="1"/>
    </row>
    <row r="103" customFormat="false" ht="15.75" hidden="false" customHeight="true" outlineLevel="0" collapsed="false">
      <c r="A103" s="1"/>
      <c r="B103" s="1"/>
      <c r="C103" s="1"/>
      <c r="D103" s="1"/>
      <c r="E103" s="1"/>
      <c r="F103" s="1"/>
      <c r="G103" s="1"/>
      <c r="H103" s="1"/>
      <c r="I103" s="1"/>
      <c r="J103" s="1"/>
      <c r="K103" s="1"/>
      <c r="L103" s="1"/>
    </row>
    <row r="104" customFormat="false" ht="15.75" hidden="false" customHeight="true" outlineLevel="0" collapsed="false">
      <c r="A104" s="1"/>
      <c r="B104" s="1"/>
      <c r="C104" s="1"/>
      <c r="D104" s="1"/>
      <c r="E104" s="1"/>
      <c r="F104" s="1"/>
      <c r="G104" s="1"/>
      <c r="H104" s="1"/>
      <c r="I104" s="1"/>
      <c r="J104" s="1"/>
      <c r="K104" s="1"/>
      <c r="L104" s="1"/>
    </row>
    <row r="105" customFormat="false" ht="15.75" hidden="false" customHeight="true" outlineLevel="0" collapsed="false">
      <c r="A105" s="1"/>
      <c r="B105" s="1"/>
      <c r="C105" s="1"/>
      <c r="D105" s="1"/>
      <c r="E105" s="1"/>
      <c r="F105" s="1"/>
      <c r="G105" s="1"/>
      <c r="H105" s="1"/>
      <c r="I105" s="1"/>
      <c r="J105" s="1"/>
      <c r="K105" s="1"/>
      <c r="L105" s="1"/>
    </row>
    <row r="106" customFormat="false" ht="15.75" hidden="false" customHeight="true" outlineLevel="0" collapsed="false">
      <c r="A106" s="1"/>
      <c r="B106" s="1"/>
      <c r="C106" s="1"/>
      <c r="D106" s="1"/>
      <c r="E106" s="1"/>
      <c r="F106" s="1"/>
      <c r="G106" s="1"/>
      <c r="H106" s="1"/>
      <c r="I106" s="1"/>
      <c r="J106" s="1"/>
      <c r="K106" s="1"/>
      <c r="L106" s="1"/>
    </row>
    <row r="107" customFormat="false" ht="15.75" hidden="false" customHeight="true" outlineLevel="0" collapsed="false">
      <c r="A107" s="1"/>
      <c r="B107" s="1"/>
      <c r="C107" s="1"/>
      <c r="D107" s="1"/>
      <c r="E107" s="1"/>
      <c r="F107" s="1"/>
      <c r="G107" s="1"/>
      <c r="H107" s="1"/>
      <c r="I107" s="1"/>
      <c r="J107" s="1"/>
      <c r="K107" s="1"/>
      <c r="L107" s="1"/>
    </row>
    <row r="108" customFormat="false" ht="15.75" hidden="false" customHeight="true" outlineLevel="0" collapsed="false">
      <c r="A108" s="1"/>
      <c r="B108" s="1"/>
      <c r="C108" s="1"/>
      <c r="D108" s="1"/>
      <c r="E108" s="1"/>
      <c r="F108" s="1"/>
      <c r="G108" s="1"/>
      <c r="H108" s="1"/>
      <c r="I108" s="1"/>
      <c r="J108" s="1"/>
      <c r="K108" s="1"/>
      <c r="L108" s="1"/>
    </row>
    <row r="109" customFormat="false" ht="15.75" hidden="false" customHeight="true" outlineLevel="0" collapsed="false">
      <c r="A109" s="1"/>
      <c r="B109" s="1"/>
      <c r="C109" s="1"/>
      <c r="D109" s="1"/>
      <c r="E109" s="1"/>
      <c r="F109" s="1"/>
      <c r="G109" s="1"/>
      <c r="H109" s="1"/>
      <c r="I109" s="1"/>
      <c r="J109" s="1"/>
      <c r="K109" s="1"/>
      <c r="L109" s="1"/>
    </row>
    <row r="110" customFormat="false" ht="15.75" hidden="false" customHeight="true" outlineLevel="0" collapsed="false">
      <c r="A110" s="1"/>
      <c r="B110" s="1"/>
      <c r="C110" s="1"/>
      <c r="D110" s="1"/>
      <c r="E110" s="1"/>
      <c r="F110" s="1"/>
      <c r="G110" s="1"/>
      <c r="H110" s="1"/>
      <c r="I110" s="1"/>
      <c r="J110" s="1"/>
      <c r="K110" s="1"/>
      <c r="L110" s="1"/>
    </row>
    <row r="111" customFormat="false" ht="15.75" hidden="false" customHeight="true" outlineLevel="0" collapsed="false">
      <c r="A111" s="1"/>
      <c r="B111" s="1"/>
      <c r="C111" s="1"/>
      <c r="D111" s="1"/>
      <c r="E111" s="1"/>
      <c r="F111" s="1"/>
      <c r="G111" s="1"/>
      <c r="H111" s="1"/>
      <c r="I111" s="1"/>
      <c r="J111" s="1"/>
      <c r="K111" s="1"/>
      <c r="L111" s="1"/>
    </row>
    <row r="112" customFormat="false" ht="15.75" hidden="false" customHeight="true" outlineLevel="0" collapsed="false">
      <c r="A112" s="1"/>
      <c r="B112" s="1"/>
      <c r="C112" s="1"/>
      <c r="D112" s="1"/>
      <c r="E112" s="1"/>
      <c r="F112" s="1"/>
      <c r="G112" s="1"/>
      <c r="H112" s="1"/>
      <c r="I112" s="1"/>
      <c r="J112" s="1"/>
      <c r="K112" s="1"/>
      <c r="L112" s="1"/>
    </row>
    <row r="113" customFormat="false" ht="15.75" hidden="false" customHeight="true" outlineLevel="0" collapsed="false">
      <c r="A113" s="1"/>
      <c r="B113" s="1"/>
      <c r="C113" s="1"/>
      <c r="D113" s="1"/>
      <c r="E113" s="1"/>
      <c r="F113" s="1"/>
      <c r="G113" s="1"/>
      <c r="H113" s="1"/>
      <c r="I113" s="1"/>
      <c r="J113" s="1"/>
      <c r="K113" s="1"/>
      <c r="L113" s="1"/>
    </row>
    <row r="114" customFormat="false" ht="15.75" hidden="false" customHeight="true" outlineLevel="0" collapsed="false">
      <c r="A114" s="1"/>
      <c r="B114" s="1"/>
      <c r="C114" s="1"/>
      <c r="D114" s="1"/>
      <c r="E114" s="1"/>
      <c r="F114" s="1"/>
      <c r="G114" s="1"/>
      <c r="H114" s="1"/>
      <c r="I114" s="1"/>
      <c r="J114" s="1"/>
      <c r="K114" s="1"/>
      <c r="L114" s="1"/>
    </row>
    <row r="115" customFormat="false" ht="15.75" hidden="false" customHeight="true" outlineLevel="0" collapsed="false">
      <c r="A115" s="1"/>
      <c r="B115" s="1"/>
      <c r="C115" s="1"/>
      <c r="D115" s="1"/>
      <c r="E115" s="1"/>
      <c r="F115" s="1"/>
      <c r="G115" s="1"/>
      <c r="H115" s="1"/>
      <c r="I115" s="1"/>
      <c r="J115" s="1"/>
      <c r="K115" s="1"/>
      <c r="L115" s="1"/>
    </row>
    <row r="116" customFormat="false" ht="15.75" hidden="false" customHeight="true" outlineLevel="0" collapsed="false">
      <c r="A116" s="1"/>
      <c r="B116" s="1"/>
      <c r="C116" s="1"/>
      <c r="D116" s="1"/>
      <c r="E116" s="1"/>
      <c r="F116" s="1"/>
      <c r="G116" s="1"/>
      <c r="H116" s="1"/>
      <c r="I116" s="1"/>
      <c r="J116" s="1"/>
      <c r="K116" s="1"/>
      <c r="L116" s="1"/>
    </row>
    <row r="117" customFormat="false" ht="15.75" hidden="false" customHeight="true" outlineLevel="0" collapsed="false">
      <c r="A117" s="1"/>
      <c r="B117" s="1"/>
      <c r="C117" s="1"/>
      <c r="D117" s="1"/>
      <c r="E117" s="1"/>
      <c r="F117" s="1"/>
      <c r="G117" s="1"/>
      <c r="H117" s="1"/>
      <c r="I117" s="1"/>
      <c r="J117" s="1"/>
      <c r="K117" s="1"/>
      <c r="L117" s="1"/>
    </row>
    <row r="118" customFormat="false" ht="15.75" hidden="false" customHeight="true" outlineLevel="0" collapsed="false">
      <c r="A118" s="1"/>
      <c r="B118" s="1"/>
      <c r="C118" s="1"/>
      <c r="D118" s="1"/>
      <c r="E118" s="1"/>
      <c r="F118" s="1"/>
      <c r="G118" s="1"/>
      <c r="H118" s="1"/>
      <c r="I118" s="1"/>
      <c r="J118" s="1"/>
      <c r="K118" s="1"/>
      <c r="L118" s="1"/>
    </row>
    <row r="119" customFormat="false" ht="15.75" hidden="false" customHeight="true" outlineLevel="0" collapsed="false">
      <c r="A119" s="1"/>
      <c r="B119" s="1"/>
      <c r="C119" s="1"/>
      <c r="D119" s="1"/>
      <c r="E119" s="1"/>
      <c r="F119" s="1"/>
      <c r="G119" s="1"/>
      <c r="H119" s="1"/>
      <c r="I119" s="1"/>
      <c r="J119" s="1"/>
      <c r="K119" s="1"/>
      <c r="L119" s="1"/>
    </row>
    <row r="120" customFormat="false" ht="15.75" hidden="false" customHeight="true" outlineLevel="0" collapsed="false">
      <c r="A120" s="1"/>
      <c r="B120" s="1"/>
      <c r="C120" s="1"/>
      <c r="D120" s="1"/>
      <c r="E120" s="1"/>
      <c r="F120" s="1"/>
      <c r="G120" s="1"/>
      <c r="H120" s="1"/>
      <c r="I120" s="1"/>
      <c r="J120" s="1"/>
      <c r="K120" s="1"/>
      <c r="L120" s="1"/>
    </row>
    <row r="121" customFormat="false" ht="15.75" hidden="false" customHeight="true" outlineLevel="0" collapsed="false">
      <c r="A121" s="1"/>
      <c r="B121" s="1"/>
      <c r="C121" s="1"/>
      <c r="D121" s="1"/>
      <c r="E121" s="1"/>
      <c r="F121" s="1"/>
      <c r="G121" s="1"/>
      <c r="H121" s="1"/>
      <c r="I121" s="1"/>
      <c r="J121" s="1"/>
      <c r="K121" s="1"/>
      <c r="L121" s="1"/>
    </row>
    <row r="122" customFormat="false" ht="15.75" hidden="false" customHeight="true" outlineLevel="0" collapsed="false">
      <c r="A122" s="1"/>
      <c r="B122" s="1"/>
      <c r="C122" s="1"/>
      <c r="D122" s="1"/>
      <c r="E122" s="1"/>
      <c r="F122" s="1"/>
      <c r="G122" s="1"/>
      <c r="H122" s="1"/>
      <c r="I122" s="1"/>
      <c r="J122" s="1"/>
      <c r="K122" s="1"/>
      <c r="L122" s="1"/>
    </row>
    <row r="123" customFormat="false" ht="15.75" hidden="false" customHeight="true" outlineLevel="0" collapsed="false">
      <c r="A123" s="1"/>
      <c r="B123" s="1"/>
      <c r="C123" s="1"/>
      <c r="D123" s="1"/>
      <c r="E123" s="1"/>
      <c r="F123" s="1"/>
      <c r="G123" s="1"/>
      <c r="H123" s="1"/>
      <c r="I123" s="1"/>
      <c r="J123" s="1"/>
      <c r="K123" s="1"/>
      <c r="L123" s="1"/>
    </row>
    <row r="124" customFormat="false" ht="15.75" hidden="false" customHeight="true" outlineLevel="0" collapsed="false">
      <c r="A124" s="1"/>
      <c r="B124" s="1"/>
      <c r="C124" s="1"/>
      <c r="D124" s="1"/>
      <c r="E124" s="1"/>
      <c r="F124" s="1"/>
      <c r="G124" s="1"/>
      <c r="H124" s="1"/>
      <c r="I124" s="1"/>
      <c r="J124" s="1"/>
      <c r="K124" s="1"/>
      <c r="L124" s="1"/>
    </row>
    <row r="125" customFormat="false" ht="15.75" hidden="false" customHeight="true" outlineLevel="0" collapsed="false">
      <c r="A125" s="1"/>
      <c r="B125" s="1"/>
      <c r="C125" s="1"/>
      <c r="D125" s="1"/>
      <c r="E125" s="1"/>
      <c r="F125" s="1"/>
      <c r="G125" s="1"/>
      <c r="H125" s="1"/>
      <c r="I125" s="1"/>
      <c r="J125" s="1"/>
      <c r="K125" s="1"/>
      <c r="L125" s="1"/>
    </row>
    <row r="126" customFormat="false" ht="15.75" hidden="false" customHeight="true" outlineLevel="0" collapsed="false">
      <c r="A126" s="1"/>
      <c r="B126" s="1"/>
      <c r="C126" s="1"/>
      <c r="D126" s="1"/>
      <c r="E126" s="1"/>
      <c r="F126" s="1"/>
      <c r="G126" s="1"/>
      <c r="H126" s="1"/>
      <c r="I126" s="1"/>
      <c r="J126" s="1"/>
      <c r="K126" s="1"/>
      <c r="L126" s="1"/>
    </row>
    <row r="127" customFormat="false" ht="15.75" hidden="false" customHeight="true" outlineLevel="0" collapsed="false">
      <c r="A127" s="1"/>
      <c r="B127" s="1"/>
      <c r="C127" s="1"/>
      <c r="D127" s="1"/>
      <c r="E127" s="1"/>
      <c r="F127" s="1"/>
      <c r="G127" s="1"/>
      <c r="H127" s="1"/>
      <c r="I127" s="1"/>
      <c r="J127" s="1"/>
      <c r="K127" s="1"/>
      <c r="L127" s="1"/>
    </row>
    <row r="128" customFormat="false" ht="15.75" hidden="false" customHeight="true" outlineLevel="0" collapsed="false">
      <c r="A128" s="1"/>
      <c r="B128" s="1"/>
      <c r="C128" s="1"/>
      <c r="D128" s="1"/>
      <c r="E128" s="1"/>
      <c r="F128" s="1"/>
      <c r="G128" s="1"/>
      <c r="H128" s="1"/>
      <c r="I128" s="1"/>
      <c r="J128" s="1"/>
      <c r="K128" s="1"/>
      <c r="L128" s="1"/>
    </row>
    <row r="129" customFormat="false" ht="15.75" hidden="false" customHeight="true" outlineLevel="0" collapsed="false">
      <c r="A129" s="1"/>
      <c r="B129" s="1"/>
      <c r="C129" s="1"/>
      <c r="D129" s="1"/>
      <c r="E129" s="1"/>
      <c r="F129" s="1"/>
      <c r="G129" s="1"/>
      <c r="H129" s="1"/>
      <c r="I129" s="1"/>
      <c r="J129" s="1"/>
      <c r="K129" s="1"/>
      <c r="L129" s="1"/>
    </row>
    <row r="130" customFormat="false" ht="15.75" hidden="false" customHeight="true" outlineLevel="0" collapsed="false">
      <c r="A130" s="1"/>
      <c r="B130" s="1"/>
      <c r="C130" s="1"/>
      <c r="D130" s="1"/>
      <c r="E130" s="1"/>
      <c r="F130" s="1"/>
      <c r="G130" s="1"/>
      <c r="H130" s="1"/>
      <c r="I130" s="1"/>
      <c r="J130" s="1"/>
      <c r="K130" s="1"/>
      <c r="L130" s="1"/>
    </row>
    <row r="131" customFormat="false" ht="15.75" hidden="false" customHeight="true" outlineLevel="0" collapsed="false">
      <c r="A131" s="1"/>
      <c r="B131" s="1"/>
      <c r="C131" s="1"/>
      <c r="D131" s="1"/>
      <c r="E131" s="1"/>
      <c r="F131" s="1"/>
      <c r="G131" s="1"/>
      <c r="H131" s="1"/>
      <c r="I131" s="1"/>
      <c r="J131" s="1"/>
      <c r="K131" s="1"/>
      <c r="L131" s="1"/>
    </row>
    <row r="132" customFormat="false" ht="15.75" hidden="false" customHeight="true" outlineLevel="0" collapsed="false">
      <c r="A132" s="1"/>
      <c r="B132" s="1"/>
      <c r="C132" s="1"/>
      <c r="D132" s="1"/>
      <c r="E132" s="1"/>
      <c r="F132" s="1"/>
      <c r="G132" s="1"/>
      <c r="H132" s="1"/>
      <c r="I132" s="1"/>
      <c r="J132" s="1"/>
      <c r="K132" s="1"/>
      <c r="L132" s="1"/>
    </row>
    <row r="133" customFormat="false" ht="15.75" hidden="false" customHeight="true" outlineLevel="0" collapsed="false">
      <c r="A133" s="1"/>
      <c r="B133" s="1"/>
      <c r="C133" s="1"/>
      <c r="D133" s="1"/>
      <c r="E133" s="1"/>
      <c r="F133" s="1"/>
      <c r="G133" s="1"/>
      <c r="H133" s="1"/>
      <c r="I133" s="1"/>
      <c r="J133" s="1"/>
      <c r="K133" s="1"/>
      <c r="L133" s="1"/>
    </row>
    <row r="134" customFormat="false" ht="15.75" hidden="false" customHeight="true" outlineLevel="0" collapsed="false">
      <c r="A134" s="1"/>
      <c r="B134" s="1"/>
      <c r="C134" s="1"/>
      <c r="D134" s="1"/>
      <c r="E134" s="1"/>
      <c r="F134" s="1"/>
      <c r="G134" s="1"/>
      <c r="H134" s="1"/>
      <c r="I134" s="1"/>
      <c r="J134" s="1"/>
      <c r="K134" s="1"/>
      <c r="L134" s="1"/>
    </row>
    <row r="135" customFormat="false" ht="15.75" hidden="false" customHeight="true" outlineLevel="0" collapsed="false">
      <c r="A135" s="1"/>
      <c r="B135" s="1"/>
      <c r="C135" s="1"/>
      <c r="D135" s="1"/>
      <c r="E135" s="1"/>
      <c r="F135" s="1"/>
      <c r="G135" s="1"/>
      <c r="H135" s="1"/>
      <c r="I135" s="1"/>
      <c r="J135" s="1"/>
      <c r="K135" s="1"/>
      <c r="L135" s="1"/>
    </row>
    <row r="136" customFormat="false" ht="15.75" hidden="false" customHeight="true" outlineLevel="0" collapsed="false">
      <c r="A136" s="1"/>
      <c r="B136" s="1"/>
      <c r="C136" s="1"/>
      <c r="D136" s="1"/>
      <c r="E136" s="1"/>
      <c r="F136" s="1"/>
      <c r="G136" s="1"/>
      <c r="H136" s="1"/>
      <c r="I136" s="1"/>
      <c r="J136" s="1"/>
      <c r="K136" s="1"/>
      <c r="L136" s="1"/>
    </row>
    <row r="137" customFormat="false" ht="15.75" hidden="false" customHeight="true" outlineLevel="0" collapsed="false">
      <c r="A137" s="1"/>
      <c r="B137" s="1"/>
      <c r="C137" s="1"/>
      <c r="D137" s="1"/>
      <c r="E137" s="1"/>
      <c r="F137" s="1"/>
      <c r="G137" s="1"/>
      <c r="H137" s="1"/>
      <c r="I137" s="1"/>
      <c r="J137" s="1"/>
      <c r="K137" s="1"/>
      <c r="L137" s="1"/>
    </row>
    <row r="138" customFormat="false" ht="15.75" hidden="false" customHeight="true" outlineLevel="0" collapsed="false">
      <c r="A138" s="1"/>
      <c r="B138" s="1"/>
      <c r="C138" s="1"/>
      <c r="D138" s="1"/>
      <c r="E138" s="1"/>
      <c r="F138" s="1"/>
      <c r="G138" s="1"/>
      <c r="H138" s="1"/>
      <c r="I138" s="1"/>
      <c r="J138" s="1"/>
      <c r="K138" s="1"/>
      <c r="L138" s="1"/>
    </row>
    <row r="139" customFormat="false" ht="15.75" hidden="false" customHeight="true" outlineLevel="0" collapsed="false">
      <c r="A139" s="1"/>
      <c r="B139" s="1"/>
      <c r="C139" s="1"/>
      <c r="D139" s="1"/>
      <c r="E139" s="1"/>
      <c r="F139" s="1"/>
      <c r="G139" s="1"/>
      <c r="H139" s="1"/>
      <c r="I139" s="1"/>
      <c r="J139" s="1"/>
      <c r="K139" s="1"/>
      <c r="L139" s="1"/>
    </row>
    <row r="140" customFormat="false" ht="15.75" hidden="false" customHeight="true" outlineLevel="0" collapsed="false">
      <c r="A140" s="1"/>
      <c r="B140" s="1"/>
      <c r="C140" s="1"/>
      <c r="D140" s="1"/>
      <c r="E140" s="1"/>
      <c r="F140" s="1"/>
      <c r="G140" s="1"/>
      <c r="H140" s="1"/>
      <c r="I140" s="1"/>
      <c r="J140" s="1"/>
      <c r="K140" s="1"/>
      <c r="L140" s="1"/>
    </row>
    <row r="141" customFormat="false" ht="15.75" hidden="false" customHeight="true" outlineLevel="0" collapsed="false">
      <c r="A141" s="1"/>
      <c r="B141" s="1"/>
      <c r="C141" s="1"/>
      <c r="D141" s="1"/>
      <c r="E141" s="1"/>
      <c r="F141" s="1"/>
      <c r="G141" s="1"/>
      <c r="H141" s="1"/>
      <c r="I141" s="1"/>
      <c r="J141" s="1"/>
      <c r="K141" s="1"/>
      <c r="L141" s="1"/>
    </row>
    <row r="142" customFormat="false" ht="15.75" hidden="false" customHeight="true" outlineLevel="0" collapsed="false">
      <c r="A142" s="1"/>
      <c r="B142" s="1"/>
      <c r="C142" s="1"/>
      <c r="D142" s="1"/>
      <c r="E142" s="1"/>
      <c r="F142" s="1"/>
      <c r="G142" s="1"/>
      <c r="H142" s="1"/>
      <c r="I142" s="1"/>
      <c r="J142" s="1"/>
      <c r="K142" s="1"/>
      <c r="L142" s="1"/>
    </row>
    <row r="143" customFormat="false" ht="15.75" hidden="false" customHeight="true" outlineLevel="0" collapsed="false">
      <c r="A143" s="1"/>
      <c r="B143" s="1"/>
      <c r="C143" s="1"/>
      <c r="D143" s="1"/>
      <c r="E143" s="1"/>
      <c r="F143" s="1"/>
      <c r="G143" s="1"/>
      <c r="H143" s="1"/>
      <c r="I143" s="1"/>
      <c r="J143" s="1"/>
      <c r="K143" s="1"/>
      <c r="L143" s="1"/>
    </row>
    <row r="144" customFormat="false" ht="15.75" hidden="false" customHeight="true" outlineLevel="0" collapsed="false">
      <c r="A144" s="1"/>
      <c r="B144" s="1"/>
      <c r="C144" s="1"/>
      <c r="D144" s="1"/>
      <c r="E144" s="1"/>
      <c r="F144" s="1"/>
      <c r="G144" s="1"/>
      <c r="H144" s="1"/>
      <c r="I144" s="1"/>
      <c r="J144" s="1"/>
      <c r="K144" s="1"/>
      <c r="L144" s="1"/>
    </row>
    <row r="145" customFormat="false" ht="15.75" hidden="false" customHeight="true" outlineLevel="0" collapsed="false">
      <c r="A145" s="1"/>
      <c r="B145" s="1"/>
      <c r="C145" s="1"/>
      <c r="D145" s="1"/>
      <c r="E145" s="1"/>
      <c r="F145" s="1"/>
      <c r="G145" s="1"/>
      <c r="H145" s="1"/>
      <c r="I145" s="1"/>
      <c r="J145" s="1"/>
      <c r="K145" s="1"/>
      <c r="L145" s="1"/>
    </row>
    <row r="146" customFormat="false" ht="15.75" hidden="false" customHeight="true" outlineLevel="0" collapsed="false">
      <c r="A146" s="1"/>
      <c r="B146" s="1"/>
      <c r="C146" s="1"/>
      <c r="D146" s="1"/>
      <c r="E146" s="1"/>
      <c r="F146" s="1"/>
      <c r="G146" s="1"/>
      <c r="H146" s="1"/>
      <c r="I146" s="1"/>
      <c r="J146" s="1"/>
      <c r="K146" s="1"/>
      <c r="L146" s="1"/>
    </row>
    <row r="147" customFormat="false" ht="15.75" hidden="false" customHeight="true" outlineLevel="0" collapsed="false">
      <c r="A147" s="1"/>
      <c r="B147" s="1"/>
      <c r="C147" s="1"/>
      <c r="D147" s="1"/>
      <c r="E147" s="1"/>
      <c r="F147" s="1"/>
      <c r="G147" s="1"/>
      <c r="H147" s="1"/>
      <c r="I147" s="1"/>
      <c r="J147" s="1"/>
      <c r="K147" s="1"/>
      <c r="L147" s="1"/>
    </row>
    <row r="148" customFormat="false" ht="15.75" hidden="false" customHeight="true" outlineLevel="0" collapsed="false">
      <c r="A148" s="1"/>
      <c r="B148" s="1"/>
      <c r="C148" s="1"/>
      <c r="D148" s="1"/>
      <c r="E148" s="1"/>
      <c r="F148" s="1"/>
      <c r="G148" s="1"/>
      <c r="H148" s="1"/>
      <c r="I148" s="1"/>
      <c r="J148" s="1"/>
      <c r="K148" s="1"/>
      <c r="L148" s="1"/>
    </row>
    <row r="149" customFormat="false" ht="15.75" hidden="false" customHeight="true" outlineLevel="0" collapsed="false">
      <c r="A149" s="1"/>
      <c r="B149" s="1"/>
      <c r="C149" s="1"/>
      <c r="D149" s="1"/>
      <c r="E149" s="1"/>
      <c r="F149" s="1"/>
      <c r="G149" s="1"/>
      <c r="H149" s="1"/>
      <c r="I149" s="1"/>
      <c r="J149" s="1"/>
      <c r="K149" s="1"/>
      <c r="L149" s="1"/>
    </row>
    <row r="150" customFormat="false" ht="15.75" hidden="false" customHeight="true" outlineLevel="0" collapsed="false">
      <c r="A150" s="1"/>
      <c r="B150" s="1"/>
      <c r="C150" s="1"/>
      <c r="D150" s="1"/>
      <c r="E150" s="1"/>
      <c r="F150" s="1"/>
      <c r="G150" s="1"/>
      <c r="H150" s="1"/>
      <c r="I150" s="1"/>
      <c r="J150" s="1"/>
      <c r="K150" s="1"/>
      <c r="L150" s="1"/>
    </row>
    <row r="151" customFormat="false" ht="15.75" hidden="false" customHeight="true" outlineLevel="0" collapsed="false">
      <c r="A151" s="1"/>
      <c r="B151" s="1"/>
      <c r="C151" s="1"/>
      <c r="D151" s="1"/>
      <c r="E151" s="1"/>
      <c r="F151" s="1"/>
      <c r="G151" s="1"/>
      <c r="H151" s="1"/>
      <c r="I151" s="1"/>
      <c r="J151" s="1"/>
      <c r="K151" s="1"/>
      <c r="L151" s="1"/>
    </row>
    <row r="152" customFormat="false" ht="15.75" hidden="false" customHeight="true" outlineLevel="0" collapsed="false">
      <c r="A152" s="1"/>
      <c r="B152" s="1"/>
      <c r="C152" s="1"/>
      <c r="D152" s="1"/>
      <c r="E152" s="1"/>
      <c r="F152" s="1"/>
      <c r="G152" s="1"/>
      <c r="H152" s="1"/>
      <c r="I152" s="1"/>
      <c r="J152" s="1"/>
      <c r="K152" s="1"/>
      <c r="L152" s="1"/>
    </row>
    <row r="153" customFormat="false" ht="15.75" hidden="false" customHeight="true" outlineLevel="0" collapsed="false">
      <c r="A153" s="1"/>
      <c r="B153" s="1"/>
      <c r="C153" s="1"/>
      <c r="D153" s="1"/>
      <c r="E153" s="1"/>
      <c r="F153" s="1"/>
      <c r="G153" s="1"/>
      <c r="H153" s="1"/>
      <c r="I153" s="1"/>
      <c r="J153" s="1"/>
      <c r="K153" s="1"/>
      <c r="L153" s="1"/>
    </row>
    <row r="154" customFormat="false" ht="15.75" hidden="false" customHeight="true" outlineLevel="0" collapsed="false">
      <c r="A154" s="1"/>
      <c r="B154" s="1"/>
      <c r="C154" s="1"/>
      <c r="D154" s="1"/>
      <c r="E154" s="1"/>
      <c r="F154" s="1"/>
      <c r="G154" s="1"/>
      <c r="H154" s="1"/>
      <c r="I154" s="1"/>
      <c r="J154" s="1"/>
      <c r="K154" s="1"/>
      <c r="L154" s="1"/>
    </row>
    <row r="155" customFormat="false" ht="15.75" hidden="false" customHeight="true" outlineLevel="0" collapsed="false">
      <c r="A155" s="1"/>
      <c r="B155" s="1"/>
      <c r="C155" s="1"/>
      <c r="D155" s="1"/>
      <c r="E155" s="1"/>
      <c r="F155" s="1"/>
      <c r="G155" s="1"/>
      <c r="H155" s="1"/>
      <c r="I155" s="1"/>
      <c r="J155" s="1"/>
      <c r="K155" s="1"/>
      <c r="L155" s="1"/>
    </row>
    <row r="156" customFormat="false" ht="15.75" hidden="false" customHeight="true" outlineLevel="0" collapsed="false">
      <c r="A156" s="1"/>
      <c r="B156" s="1"/>
      <c r="C156" s="1"/>
      <c r="D156" s="1"/>
      <c r="E156" s="1"/>
      <c r="F156" s="1"/>
      <c r="G156" s="1"/>
      <c r="H156" s="1"/>
      <c r="I156" s="1"/>
      <c r="J156" s="1"/>
      <c r="K156" s="1"/>
      <c r="L156" s="1"/>
    </row>
    <row r="157" customFormat="false" ht="15.75" hidden="false" customHeight="true" outlineLevel="0" collapsed="false">
      <c r="A157" s="1"/>
      <c r="B157" s="1"/>
      <c r="C157" s="1"/>
      <c r="D157" s="1"/>
      <c r="E157" s="1"/>
      <c r="F157" s="1"/>
      <c r="G157" s="1"/>
      <c r="H157" s="1"/>
      <c r="I157" s="1"/>
      <c r="J157" s="1"/>
      <c r="K157" s="1"/>
      <c r="L157" s="1"/>
    </row>
    <row r="158" customFormat="false" ht="15.75" hidden="false" customHeight="true" outlineLevel="0" collapsed="false">
      <c r="A158" s="1"/>
      <c r="B158" s="1"/>
      <c r="C158" s="1"/>
      <c r="D158" s="1"/>
      <c r="E158" s="1"/>
      <c r="F158" s="1"/>
      <c r="G158" s="1"/>
      <c r="H158" s="1"/>
      <c r="I158" s="1"/>
      <c r="J158" s="1"/>
      <c r="K158" s="1"/>
      <c r="L158" s="1"/>
    </row>
    <row r="159" customFormat="false" ht="15.75" hidden="false" customHeight="true" outlineLevel="0" collapsed="false">
      <c r="A159" s="1"/>
      <c r="B159" s="1"/>
      <c r="C159" s="1"/>
      <c r="D159" s="1"/>
      <c r="E159" s="1"/>
      <c r="F159" s="1"/>
      <c r="G159" s="1"/>
      <c r="H159" s="1"/>
      <c r="I159" s="1"/>
      <c r="J159" s="1"/>
      <c r="K159" s="1"/>
      <c r="L159" s="1"/>
    </row>
    <row r="160" customFormat="false" ht="15.75" hidden="false" customHeight="true" outlineLevel="0" collapsed="false">
      <c r="A160" s="1"/>
      <c r="B160" s="1"/>
      <c r="C160" s="1"/>
      <c r="D160" s="1"/>
      <c r="E160" s="1"/>
      <c r="F160" s="1"/>
      <c r="G160" s="1"/>
      <c r="H160" s="1"/>
      <c r="I160" s="1"/>
      <c r="J160" s="1"/>
      <c r="K160" s="1"/>
      <c r="L160" s="1"/>
    </row>
    <row r="161" customFormat="false" ht="15.75" hidden="false" customHeight="true" outlineLevel="0" collapsed="false">
      <c r="A161" s="1"/>
      <c r="B161" s="1"/>
      <c r="C161" s="1"/>
      <c r="D161" s="1"/>
      <c r="E161" s="1"/>
      <c r="F161" s="1"/>
      <c r="G161" s="1"/>
      <c r="H161" s="1"/>
      <c r="I161" s="1"/>
      <c r="J161" s="1"/>
      <c r="K161" s="1"/>
      <c r="L161" s="1"/>
    </row>
    <row r="162" customFormat="false" ht="15.75" hidden="false" customHeight="true" outlineLevel="0" collapsed="false">
      <c r="A162" s="1"/>
      <c r="B162" s="1"/>
      <c r="C162" s="1"/>
      <c r="D162" s="1"/>
      <c r="E162" s="1"/>
      <c r="F162" s="1"/>
      <c r="G162" s="1"/>
      <c r="H162" s="1"/>
      <c r="I162" s="1"/>
      <c r="J162" s="1"/>
      <c r="K162" s="1"/>
      <c r="L162" s="1"/>
    </row>
    <row r="163" customFormat="false" ht="15.75" hidden="false" customHeight="true" outlineLevel="0" collapsed="false">
      <c r="A163" s="1"/>
      <c r="B163" s="1"/>
      <c r="C163" s="1"/>
      <c r="D163" s="1"/>
      <c r="E163" s="1"/>
      <c r="F163" s="1"/>
      <c r="G163" s="1"/>
      <c r="H163" s="1"/>
      <c r="I163" s="1"/>
      <c r="J163" s="1"/>
      <c r="K163" s="1"/>
      <c r="L163" s="1"/>
    </row>
    <row r="164" customFormat="false" ht="15.75" hidden="false" customHeight="true" outlineLevel="0" collapsed="false">
      <c r="A164" s="1"/>
      <c r="B164" s="1"/>
      <c r="C164" s="1"/>
      <c r="D164" s="1"/>
      <c r="E164" s="1"/>
      <c r="F164" s="1"/>
      <c r="G164" s="1"/>
      <c r="H164" s="1"/>
      <c r="I164" s="1"/>
      <c r="J164" s="1"/>
      <c r="K164" s="1"/>
      <c r="L164" s="1"/>
    </row>
    <row r="165" customFormat="false" ht="15.75" hidden="false" customHeight="true" outlineLevel="0" collapsed="false">
      <c r="A165" s="1"/>
      <c r="B165" s="1"/>
      <c r="C165" s="1"/>
      <c r="D165" s="1"/>
      <c r="E165" s="1"/>
      <c r="F165" s="1"/>
      <c r="G165" s="1"/>
      <c r="H165" s="1"/>
      <c r="I165" s="1"/>
      <c r="J165" s="1"/>
      <c r="K165" s="1"/>
      <c r="L165" s="1"/>
    </row>
    <row r="166" customFormat="false" ht="15.75" hidden="false" customHeight="true" outlineLevel="0" collapsed="false">
      <c r="A166" s="1"/>
      <c r="B166" s="1"/>
      <c r="C166" s="1"/>
      <c r="D166" s="1"/>
      <c r="E166" s="1"/>
      <c r="F166" s="1"/>
      <c r="G166" s="1"/>
      <c r="H166" s="1"/>
      <c r="I166" s="1"/>
      <c r="J166" s="1"/>
      <c r="K166" s="1"/>
      <c r="L166" s="1"/>
    </row>
    <row r="167" customFormat="false" ht="15.75" hidden="false" customHeight="true" outlineLevel="0" collapsed="false">
      <c r="A167" s="1"/>
      <c r="B167" s="1"/>
      <c r="C167" s="1"/>
      <c r="D167" s="1"/>
      <c r="E167" s="1"/>
      <c r="F167" s="1"/>
      <c r="G167" s="1"/>
      <c r="H167" s="1"/>
      <c r="I167" s="1"/>
      <c r="J167" s="1"/>
      <c r="K167" s="1"/>
      <c r="L167" s="1"/>
    </row>
    <row r="168" customFormat="false" ht="15.75" hidden="false" customHeight="true" outlineLevel="0" collapsed="false">
      <c r="A168" s="1"/>
      <c r="B168" s="1"/>
      <c r="C168" s="1"/>
      <c r="D168" s="1"/>
      <c r="E168" s="1"/>
      <c r="F168" s="1"/>
      <c r="G168" s="1"/>
      <c r="H168" s="1"/>
      <c r="I168" s="1"/>
      <c r="J168" s="1"/>
      <c r="K168" s="1"/>
      <c r="L168" s="1"/>
    </row>
    <row r="169" customFormat="false" ht="15.75" hidden="false" customHeight="true" outlineLevel="0" collapsed="false">
      <c r="A169" s="1"/>
      <c r="B169" s="1"/>
      <c r="C169" s="1"/>
      <c r="D169" s="1"/>
      <c r="E169" s="1"/>
      <c r="F169" s="1"/>
      <c r="G169" s="1"/>
      <c r="H169" s="1"/>
      <c r="I169" s="1"/>
      <c r="J169" s="1"/>
      <c r="K169" s="1"/>
      <c r="L169" s="1"/>
    </row>
    <row r="170" customFormat="false" ht="15.75" hidden="false" customHeight="true" outlineLevel="0" collapsed="false">
      <c r="A170" s="1"/>
      <c r="B170" s="1"/>
      <c r="C170" s="1"/>
      <c r="D170" s="1"/>
      <c r="E170" s="1"/>
      <c r="F170" s="1"/>
      <c r="G170" s="1"/>
      <c r="H170" s="1"/>
      <c r="I170" s="1"/>
      <c r="J170" s="1"/>
      <c r="K170" s="1"/>
      <c r="L170" s="1"/>
    </row>
    <row r="171" customFormat="false" ht="15.75" hidden="false" customHeight="true" outlineLevel="0" collapsed="false">
      <c r="A171" s="1"/>
      <c r="B171" s="1"/>
      <c r="C171" s="1"/>
      <c r="D171" s="1"/>
      <c r="E171" s="1"/>
      <c r="F171" s="1"/>
      <c r="G171" s="1"/>
      <c r="H171" s="1"/>
      <c r="I171" s="1"/>
      <c r="J171" s="1"/>
      <c r="K171" s="1"/>
      <c r="L171" s="1"/>
    </row>
    <row r="172" customFormat="false" ht="15.75" hidden="false" customHeight="true" outlineLevel="0" collapsed="false">
      <c r="A172" s="1"/>
      <c r="B172" s="1"/>
      <c r="C172" s="1"/>
      <c r="D172" s="1"/>
      <c r="E172" s="1"/>
      <c r="F172" s="1"/>
      <c r="G172" s="1"/>
      <c r="H172" s="1"/>
      <c r="I172" s="1"/>
      <c r="J172" s="1"/>
      <c r="K172" s="1"/>
      <c r="L172" s="1"/>
    </row>
    <row r="173" customFormat="false" ht="15.75" hidden="false" customHeight="true" outlineLevel="0" collapsed="false">
      <c r="A173" s="1"/>
      <c r="B173" s="1"/>
      <c r="C173" s="1"/>
      <c r="D173" s="1"/>
      <c r="E173" s="1"/>
      <c r="F173" s="1"/>
      <c r="G173" s="1"/>
      <c r="H173" s="1"/>
      <c r="I173" s="1"/>
      <c r="J173" s="1"/>
      <c r="K173" s="1"/>
      <c r="L173" s="1"/>
    </row>
    <row r="174" customFormat="false" ht="15.75" hidden="false" customHeight="true" outlineLevel="0" collapsed="false">
      <c r="A174" s="1"/>
      <c r="B174" s="1"/>
      <c r="C174" s="1"/>
      <c r="D174" s="1"/>
      <c r="E174" s="1"/>
      <c r="F174" s="1"/>
      <c r="G174" s="1"/>
      <c r="H174" s="1"/>
      <c r="I174" s="1"/>
      <c r="J174" s="1"/>
      <c r="K174" s="1"/>
      <c r="L174" s="1"/>
    </row>
    <row r="175" customFormat="false" ht="15.75" hidden="false" customHeight="true" outlineLevel="0" collapsed="false">
      <c r="A175" s="1"/>
      <c r="B175" s="1"/>
      <c r="C175" s="1"/>
      <c r="D175" s="1"/>
      <c r="E175" s="1"/>
      <c r="F175" s="1"/>
      <c r="G175" s="1"/>
      <c r="H175" s="1"/>
      <c r="I175" s="1"/>
      <c r="J175" s="1"/>
      <c r="K175" s="1"/>
      <c r="L175" s="1"/>
    </row>
    <row r="176" customFormat="false" ht="15.75" hidden="false" customHeight="true" outlineLevel="0" collapsed="false">
      <c r="A176" s="1"/>
      <c r="B176" s="1"/>
      <c r="C176" s="1"/>
      <c r="D176" s="1"/>
      <c r="E176" s="1"/>
      <c r="F176" s="1"/>
      <c r="G176" s="1"/>
      <c r="H176" s="1"/>
      <c r="I176" s="1"/>
      <c r="J176" s="1"/>
      <c r="K176" s="1"/>
      <c r="L176" s="1"/>
    </row>
    <row r="177" customFormat="false" ht="15.75" hidden="false" customHeight="true" outlineLevel="0" collapsed="false">
      <c r="A177" s="1"/>
      <c r="B177" s="1"/>
      <c r="C177" s="1"/>
      <c r="D177" s="1"/>
      <c r="E177" s="1"/>
      <c r="F177" s="1"/>
      <c r="G177" s="1"/>
      <c r="H177" s="1"/>
      <c r="I177" s="1"/>
      <c r="J177" s="1"/>
      <c r="K177" s="1"/>
      <c r="L177" s="1"/>
    </row>
    <row r="178" customFormat="false" ht="15.75" hidden="false" customHeight="true" outlineLevel="0" collapsed="false">
      <c r="A178" s="1"/>
      <c r="B178" s="1"/>
      <c r="C178" s="1"/>
      <c r="D178" s="1"/>
      <c r="E178" s="1"/>
      <c r="F178" s="1"/>
      <c r="G178" s="1"/>
      <c r="H178" s="1"/>
      <c r="I178" s="1"/>
      <c r="J178" s="1"/>
      <c r="K178" s="1"/>
      <c r="L178" s="1"/>
    </row>
    <row r="179" customFormat="false" ht="15.75" hidden="false" customHeight="true" outlineLevel="0" collapsed="false">
      <c r="A179" s="1"/>
      <c r="B179" s="1"/>
      <c r="C179" s="1"/>
      <c r="D179" s="1"/>
      <c r="E179" s="1"/>
      <c r="F179" s="1"/>
      <c r="G179" s="1"/>
      <c r="H179" s="1"/>
      <c r="I179" s="1"/>
      <c r="J179" s="1"/>
      <c r="K179" s="1"/>
      <c r="L179" s="1"/>
    </row>
    <row r="180" customFormat="false" ht="15.75" hidden="false" customHeight="true" outlineLevel="0" collapsed="false">
      <c r="A180" s="1"/>
      <c r="B180" s="1"/>
      <c r="C180" s="1"/>
      <c r="D180" s="1"/>
      <c r="E180" s="1"/>
      <c r="F180" s="1"/>
      <c r="G180" s="1"/>
      <c r="H180" s="1"/>
      <c r="I180" s="1"/>
      <c r="J180" s="1"/>
      <c r="K180" s="1"/>
      <c r="L180" s="1"/>
    </row>
    <row r="181" customFormat="false" ht="15.75" hidden="false" customHeight="true" outlineLevel="0" collapsed="false">
      <c r="A181" s="1"/>
      <c r="B181" s="1"/>
      <c r="C181" s="1"/>
      <c r="D181" s="1"/>
      <c r="E181" s="1"/>
      <c r="F181" s="1"/>
      <c r="G181" s="1"/>
      <c r="H181" s="1"/>
      <c r="I181" s="1"/>
      <c r="J181" s="1"/>
      <c r="K181" s="1"/>
      <c r="L181" s="1"/>
    </row>
    <row r="182" customFormat="false" ht="15.75" hidden="false" customHeight="true" outlineLevel="0" collapsed="false">
      <c r="A182" s="1"/>
      <c r="B182" s="1"/>
      <c r="C182" s="1"/>
      <c r="D182" s="1"/>
      <c r="E182" s="1"/>
      <c r="F182" s="1"/>
      <c r="G182" s="1"/>
      <c r="H182" s="1"/>
      <c r="I182" s="1"/>
      <c r="J182" s="1"/>
      <c r="K182" s="1"/>
      <c r="L182" s="1"/>
    </row>
    <row r="183" customFormat="false" ht="15.75" hidden="false" customHeight="true" outlineLevel="0" collapsed="false">
      <c r="A183" s="1"/>
      <c r="B183" s="1"/>
      <c r="C183" s="1"/>
      <c r="D183" s="1"/>
      <c r="E183" s="1"/>
      <c r="F183" s="1"/>
      <c r="G183" s="1"/>
      <c r="H183" s="1"/>
      <c r="I183" s="1"/>
      <c r="J183" s="1"/>
      <c r="K183" s="1"/>
      <c r="L183" s="1"/>
    </row>
    <row r="184" customFormat="false" ht="15.75" hidden="false" customHeight="true" outlineLevel="0" collapsed="false">
      <c r="A184" s="1"/>
      <c r="B184" s="1"/>
      <c r="C184" s="1"/>
      <c r="D184" s="1"/>
      <c r="E184" s="1"/>
      <c r="F184" s="1"/>
      <c r="G184" s="1"/>
      <c r="H184" s="1"/>
      <c r="I184" s="1"/>
      <c r="J184" s="1"/>
      <c r="K184" s="1"/>
      <c r="L184" s="1"/>
    </row>
    <row r="185" customFormat="false" ht="15.75" hidden="false" customHeight="true" outlineLevel="0" collapsed="false">
      <c r="A185" s="1"/>
      <c r="B185" s="1"/>
      <c r="C185" s="1"/>
      <c r="D185" s="1"/>
      <c r="E185" s="1"/>
      <c r="F185" s="1"/>
      <c r="G185" s="1"/>
      <c r="H185" s="1"/>
      <c r="I185" s="1"/>
      <c r="J185" s="1"/>
      <c r="K185" s="1"/>
      <c r="L185" s="1"/>
    </row>
    <row r="186" customFormat="false" ht="15.75" hidden="false" customHeight="true" outlineLevel="0" collapsed="false">
      <c r="A186" s="1"/>
      <c r="B186" s="1"/>
      <c r="C186" s="1"/>
      <c r="D186" s="1"/>
      <c r="E186" s="1"/>
      <c r="F186" s="1"/>
      <c r="G186" s="1"/>
      <c r="H186" s="1"/>
      <c r="I186" s="1"/>
      <c r="J186" s="1"/>
      <c r="K186" s="1"/>
      <c r="L186" s="1"/>
    </row>
    <row r="187" customFormat="false" ht="15.75" hidden="false" customHeight="true" outlineLevel="0" collapsed="false">
      <c r="A187" s="1"/>
      <c r="B187" s="1"/>
      <c r="C187" s="1"/>
      <c r="D187" s="1"/>
      <c r="E187" s="1"/>
      <c r="F187" s="1"/>
      <c r="G187" s="1"/>
      <c r="H187" s="1"/>
      <c r="I187" s="1"/>
      <c r="J187" s="1"/>
      <c r="K187" s="1"/>
      <c r="L187" s="1"/>
    </row>
    <row r="188" customFormat="false" ht="15.75" hidden="false" customHeight="true" outlineLevel="0" collapsed="false">
      <c r="A188" s="1"/>
      <c r="B188" s="1"/>
      <c r="C188" s="1"/>
      <c r="D188" s="1"/>
      <c r="E188" s="1"/>
      <c r="F188" s="1"/>
      <c r="G188" s="1"/>
      <c r="H188" s="1"/>
      <c r="I188" s="1"/>
      <c r="J188" s="1"/>
      <c r="K188" s="1"/>
      <c r="L188" s="1"/>
    </row>
    <row r="189" customFormat="false" ht="15.75" hidden="false" customHeight="true" outlineLevel="0" collapsed="false">
      <c r="A189" s="1"/>
      <c r="B189" s="1"/>
      <c r="C189" s="1"/>
      <c r="D189" s="1"/>
      <c r="E189" s="1"/>
      <c r="F189" s="1"/>
      <c r="G189" s="1"/>
      <c r="H189" s="1"/>
      <c r="I189" s="1"/>
      <c r="J189" s="1"/>
      <c r="K189" s="1"/>
      <c r="L189" s="1"/>
    </row>
    <row r="190" customFormat="false" ht="15.75" hidden="false" customHeight="true" outlineLevel="0" collapsed="false">
      <c r="A190" s="1"/>
      <c r="B190" s="1"/>
      <c r="C190" s="1"/>
      <c r="D190" s="1"/>
      <c r="E190" s="1"/>
      <c r="F190" s="1"/>
      <c r="G190" s="1"/>
      <c r="H190" s="1"/>
      <c r="I190" s="1"/>
      <c r="J190" s="1"/>
      <c r="K190" s="1"/>
      <c r="L190" s="1"/>
    </row>
    <row r="191" customFormat="false" ht="15.75" hidden="false" customHeight="true" outlineLevel="0" collapsed="false">
      <c r="A191" s="1"/>
      <c r="B191" s="1"/>
      <c r="C191" s="1"/>
      <c r="D191" s="1"/>
      <c r="E191" s="1"/>
      <c r="F191" s="1"/>
      <c r="G191" s="1"/>
      <c r="H191" s="1"/>
      <c r="I191" s="1"/>
      <c r="J191" s="1"/>
      <c r="K191" s="1"/>
      <c r="L191" s="1"/>
    </row>
    <row r="192" customFormat="false" ht="15.75" hidden="false" customHeight="true" outlineLevel="0" collapsed="false">
      <c r="A192" s="1"/>
      <c r="B192" s="1"/>
      <c r="C192" s="1"/>
      <c r="D192" s="1"/>
      <c r="E192" s="1"/>
      <c r="F192" s="1"/>
      <c r="G192" s="1"/>
      <c r="H192" s="1"/>
      <c r="I192" s="1"/>
      <c r="J192" s="1"/>
      <c r="K192" s="1"/>
      <c r="L192" s="1"/>
    </row>
    <row r="193" customFormat="false" ht="15.75" hidden="false" customHeight="true" outlineLevel="0" collapsed="false">
      <c r="A193" s="1"/>
      <c r="B193" s="1"/>
      <c r="C193" s="1"/>
      <c r="D193" s="1"/>
      <c r="E193" s="1"/>
      <c r="F193" s="1"/>
      <c r="G193" s="1"/>
      <c r="H193" s="1"/>
      <c r="I193" s="1"/>
      <c r="J193" s="1"/>
      <c r="K193" s="1"/>
      <c r="L193" s="1"/>
    </row>
    <row r="194" customFormat="false" ht="15.75" hidden="false" customHeight="true" outlineLevel="0" collapsed="false">
      <c r="A194" s="1"/>
      <c r="B194" s="1"/>
      <c r="C194" s="1"/>
      <c r="D194" s="1"/>
      <c r="E194" s="1"/>
      <c r="F194" s="1"/>
      <c r="G194" s="1"/>
      <c r="H194" s="1"/>
      <c r="I194" s="1"/>
      <c r="J194" s="1"/>
      <c r="K194" s="1"/>
      <c r="L194" s="1"/>
    </row>
    <row r="195" customFormat="false" ht="15.75" hidden="false" customHeight="true" outlineLevel="0" collapsed="false">
      <c r="A195" s="1"/>
      <c r="B195" s="1"/>
      <c r="C195" s="1"/>
      <c r="D195" s="1"/>
      <c r="E195" s="1"/>
      <c r="F195" s="1"/>
      <c r="G195" s="1"/>
      <c r="H195" s="1"/>
      <c r="I195" s="1"/>
      <c r="J195" s="1"/>
      <c r="K195" s="1"/>
      <c r="L195" s="1"/>
    </row>
    <row r="196" customFormat="false" ht="15.75" hidden="false" customHeight="true" outlineLevel="0" collapsed="false">
      <c r="A196" s="1"/>
      <c r="B196" s="1"/>
      <c r="C196" s="1"/>
      <c r="D196" s="1"/>
      <c r="E196" s="1"/>
      <c r="F196" s="1"/>
      <c r="G196" s="1"/>
      <c r="H196" s="1"/>
      <c r="I196" s="1"/>
      <c r="J196" s="1"/>
      <c r="K196" s="1"/>
      <c r="L196" s="1"/>
    </row>
    <row r="197" customFormat="false" ht="15.75" hidden="false" customHeight="true" outlineLevel="0" collapsed="false">
      <c r="A197" s="1"/>
      <c r="B197" s="1"/>
      <c r="C197" s="1"/>
      <c r="D197" s="1"/>
      <c r="E197" s="1"/>
      <c r="F197" s="1"/>
      <c r="G197" s="1"/>
      <c r="H197" s="1"/>
      <c r="I197" s="1"/>
      <c r="J197" s="1"/>
      <c r="K197" s="1"/>
      <c r="L197" s="1"/>
    </row>
    <row r="198" customFormat="false" ht="15.75" hidden="false" customHeight="true" outlineLevel="0" collapsed="false">
      <c r="A198" s="1"/>
      <c r="B198" s="1"/>
      <c r="C198" s="1"/>
      <c r="D198" s="1"/>
      <c r="E198" s="1"/>
      <c r="F198" s="1"/>
      <c r="G198" s="1"/>
      <c r="H198" s="1"/>
      <c r="I198" s="1"/>
      <c r="J198" s="1"/>
      <c r="K198" s="1"/>
      <c r="L198" s="1"/>
    </row>
    <row r="199" customFormat="false" ht="15.75" hidden="false" customHeight="true" outlineLevel="0" collapsed="false">
      <c r="A199" s="1"/>
      <c r="B199" s="1"/>
      <c r="C199" s="1"/>
      <c r="D199" s="1"/>
      <c r="E199" s="1"/>
      <c r="F199" s="1"/>
      <c r="G199" s="1"/>
      <c r="H199" s="1"/>
      <c r="I199" s="1"/>
      <c r="J199" s="1"/>
      <c r="K199" s="1"/>
      <c r="L199" s="1"/>
    </row>
    <row r="200" customFormat="false" ht="15.75" hidden="false" customHeight="true" outlineLevel="0" collapsed="false">
      <c r="A200" s="1"/>
      <c r="B200" s="1"/>
      <c r="C200" s="1"/>
      <c r="D200" s="1"/>
      <c r="E200" s="1"/>
      <c r="F200" s="1"/>
      <c r="G200" s="1"/>
      <c r="H200" s="1"/>
      <c r="I200" s="1"/>
      <c r="J200" s="1"/>
      <c r="K200" s="1"/>
      <c r="L200" s="1"/>
    </row>
    <row r="201" customFormat="false" ht="15.75" hidden="false" customHeight="true" outlineLevel="0" collapsed="false">
      <c r="A201" s="1"/>
      <c r="B201" s="1"/>
      <c r="C201" s="1"/>
      <c r="D201" s="1"/>
      <c r="E201" s="1"/>
      <c r="F201" s="1"/>
      <c r="G201" s="1"/>
      <c r="H201" s="1"/>
      <c r="I201" s="1"/>
      <c r="J201" s="1"/>
      <c r="K201" s="1"/>
      <c r="L201" s="1"/>
    </row>
    <row r="202" customFormat="false" ht="15.75" hidden="false" customHeight="true" outlineLevel="0" collapsed="false">
      <c r="A202" s="1"/>
      <c r="B202" s="1"/>
      <c r="C202" s="1"/>
      <c r="D202" s="1"/>
      <c r="E202" s="1"/>
      <c r="F202" s="1"/>
      <c r="G202" s="1"/>
      <c r="H202" s="1"/>
      <c r="I202" s="1"/>
      <c r="J202" s="1"/>
      <c r="K202" s="1"/>
      <c r="L202" s="1"/>
    </row>
    <row r="203" customFormat="false" ht="15.75" hidden="false" customHeight="true" outlineLevel="0" collapsed="false">
      <c r="A203" s="1"/>
      <c r="B203" s="1"/>
      <c r="C203" s="1"/>
      <c r="D203" s="1"/>
      <c r="E203" s="1"/>
      <c r="F203" s="1"/>
      <c r="G203" s="1"/>
      <c r="H203" s="1"/>
      <c r="I203" s="1"/>
      <c r="J203" s="1"/>
      <c r="K203" s="1"/>
      <c r="L203" s="1"/>
    </row>
    <row r="204" customFormat="false" ht="15.75" hidden="false" customHeight="true" outlineLevel="0" collapsed="false">
      <c r="A204" s="1"/>
      <c r="B204" s="1"/>
      <c r="C204" s="1"/>
      <c r="D204" s="1"/>
      <c r="E204" s="1"/>
      <c r="F204" s="1"/>
      <c r="G204" s="1"/>
      <c r="H204" s="1"/>
      <c r="I204" s="1"/>
      <c r="J204" s="1"/>
      <c r="K204" s="1"/>
      <c r="L204" s="1"/>
    </row>
    <row r="205" customFormat="false" ht="15.75" hidden="false" customHeight="true" outlineLevel="0" collapsed="false">
      <c r="A205" s="1"/>
      <c r="B205" s="1"/>
      <c r="C205" s="1"/>
      <c r="D205" s="1"/>
      <c r="E205" s="1"/>
      <c r="F205" s="1"/>
      <c r="G205" s="1"/>
      <c r="H205" s="1"/>
      <c r="I205" s="1"/>
      <c r="J205" s="1"/>
      <c r="K205" s="1"/>
      <c r="L205" s="1"/>
    </row>
    <row r="206" customFormat="false" ht="15.75" hidden="false" customHeight="true" outlineLevel="0" collapsed="false">
      <c r="A206" s="1"/>
      <c r="B206" s="1"/>
      <c r="C206" s="1"/>
      <c r="D206" s="1"/>
      <c r="E206" s="1"/>
      <c r="F206" s="1"/>
      <c r="G206" s="1"/>
      <c r="H206" s="1"/>
      <c r="I206" s="1"/>
      <c r="J206" s="1"/>
      <c r="K206" s="1"/>
      <c r="L206" s="1"/>
    </row>
    <row r="207" customFormat="false" ht="15.75" hidden="false" customHeight="true" outlineLevel="0" collapsed="false">
      <c r="A207" s="1"/>
      <c r="B207" s="1"/>
      <c r="C207" s="1"/>
      <c r="D207" s="1"/>
      <c r="E207" s="1"/>
      <c r="F207" s="1"/>
      <c r="G207" s="1"/>
      <c r="H207" s="1"/>
      <c r="I207" s="1"/>
      <c r="J207" s="1"/>
      <c r="K207" s="1"/>
      <c r="L207" s="1"/>
    </row>
    <row r="208" customFormat="false" ht="15.75" hidden="false" customHeight="true" outlineLevel="0" collapsed="false">
      <c r="A208" s="1"/>
      <c r="B208" s="1"/>
      <c r="C208" s="1"/>
      <c r="D208" s="1"/>
      <c r="E208" s="1"/>
      <c r="F208" s="1"/>
      <c r="G208" s="1"/>
      <c r="H208" s="1"/>
      <c r="I208" s="1"/>
      <c r="J208" s="1"/>
      <c r="K208" s="1"/>
      <c r="L208" s="1"/>
    </row>
    <row r="209" customFormat="false" ht="15.75" hidden="false" customHeight="true" outlineLevel="0" collapsed="false">
      <c r="A209" s="1"/>
      <c r="B209" s="1"/>
      <c r="C209" s="1"/>
      <c r="D209" s="1"/>
      <c r="E209" s="1"/>
      <c r="F209" s="1"/>
      <c r="G209" s="1"/>
      <c r="H209" s="1"/>
      <c r="I209" s="1"/>
      <c r="J209" s="1"/>
      <c r="K209" s="1"/>
      <c r="L209" s="1"/>
    </row>
    <row r="210" customFormat="false" ht="15.75" hidden="false" customHeight="true" outlineLevel="0" collapsed="false">
      <c r="A210" s="1"/>
      <c r="B210" s="1"/>
      <c r="C210" s="1"/>
      <c r="D210" s="1"/>
      <c r="E210" s="1"/>
      <c r="F210" s="1"/>
      <c r="G210" s="1"/>
      <c r="H210" s="1"/>
      <c r="I210" s="1"/>
      <c r="J210" s="1"/>
      <c r="K210" s="1"/>
      <c r="L210" s="1"/>
    </row>
    <row r="211" customFormat="false" ht="15.75" hidden="false" customHeight="true" outlineLevel="0" collapsed="false">
      <c r="A211" s="1"/>
      <c r="B211" s="1"/>
      <c r="C211" s="1"/>
      <c r="D211" s="1"/>
      <c r="E211" s="1"/>
      <c r="F211" s="1"/>
      <c r="G211" s="1"/>
      <c r="H211" s="1"/>
      <c r="I211" s="1"/>
      <c r="J211" s="1"/>
      <c r="K211" s="1"/>
      <c r="L211" s="1"/>
    </row>
    <row r="212" customFormat="false" ht="15.75" hidden="false" customHeight="true" outlineLevel="0" collapsed="false">
      <c r="A212" s="1"/>
      <c r="B212" s="1"/>
      <c r="C212" s="1"/>
      <c r="D212" s="1"/>
      <c r="E212" s="1"/>
      <c r="F212" s="1"/>
      <c r="G212" s="1"/>
      <c r="H212" s="1"/>
      <c r="I212" s="1"/>
      <c r="J212" s="1"/>
      <c r="K212" s="1"/>
      <c r="L212" s="1"/>
    </row>
    <row r="213" customFormat="false" ht="15.75" hidden="false" customHeight="true" outlineLevel="0" collapsed="false">
      <c r="A213" s="1"/>
      <c r="B213" s="1"/>
      <c r="C213" s="1"/>
      <c r="D213" s="1"/>
      <c r="E213" s="1"/>
      <c r="F213" s="1"/>
      <c r="G213" s="1"/>
      <c r="H213" s="1"/>
      <c r="I213" s="1"/>
      <c r="J213" s="1"/>
      <c r="K213" s="1"/>
      <c r="L213" s="1"/>
    </row>
    <row r="214" customFormat="false" ht="15.75" hidden="false" customHeight="true" outlineLevel="0" collapsed="false">
      <c r="A214" s="1"/>
      <c r="B214" s="1"/>
      <c r="C214" s="1"/>
      <c r="D214" s="1"/>
      <c r="E214" s="1"/>
      <c r="F214" s="1"/>
      <c r="G214" s="1"/>
      <c r="H214" s="1"/>
      <c r="I214" s="1"/>
      <c r="J214" s="1"/>
      <c r="K214" s="1"/>
      <c r="L214" s="1"/>
    </row>
    <row r="215" customFormat="false" ht="15.75" hidden="false" customHeight="true" outlineLevel="0" collapsed="false">
      <c r="A215" s="1"/>
      <c r="B215" s="1"/>
      <c r="C215" s="1"/>
      <c r="D215" s="1"/>
      <c r="E215" s="1"/>
      <c r="F215" s="1"/>
      <c r="G215" s="1"/>
      <c r="H215" s="1"/>
      <c r="I215" s="1"/>
      <c r="J215" s="1"/>
      <c r="K215" s="1"/>
      <c r="L215" s="1"/>
    </row>
    <row r="216" customFormat="false" ht="15.75" hidden="false" customHeight="true" outlineLevel="0" collapsed="false">
      <c r="A216" s="1"/>
      <c r="B216" s="1"/>
      <c r="C216" s="1"/>
      <c r="D216" s="1"/>
      <c r="E216" s="1"/>
      <c r="F216" s="1"/>
      <c r="G216" s="1"/>
      <c r="H216" s="1"/>
      <c r="I216" s="1"/>
      <c r="J216" s="1"/>
      <c r="K216" s="1"/>
      <c r="L216" s="1"/>
    </row>
    <row r="217" customFormat="false" ht="15.75" hidden="false" customHeight="true" outlineLevel="0" collapsed="false">
      <c r="A217" s="1"/>
      <c r="B217" s="1"/>
      <c r="C217" s="1"/>
      <c r="D217" s="1"/>
      <c r="E217" s="1"/>
      <c r="F217" s="1"/>
      <c r="G217" s="1"/>
      <c r="H217" s="1"/>
      <c r="I217" s="1"/>
      <c r="J217" s="1"/>
      <c r="K217" s="1"/>
      <c r="L217" s="1"/>
    </row>
    <row r="218" customFormat="false" ht="15.75" hidden="false" customHeight="true" outlineLevel="0" collapsed="false">
      <c r="A218" s="1"/>
      <c r="B218" s="1"/>
      <c r="C218" s="1"/>
      <c r="D218" s="1"/>
      <c r="E218" s="1"/>
      <c r="F218" s="1"/>
      <c r="G218" s="1"/>
      <c r="H218" s="1"/>
      <c r="I218" s="1"/>
      <c r="J218" s="1"/>
      <c r="K218" s="1"/>
      <c r="L218" s="1"/>
    </row>
    <row r="219" customFormat="false" ht="15.75" hidden="false" customHeight="true" outlineLevel="0" collapsed="false">
      <c r="A219" s="1"/>
      <c r="B219" s="1"/>
      <c r="C219" s="1"/>
      <c r="D219" s="1"/>
      <c r="E219" s="1"/>
      <c r="F219" s="1"/>
      <c r="G219" s="1"/>
      <c r="H219" s="1"/>
      <c r="I219" s="1"/>
      <c r="J219" s="1"/>
      <c r="K219" s="1"/>
      <c r="L219" s="1"/>
    </row>
    <row r="220" customFormat="false" ht="15.75" hidden="false" customHeight="true" outlineLevel="0" collapsed="false">
      <c r="A220" s="1"/>
      <c r="B220" s="1"/>
      <c r="C220" s="1"/>
      <c r="D220" s="1"/>
      <c r="E220" s="1"/>
      <c r="F220" s="1"/>
      <c r="G220" s="1"/>
      <c r="H220" s="1"/>
      <c r="I220" s="1"/>
      <c r="J220" s="1"/>
      <c r="K220" s="1"/>
      <c r="L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B3:L3"/>
    <mergeCell ref="B79:L79"/>
  </mergeCells>
  <conditionalFormatting sqref="B6:L77">
    <cfRule type="expression" priority="2" aboveAverage="0" equalAverage="0" bottom="0" percent="0" rank="0" text="" dxfId="4">
      <formula>$E6=0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739</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TC_01.1</v>
      </c>
      <c r="B8" s="192" t="s">
        <v>496</v>
      </c>
      <c r="C8" s="192" t="s">
        <v>740</v>
      </c>
      <c r="D8" s="192" t="s">
        <v>43</v>
      </c>
      <c r="E8" s="192" t="s">
        <v>157</v>
      </c>
      <c r="F8" s="13" t="s">
        <v>741</v>
      </c>
      <c r="G8" s="13" t="s">
        <v>742</v>
      </c>
      <c r="H8" s="13" t="s">
        <v>743</v>
      </c>
      <c r="I8" s="13" t="s">
        <v>744</v>
      </c>
      <c r="J8" s="192" t="s">
        <v>745</v>
      </c>
      <c r="K8" s="192" t="s">
        <v>243</v>
      </c>
      <c r="L8" s="192" t="s">
        <v>746</v>
      </c>
      <c r="M8" s="192"/>
      <c r="N8" s="193" t="s">
        <v>747</v>
      </c>
      <c r="O8" s="193"/>
      <c r="P8" s="193" t="s">
        <v>23</v>
      </c>
      <c r="Q8" s="193" t="s">
        <v>102</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748</v>
      </c>
    </row>
    <row r="9" customFormat="false" ht="60" hidden="false" customHeight="true" outlineLevel="0" collapsed="false">
      <c r="A9" s="190"/>
      <c r="B9" s="190"/>
      <c r="C9" s="191" t="s">
        <v>749</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202.95" hidden="false" customHeight="false" outlineLevel="0" collapsed="false">
      <c r="A10" s="192" t="str">
        <f aca="false">IF($F10="","",$C$2&amp;"."&amp;COUNTA($F$7:$F10)&amp;"")</f>
        <v>TC_01.2</v>
      </c>
      <c r="B10" s="192" t="s">
        <v>500</v>
      </c>
      <c r="C10" s="192" t="s">
        <v>617</v>
      </c>
      <c r="D10" s="192" t="s">
        <v>41</v>
      </c>
      <c r="E10" s="192" t="s">
        <v>157</v>
      </c>
      <c r="F10" s="13" t="s">
        <v>750</v>
      </c>
      <c r="G10" s="13" t="s">
        <v>751</v>
      </c>
      <c r="H10" s="13" t="s">
        <v>752</v>
      </c>
      <c r="I10" s="13" t="s">
        <v>753</v>
      </c>
      <c r="J10" s="192" t="s">
        <v>745</v>
      </c>
      <c r="K10" s="192" t="s">
        <v>243</v>
      </c>
      <c r="L10" s="192" t="s">
        <v>746</v>
      </c>
      <c r="M10" s="192"/>
      <c r="N10" s="193" t="s">
        <v>747</v>
      </c>
      <c r="O10" s="193"/>
      <c r="P10" s="193" t="s">
        <v>27</v>
      </c>
      <c r="Q10" s="193" t="s">
        <v>102</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Block</v>
      </c>
      <c r="AU10" s="195" t="s">
        <v>754</v>
      </c>
    </row>
    <row r="11" customFormat="false" ht="370.85" hidden="false" customHeight="false" outlineLevel="0" collapsed="false">
      <c r="A11" s="192" t="str">
        <f aca="false">IF($F11="","",$C$2&amp;"."&amp;COUNTA($F$7:$F11)&amp;"")</f>
        <v>TC_01.3</v>
      </c>
      <c r="B11" s="192" t="s">
        <v>500</v>
      </c>
      <c r="C11" s="192" t="s">
        <v>617</v>
      </c>
      <c r="D11" s="192" t="s">
        <v>41</v>
      </c>
      <c r="E11" s="192" t="s">
        <v>157</v>
      </c>
      <c r="F11" s="13" t="s">
        <v>755</v>
      </c>
      <c r="G11" s="13" t="s">
        <v>756</v>
      </c>
      <c r="H11" s="13" t="s">
        <v>757</v>
      </c>
      <c r="I11" s="13" t="s">
        <v>758</v>
      </c>
      <c r="J11" s="192" t="s">
        <v>745</v>
      </c>
      <c r="K11" s="192" t="s">
        <v>243</v>
      </c>
      <c r="L11" s="192" t="s">
        <v>746</v>
      </c>
      <c r="M11" s="192"/>
      <c r="N11" s="193" t="s">
        <v>747</v>
      </c>
      <c r="O11" s="193"/>
      <c r="P11" s="193" t="s">
        <v>27</v>
      </c>
      <c r="Q11" s="193" t="s">
        <v>102</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Block</v>
      </c>
      <c r="AU11" s="195" t="s">
        <v>759</v>
      </c>
    </row>
    <row r="12" customFormat="false" ht="15" hidden="false" customHeight="false" outlineLevel="0" collapsed="false">
      <c r="A12" s="190"/>
      <c r="B12" s="190"/>
      <c r="C12" s="191" t="s">
        <v>760</v>
      </c>
      <c r="D12" s="191"/>
      <c r="E12" s="191"/>
      <c r="F12" s="191"/>
      <c r="G12" s="191"/>
      <c r="H12" s="191"/>
      <c r="I12" s="191"/>
      <c r="J12" s="191"/>
      <c r="K12" s="191"/>
      <c r="L12" s="191"/>
      <c r="M12" s="191"/>
      <c r="N12" s="191"/>
      <c r="O12" s="191"/>
      <c r="P12" s="191"/>
      <c r="Q12" s="191"/>
      <c r="R12" s="191"/>
      <c r="S12" s="191"/>
      <c r="T12" s="191"/>
      <c r="U12" s="191"/>
      <c r="V12" s="191"/>
      <c r="W12" s="191"/>
      <c r="X12" s="191"/>
      <c r="Y12" s="191"/>
      <c r="Z12" s="191"/>
      <c r="AA12" s="191"/>
      <c r="AB12" s="191"/>
      <c r="AC12" s="191"/>
      <c r="AD12" s="191"/>
      <c r="AE12" s="191"/>
      <c r="AF12" s="191"/>
      <c r="AG12" s="191"/>
      <c r="AH12" s="191"/>
      <c r="AI12" s="191"/>
      <c r="AJ12" s="191"/>
      <c r="AK12" s="191"/>
      <c r="AL12" s="191"/>
      <c r="AM12" s="191"/>
      <c r="AN12" s="191"/>
      <c r="AO12" s="191"/>
      <c r="AP12" s="191"/>
      <c r="AQ12" s="191"/>
      <c r="AR12" s="191"/>
      <c r="AS12" s="191"/>
      <c r="AT12" s="191"/>
      <c r="AU12" s="191"/>
    </row>
    <row r="13" customFormat="false" ht="225.35" hidden="false" customHeight="false" outlineLevel="0" collapsed="false">
      <c r="A13" s="192" t="str">
        <f aca="false">IF($F13="","",$C$2&amp;"."&amp;COUNTA($F$7:$F13)&amp;"")</f>
        <v>TC_01.4</v>
      </c>
      <c r="B13" s="192" t="s">
        <v>504</v>
      </c>
      <c r="C13" s="192" t="s">
        <v>617</v>
      </c>
      <c r="D13" s="192" t="s">
        <v>43</v>
      </c>
      <c r="E13" s="192" t="s">
        <v>158</v>
      </c>
      <c r="F13" s="13" t="s">
        <v>761</v>
      </c>
      <c r="G13" s="13" t="s">
        <v>762</v>
      </c>
      <c r="H13" s="13" t="s">
        <v>763</v>
      </c>
      <c r="I13" s="13" t="s">
        <v>764</v>
      </c>
      <c r="J13" s="192" t="s">
        <v>745</v>
      </c>
      <c r="K13" s="192" t="s">
        <v>243</v>
      </c>
      <c r="L13" s="192" t="s">
        <v>746</v>
      </c>
      <c r="M13" s="192"/>
      <c r="N13" s="193" t="s">
        <v>747</v>
      </c>
      <c r="O13" s="193"/>
      <c r="P13" s="193" t="s">
        <v>25</v>
      </c>
      <c r="Q13" s="193" t="s">
        <v>102</v>
      </c>
      <c r="R13" s="193" t="s">
        <v>447</v>
      </c>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Fail</v>
      </c>
      <c r="AU13" s="195" t="s">
        <v>765</v>
      </c>
    </row>
    <row r="14" customFormat="false" ht="15" hidden="false" customHeight="false" outlineLevel="0" collapsed="false">
      <c r="A14" s="190"/>
      <c r="B14" s="190"/>
      <c r="C14" s="191" t="s">
        <v>766</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191.75" hidden="false" customHeight="false" outlineLevel="0" collapsed="false">
      <c r="A15" s="192" t="str">
        <f aca="false">IF($F15="","",$C$2&amp;"."&amp;COUNTA($F$7:$F15)&amp;"")</f>
        <v>TC_01.5</v>
      </c>
      <c r="B15" s="192" t="s">
        <v>508</v>
      </c>
      <c r="C15" s="192" t="s">
        <v>617</v>
      </c>
      <c r="D15" s="192" t="s">
        <v>43</v>
      </c>
      <c r="E15" s="192" t="s">
        <v>157</v>
      </c>
      <c r="F15" s="13" t="s">
        <v>767</v>
      </c>
      <c r="G15" s="13" t="s">
        <v>768</v>
      </c>
      <c r="H15" s="13" t="s">
        <v>769</v>
      </c>
      <c r="I15" s="13" t="s">
        <v>770</v>
      </c>
      <c r="J15" s="192" t="s">
        <v>745</v>
      </c>
      <c r="K15" s="192" t="s">
        <v>243</v>
      </c>
      <c r="L15" s="192" t="s">
        <v>746</v>
      </c>
      <c r="M15" s="192"/>
      <c r="N15" s="193" t="s">
        <v>747</v>
      </c>
      <c r="O15" s="193"/>
      <c r="P15" s="193" t="s">
        <v>25</v>
      </c>
      <c r="Q15" s="193" t="s">
        <v>102</v>
      </c>
      <c r="R15" s="193" t="s">
        <v>450</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771</v>
      </c>
    </row>
    <row r="16" customFormat="false" ht="158.2" hidden="false" customHeight="false" outlineLevel="0" collapsed="false">
      <c r="A16" s="192" t="str">
        <f aca="false">IF($F16="","",$C$2&amp;"."&amp;COUNTA($F$7:$F16)&amp;"")</f>
        <v>TC_01.6</v>
      </c>
      <c r="B16" s="192" t="s">
        <v>508</v>
      </c>
      <c r="C16" s="192" t="s">
        <v>617</v>
      </c>
      <c r="D16" s="192" t="s">
        <v>43</v>
      </c>
      <c r="E16" s="192" t="s">
        <v>157</v>
      </c>
      <c r="F16" s="13" t="s">
        <v>772</v>
      </c>
      <c r="G16" s="13" t="s">
        <v>773</v>
      </c>
      <c r="H16" s="13" t="s">
        <v>774</v>
      </c>
      <c r="I16" s="13" t="s">
        <v>775</v>
      </c>
      <c r="J16" s="192" t="s">
        <v>745</v>
      </c>
      <c r="K16" s="192" t="s">
        <v>243</v>
      </c>
      <c r="L16" s="192" t="s">
        <v>746</v>
      </c>
      <c r="M16" s="192"/>
      <c r="N16" s="193" t="s">
        <v>747</v>
      </c>
      <c r="O16" s="193"/>
      <c r="P16" s="193" t="s">
        <v>23</v>
      </c>
      <c r="Q16" s="193" t="s">
        <v>102</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776</v>
      </c>
    </row>
    <row r="17" customFormat="false" ht="15" hidden="false" customHeight="false" outlineLevel="0" collapsed="false">
      <c r="A17" s="190"/>
      <c r="B17" s="190"/>
      <c r="C17" s="191" t="s">
        <v>777</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225.35" hidden="false" customHeight="false" outlineLevel="0" collapsed="false">
      <c r="A18" s="192" t="str">
        <f aca="false">IF($F18="","",$C$2&amp;"."&amp;COUNTA($F$7:$F18)&amp;"")</f>
        <v>TC_01.7</v>
      </c>
      <c r="B18" s="192" t="s">
        <v>512</v>
      </c>
      <c r="C18" s="192" t="s">
        <v>617</v>
      </c>
      <c r="D18" s="192" t="s">
        <v>41</v>
      </c>
      <c r="E18" s="192" t="s">
        <v>157</v>
      </c>
      <c r="F18" s="13" t="s">
        <v>778</v>
      </c>
      <c r="G18" s="13" t="s">
        <v>779</v>
      </c>
      <c r="H18" s="13" t="s">
        <v>780</v>
      </c>
      <c r="I18" s="13" t="s">
        <v>781</v>
      </c>
      <c r="J18" s="192" t="s">
        <v>745</v>
      </c>
      <c r="K18" s="192" t="s">
        <v>243</v>
      </c>
      <c r="L18" s="192" t="s">
        <v>746</v>
      </c>
      <c r="M18" s="192"/>
      <c r="N18" s="193" t="s">
        <v>747</v>
      </c>
      <c r="O18" s="193"/>
      <c r="P18" s="193" t="s">
        <v>23</v>
      </c>
      <c r="Q18" s="193" t="s">
        <v>102</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782</v>
      </c>
    </row>
    <row r="19" customFormat="false" ht="15" hidden="false" customHeight="false" outlineLevel="0" collapsed="false">
      <c r="A19" s="190"/>
      <c r="B19" s="190"/>
      <c r="C19" s="191" t="s">
        <v>783</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135.8" hidden="false" customHeight="false" outlineLevel="0" collapsed="false">
      <c r="A20" s="192" t="str">
        <f aca="false">IF($F20="","",$C$2&amp;"."&amp;COUNTA($F$7:$F20)&amp;"")</f>
        <v>TC_01.8</v>
      </c>
      <c r="B20" s="192" t="s">
        <v>516</v>
      </c>
      <c r="C20" s="192" t="s">
        <v>617</v>
      </c>
      <c r="D20" s="192" t="s">
        <v>43</v>
      </c>
      <c r="E20" s="192" t="s">
        <v>158</v>
      </c>
      <c r="F20" s="13" t="s">
        <v>784</v>
      </c>
      <c r="G20" s="13" t="s">
        <v>785</v>
      </c>
      <c r="H20" s="13" t="s">
        <v>786</v>
      </c>
      <c r="I20" s="13" t="s">
        <v>787</v>
      </c>
      <c r="J20" s="192" t="s">
        <v>745</v>
      </c>
      <c r="K20" s="192" t="s">
        <v>243</v>
      </c>
      <c r="L20" s="192" t="s">
        <v>746</v>
      </c>
      <c r="M20" s="192"/>
      <c r="N20" s="193" t="s">
        <v>747</v>
      </c>
      <c r="O20" s="193"/>
      <c r="P20" s="193" t="s">
        <v>23</v>
      </c>
      <c r="Q20" s="193" t="s">
        <v>102</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788</v>
      </c>
    </row>
    <row r="21" customFormat="false" ht="15.75" hidden="false" customHeight="true" outlineLevel="0" collapsed="false">
      <c r="A21" s="192" t="str">
        <f aca="false">IF($F21="","",$C$2&amp;"."&amp;COUNTA($F$7:$F21)&amp;"")</f>
        <v>TC_01.9</v>
      </c>
      <c r="B21" s="192" t="s">
        <v>516</v>
      </c>
      <c r="C21" s="192" t="s">
        <v>617</v>
      </c>
      <c r="D21" s="192" t="s">
        <v>43</v>
      </c>
      <c r="E21" s="192" t="s">
        <v>158</v>
      </c>
      <c r="F21" s="13" t="s">
        <v>789</v>
      </c>
      <c r="G21" s="13" t="s">
        <v>790</v>
      </c>
      <c r="H21" s="13" t="s">
        <v>791</v>
      </c>
      <c r="I21" s="13" t="s">
        <v>792</v>
      </c>
      <c r="J21" s="192" t="s">
        <v>745</v>
      </c>
      <c r="K21" s="192" t="s">
        <v>243</v>
      </c>
      <c r="L21" s="192" t="s">
        <v>746</v>
      </c>
      <c r="M21" s="192"/>
      <c r="N21" s="193" t="s">
        <v>747</v>
      </c>
      <c r="O21" s="193"/>
      <c r="P21" s="193" t="s">
        <v>23</v>
      </c>
      <c r="Q21" s="193" t="s">
        <v>102</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793</v>
      </c>
    </row>
    <row r="22" customFormat="false" ht="15.75" hidden="false" customHeight="true" outlineLevel="0" collapsed="false">
      <c r="A22" s="192" t="str">
        <f aca="false">IF($F22="","",$C$2&amp;"."&amp;COUNTA($F$7:$F22)&amp;"")</f>
        <v>TC_01.10</v>
      </c>
      <c r="B22" s="192" t="s">
        <v>516</v>
      </c>
      <c r="C22" s="192" t="s">
        <v>617</v>
      </c>
      <c r="D22" s="192" t="s">
        <v>43</v>
      </c>
      <c r="E22" s="192" t="s">
        <v>158</v>
      </c>
      <c r="F22" s="13" t="s">
        <v>794</v>
      </c>
      <c r="G22" s="13" t="s">
        <v>795</v>
      </c>
      <c r="H22" s="13" t="s">
        <v>796</v>
      </c>
      <c r="I22" s="13" t="s">
        <v>797</v>
      </c>
      <c r="J22" s="192" t="s">
        <v>745</v>
      </c>
      <c r="K22" s="192" t="s">
        <v>243</v>
      </c>
      <c r="L22" s="192" t="s">
        <v>746</v>
      </c>
      <c r="M22" s="192"/>
      <c r="N22" s="193" t="s">
        <v>747</v>
      </c>
      <c r="O22" s="193"/>
      <c r="P22" s="193" t="s">
        <v>23</v>
      </c>
      <c r="Q22" s="193" t="s">
        <v>102</v>
      </c>
      <c r="R22" s="193"/>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Pass</v>
      </c>
      <c r="AU22" s="195" t="s">
        <v>798</v>
      </c>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2:AU12"/>
    <mergeCell ref="C14:AU14"/>
    <mergeCell ref="C17:AU17"/>
    <mergeCell ref="C19:AU19"/>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195</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196</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799</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TC_02.1</v>
      </c>
      <c r="B8" s="192" t="s">
        <v>520</v>
      </c>
      <c r="C8" s="192" t="s">
        <v>617</v>
      </c>
      <c r="D8" s="192" t="s">
        <v>41</v>
      </c>
      <c r="E8" s="192" t="s">
        <v>156</v>
      </c>
      <c r="F8" s="13" t="s">
        <v>800</v>
      </c>
      <c r="G8" s="13" t="s">
        <v>801</v>
      </c>
      <c r="H8" s="13" t="s">
        <v>802</v>
      </c>
      <c r="I8" s="13" t="s">
        <v>803</v>
      </c>
      <c r="J8" s="192" t="s">
        <v>745</v>
      </c>
      <c r="K8" s="192" t="s">
        <v>243</v>
      </c>
      <c r="L8" s="192" t="s">
        <v>746</v>
      </c>
      <c r="M8" s="192"/>
      <c r="N8" s="193" t="s">
        <v>747</v>
      </c>
      <c r="O8" s="193"/>
      <c r="P8" s="193" t="s">
        <v>23</v>
      </c>
      <c r="Q8" s="193" t="s">
        <v>102</v>
      </c>
      <c r="R8" s="193" t="s">
        <v>443</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804</v>
      </c>
    </row>
    <row r="9" customFormat="false" ht="60" hidden="false" customHeight="true" outlineLevel="0" collapsed="false">
      <c r="A9" s="192" t="str">
        <f aca="false">IF($F9="","",$C$2&amp;"."&amp;COUNTA($F$7:$F9)&amp;"")</f>
        <v>TC_02.2</v>
      </c>
      <c r="B9" s="192" t="s">
        <v>520</v>
      </c>
      <c r="C9" s="192" t="s">
        <v>617</v>
      </c>
      <c r="D9" s="192" t="s">
        <v>41</v>
      </c>
      <c r="E9" s="192" t="s">
        <v>156</v>
      </c>
      <c r="F9" s="13" t="s">
        <v>805</v>
      </c>
      <c r="G9" s="13" t="s">
        <v>806</v>
      </c>
      <c r="H9" s="13" t="s">
        <v>807</v>
      </c>
      <c r="I9" s="13" t="s">
        <v>808</v>
      </c>
      <c r="J9" s="192" t="s">
        <v>745</v>
      </c>
      <c r="K9" s="192" t="s">
        <v>243</v>
      </c>
      <c r="L9" s="192" t="s">
        <v>746</v>
      </c>
      <c r="M9" s="192"/>
      <c r="N9" s="193" t="s">
        <v>747</v>
      </c>
      <c r="O9" s="193"/>
      <c r="P9" s="193" t="s">
        <v>27</v>
      </c>
      <c r="Q9" s="193" t="s">
        <v>102</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Block</v>
      </c>
      <c r="AU9" s="195" t="s">
        <v>809</v>
      </c>
    </row>
    <row r="10" customFormat="false" ht="15" hidden="false" customHeight="false" outlineLevel="0" collapsed="false">
      <c r="A10" s="190"/>
      <c r="B10" s="190"/>
      <c r="C10" s="191" t="s">
        <v>810</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24.6" hidden="false" customHeight="false" outlineLevel="0" collapsed="false">
      <c r="A11" s="192" t="str">
        <f aca="false">IF($F11="","",$C$2&amp;"."&amp;COUNTA($F$7:$F11)&amp;"")</f>
        <v>TC_02.3</v>
      </c>
      <c r="B11" s="192" t="s">
        <v>524</v>
      </c>
      <c r="C11" s="192" t="s">
        <v>617</v>
      </c>
      <c r="D11" s="192" t="s">
        <v>41</v>
      </c>
      <c r="E11" s="192" t="s">
        <v>157</v>
      </c>
      <c r="F11" s="13" t="s">
        <v>811</v>
      </c>
      <c r="G11" s="13" t="s">
        <v>812</v>
      </c>
      <c r="H11" s="13" t="s">
        <v>813</v>
      </c>
      <c r="I11" s="13" t="s">
        <v>814</v>
      </c>
      <c r="J11" s="192" t="s">
        <v>745</v>
      </c>
      <c r="K11" s="192" t="s">
        <v>243</v>
      </c>
      <c r="L11" s="192" t="s">
        <v>746</v>
      </c>
      <c r="M11" s="192"/>
      <c r="N11" s="193" t="s">
        <v>747</v>
      </c>
      <c r="O11" s="193"/>
      <c r="P11" s="193" t="s">
        <v>27</v>
      </c>
      <c r="Q11" s="193" t="s">
        <v>102</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Block</v>
      </c>
      <c r="AU11" s="195" t="s">
        <v>815</v>
      </c>
    </row>
    <row r="12" customFormat="false" ht="15" hidden="false" customHeight="false" outlineLevel="0" collapsed="false">
      <c r="A12" s="190"/>
      <c r="B12" s="190"/>
      <c r="C12" s="191" t="s">
        <v>816</v>
      </c>
      <c r="D12" s="191"/>
      <c r="E12" s="191"/>
      <c r="F12" s="191"/>
      <c r="G12" s="191"/>
      <c r="H12" s="191"/>
      <c r="I12" s="191"/>
      <c r="J12" s="191"/>
      <c r="K12" s="191"/>
      <c r="L12" s="191"/>
      <c r="M12" s="191"/>
      <c r="N12" s="191"/>
      <c r="O12" s="191"/>
      <c r="P12" s="191"/>
      <c r="Q12" s="191"/>
      <c r="R12" s="191"/>
      <c r="S12" s="191"/>
      <c r="T12" s="191"/>
      <c r="U12" s="191"/>
      <c r="V12" s="191"/>
      <c r="W12" s="191"/>
      <c r="X12" s="191"/>
      <c r="Y12" s="191"/>
      <c r="Z12" s="191"/>
      <c r="AA12" s="191"/>
      <c r="AB12" s="191"/>
      <c r="AC12" s="191"/>
      <c r="AD12" s="191"/>
      <c r="AE12" s="191"/>
      <c r="AF12" s="191"/>
      <c r="AG12" s="191"/>
      <c r="AH12" s="191"/>
      <c r="AI12" s="191"/>
      <c r="AJ12" s="191"/>
      <c r="AK12" s="191"/>
      <c r="AL12" s="191"/>
      <c r="AM12" s="191"/>
      <c r="AN12" s="191"/>
      <c r="AO12" s="191"/>
      <c r="AP12" s="191"/>
      <c r="AQ12" s="191"/>
      <c r="AR12" s="191"/>
      <c r="AS12" s="191"/>
      <c r="AT12" s="191"/>
      <c r="AU12" s="191"/>
    </row>
    <row r="13" customFormat="false" ht="169.4" hidden="false" customHeight="false" outlineLevel="0" collapsed="false">
      <c r="A13" s="192" t="str">
        <f aca="false">IF($F13="","",$C$2&amp;"."&amp;COUNTA($F$7:$F13)&amp;"")</f>
        <v>TC_02.4</v>
      </c>
      <c r="B13" s="192" t="s">
        <v>528</v>
      </c>
      <c r="C13" s="192" t="s">
        <v>617</v>
      </c>
      <c r="D13" s="192" t="s">
        <v>41</v>
      </c>
      <c r="E13" s="192" t="s">
        <v>157</v>
      </c>
      <c r="F13" s="13" t="s">
        <v>817</v>
      </c>
      <c r="G13" s="13" t="s">
        <v>818</v>
      </c>
      <c r="H13" s="13" t="s">
        <v>819</v>
      </c>
      <c r="I13" s="13" t="s">
        <v>820</v>
      </c>
      <c r="J13" s="192" t="s">
        <v>745</v>
      </c>
      <c r="K13" s="192" t="s">
        <v>243</v>
      </c>
      <c r="L13" s="192" t="s">
        <v>746</v>
      </c>
      <c r="M13" s="192"/>
      <c r="N13" s="193" t="s">
        <v>747</v>
      </c>
      <c r="O13" s="193"/>
      <c r="P13" s="193" t="s">
        <v>23</v>
      </c>
      <c r="Q13" s="193" t="s">
        <v>102</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821</v>
      </c>
    </row>
    <row r="14" customFormat="false" ht="180.55" hidden="false" customHeight="false" outlineLevel="0" collapsed="false">
      <c r="A14" s="192" t="str">
        <f aca="false">IF($F14="","",$C$2&amp;"."&amp;COUNTA($F$7:$F14)&amp;"")</f>
        <v>TC_02.5</v>
      </c>
      <c r="B14" s="192" t="s">
        <v>528</v>
      </c>
      <c r="C14" s="192" t="s">
        <v>617</v>
      </c>
      <c r="D14" s="192" t="s">
        <v>41</v>
      </c>
      <c r="E14" s="192" t="s">
        <v>157</v>
      </c>
      <c r="F14" s="13" t="s">
        <v>822</v>
      </c>
      <c r="G14" s="13" t="s">
        <v>823</v>
      </c>
      <c r="H14" s="13" t="s">
        <v>824</v>
      </c>
      <c r="I14" s="13" t="s">
        <v>820</v>
      </c>
      <c r="J14" s="192" t="s">
        <v>745</v>
      </c>
      <c r="K14" s="192" t="s">
        <v>243</v>
      </c>
      <c r="L14" s="192" t="s">
        <v>746</v>
      </c>
      <c r="M14" s="192"/>
      <c r="N14" s="193" t="s">
        <v>747</v>
      </c>
      <c r="O14" s="193"/>
      <c r="P14" s="193" t="s">
        <v>23</v>
      </c>
      <c r="Q14" s="193" t="s">
        <v>102</v>
      </c>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Pass</v>
      </c>
      <c r="AU14" s="195" t="s">
        <v>825</v>
      </c>
    </row>
    <row r="15" customFormat="false" ht="147" hidden="false" customHeight="false" outlineLevel="0" collapsed="false">
      <c r="A15" s="192" t="str">
        <f aca="false">IF($F15="","",$C$2&amp;"."&amp;COUNTA($F$7:$F15)&amp;"")</f>
        <v>TC_02.6</v>
      </c>
      <c r="B15" s="192" t="s">
        <v>528</v>
      </c>
      <c r="C15" s="192" t="s">
        <v>617</v>
      </c>
      <c r="D15" s="192" t="s">
        <v>41</v>
      </c>
      <c r="E15" s="192" t="s">
        <v>157</v>
      </c>
      <c r="F15" s="13" t="s">
        <v>826</v>
      </c>
      <c r="G15" s="13" t="s">
        <v>827</v>
      </c>
      <c r="H15" s="13" t="s">
        <v>828</v>
      </c>
      <c r="I15" s="13" t="s">
        <v>820</v>
      </c>
      <c r="J15" s="192" t="s">
        <v>745</v>
      </c>
      <c r="K15" s="192" t="s">
        <v>243</v>
      </c>
      <c r="L15" s="192" t="s">
        <v>746</v>
      </c>
      <c r="M15" s="192"/>
      <c r="N15" s="193" t="s">
        <v>747</v>
      </c>
      <c r="O15" s="193"/>
      <c r="P15" s="193" t="s">
        <v>23</v>
      </c>
      <c r="Q15" s="193" t="s">
        <v>102</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829</v>
      </c>
    </row>
    <row r="16" customFormat="false" ht="191.75" hidden="false" customHeight="false" outlineLevel="0" collapsed="false">
      <c r="A16" s="192" t="str">
        <f aca="false">IF($F16="","",$C$2&amp;"."&amp;COUNTA($F$7:$F16)&amp;"")</f>
        <v>TC_02.7</v>
      </c>
      <c r="B16" s="192" t="s">
        <v>528</v>
      </c>
      <c r="C16" s="192" t="s">
        <v>617</v>
      </c>
      <c r="D16" s="192" t="s">
        <v>41</v>
      </c>
      <c r="E16" s="192" t="s">
        <v>157</v>
      </c>
      <c r="F16" s="13" t="s">
        <v>830</v>
      </c>
      <c r="G16" s="13" t="s">
        <v>831</v>
      </c>
      <c r="H16" s="13" t="s">
        <v>832</v>
      </c>
      <c r="I16" s="13" t="s">
        <v>833</v>
      </c>
      <c r="J16" s="192" t="s">
        <v>745</v>
      </c>
      <c r="K16" s="192" t="s">
        <v>243</v>
      </c>
      <c r="L16" s="192" t="s">
        <v>746</v>
      </c>
      <c r="M16" s="192"/>
      <c r="N16" s="193" t="s">
        <v>747</v>
      </c>
      <c r="O16" s="193"/>
      <c r="P16" s="193" t="s">
        <v>23</v>
      </c>
      <c r="Q16" s="193" t="s">
        <v>102</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834</v>
      </c>
    </row>
    <row r="17" customFormat="false" ht="15" hidden="false" customHeight="false" outlineLevel="0" collapsed="false">
      <c r="A17" s="190"/>
      <c r="B17" s="190"/>
      <c r="C17" s="191" t="s">
        <v>835</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69.4" hidden="false" customHeight="false" outlineLevel="0" collapsed="false">
      <c r="A18" s="192" t="str">
        <f aca="false">IF($F18="","",$C$2&amp;"."&amp;COUNTA($F$7:$F18)&amp;"")</f>
        <v>TC_02.8</v>
      </c>
      <c r="B18" s="192" t="s">
        <v>532</v>
      </c>
      <c r="C18" s="192" t="s">
        <v>617</v>
      </c>
      <c r="D18" s="192" t="s">
        <v>41</v>
      </c>
      <c r="E18" s="192" t="s">
        <v>157</v>
      </c>
      <c r="F18" s="13" t="s">
        <v>836</v>
      </c>
      <c r="G18" s="13" t="s">
        <v>837</v>
      </c>
      <c r="H18" s="13" t="s">
        <v>838</v>
      </c>
      <c r="I18" s="13" t="s">
        <v>839</v>
      </c>
      <c r="J18" s="192" t="s">
        <v>745</v>
      </c>
      <c r="K18" s="192" t="s">
        <v>243</v>
      </c>
      <c r="L18" s="192" t="s">
        <v>746</v>
      </c>
      <c r="M18" s="192"/>
      <c r="N18" s="193" t="s">
        <v>747</v>
      </c>
      <c r="O18" s="193"/>
      <c r="P18" s="193" t="s">
        <v>23</v>
      </c>
      <c r="Q18" s="193" t="s">
        <v>102</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840</v>
      </c>
    </row>
    <row r="19" customFormat="false" ht="270.1" hidden="false" customHeight="false" outlineLevel="0" collapsed="false">
      <c r="A19" s="192" t="str">
        <f aca="false">IF($F19="","",$C$2&amp;"."&amp;COUNTA($F$7:$F19)&amp;"")</f>
        <v>TC_02.9</v>
      </c>
      <c r="B19" s="192" t="s">
        <v>532</v>
      </c>
      <c r="C19" s="192" t="s">
        <v>617</v>
      </c>
      <c r="D19" s="192" t="s">
        <v>41</v>
      </c>
      <c r="E19" s="192" t="s">
        <v>157</v>
      </c>
      <c r="F19" s="13" t="s">
        <v>841</v>
      </c>
      <c r="G19" s="13" t="s">
        <v>842</v>
      </c>
      <c r="H19" s="13" t="s">
        <v>843</v>
      </c>
      <c r="I19" s="13" t="s">
        <v>844</v>
      </c>
      <c r="J19" s="192" t="s">
        <v>745</v>
      </c>
      <c r="K19" s="192" t="s">
        <v>243</v>
      </c>
      <c r="L19" s="192" t="s">
        <v>746</v>
      </c>
      <c r="M19" s="192"/>
      <c r="N19" s="193" t="s">
        <v>747</v>
      </c>
      <c r="O19" s="193"/>
      <c r="P19" s="193" t="s">
        <v>23</v>
      </c>
      <c r="Q19" s="193" t="s">
        <v>102</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845</v>
      </c>
    </row>
    <row r="20" customFormat="false" ht="169.4" hidden="false" customHeight="false" outlineLevel="0" collapsed="false">
      <c r="A20" s="192" t="str">
        <f aca="false">IF($F20="","",$C$2&amp;"."&amp;COUNTA($F$7:$F20)&amp;"")</f>
        <v>TC_02.10</v>
      </c>
      <c r="B20" s="192" t="s">
        <v>532</v>
      </c>
      <c r="C20" s="192" t="s">
        <v>617</v>
      </c>
      <c r="D20" s="192" t="s">
        <v>41</v>
      </c>
      <c r="E20" s="192" t="s">
        <v>157</v>
      </c>
      <c r="F20" s="13" t="s">
        <v>846</v>
      </c>
      <c r="G20" s="13" t="s">
        <v>847</v>
      </c>
      <c r="H20" s="13" t="s">
        <v>848</v>
      </c>
      <c r="I20" s="13" t="s">
        <v>849</v>
      </c>
      <c r="J20" s="192" t="s">
        <v>745</v>
      </c>
      <c r="K20" s="192" t="s">
        <v>243</v>
      </c>
      <c r="L20" s="192" t="s">
        <v>746</v>
      </c>
      <c r="M20" s="192"/>
      <c r="N20" s="193" t="s">
        <v>747</v>
      </c>
      <c r="O20" s="193"/>
      <c r="P20" s="193" t="s">
        <v>23</v>
      </c>
      <c r="Q20" s="193" t="s">
        <v>102</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850</v>
      </c>
    </row>
    <row r="21" customFormat="false" ht="15.75" hidden="false" customHeight="true" outlineLevel="0" collapsed="false">
      <c r="A21" s="192" t="str">
        <f aca="false">IF($F21="","",$C$2&amp;"."&amp;COUNTA($F$7:$F21)&amp;"")</f>
        <v>TC_02.11</v>
      </c>
      <c r="B21" s="192" t="s">
        <v>532</v>
      </c>
      <c r="C21" s="192" t="s">
        <v>617</v>
      </c>
      <c r="D21" s="192" t="s">
        <v>41</v>
      </c>
      <c r="E21" s="192" t="s">
        <v>157</v>
      </c>
      <c r="F21" s="13" t="s">
        <v>851</v>
      </c>
      <c r="G21" s="13" t="s">
        <v>852</v>
      </c>
      <c r="H21" s="13" t="s">
        <v>853</v>
      </c>
      <c r="I21" s="13" t="s">
        <v>854</v>
      </c>
      <c r="J21" s="192" t="s">
        <v>745</v>
      </c>
      <c r="K21" s="192" t="s">
        <v>243</v>
      </c>
      <c r="L21" s="192" t="s">
        <v>746</v>
      </c>
      <c r="M21" s="192"/>
      <c r="N21" s="193" t="s">
        <v>747</v>
      </c>
      <c r="O21" s="193"/>
      <c r="P21" s="193" t="s">
        <v>23</v>
      </c>
      <c r="Q21" s="193" t="s">
        <v>102</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855</v>
      </c>
    </row>
    <row r="22" customFormat="false" ht="15.75" hidden="false" customHeight="true" outlineLevel="0" collapsed="false">
      <c r="A22" s="190"/>
      <c r="B22" s="190"/>
      <c r="C22" s="191" t="s">
        <v>856</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TC_02.12</v>
      </c>
      <c r="B23" s="192" t="s">
        <v>536</v>
      </c>
      <c r="C23" s="192" t="s">
        <v>617</v>
      </c>
      <c r="D23" s="192" t="s">
        <v>41</v>
      </c>
      <c r="E23" s="192" t="s">
        <v>158</v>
      </c>
      <c r="F23" s="13" t="s">
        <v>857</v>
      </c>
      <c r="G23" s="13" t="s">
        <v>858</v>
      </c>
      <c r="H23" s="13" t="s">
        <v>859</v>
      </c>
      <c r="I23" s="13" t="s">
        <v>860</v>
      </c>
      <c r="J23" s="192" t="s">
        <v>745</v>
      </c>
      <c r="K23" s="192" t="s">
        <v>243</v>
      </c>
      <c r="L23" s="192" t="s">
        <v>746</v>
      </c>
      <c r="M23" s="192"/>
      <c r="N23" s="193" t="s">
        <v>747</v>
      </c>
      <c r="O23" s="193"/>
      <c r="P23" s="193" t="s">
        <v>23</v>
      </c>
      <c r="Q23" s="193" t="s">
        <v>102</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861</v>
      </c>
    </row>
    <row r="24" customFormat="false" ht="15.75" hidden="false" customHeight="true" outlineLevel="0" collapsed="false">
      <c r="A24" s="190"/>
      <c r="B24" s="190"/>
      <c r="C24" s="191" t="s">
        <v>862</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TC_02.13</v>
      </c>
      <c r="B25" s="192" t="s">
        <v>540</v>
      </c>
      <c r="C25" s="192" t="s">
        <v>617</v>
      </c>
      <c r="D25" s="192" t="s">
        <v>41</v>
      </c>
      <c r="E25" s="192" t="s">
        <v>157</v>
      </c>
      <c r="F25" s="13" t="s">
        <v>863</v>
      </c>
      <c r="G25" s="13" t="s">
        <v>864</v>
      </c>
      <c r="H25" s="13" t="s">
        <v>865</v>
      </c>
      <c r="I25" s="13" t="s">
        <v>866</v>
      </c>
      <c r="J25" s="192" t="s">
        <v>745</v>
      </c>
      <c r="K25" s="192" t="s">
        <v>243</v>
      </c>
      <c r="L25" s="192" t="s">
        <v>746</v>
      </c>
      <c r="M25" s="192"/>
      <c r="N25" s="193" t="s">
        <v>747</v>
      </c>
      <c r="O25" s="193"/>
      <c r="P25" s="193" t="s">
        <v>27</v>
      </c>
      <c r="Q25" s="193" t="s">
        <v>102</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Block</v>
      </c>
      <c r="AU25" s="195" t="s">
        <v>867</v>
      </c>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2:AU12"/>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197</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198</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868</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TC_03.1</v>
      </c>
      <c r="B8" s="192" t="s">
        <v>543</v>
      </c>
      <c r="C8" s="192" t="s">
        <v>617</v>
      </c>
      <c r="D8" s="192" t="s">
        <v>41</v>
      </c>
      <c r="E8" s="192" t="s">
        <v>157</v>
      </c>
      <c r="F8" s="13" t="s">
        <v>869</v>
      </c>
      <c r="G8" s="13" t="s">
        <v>870</v>
      </c>
      <c r="H8" s="13" t="s">
        <v>871</v>
      </c>
      <c r="I8" s="13" t="s">
        <v>872</v>
      </c>
      <c r="J8" s="192" t="s">
        <v>745</v>
      </c>
      <c r="K8" s="192" t="s">
        <v>243</v>
      </c>
      <c r="L8" s="192" t="s">
        <v>746</v>
      </c>
      <c r="M8" s="192"/>
      <c r="N8" s="193" t="s">
        <v>747</v>
      </c>
      <c r="O8" s="193"/>
      <c r="P8" s="193" t="s">
        <v>25</v>
      </c>
      <c r="Q8" s="193" t="s">
        <v>102</v>
      </c>
      <c r="R8" s="193" t="s">
        <v>454</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Fail</v>
      </c>
      <c r="AU8" s="195" t="s">
        <v>873</v>
      </c>
    </row>
    <row r="9" customFormat="false" ht="60" hidden="false" customHeight="true" outlineLevel="0" collapsed="false">
      <c r="A9" s="192" t="str">
        <f aca="false">IF($F9="","",$C$2&amp;"."&amp;COUNTA($F$7:$F9)&amp;"")</f>
        <v>TC_03.2</v>
      </c>
      <c r="B9" s="192" t="s">
        <v>543</v>
      </c>
      <c r="C9" s="192" t="s">
        <v>617</v>
      </c>
      <c r="D9" s="192" t="s">
        <v>41</v>
      </c>
      <c r="E9" s="192" t="s">
        <v>158</v>
      </c>
      <c r="F9" s="13" t="s">
        <v>874</v>
      </c>
      <c r="G9" s="13" t="s">
        <v>875</v>
      </c>
      <c r="H9" s="13" t="s">
        <v>876</v>
      </c>
      <c r="I9" s="13" t="s">
        <v>877</v>
      </c>
      <c r="J9" s="192" t="s">
        <v>745</v>
      </c>
      <c r="K9" s="192" t="s">
        <v>243</v>
      </c>
      <c r="L9" s="192" t="s">
        <v>746</v>
      </c>
      <c r="M9" s="192"/>
      <c r="N9" s="193" t="s">
        <v>747</v>
      </c>
      <c r="O9" s="193"/>
      <c r="P9" s="193" t="s">
        <v>23</v>
      </c>
      <c r="Q9" s="193" t="s">
        <v>102</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Pass</v>
      </c>
      <c r="AU9" s="195" t="s">
        <v>878</v>
      </c>
    </row>
    <row r="10" customFormat="false" ht="15" hidden="false" customHeight="false" outlineLevel="0" collapsed="false">
      <c r="A10" s="190"/>
      <c r="B10" s="190"/>
      <c r="C10" s="191" t="s">
        <v>879</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247.75" hidden="false" customHeight="false" outlineLevel="0" collapsed="false">
      <c r="A11" s="192" t="str">
        <f aca="false">IF($F11="","",$C$2&amp;"."&amp;COUNTA($F$7:$F11)&amp;"")</f>
        <v>TC_03.3</v>
      </c>
      <c r="B11" s="192" t="s">
        <v>880</v>
      </c>
      <c r="C11" s="192" t="s">
        <v>617</v>
      </c>
      <c r="D11" s="192" t="s">
        <v>41</v>
      </c>
      <c r="E11" s="192" t="s">
        <v>157</v>
      </c>
      <c r="F11" s="13" t="s">
        <v>881</v>
      </c>
      <c r="G11" s="13" t="s">
        <v>882</v>
      </c>
      <c r="H11" s="13" t="s">
        <v>883</v>
      </c>
      <c r="I11" s="13" t="s">
        <v>884</v>
      </c>
      <c r="J11" s="192" t="s">
        <v>745</v>
      </c>
      <c r="K11" s="192" t="s">
        <v>243</v>
      </c>
      <c r="L11" s="192" t="s">
        <v>746</v>
      </c>
      <c r="M11" s="192"/>
      <c r="N11" s="193" t="s">
        <v>747</v>
      </c>
      <c r="O11" s="193"/>
      <c r="P11" s="193" t="s">
        <v>23</v>
      </c>
      <c r="Q11" s="193" t="s">
        <v>102</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885</v>
      </c>
    </row>
    <row r="12" customFormat="false" ht="135.8" hidden="false" customHeight="false" outlineLevel="0" collapsed="false">
      <c r="A12" s="192" t="str">
        <f aca="false">IF($F12="","",$C$2&amp;"."&amp;COUNTA($F$7:$F12)&amp;"")</f>
        <v>TC_03.4</v>
      </c>
      <c r="B12" s="192" t="s">
        <v>880</v>
      </c>
      <c r="C12" s="192" t="s">
        <v>617</v>
      </c>
      <c r="D12" s="192" t="s">
        <v>41</v>
      </c>
      <c r="E12" s="192" t="s">
        <v>157</v>
      </c>
      <c r="F12" s="13" t="s">
        <v>886</v>
      </c>
      <c r="G12" s="13" t="s">
        <v>882</v>
      </c>
      <c r="H12" s="13" t="s">
        <v>887</v>
      </c>
      <c r="I12" s="13" t="s">
        <v>884</v>
      </c>
      <c r="J12" s="192" t="s">
        <v>745</v>
      </c>
      <c r="K12" s="192" t="s">
        <v>243</v>
      </c>
      <c r="L12" s="192" t="s">
        <v>746</v>
      </c>
      <c r="M12" s="192"/>
      <c r="N12" s="193" t="s">
        <v>747</v>
      </c>
      <c r="O12" s="193"/>
      <c r="P12" s="193" t="s">
        <v>23</v>
      </c>
      <c r="Q12" s="193" t="s">
        <v>102</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888</v>
      </c>
    </row>
    <row r="13" customFormat="false" ht="124.6" hidden="false" customHeight="false" outlineLevel="0" collapsed="false">
      <c r="A13" s="192" t="str">
        <f aca="false">IF($F13="","",$C$2&amp;"."&amp;COUNTA($F$7:$F13)&amp;"")</f>
        <v>TC_03.5</v>
      </c>
      <c r="B13" s="192" t="s">
        <v>880</v>
      </c>
      <c r="C13" s="192" t="s">
        <v>617</v>
      </c>
      <c r="D13" s="192" t="s">
        <v>41</v>
      </c>
      <c r="E13" s="192" t="s">
        <v>157</v>
      </c>
      <c r="F13" s="13" t="s">
        <v>889</v>
      </c>
      <c r="G13" s="13" t="s">
        <v>882</v>
      </c>
      <c r="H13" s="13" t="s">
        <v>890</v>
      </c>
      <c r="I13" s="13" t="s">
        <v>884</v>
      </c>
      <c r="J13" s="192" t="s">
        <v>745</v>
      </c>
      <c r="K13" s="192" t="s">
        <v>243</v>
      </c>
      <c r="L13" s="192" t="s">
        <v>746</v>
      </c>
      <c r="M13" s="192"/>
      <c r="N13" s="193" t="s">
        <v>747</v>
      </c>
      <c r="O13" s="193"/>
      <c r="P13" s="193" t="s">
        <v>23</v>
      </c>
      <c r="Q13" s="193" t="s">
        <v>102</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891</v>
      </c>
    </row>
    <row r="14" customFormat="false" ht="15" hidden="false" customHeight="false" outlineLevel="0" collapsed="false">
      <c r="A14" s="190"/>
      <c r="B14" s="190"/>
      <c r="C14" s="191" t="s">
        <v>892</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326.1" hidden="false" customHeight="false" outlineLevel="0" collapsed="false">
      <c r="A15" s="192" t="str">
        <f aca="false">IF($F15="","",$C$2&amp;"."&amp;COUNTA($F$7:$F15)&amp;"")</f>
        <v>TC_03.6</v>
      </c>
      <c r="B15" s="192" t="s">
        <v>552</v>
      </c>
      <c r="C15" s="192" t="s">
        <v>617</v>
      </c>
      <c r="D15" s="192" t="s">
        <v>41</v>
      </c>
      <c r="E15" s="192" t="s">
        <v>157</v>
      </c>
      <c r="F15" s="13" t="s">
        <v>893</v>
      </c>
      <c r="G15" s="13" t="s">
        <v>894</v>
      </c>
      <c r="H15" s="13" t="s">
        <v>895</v>
      </c>
      <c r="I15" s="13" t="s">
        <v>896</v>
      </c>
      <c r="J15" s="192" t="s">
        <v>745</v>
      </c>
      <c r="K15" s="192" t="s">
        <v>243</v>
      </c>
      <c r="L15" s="192" t="s">
        <v>746</v>
      </c>
      <c r="M15" s="192"/>
      <c r="N15" s="193" t="s">
        <v>747</v>
      </c>
      <c r="O15" s="193"/>
      <c r="P15" s="193" t="s">
        <v>25</v>
      </c>
      <c r="Q15" s="193" t="s">
        <v>102</v>
      </c>
      <c r="R15" s="193" t="s">
        <v>452</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897</v>
      </c>
    </row>
    <row r="16" customFormat="false" ht="382.05" hidden="false" customHeight="false" outlineLevel="0" collapsed="false">
      <c r="A16" s="192" t="str">
        <f aca="false">IF($F16="","",$C$2&amp;"."&amp;COUNTA($F$7:$F16)&amp;"")</f>
        <v>TC_03.7</v>
      </c>
      <c r="B16" s="192" t="s">
        <v>552</v>
      </c>
      <c r="C16" s="192" t="s">
        <v>617</v>
      </c>
      <c r="D16" s="192" t="s">
        <v>41</v>
      </c>
      <c r="E16" s="192" t="s">
        <v>156</v>
      </c>
      <c r="F16" s="13" t="s">
        <v>898</v>
      </c>
      <c r="G16" s="13" t="s">
        <v>899</v>
      </c>
      <c r="H16" s="13" t="s">
        <v>900</v>
      </c>
      <c r="I16" s="13" t="s">
        <v>901</v>
      </c>
      <c r="J16" s="192" t="s">
        <v>745</v>
      </c>
      <c r="K16" s="192" t="s">
        <v>243</v>
      </c>
      <c r="L16" s="192" t="s">
        <v>746</v>
      </c>
      <c r="M16" s="192"/>
      <c r="N16" s="193" t="s">
        <v>747</v>
      </c>
      <c r="O16" s="193"/>
      <c r="P16" s="193" t="s">
        <v>23</v>
      </c>
      <c r="Q16" s="193" t="s">
        <v>102</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902</v>
      </c>
    </row>
    <row r="17" customFormat="false" ht="15" hidden="false" customHeight="false" outlineLevel="0" collapsed="false">
      <c r="A17" s="190"/>
      <c r="B17" s="190"/>
      <c r="C17" s="191" t="s">
        <v>903</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326.1" hidden="false" customHeight="false" outlineLevel="0" collapsed="false">
      <c r="A18" s="192" t="str">
        <f aca="false">IF($F18="","",$C$2&amp;"."&amp;COUNTA($F$7:$F18)&amp;"")</f>
        <v>TC_03.8</v>
      </c>
      <c r="B18" s="192" t="s">
        <v>555</v>
      </c>
      <c r="C18" s="192" t="s">
        <v>617</v>
      </c>
      <c r="D18" s="192" t="s">
        <v>41</v>
      </c>
      <c r="E18" s="192" t="s">
        <v>156</v>
      </c>
      <c r="F18" s="13" t="s">
        <v>904</v>
      </c>
      <c r="G18" s="13" t="s">
        <v>882</v>
      </c>
      <c r="H18" s="13" t="s">
        <v>905</v>
      </c>
      <c r="I18" s="13" t="s">
        <v>906</v>
      </c>
      <c r="J18" s="192" t="s">
        <v>745</v>
      </c>
      <c r="K18" s="192" t="s">
        <v>243</v>
      </c>
      <c r="L18" s="192" t="s">
        <v>746</v>
      </c>
      <c r="M18" s="192"/>
      <c r="N18" s="193" t="s">
        <v>747</v>
      </c>
      <c r="O18" s="193"/>
      <c r="P18" s="193" t="s">
        <v>23</v>
      </c>
      <c r="Q18" s="193" t="s">
        <v>102</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907</v>
      </c>
    </row>
    <row r="19" customFormat="false" ht="303.7" hidden="false" customHeight="false" outlineLevel="0" collapsed="false">
      <c r="A19" s="192" t="str">
        <f aca="false">IF($F19="","",$C$2&amp;"."&amp;COUNTA($F$7:$F19)&amp;"")</f>
        <v>TC_03.9</v>
      </c>
      <c r="B19" s="192" t="s">
        <v>555</v>
      </c>
      <c r="C19" s="192" t="s">
        <v>617</v>
      </c>
      <c r="D19" s="192" t="s">
        <v>41</v>
      </c>
      <c r="E19" s="192" t="s">
        <v>156</v>
      </c>
      <c r="F19" s="13" t="s">
        <v>908</v>
      </c>
      <c r="G19" s="13" t="s">
        <v>882</v>
      </c>
      <c r="H19" s="13" t="s">
        <v>909</v>
      </c>
      <c r="I19" s="13" t="s">
        <v>910</v>
      </c>
      <c r="J19" s="192" t="s">
        <v>745</v>
      </c>
      <c r="K19" s="192" t="s">
        <v>243</v>
      </c>
      <c r="L19" s="192" t="s">
        <v>746</v>
      </c>
      <c r="M19" s="192"/>
      <c r="N19" s="193" t="s">
        <v>747</v>
      </c>
      <c r="O19" s="193"/>
      <c r="P19" s="193" t="s">
        <v>23</v>
      </c>
      <c r="Q19" s="193" t="s">
        <v>102</v>
      </c>
      <c r="R19" s="193" t="s">
        <v>468</v>
      </c>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911</v>
      </c>
    </row>
    <row r="20" customFormat="false" ht="169.4" hidden="false" customHeight="false" outlineLevel="0" collapsed="false">
      <c r="A20" s="192" t="str">
        <f aca="false">IF($F20="","",$C$2&amp;"."&amp;COUNTA($F$7:$F20)&amp;"")</f>
        <v>TC_03.10</v>
      </c>
      <c r="B20" s="192" t="s">
        <v>555</v>
      </c>
      <c r="C20" s="192" t="s">
        <v>617</v>
      </c>
      <c r="D20" s="192" t="s">
        <v>41</v>
      </c>
      <c r="E20" s="192" t="s">
        <v>156</v>
      </c>
      <c r="F20" s="13" t="s">
        <v>912</v>
      </c>
      <c r="G20" s="13" t="s">
        <v>882</v>
      </c>
      <c r="H20" s="13" t="s">
        <v>913</v>
      </c>
      <c r="I20" s="13" t="s">
        <v>914</v>
      </c>
      <c r="J20" s="192" t="s">
        <v>745</v>
      </c>
      <c r="K20" s="192" t="s">
        <v>243</v>
      </c>
      <c r="L20" s="192" t="s">
        <v>746</v>
      </c>
      <c r="M20" s="192"/>
      <c r="N20" s="193" t="s">
        <v>747</v>
      </c>
      <c r="O20" s="193"/>
      <c r="P20" s="193" t="s">
        <v>23</v>
      </c>
      <c r="Q20" s="193" t="s">
        <v>102</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915</v>
      </c>
    </row>
    <row r="21" customFormat="false" ht="15.75" hidden="false" customHeight="true" outlineLevel="0" collapsed="false">
      <c r="A21" s="192" t="str">
        <f aca="false">IF($F21="","",$C$2&amp;"."&amp;COUNTA($F$7:$F21)&amp;"")</f>
        <v>TC_03.11</v>
      </c>
      <c r="B21" s="192" t="s">
        <v>555</v>
      </c>
      <c r="C21" s="192" t="s">
        <v>617</v>
      </c>
      <c r="D21" s="192" t="s">
        <v>41</v>
      </c>
      <c r="E21" s="192" t="s">
        <v>157</v>
      </c>
      <c r="F21" s="13" t="s">
        <v>916</v>
      </c>
      <c r="G21" s="13" t="s">
        <v>917</v>
      </c>
      <c r="H21" s="13" t="s">
        <v>918</v>
      </c>
      <c r="I21" s="13" t="s">
        <v>919</v>
      </c>
      <c r="J21" s="192" t="s">
        <v>745</v>
      </c>
      <c r="K21" s="192" t="s">
        <v>243</v>
      </c>
      <c r="L21" s="192" t="s">
        <v>746</v>
      </c>
      <c r="M21" s="192"/>
      <c r="N21" s="193" t="s">
        <v>747</v>
      </c>
      <c r="O21" s="193"/>
      <c r="P21" s="193" t="s">
        <v>27</v>
      </c>
      <c r="Q21" s="193" t="s">
        <v>102</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Block</v>
      </c>
      <c r="AU21" s="195" t="s">
        <v>920</v>
      </c>
    </row>
    <row r="22" customFormat="false" ht="15.75" hidden="false" customHeight="true" outlineLevel="0" collapsed="false">
      <c r="A22" s="190"/>
      <c r="B22" s="190"/>
      <c r="C22" s="191" t="s">
        <v>921</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TC_03.12</v>
      </c>
      <c r="B23" s="192" t="s">
        <v>546</v>
      </c>
      <c r="C23" s="192" t="s">
        <v>617</v>
      </c>
      <c r="D23" s="192" t="s">
        <v>41</v>
      </c>
      <c r="E23" s="192" t="s">
        <v>157</v>
      </c>
      <c r="F23" s="13" t="s">
        <v>922</v>
      </c>
      <c r="G23" s="13" t="s">
        <v>923</v>
      </c>
      <c r="H23" s="13" t="s">
        <v>924</v>
      </c>
      <c r="I23" s="13" t="s">
        <v>925</v>
      </c>
      <c r="J23" s="192" t="s">
        <v>745</v>
      </c>
      <c r="K23" s="192" t="s">
        <v>243</v>
      </c>
      <c r="L23" s="192" t="s">
        <v>746</v>
      </c>
      <c r="M23" s="192"/>
      <c r="N23" s="193" t="s">
        <v>747</v>
      </c>
      <c r="O23" s="193"/>
      <c r="P23" s="193" t="s">
        <v>27</v>
      </c>
      <c r="Q23" s="193" t="s">
        <v>102</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Block</v>
      </c>
      <c r="AU23" s="195" t="s">
        <v>926</v>
      </c>
    </row>
    <row r="24" customFormat="false" ht="15.75" hidden="false" customHeight="true" outlineLevel="0" collapsed="false">
      <c r="A24" s="190"/>
      <c r="B24" s="190"/>
      <c r="C24" s="191" t="s">
        <v>927</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TC_03.13</v>
      </c>
      <c r="B25" s="192" t="s">
        <v>558</v>
      </c>
      <c r="C25" s="192" t="s">
        <v>617</v>
      </c>
      <c r="D25" s="192" t="s">
        <v>41</v>
      </c>
      <c r="E25" s="192" t="s">
        <v>158</v>
      </c>
      <c r="F25" s="13" t="s">
        <v>928</v>
      </c>
      <c r="G25" s="13" t="s">
        <v>929</v>
      </c>
      <c r="H25" s="13" t="s">
        <v>930</v>
      </c>
      <c r="I25" s="13" t="s">
        <v>931</v>
      </c>
      <c r="J25" s="192" t="s">
        <v>745</v>
      </c>
      <c r="K25" s="192" t="s">
        <v>243</v>
      </c>
      <c r="L25" s="192" t="s">
        <v>746</v>
      </c>
      <c r="M25" s="192"/>
      <c r="N25" s="193" t="s">
        <v>747</v>
      </c>
      <c r="O25" s="193"/>
      <c r="P25" s="193" t="s">
        <v>23</v>
      </c>
      <c r="Q25" s="193" t="s">
        <v>102</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932</v>
      </c>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199</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200</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933</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TC_04.1</v>
      </c>
      <c r="B8" s="192" t="s">
        <v>561</v>
      </c>
      <c r="C8" s="192" t="s">
        <v>617</v>
      </c>
      <c r="D8" s="192" t="s">
        <v>43</v>
      </c>
      <c r="E8" s="192" t="s">
        <v>157</v>
      </c>
      <c r="F8" s="13" t="s">
        <v>934</v>
      </c>
      <c r="G8" s="13" t="s">
        <v>935</v>
      </c>
      <c r="H8" s="13" t="s">
        <v>936</v>
      </c>
      <c r="I8" s="13" t="s">
        <v>937</v>
      </c>
      <c r="J8" s="192" t="s">
        <v>745</v>
      </c>
      <c r="K8" s="192" t="s">
        <v>243</v>
      </c>
      <c r="L8" s="192" t="s">
        <v>746</v>
      </c>
      <c r="M8" s="192"/>
      <c r="N8" s="193"/>
      <c r="O8" s="193"/>
      <c r="P8" s="193"/>
      <c r="Q8" s="193" t="s">
        <v>102</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938</v>
      </c>
    </row>
    <row r="9" customFormat="false" ht="60" hidden="false" customHeight="true" outlineLevel="0" collapsed="false">
      <c r="A9" s="192" t="str">
        <f aca="false">IF($F9="","",$C$2&amp;"."&amp;COUNTA($F$7:$F9)&amp;"")</f>
        <v>TC_04.2</v>
      </c>
      <c r="B9" s="192" t="s">
        <v>561</v>
      </c>
      <c r="C9" s="192" t="s">
        <v>617</v>
      </c>
      <c r="D9" s="192" t="s">
        <v>43</v>
      </c>
      <c r="E9" s="192" t="s">
        <v>157</v>
      </c>
      <c r="F9" s="13" t="s">
        <v>939</v>
      </c>
      <c r="G9" s="13" t="s">
        <v>940</v>
      </c>
      <c r="H9" s="13" t="s">
        <v>941</v>
      </c>
      <c r="I9" s="13" t="s">
        <v>942</v>
      </c>
      <c r="J9" s="192" t="s">
        <v>745</v>
      </c>
      <c r="K9" s="192" t="s">
        <v>243</v>
      </c>
      <c r="L9" s="192" t="s">
        <v>746</v>
      </c>
      <c r="M9" s="192"/>
      <c r="N9" s="193"/>
      <c r="O9" s="193"/>
      <c r="P9" s="193"/>
      <c r="Q9" s="193" t="s">
        <v>102</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No</v>
      </c>
      <c r="AS9" s="194" t="str">
        <f aca="false">IF($A9="","",IFERROR(IF($AM9&lt;&gt;"",$AM9,IF($AG9&lt;&gt;"",$AG9,IF($AA9&lt;&gt;"",$AA9,IF($U9&lt;&gt;"",$U9,IF($O9&lt;&gt;"",$O9,""))))),""))</f>
        <v/>
      </c>
      <c r="AT9" s="194" t="str">
        <f aca="false">IFERROR(IF($AN9&lt;&gt;"",$AN9,IF($AH9&lt;&gt;"",$AH9,IF($AB9&lt;&gt;"",$AB9,IF($V9&lt;&gt;"",$V9,IF($P9&lt;&gt;"",$P9,""))))),"")</f>
        <v/>
      </c>
      <c r="AU9" s="195" t="s">
        <v>943</v>
      </c>
    </row>
    <row r="10" customFormat="false" ht="147" hidden="false" customHeight="false" outlineLevel="0" collapsed="false">
      <c r="A10" s="192" t="str">
        <f aca="false">IF($F10="","",$C$2&amp;"."&amp;COUNTA($F$7:$F10)&amp;"")</f>
        <v>TC_04.3</v>
      </c>
      <c r="B10" s="192" t="s">
        <v>561</v>
      </c>
      <c r="C10" s="192" t="s">
        <v>617</v>
      </c>
      <c r="D10" s="192" t="s">
        <v>43</v>
      </c>
      <c r="E10" s="192" t="s">
        <v>157</v>
      </c>
      <c r="F10" s="13" t="s">
        <v>944</v>
      </c>
      <c r="G10" s="13" t="s">
        <v>945</v>
      </c>
      <c r="H10" s="13" t="s">
        <v>946</v>
      </c>
      <c r="I10" s="13" t="s">
        <v>947</v>
      </c>
      <c r="J10" s="192" t="s">
        <v>745</v>
      </c>
      <c r="K10" s="192" t="s">
        <v>243</v>
      </c>
      <c r="L10" s="192" t="s">
        <v>746</v>
      </c>
      <c r="M10" s="192"/>
      <c r="N10" s="193"/>
      <c r="O10" s="193"/>
      <c r="P10" s="193"/>
      <c r="Q10" s="193" t="s">
        <v>102</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948</v>
      </c>
    </row>
    <row r="11" customFormat="false" ht="158.2" hidden="false" customHeight="false" outlineLevel="0" collapsed="false">
      <c r="A11" s="192" t="str">
        <f aca="false">IF($F11="","",$C$2&amp;"."&amp;COUNTA($F$7:$F11)&amp;"")</f>
        <v>TC_04.4</v>
      </c>
      <c r="B11" s="192" t="s">
        <v>561</v>
      </c>
      <c r="C11" s="192" t="s">
        <v>617</v>
      </c>
      <c r="D11" s="192" t="s">
        <v>43</v>
      </c>
      <c r="E11" s="192" t="s">
        <v>157</v>
      </c>
      <c r="F11" s="13" t="s">
        <v>949</v>
      </c>
      <c r="G11" s="13" t="s">
        <v>950</v>
      </c>
      <c r="H11" s="13" t="s">
        <v>951</v>
      </c>
      <c r="I11" s="13" t="s">
        <v>952</v>
      </c>
      <c r="J11" s="192" t="s">
        <v>745</v>
      </c>
      <c r="K11" s="192" t="s">
        <v>243</v>
      </c>
      <c r="L11" s="192" t="s">
        <v>746</v>
      </c>
      <c r="M11" s="192"/>
      <c r="N11" s="193"/>
      <c r="O11" s="193"/>
      <c r="P11" s="193"/>
      <c r="Q11" s="193" t="s">
        <v>102</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No</v>
      </c>
      <c r="AS11" s="194" t="str">
        <f aca="false">IF($A11="","",IFERROR(IF($AM11&lt;&gt;"",$AM11,IF($AG11&lt;&gt;"",$AG11,IF($AA11&lt;&gt;"",$AA11,IF($U11&lt;&gt;"",$U11,IF($O11&lt;&gt;"",$O11,""))))),""))</f>
        <v/>
      </c>
      <c r="AT11" s="194" t="str">
        <f aca="false">IFERROR(IF($AN11&lt;&gt;"",$AN11,IF($AH11&lt;&gt;"",$AH11,IF($AB11&lt;&gt;"",$AB11,IF($V11&lt;&gt;"",$V11,IF($P11&lt;&gt;"",$P11,""))))),"")</f>
        <v/>
      </c>
      <c r="AU11" s="195" t="s">
        <v>953</v>
      </c>
    </row>
    <row r="12" customFormat="false" ht="147" hidden="false" customHeight="false" outlineLevel="0" collapsed="false">
      <c r="A12" s="192" t="str">
        <f aca="false">IF($F12="","",$C$2&amp;"."&amp;COUNTA($F$7:$F12)&amp;"")</f>
        <v>TC_04.5</v>
      </c>
      <c r="B12" s="192" t="s">
        <v>561</v>
      </c>
      <c r="C12" s="192" t="s">
        <v>617</v>
      </c>
      <c r="D12" s="192" t="s">
        <v>43</v>
      </c>
      <c r="E12" s="192" t="s">
        <v>157</v>
      </c>
      <c r="F12" s="13" t="s">
        <v>954</v>
      </c>
      <c r="G12" s="13" t="s">
        <v>955</v>
      </c>
      <c r="H12" s="13" t="s">
        <v>956</v>
      </c>
      <c r="I12" s="13" t="s">
        <v>957</v>
      </c>
      <c r="J12" s="192" t="s">
        <v>745</v>
      </c>
      <c r="K12" s="192" t="s">
        <v>243</v>
      </c>
      <c r="L12" s="192" t="s">
        <v>746</v>
      </c>
      <c r="M12" s="192"/>
      <c r="N12" s="193"/>
      <c r="O12" s="193"/>
      <c r="P12" s="193"/>
      <c r="Q12" s="193" t="s">
        <v>102</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No</v>
      </c>
      <c r="AS12" s="194" t="str">
        <f aca="false">IF($A12="","",IFERROR(IF($AM12&lt;&gt;"",$AM12,IF($AG12&lt;&gt;"",$AG12,IF($AA12&lt;&gt;"",$AA12,IF($U12&lt;&gt;"",$U12,IF($O12&lt;&gt;"",$O12,""))))),""))</f>
        <v/>
      </c>
      <c r="AT12" s="194" t="str">
        <f aca="false">IFERROR(IF($AN12&lt;&gt;"",$AN12,IF($AH12&lt;&gt;"",$AH12,IF($AB12&lt;&gt;"",$AB12,IF($V12&lt;&gt;"",$V12,IF($P12&lt;&gt;"",$P12,""))))),"")</f>
        <v/>
      </c>
      <c r="AU12" s="195" t="s">
        <v>958</v>
      </c>
    </row>
    <row r="13" customFormat="false" ht="158.2" hidden="false" customHeight="false" outlineLevel="0" collapsed="false">
      <c r="A13" s="192" t="str">
        <f aca="false">IF($F13="","",$C$2&amp;"."&amp;COUNTA($F$7:$F13)&amp;"")</f>
        <v>TC_04.6</v>
      </c>
      <c r="B13" s="192" t="s">
        <v>561</v>
      </c>
      <c r="C13" s="192" t="s">
        <v>617</v>
      </c>
      <c r="D13" s="192" t="s">
        <v>43</v>
      </c>
      <c r="E13" s="192" t="s">
        <v>157</v>
      </c>
      <c r="F13" s="13" t="s">
        <v>959</v>
      </c>
      <c r="G13" s="13" t="s">
        <v>960</v>
      </c>
      <c r="H13" s="13" t="s">
        <v>961</v>
      </c>
      <c r="I13" s="13" t="s">
        <v>962</v>
      </c>
      <c r="J13" s="192" t="s">
        <v>745</v>
      </c>
      <c r="K13" s="192" t="s">
        <v>243</v>
      </c>
      <c r="L13" s="192" t="s">
        <v>746</v>
      </c>
      <c r="M13" s="192"/>
      <c r="N13" s="193"/>
      <c r="O13" s="193"/>
      <c r="P13" s="193"/>
      <c r="Q13" s="193" t="s">
        <v>102</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No</v>
      </c>
      <c r="AS13" s="194" t="str">
        <f aca="false">IF($A13="","",IFERROR(IF($AM13&lt;&gt;"",$AM13,IF($AG13&lt;&gt;"",$AG13,IF($AA13&lt;&gt;"",$AA13,IF($U13&lt;&gt;"",$U13,IF($O13&lt;&gt;"",$O13,""))))),""))</f>
        <v/>
      </c>
      <c r="AT13" s="194" t="str">
        <f aca="false">IFERROR(IF($AN13&lt;&gt;"",$AN13,IF($AH13&lt;&gt;"",$AH13,IF($AB13&lt;&gt;"",$AB13,IF($V13&lt;&gt;"",$V13,IF($P13&lt;&gt;"",$P13,""))))),"")</f>
        <v/>
      </c>
      <c r="AU13" s="195" t="s">
        <v>958</v>
      </c>
    </row>
    <row r="14" customFormat="false" ht="202.95" hidden="false" customHeight="false" outlineLevel="0" collapsed="false">
      <c r="A14" s="192" t="str">
        <f aca="false">IF($F14="","",$C$2&amp;"."&amp;COUNTA($F$7:$F14)&amp;"")</f>
        <v>TC_04.7</v>
      </c>
      <c r="B14" s="192" t="s">
        <v>561</v>
      </c>
      <c r="C14" s="192" t="s">
        <v>617</v>
      </c>
      <c r="D14" s="192" t="s">
        <v>43</v>
      </c>
      <c r="E14" s="192" t="s">
        <v>158</v>
      </c>
      <c r="F14" s="13" t="s">
        <v>963</v>
      </c>
      <c r="G14" s="13" t="s">
        <v>964</v>
      </c>
      <c r="H14" s="13" t="s">
        <v>965</v>
      </c>
      <c r="I14" s="13" t="s">
        <v>966</v>
      </c>
      <c r="J14" s="192" t="s">
        <v>745</v>
      </c>
      <c r="K14" s="192" t="s">
        <v>243</v>
      </c>
      <c r="L14" s="192" t="s">
        <v>746</v>
      </c>
      <c r="M14" s="192"/>
      <c r="N14" s="193"/>
      <c r="O14" s="193"/>
      <c r="P14" s="193"/>
      <c r="Q14" s="193" t="s">
        <v>102</v>
      </c>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No</v>
      </c>
      <c r="AS14" s="194" t="str">
        <f aca="false">IF($A14="","",IFERROR(IF($AM14&lt;&gt;"",$AM14,IF($AG14&lt;&gt;"",$AG14,IF($AA14&lt;&gt;"",$AA14,IF($U14&lt;&gt;"",$U14,IF($O14&lt;&gt;"",$O14,""))))),""))</f>
        <v/>
      </c>
      <c r="AT14" s="194" t="str">
        <f aca="false">IFERROR(IF($AN14&lt;&gt;"",$AN14,IF($AH14&lt;&gt;"",$AH14,IF($AB14&lt;&gt;"",$AB14,IF($V14&lt;&gt;"",$V14,IF($P14&lt;&gt;"",$P14,""))))),"")</f>
        <v/>
      </c>
      <c r="AU14" s="195" t="s">
        <v>967</v>
      </c>
    </row>
    <row r="15" customFormat="false" ht="191.75" hidden="false" customHeight="false" outlineLevel="0" collapsed="false">
      <c r="A15" s="192" t="str">
        <f aca="false">IF($F15="","",$C$2&amp;"."&amp;COUNTA($F$7:$F15)&amp;"")</f>
        <v>TC_04.8</v>
      </c>
      <c r="B15" s="192" t="s">
        <v>561</v>
      </c>
      <c r="C15" s="192" t="s">
        <v>617</v>
      </c>
      <c r="D15" s="192" t="s">
        <v>43</v>
      </c>
      <c r="E15" s="192" t="s">
        <v>158</v>
      </c>
      <c r="F15" s="13" t="s">
        <v>968</v>
      </c>
      <c r="G15" s="13" t="s">
        <v>969</v>
      </c>
      <c r="H15" s="13" t="s">
        <v>970</v>
      </c>
      <c r="I15" s="13" t="s">
        <v>971</v>
      </c>
      <c r="J15" s="192" t="s">
        <v>745</v>
      </c>
      <c r="K15" s="192" t="s">
        <v>243</v>
      </c>
      <c r="L15" s="192" t="s">
        <v>746</v>
      </c>
      <c r="M15" s="192"/>
      <c r="N15" s="193"/>
      <c r="O15" s="193"/>
      <c r="P15" s="193"/>
      <c r="Q15" s="193" t="s">
        <v>102</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972</v>
      </c>
    </row>
    <row r="16" customFormat="false" ht="202.95" hidden="false" customHeight="false" outlineLevel="0" collapsed="false">
      <c r="A16" s="192" t="str">
        <f aca="false">IF($F16="","",$C$2&amp;"."&amp;COUNTA($F$7:$F16)&amp;"")</f>
        <v>TC_04.9</v>
      </c>
      <c r="B16" s="192" t="s">
        <v>561</v>
      </c>
      <c r="C16" s="192" t="s">
        <v>617</v>
      </c>
      <c r="D16" s="192" t="s">
        <v>43</v>
      </c>
      <c r="E16" s="192" t="s">
        <v>158</v>
      </c>
      <c r="F16" s="13" t="s">
        <v>973</v>
      </c>
      <c r="G16" s="13" t="s">
        <v>974</v>
      </c>
      <c r="H16" s="13" t="s">
        <v>975</v>
      </c>
      <c r="I16" s="13" t="s">
        <v>971</v>
      </c>
      <c r="J16" s="192" t="s">
        <v>745</v>
      </c>
      <c r="K16" s="192" t="s">
        <v>243</v>
      </c>
      <c r="L16" s="192" t="s">
        <v>746</v>
      </c>
      <c r="M16" s="192"/>
      <c r="N16" s="193"/>
      <c r="O16" s="193"/>
      <c r="P16" s="193"/>
      <c r="Q16" s="193" t="s">
        <v>102</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976</v>
      </c>
    </row>
    <row r="17" customFormat="false" ht="15" hidden="false" customHeight="false" outlineLevel="0" collapsed="false">
      <c r="A17" s="190"/>
      <c r="B17" s="190"/>
      <c r="C17" s="191" t="s">
        <v>977</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47" hidden="false" customHeight="false" outlineLevel="0" collapsed="false">
      <c r="A18" s="192" t="str">
        <f aca="false">IF($F18="","",$C$2&amp;"."&amp;COUNTA($F$7:$F18)&amp;"")</f>
        <v>TC_04.10</v>
      </c>
      <c r="B18" s="192" t="s">
        <v>564</v>
      </c>
      <c r="C18" s="192" t="s">
        <v>617</v>
      </c>
      <c r="D18" s="192" t="s">
        <v>41</v>
      </c>
      <c r="E18" s="192" t="s">
        <v>157</v>
      </c>
      <c r="F18" s="13" t="s">
        <v>978</v>
      </c>
      <c r="G18" s="13" t="s">
        <v>979</v>
      </c>
      <c r="H18" s="13" t="s">
        <v>980</v>
      </c>
      <c r="I18" s="13" t="s">
        <v>981</v>
      </c>
      <c r="J18" s="192" t="s">
        <v>745</v>
      </c>
      <c r="K18" s="192" t="s">
        <v>243</v>
      </c>
      <c r="L18" s="192" t="s">
        <v>746</v>
      </c>
      <c r="M18" s="192"/>
      <c r="N18" s="193"/>
      <c r="O18" s="193"/>
      <c r="P18" s="193"/>
      <c r="Q18" s="193" t="s">
        <v>102</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No</v>
      </c>
      <c r="AS18" s="194" t="str">
        <f aca="false">IF($A18="","",IFERROR(IF($AM18&lt;&gt;"",$AM18,IF($AG18&lt;&gt;"",$AG18,IF($AA18&lt;&gt;"",$AA18,IF($U18&lt;&gt;"",$U18,IF($O18&lt;&gt;"",$O18,""))))),""))</f>
        <v/>
      </c>
      <c r="AT18" s="194" t="str">
        <f aca="false">IFERROR(IF($AN18&lt;&gt;"",$AN18,IF($AH18&lt;&gt;"",$AH18,IF($AB18&lt;&gt;"",$AB18,IF($V18&lt;&gt;"",$V18,IF($P18&lt;&gt;"",$P18,""))))),"")</f>
        <v/>
      </c>
      <c r="AU18" s="195" t="s">
        <v>982</v>
      </c>
    </row>
    <row r="19" customFormat="false" ht="15" hidden="false" customHeight="false" outlineLevel="0" collapsed="false">
      <c r="A19" s="190"/>
      <c r="B19" s="190"/>
      <c r="C19" s="191" t="s">
        <v>983</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113.4" hidden="false" customHeight="false" outlineLevel="0" collapsed="false">
      <c r="A20" s="192" t="str">
        <f aca="false">IF($F20="","",$C$2&amp;"."&amp;COUNTA($F$7:$F20)&amp;"")</f>
        <v>TC_04.11</v>
      </c>
      <c r="B20" s="192" t="s">
        <v>567</v>
      </c>
      <c r="C20" s="192" t="s">
        <v>617</v>
      </c>
      <c r="D20" s="192" t="s">
        <v>41</v>
      </c>
      <c r="E20" s="192" t="s">
        <v>158</v>
      </c>
      <c r="F20" s="13" t="s">
        <v>984</v>
      </c>
      <c r="G20" s="13" t="s">
        <v>985</v>
      </c>
      <c r="H20" s="13" t="s">
        <v>986</v>
      </c>
      <c r="I20" s="13" t="s">
        <v>987</v>
      </c>
      <c r="J20" s="192" t="s">
        <v>745</v>
      </c>
      <c r="K20" s="192" t="s">
        <v>243</v>
      </c>
      <c r="L20" s="192" t="s">
        <v>746</v>
      </c>
      <c r="M20" s="192"/>
      <c r="N20" s="193" t="s">
        <v>747</v>
      </c>
      <c r="O20" s="193"/>
      <c r="P20" s="193" t="s">
        <v>23</v>
      </c>
      <c r="Q20" s="193" t="s">
        <v>102</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988</v>
      </c>
    </row>
    <row r="21" customFormat="false" ht="15.75" hidden="false" customHeight="true" outlineLevel="0" collapsed="false">
      <c r="A21" s="192" t="str">
        <f aca="false">IF($F21="","",$C$2&amp;"."&amp;COUNTA($F$7:$F21)&amp;"")</f>
        <v>TC_04.12</v>
      </c>
      <c r="B21" s="192" t="s">
        <v>567</v>
      </c>
      <c r="C21" s="192" t="s">
        <v>617</v>
      </c>
      <c r="D21" s="192" t="s">
        <v>41</v>
      </c>
      <c r="E21" s="192" t="s">
        <v>158</v>
      </c>
      <c r="F21" s="13" t="s">
        <v>989</v>
      </c>
      <c r="G21" s="13" t="s">
        <v>990</v>
      </c>
      <c r="H21" s="13" t="s">
        <v>991</v>
      </c>
      <c r="I21" s="13" t="s">
        <v>992</v>
      </c>
      <c r="J21" s="192" t="s">
        <v>745</v>
      </c>
      <c r="K21" s="192" t="s">
        <v>243</v>
      </c>
      <c r="L21" s="192" t="s">
        <v>746</v>
      </c>
      <c r="M21" s="192"/>
      <c r="N21" s="193" t="s">
        <v>747</v>
      </c>
      <c r="O21" s="193"/>
      <c r="P21" s="193" t="s">
        <v>23</v>
      </c>
      <c r="Q21" s="193" t="s">
        <v>102</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993</v>
      </c>
    </row>
    <row r="22" customFormat="false" ht="15.75" hidden="false" customHeight="true" outlineLevel="0" collapsed="false">
      <c r="A22" s="190"/>
      <c r="B22" s="190"/>
      <c r="C22" s="191" t="s">
        <v>994</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TC_04.13</v>
      </c>
      <c r="B23" s="192" t="s">
        <v>570</v>
      </c>
      <c r="C23" s="192" t="s">
        <v>995</v>
      </c>
      <c r="D23" s="192" t="s">
        <v>41</v>
      </c>
      <c r="E23" s="192" t="s">
        <v>156</v>
      </c>
      <c r="F23" s="13" t="s">
        <v>996</v>
      </c>
      <c r="G23" s="13" t="s">
        <v>997</v>
      </c>
      <c r="H23" s="13" t="s">
        <v>998</v>
      </c>
      <c r="I23" s="13" t="s">
        <v>999</v>
      </c>
      <c r="J23" s="192" t="s">
        <v>745</v>
      </c>
      <c r="K23" s="192" t="s">
        <v>243</v>
      </c>
      <c r="L23" s="192" t="s">
        <v>746</v>
      </c>
      <c r="M23" s="192"/>
      <c r="N23" s="193" t="s">
        <v>747</v>
      </c>
      <c r="O23" s="193"/>
      <c r="P23" s="193" t="s">
        <v>23</v>
      </c>
      <c r="Q23" s="193" t="s">
        <v>102</v>
      </c>
      <c r="R23" s="193" t="s">
        <v>468</v>
      </c>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1000</v>
      </c>
    </row>
    <row r="24" customFormat="false" ht="15.75" hidden="false" customHeight="true" outlineLevel="0" collapsed="false">
      <c r="A24" s="192" t="str">
        <f aca="false">IF($F24="","",$C$2&amp;"."&amp;COUNTA($F$7:$F24)&amp;"")</f>
        <v>TC_04.14</v>
      </c>
      <c r="B24" s="192" t="s">
        <v>570</v>
      </c>
      <c r="C24" s="192" t="s">
        <v>995</v>
      </c>
      <c r="D24" s="192" t="s">
        <v>41</v>
      </c>
      <c r="E24" s="192" t="s">
        <v>156</v>
      </c>
      <c r="F24" s="13" t="s">
        <v>1001</v>
      </c>
      <c r="G24" s="13" t="s">
        <v>1002</v>
      </c>
      <c r="H24" s="13" t="s">
        <v>1003</v>
      </c>
      <c r="I24" s="13" t="s">
        <v>1004</v>
      </c>
      <c r="J24" s="192" t="s">
        <v>745</v>
      </c>
      <c r="K24" s="192" t="s">
        <v>243</v>
      </c>
      <c r="L24" s="192" t="s">
        <v>746</v>
      </c>
      <c r="M24" s="192"/>
      <c r="N24" s="193"/>
      <c r="O24" s="193"/>
      <c r="P24" s="193"/>
      <c r="Q24" s="193" t="s">
        <v>102</v>
      </c>
      <c r="R24" s="193"/>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No</v>
      </c>
      <c r="AS24" s="194" t="str">
        <f aca="false">IF($A24="","",IFERROR(IF($AM24&lt;&gt;"",$AM24,IF($AG24&lt;&gt;"",$AG24,IF($AA24&lt;&gt;"",$AA24,IF($U24&lt;&gt;"",$U24,IF($O24&lt;&gt;"",$O24,""))))),""))</f>
        <v/>
      </c>
      <c r="AT24" s="194" t="str">
        <f aca="false">IFERROR(IF($AN24&lt;&gt;"",$AN24,IF($AH24&lt;&gt;"",$AH24,IF($AB24&lt;&gt;"",$AB24,IF($V24&lt;&gt;"",$V24,IF($P24&lt;&gt;"",$P24,""))))),"")</f>
        <v/>
      </c>
      <c r="AU24" s="195" t="s">
        <v>1005</v>
      </c>
    </row>
    <row r="25" customFormat="false" ht="15.75" hidden="false" customHeight="true" outlineLevel="0" collapsed="false">
      <c r="A25" s="192" t="str">
        <f aca="false">IF($F25="","",$C$2&amp;"."&amp;COUNTA($F$7:$F25)&amp;"")</f>
        <v>TC_04.15</v>
      </c>
      <c r="B25" s="192" t="s">
        <v>570</v>
      </c>
      <c r="C25" s="192" t="s">
        <v>995</v>
      </c>
      <c r="D25" s="192" t="s">
        <v>41</v>
      </c>
      <c r="E25" s="192" t="s">
        <v>157</v>
      </c>
      <c r="F25" s="13" t="s">
        <v>1006</v>
      </c>
      <c r="G25" s="13" t="s">
        <v>1007</v>
      </c>
      <c r="H25" s="13" t="s">
        <v>1008</v>
      </c>
      <c r="I25" s="13" t="s">
        <v>1009</v>
      </c>
      <c r="J25" s="192" t="s">
        <v>745</v>
      </c>
      <c r="K25" s="192" t="s">
        <v>243</v>
      </c>
      <c r="L25" s="192" t="s">
        <v>746</v>
      </c>
      <c r="M25" s="192"/>
      <c r="N25" s="193"/>
      <c r="O25" s="193"/>
      <c r="P25" s="193"/>
      <c r="Q25" s="193" t="s">
        <v>102</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No</v>
      </c>
      <c r="AS25" s="194" t="str">
        <f aca="false">IF($A25="","",IFERROR(IF($AM25&lt;&gt;"",$AM25,IF($AG25&lt;&gt;"",$AG25,IF($AA25&lt;&gt;"",$AA25,IF($U25&lt;&gt;"",$U25,IF($O25&lt;&gt;"",$O25,""))))),""))</f>
        <v/>
      </c>
      <c r="AT25" s="194" t="str">
        <f aca="false">IFERROR(IF($AN25&lt;&gt;"",$AN25,IF($AH25&lt;&gt;"",$AH25,IF($AB25&lt;&gt;"",$AB25,IF($V25&lt;&gt;"",$V25,IF($P25&lt;&gt;"",$P25,""))))),"")</f>
        <v/>
      </c>
      <c r="AU25" s="195" t="s">
        <v>1010</v>
      </c>
    </row>
    <row r="26" customFormat="false" ht="15.75" hidden="false" customHeight="true" outlineLevel="0" collapsed="false">
      <c r="A26" s="192" t="str">
        <f aca="false">IF($F26="","",$C$2&amp;"."&amp;COUNTA($F$7:$F26)&amp;"")</f>
        <v>TC_04.16</v>
      </c>
      <c r="B26" s="192" t="s">
        <v>570</v>
      </c>
      <c r="C26" s="192" t="s">
        <v>995</v>
      </c>
      <c r="D26" s="192" t="s">
        <v>41</v>
      </c>
      <c r="E26" s="192" t="s">
        <v>157</v>
      </c>
      <c r="F26" s="13" t="s">
        <v>1011</v>
      </c>
      <c r="G26" s="13" t="s">
        <v>1012</v>
      </c>
      <c r="H26" s="13" t="s">
        <v>1013</v>
      </c>
      <c r="I26" s="13" t="s">
        <v>1014</v>
      </c>
      <c r="J26" s="192" t="s">
        <v>745</v>
      </c>
      <c r="K26" s="192" t="s">
        <v>243</v>
      </c>
      <c r="L26" s="192" t="s">
        <v>746</v>
      </c>
      <c r="M26" s="192"/>
      <c r="N26" s="193"/>
      <c r="O26" s="193"/>
      <c r="P26" s="193"/>
      <c r="Q26" s="193" t="s">
        <v>102</v>
      </c>
      <c r="R26" s="193"/>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No</v>
      </c>
      <c r="AS26" s="194" t="str">
        <f aca="false">IF($A26="","",IFERROR(IF($AM26&lt;&gt;"",$AM26,IF($AG26&lt;&gt;"",$AG26,IF($AA26&lt;&gt;"",$AA26,IF($U26&lt;&gt;"",$U26,IF($O26&lt;&gt;"",$O26,""))))),""))</f>
        <v/>
      </c>
      <c r="AT26" s="194" t="str">
        <f aca="false">IFERROR(IF($AN26&lt;&gt;"",$AN26,IF($AH26&lt;&gt;"",$AH26,IF($AB26&lt;&gt;"",$AB26,IF($V26&lt;&gt;"",$V26,IF($P26&lt;&gt;"",$P26,""))))),"")</f>
        <v/>
      </c>
      <c r="AU26" s="195" t="s">
        <v>1015</v>
      </c>
    </row>
    <row r="27" customFormat="false" ht="15.75" hidden="false" customHeight="true" outlineLevel="0" collapsed="false">
      <c r="A27" s="192" t="str">
        <f aca="false">IF($F27="","",$C$2&amp;"."&amp;COUNTA($F$7:$F27)&amp;"")</f>
        <v>TC_04.17</v>
      </c>
      <c r="B27" s="192" t="s">
        <v>570</v>
      </c>
      <c r="C27" s="192" t="s">
        <v>617</v>
      </c>
      <c r="D27" s="192" t="s">
        <v>41</v>
      </c>
      <c r="E27" s="192" t="s">
        <v>157</v>
      </c>
      <c r="F27" s="13" t="s">
        <v>1016</v>
      </c>
      <c r="G27" s="13" t="s">
        <v>1017</v>
      </c>
      <c r="H27" s="13" t="s">
        <v>1018</v>
      </c>
      <c r="I27" s="13" t="s">
        <v>1019</v>
      </c>
      <c r="J27" s="192" t="s">
        <v>745</v>
      </c>
      <c r="K27" s="192" t="s">
        <v>243</v>
      </c>
      <c r="L27" s="192" t="s">
        <v>746</v>
      </c>
      <c r="M27" s="192"/>
      <c r="N27" s="193"/>
      <c r="O27" s="193"/>
      <c r="P27" s="193"/>
      <c r="Q27" s="193" t="s">
        <v>102</v>
      </c>
      <c r="R27" s="193"/>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No</v>
      </c>
      <c r="AS27" s="194" t="str">
        <f aca="false">IF($A27="","",IFERROR(IF($AM27&lt;&gt;"",$AM27,IF($AG27&lt;&gt;"",$AG27,IF($AA27&lt;&gt;"",$AA27,IF($U27&lt;&gt;"",$U27,IF($O27&lt;&gt;"",$O27,""))))),""))</f>
        <v/>
      </c>
      <c r="AT27" s="194" t="str">
        <f aca="false">IFERROR(IF($AN27&lt;&gt;"",$AN27,IF($AH27&lt;&gt;"",$AH27,IF($AB27&lt;&gt;"",$AB27,IF($V27&lt;&gt;"",$V27,IF($P27&lt;&gt;"",$P27,""))))),"")</f>
        <v/>
      </c>
      <c r="AU27" s="195" t="s">
        <v>1020</v>
      </c>
    </row>
    <row r="28" customFormat="false" ht="15.75" hidden="false" customHeight="true" outlineLevel="0" collapsed="false">
      <c r="A28" s="192" t="str">
        <f aca="false">IF($F28="","",$C$2&amp;"."&amp;COUNTA($F$7:$F28)&amp;"")</f>
        <v>TC_04.18</v>
      </c>
      <c r="B28" s="192" t="s">
        <v>570</v>
      </c>
      <c r="C28" s="192" t="s">
        <v>617</v>
      </c>
      <c r="D28" s="192" t="s">
        <v>41</v>
      </c>
      <c r="E28" s="192" t="s">
        <v>157</v>
      </c>
      <c r="F28" s="13" t="s">
        <v>1021</v>
      </c>
      <c r="G28" s="13" t="s">
        <v>1022</v>
      </c>
      <c r="H28" s="13" t="s">
        <v>1023</v>
      </c>
      <c r="I28" s="13" t="s">
        <v>1024</v>
      </c>
      <c r="J28" s="192" t="s">
        <v>745</v>
      </c>
      <c r="K28" s="192" t="s">
        <v>243</v>
      </c>
      <c r="L28" s="192" t="s">
        <v>746</v>
      </c>
      <c r="M28" s="192"/>
      <c r="N28" s="193"/>
      <c r="O28" s="193"/>
      <c r="P28" s="193"/>
      <c r="Q28" s="193" t="s">
        <v>102</v>
      </c>
      <c r="R28" s="193"/>
      <c r="S28" s="193"/>
      <c r="T28" s="193"/>
      <c r="U28" s="193"/>
      <c r="V28" s="193"/>
      <c r="W28" s="193"/>
      <c r="X28" s="193"/>
      <c r="Y28" s="193"/>
      <c r="Z28" s="193"/>
      <c r="AA28" s="193"/>
      <c r="AB28" s="193"/>
      <c r="AC28" s="193"/>
      <c r="AD28" s="193"/>
      <c r="AE28" s="193"/>
      <c r="AF28" s="193"/>
      <c r="AG28" s="193"/>
      <c r="AH28" s="193"/>
      <c r="AI28" s="193"/>
      <c r="AJ28" s="193"/>
      <c r="AK28" s="193"/>
      <c r="AL28" s="193"/>
      <c r="AM28" s="193"/>
      <c r="AN28" s="193"/>
      <c r="AO28" s="193"/>
      <c r="AP28" s="193"/>
      <c r="AQ28" s="193"/>
      <c r="AR28" s="194" t="str">
        <f aca="false">IF($A28="","",IF(OR($N28="Yes",$T28="Yes",$Z28="Yes",$AF28="Yes",$AL28="Yes"),"Yes","No"))</f>
        <v>No</v>
      </c>
      <c r="AS28" s="194" t="str">
        <f aca="false">IF($A28="","",IFERROR(IF($AM28&lt;&gt;"",$AM28,IF($AG28&lt;&gt;"",$AG28,IF($AA28&lt;&gt;"",$AA28,IF($U28&lt;&gt;"",$U28,IF($O28&lt;&gt;"",$O28,""))))),""))</f>
        <v/>
      </c>
      <c r="AT28" s="194" t="str">
        <f aca="false">IFERROR(IF($AN28&lt;&gt;"",$AN28,IF($AH28&lt;&gt;"",$AH28,IF($AB28&lt;&gt;"",$AB28,IF($V28&lt;&gt;"",$V28,IF($P28&lt;&gt;"",$P28,""))))),"")</f>
        <v/>
      </c>
      <c r="AU28" s="195" t="s">
        <v>1025</v>
      </c>
    </row>
    <row r="29" customFormat="false" ht="15.75" hidden="false" customHeight="true" outlineLevel="0" collapsed="false">
      <c r="A29" s="192" t="str">
        <f aca="false">IF($F29="","",$C$2&amp;"."&amp;COUNTA($F$7:$F29)&amp;"")</f>
        <v>TC_04.19</v>
      </c>
      <c r="B29" s="192" t="s">
        <v>570</v>
      </c>
      <c r="C29" s="192" t="s">
        <v>617</v>
      </c>
      <c r="D29" s="192" t="s">
        <v>41</v>
      </c>
      <c r="E29" s="192" t="s">
        <v>157</v>
      </c>
      <c r="F29" s="13" t="s">
        <v>1026</v>
      </c>
      <c r="G29" s="13" t="s">
        <v>1027</v>
      </c>
      <c r="H29" s="13" t="s">
        <v>1028</v>
      </c>
      <c r="I29" s="13" t="s">
        <v>1029</v>
      </c>
      <c r="J29" s="192" t="s">
        <v>745</v>
      </c>
      <c r="K29" s="192" t="s">
        <v>243</v>
      </c>
      <c r="L29" s="192" t="s">
        <v>746</v>
      </c>
      <c r="M29" s="192"/>
      <c r="N29" s="193"/>
      <c r="O29" s="193"/>
      <c r="P29" s="193"/>
      <c r="Q29" s="193" t="s">
        <v>102</v>
      </c>
      <c r="R29" s="193"/>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No</v>
      </c>
      <c r="AS29" s="194" t="str">
        <f aca="false">IF($A29="","",IFERROR(IF($AM29&lt;&gt;"",$AM29,IF($AG29&lt;&gt;"",$AG29,IF($AA29&lt;&gt;"",$AA29,IF($U29&lt;&gt;"",$U29,IF($O29&lt;&gt;"",$O29,""))))),""))</f>
        <v/>
      </c>
      <c r="AT29" s="194" t="str">
        <f aca="false">IFERROR(IF($AN29&lt;&gt;"",$AN29,IF($AH29&lt;&gt;"",$AH29,IF($AB29&lt;&gt;"",$AB29,IF($V29&lt;&gt;"",$V29,IF($P29&lt;&gt;"",$P29,""))))),"")</f>
        <v/>
      </c>
      <c r="AU29" s="195" t="s">
        <v>1030</v>
      </c>
    </row>
    <row r="30" customFormat="false" ht="15.75" hidden="false" customHeight="true" outlineLevel="0" collapsed="false">
      <c r="A30" s="190"/>
      <c r="B30" s="190"/>
      <c r="C30" s="191" t="s">
        <v>1031</v>
      </c>
      <c r="D30" s="191"/>
      <c r="E30" s="191"/>
      <c r="F30" s="191"/>
      <c r="G30" s="191"/>
      <c r="H30" s="191"/>
      <c r="I30" s="191"/>
      <c r="J30" s="191"/>
      <c r="K30" s="191"/>
      <c r="L30" s="191"/>
      <c r="M30" s="191"/>
      <c r="N30" s="191"/>
      <c r="O30" s="191"/>
      <c r="P30" s="191"/>
      <c r="Q30" s="191"/>
      <c r="R30" s="191"/>
      <c r="S30" s="191"/>
      <c r="T30" s="191"/>
      <c r="U30" s="191"/>
      <c r="V30" s="191"/>
      <c r="W30" s="191"/>
      <c r="X30" s="191"/>
      <c r="Y30" s="191"/>
      <c r="Z30" s="191"/>
      <c r="AA30" s="191"/>
      <c r="AB30" s="191"/>
      <c r="AC30" s="191"/>
      <c r="AD30" s="191"/>
      <c r="AE30" s="191"/>
      <c r="AF30" s="191"/>
      <c r="AG30" s="191"/>
      <c r="AH30" s="191"/>
      <c r="AI30" s="191"/>
      <c r="AJ30" s="191"/>
      <c r="AK30" s="191"/>
      <c r="AL30" s="191"/>
      <c r="AM30" s="191"/>
      <c r="AN30" s="191"/>
      <c r="AO30" s="191"/>
      <c r="AP30" s="191"/>
      <c r="AQ30" s="191"/>
      <c r="AR30" s="191"/>
      <c r="AS30" s="191"/>
      <c r="AT30" s="191"/>
      <c r="AU30" s="191"/>
    </row>
    <row r="31" customFormat="false" ht="15.75" hidden="false" customHeight="true" outlineLevel="0" collapsed="false">
      <c r="A31" s="192" t="str">
        <f aca="false">IF($F31="","",$C$2&amp;"."&amp;COUNTA($F$7:$F31)&amp;"")</f>
        <v>TC_04.20</v>
      </c>
      <c r="B31" s="192" t="s">
        <v>573</v>
      </c>
      <c r="C31" s="192" t="s">
        <v>995</v>
      </c>
      <c r="D31" s="192" t="s">
        <v>43</v>
      </c>
      <c r="E31" s="192" t="s">
        <v>157</v>
      </c>
      <c r="F31" s="13" t="s">
        <v>1032</v>
      </c>
      <c r="G31" s="13" t="s">
        <v>1033</v>
      </c>
      <c r="H31" s="13" t="s">
        <v>1034</v>
      </c>
      <c r="I31" s="13" t="s">
        <v>1035</v>
      </c>
      <c r="J31" s="192" t="s">
        <v>745</v>
      </c>
      <c r="K31" s="192" t="s">
        <v>243</v>
      </c>
      <c r="L31" s="192" t="s">
        <v>746</v>
      </c>
      <c r="M31" s="192"/>
      <c r="N31" s="193" t="s">
        <v>747</v>
      </c>
      <c r="O31" s="193"/>
      <c r="P31" s="193" t="s">
        <v>23</v>
      </c>
      <c r="Q31" s="193" t="s">
        <v>102</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1036</v>
      </c>
    </row>
    <row r="32" customFormat="false" ht="15.75" hidden="false" customHeight="true" outlineLevel="0" collapsed="false">
      <c r="A32" s="192" t="str">
        <f aca="false">IF($F32="","",$C$2&amp;"."&amp;COUNTA($F$7:$F32)&amp;"")</f>
        <v>TC_04.21</v>
      </c>
      <c r="B32" s="192" t="s">
        <v>573</v>
      </c>
      <c r="C32" s="192" t="s">
        <v>995</v>
      </c>
      <c r="D32" s="192" t="s">
        <v>41</v>
      </c>
      <c r="E32" s="192" t="s">
        <v>157</v>
      </c>
      <c r="F32" s="13" t="s">
        <v>1037</v>
      </c>
      <c r="G32" s="13" t="s">
        <v>1038</v>
      </c>
      <c r="H32" s="13" t="s">
        <v>1039</v>
      </c>
      <c r="I32" s="13" t="s">
        <v>1040</v>
      </c>
      <c r="J32" s="192" t="s">
        <v>745</v>
      </c>
      <c r="K32" s="192" t="s">
        <v>243</v>
      </c>
      <c r="L32" s="192" t="s">
        <v>746</v>
      </c>
      <c r="M32" s="192"/>
      <c r="N32" s="193"/>
      <c r="O32" s="193"/>
      <c r="P32" s="193"/>
      <c r="Q32" s="193" t="s">
        <v>102</v>
      </c>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No</v>
      </c>
      <c r="AS32" s="194" t="str">
        <f aca="false">IF($A32="","",IFERROR(IF($AM32&lt;&gt;"",$AM32,IF($AG32&lt;&gt;"",$AG32,IF($AA32&lt;&gt;"",$AA32,IF($U32&lt;&gt;"",$U32,IF($O32&lt;&gt;"",$O32,""))))),""))</f>
        <v/>
      </c>
      <c r="AT32" s="194" t="str">
        <f aca="false">IFERROR(IF($AN32&lt;&gt;"",$AN32,IF($AH32&lt;&gt;"",$AH32,IF($AB32&lt;&gt;"",$AB32,IF($V32&lt;&gt;"",$V32,IF($P32&lt;&gt;"",$P32,""))))),"")</f>
        <v/>
      </c>
      <c r="AU32" s="195" t="s">
        <v>1041</v>
      </c>
    </row>
    <row r="33" customFormat="false" ht="15.75" hidden="false" customHeight="true" outlineLevel="0" collapsed="false">
      <c r="A33" s="192" t="str">
        <f aca="false">IF($F33="","",$C$2&amp;"."&amp;COUNTA($F$7:$F33)&amp;"")</f>
        <v>TC_04.22</v>
      </c>
      <c r="B33" s="192" t="s">
        <v>573</v>
      </c>
      <c r="C33" s="192" t="s">
        <v>617</v>
      </c>
      <c r="D33" s="192" t="s">
        <v>41</v>
      </c>
      <c r="E33" s="192" t="s">
        <v>157</v>
      </c>
      <c r="F33" s="13" t="s">
        <v>1042</v>
      </c>
      <c r="G33" s="13" t="s">
        <v>1043</v>
      </c>
      <c r="H33" s="13" t="s">
        <v>1044</v>
      </c>
      <c r="I33" s="13" t="s">
        <v>1045</v>
      </c>
      <c r="J33" s="192" t="s">
        <v>745</v>
      </c>
      <c r="K33" s="192" t="s">
        <v>243</v>
      </c>
      <c r="L33" s="192" t="s">
        <v>746</v>
      </c>
      <c r="M33" s="192"/>
      <c r="N33" s="193"/>
      <c r="O33" s="193"/>
      <c r="P33" s="193"/>
      <c r="Q33" s="193" t="s">
        <v>102</v>
      </c>
      <c r="R33" s="193"/>
      <c r="S33" s="193"/>
      <c r="T33" s="193"/>
      <c r="U33" s="193"/>
      <c r="V33" s="193"/>
      <c r="W33" s="193"/>
      <c r="X33" s="193"/>
      <c r="Y33" s="193"/>
      <c r="Z33" s="193"/>
      <c r="AA33" s="193"/>
      <c r="AB33" s="193"/>
      <c r="AC33" s="193"/>
      <c r="AD33" s="193"/>
      <c r="AE33" s="193"/>
      <c r="AF33" s="193"/>
      <c r="AG33" s="193"/>
      <c r="AH33" s="193"/>
      <c r="AI33" s="193"/>
      <c r="AJ33" s="193"/>
      <c r="AK33" s="193"/>
      <c r="AL33" s="193"/>
      <c r="AM33" s="193"/>
      <c r="AN33" s="193"/>
      <c r="AO33" s="193"/>
      <c r="AP33" s="193"/>
      <c r="AQ33" s="193"/>
      <c r="AR33" s="194" t="str">
        <f aca="false">IF($A33="","",IF(OR($N33="Yes",$T33="Yes",$Z33="Yes",$AF33="Yes",$AL33="Yes"),"Yes","No"))</f>
        <v>No</v>
      </c>
      <c r="AS33" s="194" t="str">
        <f aca="false">IF($A33="","",IFERROR(IF($AM33&lt;&gt;"",$AM33,IF($AG33&lt;&gt;"",$AG33,IF($AA33&lt;&gt;"",$AA33,IF($U33&lt;&gt;"",$U33,IF($O33&lt;&gt;"",$O33,""))))),""))</f>
        <v/>
      </c>
      <c r="AT33" s="194" t="str">
        <f aca="false">IFERROR(IF($AN33&lt;&gt;"",$AN33,IF($AH33&lt;&gt;"",$AH33,IF($AB33&lt;&gt;"",$AB33,IF($V33&lt;&gt;"",$V33,IF($P33&lt;&gt;"",$P33,""))))),"")</f>
        <v/>
      </c>
      <c r="AU33" s="195" t="s">
        <v>1046</v>
      </c>
    </row>
    <row r="34" customFormat="false" ht="15.75" hidden="false" customHeight="true" outlineLevel="0" collapsed="false">
      <c r="A34" s="192" t="str">
        <f aca="false">IF($F34="","",$C$2&amp;"."&amp;COUNTA($F$7:$F34)&amp;"")</f>
        <v>TC_04.23</v>
      </c>
      <c r="B34" s="192" t="s">
        <v>573</v>
      </c>
      <c r="C34" s="192" t="s">
        <v>617</v>
      </c>
      <c r="D34" s="192" t="s">
        <v>41</v>
      </c>
      <c r="E34" s="192" t="s">
        <v>158</v>
      </c>
      <c r="F34" s="13" t="s">
        <v>1047</v>
      </c>
      <c r="G34" s="13" t="s">
        <v>1048</v>
      </c>
      <c r="H34" s="13" t="s">
        <v>1049</v>
      </c>
      <c r="I34" s="13" t="s">
        <v>1050</v>
      </c>
      <c r="J34" s="192" t="s">
        <v>745</v>
      </c>
      <c r="K34" s="192" t="s">
        <v>243</v>
      </c>
      <c r="L34" s="192" t="s">
        <v>746</v>
      </c>
      <c r="M34" s="192"/>
      <c r="N34" s="193"/>
      <c r="O34" s="193"/>
      <c r="P34" s="193"/>
      <c r="Q34" s="193" t="s">
        <v>102</v>
      </c>
      <c r="R34" s="193"/>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No</v>
      </c>
      <c r="AS34" s="194" t="str">
        <f aca="false">IF($A34="","",IFERROR(IF($AM34&lt;&gt;"",$AM34,IF($AG34&lt;&gt;"",$AG34,IF($AA34&lt;&gt;"",$AA34,IF($U34&lt;&gt;"",$U34,IF($O34&lt;&gt;"",$O34,""))))),""))</f>
        <v/>
      </c>
      <c r="AT34" s="194" t="str">
        <f aca="false">IFERROR(IF($AN34&lt;&gt;"",$AN34,IF($AH34&lt;&gt;"",$AH34,IF($AB34&lt;&gt;"",$AB34,IF($V34&lt;&gt;"",$V34,IF($P34&lt;&gt;"",$P34,""))))),"")</f>
        <v/>
      </c>
      <c r="AU34" s="195" t="s">
        <v>1051</v>
      </c>
    </row>
    <row r="35" customFormat="false" ht="15.75" hidden="false" customHeight="true" outlineLevel="0" collapsed="false">
      <c r="A35" s="192" t="str">
        <f aca="false">IF($F35="","",$C$2&amp;"."&amp;COUNTA($F$7:$F35)&amp;"")</f>
        <v>TC_04.24</v>
      </c>
      <c r="B35" s="192" t="s">
        <v>573</v>
      </c>
      <c r="C35" s="192" t="s">
        <v>617</v>
      </c>
      <c r="D35" s="192" t="s">
        <v>41</v>
      </c>
      <c r="E35" s="192" t="s">
        <v>158</v>
      </c>
      <c r="F35" s="13" t="s">
        <v>1052</v>
      </c>
      <c r="G35" s="13" t="s">
        <v>1053</v>
      </c>
      <c r="H35" s="13" t="s">
        <v>1054</v>
      </c>
      <c r="I35" s="13" t="s">
        <v>1055</v>
      </c>
      <c r="J35" s="192" t="s">
        <v>745</v>
      </c>
      <c r="K35" s="192" t="s">
        <v>243</v>
      </c>
      <c r="L35" s="192" t="s">
        <v>746</v>
      </c>
      <c r="M35" s="192"/>
      <c r="N35" s="193"/>
      <c r="O35" s="193"/>
      <c r="P35" s="193"/>
      <c r="Q35" s="193" t="s">
        <v>102</v>
      </c>
      <c r="R35" s="193"/>
      <c r="S35" s="193"/>
      <c r="T35" s="193"/>
      <c r="U35" s="193"/>
      <c r="V35" s="193"/>
      <c r="W35" s="193"/>
      <c r="X35" s="193"/>
      <c r="Y35" s="193"/>
      <c r="Z35" s="193"/>
      <c r="AA35" s="193"/>
      <c r="AB35" s="193"/>
      <c r="AC35" s="193"/>
      <c r="AD35" s="193"/>
      <c r="AE35" s="193"/>
      <c r="AF35" s="193"/>
      <c r="AG35" s="193"/>
      <c r="AH35" s="193"/>
      <c r="AI35" s="193"/>
      <c r="AJ35" s="193"/>
      <c r="AK35" s="193"/>
      <c r="AL35" s="193"/>
      <c r="AM35" s="193"/>
      <c r="AN35" s="193"/>
      <c r="AO35" s="193"/>
      <c r="AP35" s="193"/>
      <c r="AQ35" s="193"/>
      <c r="AR35" s="194" t="str">
        <f aca="false">IF($A35="","",IF(OR($N35="Yes",$T35="Yes",$Z35="Yes",$AF35="Yes",$AL35="Yes"),"Yes","No"))</f>
        <v>No</v>
      </c>
      <c r="AS35" s="194" t="str">
        <f aca="false">IF($A35="","",IFERROR(IF($AM35&lt;&gt;"",$AM35,IF($AG35&lt;&gt;"",$AG35,IF($AA35&lt;&gt;"",$AA35,IF($U35&lt;&gt;"",$U35,IF($O35&lt;&gt;"",$O35,""))))),""))</f>
        <v/>
      </c>
      <c r="AT35" s="194" t="str">
        <f aca="false">IFERROR(IF($AN35&lt;&gt;"",$AN35,IF($AH35&lt;&gt;"",$AH35,IF($AB35&lt;&gt;"",$AB35,IF($V35&lt;&gt;"",$V35,IF($P35&lt;&gt;"",$P35,""))))),"")</f>
        <v/>
      </c>
      <c r="AU35" s="195" t="s">
        <v>1056</v>
      </c>
    </row>
    <row r="36" customFormat="false" ht="15.75" hidden="false" customHeight="true" outlineLevel="0" collapsed="false">
      <c r="A36" s="192" t="str">
        <f aca="false">IF($F36="","",$C$2&amp;"."&amp;COUNTA($F$7:$F36)&amp;"")</f>
        <v>TC_04.25</v>
      </c>
      <c r="B36" s="192" t="s">
        <v>573</v>
      </c>
      <c r="C36" s="192" t="s">
        <v>617</v>
      </c>
      <c r="D36" s="192" t="s">
        <v>41</v>
      </c>
      <c r="E36" s="192" t="s">
        <v>158</v>
      </c>
      <c r="F36" s="13" t="s">
        <v>1057</v>
      </c>
      <c r="G36" s="13" t="s">
        <v>1058</v>
      </c>
      <c r="H36" s="13" t="s">
        <v>1059</v>
      </c>
      <c r="I36" s="13" t="s">
        <v>1055</v>
      </c>
      <c r="J36" s="192" t="s">
        <v>745</v>
      </c>
      <c r="K36" s="192" t="s">
        <v>243</v>
      </c>
      <c r="L36" s="192" t="s">
        <v>746</v>
      </c>
      <c r="M36" s="192"/>
      <c r="N36" s="193"/>
      <c r="O36" s="193"/>
      <c r="P36" s="193"/>
      <c r="Q36" s="193" t="s">
        <v>102</v>
      </c>
      <c r="R36" s="193"/>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No</v>
      </c>
      <c r="AS36" s="194" t="str">
        <f aca="false">IF($A36="","",IFERROR(IF($AM36&lt;&gt;"",$AM36,IF($AG36&lt;&gt;"",$AG36,IF($AA36&lt;&gt;"",$AA36,IF($U36&lt;&gt;"",$U36,IF($O36&lt;&gt;"",$O36,""))))),""))</f>
        <v/>
      </c>
      <c r="AT36" s="194" t="str">
        <f aca="false">IFERROR(IF($AN36&lt;&gt;"",$AN36,IF($AH36&lt;&gt;"",$AH36,IF($AB36&lt;&gt;"",$AB36,IF($V36&lt;&gt;"",$V36,IF($P36&lt;&gt;"",$P36,""))))),"")</f>
        <v/>
      </c>
      <c r="AU36" s="195" t="s">
        <v>1060</v>
      </c>
    </row>
    <row r="37" customFormat="false" ht="15.75" hidden="false" customHeight="true" outlineLevel="0" collapsed="false">
      <c r="A37" s="192" t="str">
        <f aca="false">IF($F37="","",$C$2&amp;"."&amp;COUNTA($F$7:$F37)&amp;"")</f>
        <v>TC_04.26</v>
      </c>
      <c r="B37" s="192" t="s">
        <v>573</v>
      </c>
      <c r="C37" s="192" t="s">
        <v>617</v>
      </c>
      <c r="D37" s="192" t="s">
        <v>41</v>
      </c>
      <c r="E37" s="192" t="s">
        <v>158</v>
      </c>
      <c r="F37" s="13" t="s">
        <v>1061</v>
      </c>
      <c r="G37" s="13" t="s">
        <v>1062</v>
      </c>
      <c r="H37" s="13" t="s">
        <v>1063</v>
      </c>
      <c r="I37" s="13" t="s">
        <v>1055</v>
      </c>
      <c r="J37" s="192" t="s">
        <v>745</v>
      </c>
      <c r="K37" s="192" t="s">
        <v>243</v>
      </c>
      <c r="L37" s="192" t="s">
        <v>746</v>
      </c>
      <c r="M37" s="192"/>
      <c r="N37" s="193"/>
      <c r="O37" s="193"/>
      <c r="P37" s="193"/>
      <c r="Q37" s="193" t="s">
        <v>102</v>
      </c>
      <c r="R37" s="193"/>
      <c r="S37" s="193"/>
      <c r="T37" s="193"/>
      <c r="U37" s="193"/>
      <c r="V37" s="193"/>
      <c r="W37" s="193"/>
      <c r="X37" s="193"/>
      <c r="Y37" s="193"/>
      <c r="Z37" s="193"/>
      <c r="AA37" s="193"/>
      <c r="AB37" s="193"/>
      <c r="AC37" s="193"/>
      <c r="AD37" s="193"/>
      <c r="AE37" s="193"/>
      <c r="AF37" s="193"/>
      <c r="AG37" s="193"/>
      <c r="AH37" s="193"/>
      <c r="AI37" s="193"/>
      <c r="AJ37" s="193"/>
      <c r="AK37" s="193"/>
      <c r="AL37" s="193"/>
      <c r="AM37" s="193"/>
      <c r="AN37" s="193"/>
      <c r="AO37" s="193"/>
      <c r="AP37" s="193"/>
      <c r="AQ37" s="193"/>
      <c r="AR37" s="194" t="str">
        <f aca="false">IF($A37="","",IF(OR($N37="Yes",$T37="Yes",$Z37="Yes",$AF37="Yes",$AL37="Yes"),"Yes","No"))</f>
        <v>No</v>
      </c>
      <c r="AS37" s="194" t="str">
        <f aca="false">IF($A37="","",IFERROR(IF($AM37&lt;&gt;"",$AM37,IF($AG37&lt;&gt;"",$AG37,IF($AA37&lt;&gt;"",$AA37,IF($U37&lt;&gt;"",$U37,IF($O37&lt;&gt;"",$O37,""))))),""))</f>
        <v/>
      </c>
      <c r="AT37" s="194" t="str">
        <f aca="false">IFERROR(IF($AN37&lt;&gt;"",$AN37,IF($AH37&lt;&gt;"",$AH37,IF($AB37&lt;&gt;"",$AB37,IF($V37&lt;&gt;"",$V37,IF($P37&lt;&gt;"",$P37,""))))),"")</f>
        <v/>
      </c>
      <c r="AU37" s="195" t="s">
        <v>1064</v>
      </c>
    </row>
    <row r="38" customFormat="false" ht="15.75" hidden="false" customHeight="true" outlineLevel="0" collapsed="false">
      <c r="A38" s="192" t="str">
        <f aca="false">IF($F38="","",$C$2&amp;"."&amp;COUNTA($F$7:$F38)&amp;"")</f>
        <v>TC_04.27</v>
      </c>
      <c r="B38" s="192" t="s">
        <v>573</v>
      </c>
      <c r="C38" s="192" t="s">
        <v>617</v>
      </c>
      <c r="D38" s="192" t="s">
        <v>41</v>
      </c>
      <c r="E38" s="192" t="s">
        <v>158</v>
      </c>
      <c r="F38" s="13" t="s">
        <v>1065</v>
      </c>
      <c r="G38" s="13" t="s">
        <v>1066</v>
      </c>
      <c r="H38" s="13" t="s">
        <v>1067</v>
      </c>
      <c r="I38" s="13" t="s">
        <v>1068</v>
      </c>
      <c r="J38" s="192" t="s">
        <v>745</v>
      </c>
      <c r="K38" s="192" t="s">
        <v>243</v>
      </c>
      <c r="L38" s="192" t="s">
        <v>746</v>
      </c>
      <c r="M38" s="192"/>
      <c r="N38" s="193"/>
      <c r="O38" s="193"/>
      <c r="P38" s="193"/>
      <c r="Q38" s="193" t="s">
        <v>102</v>
      </c>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No</v>
      </c>
      <c r="AS38" s="194" t="str">
        <f aca="false">IF($A38="","",IFERROR(IF($AM38&lt;&gt;"",$AM38,IF($AG38&lt;&gt;"",$AG38,IF($AA38&lt;&gt;"",$AA38,IF($U38&lt;&gt;"",$U38,IF($O38&lt;&gt;"",$O38,""))))),""))</f>
        <v/>
      </c>
      <c r="AT38" s="194" t="str">
        <f aca="false">IFERROR(IF($AN38&lt;&gt;"",$AN38,IF($AH38&lt;&gt;"",$AH38,IF($AB38&lt;&gt;"",$AB38,IF($V38&lt;&gt;"",$V38,IF($P38&lt;&gt;"",$P38,""))))),"")</f>
        <v/>
      </c>
      <c r="AU38" s="195" t="s">
        <v>1069</v>
      </c>
    </row>
    <row r="39" customFormat="false" ht="15.75" hidden="false" customHeight="true" outlineLevel="0" collapsed="false">
      <c r="A39" s="190"/>
      <c r="B39" s="190"/>
      <c r="C39" s="191" t="s">
        <v>1070</v>
      </c>
      <c r="D39" s="191"/>
      <c r="E39" s="191"/>
      <c r="F39" s="191"/>
      <c r="G39" s="191"/>
      <c r="H39" s="191"/>
      <c r="I39" s="191"/>
      <c r="J39" s="191"/>
      <c r="K39" s="191"/>
      <c r="L39" s="191"/>
      <c r="M39" s="191"/>
      <c r="N39" s="191"/>
      <c r="O39" s="191"/>
      <c r="P39" s="191"/>
      <c r="Q39" s="191"/>
      <c r="R39" s="191"/>
      <c r="S39" s="191"/>
      <c r="T39" s="191"/>
      <c r="U39" s="191"/>
      <c r="V39" s="191"/>
      <c r="W39" s="191"/>
      <c r="X39" s="191"/>
      <c r="Y39" s="191"/>
      <c r="Z39" s="191"/>
      <c r="AA39" s="191"/>
      <c r="AB39" s="191"/>
      <c r="AC39" s="191"/>
      <c r="AD39" s="191"/>
      <c r="AE39" s="191"/>
      <c r="AF39" s="191"/>
      <c r="AG39" s="191"/>
      <c r="AH39" s="191"/>
      <c r="AI39" s="191"/>
      <c r="AJ39" s="191"/>
      <c r="AK39" s="191"/>
      <c r="AL39" s="191"/>
      <c r="AM39" s="191"/>
      <c r="AN39" s="191"/>
      <c r="AO39" s="191"/>
      <c r="AP39" s="191"/>
      <c r="AQ39" s="191"/>
      <c r="AR39" s="191"/>
      <c r="AS39" s="191"/>
      <c r="AT39" s="191"/>
      <c r="AU39" s="191"/>
    </row>
    <row r="40" customFormat="false" ht="15.75" hidden="false" customHeight="true" outlineLevel="0" collapsed="false">
      <c r="A40" s="192" t="str">
        <f aca="false">IF($F40="","",$C$2&amp;"."&amp;COUNTA($F$7:$F40)&amp;"")</f>
        <v>TC_04.28</v>
      </c>
      <c r="B40" s="192" t="s">
        <v>576</v>
      </c>
      <c r="C40" s="192" t="s">
        <v>995</v>
      </c>
      <c r="D40" s="192" t="s">
        <v>41</v>
      </c>
      <c r="E40" s="192" t="s">
        <v>157</v>
      </c>
      <c r="F40" s="13" t="s">
        <v>1071</v>
      </c>
      <c r="G40" s="13" t="s">
        <v>1072</v>
      </c>
      <c r="H40" s="13" t="s">
        <v>1073</v>
      </c>
      <c r="I40" s="13" t="s">
        <v>1074</v>
      </c>
      <c r="J40" s="192" t="s">
        <v>745</v>
      </c>
      <c r="K40" s="192" t="s">
        <v>243</v>
      </c>
      <c r="L40" s="192" t="s">
        <v>746</v>
      </c>
      <c r="M40" s="192"/>
      <c r="N40" s="193"/>
      <c r="O40" s="193"/>
      <c r="P40" s="193"/>
      <c r="Q40" s="193" t="s">
        <v>102</v>
      </c>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No</v>
      </c>
      <c r="AS40" s="194" t="str">
        <f aca="false">IF($A40="","",IFERROR(IF($AM40&lt;&gt;"",$AM40,IF($AG40&lt;&gt;"",$AG40,IF($AA40&lt;&gt;"",$AA40,IF($U40&lt;&gt;"",$U40,IF($O40&lt;&gt;"",$O40,""))))),""))</f>
        <v/>
      </c>
      <c r="AT40" s="194" t="str">
        <f aca="false">IFERROR(IF($AN40&lt;&gt;"",$AN40,IF($AH40&lt;&gt;"",$AH40,IF($AB40&lt;&gt;"",$AB40,IF($V40&lt;&gt;"",$V40,IF($P40&lt;&gt;"",$P40,""))))),"")</f>
        <v/>
      </c>
      <c r="AU40" s="195" t="s">
        <v>1075</v>
      </c>
    </row>
    <row r="41" customFormat="false" ht="15.75" hidden="false" customHeight="true" outlineLevel="0" collapsed="false">
      <c r="A41" s="192" t="str">
        <f aca="false">IF($F41="","",$C$2&amp;"."&amp;COUNTA($F$7:$F41)&amp;"")</f>
        <v>TC_04.29</v>
      </c>
      <c r="B41" s="192" t="s">
        <v>576</v>
      </c>
      <c r="C41" s="192" t="s">
        <v>995</v>
      </c>
      <c r="D41" s="192" t="s">
        <v>41</v>
      </c>
      <c r="E41" s="192" t="s">
        <v>157</v>
      </c>
      <c r="F41" s="13" t="s">
        <v>1076</v>
      </c>
      <c r="G41" s="13" t="s">
        <v>1077</v>
      </c>
      <c r="H41" s="13" t="s">
        <v>1078</v>
      </c>
      <c r="I41" s="13" t="s">
        <v>1079</v>
      </c>
      <c r="J41" s="192" t="s">
        <v>745</v>
      </c>
      <c r="K41" s="192" t="s">
        <v>243</v>
      </c>
      <c r="L41" s="192" t="s">
        <v>746</v>
      </c>
      <c r="M41" s="192"/>
      <c r="N41" s="193"/>
      <c r="O41" s="193"/>
      <c r="P41" s="193"/>
      <c r="Q41" s="193" t="s">
        <v>102</v>
      </c>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No</v>
      </c>
      <c r="AS41" s="194" t="str">
        <f aca="false">IF($A41="","",IFERROR(IF($AM41&lt;&gt;"",$AM41,IF($AG41&lt;&gt;"",$AG41,IF($AA41&lt;&gt;"",$AA41,IF($U41&lt;&gt;"",$U41,IF($O41&lt;&gt;"",$O41,""))))),""))</f>
        <v/>
      </c>
      <c r="AT41" s="194" t="str">
        <f aca="false">IFERROR(IF($AN41&lt;&gt;"",$AN41,IF($AH41&lt;&gt;"",$AH41,IF($AB41&lt;&gt;"",$AB41,IF($V41&lt;&gt;"",$V41,IF($P41&lt;&gt;"",$P41,""))))),"")</f>
        <v/>
      </c>
      <c r="AU41" s="195" t="s">
        <v>1080</v>
      </c>
    </row>
    <row r="42" customFormat="false" ht="15.75" hidden="false" customHeight="true" outlineLevel="0" collapsed="false">
      <c r="A42" s="192" t="str">
        <f aca="false">IF($F42="","",$C$2&amp;"."&amp;COUNTA($F$7:$F42)&amp;"")</f>
        <v>TC_04.30</v>
      </c>
      <c r="B42" s="192" t="s">
        <v>576</v>
      </c>
      <c r="C42" s="192" t="s">
        <v>617</v>
      </c>
      <c r="D42" s="192" t="s">
        <v>41</v>
      </c>
      <c r="E42" s="192" t="s">
        <v>157</v>
      </c>
      <c r="F42" s="13" t="s">
        <v>1081</v>
      </c>
      <c r="G42" s="13" t="s">
        <v>1082</v>
      </c>
      <c r="H42" s="13" t="s">
        <v>1083</v>
      </c>
      <c r="I42" s="13" t="s">
        <v>1084</v>
      </c>
      <c r="J42" s="192" t="s">
        <v>745</v>
      </c>
      <c r="K42" s="192" t="s">
        <v>243</v>
      </c>
      <c r="L42" s="192" t="s">
        <v>746</v>
      </c>
      <c r="M42" s="192"/>
      <c r="N42" s="193"/>
      <c r="O42" s="193"/>
      <c r="P42" s="193"/>
      <c r="Q42" s="193" t="s">
        <v>102</v>
      </c>
      <c r="R42" s="193"/>
      <c r="S42" s="193"/>
      <c r="T42" s="193"/>
      <c r="U42" s="193"/>
      <c r="V42" s="193"/>
      <c r="W42" s="193"/>
      <c r="X42" s="193"/>
      <c r="Y42" s="193"/>
      <c r="Z42" s="193"/>
      <c r="AA42" s="193"/>
      <c r="AB42" s="193"/>
      <c r="AC42" s="193"/>
      <c r="AD42" s="193"/>
      <c r="AE42" s="193"/>
      <c r="AF42" s="193"/>
      <c r="AG42" s="193"/>
      <c r="AH42" s="193"/>
      <c r="AI42" s="193"/>
      <c r="AJ42" s="193"/>
      <c r="AK42" s="193"/>
      <c r="AL42" s="193"/>
      <c r="AM42" s="193"/>
      <c r="AN42" s="193"/>
      <c r="AO42" s="193"/>
      <c r="AP42" s="193"/>
      <c r="AQ42" s="193"/>
      <c r="AR42" s="194" t="str">
        <f aca="false">IF($A42="","",IF(OR($N42="Yes",$T42="Yes",$Z42="Yes",$AF42="Yes",$AL42="Yes"),"Yes","No"))</f>
        <v>No</v>
      </c>
      <c r="AS42" s="194" t="str">
        <f aca="false">IF($A42="","",IFERROR(IF($AM42&lt;&gt;"",$AM42,IF($AG42&lt;&gt;"",$AG42,IF($AA42&lt;&gt;"",$AA42,IF($U42&lt;&gt;"",$U42,IF($O42&lt;&gt;"",$O42,""))))),""))</f>
        <v/>
      </c>
      <c r="AT42" s="194" t="str">
        <f aca="false">IFERROR(IF($AN42&lt;&gt;"",$AN42,IF($AH42&lt;&gt;"",$AH42,IF($AB42&lt;&gt;"",$AB42,IF($V42&lt;&gt;"",$V42,IF($P42&lt;&gt;"",$P42,""))))),"")</f>
        <v/>
      </c>
      <c r="AU42" s="195" t="s">
        <v>1085</v>
      </c>
    </row>
    <row r="43" customFormat="false" ht="15.75" hidden="false" customHeight="true" outlineLevel="0" collapsed="false">
      <c r="A43" s="192" t="str">
        <f aca="false">IF($F43="","",$C$2&amp;"."&amp;COUNTA($F$7:$F43)&amp;"")</f>
        <v>TC_04.31</v>
      </c>
      <c r="B43" s="192" t="s">
        <v>576</v>
      </c>
      <c r="C43" s="192" t="s">
        <v>617</v>
      </c>
      <c r="D43" s="192" t="s">
        <v>41</v>
      </c>
      <c r="E43" s="192" t="s">
        <v>157</v>
      </c>
      <c r="F43" s="13" t="s">
        <v>1086</v>
      </c>
      <c r="G43" s="13" t="s">
        <v>1087</v>
      </c>
      <c r="H43" s="13" t="s">
        <v>1088</v>
      </c>
      <c r="I43" s="13" t="s">
        <v>1089</v>
      </c>
      <c r="J43" s="192" t="s">
        <v>745</v>
      </c>
      <c r="K43" s="192" t="s">
        <v>243</v>
      </c>
      <c r="L43" s="192" t="s">
        <v>746</v>
      </c>
      <c r="M43" s="192"/>
      <c r="N43" s="193"/>
      <c r="O43" s="193"/>
      <c r="P43" s="193"/>
      <c r="Q43" s="193" t="s">
        <v>102</v>
      </c>
      <c r="R43" s="193"/>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No</v>
      </c>
      <c r="AS43" s="194" t="str">
        <f aca="false">IF($A43="","",IFERROR(IF($AM43&lt;&gt;"",$AM43,IF($AG43&lt;&gt;"",$AG43,IF($AA43&lt;&gt;"",$AA43,IF($U43&lt;&gt;"",$U43,IF($O43&lt;&gt;"",$O43,""))))),""))</f>
        <v/>
      </c>
      <c r="AT43" s="194" t="str">
        <f aca="false">IFERROR(IF($AN43&lt;&gt;"",$AN43,IF($AH43&lt;&gt;"",$AH43,IF($AB43&lt;&gt;"",$AB43,IF($V43&lt;&gt;"",$V43,IF($P43&lt;&gt;"",$P43,""))))),"")</f>
        <v/>
      </c>
      <c r="AU43" s="195" t="s">
        <v>1090</v>
      </c>
    </row>
    <row r="44" customFormat="false" ht="15.75" hidden="false" customHeight="true" outlineLevel="0" collapsed="false">
      <c r="A44" s="192" t="str">
        <f aca="false">IF($F44="","",$C$2&amp;"."&amp;COUNTA($F$7:$F44)&amp;"")</f>
        <v>TC_04.32</v>
      </c>
      <c r="B44" s="192" t="s">
        <v>576</v>
      </c>
      <c r="C44" s="192" t="s">
        <v>617</v>
      </c>
      <c r="D44" s="192" t="s">
        <v>41</v>
      </c>
      <c r="E44" s="192" t="s">
        <v>157</v>
      </c>
      <c r="F44" s="13" t="s">
        <v>1091</v>
      </c>
      <c r="G44" s="13" t="s">
        <v>1092</v>
      </c>
      <c r="H44" s="13" t="s">
        <v>1093</v>
      </c>
      <c r="I44" s="13" t="s">
        <v>1094</v>
      </c>
      <c r="J44" s="192" t="s">
        <v>745</v>
      </c>
      <c r="K44" s="192" t="s">
        <v>243</v>
      </c>
      <c r="L44" s="192" t="s">
        <v>746</v>
      </c>
      <c r="M44" s="192"/>
      <c r="N44" s="193"/>
      <c r="O44" s="193"/>
      <c r="P44" s="193"/>
      <c r="Q44" s="193" t="s">
        <v>102</v>
      </c>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No</v>
      </c>
      <c r="AS44" s="194" t="str">
        <f aca="false">IF($A44="","",IFERROR(IF($AM44&lt;&gt;"",$AM44,IF($AG44&lt;&gt;"",$AG44,IF($AA44&lt;&gt;"",$AA44,IF($U44&lt;&gt;"",$U44,IF($O44&lt;&gt;"",$O44,""))))),""))</f>
        <v/>
      </c>
      <c r="AT44" s="194" t="str">
        <f aca="false">IFERROR(IF($AN44&lt;&gt;"",$AN44,IF($AH44&lt;&gt;"",$AH44,IF($AB44&lt;&gt;"",$AB44,IF($V44&lt;&gt;"",$V44,IF($P44&lt;&gt;"",$P44,""))))),"")</f>
        <v/>
      </c>
      <c r="AU44" s="195" t="s">
        <v>1095</v>
      </c>
    </row>
    <row r="45" customFormat="false" ht="15.75" hidden="false" customHeight="true" outlineLevel="0" collapsed="false">
      <c r="A45" s="192" t="str">
        <f aca="false">IF($F45="","",$C$2&amp;"."&amp;COUNTA($F$7:$F45)&amp;"")</f>
        <v>TC_04.33</v>
      </c>
      <c r="B45" s="192" t="s">
        <v>576</v>
      </c>
      <c r="C45" s="192" t="s">
        <v>617</v>
      </c>
      <c r="D45" s="192" t="s">
        <v>41</v>
      </c>
      <c r="E45" s="192" t="s">
        <v>157</v>
      </c>
      <c r="F45" s="13" t="s">
        <v>1096</v>
      </c>
      <c r="G45" s="13" t="s">
        <v>1097</v>
      </c>
      <c r="H45" s="13" t="s">
        <v>1098</v>
      </c>
      <c r="I45" s="13" t="s">
        <v>1099</v>
      </c>
      <c r="J45" s="192" t="s">
        <v>745</v>
      </c>
      <c r="K45" s="192" t="s">
        <v>243</v>
      </c>
      <c r="L45" s="192" t="s">
        <v>746</v>
      </c>
      <c r="M45" s="192"/>
      <c r="N45" s="193"/>
      <c r="O45" s="193"/>
      <c r="P45" s="193"/>
      <c r="Q45" s="193" t="s">
        <v>102</v>
      </c>
      <c r="R45" s="193"/>
      <c r="S45" s="193"/>
      <c r="T45" s="193"/>
      <c r="U45" s="193"/>
      <c r="V45" s="193"/>
      <c r="W45" s="193"/>
      <c r="X45" s="193"/>
      <c r="Y45" s="193"/>
      <c r="Z45" s="193"/>
      <c r="AA45" s="193"/>
      <c r="AB45" s="193"/>
      <c r="AC45" s="193"/>
      <c r="AD45" s="193"/>
      <c r="AE45" s="193"/>
      <c r="AF45" s="193"/>
      <c r="AG45" s="193"/>
      <c r="AH45" s="193"/>
      <c r="AI45" s="193"/>
      <c r="AJ45" s="193"/>
      <c r="AK45" s="193"/>
      <c r="AL45" s="193"/>
      <c r="AM45" s="193"/>
      <c r="AN45" s="193"/>
      <c r="AO45" s="193"/>
      <c r="AP45" s="193"/>
      <c r="AQ45" s="193"/>
      <c r="AR45" s="194" t="str">
        <f aca="false">IF($A45="","",IF(OR($N45="Yes",$T45="Yes",$Z45="Yes",$AF45="Yes",$AL45="Yes"),"Yes","No"))</f>
        <v>No</v>
      </c>
      <c r="AS45" s="194" t="str">
        <f aca="false">IF($A45="","",IFERROR(IF($AM45&lt;&gt;"",$AM45,IF($AG45&lt;&gt;"",$AG45,IF($AA45&lt;&gt;"",$AA45,IF($U45&lt;&gt;"",$U45,IF($O45&lt;&gt;"",$O45,""))))),""))</f>
        <v/>
      </c>
      <c r="AT45" s="194" t="str">
        <f aca="false">IFERROR(IF($AN45&lt;&gt;"",$AN45,IF($AH45&lt;&gt;"",$AH45,IF($AB45&lt;&gt;"",$AB45,IF($V45&lt;&gt;"",$V45,IF($P45&lt;&gt;"",$P45,""))))),"")</f>
        <v/>
      </c>
      <c r="AU45" s="195" t="s">
        <v>1100</v>
      </c>
    </row>
    <row r="46" customFormat="false" ht="15.75" hidden="false" customHeight="true" outlineLevel="0" collapsed="false">
      <c r="A46" s="192" t="str">
        <f aca="false">IF($F46="","",$C$2&amp;"."&amp;COUNTA($F$7:$F46)&amp;"")</f>
        <v>TC_04.34</v>
      </c>
      <c r="B46" s="192" t="s">
        <v>576</v>
      </c>
      <c r="C46" s="192" t="s">
        <v>617</v>
      </c>
      <c r="D46" s="192" t="s">
        <v>41</v>
      </c>
      <c r="E46" s="192" t="s">
        <v>156</v>
      </c>
      <c r="F46" s="13" t="s">
        <v>1101</v>
      </c>
      <c r="G46" s="13" t="s">
        <v>1102</v>
      </c>
      <c r="H46" s="13" t="s">
        <v>1103</v>
      </c>
      <c r="I46" s="13" t="s">
        <v>1104</v>
      </c>
      <c r="J46" s="192" t="s">
        <v>745</v>
      </c>
      <c r="K46" s="192" t="s">
        <v>243</v>
      </c>
      <c r="L46" s="192" t="s">
        <v>746</v>
      </c>
      <c r="M46" s="192"/>
      <c r="N46" s="193"/>
      <c r="O46" s="193"/>
      <c r="P46" s="193"/>
      <c r="Q46" s="193" t="s">
        <v>102</v>
      </c>
      <c r="R46" s="193"/>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No</v>
      </c>
      <c r="AS46" s="194" t="str">
        <f aca="false">IF($A46="","",IFERROR(IF($AM46&lt;&gt;"",$AM46,IF($AG46&lt;&gt;"",$AG46,IF($AA46&lt;&gt;"",$AA46,IF($U46&lt;&gt;"",$U46,IF($O46&lt;&gt;"",$O46,""))))),""))</f>
        <v/>
      </c>
      <c r="AT46" s="194" t="str">
        <f aca="false">IFERROR(IF($AN46&lt;&gt;"",$AN46,IF($AH46&lt;&gt;"",$AH46,IF($AB46&lt;&gt;"",$AB46,IF($V46&lt;&gt;"",$V46,IF($P46&lt;&gt;"",$P46,""))))),"")</f>
        <v/>
      </c>
      <c r="AU46" s="195" t="s">
        <v>1105</v>
      </c>
    </row>
    <row r="47" customFormat="false" ht="15.75" hidden="false" customHeight="true" outlineLevel="0" collapsed="false">
      <c r="A47" s="192" t="str">
        <f aca="false">IF($F47="","",$C$2&amp;"."&amp;COUNTA($F$7:$F47)&amp;"")</f>
        <v>TC_04.35</v>
      </c>
      <c r="B47" s="192" t="s">
        <v>576</v>
      </c>
      <c r="C47" s="192" t="s">
        <v>617</v>
      </c>
      <c r="D47" s="192" t="s">
        <v>41</v>
      </c>
      <c r="E47" s="192" t="s">
        <v>156</v>
      </c>
      <c r="F47" s="13" t="s">
        <v>1106</v>
      </c>
      <c r="G47" s="13" t="s">
        <v>1107</v>
      </c>
      <c r="H47" s="13" t="s">
        <v>1108</v>
      </c>
      <c r="I47" s="13" t="s">
        <v>1109</v>
      </c>
      <c r="J47" s="192" t="s">
        <v>745</v>
      </c>
      <c r="K47" s="192" t="s">
        <v>243</v>
      </c>
      <c r="L47" s="192" t="s">
        <v>746</v>
      </c>
      <c r="M47" s="192"/>
      <c r="N47" s="193"/>
      <c r="O47" s="193"/>
      <c r="P47" s="193"/>
      <c r="Q47" s="193" t="s">
        <v>102</v>
      </c>
      <c r="R47" s="193"/>
      <c r="S47" s="193"/>
      <c r="T47" s="193"/>
      <c r="U47" s="193"/>
      <c r="V47" s="193"/>
      <c r="W47" s="193"/>
      <c r="X47" s="193"/>
      <c r="Y47" s="193"/>
      <c r="Z47" s="193"/>
      <c r="AA47" s="193"/>
      <c r="AB47" s="193"/>
      <c r="AC47" s="193"/>
      <c r="AD47" s="193"/>
      <c r="AE47" s="193"/>
      <c r="AF47" s="193"/>
      <c r="AG47" s="193"/>
      <c r="AH47" s="193"/>
      <c r="AI47" s="193"/>
      <c r="AJ47" s="193"/>
      <c r="AK47" s="193"/>
      <c r="AL47" s="193"/>
      <c r="AM47" s="193"/>
      <c r="AN47" s="193"/>
      <c r="AO47" s="193"/>
      <c r="AP47" s="193"/>
      <c r="AQ47" s="193"/>
      <c r="AR47" s="194" t="str">
        <f aca="false">IF($A47="","",IF(OR($N47="Yes",$T47="Yes",$Z47="Yes",$AF47="Yes",$AL47="Yes"),"Yes","No"))</f>
        <v>No</v>
      </c>
      <c r="AS47" s="194" t="str">
        <f aca="false">IF($A47="","",IFERROR(IF($AM47&lt;&gt;"",$AM47,IF($AG47&lt;&gt;"",$AG47,IF($AA47&lt;&gt;"",$AA47,IF($U47&lt;&gt;"",$U47,IF($O47&lt;&gt;"",$O47,""))))),""))</f>
        <v/>
      </c>
      <c r="AT47" s="194" t="str">
        <f aca="false">IFERROR(IF($AN47&lt;&gt;"",$AN47,IF($AH47&lt;&gt;"",$AH47,IF($AB47&lt;&gt;"",$AB47,IF($V47&lt;&gt;"",$V47,IF($P47&lt;&gt;"",$P47,""))))),"")</f>
        <v/>
      </c>
      <c r="AU47" s="195" t="s">
        <v>1110</v>
      </c>
    </row>
    <row r="48" customFormat="false" ht="15.75" hidden="false" customHeight="true" outlineLevel="0" collapsed="false">
      <c r="A48" s="192" t="str">
        <f aca="false">IF($F48="","",$C$2&amp;"."&amp;COUNTA($F$7:$F48)&amp;"")</f>
        <v>TC_04.36</v>
      </c>
      <c r="B48" s="192" t="s">
        <v>576</v>
      </c>
      <c r="C48" s="192" t="s">
        <v>617</v>
      </c>
      <c r="D48" s="192" t="s">
        <v>41</v>
      </c>
      <c r="E48" s="192" t="s">
        <v>157</v>
      </c>
      <c r="F48" s="13" t="s">
        <v>1111</v>
      </c>
      <c r="G48" s="13" t="s">
        <v>1112</v>
      </c>
      <c r="H48" s="13" t="s">
        <v>1113</v>
      </c>
      <c r="I48" s="13" t="s">
        <v>1114</v>
      </c>
      <c r="J48" s="192" t="s">
        <v>745</v>
      </c>
      <c r="K48" s="192" t="s">
        <v>243</v>
      </c>
      <c r="L48" s="192" t="s">
        <v>746</v>
      </c>
      <c r="M48" s="192"/>
      <c r="N48" s="193"/>
      <c r="O48" s="193"/>
      <c r="P48" s="193"/>
      <c r="Q48" s="193" t="s">
        <v>102</v>
      </c>
      <c r="R48" s="193"/>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No</v>
      </c>
      <c r="AS48" s="194" t="str">
        <f aca="false">IF($A48="","",IFERROR(IF($AM48&lt;&gt;"",$AM48,IF($AG48&lt;&gt;"",$AG48,IF($AA48&lt;&gt;"",$AA48,IF($U48&lt;&gt;"",$U48,IF($O48&lt;&gt;"",$O48,""))))),""))</f>
        <v/>
      </c>
      <c r="AT48" s="194" t="str">
        <f aca="false">IFERROR(IF($AN48&lt;&gt;"",$AN48,IF($AH48&lt;&gt;"",$AH48,IF($AB48&lt;&gt;"",$AB48,IF($V48&lt;&gt;"",$V48,IF($P48&lt;&gt;"",$P48,""))))),"")</f>
        <v/>
      </c>
      <c r="AU48" s="195" t="s">
        <v>1115</v>
      </c>
    </row>
    <row r="49" customFormat="false" ht="15.75" hidden="false" customHeight="true" outlineLevel="0" collapsed="false">
      <c r="A49" s="192" t="str">
        <f aca="false">IF($F49="","",$C$2&amp;"."&amp;COUNTA($F$7:$F49)&amp;"")</f>
        <v>TC_04.37</v>
      </c>
      <c r="B49" s="192" t="s">
        <v>576</v>
      </c>
      <c r="C49" s="192" t="s">
        <v>617</v>
      </c>
      <c r="D49" s="192" t="s">
        <v>41</v>
      </c>
      <c r="E49" s="192" t="s">
        <v>158</v>
      </c>
      <c r="F49" s="13" t="s">
        <v>1116</v>
      </c>
      <c r="G49" s="13" t="s">
        <v>1117</v>
      </c>
      <c r="H49" s="13" t="s">
        <v>1118</v>
      </c>
      <c r="I49" s="13" t="s">
        <v>1119</v>
      </c>
      <c r="J49" s="192" t="s">
        <v>745</v>
      </c>
      <c r="K49" s="192" t="s">
        <v>243</v>
      </c>
      <c r="L49" s="192" t="s">
        <v>746</v>
      </c>
      <c r="M49" s="192"/>
      <c r="N49" s="193"/>
      <c r="O49" s="193"/>
      <c r="P49" s="193"/>
      <c r="Q49" s="193" t="s">
        <v>102</v>
      </c>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No</v>
      </c>
      <c r="AS49" s="194" t="str">
        <f aca="false">IF($A49="","",IFERROR(IF($AM49&lt;&gt;"",$AM49,IF($AG49&lt;&gt;"",$AG49,IF($AA49&lt;&gt;"",$AA49,IF($U49&lt;&gt;"",$U49,IF($O49&lt;&gt;"",$O49,""))))),""))</f>
        <v/>
      </c>
      <c r="AT49" s="194" t="str">
        <f aca="false">IFERROR(IF($AN49&lt;&gt;"",$AN49,IF($AH49&lt;&gt;"",$AH49,IF($AB49&lt;&gt;"",$AB49,IF($V49&lt;&gt;"",$V49,IF($P49&lt;&gt;"",$P49,""))))),"")</f>
        <v/>
      </c>
      <c r="AU49" s="195" t="s">
        <v>1120</v>
      </c>
    </row>
    <row r="50" customFormat="false" ht="15.75" hidden="false" customHeight="true" outlineLevel="0" collapsed="false">
      <c r="A50" s="190"/>
      <c r="B50" s="190"/>
      <c r="C50" s="191" t="s">
        <v>1121</v>
      </c>
      <c r="D50" s="191"/>
      <c r="E50" s="191"/>
      <c r="F50" s="191"/>
      <c r="G50" s="191"/>
      <c r="H50" s="191"/>
      <c r="I50" s="191"/>
      <c r="J50" s="191"/>
      <c r="K50" s="191"/>
      <c r="L50" s="191"/>
      <c r="M50" s="191"/>
      <c r="N50" s="191"/>
      <c r="O50" s="191"/>
      <c r="P50" s="191"/>
      <c r="Q50" s="191"/>
      <c r="R50" s="191"/>
      <c r="S50" s="191"/>
      <c r="T50" s="191"/>
      <c r="U50" s="191"/>
      <c r="V50" s="191"/>
      <c r="W50" s="191"/>
      <c r="X50" s="191"/>
      <c r="Y50" s="191"/>
      <c r="Z50" s="191"/>
      <c r="AA50" s="191"/>
      <c r="AB50" s="191"/>
      <c r="AC50" s="191"/>
      <c r="AD50" s="191"/>
      <c r="AE50" s="191"/>
      <c r="AF50" s="191"/>
      <c r="AG50" s="191"/>
      <c r="AH50" s="191"/>
      <c r="AI50" s="191"/>
      <c r="AJ50" s="191"/>
      <c r="AK50" s="191"/>
      <c r="AL50" s="191"/>
      <c r="AM50" s="191"/>
      <c r="AN50" s="191"/>
      <c r="AO50" s="191"/>
      <c r="AP50" s="191"/>
      <c r="AQ50" s="191"/>
      <c r="AR50" s="191"/>
      <c r="AS50" s="191"/>
      <c r="AT50" s="191"/>
      <c r="AU50" s="191"/>
    </row>
    <row r="51" customFormat="false" ht="15.75" hidden="false" customHeight="true" outlineLevel="0" collapsed="false">
      <c r="A51" s="192" t="str">
        <f aca="false">IF($F51="","",$C$2&amp;"."&amp;COUNTA($F$7:$F51)&amp;"")</f>
        <v>TC_04.38</v>
      </c>
      <c r="B51" s="192" t="s">
        <v>579</v>
      </c>
      <c r="C51" s="192" t="s">
        <v>617</v>
      </c>
      <c r="D51" s="192" t="s">
        <v>41</v>
      </c>
      <c r="E51" s="192" t="s">
        <v>157</v>
      </c>
      <c r="F51" s="13" t="s">
        <v>1122</v>
      </c>
      <c r="G51" s="13" t="s">
        <v>1123</v>
      </c>
      <c r="H51" s="13" t="s">
        <v>1124</v>
      </c>
      <c r="I51" s="13" t="s">
        <v>1125</v>
      </c>
      <c r="J51" s="192" t="s">
        <v>745</v>
      </c>
      <c r="K51" s="192" t="s">
        <v>243</v>
      </c>
      <c r="L51" s="192" t="s">
        <v>746</v>
      </c>
      <c r="M51" s="192"/>
      <c r="N51" s="193" t="s">
        <v>747</v>
      </c>
      <c r="O51" s="193"/>
      <c r="P51" s="193" t="s">
        <v>23</v>
      </c>
      <c r="Q51" s="193" t="s">
        <v>102</v>
      </c>
      <c r="R51" s="193"/>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Pass</v>
      </c>
      <c r="AU51" s="195" t="s">
        <v>1126</v>
      </c>
    </row>
    <row r="52" customFormat="false" ht="15.75" hidden="false" customHeight="true" outlineLevel="0" collapsed="false">
      <c r="A52" s="192" t="str">
        <f aca="false">IF($F52="","",$C$2&amp;"."&amp;COUNTA($F$7:$F52)&amp;"")</f>
        <v>TC_04.39</v>
      </c>
      <c r="B52" s="192" t="s">
        <v>579</v>
      </c>
      <c r="C52" s="192" t="s">
        <v>617</v>
      </c>
      <c r="D52" s="192" t="s">
        <v>41</v>
      </c>
      <c r="E52" s="192" t="s">
        <v>157</v>
      </c>
      <c r="F52" s="13" t="s">
        <v>1127</v>
      </c>
      <c r="G52" s="13" t="s">
        <v>1128</v>
      </c>
      <c r="H52" s="13" t="s">
        <v>1129</v>
      </c>
      <c r="I52" s="13" t="s">
        <v>1130</v>
      </c>
      <c r="J52" s="192" t="s">
        <v>745</v>
      </c>
      <c r="K52" s="192" t="s">
        <v>243</v>
      </c>
      <c r="L52" s="192" t="s">
        <v>746</v>
      </c>
      <c r="M52" s="192"/>
      <c r="N52" s="193"/>
      <c r="O52" s="193"/>
      <c r="P52" s="193"/>
      <c r="Q52" s="193" t="s">
        <v>102</v>
      </c>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No</v>
      </c>
      <c r="AS52" s="194" t="str">
        <f aca="false">IF($A52="","",IFERROR(IF($AM52&lt;&gt;"",$AM52,IF($AG52&lt;&gt;"",$AG52,IF($AA52&lt;&gt;"",$AA52,IF($U52&lt;&gt;"",$U52,IF($O52&lt;&gt;"",$O52,""))))),""))</f>
        <v/>
      </c>
      <c r="AT52" s="194" t="str">
        <f aca="false">IFERROR(IF($AN52&lt;&gt;"",$AN52,IF($AH52&lt;&gt;"",$AH52,IF($AB52&lt;&gt;"",$AB52,IF($V52&lt;&gt;"",$V52,IF($P52&lt;&gt;"",$P52,""))))),"")</f>
        <v/>
      </c>
      <c r="AU52" s="195" t="s">
        <v>1131</v>
      </c>
    </row>
    <row r="53" customFormat="false" ht="15.75" hidden="false" customHeight="true" outlineLevel="0" collapsed="false">
      <c r="A53" s="192" t="str">
        <f aca="false">IF($F53="","",$C$2&amp;"."&amp;COUNTA($F$7:$F53)&amp;"")</f>
        <v>TC_04.40</v>
      </c>
      <c r="B53" s="192" t="s">
        <v>579</v>
      </c>
      <c r="C53" s="192" t="s">
        <v>617</v>
      </c>
      <c r="D53" s="192" t="s">
        <v>41</v>
      </c>
      <c r="E53" s="192" t="s">
        <v>157</v>
      </c>
      <c r="F53" s="13" t="s">
        <v>1132</v>
      </c>
      <c r="G53" s="13" t="s">
        <v>1133</v>
      </c>
      <c r="H53" s="13" t="s">
        <v>1134</v>
      </c>
      <c r="I53" s="13" t="s">
        <v>1135</v>
      </c>
      <c r="J53" s="192" t="s">
        <v>745</v>
      </c>
      <c r="K53" s="192" t="s">
        <v>243</v>
      </c>
      <c r="L53" s="192" t="s">
        <v>746</v>
      </c>
      <c r="M53" s="192"/>
      <c r="N53" s="193"/>
      <c r="O53" s="193"/>
      <c r="P53" s="193"/>
      <c r="Q53" s="193" t="s">
        <v>102</v>
      </c>
      <c r="R53" s="193"/>
      <c r="S53" s="193"/>
      <c r="T53" s="193"/>
      <c r="U53" s="193"/>
      <c r="V53" s="193"/>
      <c r="W53" s="193"/>
      <c r="X53" s="193"/>
      <c r="Y53" s="193"/>
      <c r="Z53" s="193"/>
      <c r="AA53" s="193"/>
      <c r="AB53" s="193"/>
      <c r="AC53" s="193"/>
      <c r="AD53" s="193"/>
      <c r="AE53" s="193"/>
      <c r="AF53" s="193"/>
      <c r="AG53" s="193"/>
      <c r="AH53" s="193"/>
      <c r="AI53" s="193"/>
      <c r="AJ53" s="193"/>
      <c r="AK53" s="193"/>
      <c r="AL53" s="193"/>
      <c r="AM53" s="193"/>
      <c r="AN53" s="193"/>
      <c r="AO53" s="193"/>
      <c r="AP53" s="193"/>
      <c r="AQ53" s="193"/>
      <c r="AR53" s="194" t="str">
        <f aca="false">IF($A53="","",IF(OR($N53="Yes",$T53="Yes",$Z53="Yes",$AF53="Yes",$AL53="Yes"),"Yes","No"))</f>
        <v>No</v>
      </c>
      <c r="AS53" s="194" t="str">
        <f aca="false">IF($A53="","",IFERROR(IF($AM53&lt;&gt;"",$AM53,IF($AG53&lt;&gt;"",$AG53,IF($AA53&lt;&gt;"",$AA53,IF($U53&lt;&gt;"",$U53,IF($O53&lt;&gt;"",$O53,""))))),""))</f>
        <v/>
      </c>
      <c r="AT53" s="194" t="str">
        <f aca="false">IFERROR(IF($AN53&lt;&gt;"",$AN53,IF($AH53&lt;&gt;"",$AH53,IF($AB53&lt;&gt;"",$AB53,IF($V53&lt;&gt;"",$V53,IF($P53&lt;&gt;"",$P53,""))))),"")</f>
        <v/>
      </c>
      <c r="AU53" s="195" t="s">
        <v>1136</v>
      </c>
    </row>
    <row r="54" customFormat="false" ht="15.75" hidden="false" customHeight="true" outlineLevel="0" collapsed="false">
      <c r="A54" s="192" t="str">
        <f aca="false">IF($F54="","",$C$2&amp;"."&amp;COUNTA($F$7:$F54)&amp;"")</f>
        <v>TC_04.41</v>
      </c>
      <c r="B54" s="192" t="s">
        <v>579</v>
      </c>
      <c r="C54" s="192" t="s">
        <v>617</v>
      </c>
      <c r="D54" s="192" t="s">
        <v>41</v>
      </c>
      <c r="E54" s="192" t="s">
        <v>157</v>
      </c>
      <c r="F54" s="13" t="s">
        <v>1137</v>
      </c>
      <c r="G54" s="13" t="s">
        <v>1138</v>
      </c>
      <c r="H54" s="13" t="s">
        <v>1139</v>
      </c>
      <c r="I54" s="13" t="s">
        <v>1140</v>
      </c>
      <c r="J54" s="192" t="s">
        <v>745</v>
      </c>
      <c r="K54" s="192" t="s">
        <v>243</v>
      </c>
      <c r="L54" s="192" t="s">
        <v>746</v>
      </c>
      <c r="M54" s="192"/>
      <c r="N54" s="193"/>
      <c r="O54" s="193"/>
      <c r="P54" s="193"/>
      <c r="Q54" s="193" t="s">
        <v>102</v>
      </c>
      <c r="R54" s="193"/>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No</v>
      </c>
      <c r="AS54" s="194" t="str">
        <f aca="false">IF($A54="","",IFERROR(IF($AM54&lt;&gt;"",$AM54,IF($AG54&lt;&gt;"",$AG54,IF($AA54&lt;&gt;"",$AA54,IF($U54&lt;&gt;"",$U54,IF($O54&lt;&gt;"",$O54,""))))),""))</f>
        <v/>
      </c>
      <c r="AT54" s="194" t="str">
        <f aca="false">IFERROR(IF($AN54&lt;&gt;"",$AN54,IF($AH54&lt;&gt;"",$AH54,IF($AB54&lt;&gt;"",$AB54,IF($V54&lt;&gt;"",$V54,IF($P54&lt;&gt;"",$P54,""))))),"")</f>
        <v/>
      </c>
      <c r="AU54" s="195" t="s">
        <v>1141</v>
      </c>
    </row>
    <row r="55" customFormat="false" ht="15.75" hidden="false" customHeight="true" outlineLevel="0" collapsed="false">
      <c r="A55" s="192" t="str">
        <f aca="false">IF($F55="","",$C$2&amp;"."&amp;COUNTA($F$7:$F55)&amp;"")</f>
        <v>TC_04.42</v>
      </c>
      <c r="B55" s="192" t="s">
        <v>579</v>
      </c>
      <c r="C55" s="192" t="s">
        <v>617</v>
      </c>
      <c r="D55" s="192" t="s">
        <v>41</v>
      </c>
      <c r="E55" s="192" t="s">
        <v>157</v>
      </c>
      <c r="F55" s="13" t="s">
        <v>1142</v>
      </c>
      <c r="G55" s="13" t="s">
        <v>1143</v>
      </c>
      <c r="H55" s="13" t="s">
        <v>1144</v>
      </c>
      <c r="I55" s="13" t="s">
        <v>1145</v>
      </c>
      <c r="J55" s="192" t="s">
        <v>745</v>
      </c>
      <c r="K55" s="192" t="s">
        <v>243</v>
      </c>
      <c r="L55" s="192" t="s">
        <v>746</v>
      </c>
      <c r="M55" s="192"/>
      <c r="N55" s="193"/>
      <c r="O55" s="193"/>
      <c r="P55" s="193"/>
      <c r="Q55" s="193" t="s">
        <v>102</v>
      </c>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No</v>
      </c>
      <c r="AS55" s="194" t="str">
        <f aca="false">IF($A55="","",IFERROR(IF($AM55&lt;&gt;"",$AM55,IF($AG55&lt;&gt;"",$AG55,IF($AA55&lt;&gt;"",$AA55,IF($U55&lt;&gt;"",$U55,IF($O55&lt;&gt;"",$O55,""))))),""))</f>
        <v/>
      </c>
      <c r="AT55" s="194" t="str">
        <f aca="false">IFERROR(IF($AN55&lt;&gt;"",$AN55,IF($AH55&lt;&gt;"",$AH55,IF($AB55&lt;&gt;"",$AB55,IF($V55&lt;&gt;"",$V55,IF($P55&lt;&gt;"",$P55,""))))),"")</f>
        <v/>
      </c>
      <c r="AU55" s="195" t="s">
        <v>1146</v>
      </c>
    </row>
    <row r="56" customFormat="false" ht="15.75" hidden="false" customHeight="true" outlineLevel="0" collapsed="false">
      <c r="A56" s="192" t="str">
        <f aca="false">IF($F56="","",$C$2&amp;"."&amp;COUNTA($F$7:$F56)&amp;"")</f>
        <v>TC_04.43</v>
      </c>
      <c r="B56" s="192" t="s">
        <v>579</v>
      </c>
      <c r="C56" s="192" t="s">
        <v>617</v>
      </c>
      <c r="D56" s="192" t="s">
        <v>41</v>
      </c>
      <c r="E56" s="192" t="s">
        <v>157</v>
      </c>
      <c r="F56" s="13" t="s">
        <v>1147</v>
      </c>
      <c r="G56" s="13" t="s">
        <v>1148</v>
      </c>
      <c r="H56" s="13" t="s">
        <v>1149</v>
      </c>
      <c r="I56" s="13" t="s">
        <v>1150</v>
      </c>
      <c r="J56" s="192" t="s">
        <v>745</v>
      </c>
      <c r="K56" s="192" t="s">
        <v>243</v>
      </c>
      <c r="L56" s="192" t="s">
        <v>746</v>
      </c>
      <c r="M56" s="192"/>
      <c r="N56" s="193"/>
      <c r="O56" s="193"/>
      <c r="P56" s="193"/>
      <c r="Q56" s="193" t="s">
        <v>102</v>
      </c>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3"/>
      <c r="AR56" s="194" t="str">
        <f aca="false">IF($A56="","",IF(OR($N56="Yes",$T56="Yes",$Z56="Yes",$AF56="Yes",$AL56="Yes"),"Yes","No"))</f>
        <v>No</v>
      </c>
      <c r="AS56" s="194" t="str">
        <f aca="false">IF($A56="","",IFERROR(IF($AM56&lt;&gt;"",$AM56,IF($AG56&lt;&gt;"",$AG56,IF($AA56&lt;&gt;"",$AA56,IF($U56&lt;&gt;"",$U56,IF($O56&lt;&gt;"",$O56,""))))),""))</f>
        <v/>
      </c>
      <c r="AT56" s="194" t="str">
        <f aca="false">IFERROR(IF($AN56&lt;&gt;"",$AN56,IF($AH56&lt;&gt;"",$AH56,IF($AB56&lt;&gt;"",$AB56,IF($V56&lt;&gt;"",$V56,IF($P56&lt;&gt;"",$P56,""))))),"")</f>
        <v/>
      </c>
      <c r="AU56" s="195" t="s">
        <v>1151</v>
      </c>
    </row>
    <row r="57" customFormat="false" ht="15.75" hidden="false" customHeight="true" outlineLevel="0" collapsed="false">
      <c r="A57" s="190"/>
      <c r="B57" s="190"/>
      <c r="C57" s="191" t="s">
        <v>1152</v>
      </c>
      <c r="D57" s="191"/>
      <c r="E57" s="191"/>
      <c r="F57" s="191"/>
      <c r="G57" s="191"/>
      <c r="H57" s="191"/>
      <c r="I57" s="191"/>
      <c r="J57" s="191"/>
      <c r="K57" s="191"/>
      <c r="L57" s="191"/>
      <c r="M57" s="191"/>
      <c r="N57" s="191"/>
      <c r="O57" s="191"/>
      <c r="P57" s="191"/>
      <c r="Q57" s="191"/>
      <c r="R57" s="191"/>
      <c r="S57" s="191"/>
      <c r="T57" s="191"/>
      <c r="U57" s="191"/>
      <c r="V57" s="191"/>
      <c r="W57" s="191"/>
      <c r="X57" s="191"/>
      <c r="Y57" s="191"/>
      <c r="Z57" s="191"/>
      <c r="AA57" s="191"/>
      <c r="AB57" s="191"/>
      <c r="AC57" s="191"/>
      <c r="AD57" s="191"/>
      <c r="AE57" s="191"/>
      <c r="AF57" s="191"/>
      <c r="AG57" s="191"/>
      <c r="AH57" s="191"/>
      <c r="AI57" s="191"/>
      <c r="AJ57" s="191"/>
      <c r="AK57" s="191"/>
      <c r="AL57" s="191"/>
      <c r="AM57" s="191"/>
      <c r="AN57" s="191"/>
      <c r="AO57" s="191"/>
      <c r="AP57" s="191"/>
      <c r="AQ57" s="191"/>
      <c r="AR57" s="191"/>
      <c r="AS57" s="191"/>
      <c r="AT57" s="191"/>
      <c r="AU57" s="191"/>
    </row>
    <row r="58" customFormat="false" ht="15.75" hidden="false" customHeight="true" outlineLevel="0" collapsed="false">
      <c r="A58" s="192" t="str">
        <f aca="false">IF($F58="","",$C$2&amp;"."&amp;COUNTA($F$7:$F58)&amp;"")</f>
        <v>TC_04.44</v>
      </c>
      <c r="B58" s="192" t="s">
        <v>582</v>
      </c>
      <c r="C58" s="192" t="s">
        <v>617</v>
      </c>
      <c r="D58" s="192" t="s">
        <v>41</v>
      </c>
      <c r="E58" s="192" t="s">
        <v>156</v>
      </c>
      <c r="F58" s="13" t="s">
        <v>1153</v>
      </c>
      <c r="G58" s="13" t="s">
        <v>1154</v>
      </c>
      <c r="H58" s="13" t="s">
        <v>1155</v>
      </c>
      <c r="I58" s="13" t="s">
        <v>1156</v>
      </c>
      <c r="J58" s="192" t="s">
        <v>745</v>
      </c>
      <c r="K58" s="192" t="s">
        <v>243</v>
      </c>
      <c r="L58" s="192" t="s">
        <v>746</v>
      </c>
      <c r="M58" s="192"/>
      <c r="N58" s="193" t="s">
        <v>747</v>
      </c>
      <c r="O58" s="193"/>
      <c r="P58" s="193" t="s">
        <v>29</v>
      </c>
      <c r="Q58" s="193" t="s">
        <v>102</v>
      </c>
      <c r="R58" s="193"/>
      <c r="S58" s="193"/>
      <c r="T58" s="193"/>
      <c r="U58" s="193"/>
      <c r="V58" s="193"/>
      <c r="W58" s="193"/>
      <c r="X58" s="193"/>
      <c r="Y58" s="193"/>
      <c r="Z58" s="193"/>
      <c r="AA58" s="193"/>
      <c r="AB58" s="193"/>
      <c r="AC58" s="193"/>
      <c r="AD58" s="193"/>
      <c r="AE58" s="193"/>
      <c r="AF58" s="193"/>
      <c r="AG58" s="193"/>
      <c r="AH58" s="193"/>
      <c r="AI58" s="193"/>
      <c r="AJ58" s="193"/>
      <c r="AK58" s="193"/>
      <c r="AL58" s="193"/>
      <c r="AM58" s="193"/>
      <c r="AN58" s="193"/>
      <c r="AO58" s="193"/>
      <c r="AP58" s="193"/>
      <c r="AQ58" s="193"/>
      <c r="AR58" s="194" t="str">
        <f aca="false">IF($A58="","",IF(OR($N58="Yes",$T58="Yes",$Z58="Yes",$AF58="Yes",$AL58="Yes"),"Yes","No"))</f>
        <v>Yes</v>
      </c>
      <c r="AS58" s="194" t="str">
        <f aca="false">IF($A58="","",IFERROR(IF($AM58&lt;&gt;"",$AM58,IF($AG58&lt;&gt;"",$AG58,IF($AA58&lt;&gt;"",$AA58,IF($U58&lt;&gt;"",$U58,IF($O58&lt;&gt;"",$O58,""))))),""))</f>
        <v/>
      </c>
      <c r="AT58" s="194" t="str">
        <f aca="false">IFERROR(IF($AN58&lt;&gt;"",$AN58,IF($AH58&lt;&gt;"",$AH58,IF($AB58&lt;&gt;"",$AB58,IF($V58&lt;&gt;"",$V58,IF($P58&lt;&gt;"",$P58,""))))),"")</f>
        <v>N/A</v>
      </c>
      <c r="AU58" s="195" t="s">
        <v>1157</v>
      </c>
    </row>
    <row r="59" customFormat="false" ht="15.75" hidden="false" customHeight="true" outlineLevel="0" collapsed="false">
      <c r="A59" s="192" t="str">
        <f aca="false">IF($F59="","",$C$2&amp;"."&amp;COUNTA($F$7:$F59)&amp;"")</f>
        <v>TC_04.45</v>
      </c>
      <c r="B59" s="192" t="s">
        <v>582</v>
      </c>
      <c r="C59" s="192" t="s">
        <v>617</v>
      </c>
      <c r="D59" s="192" t="s">
        <v>41</v>
      </c>
      <c r="E59" s="192" t="s">
        <v>156</v>
      </c>
      <c r="F59" s="13" t="s">
        <v>1158</v>
      </c>
      <c r="G59" s="13" t="s">
        <v>1159</v>
      </c>
      <c r="H59" s="13" t="s">
        <v>1160</v>
      </c>
      <c r="I59" s="13" t="s">
        <v>1161</v>
      </c>
      <c r="J59" s="192" t="s">
        <v>745</v>
      </c>
      <c r="K59" s="192" t="s">
        <v>243</v>
      </c>
      <c r="L59" s="192" t="s">
        <v>746</v>
      </c>
      <c r="M59" s="192"/>
      <c r="N59" s="193" t="s">
        <v>747</v>
      </c>
      <c r="O59" s="193"/>
      <c r="P59" s="193" t="s">
        <v>29</v>
      </c>
      <c r="Q59" s="193" t="s">
        <v>102</v>
      </c>
      <c r="R59" s="193"/>
      <c r="S59" s="193"/>
      <c r="T59" s="193"/>
      <c r="U59" s="193"/>
      <c r="V59" s="193"/>
      <c r="W59" s="193"/>
      <c r="X59" s="193"/>
      <c r="Y59" s="193"/>
      <c r="Z59" s="193"/>
      <c r="AA59" s="193"/>
      <c r="AB59" s="193"/>
      <c r="AC59" s="193"/>
      <c r="AD59" s="193"/>
      <c r="AE59" s="193"/>
      <c r="AF59" s="193"/>
      <c r="AG59" s="193"/>
      <c r="AH59" s="193"/>
      <c r="AI59" s="193"/>
      <c r="AJ59" s="193"/>
      <c r="AK59" s="193"/>
      <c r="AL59" s="193"/>
      <c r="AM59" s="193"/>
      <c r="AN59" s="193"/>
      <c r="AO59" s="193"/>
      <c r="AP59" s="193"/>
      <c r="AQ59" s="193"/>
      <c r="AR59" s="194" t="str">
        <f aca="false">IF($A59="","",IF(OR($N59="Yes",$T59="Yes",$Z59="Yes",$AF59="Yes",$AL59="Yes"),"Yes","No"))</f>
        <v>Yes</v>
      </c>
      <c r="AS59" s="194" t="str">
        <f aca="false">IF($A59="","",IFERROR(IF($AM59&lt;&gt;"",$AM59,IF($AG59&lt;&gt;"",$AG59,IF($AA59&lt;&gt;"",$AA59,IF($U59&lt;&gt;"",$U59,IF($O59&lt;&gt;"",$O59,""))))),""))</f>
        <v/>
      </c>
      <c r="AT59" s="194" t="str">
        <f aca="false">IFERROR(IF($AN59&lt;&gt;"",$AN59,IF($AH59&lt;&gt;"",$AH59,IF($AB59&lt;&gt;"",$AB59,IF($V59&lt;&gt;"",$V59,IF($P59&lt;&gt;"",$P59,""))))),"")</f>
        <v>N/A</v>
      </c>
      <c r="AU59" s="195" t="s">
        <v>1162</v>
      </c>
    </row>
    <row r="60" customFormat="false" ht="15.75" hidden="false" customHeight="true" outlineLevel="0" collapsed="false">
      <c r="A60" s="192" t="str">
        <f aca="false">IF($F60="","",$C$2&amp;"."&amp;COUNTA($F$7:$F60)&amp;"")</f>
        <v>TC_04.46</v>
      </c>
      <c r="B60" s="192" t="s">
        <v>582</v>
      </c>
      <c r="C60" s="192" t="s">
        <v>617</v>
      </c>
      <c r="D60" s="192" t="s">
        <v>41</v>
      </c>
      <c r="E60" s="192" t="s">
        <v>156</v>
      </c>
      <c r="F60" s="13" t="s">
        <v>1163</v>
      </c>
      <c r="G60" s="13" t="s">
        <v>1164</v>
      </c>
      <c r="H60" s="13" t="s">
        <v>1165</v>
      </c>
      <c r="I60" s="13" t="s">
        <v>1161</v>
      </c>
      <c r="J60" s="192" t="s">
        <v>745</v>
      </c>
      <c r="K60" s="192" t="s">
        <v>243</v>
      </c>
      <c r="L60" s="192" t="s">
        <v>746</v>
      </c>
      <c r="M60" s="192"/>
      <c r="N60" s="193" t="s">
        <v>747</v>
      </c>
      <c r="O60" s="193"/>
      <c r="P60" s="193" t="s">
        <v>29</v>
      </c>
      <c r="Q60" s="193" t="s">
        <v>102</v>
      </c>
      <c r="R60" s="193"/>
      <c r="S60" s="193"/>
      <c r="T60" s="193"/>
      <c r="U60" s="193"/>
      <c r="V60" s="193"/>
      <c r="W60" s="193"/>
      <c r="X60" s="193"/>
      <c r="Y60" s="193"/>
      <c r="Z60" s="193"/>
      <c r="AA60" s="193"/>
      <c r="AB60" s="193"/>
      <c r="AC60" s="193"/>
      <c r="AD60" s="193"/>
      <c r="AE60" s="193"/>
      <c r="AF60" s="193"/>
      <c r="AG60" s="193"/>
      <c r="AH60" s="193"/>
      <c r="AI60" s="193"/>
      <c r="AJ60" s="193"/>
      <c r="AK60" s="193"/>
      <c r="AL60" s="193"/>
      <c r="AM60" s="193"/>
      <c r="AN60" s="193"/>
      <c r="AO60" s="193"/>
      <c r="AP60" s="193"/>
      <c r="AQ60" s="193"/>
      <c r="AR60" s="194" t="str">
        <f aca="false">IF($A60="","",IF(OR($N60="Yes",$T60="Yes",$Z60="Yes",$AF60="Yes",$AL60="Yes"),"Yes","No"))</f>
        <v>Yes</v>
      </c>
      <c r="AS60" s="194" t="str">
        <f aca="false">IF($A60="","",IFERROR(IF($AM60&lt;&gt;"",$AM60,IF($AG60&lt;&gt;"",$AG60,IF($AA60&lt;&gt;"",$AA60,IF($U60&lt;&gt;"",$U60,IF($O60&lt;&gt;"",$O60,""))))),""))</f>
        <v/>
      </c>
      <c r="AT60" s="194" t="str">
        <f aca="false">IFERROR(IF($AN60&lt;&gt;"",$AN60,IF($AH60&lt;&gt;"",$AH60,IF($AB60&lt;&gt;"",$AB60,IF($V60&lt;&gt;"",$V60,IF($P60&lt;&gt;"",$P60,""))))),"")</f>
        <v>N/A</v>
      </c>
      <c r="AU60" s="195" t="s">
        <v>1166</v>
      </c>
    </row>
    <row r="61" customFormat="false" ht="15.75" hidden="false" customHeight="true" outlineLevel="0" collapsed="false">
      <c r="A61" s="198"/>
      <c r="B61" s="198"/>
      <c r="C61" s="199" t="s">
        <v>1167</v>
      </c>
      <c r="D61" s="199"/>
      <c r="E61" s="199"/>
      <c r="F61" s="199"/>
      <c r="G61" s="199"/>
      <c r="H61" s="199"/>
      <c r="I61" s="199"/>
      <c r="J61" s="199"/>
      <c r="K61" s="199"/>
      <c r="L61" s="199"/>
      <c r="M61" s="199"/>
      <c r="N61" s="199"/>
      <c r="O61" s="199"/>
      <c r="P61" s="199"/>
      <c r="Q61" s="199"/>
      <c r="R61" s="199"/>
      <c r="S61" s="199"/>
      <c r="T61" s="199"/>
      <c r="U61" s="199"/>
      <c r="V61" s="199"/>
      <c r="W61" s="199"/>
      <c r="X61" s="199"/>
      <c r="Y61" s="199"/>
      <c r="Z61" s="199"/>
      <c r="AA61" s="199"/>
      <c r="AB61" s="199"/>
      <c r="AC61" s="199"/>
      <c r="AD61" s="199"/>
      <c r="AE61" s="199"/>
      <c r="AF61" s="199"/>
      <c r="AG61" s="199"/>
      <c r="AH61" s="199"/>
      <c r="AI61" s="199"/>
      <c r="AJ61" s="199"/>
      <c r="AK61" s="199"/>
      <c r="AL61" s="199"/>
      <c r="AM61" s="199"/>
      <c r="AN61" s="199"/>
      <c r="AO61" s="199"/>
      <c r="AP61" s="199"/>
      <c r="AQ61" s="199"/>
      <c r="AR61" s="199"/>
      <c r="AS61" s="199"/>
      <c r="AT61" s="199"/>
      <c r="AU61" s="199"/>
      <c r="AV61" s="1"/>
    </row>
    <row r="62" customFormat="false" ht="15.75" hidden="false" customHeight="true" outlineLevel="0" collapsed="false">
      <c r="A62" s="192" t="str">
        <f aca="false">IF($F62="","",$C$2&amp;"."&amp;COUNTA($F$7:$F62)&amp;"")</f>
        <v>TC_04.47</v>
      </c>
      <c r="B62" s="192" t="s">
        <v>585</v>
      </c>
      <c r="C62" s="192" t="s">
        <v>617</v>
      </c>
      <c r="D62" s="192" t="s">
        <v>41</v>
      </c>
      <c r="E62" s="192" t="s">
        <v>158</v>
      </c>
      <c r="F62" s="13" t="s">
        <v>1168</v>
      </c>
      <c r="G62" s="13" t="s">
        <v>1169</v>
      </c>
      <c r="H62" s="13" t="s">
        <v>1170</v>
      </c>
      <c r="I62" s="13" t="s">
        <v>1171</v>
      </c>
      <c r="J62" s="192" t="s">
        <v>745</v>
      </c>
      <c r="K62" s="192" t="s">
        <v>243</v>
      </c>
      <c r="L62" s="192" t="s">
        <v>746</v>
      </c>
      <c r="M62" s="192"/>
      <c r="N62" s="193"/>
      <c r="O62" s="193"/>
      <c r="P62" s="193"/>
      <c r="Q62" s="193" t="s">
        <v>102</v>
      </c>
      <c r="R62" s="193"/>
      <c r="S62" s="193"/>
      <c r="T62" s="193"/>
      <c r="U62" s="193"/>
      <c r="V62" s="193"/>
      <c r="W62" s="193"/>
      <c r="X62" s="193"/>
      <c r="Y62" s="193"/>
      <c r="Z62" s="193"/>
      <c r="AA62" s="193"/>
      <c r="AB62" s="193"/>
      <c r="AC62" s="193"/>
      <c r="AD62" s="193"/>
      <c r="AE62" s="193"/>
      <c r="AF62" s="193"/>
      <c r="AG62" s="193"/>
      <c r="AH62" s="193"/>
      <c r="AI62" s="193"/>
      <c r="AJ62" s="193"/>
      <c r="AK62" s="193"/>
      <c r="AL62" s="193"/>
      <c r="AM62" s="193"/>
      <c r="AN62" s="193"/>
      <c r="AO62" s="193"/>
      <c r="AP62" s="193"/>
      <c r="AQ62" s="193"/>
      <c r="AR62" s="194" t="str">
        <f aca="false">IF($A62="","",IF(OR($N62="Yes",$T62="Yes",$Z62="Yes",$AF62="Yes",$AL62="Yes"),"Yes","No"))</f>
        <v>No</v>
      </c>
      <c r="AS62" s="194" t="str">
        <f aca="false">IF($A62="","",IFERROR(IF($AM62&lt;&gt;"",$AM62,IF($AG62&lt;&gt;"",$AG62,IF($AA62&lt;&gt;"",$AA62,IF($U62&lt;&gt;"",$U62,IF($O62&lt;&gt;"",$O62,""))))),""))</f>
        <v/>
      </c>
      <c r="AT62" s="194" t="str">
        <f aca="false">IFERROR(IF($AN62&lt;&gt;"",$AN62,IF($AH62&lt;&gt;"",$AH62,IF($AB62&lt;&gt;"",$AB62,IF($V62&lt;&gt;"",$V62,IF($P62&lt;&gt;"",$P62,""))))),"")</f>
        <v/>
      </c>
      <c r="AU62" s="195" t="s">
        <v>1172</v>
      </c>
      <c r="AV62" s="1"/>
    </row>
    <row r="63" customFormat="false" ht="15.75" hidden="false" customHeight="true" outlineLevel="0" collapsed="false">
      <c r="A63" s="192" t="str">
        <f aca="false">IF($F63="","",$C$2&amp;"."&amp;COUNTA($F$7:$F63)&amp;"")</f>
        <v>TC_04.48</v>
      </c>
      <c r="B63" s="192" t="s">
        <v>585</v>
      </c>
      <c r="C63" s="192" t="s">
        <v>617</v>
      </c>
      <c r="D63" s="192" t="s">
        <v>41</v>
      </c>
      <c r="E63" s="192" t="s">
        <v>156</v>
      </c>
      <c r="F63" s="13" t="s">
        <v>1173</v>
      </c>
      <c r="G63" s="13" t="s">
        <v>1174</v>
      </c>
      <c r="H63" s="13" t="s">
        <v>1175</v>
      </c>
      <c r="I63" s="13" t="s">
        <v>1176</v>
      </c>
      <c r="J63" s="192" t="s">
        <v>745</v>
      </c>
      <c r="K63" s="192" t="s">
        <v>243</v>
      </c>
      <c r="L63" s="192" t="s">
        <v>746</v>
      </c>
      <c r="M63" s="192"/>
      <c r="N63" s="193" t="s">
        <v>747</v>
      </c>
      <c r="O63" s="193"/>
      <c r="P63" s="193" t="s">
        <v>29</v>
      </c>
      <c r="Q63" s="193" t="s">
        <v>102</v>
      </c>
      <c r="R63" s="193"/>
      <c r="S63" s="193"/>
      <c r="T63" s="193"/>
      <c r="U63" s="193"/>
      <c r="V63" s="193"/>
      <c r="W63" s="193"/>
      <c r="X63" s="193"/>
      <c r="Y63" s="193"/>
      <c r="Z63" s="193"/>
      <c r="AA63" s="193"/>
      <c r="AB63" s="193"/>
      <c r="AC63" s="193"/>
      <c r="AD63" s="193"/>
      <c r="AE63" s="193"/>
      <c r="AF63" s="193"/>
      <c r="AG63" s="193"/>
      <c r="AH63" s="193"/>
      <c r="AI63" s="193"/>
      <c r="AJ63" s="193"/>
      <c r="AK63" s="193"/>
      <c r="AL63" s="193"/>
      <c r="AM63" s="193"/>
      <c r="AN63" s="193"/>
      <c r="AO63" s="193"/>
      <c r="AP63" s="193"/>
      <c r="AQ63" s="193"/>
      <c r="AR63" s="194" t="str">
        <f aca="false">IF($A63="","",IF(OR($N63="Yes",$T63="Yes",$Z63="Yes",$AF63="Yes",$AL63="Yes"),"Yes","No"))</f>
        <v>Yes</v>
      </c>
      <c r="AS63" s="194" t="str">
        <f aca="false">IF($A63="","",IFERROR(IF($AM63&lt;&gt;"",$AM63,IF($AG63&lt;&gt;"",$AG63,IF($AA63&lt;&gt;"",$AA63,IF($U63&lt;&gt;"",$U63,IF($O63&lt;&gt;"",$O63,""))))),""))</f>
        <v/>
      </c>
      <c r="AT63" s="194" t="str">
        <f aca="false">IFERROR(IF($AN63&lt;&gt;"",$AN63,IF($AH63&lt;&gt;"",$AH63,IF($AB63&lt;&gt;"",$AB63,IF($V63&lt;&gt;"",$V63,IF($P63&lt;&gt;"",$P63,""))))),"")</f>
        <v>N/A</v>
      </c>
      <c r="AU63" s="195" t="s">
        <v>1177</v>
      </c>
      <c r="AV63" s="1"/>
    </row>
    <row r="64" customFormat="false" ht="15.75" hidden="false" customHeight="true" outlineLevel="0" collapsed="false">
      <c r="A64" s="192" t="str">
        <f aca="false">IF($F64="","",$C$2&amp;"."&amp;COUNTA($F$7:$F64)&amp;"")</f>
        <v>TC_04.49</v>
      </c>
      <c r="B64" s="192" t="s">
        <v>585</v>
      </c>
      <c r="C64" s="192" t="s">
        <v>617</v>
      </c>
      <c r="D64" s="192" t="s">
        <v>41</v>
      </c>
      <c r="E64" s="192" t="s">
        <v>158</v>
      </c>
      <c r="F64" s="13" t="s">
        <v>1178</v>
      </c>
      <c r="G64" s="13" t="s">
        <v>1179</v>
      </c>
      <c r="H64" s="13" t="s">
        <v>1180</v>
      </c>
      <c r="I64" s="13" t="s">
        <v>1181</v>
      </c>
      <c r="J64" s="192" t="s">
        <v>745</v>
      </c>
      <c r="K64" s="192" t="s">
        <v>243</v>
      </c>
      <c r="L64" s="192" t="s">
        <v>746</v>
      </c>
      <c r="M64" s="192"/>
      <c r="N64" s="193"/>
      <c r="O64" s="193"/>
      <c r="P64" s="193"/>
      <c r="Q64" s="193" t="s">
        <v>102</v>
      </c>
      <c r="R64" s="193"/>
      <c r="S64" s="193"/>
      <c r="T64" s="193"/>
      <c r="U64" s="193"/>
      <c r="V64" s="193"/>
      <c r="W64" s="193"/>
      <c r="X64" s="193"/>
      <c r="Y64" s="193"/>
      <c r="Z64" s="193"/>
      <c r="AA64" s="193"/>
      <c r="AB64" s="193"/>
      <c r="AC64" s="193"/>
      <c r="AD64" s="193"/>
      <c r="AE64" s="193"/>
      <c r="AF64" s="193"/>
      <c r="AG64" s="193"/>
      <c r="AH64" s="193"/>
      <c r="AI64" s="193"/>
      <c r="AJ64" s="193"/>
      <c r="AK64" s="193"/>
      <c r="AL64" s="193"/>
      <c r="AM64" s="193"/>
      <c r="AN64" s="193"/>
      <c r="AO64" s="193"/>
      <c r="AP64" s="193"/>
      <c r="AQ64" s="193"/>
      <c r="AR64" s="194" t="str">
        <f aca="false">IF($A64="","",IF(OR($N64="Yes",$T64="Yes",$Z64="Yes",$AF64="Yes",$AL64="Yes"),"Yes","No"))</f>
        <v>No</v>
      </c>
      <c r="AS64" s="194" t="str">
        <f aca="false">IF($A64="","",IFERROR(IF($AM64&lt;&gt;"",$AM64,IF($AG64&lt;&gt;"",$AG64,IF($AA64&lt;&gt;"",$AA64,IF($U64&lt;&gt;"",$U64,IF($O64&lt;&gt;"",$O64,""))))),""))</f>
        <v/>
      </c>
      <c r="AT64" s="194" t="str">
        <f aca="false">IFERROR(IF($AN64&lt;&gt;"",$AN64,IF($AH64&lt;&gt;"",$AH64,IF($AB64&lt;&gt;"",$AB64,IF($V64&lt;&gt;"",$V64,IF($P64&lt;&gt;"",$P64,""))))),"")</f>
        <v/>
      </c>
      <c r="AU64" s="195" t="s">
        <v>1182</v>
      </c>
      <c r="AV64" s="1"/>
    </row>
    <row r="65" customFormat="false" ht="15.75" hidden="false" customHeight="true" outlineLevel="0" collapsed="false">
      <c r="A65" s="198"/>
      <c r="B65" s="198"/>
      <c r="C65" s="199" t="s">
        <v>1183</v>
      </c>
      <c r="D65" s="199"/>
      <c r="E65" s="199"/>
      <c r="F65" s="199"/>
      <c r="G65" s="199"/>
      <c r="H65" s="199"/>
      <c r="I65" s="199"/>
      <c r="J65" s="199"/>
      <c r="K65" s="199"/>
      <c r="L65" s="199"/>
      <c r="M65" s="199"/>
      <c r="N65" s="199"/>
      <c r="O65" s="199"/>
      <c r="P65" s="199"/>
      <c r="Q65" s="199"/>
      <c r="R65" s="199"/>
      <c r="S65" s="199"/>
      <c r="T65" s="199"/>
      <c r="U65" s="199"/>
      <c r="V65" s="199"/>
      <c r="W65" s="199"/>
      <c r="X65" s="199"/>
      <c r="Y65" s="199"/>
      <c r="Z65" s="199"/>
      <c r="AA65" s="199"/>
      <c r="AB65" s="199"/>
      <c r="AC65" s="199"/>
      <c r="AD65" s="199"/>
      <c r="AE65" s="199"/>
      <c r="AF65" s="199"/>
      <c r="AG65" s="199"/>
      <c r="AH65" s="199"/>
      <c r="AI65" s="199"/>
      <c r="AJ65" s="199"/>
      <c r="AK65" s="199"/>
      <c r="AL65" s="199"/>
      <c r="AM65" s="199"/>
      <c r="AN65" s="199"/>
      <c r="AO65" s="199"/>
      <c r="AP65" s="199"/>
      <c r="AQ65" s="199"/>
      <c r="AR65" s="199"/>
      <c r="AS65" s="199"/>
      <c r="AT65" s="199"/>
      <c r="AU65" s="199"/>
      <c r="AV65" s="1"/>
    </row>
    <row r="66" customFormat="false" ht="15.75" hidden="false" customHeight="true" outlineLevel="0" collapsed="false">
      <c r="A66" s="192" t="str">
        <f aca="false">IF($F66="","",$C$2&amp;"."&amp;COUNTA($F$7:$F66)&amp;"")</f>
        <v>TC_04.50</v>
      </c>
      <c r="B66" s="192" t="s">
        <v>588</v>
      </c>
      <c r="C66" s="192" t="s">
        <v>617</v>
      </c>
      <c r="D66" s="192" t="s">
        <v>43</v>
      </c>
      <c r="E66" s="192" t="s">
        <v>158</v>
      </c>
      <c r="F66" s="13" t="s">
        <v>1184</v>
      </c>
      <c r="G66" s="13" t="s">
        <v>1185</v>
      </c>
      <c r="H66" s="13" t="s">
        <v>1186</v>
      </c>
      <c r="I66" s="13" t="s">
        <v>1187</v>
      </c>
      <c r="J66" s="192" t="s">
        <v>745</v>
      </c>
      <c r="K66" s="192" t="s">
        <v>243</v>
      </c>
      <c r="L66" s="192" t="s">
        <v>746</v>
      </c>
      <c r="M66" s="192"/>
      <c r="N66" s="193" t="s">
        <v>747</v>
      </c>
      <c r="O66" s="193"/>
      <c r="P66" s="193" t="s">
        <v>25</v>
      </c>
      <c r="Q66" s="193" t="s">
        <v>102</v>
      </c>
      <c r="R66" s="193"/>
      <c r="S66" s="193"/>
      <c r="T66" s="193"/>
      <c r="U66" s="193"/>
      <c r="V66" s="193"/>
      <c r="W66" s="193"/>
      <c r="X66" s="193"/>
      <c r="Y66" s="193"/>
      <c r="Z66" s="193"/>
      <c r="AA66" s="193"/>
      <c r="AB66" s="193"/>
      <c r="AC66" s="193"/>
      <c r="AD66" s="193"/>
      <c r="AE66" s="193"/>
      <c r="AF66" s="193"/>
      <c r="AG66" s="193"/>
      <c r="AH66" s="193"/>
      <c r="AI66" s="193"/>
      <c r="AJ66" s="193"/>
      <c r="AK66" s="193"/>
      <c r="AL66" s="193"/>
      <c r="AM66" s="193"/>
      <c r="AN66" s="193"/>
      <c r="AO66" s="193"/>
      <c r="AP66" s="193"/>
      <c r="AQ66" s="193"/>
      <c r="AR66" s="194" t="str">
        <f aca="false">IF($A66="","",IF(OR($N66="Yes",$T66="Yes",$Z66="Yes",$AF66="Yes",$AL66="Yes"),"Yes","No"))</f>
        <v>Yes</v>
      </c>
      <c r="AS66" s="194" t="str">
        <f aca="false">IF($A66="","",IFERROR(IF($AM66&lt;&gt;"",$AM66,IF($AG66&lt;&gt;"",$AG66,IF($AA66&lt;&gt;"",$AA66,IF($U66&lt;&gt;"",$U66,IF($O66&lt;&gt;"",$O66,""))))),""))</f>
        <v/>
      </c>
      <c r="AT66" s="194" t="str">
        <f aca="false">IFERROR(IF($AN66&lt;&gt;"",$AN66,IF($AH66&lt;&gt;"",$AH66,IF($AB66&lt;&gt;"",$AB66,IF($V66&lt;&gt;"",$V66,IF($P66&lt;&gt;"",$P66,""))))),"")</f>
        <v>Fail</v>
      </c>
      <c r="AU66" s="195" t="s">
        <v>1188</v>
      </c>
      <c r="AV66" s="1"/>
    </row>
    <row r="67" customFormat="false" ht="15.75" hidden="false" customHeight="true" outlineLevel="0" collapsed="false">
      <c r="A67" s="192" t="str">
        <f aca="false">IF($F67="","",$C$2&amp;"."&amp;COUNTA($F$7:$F67)&amp;"")</f>
        <v>TC_04.51</v>
      </c>
      <c r="B67" s="192" t="s">
        <v>588</v>
      </c>
      <c r="C67" s="192" t="s">
        <v>617</v>
      </c>
      <c r="D67" s="192" t="s">
        <v>43</v>
      </c>
      <c r="E67" s="192" t="s">
        <v>158</v>
      </c>
      <c r="F67" s="13" t="s">
        <v>1189</v>
      </c>
      <c r="G67" s="13" t="s">
        <v>1190</v>
      </c>
      <c r="H67" s="13" t="s">
        <v>1191</v>
      </c>
      <c r="I67" s="13" t="s">
        <v>1192</v>
      </c>
      <c r="J67" s="192" t="s">
        <v>745</v>
      </c>
      <c r="K67" s="192" t="s">
        <v>243</v>
      </c>
      <c r="L67" s="192" t="s">
        <v>746</v>
      </c>
      <c r="M67" s="192"/>
      <c r="N67" s="193" t="s">
        <v>747</v>
      </c>
      <c r="O67" s="193"/>
      <c r="P67" s="193" t="s">
        <v>25</v>
      </c>
      <c r="Q67" s="193" t="s">
        <v>102</v>
      </c>
      <c r="R67" s="193"/>
      <c r="S67" s="193"/>
      <c r="T67" s="193"/>
      <c r="U67" s="193"/>
      <c r="V67" s="193"/>
      <c r="W67" s="193"/>
      <c r="X67" s="193"/>
      <c r="Y67" s="193"/>
      <c r="Z67" s="193"/>
      <c r="AA67" s="193"/>
      <c r="AB67" s="193"/>
      <c r="AC67" s="193"/>
      <c r="AD67" s="193"/>
      <c r="AE67" s="193"/>
      <c r="AF67" s="193"/>
      <c r="AG67" s="193"/>
      <c r="AH67" s="193"/>
      <c r="AI67" s="193"/>
      <c r="AJ67" s="193"/>
      <c r="AK67" s="193"/>
      <c r="AL67" s="193"/>
      <c r="AM67" s="193"/>
      <c r="AN67" s="193"/>
      <c r="AO67" s="193"/>
      <c r="AP67" s="193"/>
      <c r="AQ67" s="193"/>
      <c r="AR67" s="194" t="str">
        <f aca="false">IF($A67="","",IF(OR($N67="Yes",$T67="Yes",$Z67="Yes",$AF67="Yes",$AL67="Yes"),"Yes","No"))</f>
        <v>Yes</v>
      </c>
      <c r="AS67" s="194" t="str">
        <f aca="false">IF($A67="","",IFERROR(IF($AM67&lt;&gt;"",$AM67,IF($AG67&lt;&gt;"",$AG67,IF($AA67&lt;&gt;"",$AA67,IF($U67&lt;&gt;"",$U67,IF($O67&lt;&gt;"",$O67,""))))),""))</f>
        <v/>
      </c>
      <c r="AT67" s="194" t="str">
        <f aca="false">IFERROR(IF($AN67&lt;&gt;"",$AN67,IF($AH67&lt;&gt;"",$AH67,IF($AB67&lt;&gt;"",$AB67,IF($V67&lt;&gt;"",$V67,IF($P67&lt;&gt;"",$P67,""))))),"")</f>
        <v>Fail</v>
      </c>
      <c r="AU67" s="195" t="s">
        <v>1193</v>
      </c>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9">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7:AU17"/>
    <mergeCell ref="C19:AU19"/>
    <mergeCell ref="C22:AU22"/>
    <mergeCell ref="C30:AU30"/>
    <mergeCell ref="C39:AU39"/>
    <mergeCell ref="C50:AU50"/>
    <mergeCell ref="C57:AU57"/>
    <mergeCell ref="C61:AU61"/>
    <mergeCell ref="C65:AU65"/>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201</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202</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1194</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TC_05.1</v>
      </c>
      <c r="B8" s="192" t="s">
        <v>591</v>
      </c>
      <c r="C8" s="192" t="s">
        <v>592</v>
      </c>
      <c r="D8" s="192" t="s">
        <v>43</v>
      </c>
      <c r="E8" s="192" t="s">
        <v>157</v>
      </c>
      <c r="F8" s="13" t="s">
        <v>1195</v>
      </c>
      <c r="G8" s="13" t="s">
        <v>1196</v>
      </c>
      <c r="H8" s="13" t="s">
        <v>1197</v>
      </c>
      <c r="I8" s="13" t="s">
        <v>1198</v>
      </c>
      <c r="J8" s="192" t="s">
        <v>745</v>
      </c>
      <c r="K8" s="192" t="s">
        <v>243</v>
      </c>
      <c r="L8" s="192" t="s">
        <v>746</v>
      </c>
      <c r="M8" s="192"/>
      <c r="N8" s="193" t="s">
        <v>747</v>
      </c>
      <c r="O8" s="193"/>
      <c r="P8" s="193" t="s">
        <v>23</v>
      </c>
      <c r="Q8" s="193" t="s">
        <v>102</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1199</v>
      </c>
    </row>
    <row r="9" customFormat="false" ht="60" hidden="false" customHeight="true" outlineLevel="0" collapsed="false">
      <c r="A9" s="190"/>
      <c r="B9" s="190"/>
      <c r="C9" s="191" t="s">
        <v>1200</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202.95" hidden="false" customHeight="false" outlineLevel="0" collapsed="false">
      <c r="A10" s="192" t="str">
        <f aca="false">IF($F10="","",$C$2&amp;"."&amp;COUNTA($F$7:$F10)&amp;"")</f>
        <v>TC_05.2</v>
      </c>
      <c r="B10" s="192" t="s">
        <v>593</v>
      </c>
      <c r="C10" s="192" t="s">
        <v>594</v>
      </c>
      <c r="D10" s="192" t="s">
        <v>43</v>
      </c>
      <c r="E10" s="192" t="s">
        <v>157</v>
      </c>
      <c r="F10" s="13" t="s">
        <v>1201</v>
      </c>
      <c r="G10" s="13" t="s">
        <v>1202</v>
      </c>
      <c r="H10" s="13" t="s">
        <v>1203</v>
      </c>
      <c r="I10" s="13" t="s">
        <v>1204</v>
      </c>
      <c r="J10" s="192" t="s">
        <v>745</v>
      </c>
      <c r="K10" s="192" t="s">
        <v>243</v>
      </c>
      <c r="L10" s="192" t="s">
        <v>746</v>
      </c>
      <c r="M10" s="192"/>
      <c r="N10" s="193" t="s">
        <v>747</v>
      </c>
      <c r="O10" s="193"/>
      <c r="P10" s="193" t="s">
        <v>23</v>
      </c>
      <c r="Q10" s="193" t="s">
        <v>102</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Pass</v>
      </c>
      <c r="AU10" s="195" t="s">
        <v>1205</v>
      </c>
    </row>
    <row r="11" customFormat="false" ht="15" hidden="false" customHeight="false" outlineLevel="0" collapsed="false">
      <c r="A11" s="190"/>
      <c r="B11" s="190"/>
      <c r="C11" s="191" t="s">
        <v>1206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202.95" hidden="false" customHeight="false" outlineLevel="0" collapsed="false">
      <c r="A12" s="192" t="str">
        <f aca="false">IF($F12="","",$C$2&amp;"."&amp;COUNTA($F$7:$F12)&amp;"")</f>
        <v>TC_05.3</v>
      </c>
      <c r="B12" s="192" t="s">
        <v>595</v>
      </c>
      <c r="C12" s="192" t="s">
        <v>592</v>
      </c>
      <c r="D12" s="192" t="s">
        <v>43</v>
      </c>
      <c r="E12" s="192" t="s">
        <v>158</v>
      </c>
      <c r="F12" s="13" t="s">
        <v>1207</v>
      </c>
      <c r="G12" s="13" t="s">
        <v>1208</v>
      </c>
      <c r="H12" s="13" t="s">
        <v>1209</v>
      </c>
      <c r="I12" s="13" t="s">
        <v>1210</v>
      </c>
      <c r="J12" s="192" t="s">
        <v>745</v>
      </c>
      <c r="K12" s="192" t="s">
        <v>243</v>
      </c>
      <c r="L12" s="192" t="s">
        <v>746</v>
      </c>
      <c r="M12" s="192"/>
      <c r="N12" s="193" t="s">
        <v>747</v>
      </c>
      <c r="O12" s="193"/>
      <c r="P12" s="193" t="s">
        <v>23</v>
      </c>
      <c r="Q12" s="193" t="s">
        <v>102</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1211</v>
      </c>
    </row>
    <row r="13" customFormat="false" ht="258.95" hidden="false" customHeight="false" outlineLevel="0" collapsed="false">
      <c r="A13" s="192" t="str">
        <f aca="false">IF($F13="","",$C$2&amp;"."&amp;COUNTA($F$7:$F13)&amp;"")</f>
        <v>TC_05.4</v>
      </c>
      <c r="B13" s="192" t="s">
        <v>595</v>
      </c>
      <c r="C13" s="192" t="s">
        <v>1212</v>
      </c>
      <c r="D13" s="192" t="s">
        <v>43</v>
      </c>
      <c r="E13" s="192" t="s">
        <v>158</v>
      </c>
      <c r="F13" s="13" t="s">
        <v>1213</v>
      </c>
      <c r="G13" s="13" t="s">
        <v>1214</v>
      </c>
      <c r="H13" s="13" t="s">
        <v>1215</v>
      </c>
      <c r="I13" s="13" t="s">
        <v>1216</v>
      </c>
      <c r="J13" s="192" t="s">
        <v>745</v>
      </c>
      <c r="K13" s="192" t="s">
        <v>243</v>
      </c>
      <c r="L13" s="192" t="s">
        <v>746</v>
      </c>
      <c r="M13" s="192"/>
      <c r="N13" s="193" t="s">
        <v>747</v>
      </c>
      <c r="O13" s="193"/>
      <c r="P13" s="193" t="s">
        <v>23</v>
      </c>
      <c r="Q13" s="193" t="s">
        <v>102</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1217</v>
      </c>
    </row>
    <row r="14" customFormat="false" ht="15" hidden="false" customHeight="false" outlineLevel="0" collapsed="false">
      <c r="A14" s="190"/>
      <c r="B14" s="190"/>
      <c r="C14" s="191" t="s">
        <v>1218</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303.7" hidden="false" customHeight="false" outlineLevel="0" collapsed="false">
      <c r="A15" s="192" t="str">
        <f aca="false">IF($F15="","",$C$2&amp;"."&amp;COUNTA($F$7:$F15)&amp;"")</f>
        <v>TC_05.5</v>
      </c>
      <c r="B15" s="192" t="s">
        <v>596</v>
      </c>
      <c r="C15" s="192" t="s">
        <v>597</v>
      </c>
      <c r="D15" s="192" t="s">
        <v>43</v>
      </c>
      <c r="E15" s="192" t="s">
        <v>158</v>
      </c>
      <c r="F15" s="13" t="s">
        <v>1219</v>
      </c>
      <c r="G15" s="13" t="s">
        <v>1220</v>
      </c>
      <c r="H15" s="13" t="s">
        <v>1221</v>
      </c>
      <c r="I15" s="13" t="s">
        <v>1222</v>
      </c>
      <c r="J15" s="192" t="s">
        <v>745</v>
      </c>
      <c r="K15" s="192" t="s">
        <v>243</v>
      </c>
      <c r="L15" s="192" t="s">
        <v>746</v>
      </c>
      <c r="M15" s="192"/>
      <c r="N15" s="193" t="s">
        <v>747</v>
      </c>
      <c r="O15" s="193"/>
      <c r="P15" s="193" t="s">
        <v>27</v>
      </c>
      <c r="Q15" s="193" t="s">
        <v>102</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Block</v>
      </c>
      <c r="AU15" s="195" t="s">
        <v>1223</v>
      </c>
    </row>
    <row r="16" customFormat="false" ht="15" hidden="false" customHeight="false" outlineLevel="0" collapsed="false">
      <c r="A16" s="192"/>
      <c r="B16" s="192"/>
      <c r="C16" s="192"/>
      <c r="D16" s="192"/>
      <c r="E16" s="192"/>
      <c r="F16" s="192"/>
      <c r="G16" s="192"/>
      <c r="H16" s="192"/>
      <c r="I16" s="192"/>
      <c r="J16" s="192"/>
      <c r="K16" s="192"/>
      <c r="L16" s="192"/>
      <c r="M16" s="192"/>
      <c r="N16" s="192"/>
      <c r="O16" s="192"/>
      <c r="P16" s="192"/>
      <c r="Q16" s="192"/>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96"/>
      <c r="AS16" s="196"/>
      <c r="AT16" s="1"/>
      <c r="AU16" s="1"/>
    </row>
    <row r="17" customFormat="false" ht="15" hidden="false" customHeight="false" outlineLevel="0" collapsed="false">
      <c r="A17" s="192"/>
      <c r="B17" s="192"/>
      <c r="C17" s="192"/>
      <c r="D17" s="192"/>
      <c r="E17" s="192"/>
      <c r="F17" s="192"/>
      <c r="G17" s="192"/>
      <c r="H17" s="192"/>
      <c r="I17" s="192"/>
      <c r="J17" s="192"/>
      <c r="K17" s="192"/>
      <c r="L17" s="192"/>
      <c r="M17" s="192"/>
      <c r="N17" s="192"/>
      <c r="O17" s="192"/>
      <c r="P17" s="192"/>
      <c r="Q17" s="192"/>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96"/>
      <c r="AS17" s="196"/>
      <c r="AT17" s="1"/>
      <c r="AU17" s="1"/>
    </row>
    <row r="18" customFormat="false" ht="15" hidden="false" customHeight="false" outlineLevel="0" collapsed="false">
      <c r="A18" s="192"/>
      <c r="B18" s="192"/>
      <c r="C18" s="192"/>
      <c r="D18" s="192"/>
      <c r="E18" s="192"/>
      <c r="F18" s="192"/>
      <c r="G18" s="192"/>
      <c r="H18" s="192"/>
      <c r="I18" s="192"/>
      <c r="J18" s="192"/>
      <c r="K18" s="192"/>
      <c r="L18" s="192"/>
      <c r="M18" s="192"/>
      <c r="N18" s="192"/>
      <c r="O18" s="192"/>
      <c r="P18" s="192"/>
      <c r="Q18" s="192"/>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96"/>
      <c r="AS18" s="196"/>
      <c r="AT18" s="1"/>
      <c r="AU18" s="1"/>
    </row>
    <row r="19" customFormat="false" ht="15" hidden="false" customHeight="false" outlineLevel="0" collapsed="false">
      <c r="A19" s="192"/>
      <c r="B19" s="192"/>
      <c r="C19" s="192"/>
      <c r="D19" s="192"/>
      <c r="E19" s="192"/>
      <c r="F19" s="192"/>
      <c r="G19" s="192"/>
      <c r="H19" s="192"/>
      <c r="I19" s="192"/>
      <c r="J19" s="192"/>
      <c r="K19" s="192"/>
      <c r="L19" s="192"/>
      <c r="M19" s="192"/>
      <c r="N19" s="192"/>
      <c r="O19" s="192"/>
      <c r="P19" s="192"/>
      <c r="Q19" s="192"/>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96"/>
      <c r="AS19" s="196"/>
      <c r="AT19" s="1"/>
      <c r="AU19" s="1"/>
    </row>
    <row r="20" customFormat="false" ht="15" hidden="false" customHeight="false" outlineLevel="0" collapsed="false">
      <c r="A20" s="192"/>
      <c r="B20" s="192"/>
      <c r="C20" s="192"/>
      <c r="D20" s="192"/>
      <c r="E20" s="192"/>
      <c r="F20" s="192"/>
      <c r="G20" s="192"/>
      <c r="H20" s="192"/>
      <c r="I20" s="192"/>
      <c r="J20" s="192"/>
      <c r="K20" s="192"/>
      <c r="L20" s="192"/>
      <c r="M20" s="192"/>
      <c r="N20" s="192"/>
      <c r="O20" s="192"/>
      <c r="P20" s="192"/>
      <c r="Q20" s="192"/>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96"/>
      <c r="AS20" s="196"/>
      <c r="AT20" s="1"/>
      <c r="AU20" s="1"/>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1224</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TC_06.1</v>
      </c>
      <c r="B8" s="192" t="s">
        <v>598</v>
      </c>
      <c r="C8" s="192" t="s">
        <v>617</v>
      </c>
      <c r="D8" s="192" t="s">
        <v>43</v>
      </c>
      <c r="E8" s="192" t="s">
        <v>157</v>
      </c>
      <c r="F8" s="13" t="s">
        <v>1225</v>
      </c>
      <c r="G8" s="13" t="s">
        <v>1226</v>
      </c>
      <c r="H8" s="13" t="s">
        <v>1227</v>
      </c>
      <c r="I8" s="13" t="s">
        <v>1228</v>
      </c>
      <c r="J8" s="192" t="s">
        <v>745</v>
      </c>
      <c r="K8" s="192" t="s">
        <v>243</v>
      </c>
      <c r="L8" s="192" t="s">
        <v>746</v>
      </c>
      <c r="M8" s="192"/>
      <c r="N8" s="193" t="s">
        <v>747</v>
      </c>
      <c r="O8" s="193"/>
      <c r="P8" s="193" t="s">
        <v>23</v>
      </c>
      <c r="Q8" s="193" t="s">
        <v>102</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1229</v>
      </c>
    </row>
    <row r="9" customFormat="false" ht="60" hidden="false" customHeight="true" outlineLevel="0" collapsed="false">
      <c r="A9" s="190"/>
      <c r="B9" s="190"/>
      <c r="C9" s="191" t="s">
        <v>1230</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69.4" hidden="false" customHeight="false" outlineLevel="0" collapsed="false">
      <c r="A10" s="192" t="str">
        <f aca="false">IF($F10="","",$C$2&amp;"."&amp;COUNTA($F$7:$F10)&amp;"")</f>
        <v>TC_06.2</v>
      </c>
      <c r="B10" s="192" t="s">
        <v>601</v>
      </c>
      <c r="C10" s="192" t="s">
        <v>617</v>
      </c>
      <c r="D10" s="192" t="s">
        <v>41</v>
      </c>
      <c r="E10" s="192" t="s">
        <v>157</v>
      </c>
      <c r="F10" s="13" t="s">
        <v>1231</v>
      </c>
      <c r="G10" s="13" t="s">
        <v>1232</v>
      </c>
      <c r="H10" s="13" t="s">
        <v>1233</v>
      </c>
      <c r="I10" s="13" t="s">
        <v>1234</v>
      </c>
      <c r="J10" s="192" t="s">
        <v>745</v>
      </c>
      <c r="K10" s="192" t="s">
        <v>243</v>
      </c>
      <c r="L10" s="192" t="s">
        <v>746</v>
      </c>
      <c r="M10" s="192"/>
      <c r="N10" s="193" t="s">
        <v>747</v>
      </c>
      <c r="O10" s="193"/>
      <c r="P10" s="193" t="s">
        <v>25</v>
      </c>
      <c r="Q10" s="193" t="s">
        <v>102</v>
      </c>
      <c r="R10" s="193" t="s">
        <v>437</v>
      </c>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Fail</v>
      </c>
      <c r="AU10" s="195" t="s">
        <v>1235</v>
      </c>
    </row>
    <row r="11" customFormat="false" ht="15" hidden="false" customHeight="false" outlineLevel="0" collapsed="false">
      <c r="A11" s="190"/>
      <c r="B11" s="190"/>
      <c r="C11" s="191" t="s">
        <v>1236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135.8" hidden="false" customHeight="false" outlineLevel="0" collapsed="false">
      <c r="A12" s="192" t="str">
        <f aca="false">IF($F12="","",$C$2&amp;"."&amp;COUNTA($F$7:$F12)&amp;"")</f>
        <v>TC_06.3</v>
      </c>
      <c r="B12" s="192" t="s">
        <v>604</v>
      </c>
      <c r="C12" s="192" t="s">
        <v>617</v>
      </c>
      <c r="D12" s="192" t="s">
        <v>41</v>
      </c>
      <c r="E12" s="192" t="s">
        <v>157</v>
      </c>
      <c r="F12" s="13" t="s">
        <v>1237</v>
      </c>
      <c r="G12" s="13" t="s">
        <v>1238</v>
      </c>
      <c r="H12" s="13" t="s">
        <v>1239</v>
      </c>
      <c r="I12" s="13" t="s">
        <v>1240</v>
      </c>
      <c r="J12" s="192" t="s">
        <v>745</v>
      </c>
      <c r="K12" s="192" t="s">
        <v>243</v>
      </c>
      <c r="L12" s="192" t="s">
        <v>746</v>
      </c>
      <c r="M12" s="192"/>
      <c r="N12" s="193" t="s">
        <v>747</v>
      </c>
      <c r="O12" s="193"/>
      <c r="P12" s="193" t="s">
        <v>23</v>
      </c>
      <c r="Q12" s="193" t="s">
        <v>102</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1241</v>
      </c>
    </row>
    <row r="13" customFormat="false" ht="191.75" hidden="false" customHeight="false" outlineLevel="0" collapsed="false">
      <c r="A13" s="192" t="str">
        <f aca="false">IF($F13="","",$C$2&amp;"."&amp;COUNTA($F$7:$F13)&amp;"")</f>
        <v>TC_06.4</v>
      </c>
      <c r="B13" s="192" t="s">
        <v>604</v>
      </c>
      <c r="C13" s="192" t="s">
        <v>617</v>
      </c>
      <c r="D13" s="192" t="s">
        <v>43</v>
      </c>
      <c r="E13" s="192" t="s">
        <v>157</v>
      </c>
      <c r="F13" s="13" t="s">
        <v>1242</v>
      </c>
      <c r="G13" s="13" t="s">
        <v>1243</v>
      </c>
      <c r="H13" s="13" t="s">
        <v>1244</v>
      </c>
      <c r="I13" s="13" t="s">
        <v>1245</v>
      </c>
      <c r="J13" s="192" t="s">
        <v>745</v>
      </c>
      <c r="K13" s="192" t="s">
        <v>243</v>
      </c>
      <c r="L13" s="192" t="s">
        <v>746</v>
      </c>
      <c r="M13" s="192"/>
      <c r="N13" s="193" t="s">
        <v>747</v>
      </c>
      <c r="O13" s="193"/>
      <c r="P13" s="193" t="s">
        <v>23</v>
      </c>
      <c r="Q13" s="193" t="s">
        <v>102</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1246</v>
      </c>
    </row>
    <row r="14" customFormat="false" ht="15" hidden="false" customHeight="false" outlineLevel="0" collapsed="false">
      <c r="A14" s="190"/>
      <c r="B14" s="190"/>
      <c r="C14" s="191" t="s">
        <v>1247</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225.35" hidden="false" customHeight="false" outlineLevel="0" collapsed="false">
      <c r="A15" s="192" t="str">
        <f aca="false">IF($F15="","",$C$2&amp;"."&amp;COUNTA($F$7:$F15)&amp;"")</f>
        <v>TC_06.5</v>
      </c>
      <c r="B15" s="192" t="s">
        <v>607</v>
      </c>
      <c r="C15" s="192" t="s">
        <v>617</v>
      </c>
      <c r="D15" s="192" t="s">
        <v>43</v>
      </c>
      <c r="E15" s="192" t="s">
        <v>158</v>
      </c>
      <c r="F15" s="13" t="s">
        <v>1248</v>
      </c>
      <c r="G15" s="13" t="s">
        <v>1249</v>
      </c>
      <c r="H15" s="13" t="s">
        <v>1250</v>
      </c>
      <c r="I15" s="13" t="s">
        <v>1251</v>
      </c>
      <c r="J15" s="192" t="s">
        <v>745</v>
      </c>
      <c r="K15" s="192" t="s">
        <v>243</v>
      </c>
      <c r="L15" s="192" t="s">
        <v>746</v>
      </c>
      <c r="M15" s="192"/>
      <c r="N15" s="193"/>
      <c r="O15" s="193"/>
      <c r="P15" s="193"/>
      <c r="Q15" s="193" t="s">
        <v>102</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1252</v>
      </c>
    </row>
    <row r="16" customFormat="false" ht="15" hidden="false" customHeight="false" outlineLevel="0" collapsed="false">
      <c r="A16" s="190"/>
      <c r="B16" s="190"/>
      <c r="C16" s="191" t="s">
        <v>1253</v>
      </c>
      <c r="D16" s="191"/>
      <c r="E16" s="191"/>
      <c r="F16" s="191"/>
      <c r="G16" s="191"/>
      <c r="H16" s="191"/>
      <c r="I16" s="191"/>
      <c r="J16" s="191"/>
      <c r="K16" s="191"/>
      <c r="L16" s="191"/>
      <c r="M16" s="191"/>
      <c r="N16" s="191"/>
      <c r="O16" s="191"/>
      <c r="P16" s="191"/>
      <c r="Q16" s="191"/>
      <c r="R16" s="191"/>
      <c r="S16" s="191"/>
      <c r="T16" s="191"/>
      <c r="U16" s="191"/>
      <c r="V16" s="191"/>
      <c r="W16" s="191"/>
      <c r="X16" s="191"/>
      <c r="Y16" s="191"/>
      <c r="Z16" s="191"/>
      <c r="AA16" s="191"/>
      <c r="AB16" s="191"/>
      <c r="AC16" s="191"/>
      <c r="AD16" s="191"/>
      <c r="AE16" s="191"/>
      <c r="AF16" s="191"/>
      <c r="AG16" s="191"/>
      <c r="AH16" s="191"/>
      <c r="AI16" s="191"/>
      <c r="AJ16" s="191"/>
      <c r="AK16" s="191"/>
      <c r="AL16" s="191"/>
      <c r="AM16" s="191"/>
      <c r="AN16" s="191"/>
      <c r="AO16" s="191"/>
      <c r="AP16" s="191"/>
      <c r="AQ16" s="191"/>
      <c r="AR16" s="191"/>
      <c r="AS16" s="191"/>
      <c r="AT16" s="191"/>
      <c r="AU16" s="191"/>
    </row>
    <row r="17" customFormat="false" ht="303.7" hidden="false" customHeight="false" outlineLevel="0" collapsed="false">
      <c r="A17" s="192" t="str">
        <f aca="false">IF($F17="","",$C$2&amp;"."&amp;COUNTA($F$7:$F17)&amp;"")</f>
        <v>TC_06.6</v>
      </c>
      <c r="B17" s="192" t="s">
        <v>610</v>
      </c>
      <c r="C17" s="192" t="s">
        <v>617</v>
      </c>
      <c r="D17" s="192" t="s">
        <v>41</v>
      </c>
      <c r="E17" s="192" t="s">
        <v>158</v>
      </c>
      <c r="F17" s="13" t="s">
        <v>1254</v>
      </c>
      <c r="G17" s="13" t="s">
        <v>1255</v>
      </c>
      <c r="H17" s="13" t="s">
        <v>1256</v>
      </c>
      <c r="I17" s="13" t="s">
        <v>1257</v>
      </c>
      <c r="J17" s="192" t="s">
        <v>745</v>
      </c>
      <c r="K17" s="192" t="s">
        <v>243</v>
      </c>
      <c r="L17" s="192" t="s">
        <v>746</v>
      </c>
      <c r="M17" s="192"/>
      <c r="N17" s="193"/>
      <c r="O17" s="193"/>
      <c r="P17" s="193"/>
      <c r="Q17" s="193" t="s">
        <v>102</v>
      </c>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No</v>
      </c>
      <c r="AS17" s="194" t="str">
        <f aca="false">IF($A17="","",IFERROR(IF($AM17&lt;&gt;"",$AM17,IF($AG17&lt;&gt;"",$AG17,IF($AA17&lt;&gt;"",$AA17,IF($U17&lt;&gt;"",$U17,IF($O17&lt;&gt;"",$O17,""))))),""))</f>
        <v/>
      </c>
      <c r="AT17" s="194" t="str">
        <f aca="false">IFERROR(IF($AN17&lt;&gt;"",$AN17,IF($AH17&lt;&gt;"",$AH17,IF($AB17&lt;&gt;"",$AB17,IF($V17&lt;&gt;"",$V17,IF($P17&lt;&gt;"",$P17,""))))),"")</f>
        <v/>
      </c>
      <c r="AU17" s="195" t="s">
        <v>1258</v>
      </c>
    </row>
    <row r="18" customFormat="false" ht="15" hidden="false" customHeight="false" outlineLevel="0" collapsed="false">
      <c r="A18" s="190"/>
      <c r="B18" s="190"/>
      <c r="C18" s="191" t="s">
        <v>1259</v>
      </c>
      <c r="D18" s="191"/>
      <c r="E18" s="191"/>
      <c r="F18" s="191"/>
      <c r="G18" s="191"/>
      <c r="H18" s="191"/>
      <c r="I18" s="191"/>
      <c r="J18" s="191"/>
      <c r="K18" s="191"/>
      <c r="L18" s="191"/>
      <c r="M18" s="191"/>
      <c r="N18" s="191"/>
      <c r="O18" s="191"/>
      <c r="P18" s="191"/>
      <c r="Q18" s="191"/>
      <c r="R18" s="191"/>
      <c r="S18" s="191"/>
      <c r="T18" s="191"/>
      <c r="U18" s="191"/>
      <c r="V18" s="191"/>
      <c r="W18" s="191"/>
      <c r="X18" s="191"/>
      <c r="Y18" s="191"/>
      <c r="Z18" s="191"/>
      <c r="AA18" s="191"/>
      <c r="AB18" s="191"/>
      <c r="AC18" s="191"/>
      <c r="AD18" s="191"/>
      <c r="AE18" s="191"/>
      <c r="AF18" s="191"/>
      <c r="AG18" s="191"/>
      <c r="AH18" s="191"/>
      <c r="AI18" s="191"/>
      <c r="AJ18" s="191"/>
      <c r="AK18" s="191"/>
      <c r="AL18" s="191"/>
      <c r="AM18" s="191"/>
      <c r="AN18" s="191"/>
      <c r="AO18" s="191"/>
      <c r="AP18" s="191"/>
      <c r="AQ18" s="191"/>
      <c r="AR18" s="191"/>
      <c r="AS18" s="191"/>
      <c r="AT18" s="191"/>
      <c r="AU18" s="191"/>
    </row>
    <row r="19" customFormat="false" ht="326.1" hidden="false" customHeight="false" outlineLevel="0" collapsed="false">
      <c r="A19" s="192" t="str">
        <f aca="false">IF($F19="","",$C$2&amp;"."&amp;COUNTA($F$7:$F19)&amp;"")</f>
        <v>TC_06.7</v>
      </c>
      <c r="B19" s="192" t="s">
        <v>612</v>
      </c>
      <c r="C19" s="192" t="s">
        <v>617</v>
      </c>
      <c r="D19" s="192" t="s">
        <v>41</v>
      </c>
      <c r="E19" s="192" t="s">
        <v>157</v>
      </c>
      <c r="F19" s="13" t="s">
        <v>1260</v>
      </c>
      <c r="G19" s="13" t="s">
        <v>1261</v>
      </c>
      <c r="H19" s="13" t="s">
        <v>1262</v>
      </c>
      <c r="I19" s="13" t="s">
        <v>1263</v>
      </c>
      <c r="J19" s="192" t="s">
        <v>745</v>
      </c>
      <c r="K19" s="192" t="s">
        <v>243</v>
      </c>
      <c r="L19" s="192" t="s">
        <v>746</v>
      </c>
      <c r="M19" s="192"/>
      <c r="N19" s="193" t="s">
        <v>747</v>
      </c>
      <c r="O19" s="193"/>
      <c r="P19" s="193" t="s">
        <v>27</v>
      </c>
      <c r="Q19" s="193" t="s">
        <v>102</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Block</v>
      </c>
      <c r="AU19" s="195" t="s">
        <v>1264</v>
      </c>
    </row>
    <row r="20" customFormat="false" ht="202.95" hidden="false" customHeight="false" outlineLevel="0" collapsed="false">
      <c r="A20" s="192" t="str">
        <f aca="false">IF($F20="","",$C$2&amp;"."&amp;COUNTA($F$7:$F20)&amp;"")</f>
        <v>TC_06.8</v>
      </c>
      <c r="B20" s="192" t="s">
        <v>612</v>
      </c>
      <c r="C20" s="192" t="s">
        <v>617</v>
      </c>
      <c r="D20" s="192" t="s">
        <v>41</v>
      </c>
      <c r="E20" s="192" t="s">
        <v>157</v>
      </c>
      <c r="F20" s="13" t="s">
        <v>1265</v>
      </c>
      <c r="G20" s="13" t="s">
        <v>1266</v>
      </c>
      <c r="H20" s="13" t="s">
        <v>1267</v>
      </c>
      <c r="I20" s="13" t="s">
        <v>1268</v>
      </c>
      <c r="J20" s="192" t="s">
        <v>745</v>
      </c>
      <c r="K20" s="192" t="s">
        <v>243</v>
      </c>
      <c r="L20" s="192" t="s">
        <v>746</v>
      </c>
      <c r="M20" s="192"/>
      <c r="N20" s="193" t="s">
        <v>747</v>
      </c>
      <c r="O20" s="193"/>
      <c r="P20" s="193" t="s">
        <v>27</v>
      </c>
      <c r="Q20" s="193" t="s">
        <v>102</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Block</v>
      </c>
      <c r="AU20" s="195" t="s">
        <v>1269</v>
      </c>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 ref="C16:AU16"/>
    <mergeCell ref="C18:AU18"/>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205</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206</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1270</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TC_07.1</v>
      </c>
      <c r="B8" s="192" t="s">
        <v>615</v>
      </c>
      <c r="C8" s="192" t="s">
        <v>617</v>
      </c>
      <c r="D8" s="192" t="s">
        <v>41</v>
      </c>
      <c r="E8" s="192" t="s">
        <v>157</v>
      </c>
      <c r="F8" s="13" t="s">
        <v>1271</v>
      </c>
      <c r="G8" s="13" t="s">
        <v>1272</v>
      </c>
      <c r="H8" s="13" t="s">
        <v>1273</v>
      </c>
      <c r="I8" s="13" t="s">
        <v>1274</v>
      </c>
      <c r="J8" s="192" t="s">
        <v>745</v>
      </c>
      <c r="K8" s="192" t="s">
        <v>243</v>
      </c>
      <c r="L8" s="192" t="s">
        <v>746</v>
      </c>
      <c r="M8" s="192"/>
      <c r="N8" s="193"/>
      <c r="O8" s="193"/>
      <c r="P8" s="193"/>
      <c r="Q8" s="193" t="s">
        <v>102</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1275</v>
      </c>
    </row>
    <row r="9" customFormat="false" ht="60" hidden="false" customHeight="true" outlineLevel="0" collapsed="false">
      <c r="A9" s="192" t="str">
        <f aca="false">IF($F9="","",$C$2&amp;"."&amp;COUNTA($F$7:$F9)&amp;"")</f>
        <v>TC_07.2</v>
      </c>
      <c r="B9" s="192" t="s">
        <v>615</v>
      </c>
      <c r="C9" s="192" t="s">
        <v>617</v>
      </c>
      <c r="D9" s="192" t="s">
        <v>41</v>
      </c>
      <c r="E9" s="192" t="s">
        <v>158</v>
      </c>
      <c r="F9" s="13" t="s">
        <v>1276</v>
      </c>
      <c r="G9" s="13" t="s">
        <v>1277</v>
      </c>
      <c r="H9" s="13" t="s">
        <v>1278</v>
      </c>
      <c r="I9" s="13" t="s">
        <v>1279</v>
      </c>
      <c r="J9" s="192" t="s">
        <v>745</v>
      </c>
      <c r="K9" s="192" t="s">
        <v>243</v>
      </c>
      <c r="L9" s="192" t="s">
        <v>746</v>
      </c>
      <c r="M9" s="192"/>
      <c r="N9" s="193"/>
      <c r="O9" s="193"/>
      <c r="P9" s="193"/>
      <c r="Q9" s="193" t="s">
        <v>102</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No</v>
      </c>
      <c r="AS9" s="194" t="str">
        <f aca="false">IF($A9="","",IFERROR(IF($AM9&lt;&gt;"",$AM9,IF($AG9&lt;&gt;"",$AG9,IF($AA9&lt;&gt;"",$AA9,IF($U9&lt;&gt;"",$U9,IF($O9&lt;&gt;"",$O9,""))))),""))</f>
        <v/>
      </c>
      <c r="AT9" s="194" t="str">
        <f aca="false">IFERROR(IF($AN9&lt;&gt;"",$AN9,IF($AH9&lt;&gt;"",$AH9,IF($AB9&lt;&gt;"",$AB9,IF($V9&lt;&gt;"",$V9,IF($P9&lt;&gt;"",$P9,""))))),"")</f>
        <v/>
      </c>
      <c r="AU9" s="195" t="s">
        <v>1280</v>
      </c>
    </row>
    <row r="10" customFormat="false" ht="158.2" hidden="false" customHeight="false" outlineLevel="0" collapsed="false">
      <c r="A10" s="192" t="str">
        <f aca="false">IF($F10="","",$C$2&amp;"."&amp;COUNTA($F$7:$F10)&amp;"")</f>
        <v>TC_07.3</v>
      </c>
      <c r="B10" s="192" t="s">
        <v>615</v>
      </c>
      <c r="C10" s="192" t="s">
        <v>617</v>
      </c>
      <c r="D10" s="192" t="s">
        <v>41</v>
      </c>
      <c r="E10" s="192" t="s">
        <v>157</v>
      </c>
      <c r="F10" s="13" t="s">
        <v>1281</v>
      </c>
      <c r="G10" s="13" t="s">
        <v>1282</v>
      </c>
      <c r="H10" s="13" t="s">
        <v>1283</v>
      </c>
      <c r="I10" s="13" t="s">
        <v>1284</v>
      </c>
      <c r="J10" s="192" t="s">
        <v>745</v>
      </c>
      <c r="K10" s="192" t="s">
        <v>243</v>
      </c>
      <c r="L10" s="192" t="s">
        <v>746</v>
      </c>
      <c r="M10" s="192"/>
      <c r="N10" s="193"/>
      <c r="O10" s="193"/>
      <c r="P10" s="193"/>
      <c r="Q10" s="193" t="s">
        <v>102</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1285</v>
      </c>
    </row>
    <row r="11" customFormat="false" ht="15" hidden="false" customHeight="false" outlineLevel="0" collapsed="false">
      <c r="A11" s="190"/>
      <c r="B11" s="190"/>
      <c r="C11" s="191" t="s">
        <v>1286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169.4" hidden="false" customHeight="false" outlineLevel="0" collapsed="false">
      <c r="A12" s="192" t="str">
        <f aca="false">IF($F12="","",$C$2&amp;"."&amp;COUNTA($F$7:$F12)&amp;"")</f>
        <v>TC_07.4</v>
      </c>
      <c r="B12" s="192" t="s">
        <v>618</v>
      </c>
      <c r="C12" s="192" t="s">
        <v>617</v>
      </c>
      <c r="D12" s="192" t="s">
        <v>41</v>
      </c>
      <c r="E12" s="192" t="s">
        <v>158</v>
      </c>
      <c r="F12" s="13" t="s">
        <v>1287</v>
      </c>
      <c r="G12" s="13" t="s">
        <v>1288</v>
      </c>
      <c r="H12" s="13" t="s">
        <v>1289</v>
      </c>
      <c r="I12" s="13" t="s">
        <v>1290</v>
      </c>
      <c r="J12" s="192" t="s">
        <v>745</v>
      </c>
      <c r="K12" s="192" t="s">
        <v>243</v>
      </c>
      <c r="L12" s="192" t="s">
        <v>746</v>
      </c>
      <c r="M12" s="192"/>
      <c r="N12" s="193" t="s">
        <v>747</v>
      </c>
      <c r="O12" s="193"/>
      <c r="P12" s="193" t="s">
        <v>23</v>
      </c>
      <c r="Q12" s="193" t="s">
        <v>102</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1291</v>
      </c>
    </row>
    <row r="13" customFormat="false" ht="113.4" hidden="false" customHeight="false" outlineLevel="0" collapsed="false">
      <c r="A13" s="192" t="str">
        <f aca="false">IF($F13="","",$C$2&amp;"."&amp;COUNTA($F$7:$F13)&amp;"")</f>
        <v>TC_07.5</v>
      </c>
      <c r="B13" s="192" t="s">
        <v>618</v>
      </c>
      <c r="C13" s="192" t="s">
        <v>617</v>
      </c>
      <c r="D13" s="192" t="s">
        <v>41</v>
      </c>
      <c r="E13" s="192" t="s">
        <v>158</v>
      </c>
      <c r="F13" s="13" t="s">
        <v>1292</v>
      </c>
      <c r="G13" s="13" t="s">
        <v>1293</v>
      </c>
      <c r="H13" s="13" t="s">
        <v>1294</v>
      </c>
      <c r="I13" s="13" t="s">
        <v>1295</v>
      </c>
      <c r="J13" s="192" t="s">
        <v>745</v>
      </c>
      <c r="K13" s="192" t="s">
        <v>243</v>
      </c>
      <c r="L13" s="192" t="s">
        <v>746</v>
      </c>
      <c r="M13" s="192"/>
      <c r="N13" s="193" t="s">
        <v>747</v>
      </c>
      <c r="O13" s="193"/>
      <c r="P13" s="193" t="s">
        <v>23</v>
      </c>
      <c r="Q13" s="193" t="s">
        <v>102</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1296</v>
      </c>
    </row>
    <row r="14" customFormat="false" ht="191.75" hidden="false" customHeight="false" outlineLevel="0" collapsed="false">
      <c r="A14" s="192" t="str">
        <f aca="false">IF($F14="","",$C$2&amp;"."&amp;COUNTA($F$7:$F14)&amp;"")</f>
        <v>TC_07.6</v>
      </c>
      <c r="B14" s="192" t="s">
        <v>618</v>
      </c>
      <c r="C14" s="192" t="s">
        <v>617</v>
      </c>
      <c r="D14" s="192" t="s">
        <v>41</v>
      </c>
      <c r="E14" s="192" t="s">
        <v>158</v>
      </c>
      <c r="F14" s="13" t="s">
        <v>1297</v>
      </c>
      <c r="G14" s="13" t="s">
        <v>1298</v>
      </c>
      <c r="H14" s="13" t="s">
        <v>1299</v>
      </c>
      <c r="I14" s="13" t="s">
        <v>1300</v>
      </c>
      <c r="J14" s="192" t="s">
        <v>745</v>
      </c>
      <c r="K14" s="192" t="s">
        <v>243</v>
      </c>
      <c r="L14" s="192" t="s">
        <v>746</v>
      </c>
      <c r="M14" s="192"/>
      <c r="N14" s="193" t="s">
        <v>747</v>
      </c>
      <c r="O14" s="193"/>
      <c r="P14" s="193" t="s">
        <v>25</v>
      </c>
      <c r="Q14" s="193" t="s">
        <v>102</v>
      </c>
      <c r="R14" s="193" t="s">
        <v>439</v>
      </c>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Fail</v>
      </c>
      <c r="AU14" s="195" t="s">
        <v>1301</v>
      </c>
    </row>
    <row r="15" customFormat="false" ht="180.55" hidden="false" customHeight="false" outlineLevel="0" collapsed="false">
      <c r="A15" s="192" t="str">
        <f aca="false">IF($F15="","",$C$2&amp;"."&amp;COUNTA($F$7:$F15)&amp;"")</f>
        <v>TC_07.7</v>
      </c>
      <c r="B15" s="192" t="s">
        <v>1302</v>
      </c>
      <c r="C15" s="192" t="s">
        <v>617</v>
      </c>
      <c r="D15" s="192" t="s">
        <v>43</v>
      </c>
      <c r="E15" s="192" t="s">
        <v>158</v>
      </c>
      <c r="F15" s="13" t="s">
        <v>1303</v>
      </c>
      <c r="G15" s="13" t="s">
        <v>1304</v>
      </c>
      <c r="H15" s="13" t="s">
        <v>1305</v>
      </c>
      <c r="I15" s="13" t="s">
        <v>1306</v>
      </c>
      <c r="J15" s="192" t="s">
        <v>745</v>
      </c>
      <c r="K15" s="192" t="s">
        <v>243</v>
      </c>
      <c r="L15" s="192" t="s">
        <v>746</v>
      </c>
      <c r="M15" s="192"/>
      <c r="N15" s="193" t="s">
        <v>747</v>
      </c>
      <c r="O15" s="193"/>
      <c r="P15" s="193" t="s">
        <v>23</v>
      </c>
      <c r="Q15" s="193" t="s">
        <v>102</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1307</v>
      </c>
    </row>
    <row r="16" customFormat="false" ht="169.4" hidden="false" customHeight="false" outlineLevel="0" collapsed="false">
      <c r="A16" s="192" t="str">
        <f aca="false">IF($F16="","",$C$2&amp;"."&amp;COUNTA($F$7:$F16)&amp;"")</f>
        <v>TC_07.8</v>
      </c>
      <c r="B16" s="192" t="s">
        <v>618</v>
      </c>
      <c r="C16" s="192" t="s">
        <v>617</v>
      </c>
      <c r="D16" s="192" t="s">
        <v>41</v>
      </c>
      <c r="E16" s="192" t="s">
        <v>158</v>
      </c>
      <c r="F16" s="13" t="s">
        <v>1308</v>
      </c>
      <c r="G16" s="13" t="s">
        <v>1309</v>
      </c>
      <c r="H16" s="13" t="s">
        <v>1310</v>
      </c>
      <c r="I16" s="13" t="s">
        <v>1311</v>
      </c>
      <c r="J16" s="192" t="s">
        <v>745</v>
      </c>
      <c r="K16" s="192" t="s">
        <v>243</v>
      </c>
      <c r="L16" s="192" t="s">
        <v>746</v>
      </c>
      <c r="M16" s="192"/>
      <c r="N16" s="193"/>
      <c r="O16" s="193"/>
      <c r="P16" s="193"/>
      <c r="Q16" s="193" t="s">
        <v>102</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1312</v>
      </c>
    </row>
    <row r="17" customFormat="false" ht="15" hidden="false" customHeight="false" outlineLevel="0" collapsed="false">
      <c r="A17" s="190"/>
      <c r="B17" s="190"/>
      <c r="C17" s="191" t="s">
        <v>1313</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91.75" hidden="false" customHeight="false" outlineLevel="0" collapsed="false">
      <c r="A18" s="192" t="str">
        <f aca="false">IF($F18="","",$C$2&amp;"."&amp;COUNTA($F$7:$F18)&amp;"")</f>
        <v>TC_07.9</v>
      </c>
      <c r="B18" s="192" t="s">
        <v>621</v>
      </c>
      <c r="C18" s="192" t="s">
        <v>617</v>
      </c>
      <c r="D18" s="192" t="s">
        <v>43</v>
      </c>
      <c r="E18" s="192" t="s">
        <v>158</v>
      </c>
      <c r="F18" s="13" t="s">
        <v>1314</v>
      </c>
      <c r="G18" s="13" t="s">
        <v>1315</v>
      </c>
      <c r="H18" s="13" t="s">
        <v>1316</v>
      </c>
      <c r="I18" s="13" t="s">
        <v>1317</v>
      </c>
      <c r="J18" s="192" t="s">
        <v>745</v>
      </c>
      <c r="K18" s="192" t="s">
        <v>243</v>
      </c>
      <c r="L18" s="192" t="s">
        <v>746</v>
      </c>
      <c r="M18" s="192"/>
      <c r="N18" s="193" t="s">
        <v>747</v>
      </c>
      <c r="O18" s="193"/>
      <c r="P18" s="193" t="s">
        <v>25</v>
      </c>
      <c r="Q18" s="193" t="s">
        <v>102</v>
      </c>
      <c r="R18" s="193" t="s">
        <v>441</v>
      </c>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Fail</v>
      </c>
      <c r="AU18" s="195" t="s">
        <v>1318</v>
      </c>
    </row>
    <row r="19" customFormat="false" ht="169.4" hidden="false" customHeight="false" outlineLevel="0" collapsed="false">
      <c r="A19" s="192" t="str">
        <f aca="false">IF($F19="","",$C$2&amp;"."&amp;COUNTA($F$7:$F19)&amp;"")</f>
        <v>TC_07.10</v>
      </c>
      <c r="B19" s="192" t="s">
        <v>621</v>
      </c>
      <c r="C19" s="192" t="s">
        <v>617</v>
      </c>
      <c r="D19" s="192" t="s">
        <v>43</v>
      </c>
      <c r="E19" s="192" t="s">
        <v>158</v>
      </c>
      <c r="F19" s="13" t="s">
        <v>1319</v>
      </c>
      <c r="G19" s="13" t="s">
        <v>1320</v>
      </c>
      <c r="H19" s="13" t="s">
        <v>1321</v>
      </c>
      <c r="I19" s="13" t="s">
        <v>1322</v>
      </c>
      <c r="J19" s="192" t="s">
        <v>745</v>
      </c>
      <c r="K19" s="192" t="s">
        <v>243</v>
      </c>
      <c r="L19" s="192" t="s">
        <v>746</v>
      </c>
      <c r="M19" s="192"/>
      <c r="N19" s="193" t="s">
        <v>747</v>
      </c>
      <c r="O19" s="193"/>
      <c r="P19" s="193" t="s">
        <v>27</v>
      </c>
      <c r="Q19" s="193" t="s">
        <v>102</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Block</v>
      </c>
      <c r="AU19" s="195" t="s">
        <v>1323</v>
      </c>
    </row>
    <row r="20" customFormat="false" ht="15" hidden="false" customHeight="false" outlineLevel="0" collapsed="false">
      <c r="A20" s="190"/>
      <c r="B20" s="190"/>
      <c r="C20" s="191" t="s">
        <v>1324</v>
      </c>
      <c r="D20" s="191"/>
      <c r="E20" s="191"/>
      <c r="F20" s="191"/>
      <c r="G20" s="191"/>
      <c r="H20" s="191"/>
      <c r="I20" s="191"/>
      <c r="J20" s="191"/>
      <c r="K20" s="191"/>
      <c r="L20" s="191"/>
      <c r="M20" s="191"/>
      <c r="N20" s="191"/>
      <c r="O20" s="191"/>
      <c r="P20" s="191"/>
      <c r="Q20" s="191"/>
      <c r="R20" s="191"/>
      <c r="S20" s="191"/>
      <c r="T20" s="191"/>
      <c r="U20" s="191"/>
      <c r="V20" s="191"/>
      <c r="W20" s="191"/>
      <c r="X20" s="191"/>
      <c r="Y20" s="191"/>
      <c r="Z20" s="191"/>
      <c r="AA20" s="191"/>
      <c r="AB20" s="191"/>
      <c r="AC20" s="191"/>
      <c r="AD20" s="191"/>
      <c r="AE20" s="191"/>
      <c r="AF20" s="191"/>
      <c r="AG20" s="191"/>
      <c r="AH20" s="191"/>
      <c r="AI20" s="191"/>
      <c r="AJ20" s="191"/>
      <c r="AK20" s="191"/>
      <c r="AL20" s="191"/>
      <c r="AM20" s="191"/>
      <c r="AN20" s="191"/>
      <c r="AO20" s="191"/>
      <c r="AP20" s="191"/>
      <c r="AQ20" s="191"/>
      <c r="AR20" s="191"/>
      <c r="AS20" s="191"/>
      <c r="AT20" s="191"/>
      <c r="AU20" s="191"/>
    </row>
    <row r="21" customFormat="false" ht="15.75" hidden="false" customHeight="true" outlineLevel="0" collapsed="false">
      <c r="A21" s="192" t="str">
        <f aca="false">IF($F21="","",$C$2&amp;"."&amp;COUNTA($F$7:$F21)&amp;"")</f>
        <v>TC_07.11</v>
      </c>
      <c r="B21" s="192" t="s">
        <v>624</v>
      </c>
      <c r="C21" s="192" t="s">
        <v>617</v>
      </c>
      <c r="D21" s="192" t="s">
        <v>41</v>
      </c>
      <c r="E21" s="192" t="s">
        <v>157</v>
      </c>
      <c r="F21" s="13" t="s">
        <v>1325</v>
      </c>
      <c r="G21" s="13" t="s">
        <v>1326</v>
      </c>
      <c r="H21" s="13" t="s">
        <v>1327</v>
      </c>
      <c r="I21" s="13" t="s">
        <v>1328</v>
      </c>
      <c r="J21" s="192" t="s">
        <v>745</v>
      </c>
      <c r="K21" s="192" t="s">
        <v>243</v>
      </c>
      <c r="L21" s="192" t="s">
        <v>746</v>
      </c>
      <c r="M21" s="192"/>
      <c r="N21" s="193" t="s">
        <v>747</v>
      </c>
      <c r="O21" s="193"/>
      <c r="P21" s="193" t="s">
        <v>29</v>
      </c>
      <c r="Q21" s="193" t="s">
        <v>102</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N/A</v>
      </c>
      <c r="AU21" s="195" t="s">
        <v>1329</v>
      </c>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1:AU11"/>
    <mergeCell ref="C17:AU17"/>
    <mergeCell ref="C20:AU20"/>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207</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208</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1330</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TC_08.1</v>
      </c>
      <c r="B8" s="192" t="s">
        <v>627</v>
      </c>
      <c r="C8" s="192" t="s">
        <v>617</v>
      </c>
      <c r="D8" s="192" t="s">
        <v>41</v>
      </c>
      <c r="E8" s="192" t="s">
        <v>157</v>
      </c>
      <c r="F8" s="13" t="s">
        <v>1331</v>
      </c>
      <c r="G8" s="13" t="s">
        <v>1332</v>
      </c>
      <c r="H8" s="13" t="s">
        <v>1333</v>
      </c>
      <c r="I8" s="13" t="s">
        <v>1334</v>
      </c>
      <c r="J8" s="192" t="s">
        <v>745</v>
      </c>
      <c r="K8" s="192" t="s">
        <v>243</v>
      </c>
      <c r="L8" s="192" t="s">
        <v>746</v>
      </c>
      <c r="M8" s="192"/>
      <c r="N8" s="193"/>
      <c r="O8" s="193"/>
      <c r="P8" s="193"/>
      <c r="Q8" s="193" t="s">
        <v>102</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1335</v>
      </c>
    </row>
    <row r="9" customFormat="false" ht="60" hidden="false" customHeight="true" outlineLevel="0" collapsed="false">
      <c r="A9" s="190"/>
      <c r="B9" s="190"/>
      <c r="C9" s="191" t="s">
        <v>1336</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91.75" hidden="false" customHeight="false" outlineLevel="0" collapsed="false">
      <c r="A10" s="192" t="str">
        <f aca="false">IF($F10="","",$C$2&amp;"."&amp;COUNTA($F$7:$F10)&amp;"")</f>
        <v>TC_08.2</v>
      </c>
      <c r="B10" s="192" t="s">
        <v>630</v>
      </c>
      <c r="C10" s="192" t="s">
        <v>617</v>
      </c>
      <c r="D10" s="192" t="s">
        <v>41</v>
      </c>
      <c r="E10" s="192" t="s">
        <v>156</v>
      </c>
      <c r="F10" s="13" t="s">
        <v>1337</v>
      </c>
      <c r="G10" s="13" t="s">
        <v>1338</v>
      </c>
      <c r="H10" s="13" t="s">
        <v>1339</v>
      </c>
      <c r="I10" s="13" t="s">
        <v>1340</v>
      </c>
      <c r="J10" s="192" t="s">
        <v>745</v>
      </c>
      <c r="K10" s="192" t="s">
        <v>243</v>
      </c>
      <c r="L10" s="192" t="s">
        <v>746</v>
      </c>
      <c r="M10" s="192"/>
      <c r="N10" s="193"/>
      <c r="O10" s="193"/>
      <c r="P10" s="193"/>
      <c r="Q10" s="193" t="s">
        <v>102</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1341</v>
      </c>
    </row>
    <row r="11" customFormat="false" ht="15" hidden="false" customHeight="false" outlineLevel="0" collapsed="false">
      <c r="A11" s="190"/>
      <c r="B11" s="190"/>
      <c r="C11" s="191" t="s">
        <v>1342</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247.75" hidden="false" customHeight="false" outlineLevel="0" collapsed="false">
      <c r="A12" s="192" t="str">
        <f aca="false">IF($F12="","",$C$2&amp;"."&amp;COUNTA($F$7:$F12)&amp;"")</f>
        <v>TC_08.3</v>
      </c>
      <c r="B12" s="192" t="s">
        <v>633</v>
      </c>
      <c r="C12" s="192" t="s">
        <v>617</v>
      </c>
      <c r="D12" s="192" t="s">
        <v>41</v>
      </c>
      <c r="E12" s="192" t="s">
        <v>157</v>
      </c>
      <c r="F12" s="13" t="s">
        <v>1343</v>
      </c>
      <c r="G12" s="13" t="s">
        <v>1344</v>
      </c>
      <c r="H12" s="13" t="s">
        <v>1345</v>
      </c>
      <c r="I12" s="13" t="s">
        <v>1346</v>
      </c>
      <c r="J12" s="192" t="s">
        <v>745</v>
      </c>
      <c r="K12" s="192" t="s">
        <v>243</v>
      </c>
      <c r="L12" s="192" t="s">
        <v>746</v>
      </c>
      <c r="M12" s="192"/>
      <c r="N12" s="193"/>
      <c r="O12" s="193"/>
      <c r="P12" s="193"/>
      <c r="Q12" s="193" t="s">
        <v>102</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No</v>
      </c>
      <c r="AS12" s="194" t="str">
        <f aca="false">IF($A12="","",IFERROR(IF($AM12&lt;&gt;"",$AM12,IF($AG12&lt;&gt;"",$AG12,IF($AA12&lt;&gt;"",$AA12,IF($U12&lt;&gt;"",$U12,IF($O12&lt;&gt;"",$O12,""))))),""))</f>
        <v/>
      </c>
      <c r="AT12" s="194" t="str">
        <f aca="false">IFERROR(IF($AN12&lt;&gt;"",$AN12,IF($AH12&lt;&gt;"",$AH12,IF($AB12&lt;&gt;"",$AB12,IF($V12&lt;&gt;"",$V12,IF($P12&lt;&gt;"",$P12,""))))),"")</f>
        <v/>
      </c>
      <c r="AU12" s="195" t="s">
        <v>1347</v>
      </c>
    </row>
    <row r="13" customFormat="false" ht="15" hidden="false" customHeight="false" outlineLevel="0" collapsed="false">
      <c r="A13" s="190"/>
      <c r="B13" s="190"/>
      <c r="C13" s="191" t="s">
        <v>1348</v>
      </c>
      <c r="D13" s="191"/>
      <c r="E13" s="191"/>
      <c r="F13" s="191"/>
      <c r="G13" s="191"/>
      <c r="H13" s="191"/>
      <c r="I13" s="191"/>
      <c r="J13" s="191"/>
      <c r="K13" s="191"/>
      <c r="L13" s="191"/>
      <c r="M13" s="191"/>
      <c r="N13" s="191"/>
      <c r="O13" s="191"/>
      <c r="P13" s="191"/>
      <c r="Q13" s="191"/>
      <c r="R13" s="191"/>
      <c r="S13" s="191"/>
      <c r="T13" s="191"/>
      <c r="U13" s="191"/>
      <c r="V13" s="191"/>
      <c r="W13" s="191"/>
      <c r="X13" s="191"/>
      <c r="Y13" s="191"/>
      <c r="Z13" s="191"/>
      <c r="AA13" s="191"/>
      <c r="AB13" s="191"/>
      <c r="AC13" s="191"/>
      <c r="AD13" s="191"/>
      <c r="AE13" s="191"/>
      <c r="AF13" s="191"/>
      <c r="AG13" s="191"/>
      <c r="AH13" s="191"/>
      <c r="AI13" s="191"/>
      <c r="AJ13" s="191"/>
      <c r="AK13" s="191"/>
      <c r="AL13" s="191"/>
      <c r="AM13" s="191"/>
      <c r="AN13" s="191"/>
      <c r="AO13" s="191"/>
      <c r="AP13" s="191"/>
      <c r="AQ13" s="191"/>
      <c r="AR13" s="191"/>
      <c r="AS13" s="191"/>
      <c r="AT13" s="191"/>
      <c r="AU13" s="191"/>
    </row>
    <row r="14" customFormat="false" ht="158.2" hidden="false" customHeight="false" outlineLevel="0" collapsed="false">
      <c r="A14" s="192" t="str">
        <f aca="false">IF($F14="","",$C$2&amp;"."&amp;COUNTA($F$7:$F14)&amp;"")</f>
        <v>TC_08.4</v>
      </c>
      <c r="B14" s="192" t="s">
        <v>636</v>
      </c>
      <c r="C14" s="192" t="s">
        <v>617</v>
      </c>
      <c r="D14" s="192" t="s">
        <v>41</v>
      </c>
      <c r="E14" s="192" t="s">
        <v>157</v>
      </c>
      <c r="F14" s="13" t="s">
        <v>1349</v>
      </c>
      <c r="G14" s="13" t="s">
        <v>1350</v>
      </c>
      <c r="H14" s="13" t="s">
        <v>1351</v>
      </c>
      <c r="I14" s="13" t="s">
        <v>1352</v>
      </c>
      <c r="J14" s="192" t="s">
        <v>745</v>
      </c>
      <c r="K14" s="192" t="s">
        <v>243</v>
      </c>
      <c r="L14" s="192" t="s">
        <v>746</v>
      </c>
      <c r="M14" s="192"/>
      <c r="N14" s="193"/>
      <c r="O14" s="193"/>
      <c r="P14" s="193"/>
      <c r="Q14" s="193" t="s">
        <v>102</v>
      </c>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No</v>
      </c>
      <c r="AS14" s="194" t="str">
        <f aca="false">IF($A14="","",IFERROR(IF($AM14&lt;&gt;"",$AM14,IF($AG14&lt;&gt;"",$AG14,IF($AA14&lt;&gt;"",$AA14,IF($U14&lt;&gt;"",$U14,IF($O14&lt;&gt;"",$O14,""))))),""))</f>
        <v/>
      </c>
      <c r="AT14" s="194" t="str">
        <f aca="false">IFERROR(IF($AN14&lt;&gt;"",$AN14,IF($AH14&lt;&gt;"",$AH14,IF($AB14&lt;&gt;"",$AB14,IF($V14&lt;&gt;"",$V14,IF($P14&lt;&gt;"",$P14,""))))),"")</f>
        <v/>
      </c>
      <c r="AU14" s="195" t="s">
        <v>1353</v>
      </c>
    </row>
    <row r="15" customFormat="false" ht="147" hidden="false" customHeight="false" outlineLevel="0" collapsed="false">
      <c r="A15" s="192" t="str">
        <f aca="false">IF($F15="","",$C$2&amp;"."&amp;COUNTA($F$7:$F15)&amp;"")</f>
        <v>TC_08.5</v>
      </c>
      <c r="B15" s="192" t="s">
        <v>636</v>
      </c>
      <c r="C15" s="192" t="s">
        <v>617</v>
      </c>
      <c r="D15" s="192" t="s">
        <v>41</v>
      </c>
      <c r="E15" s="192" t="s">
        <v>157</v>
      </c>
      <c r="F15" s="13" t="s">
        <v>1354</v>
      </c>
      <c r="G15" s="13" t="s">
        <v>1355</v>
      </c>
      <c r="H15" s="13" t="s">
        <v>1351</v>
      </c>
      <c r="I15" s="13" t="s">
        <v>1356</v>
      </c>
      <c r="J15" s="192" t="s">
        <v>745</v>
      </c>
      <c r="K15" s="192" t="s">
        <v>243</v>
      </c>
      <c r="L15" s="192" t="s">
        <v>746</v>
      </c>
      <c r="M15" s="192"/>
      <c r="N15" s="193"/>
      <c r="O15" s="193"/>
      <c r="P15" s="193"/>
      <c r="Q15" s="193" t="s">
        <v>102</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1357</v>
      </c>
    </row>
    <row r="16" customFormat="false" ht="147" hidden="false" customHeight="false" outlineLevel="0" collapsed="false">
      <c r="A16" s="192" t="str">
        <f aca="false">IF($F16="","",$C$2&amp;"."&amp;COUNTA($F$7:$F16)&amp;"")</f>
        <v>TC_08.6</v>
      </c>
      <c r="B16" s="192" t="s">
        <v>636</v>
      </c>
      <c r="C16" s="192" t="s">
        <v>617</v>
      </c>
      <c r="D16" s="192" t="s">
        <v>41</v>
      </c>
      <c r="E16" s="192" t="s">
        <v>157</v>
      </c>
      <c r="F16" s="13" t="s">
        <v>1358</v>
      </c>
      <c r="G16" s="13" t="s">
        <v>1359</v>
      </c>
      <c r="H16" s="13" t="s">
        <v>1360</v>
      </c>
      <c r="I16" s="13" t="s">
        <v>1361</v>
      </c>
      <c r="J16" s="192" t="s">
        <v>745</v>
      </c>
      <c r="K16" s="192" t="s">
        <v>243</v>
      </c>
      <c r="L16" s="192" t="s">
        <v>746</v>
      </c>
      <c r="M16" s="192"/>
      <c r="N16" s="193"/>
      <c r="O16" s="193"/>
      <c r="P16" s="193"/>
      <c r="Q16" s="193" t="s">
        <v>102</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1362</v>
      </c>
    </row>
    <row r="17" customFormat="false" ht="158.2" hidden="false" customHeight="false" outlineLevel="0" collapsed="false">
      <c r="A17" s="192" t="str">
        <f aca="false">IF($F17="","",$C$2&amp;"."&amp;COUNTA($F$7:$F17)&amp;"")</f>
        <v>TC_08.7</v>
      </c>
      <c r="B17" s="192" t="s">
        <v>636</v>
      </c>
      <c r="C17" s="192" t="s">
        <v>617</v>
      </c>
      <c r="D17" s="192" t="s">
        <v>41</v>
      </c>
      <c r="E17" s="192" t="s">
        <v>157</v>
      </c>
      <c r="F17" s="13" t="s">
        <v>1363</v>
      </c>
      <c r="G17" s="13" t="s">
        <v>1364</v>
      </c>
      <c r="H17" s="13" t="s">
        <v>1351</v>
      </c>
      <c r="I17" s="13" t="s">
        <v>1365</v>
      </c>
      <c r="J17" s="192" t="s">
        <v>745</v>
      </c>
      <c r="K17" s="192" t="s">
        <v>243</v>
      </c>
      <c r="L17" s="192" t="s">
        <v>746</v>
      </c>
      <c r="M17" s="192"/>
      <c r="N17" s="193"/>
      <c r="O17" s="193"/>
      <c r="P17" s="193"/>
      <c r="Q17" s="193" t="s">
        <v>102</v>
      </c>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No</v>
      </c>
      <c r="AS17" s="194" t="str">
        <f aca="false">IF($A17="","",IFERROR(IF($AM17&lt;&gt;"",$AM17,IF($AG17&lt;&gt;"",$AG17,IF($AA17&lt;&gt;"",$AA17,IF($U17&lt;&gt;"",$U17,IF($O17&lt;&gt;"",$O17,""))))),""))</f>
        <v/>
      </c>
      <c r="AT17" s="194" t="str">
        <f aca="false">IFERROR(IF($AN17&lt;&gt;"",$AN17,IF($AH17&lt;&gt;"",$AH17,IF($AB17&lt;&gt;"",$AB17,IF($V17&lt;&gt;"",$V17,IF($P17&lt;&gt;"",$P17,""))))),"")</f>
        <v/>
      </c>
      <c r="AU17" s="195" t="s">
        <v>1366</v>
      </c>
    </row>
    <row r="18" customFormat="false" ht="169.4" hidden="false" customHeight="false" outlineLevel="0" collapsed="false">
      <c r="A18" s="192" t="str">
        <f aca="false">IF($F18="","",$C$2&amp;"."&amp;COUNTA($F$7:$F18)&amp;"")</f>
        <v>TC_08.8</v>
      </c>
      <c r="B18" s="192" t="s">
        <v>636</v>
      </c>
      <c r="C18" s="192" t="s">
        <v>617</v>
      </c>
      <c r="D18" s="192" t="s">
        <v>41</v>
      </c>
      <c r="E18" s="192" t="s">
        <v>157</v>
      </c>
      <c r="F18" s="13" t="s">
        <v>1367</v>
      </c>
      <c r="G18" s="13" t="s">
        <v>1368</v>
      </c>
      <c r="H18" s="13" t="s">
        <v>1369</v>
      </c>
      <c r="I18" s="13" t="s">
        <v>1370</v>
      </c>
      <c r="J18" s="192" t="s">
        <v>745</v>
      </c>
      <c r="K18" s="192" t="s">
        <v>243</v>
      </c>
      <c r="L18" s="192" t="s">
        <v>746</v>
      </c>
      <c r="M18" s="192"/>
      <c r="N18" s="193"/>
      <c r="O18" s="193"/>
      <c r="P18" s="193"/>
      <c r="Q18" s="193" t="s">
        <v>102</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No</v>
      </c>
      <c r="AS18" s="194" t="str">
        <f aca="false">IF($A18="","",IFERROR(IF($AM18&lt;&gt;"",$AM18,IF($AG18&lt;&gt;"",$AG18,IF($AA18&lt;&gt;"",$AA18,IF($U18&lt;&gt;"",$U18,IF($O18&lt;&gt;"",$O18,""))))),""))</f>
        <v/>
      </c>
      <c r="AT18" s="194" t="str">
        <f aca="false">IFERROR(IF($AN18&lt;&gt;"",$AN18,IF($AH18&lt;&gt;"",$AH18,IF($AB18&lt;&gt;"",$AB18,IF($V18&lt;&gt;"",$V18,IF($P18&lt;&gt;"",$P18,""))))),"")</f>
        <v/>
      </c>
      <c r="AU18" s="195" t="s">
        <v>1371</v>
      </c>
    </row>
    <row r="19" customFormat="false" ht="102.2" hidden="false" customHeight="false" outlineLevel="0" collapsed="false">
      <c r="A19" s="192" t="str">
        <f aca="false">IF($F19="","",$C$2&amp;"."&amp;COUNTA($F$7:$F19)&amp;"")</f>
        <v>TC_08.9</v>
      </c>
      <c r="B19" s="192" t="s">
        <v>636</v>
      </c>
      <c r="C19" s="192" t="s">
        <v>617</v>
      </c>
      <c r="D19" s="192" t="s">
        <v>41</v>
      </c>
      <c r="E19" s="192" t="s">
        <v>158</v>
      </c>
      <c r="F19" s="13" t="s">
        <v>1372</v>
      </c>
      <c r="G19" s="13" t="s">
        <v>1373</v>
      </c>
      <c r="H19" s="13" t="s">
        <v>1374</v>
      </c>
      <c r="I19" s="13" t="s">
        <v>1375</v>
      </c>
      <c r="J19" s="192" t="s">
        <v>745</v>
      </c>
      <c r="K19" s="192" t="s">
        <v>243</v>
      </c>
      <c r="L19" s="192" t="s">
        <v>746</v>
      </c>
      <c r="M19" s="192"/>
      <c r="N19" s="193"/>
      <c r="O19" s="193"/>
      <c r="P19" s="193"/>
      <c r="Q19" s="193" t="s">
        <v>102</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No</v>
      </c>
      <c r="AS19" s="194" t="str">
        <f aca="false">IF($A19="","",IFERROR(IF($AM19&lt;&gt;"",$AM19,IF($AG19&lt;&gt;"",$AG19,IF($AA19&lt;&gt;"",$AA19,IF($U19&lt;&gt;"",$U19,IF($O19&lt;&gt;"",$O19,""))))),""))</f>
        <v/>
      </c>
      <c r="AT19" s="194" t="str">
        <f aca="false">IFERROR(IF($AN19&lt;&gt;"",$AN19,IF($AH19&lt;&gt;"",$AH19,IF($AB19&lt;&gt;"",$AB19,IF($V19&lt;&gt;"",$V19,IF($P19&lt;&gt;"",$P19,""))))),"")</f>
        <v/>
      </c>
      <c r="AU19" s="195" t="s">
        <v>1376</v>
      </c>
    </row>
    <row r="20" customFormat="false" ht="15" hidden="false" customHeight="false" outlineLevel="0" collapsed="false">
      <c r="A20" s="192"/>
      <c r="B20" s="192"/>
      <c r="C20" s="192"/>
      <c r="D20" s="192"/>
      <c r="E20" s="192"/>
      <c r="F20" s="192"/>
      <c r="G20" s="192"/>
      <c r="H20" s="192"/>
      <c r="I20" s="192"/>
      <c r="J20" s="192"/>
      <c r="K20" s="192"/>
      <c r="L20" s="192"/>
      <c r="M20" s="192"/>
      <c r="N20" s="192"/>
      <c r="O20" s="192"/>
      <c r="P20" s="192"/>
      <c r="Q20" s="192"/>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96"/>
      <c r="AS20" s="196"/>
      <c r="AT20" s="1"/>
      <c r="AU20" s="1"/>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3:AU13"/>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209</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210</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1377</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TC_09.1</v>
      </c>
      <c r="B8" s="192" t="s">
        <v>638</v>
      </c>
      <c r="C8" s="192" t="s">
        <v>617</v>
      </c>
      <c r="D8" s="192" t="s">
        <v>43</v>
      </c>
      <c r="E8" s="192" t="s">
        <v>157</v>
      </c>
      <c r="F8" s="13" t="s">
        <v>1378</v>
      </c>
      <c r="G8" s="13" t="s">
        <v>1379</v>
      </c>
      <c r="H8" s="13" t="s">
        <v>1380</v>
      </c>
      <c r="I8" s="13" t="s">
        <v>1381</v>
      </c>
      <c r="J8" s="192" t="s">
        <v>745</v>
      </c>
      <c r="K8" s="192" t="s">
        <v>243</v>
      </c>
      <c r="L8" s="192" t="s">
        <v>746</v>
      </c>
      <c r="M8" s="192"/>
      <c r="N8" s="193" t="s">
        <v>747</v>
      </c>
      <c r="O8" s="193"/>
      <c r="P8" s="193" t="s">
        <v>23</v>
      </c>
      <c r="Q8" s="193" t="s">
        <v>102</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1382</v>
      </c>
    </row>
    <row r="9" customFormat="false" ht="60" hidden="false" customHeight="true" outlineLevel="0" collapsed="false">
      <c r="A9" s="190"/>
      <c r="B9" s="190"/>
      <c r="C9" s="191" t="s">
        <v>1383</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24.6" hidden="false" customHeight="false" outlineLevel="0" collapsed="false">
      <c r="A10" s="192" t="str">
        <f aca="false">IF($F10="","",$C$2&amp;"."&amp;COUNTA($F$7:$F10)&amp;"")</f>
        <v>TC_09.2</v>
      </c>
      <c r="B10" s="192" t="s">
        <v>641</v>
      </c>
      <c r="C10" s="192" t="s">
        <v>617</v>
      </c>
      <c r="D10" s="192" t="s">
        <v>41</v>
      </c>
      <c r="E10" s="192" t="s">
        <v>157</v>
      </c>
      <c r="F10" s="13" t="s">
        <v>1384</v>
      </c>
      <c r="G10" s="13" t="s">
        <v>1385</v>
      </c>
      <c r="H10" s="13" t="s">
        <v>1386</v>
      </c>
      <c r="I10" s="13" t="s">
        <v>1387</v>
      </c>
      <c r="J10" s="192" t="s">
        <v>745</v>
      </c>
      <c r="K10" s="192" t="s">
        <v>243</v>
      </c>
      <c r="L10" s="192" t="s">
        <v>746</v>
      </c>
      <c r="M10" s="192"/>
      <c r="N10" s="193" t="s">
        <v>747</v>
      </c>
      <c r="O10" s="193"/>
      <c r="P10" s="193" t="s">
        <v>23</v>
      </c>
      <c r="Q10" s="193" t="s">
        <v>102</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Pass</v>
      </c>
      <c r="AU10" s="195" t="s">
        <v>1388</v>
      </c>
    </row>
    <row r="11" customFormat="false" ht="191.75" hidden="false" customHeight="false" outlineLevel="0" collapsed="false">
      <c r="A11" s="192" t="str">
        <f aca="false">IF($F11="","",$C$2&amp;"."&amp;COUNTA($F$7:$F11)&amp;"")</f>
        <v>TC_09.3</v>
      </c>
      <c r="B11" s="192" t="s">
        <v>641</v>
      </c>
      <c r="C11" s="192" t="s">
        <v>617</v>
      </c>
      <c r="D11" s="192" t="s">
        <v>43</v>
      </c>
      <c r="E11" s="192" t="s">
        <v>157</v>
      </c>
      <c r="F11" s="13" t="s">
        <v>1389</v>
      </c>
      <c r="G11" s="13" t="s">
        <v>1390</v>
      </c>
      <c r="H11" s="13" t="s">
        <v>1391</v>
      </c>
      <c r="I11" s="13" t="s">
        <v>1392</v>
      </c>
      <c r="J11" s="192" t="s">
        <v>745</v>
      </c>
      <c r="K11" s="192" t="s">
        <v>243</v>
      </c>
      <c r="L11" s="192" t="s">
        <v>746</v>
      </c>
      <c r="M11" s="192"/>
      <c r="N11" s="193" t="s">
        <v>747</v>
      </c>
      <c r="O11" s="193"/>
      <c r="P11" s="193" t="s">
        <v>23</v>
      </c>
      <c r="Q11" s="193" t="s">
        <v>102</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1393</v>
      </c>
    </row>
    <row r="12" customFormat="false" ht="191.75" hidden="false" customHeight="false" outlineLevel="0" collapsed="false">
      <c r="A12" s="192" t="str">
        <f aca="false">IF($F12="","",$C$2&amp;"."&amp;COUNTA($F$7:$F12)&amp;"")</f>
        <v>TC_09.4</v>
      </c>
      <c r="B12" s="192" t="s">
        <v>641</v>
      </c>
      <c r="C12" s="192" t="s">
        <v>995</v>
      </c>
      <c r="D12" s="192" t="s">
        <v>41</v>
      </c>
      <c r="E12" s="192" t="s">
        <v>156</v>
      </c>
      <c r="F12" s="13" t="s">
        <v>1394</v>
      </c>
      <c r="G12" s="13" t="s">
        <v>1395</v>
      </c>
      <c r="H12" s="13" t="s">
        <v>1396</v>
      </c>
      <c r="I12" s="13" t="s">
        <v>1397</v>
      </c>
      <c r="J12" s="192" t="s">
        <v>745</v>
      </c>
      <c r="K12" s="192" t="s">
        <v>243</v>
      </c>
      <c r="L12" s="192" t="s">
        <v>746</v>
      </c>
      <c r="M12" s="192"/>
      <c r="N12" s="193" t="s">
        <v>747</v>
      </c>
      <c r="O12" s="193"/>
      <c r="P12" s="193" t="s">
        <v>25</v>
      </c>
      <c r="Q12" s="193" t="s">
        <v>102</v>
      </c>
      <c r="R12" s="193" t="s">
        <v>421</v>
      </c>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Fail</v>
      </c>
      <c r="AU12" s="195" t="s">
        <v>1398</v>
      </c>
    </row>
    <row r="13" customFormat="false" ht="135.8" hidden="false" customHeight="false" outlineLevel="0" collapsed="false">
      <c r="A13" s="192" t="str">
        <f aca="false">IF($F13="","",$C$2&amp;"."&amp;COUNTA($F$7:$F13)&amp;"")</f>
        <v>TC_09.5</v>
      </c>
      <c r="B13" s="192" t="s">
        <v>641</v>
      </c>
      <c r="C13" s="192" t="s">
        <v>617</v>
      </c>
      <c r="D13" s="192" t="s">
        <v>41</v>
      </c>
      <c r="E13" s="192" t="s">
        <v>157</v>
      </c>
      <c r="F13" s="13" t="s">
        <v>1399</v>
      </c>
      <c r="G13" s="13" t="s">
        <v>1400</v>
      </c>
      <c r="H13" s="13" t="s">
        <v>1401</v>
      </c>
      <c r="I13" s="13" t="s">
        <v>1402</v>
      </c>
      <c r="J13" s="192" t="s">
        <v>745</v>
      </c>
      <c r="K13" s="192" t="s">
        <v>243</v>
      </c>
      <c r="L13" s="192" t="s">
        <v>746</v>
      </c>
      <c r="M13" s="192"/>
      <c r="N13" s="193" t="s">
        <v>747</v>
      </c>
      <c r="O13" s="193"/>
      <c r="P13" s="193" t="s">
        <v>23</v>
      </c>
      <c r="Q13" s="193" t="s">
        <v>102</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1403</v>
      </c>
    </row>
    <row r="14" customFormat="false" ht="124.6" hidden="false" customHeight="false" outlineLevel="0" collapsed="false">
      <c r="A14" s="192" t="str">
        <f aca="false">IF($F14="","",$C$2&amp;"."&amp;COUNTA($F$7:$F14)&amp;"")</f>
        <v>TC_09.6</v>
      </c>
      <c r="B14" s="192" t="s">
        <v>641</v>
      </c>
      <c r="C14" s="192" t="s">
        <v>617</v>
      </c>
      <c r="D14" s="192" t="s">
        <v>41</v>
      </c>
      <c r="E14" s="192" t="s">
        <v>157</v>
      </c>
      <c r="F14" s="13" t="s">
        <v>1404</v>
      </c>
      <c r="G14" s="13" t="s">
        <v>1405</v>
      </c>
      <c r="H14" s="13" t="s">
        <v>1406</v>
      </c>
      <c r="I14" s="13" t="s">
        <v>1407</v>
      </c>
      <c r="J14" s="192" t="s">
        <v>745</v>
      </c>
      <c r="K14" s="192" t="s">
        <v>243</v>
      </c>
      <c r="L14" s="192" t="s">
        <v>746</v>
      </c>
      <c r="M14" s="192"/>
      <c r="N14" s="193" t="s">
        <v>747</v>
      </c>
      <c r="O14" s="193"/>
      <c r="P14" s="193" t="s">
        <v>27</v>
      </c>
      <c r="Q14" s="193" t="s">
        <v>102</v>
      </c>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Block</v>
      </c>
      <c r="AU14" s="195" t="s">
        <v>1408</v>
      </c>
    </row>
    <row r="15" customFormat="false" ht="359.7" hidden="false" customHeight="false" outlineLevel="0" collapsed="false">
      <c r="A15" s="192" t="str">
        <f aca="false">IF($F15="","",$C$2&amp;"."&amp;COUNTA($F$7:$F15)&amp;"")</f>
        <v>TC_09.7</v>
      </c>
      <c r="B15" s="192" t="s">
        <v>641</v>
      </c>
      <c r="C15" s="192" t="s">
        <v>617</v>
      </c>
      <c r="D15" s="192" t="s">
        <v>41</v>
      </c>
      <c r="E15" s="192" t="s">
        <v>157</v>
      </c>
      <c r="F15" s="13" t="s">
        <v>1409</v>
      </c>
      <c r="G15" s="13" t="s">
        <v>1410</v>
      </c>
      <c r="H15" s="13" t="s">
        <v>1411</v>
      </c>
      <c r="I15" s="13" t="s">
        <v>1412</v>
      </c>
      <c r="J15" s="192" t="s">
        <v>745</v>
      </c>
      <c r="K15" s="192" t="s">
        <v>243</v>
      </c>
      <c r="L15" s="192" t="s">
        <v>746</v>
      </c>
      <c r="M15" s="192"/>
      <c r="N15" s="193" t="s">
        <v>747</v>
      </c>
      <c r="O15" s="193"/>
      <c r="P15" s="193" t="s">
        <v>23</v>
      </c>
      <c r="Q15" s="193" t="s">
        <v>102</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1413</v>
      </c>
    </row>
    <row r="16" customFormat="false" ht="113.4" hidden="false" customHeight="false" outlineLevel="0" collapsed="false">
      <c r="A16" s="192" t="str">
        <f aca="false">IF($F16="","",$C$2&amp;"."&amp;COUNTA($F$7:$F16)&amp;"")</f>
        <v>TC_09.8</v>
      </c>
      <c r="B16" s="192" t="s">
        <v>641</v>
      </c>
      <c r="C16" s="192" t="s">
        <v>617</v>
      </c>
      <c r="D16" s="192" t="s">
        <v>41</v>
      </c>
      <c r="E16" s="192" t="s">
        <v>157</v>
      </c>
      <c r="F16" s="13" t="s">
        <v>1414</v>
      </c>
      <c r="G16" s="13" t="s">
        <v>1415</v>
      </c>
      <c r="H16" s="13" t="s">
        <v>1416</v>
      </c>
      <c r="I16" s="13" t="s">
        <v>1417</v>
      </c>
      <c r="J16" s="192" t="s">
        <v>745</v>
      </c>
      <c r="K16" s="192" t="s">
        <v>243</v>
      </c>
      <c r="L16" s="192" t="s">
        <v>746</v>
      </c>
      <c r="M16" s="192"/>
      <c r="N16" s="193" t="s">
        <v>747</v>
      </c>
      <c r="O16" s="193"/>
      <c r="P16" s="193" t="s">
        <v>23</v>
      </c>
      <c r="Q16" s="193" t="s">
        <v>102</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1418</v>
      </c>
    </row>
    <row r="17" customFormat="false" ht="15" hidden="false" customHeight="false" outlineLevel="0" collapsed="false">
      <c r="A17" s="190"/>
      <c r="B17" s="190"/>
      <c r="C17" s="191" t="s">
        <v>1419</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35.8" hidden="false" customHeight="false" outlineLevel="0" collapsed="false">
      <c r="A18" s="192" t="str">
        <f aca="false">IF($F18="","",$C$2&amp;"."&amp;COUNTA($F$7:$F18)&amp;"")</f>
        <v>TC_09.9</v>
      </c>
      <c r="B18" s="192" t="s">
        <v>1420</v>
      </c>
      <c r="C18" s="192" t="s">
        <v>617</v>
      </c>
      <c r="D18" s="192" t="s">
        <v>41</v>
      </c>
      <c r="E18" s="192" t="s">
        <v>157</v>
      </c>
      <c r="F18" s="13" t="s">
        <v>1421</v>
      </c>
      <c r="G18" s="13" t="s">
        <v>1422</v>
      </c>
      <c r="H18" s="13" t="s">
        <v>1423</v>
      </c>
      <c r="I18" s="13" t="s">
        <v>1424</v>
      </c>
      <c r="J18" s="192" t="s">
        <v>745</v>
      </c>
      <c r="K18" s="192" t="s">
        <v>243</v>
      </c>
      <c r="L18" s="192" t="s">
        <v>746</v>
      </c>
      <c r="M18" s="192"/>
      <c r="N18" s="193" t="s">
        <v>747</v>
      </c>
      <c r="O18" s="193"/>
      <c r="P18" s="193" t="s">
        <v>23</v>
      </c>
      <c r="Q18" s="193" t="s">
        <v>102</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1425</v>
      </c>
    </row>
    <row r="19" customFormat="false" ht="15" hidden="false" customHeight="false" outlineLevel="0" collapsed="false">
      <c r="A19" s="190"/>
      <c r="B19" s="190"/>
      <c r="C19" s="191" t="s">
        <v>1426</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91" hidden="false" customHeight="false" outlineLevel="0" collapsed="false">
      <c r="A20" s="192" t="str">
        <f aca="false">IF($F20="","",$C$2&amp;"."&amp;COUNTA($F$7:$F20)&amp;"")</f>
        <v>TC_09.10</v>
      </c>
      <c r="B20" s="192" t="s">
        <v>647</v>
      </c>
      <c r="C20" s="192" t="s">
        <v>617</v>
      </c>
      <c r="D20" s="192" t="s">
        <v>43</v>
      </c>
      <c r="E20" s="192" t="s">
        <v>158</v>
      </c>
      <c r="F20" s="13" t="s">
        <v>1427</v>
      </c>
      <c r="G20" s="13" t="s">
        <v>1428</v>
      </c>
      <c r="H20" s="13" t="s">
        <v>1429</v>
      </c>
      <c r="I20" s="13" t="s">
        <v>1430</v>
      </c>
      <c r="J20" s="192" t="s">
        <v>745</v>
      </c>
      <c r="K20" s="192" t="s">
        <v>243</v>
      </c>
      <c r="L20" s="192" t="s">
        <v>746</v>
      </c>
      <c r="M20" s="192"/>
      <c r="N20" s="193" t="s">
        <v>747</v>
      </c>
      <c r="O20" s="193"/>
      <c r="P20" s="193" t="s">
        <v>23</v>
      </c>
      <c r="Q20" s="193" t="s">
        <v>102</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1431</v>
      </c>
    </row>
    <row r="21" customFormat="false" ht="15.75" hidden="false" customHeight="true" outlineLevel="0" collapsed="false">
      <c r="A21" s="192" t="str">
        <f aca="false">IF($F21="","",$C$2&amp;"."&amp;COUNTA($F$7:$F21)&amp;"")</f>
        <v>TC_09.11</v>
      </c>
      <c r="B21" s="192" t="s">
        <v>647</v>
      </c>
      <c r="C21" s="192" t="s">
        <v>617</v>
      </c>
      <c r="D21" s="192" t="s">
        <v>43</v>
      </c>
      <c r="E21" s="192" t="s">
        <v>158</v>
      </c>
      <c r="F21" s="13" t="s">
        <v>1432</v>
      </c>
      <c r="G21" s="13" t="s">
        <v>1433</v>
      </c>
      <c r="H21" s="13" t="s">
        <v>1434</v>
      </c>
      <c r="I21" s="13" t="s">
        <v>1435</v>
      </c>
      <c r="J21" s="192" t="s">
        <v>745</v>
      </c>
      <c r="K21" s="192" t="s">
        <v>243</v>
      </c>
      <c r="L21" s="192" t="s">
        <v>746</v>
      </c>
      <c r="M21" s="192"/>
      <c r="N21" s="193" t="s">
        <v>747</v>
      </c>
      <c r="O21" s="193"/>
      <c r="P21" s="193" t="s">
        <v>23</v>
      </c>
      <c r="Q21" s="193" t="s">
        <v>102</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1436</v>
      </c>
    </row>
    <row r="22" customFormat="false" ht="15.75" hidden="false" customHeight="true" outlineLevel="0" collapsed="false">
      <c r="A22" s="190"/>
      <c r="B22" s="190"/>
      <c r="C22" s="191" t="s">
        <v>1437</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TC_09.12</v>
      </c>
      <c r="B23" s="192" t="s">
        <v>650</v>
      </c>
      <c r="C23" s="192" t="s">
        <v>617</v>
      </c>
      <c r="D23" s="192" t="s">
        <v>41</v>
      </c>
      <c r="E23" s="192" t="s">
        <v>157</v>
      </c>
      <c r="F23" s="13" t="s">
        <v>1438</v>
      </c>
      <c r="G23" s="13" t="s">
        <v>1439</v>
      </c>
      <c r="H23" s="13" t="s">
        <v>1440</v>
      </c>
      <c r="I23" s="13" t="s">
        <v>1441</v>
      </c>
      <c r="J23" s="192" t="s">
        <v>745</v>
      </c>
      <c r="K23" s="192" t="s">
        <v>243</v>
      </c>
      <c r="L23" s="192" t="s">
        <v>746</v>
      </c>
      <c r="M23" s="192"/>
      <c r="N23" s="193" t="s">
        <v>747</v>
      </c>
      <c r="O23" s="193"/>
      <c r="P23" s="193" t="s">
        <v>23</v>
      </c>
      <c r="Q23" s="193" t="s">
        <v>102</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1442</v>
      </c>
    </row>
    <row r="24" customFormat="false" ht="15.75" hidden="false" customHeight="true" outlineLevel="0" collapsed="false">
      <c r="A24" s="192" t="str">
        <f aca="false">IF($F24="","",$C$2&amp;"."&amp;COUNTA($F$7:$F24)&amp;"")</f>
        <v>TC_09.13</v>
      </c>
      <c r="B24" s="192" t="s">
        <v>650</v>
      </c>
      <c r="C24" s="192" t="s">
        <v>617</v>
      </c>
      <c r="D24" s="192" t="s">
        <v>41</v>
      </c>
      <c r="E24" s="192" t="s">
        <v>157</v>
      </c>
      <c r="F24" s="13" t="s">
        <v>1443</v>
      </c>
      <c r="G24" s="13" t="s">
        <v>1444</v>
      </c>
      <c r="H24" s="13" t="s">
        <v>1445</v>
      </c>
      <c r="I24" s="13" t="s">
        <v>1446</v>
      </c>
      <c r="J24" s="192" t="s">
        <v>745</v>
      </c>
      <c r="K24" s="192" t="s">
        <v>243</v>
      </c>
      <c r="L24" s="192" t="s">
        <v>746</v>
      </c>
      <c r="M24" s="192"/>
      <c r="N24" s="193" t="s">
        <v>747</v>
      </c>
      <c r="O24" s="193"/>
      <c r="P24" s="193" t="s">
        <v>23</v>
      </c>
      <c r="Q24" s="193" t="s">
        <v>102</v>
      </c>
      <c r="R24" s="193"/>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Yes</v>
      </c>
      <c r="AS24" s="194" t="str">
        <f aca="false">IF($A24="","",IFERROR(IF($AM24&lt;&gt;"",$AM24,IF($AG24&lt;&gt;"",$AG24,IF($AA24&lt;&gt;"",$AA24,IF($U24&lt;&gt;"",$U24,IF($O24&lt;&gt;"",$O24,""))))),""))</f>
        <v/>
      </c>
      <c r="AT24" s="194" t="str">
        <f aca="false">IFERROR(IF($AN24&lt;&gt;"",$AN24,IF($AH24&lt;&gt;"",$AH24,IF($AB24&lt;&gt;"",$AB24,IF($V24&lt;&gt;"",$V24,IF($P24&lt;&gt;"",$P24,""))))),"")</f>
        <v>Pass</v>
      </c>
      <c r="AU24" s="195" t="s">
        <v>1447</v>
      </c>
    </row>
    <row r="25" customFormat="false" ht="15.75" hidden="false" customHeight="true" outlineLevel="0" collapsed="false">
      <c r="A25" s="192" t="str">
        <f aca="false">IF($F25="","",$C$2&amp;"."&amp;COUNTA($F$7:$F25)&amp;"")</f>
        <v>TC_09.14</v>
      </c>
      <c r="B25" s="192" t="s">
        <v>650</v>
      </c>
      <c r="C25" s="192" t="s">
        <v>617</v>
      </c>
      <c r="D25" s="192" t="s">
        <v>41</v>
      </c>
      <c r="E25" s="192" t="s">
        <v>157</v>
      </c>
      <c r="F25" s="13" t="s">
        <v>1448</v>
      </c>
      <c r="G25" s="13" t="s">
        <v>1449</v>
      </c>
      <c r="H25" s="13" t="s">
        <v>1450</v>
      </c>
      <c r="I25" s="13" t="s">
        <v>1451</v>
      </c>
      <c r="J25" s="192" t="s">
        <v>745</v>
      </c>
      <c r="K25" s="192" t="s">
        <v>243</v>
      </c>
      <c r="L25" s="192" t="s">
        <v>746</v>
      </c>
      <c r="M25" s="192"/>
      <c r="N25" s="193" t="s">
        <v>747</v>
      </c>
      <c r="O25" s="193"/>
      <c r="P25" s="193" t="s">
        <v>23</v>
      </c>
      <c r="Q25" s="193" t="s">
        <v>102</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1452</v>
      </c>
    </row>
    <row r="26" customFormat="false" ht="15.75" hidden="false" customHeight="true" outlineLevel="0" collapsed="false">
      <c r="A26" s="192" t="str">
        <f aca="false">IF($F26="","",$C$2&amp;"."&amp;COUNTA($F$7:$F26)&amp;"")</f>
        <v>TC_09.15</v>
      </c>
      <c r="B26" s="192" t="s">
        <v>650</v>
      </c>
      <c r="C26" s="192" t="s">
        <v>617</v>
      </c>
      <c r="D26" s="192" t="s">
        <v>41</v>
      </c>
      <c r="E26" s="192" t="s">
        <v>157</v>
      </c>
      <c r="F26" s="13" t="s">
        <v>1453</v>
      </c>
      <c r="G26" s="13" t="s">
        <v>1454</v>
      </c>
      <c r="H26" s="13" t="s">
        <v>1455</v>
      </c>
      <c r="I26" s="13" t="s">
        <v>1456</v>
      </c>
      <c r="J26" s="192" t="s">
        <v>745</v>
      </c>
      <c r="K26" s="192" t="s">
        <v>243</v>
      </c>
      <c r="L26" s="192" t="s">
        <v>746</v>
      </c>
      <c r="M26" s="192"/>
      <c r="N26" s="193" t="s">
        <v>747</v>
      </c>
      <c r="O26" s="193"/>
      <c r="P26" s="193" t="s">
        <v>23</v>
      </c>
      <c r="Q26" s="193" t="s">
        <v>102</v>
      </c>
      <c r="R26" s="193"/>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Yes</v>
      </c>
      <c r="AS26" s="194" t="str">
        <f aca="false">IF($A26="","",IFERROR(IF($AM26&lt;&gt;"",$AM26,IF($AG26&lt;&gt;"",$AG26,IF($AA26&lt;&gt;"",$AA26,IF($U26&lt;&gt;"",$U26,IF($O26&lt;&gt;"",$O26,""))))),""))</f>
        <v/>
      </c>
      <c r="AT26" s="194" t="str">
        <f aca="false">IFERROR(IF($AN26&lt;&gt;"",$AN26,IF($AH26&lt;&gt;"",$AH26,IF($AB26&lt;&gt;"",$AB26,IF($V26&lt;&gt;"",$V26,IF($P26&lt;&gt;"",$P26,""))))),"")</f>
        <v>Pass</v>
      </c>
      <c r="AU26" s="195" t="s">
        <v>1457</v>
      </c>
    </row>
    <row r="27" customFormat="false" ht="15.75" hidden="false" customHeight="true" outlineLevel="0" collapsed="false">
      <c r="A27" s="190"/>
      <c r="B27" s="190"/>
      <c r="C27" s="191" t="s">
        <v>1458</v>
      </c>
      <c r="D27" s="191"/>
      <c r="E27" s="191"/>
      <c r="F27" s="191"/>
      <c r="G27" s="191"/>
      <c r="H27" s="191"/>
      <c r="I27" s="191"/>
      <c r="J27" s="191"/>
      <c r="K27" s="191"/>
      <c r="L27" s="191"/>
      <c r="M27" s="191"/>
      <c r="N27" s="191"/>
      <c r="O27" s="191"/>
      <c r="P27" s="191"/>
      <c r="Q27" s="191"/>
      <c r="R27" s="191"/>
      <c r="S27" s="191"/>
      <c r="T27" s="191"/>
      <c r="U27" s="191"/>
      <c r="V27" s="191"/>
      <c r="W27" s="191"/>
      <c r="X27" s="191"/>
      <c r="Y27" s="191"/>
      <c r="Z27" s="191"/>
      <c r="AA27" s="191"/>
      <c r="AB27" s="191"/>
      <c r="AC27" s="191"/>
      <c r="AD27" s="191"/>
      <c r="AE27" s="191"/>
      <c r="AF27" s="191"/>
      <c r="AG27" s="191"/>
      <c r="AH27" s="191"/>
      <c r="AI27" s="191"/>
      <c r="AJ27" s="191"/>
      <c r="AK27" s="191"/>
      <c r="AL27" s="191"/>
      <c r="AM27" s="191"/>
      <c r="AN27" s="191"/>
      <c r="AO27" s="191"/>
      <c r="AP27" s="191"/>
      <c r="AQ27" s="191"/>
      <c r="AR27" s="191"/>
      <c r="AS27" s="191"/>
      <c r="AT27" s="191"/>
      <c r="AU27" s="191"/>
    </row>
    <row r="28" customFormat="false" ht="15.75" hidden="false" customHeight="true" outlineLevel="0" collapsed="false">
      <c r="A28" s="192" t="str">
        <f aca="false">IF($F28="","",$C$2&amp;"."&amp;COUNTA($F$7:$F28)&amp;"")</f>
        <v>TC_09.16</v>
      </c>
      <c r="B28" s="192" t="s">
        <v>653</v>
      </c>
      <c r="C28" s="192" t="s">
        <v>617</v>
      </c>
      <c r="D28" s="192" t="s">
        <v>41</v>
      </c>
      <c r="E28" s="192" t="s">
        <v>157</v>
      </c>
      <c r="F28" s="13" t="s">
        <v>1459</v>
      </c>
      <c r="G28" s="13" t="s">
        <v>1460</v>
      </c>
      <c r="H28" s="13" t="s">
        <v>1461</v>
      </c>
      <c r="I28" s="13" t="s">
        <v>1462</v>
      </c>
      <c r="J28" s="192" t="s">
        <v>745</v>
      </c>
      <c r="K28" s="192" t="s">
        <v>243</v>
      </c>
      <c r="L28" s="192" t="s">
        <v>746</v>
      </c>
      <c r="M28" s="192"/>
      <c r="N28" s="193" t="s">
        <v>747</v>
      </c>
      <c r="O28" s="193"/>
      <c r="P28" s="193" t="s">
        <v>23</v>
      </c>
      <c r="Q28" s="193" t="s">
        <v>102</v>
      </c>
      <c r="R28" s="193"/>
      <c r="S28" s="193"/>
      <c r="T28" s="193"/>
      <c r="U28" s="193"/>
      <c r="V28" s="193"/>
      <c r="W28" s="193"/>
      <c r="X28" s="193"/>
      <c r="Y28" s="193"/>
      <c r="Z28" s="193"/>
      <c r="AA28" s="193"/>
      <c r="AB28" s="193"/>
      <c r="AC28" s="193"/>
      <c r="AD28" s="193"/>
      <c r="AE28" s="193"/>
      <c r="AF28" s="193"/>
      <c r="AG28" s="193"/>
      <c r="AH28" s="193"/>
      <c r="AI28" s="193"/>
      <c r="AJ28" s="193"/>
      <c r="AK28" s="193"/>
      <c r="AL28" s="193"/>
      <c r="AM28" s="193"/>
      <c r="AN28" s="193"/>
      <c r="AO28" s="193"/>
      <c r="AP28" s="193"/>
      <c r="AQ28" s="193"/>
      <c r="AR28" s="194" t="str">
        <f aca="false">IF($A28="","",IF(OR($N28="Yes",$T28="Yes",$Z28="Yes",$AF28="Yes",$AL28="Yes"),"Yes","No"))</f>
        <v>Yes</v>
      </c>
      <c r="AS28" s="194" t="str">
        <f aca="false">IF($A28="","",IFERROR(IF($AM28&lt;&gt;"",$AM28,IF($AG28&lt;&gt;"",$AG28,IF($AA28&lt;&gt;"",$AA28,IF($U28&lt;&gt;"",$U28,IF($O28&lt;&gt;"",$O28,""))))),""))</f>
        <v/>
      </c>
      <c r="AT28" s="194" t="str">
        <f aca="false">IFERROR(IF($AN28&lt;&gt;"",$AN28,IF($AH28&lt;&gt;"",$AH28,IF($AB28&lt;&gt;"",$AB28,IF($V28&lt;&gt;"",$V28,IF($P28&lt;&gt;"",$P28,""))))),"")</f>
        <v>Pass</v>
      </c>
      <c r="AU28" s="195" t="s">
        <v>1463</v>
      </c>
    </row>
    <row r="29" customFormat="false" ht="15.75" hidden="false" customHeight="true" outlineLevel="0" collapsed="false">
      <c r="A29" s="192" t="str">
        <f aca="false">IF($F29="","",$C$2&amp;"."&amp;COUNTA($F$7:$F29)&amp;"")</f>
        <v>TC_09.17</v>
      </c>
      <c r="B29" s="192" t="s">
        <v>653</v>
      </c>
      <c r="C29" s="192" t="s">
        <v>617</v>
      </c>
      <c r="D29" s="192" t="s">
        <v>43</v>
      </c>
      <c r="E29" s="192" t="s">
        <v>157</v>
      </c>
      <c r="F29" s="13" t="s">
        <v>1464</v>
      </c>
      <c r="G29" s="13" t="s">
        <v>1465</v>
      </c>
      <c r="H29" s="13" t="s">
        <v>1466</v>
      </c>
      <c r="I29" s="13" t="s">
        <v>1467</v>
      </c>
      <c r="J29" s="192" t="s">
        <v>745</v>
      </c>
      <c r="K29" s="192" t="s">
        <v>243</v>
      </c>
      <c r="L29" s="192" t="s">
        <v>746</v>
      </c>
      <c r="M29" s="192"/>
      <c r="N29" s="193" t="s">
        <v>747</v>
      </c>
      <c r="O29" s="193"/>
      <c r="P29" s="193" t="s">
        <v>25</v>
      </c>
      <c r="Q29" s="193" t="s">
        <v>102</v>
      </c>
      <c r="R29" s="193" t="s">
        <v>431</v>
      </c>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Fail</v>
      </c>
      <c r="AU29" s="195" t="s">
        <v>1468</v>
      </c>
    </row>
    <row r="30" customFormat="false" ht="15.75" hidden="false" customHeight="true" outlineLevel="0" collapsed="false">
      <c r="A30" s="192" t="str">
        <f aca="false">IF($F30="","",$C$2&amp;"."&amp;COUNTA($F$7:$F30)&amp;"")</f>
        <v>TC_09.18</v>
      </c>
      <c r="B30" s="192" t="s">
        <v>653</v>
      </c>
      <c r="C30" s="192" t="s">
        <v>617</v>
      </c>
      <c r="D30" s="192" t="s">
        <v>41</v>
      </c>
      <c r="E30" s="192" t="s">
        <v>157</v>
      </c>
      <c r="F30" s="13" t="s">
        <v>1469</v>
      </c>
      <c r="G30" s="13" t="s">
        <v>1470</v>
      </c>
      <c r="H30" s="13" t="s">
        <v>1471</v>
      </c>
      <c r="I30" s="13" t="s">
        <v>1472</v>
      </c>
      <c r="J30" s="192" t="s">
        <v>745</v>
      </c>
      <c r="K30" s="192" t="s">
        <v>243</v>
      </c>
      <c r="L30" s="192" t="s">
        <v>746</v>
      </c>
      <c r="M30" s="192"/>
      <c r="N30" s="193" t="s">
        <v>747</v>
      </c>
      <c r="O30" s="193"/>
      <c r="P30" s="193" t="s">
        <v>25</v>
      </c>
      <c r="Q30" s="193" t="s">
        <v>102</v>
      </c>
      <c r="R30" s="193" t="s">
        <v>428</v>
      </c>
      <c r="S30" s="193"/>
      <c r="T30" s="193"/>
      <c r="U30" s="193"/>
      <c r="V30" s="193"/>
      <c r="W30" s="193"/>
      <c r="X30" s="193"/>
      <c r="Y30" s="193"/>
      <c r="Z30" s="193"/>
      <c r="AA30" s="193"/>
      <c r="AB30" s="193"/>
      <c r="AC30" s="193"/>
      <c r="AD30" s="193"/>
      <c r="AE30" s="193"/>
      <c r="AF30" s="193"/>
      <c r="AG30" s="193"/>
      <c r="AH30" s="193"/>
      <c r="AI30" s="193"/>
      <c r="AJ30" s="193"/>
      <c r="AK30" s="193"/>
      <c r="AL30" s="193"/>
      <c r="AM30" s="193"/>
      <c r="AN30" s="193"/>
      <c r="AO30" s="193"/>
      <c r="AP30" s="193"/>
      <c r="AQ30" s="193"/>
      <c r="AR30" s="194" t="str">
        <f aca="false">IF($A30="","",IF(OR($N30="Yes",$T30="Yes",$Z30="Yes",$AF30="Yes",$AL30="Yes"),"Yes","No"))</f>
        <v>Yes</v>
      </c>
      <c r="AS30" s="194" t="str">
        <f aca="false">IF($A30="","",IFERROR(IF($AM30&lt;&gt;"",$AM30,IF($AG30&lt;&gt;"",$AG30,IF($AA30&lt;&gt;"",$AA30,IF($U30&lt;&gt;"",$U30,IF($O30&lt;&gt;"",$O30,""))))),""))</f>
        <v/>
      </c>
      <c r="AT30" s="194" t="str">
        <f aca="false">IFERROR(IF($AN30&lt;&gt;"",$AN30,IF($AH30&lt;&gt;"",$AH30,IF($AB30&lt;&gt;"",$AB30,IF($V30&lt;&gt;"",$V30,IF($P30&lt;&gt;"",$P30,""))))),"")</f>
        <v>Fail</v>
      </c>
      <c r="AU30" s="195" t="s">
        <v>1473</v>
      </c>
    </row>
    <row r="31" customFormat="false" ht="15.75" hidden="false" customHeight="true" outlineLevel="0" collapsed="false">
      <c r="A31" s="190"/>
      <c r="B31" s="190"/>
      <c r="C31" s="191" t="s">
        <v>1474</v>
      </c>
      <c r="D31" s="191"/>
      <c r="E31" s="191"/>
      <c r="F31" s="191"/>
      <c r="G31" s="191"/>
      <c r="H31" s="191"/>
      <c r="I31" s="191"/>
      <c r="J31" s="191"/>
      <c r="K31" s="191"/>
      <c r="L31" s="191"/>
      <c r="M31" s="191"/>
      <c r="N31" s="191"/>
      <c r="O31" s="191"/>
      <c r="P31" s="191"/>
      <c r="Q31" s="191"/>
      <c r="R31" s="191"/>
      <c r="S31" s="191"/>
      <c r="T31" s="191"/>
      <c r="U31" s="191"/>
      <c r="V31" s="191"/>
      <c r="W31" s="191"/>
      <c r="X31" s="191"/>
      <c r="Y31" s="191"/>
      <c r="Z31" s="191"/>
      <c r="AA31" s="191"/>
      <c r="AB31" s="191"/>
      <c r="AC31" s="191"/>
      <c r="AD31" s="191"/>
      <c r="AE31" s="191"/>
      <c r="AF31" s="191"/>
      <c r="AG31" s="191"/>
      <c r="AH31" s="191"/>
      <c r="AI31" s="191"/>
      <c r="AJ31" s="191"/>
      <c r="AK31" s="191"/>
      <c r="AL31" s="191"/>
      <c r="AM31" s="191"/>
      <c r="AN31" s="191"/>
      <c r="AO31" s="191"/>
      <c r="AP31" s="191"/>
      <c r="AQ31" s="191"/>
      <c r="AR31" s="191"/>
      <c r="AS31" s="191"/>
      <c r="AT31" s="191"/>
      <c r="AU31" s="191"/>
    </row>
    <row r="32" customFormat="false" ht="15.75" hidden="false" customHeight="true" outlineLevel="0" collapsed="false">
      <c r="A32" s="192" t="str">
        <f aca="false">IF($F32="","",$C$2&amp;"."&amp;COUNTA($F$7:$F32)&amp;"")</f>
        <v>TC_09.19</v>
      </c>
      <c r="B32" s="192" t="s">
        <v>656</v>
      </c>
      <c r="C32" s="192" t="s">
        <v>617</v>
      </c>
      <c r="D32" s="192" t="s">
        <v>43</v>
      </c>
      <c r="E32" s="192" t="s">
        <v>157</v>
      </c>
      <c r="F32" s="13" t="s">
        <v>1475</v>
      </c>
      <c r="G32" s="13" t="s">
        <v>1476</v>
      </c>
      <c r="H32" s="13" t="s">
        <v>1477</v>
      </c>
      <c r="I32" s="13" t="s">
        <v>1478</v>
      </c>
      <c r="J32" s="192" t="s">
        <v>745</v>
      </c>
      <c r="K32" s="192" t="s">
        <v>243</v>
      </c>
      <c r="L32" s="192" t="s">
        <v>746</v>
      </c>
      <c r="M32" s="192"/>
      <c r="N32" s="193" t="s">
        <v>747</v>
      </c>
      <c r="O32" s="193"/>
      <c r="P32" s="193" t="s">
        <v>23</v>
      </c>
      <c r="Q32" s="193" t="s">
        <v>102</v>
      </c>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Yes</v>
      </c>
      <c r="AS32" s="194" t="str">
        <f aca="false">IF($A32="","",IFERROR(IF($AM32&lt;&gt;"",$AM32,IF($AG32&lt;&gt;"",$AG32,IF($AA32&lt;&gt;"",$AA32,IF($U32&lt;&gt;"",$U32,IF($O32&lt;&gt;"",$O32,""))))),""))</f>
        <v/>
      </c>
      <c r="AT32" s="194" t="str">
        <f aca="false">IFERROR(IF($AN32&lt;&gt;"",$AN32,IF($AH32&lt;&gt;"",$AH32,IF($AB32&lt;&gt;"",$AB32,IF($V32&lt;&gt;"",$V32,IF($P32&lt;&gt;"",$P32,""))))),"")</f>
        <v>Pass</v>
      </c>
      <c r="AU32" s="195" t="s">
        <v>1479</v>
      </c>
    </row>
    <row r="33" customFormat="false" ht="15.75" hidden="false" customHeight="true" outlineLevel="0" collapsed="false">
      <c r="A33" s="190"/>
      <c r="B33" s="190"/>
      <c r="C33" s="191" t="s">
        <v>1480</v>
      </c>
      <c r="D33" s="191"/>
      <c r="E33" s="191"/>
      <c r="F33" s="191"/>
      <c r="G33" s="191"/>
      <c r="H33" s="191"/>
      <c r="I33" s="191"/>
      <c r="J33" s="191"/>
      <c r="K33" s="191"/>
      <c r="L33" s="191"/>
      <c r="M33" s="191"/>
      <c r="N33" s="191"/>
      <c r="O33" s="191"/>
      <c r="P33" s="191"/>
      <c r="Q33" s="191"/>
      <c r="R33" s="191"/>
      <c r="S33" s="191"/>
      <c r="T33" s="191"/>
      <c r="U33" s="191"/>
      <c r="V33" s="191"/>
      <c r="W33" s="191"/>
      <c r="X33" s="191"/>
      <c r="Y33" s="191"/>
      <c r="Z33" s="191"/>
      <c r="AA33" s="191"/>
      <c r="AB33" s="191"/>
      <c r="AC33" s="191"/>
      <c r="AD33" s="191"/>
      <c r="AE33" s="191"/>
      <c r="AF33" s="191"/>
      <c r="AG33" s="191"/>
      <c r="AH33" s="191"/>
      <c r="AI33" s="191"/>
      <c r="AJ33" s="191"/>
      <c r="AK33" s="191"/>
      <c r="AL33" s="191"/>
      <c r="AM33" s="191"/>
      <c r="AN33" s="191"/>
      <c r="AO33" s="191"/>
      <c r="AP33" s="191"/>
      <c r="AQ33" s="191"/>
      <c r="AR33" s="191"/>
      <c r="AS33" s="191"/>
      <c r="AT33" s="191"/>
      <c r="AU33" s="191"/>
    </row>
    <row r="34" customFormat="false" ht="15.75" hidden="false" customHeight="true" outlineLevel="0" collapsed="false">
      <c r="A34" s="192" t="str">
        <f aca="false">IF($F34="","",$C$2&amp;"."&amp;COUNTA($F$7:$F34)&amp;"")</f>
        <v>TC_09.20</v>
      </c>
      <c r="B34" s="192" t="s">
        <v>659</v>
      </c>
      <c r="C34" s="192" t="s">
        <v>617</v>
      </c>
      <c r="D34" s="192" t="s">
        <v>41</v>
      </c>
      <c r="E34" s="192" t="s">
        <v>157</v>
      </c>
      <c r="F34" s="13" t="s">
        <v>1481</v>
      </c>
      <c r="G34" s="13" t="s">
        <v>1482</v>
      </c>
      <c r="H34" s="13" t="s">
        <v>1483</v>
      </c>
      <c r="I34" s="13" t="s">
        <v>1484</v>
      </c>
      <c r="J34" s="192" t="s">
        <v>745</v>
      </c>
      <c r="K34" s="192" t="s">
        <v>243</v>
      </c>
      <c r="L34" s="192" t="s">
        <v>746</v>
      </c>
      <c r="M34" s="192"/>
      <c r="N34" s="193" t="s">
        <v>747</v>
      </c>
      <c r="O34" s="193"/>
      <c r="P34" s="193" t="s">
        <v>23</v>
      </c>
      <c r="Q34" s="193" t="s">
        <v>102</v>
      </c>
      <c r="R34" s="193"/>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Yes</v>
      </c>
      <c r="AS34" s="194" t="str">
        <f aca="false">IF($A34="","",IFERROR(IF($AM34&lt;&gt;"",$AM34,IF($AG34&lt;&gt;"",$AG34,IF($AA34&lt;&gt;"",$AA34,IF($U34&lt;&gt;"",$U34,IF($O34&lt;&gt;"",$O34,""))))),""))</f>
        <v/>
      </c>
      <c r="AT34" s="194" t="str">
        <f aca="false">IFERROR(IF($AN34&lt;&gt;"",$AN34,IF($AH34&lt;&gt;"",$AH34,IF($AB34&lt;&gt;"",$AB34,IF($V34&lt;&gt;"",$V34,IF($P34&lt;&gt;"",$P34,""))))),"")</f>
        <v>Pass</v>
      </c>
      <c r="AU34" s="195" t="s">
        <v>1485</v>
      </c>
    </row>
    <row r="35" customFormat="false" ht="15.75" hidden="false" customHeight="true" outlineLevel="0" collapsed="false">
      <c r="A35" s="190"/>
      <c r="B35" s="190"/>
      <c r="C35" s="191" t="s">
        <v>1486</v>
      </c>
      <c r="D35" s="191"/>
      <c r="E35" s="191"/>
      <c r="F35" s="191"/>
      <c r="G35" s="191"/>
      <c r="H35" s="191"/>
      <c r="I35" s="191"/>
      <c r="J35" s="191"/>
      <c r="K35" s="191"/>
      <c r="L35" s="191"/>
      <c r="M35" s="191"/>
      <c r="N35" s="191"/>
      <c r="O35" s="191"/>
      <c r="P35" s="191"/>
      <c r="Q35" s="191"/>
      <c r="R35" s="191"/>
      <c r="S35" s="191"/>
      <c r="T35" s="191"/>
      <c r="U35" s="191"/>
      <c r="V35" s="191"/>
      <c r="W35" s="191"/>
      <c r="X35" s="191"/>
      <c r="Y35" s="191"/>
      <c r="Z35" s="191"/>
      <c r="AA35" s="191"/>
      <c r="AB35" s="191"/>
      <c r="AC35" s="191"/>
      <c r="AD35" s="191"/>
      <c r="AE35" s="191"/>
      <c r="AF35" s="191"/>
      <c r="AG35" s="191"/>
      <c r="AH35" s="191"/>
      <c r="AI35" s="191"/>
      <c r="AJ35" s="191"/>
      <c r="AK35" s="191"/>
      <c r="AL35" s="191"/>
      <c r="AM35" s="191"/>
      <c r="AN35" s="191"/>
      <c r="AO35" s="191"/>
      <c r="AP35" s="191"/>
      <c r="AQ35" s="191"/>
      <c r="AR35" s="191"/>
      <c r="AS35" s="191"/>
      <c r="AT35" s="191"/>
      <c r="AU35" s="191"/>
    </row>
    <row r="36" customFormat="false" ht="15.75" hidden="false" customHeight="true" outlineLevel="0" collapsed="false">
      <c r="A36" s="192" t="str">
        <f aca="false">IF($F36="","",$C$2&amp;"."&amp;COUNTA($F$7:$F36)&amp;"")</f>
        <v>TC_09.21</v>
      </c>
      <c r="B36" s="192" t="s">
        <v>662</v>
      </c>
      <c r="C36" s="192" t="s">
        <v>617</v>
      </c>
      <c r="D36" s="192" t="s">
        <v>41</v>
      </c>
      <c r="E36" s="192" t="s">
        <v>157</v>
      </c>
      <c r="F36" s="13" t="s">
        <v>1487</v>
      </c>
      <c r="G36" s="13" t="s">
        <v>1488</v>
      </c>
      <c r="H36" s="13" t="s">
        <v>1489</v>
      </c>
      <c r="I36" s="13" t="s">
        <v>1490</v>
      </c>
      <c r="J36" s="192" t="s">
        <v>745</v>
      </c>
      <c r="K36" s="192" t="s">
        <v>243</v>
      </c>
      <c r="L36" s="192" t="s">
        <v>746</v>
      </c>
      <c r="M36" s="192"/>
      <c r="N36" s="193" t="s">
        <v>747</v>
      </c>
      <c r="O36" s="193"/>
      <c r="P36" s="193" t="s">
        <v>23</v>
      </c>
      <c r="Q36" s="193" t="s">
        <v>102</v>
      </c>
      <c r="R36" s="193"/>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Yes</v>
      </c>
      <c r="AS36" s="194" t="str">
        <f aca="false">IF($A36="","",IFERROR(IF($AM36&lt;&gt;"",$AM36,IF($AG36&lt;&gt;"",$AG36,IF($AA36&lt;&gt;"",$AA36,IF($U36&lt;&gt;"",$U36,IF($O36&lt;&gt;"",$O36,""))))),""))</f>
        <v/>
      </c>
      <c r="AT36" s="194" t="str">
        <f aca="false">IFERROR(IF($AN36&lt;&gt;"",$AN36,IF($AH36&lt;&gt;"",$AH36,IF($AB36&lt;&gt;"",$AB36,IF($V36&lt;&gt;"",$V36,IF($P36&lt;&gt;"",$P36,""))))),"")</f>
        <v>Pass</v>
      </c>
      <c r="AU36" s="195" t="s">
        <v>1491</v>
      </c>
    </row>
    <row r="37" customFormat="false" ht="15.75" hidden="false" customHeight="true" outlineLevel="0" collapsed="false">
      <c r="A37" s="192" t="str">
        <f aca="false">IF($F37="","",$C$2&amp;"."&amp;COUNTA($F$7:$F37)&amp;"")</f>
        <v>TC_09.22</v>
      </c>
      <c r="B37" s="192" t="s">
        <v>662</v>
      </c>
      <c r="C37" s="192" t="s">
        <v>617</v>
      </c>
      <c r="D37" s="192" t="s">
        <v>41</v>
      </c>
      <c r="E37" s="192" t="s">
        <v>157</v>
      </c>
      <c r="F37" s="13" t="s">
        <v>1492</v>
      </c>
      <c r="G37" s="13" t="s">
        <v>1493</v>
      </c>
      <c r="H37" s="13" t="s">
        <v>1494</v>
      </c>
      <c r="I37" s="13" t="s">
        <v>1495</v>
      </c>
      <c r="J37" s="192" t="s">
        <v>745</v>
      </c>
      <c r="K37" s="192" t="s">
        <v>243</v>
      </c>
      <c r="L37" s="192" t="s">
        <v>746</v>
      </c>
      <c r="M37" s="192"/>
      <c r="N37" s="193" t="s">
        <v>747</v>
      </c>
      <c r="O37" s="193"/>
      <c r="P37" s="193" t="s">
        <v>23</v>
      </c>
      <c r="Q37" s="193" t="s">
        <v>102</v>
      </c>
      <c r="R37" s="193"/>
      <c r="S37" s="193"/>
      <c r="T37" s="193"/>
      <c r="U37" s="193"/>
      <c r="V37" s="193"/>
      <c r="W37" s="193"/>
      <c r="X37" s="193"/>
      <c r="Y37" s="193"/>
      <c r="Z37" s="193"/>
      <c r="AA37" s="193"/>
      <c r="AB37" s="193"/>
      <c r="AC37" s="193"/>
      <c r="AD37" s="193"/>
      <c r="AE37" s="193"/>
      <c r="AF37" s="193"/>
      <c r="AG37" s="193"/>
      <c r="AH37" s="193"/>
      <c r="AI37" s="193"/>
      <c r="AJ37" s="193"/>
      <c r="AK37" s="193"/>
      <c r="AL37" s="193"/>
      <c r="AM37" s="193"/>
      <c r="AN37" s="193"/>
      <c r="AO37" s="193"/>
      <c r="AP37" s="193"/>
      <c r="AQ37" s="193"/>
      <c r="AR37" s="194" t="str">
        <f aca="false">IF($A37="","",IF(OR($N37="Yes",$T37="Yes",$Z37="Yes",$AF37="Yes",$AL37="Yes"),"Yes","No"))</f>
        <v>Yes</v>
      </c>
      <c r="AS37" s="194" t="str">
        <f aca="false">IF($A37="","",IFERROR(IF($AM37&lt;&gt;"",$AM37,IF($AG37&lt;&gt;"",$AG37,IF($AA37&lt;&gt;"",$AA37,IF($U37&lt;&gt;"",$U37,IF($O37&lt;&gt;"",$O37,""))))),""))</f>
        <v/>
      </c>
      <c r="AT37" s="194" t="str">
        <f aca="false">IFERROR(IF($AN37&lt;&gt;"",$AN37,IF($AH37&lt;&gt;"",$AH37,IF($AB37&lt;&gt;"",$AB37,IF($V37&lt;&gt;"",$V37,IF($P37&lt;&gt;"",$P37,""))))),"")</f>
        <v>Pass</v>
      </c>
      <c r="AU37" s="195" t="s">
        <v>1496</v>
      </c>
    </row>
    <row r="38" customFormat="false" ht="15.75" hidden="false" customHeight="true" outlineLevel="0" collapsed="false">
      <c r="A38" s="192" t="str">
        <f aca="false">IF($F38="","",$C$2&amp;"."&amp;COUNTA($F$7:$F38)&amp;"")</f>
        <v>TC_09.23</v>
      </c>
      <c r="B38" s="192" t="s">
        <v>662</v>
      </c>
      <c r="C38" s="192" t="s">
        <v>617</v>
      </c>
      <c r="D38" s="192" t="s">
        <v>41</v>
      </c>
      <c r="E38" s="192" t="s">
        <v>157</v>
      </c>
      <c r="F38" s="13" t="s">
        <v>1497</v>
      </c>
      <c r="G38" s="13" t="s">
        <v>1488</v>
      </c>
      <c r="H38" s="13" t="s">
        <v>1498</v>
      </c>
      <c r="I38" s="13" t="s">
        <v>1499</v>
      </c>
      <c r="J38" s="192" t="s">
        <v>745</v>
      </c>
      <c r="K38" s="192" t="s">
        <v>243</v>
      </c>
      <c r="L38" s="192" t="s">
        <v>746</v>
      </c>
      <c r="M38" s="192"/>
      <c r="N38" s="193" t="s">
        <v>747</v>
      </c>
      <c r="O38" s="193"/>
      <c r="P38" s="193" t="s">
        <v>23</v>
      </c>
      <c r="Q38" s="193" t="s">
        <v>102</v>
      </c>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Yes</v>
      </c>
      <c r="AS38" s="194" t="str">
        <f aca="false">IF($A38="","",IFERROR(IF($AM38&lt;&gt;"",$AM38,IF($AG38&lt;&gt;"",$AG38,IF($AA38&lt;&gt;"",$AA38,IF($U38&lt;&gt;"",$U38,IF($O38&lt;&gt;"",$O38,""))))),""))</f>
        <v/>
      </c>
      <c r="AT38" s="194" t="str">
        <f aca="false">IFERROR(IF($AN38&lt;&gt;"",$AN38,IF($AH38&lt;&gt;"",$AH38,IF($AB38&lt;&gt;"",$AB38,IF($V38&lt;&gt;"",$V38,IF($P38&lt;&gt;"",$P38,""))))),"")</f>
        <v>Pass</v>
      </c>
      <c r="AU38" s="195" t="s">
        <v>1500</v>
      </c>
    </row>
    <row r="39" customFormat="false" ht="15.75" hidden="false" customHeight="true" outlineLevel="0" collapsed="false">
      <c r="A39" s="190"/>
      <c r="B39" s="190"/>
      <c r="C39" s="191" t="s">
        <v>1501</v>
      </c>
      <c r="D39" s="191"/>
      <c r="E39" s="191"/>
      <c r="F39" s="191"/>
      <c r="G39" s="191"/>
      <c r="H39" s="191"/>
      <c r="I39" s="191"/>
      <c r="J39" s="191"/>
      <c r="K39" s="191"/>
      <c r="L39" s="191"/>
      <c r="M39" s="191"/>
      <c r="N39" s="191"/>
      <c r="O39" s="191"/>
      <c r="P39" s="191"/>
      <c r="Q39" s="191"/>
      <c r="R39" s="191"/>
      <c r="S39" s="191"/>
      <c r="T39" s="191"/>
      <c r="U39" s="191"/>
      <c r="V39" s="191"/>
      <c r="W39" s="191"/>
      <c r="X39" s="191"/>
      <c r="Y39" s="191"/>
      <c r="Z39" s="191"/>
      <c r="AA39" s="191"/>
      <c r="AB39" s="191"/>
      <c r="AC39" s="191"/>
      <c r="AD39" s="191"/>
      <c r="AE39" s="191"/>
      <c r="AF39" s="191"/>
      <c r="AG39" s="191"/>
      <c r="AH39" s="191"/>
      <c r="AI39" s="191"/>
      <c r="AJ39" s="191"/>
      <c r="AK39" s="191"/>
      <c r="AL39" s="191"/>
      <c r="AM39" s="191"/>
      <c r="AN39" s="191"/>
      <c r="AO39" s="191"/>
      <c r="AP39" s="191"/>
      <c r="AQ39" s="191"/>
      <c r="AR39" s="191"/>
      <c r="AS39" s="191"/>
      <c r="AT39" s="191"/>
      <c r="AU39" s="191"/>
    </row>
    <row r="40" customFormat="false" ht="15.75" hidden="false" customHeight="true" outlineLevel="0" collapsed="false">
      <c r="A40" s="192" t="str">
        <f aca="false">IF($F40="","",$C$2&amp;"."&amp;COUNTA($F$7:$F40)&amp;"")</f>
        <v>TC_09.24</v>
      </c>
      <c r="B40" s="192" t="s">
        <v>665</v>
      </c>
      <c r="C40" s="192" t="s">
        <v>617</v>
      </c>
      <c r="D40" s="192" t="s">
        <v>41</v>
      </c>
      <c r="E40" s="192" t="s">
        <v>157</v>
      </c>
      <c r="F40" s="13" t="s">
        <v>1502</v>
      </c>
      <c r="G40" s="13" t="s">
        <v>1503</v>
      </c>
      <c r="H40" s="13" t="s">
        <v>1504</v>
      </c>
      <c r="I40" s="13" t="s">
        <v>1505</v>
      </c>
      <c r="J40" s="192" t="s">
        <v>745</v>
      </c>
      <c r="K40" s="192" t="s">
        <v>243</v>
      </c>
      <c r="L40" s="192" t="s">
        <v>746</v>
      </c>
      <c r="M40" s="192"/>
      <c r="N40" s="193" t="s">
        <v>747</v>
      </c>
      <c r="O40" s="193"/>
      <c r="P40" s="193" t="s">
        <v>23</v>
      </c>
      <c r="Q40" s="193" t="s">
        <v>102</v>
      </c>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Yes</v>
      </c>
      <c r="AS40" s="194" t="str">
        <f aca="false">IF($A40="","",IFERROR(IF($AM40&lt;&gt;"",$AM40,IF($AG40&lt;&gt;"",$AG40,IF($AA40&lt;&gt;"",$AA40,IF($U40&lt;&gt;"",$U40,IF($O40&lt;&gt;"",$O40,""))))),""))</f>
        <v/>
      </c>
      <c r="AT40" s="194" t="str">
        <f aca="false">IFERROR(IF($AN40&lt;&gt;"",$AN40,IF($AH40&lt;&gt;"",$AH40,IF($AB40&lt;&gt;"",$AB40,IF($V40&lt;&gt;"",$V40,IF($P40&lt;&gt;"",$P40,""))))),"")</f>
        <v>Pass</v>
      </c>
      <c r="AU40" s="195" t="s">
        <v>1506</v>
      </c>
    </row>
    <row r="41" customFormat="false" ht="15.75" hidden="false" customHeight="true" outlineLevel="0" collapsed="false">
      <c r="A41" s="192" t="str">
        <f aca="false">IF($F41="","",$C$2&amp;"."&amp;COUNTA($F$7:$F41)&amp;"")</f>
        <v>TC_09.25</v>
      </c>
      <c r="B41" s="192" t="s">
        <v>665</v>
      </c>
      <c r="C41" s="192" t="s">
        <v>617</v>
      </c>
      <c r="D41" s="192" t="s">
        <v>41</v>
      </c>
      <c r="E41" s="192" t="s">
        <v>157</v>
      </c>
      <c r="F41" s="13" t="s">
        <v>1507</v>
      </c>
      <c r="G41" s="13" t="s">
        <v>1508</v>
      </c>
      <c r="H41" s="13" t="s">
        <v>1509</v>
      </c>
      <c r="I41" s="13" t="s">
        <v>1510</v>
      </c>
      <c r="J41" s="192" t="s">
        <v>745</v>
      </c>
      <c r="K41" s="192" t="s">
        <v>243</v>
      </c>
      <c r="L41" s="192" t="s">
        <v>746</v>
      </c>
      <c r="M41" s="192"/>
      <c r="N41" s="193" t="s">
        <v>747</v>
      </c>
      <c r="O41" s="193"/>
      <c r="P41" s="193" t="s">
        <v>23</v>
      </c>
      <c r="Q41" s="193" t="s">
        <v>102</v>
      </c>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Yes</v>
      </c>
      <c r="AS41" s="194" t="str">
        <f aca="false">IF($A41="","",IFERROR(IF($AM41&lt;&gt;"",$AM41,IF($AG41&lt;&gt;"",$AG41,IF($AA41&lt;&gt;"",$AA41,IF($U41&lt;&gt;"",$U41,IF($O41&lt;&gt;"",$O41,""))))),""))</f>
        <v/>
      </c>
      <c r="AT41" s="194" t="str">
        <f aca="false">IFERROR(IF($AN41&lt;&gt;"",$AN41,IF($AH41&lt;&gt;"",$AH41,IF($AB41&lt;&gt;"",$AB41,IF($V41&lt;&gt;"",$V41,IF($P41&lt;&gt;"",$P41,""))))),"")</f>
        <v>Pass</v>
      </c>
      <c r="AU41" s="195" t="s">
        <v>1511</v>
      </c>
    </row>
    <row r="42" customFormat="false" ht="15.75" hidden="false" customHeight="true" outlineLevel="0" collapsed="false">
      <c r="A42" s="190"/>
      <c r="B42" s="190"/>
      <c r="C42" s="191" t="s">
        <v>1512</v>
      </c>
      <c r="D42" s="191"/>
      <c r="E42" s="191"/>
      <c r="F42" s="191"/>
      <c r="G42" s="191"/>
      <c r="H42" s="191"/>
      <c r="I42" s="191"/>
      <c r="J42" s="191"/>
      <c r="K42" s="191"/>
      <c r="L42" s="191"/>
      <c r="M42" s="191"/>
      <c r="N42" s="191"/>
      <c r="O42" s="191"/>
      <c r="P42" s="191"/>
      <c r="Q42" s="191"/>
      <c r="R42" s="191"/>
      <c r="S42" s="191"/>
      <c r="T42" s="191"/>
      <c r="U42" s="191"/>
      <c r="V42" s="191"/>
      <c r="W42" s="191"/>
      <c r="X42" s="191"/>
      <c r="Y42" s="191"/>
      <c r="Z42" s="191"/>
      <c r="AA42" s="191"/>
      <c r="AB42" s="191"/>
      <c r="AC42" s="191"/>
      <c r="AD42" s="191"/>
      <c r="AE42" s="191"/>
      <c r="AF42" s="191"/>
      <c r="AG42" s="191"/>
      <c r="AH42" s="191"/>
      <c r="AI42" s="191"/>
      <c r="AJ42" s="191"/>
      <c r="AK42" s="191"/>
      <c r="AL42" s="191"/>
      <c r="AM42" s="191"/>
      <c r="AN42" s="191"/>
      <c r="AO42" s="191"/>
      <c r="AP42" s="191"/>
      <c r="AQ42" s="191"/>
      <c r="AR42" s="191"/>
      <c r="AS42" s="191"/>
      <c r="AT42" s="191"/>
      <c r="AU42" s="191"/>
    </row>
    <row r="43" customFormat="false" ht="15.75" hidden="false" customHeight="true" outlineLevel="0" collapsed="false">
      <c r="A43" s="192" t="str">
        <f aca="false">IF($F43="","",$C$2&amp;"."&amp;COUNTA($F$7:$F43)&amp;"")</f>
        <v>TC_09.26</v>
      </c>
      <c r="B43" s="192" t="s">
        <v>667</v>
      </c>
      <c r="C43" s="192" t="s">
        <v>617</v>
      </c>
      <c r="D43" s="192" t="s">
        <v>41</v>
      </c>
      <c r="E43" s="192" t="s">
        <v>157</v>
      </c>
      <c r="F43" s="13" t="s">
        <v>1513</v>
      </c>
      <c r="G43" s="13" t="s">
        <v>1514</v>
      </c>
      <c r="H43" s="13" t="s">
        <v>1515</v>
      </c>
      <c r="I43" s="13" t="s">
        <v>1516</v>
      </c>
      <c r="J43" s="192" t="s">
        <v>745</v>
      </c>
      <c r="K43" s="192" t="s">
        <v>243</v>
      </c>
      <c r="L43" s="192" t="s">
        <v>746</v>
      </c>
      <c r="M43" s="192"/>
      <c r="N43" s="193" t="s">
        <v>747</v>
      </c>
      <c r="O43" s="193"/>
      <c r="P43" s="193" t="s">
        <v>25</v>
      </c>
      <c r="Q43" s="193" t="s">
        <v>102</v>
      </c>
      <c r="R43" s="193" t="s">
        <v>425</v>
      </c>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Yes</v>
      </c>
      <c r="AS43" s="194" t="str">
        <f aca="false">IF($A43="","",IFERROR(IF($AM43&lt;&gt;"",$AM43,IF($AG43&lt;&gt;"",$AG43,IF($AA43&lt;&gt;"",$AA43,IF($U43&lt;&gt;"",$U43,IF($O43&lt;&gt;"",$O43,""))))),""))</f>
        <v/>
      </c>
      <c r="AT43" s="194" t="str">
        <f aca="false">IFERROR(IF($AN43&lt;&gt;"",$AN43,IF($AH43&lt;&gt;"",$AH43,IF($AB43&lt;&gt;"",$AB43,IF($V43&lt;&gt;"",$V43,IF($P43&lt;&gt;"",$P43,""))))),"")</f>
        <v>Fail</v>
      </c>
      <c r="AU43" s="195" t="s">
        <v>1517</v>
      </c>
    </row>
    <row r="44" customFormat="false" ht="15.75" hidden="false" customHeight="true" outlineLevel="0" collapsed="false">
      <c r="A44" s="192" t="str">
        <f aca="false">IF($F44="","",$C$2&amp;"."&amp;COUNTA($F$7:$F44)&amp;"")</f>
        <v>TC_09.27</v>
      </c>
      <c r="B44" s="192" t="s">
        <v>667</v>
      </c>
      <c r="C44" s="192" t="s">
        <v>617</v>
      </c>
      <c r="D44" s="192" t="s">
        <v>41</v>
      </c>
      <c r="E44" s="192" t="s">
        <v>157</v>
      </c>
      <c r="F44" s="13" t="s">
        <v>1518</v>
      </c>
      <c r="G44" s="13" t="s">
        <v>1519</v>
      </c>
      <c r="H44" s="13" t="s">
        <v>1520</v>
      </c>
      <c r="I44" s="13" t="s">
        <v>1521</v>
      </c>
      <c r="J44" s="192" t="s">
        <v>745</v>
      </c>
      <c r="K44" s="192" t="s">
        <v>243</v>
      </c>
      <c r="L44" s="192" t="s">
        <v>746</v>
      </c>
      <c r="M44" s="192"/>
      <c r="N44" s="193" t="s">
        <v>747</v>
      </c>
      <c r="O44" s="193"/>
      <c r="P44" s="193" t="s">
        <v>23</v>
      </c>
      <c r="Q44" s="193" t="s">
        <v>102</v>
      </c>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Yes</v>
      </c>
      <c r="AS44" s="194" t="str">
        <f aca="false">IF($A44="","",IFERROR(IF($AM44&lt;&gt;"",$AM44,IF($AG44&lt;&gt;"",$AG44,IF($AA44&lt;&gt;"",$AA44,IF($U44&lt;&gt;"",$U44,IF($O44&lt;&gt;"",$O44,""))))),""))</f>
        <v/>
      </c>
      <c r="AT44" s="194" t="str">
        <f aca="false">IFERROR(IF($AN44&lt;&gt;"",$AN44,IF($AH44&lt;&gt;"",$AH44,IF($AB44&lt;&gt;"",$AB44,IF($V44&lt;&gt;"",$V44,IF($P44&lt;&gt;"",$P44,""))))),"")</f>
        <v>Pass</v>
      </c>
      <c r="AU44" s="195" t="s">
        <v>1522</v>
      </c>
    </row>
    <row r="45" customFormat="false" ht="15.75" hidden="false" customHeight="true" outlineLevel="0" collapsed="false">
      <c r="A45" s="190"/>
      <c r="B45" s="190"/>
      <c r="C45" s="191" t="s">
        <v>1523</v>
      </c>
      <c r="D45" s="191"/>
      <c r="E45" s="191"/>
      <c r="F45" s="191"/>
      <c r="G45" s="191"/>
      <c r="H45" s="191"/>
      <c r="I45" s="191"/>
      <c r="J45" s="191"/>
      <c r="K45" s="191"/>
      <c r="L45" s="191"/>
      <c r="M45" s="191"/>
      <c r="N45" s="191"/>
      <c r="O45" s="191"/>
      <c r="P45" s="191"/>
      <c r="Q45" s="191"/>
      <c r="R45" s="191"/>
      <c r="S45" s="191"/>
      <c r="T45" s="191"/>
      <c r="U45" s="191"/>
      <c r="V45" s="191"/>
      <c r="W45" s="191"/>
      <c r="X45" s="191"/>
      <c r="Y45" s="191"/>
      <c r="Z45" s="191"/>
      <c r="AA45" s="191"/>
      <c r="AB45" s="191"/>
      <c r="AC45" s="191"/>
      <c r="AD45" s="191"/>
      <c r="AE45" s="191"/>
      <c r="AF45" s="191"/>
      <c r="AG45" s="191"/>
      <c r="AH45" s="191"/>
      <c r="AI45" s="191"/>
      <c r="AJ45" s="191"/>
      <c r="AK45" s="191"/>
      <c r="AL45" s="191"/>
      <c r="AM45" s="191"/>
      <c r="AN45" s="191"/>
      <c r="AO45" s="191"/>
      <c r="AP45" s="191"/>
      <c r="AQ45" s="191"/>
      <c r="AR45" s="191"/>
      <c r="AS45" s="191"/>
      <c r="AT45" s="191"/>
      <c r="AU45" s="191"/>
    </row>
    <row r="46" customFormat="false" ht="15.75" hidden="false" customHeight="true" outlineLevel="0" collapsed="false">
      <c r="A46" s="192" t="str">
        <f aca="false">IF($F46="","",$C$2&amp;"."&amp;COUNTA($F$7:$F46)&amp;"")</f>
        <v>TC_09.28</v>
      </c>
      <c r="B46" s="192" t="s">
        <v>670</v>
      </c>
      <c r="C46" s="192" t="s">
        <v>995</v>
      </c>
      <c r="D46" s="192" t="s">
        <v>41</v>
      </c>
      <c r="E46" s="192" t="s">
        <v>157</v>
      </c>
      <c r="F46" s="13" t="s">
        <v>1524</v>
      </c>
      <c r="G46" s="13" t="s">
        <v>1525</v>
      </c>
      <c r="H46" s="13" t="s">
        <v>1526</v>
      </c>
      <c r="I46" s="13" t="s">
        <v>1527</v>
      </c>
      <c r="J46" s="192" t="s">
        <v>745</v>
      </c>
      <c r="K46" s="192" t="s">
        <v>243</v>
      </c>
      <c r="L46" s="192" t="s">
        <v>746</v>
      </c>
      <c r="M46" s="192"/>
      <c r="N46" s="193" t="s">
        <v>747</v>
      </c>
      <c r="O46" s="193"/>
      <c r="P46" s="193" t="s">
        <v>25</v>
      </c>
      <c r="Q46" s="193" t="s">
        <v>102</v>
      </c>
      <c r="R46" s="193" t="s">
        <v>421</v>
      </c>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Yes</v>
      </c>
      <c r="AS46" s="194" t="str">
        <f aca="false">IF($A46="","",IFERROR(IF($AM46&lt;&gt;"",$AM46,IF($AG46&lt;&gt;"",$AG46,IF($AA46&lt;&gt;"",$AA46,IF($U46&lt;&gt;"",$U46,IF($O46&lt;&gt;"",$O46,""))))),""))</f>
        <v/>
      </c>
      <c r="AT46" s="194" t="str">
        <f aca="false">IFERROR(IF($AN46&lt;&gt;"",$AN46,IF($AH46&lt;&gt;"",$AH46,IF($AB46&lt;&gt;"",$AB46,IF($V46&lt;&gt;"",$V46,IF($P46&lt;&gt;"",$P46,""))))),"")</f>
        <v>Fail</v>
      </c>
      <c r="AU46" s="195" t="s">
        <v>1528</v>
      </c>
    </row>
    <row r="47" customFormat="false" ht="15.75" hidden="false" customHeight="true" outlineLevel="0" collapsed="false">
      <c r="A47" s="192" t="str">
        <f aca="false">IF($F47="","",$C$2&amp;"."&amp;COUNTA($F$7:$F47)&amp;"")</f>
        <v>TC_09.29</v>
      </c>
      <c r="B47" s="192" t="s">
        <v>670</v>
      </c>
      <c r="C47" s="192" t="s">
        <v>617</v>
      </c>
      <c r="D47" s="192" t="s">
        <v>41</v>
      </c>
      <c r="E47" s="192" t="s">
        <v>157</v>
      </c>
      <c r="F47" s="13" t="s">
        <v>1529</v>
      </c>
      <c r="G47" s="13" t="s">
        <v>1530</v>
      </c>
      <c r="H47" s="13" t="s">
        <v>1531</v>
      </c>
      <c r="I47" s="13" t="s">
        <v>1532</v>
      </c>
      <c r="J47" s="192" t="s">
        <v>745</v>
      </c>
      <c r="K47" s="192" t="s">
        <v>243</v>
      </c>
      <c r="L47" s="192" t="s">
        <v>746</v>
      </c>
      <c r="M47" s="192"/>
      <c r="N47" s="193" t="s">
        <v>747</v>
      </c>
      <c r="O47" s="193"/>
      <c r="P47" s="193" t="s">
        <v>23</v>
      </c>
      <c r="Q47" s="193" t="s">
        <v>102</v>
      </c>
      <c r="R47" s="193"/>
      <c r="S47" s="193"/>
      <c r="T47" s="193"/>
      <c r="U47" s="193"/>
      <c r="V47" s="193"/>
      <c r="W47" s="193"/>
      <c r="X47" s="193"/>
      <c r="Y47" s="193"/>
      <c r="Z47" s="193"/>
      <c r="AA47" s="193"/>
      <c r="AB47" s="193"/>
      <c r="AC47" s="193"/>
      <c r="AD47" s="193"/>
      <c r="AE47" s="193"/>
      <c r="AF47" s="193"/>
      <c r="AG47" s="193"/>
      <c r="AH47" s="193"/>
      <c r="AI47" s="193"/>
      <c r="AJ47" s="193"/>
      <c r="AK47" s="193"/>
      <c r="AL47" s="193"/>
      <c r="AM47" s="193"/>
      <c r="AN47" s="193"/>
      <c r="AO47" s="193"/>
      <c r="AP47" s="193"/>
      <c r="AQ47" s="193"/>
      <c r="AR47" s="194" t="str">
        <f aca="false">IF($A47="","",IF(OR($N47="Yes",$T47="Yes",$Z47="Yes",$AF47="Yes",$AL47="Yes"),"Yes","No"))</f>
        <v>Yes</v>
      </c>
      <c r="AS47" s="194" t="str">
        <f aca="false">IF($A47="","",IFERROR(IF($AM47&lt;&gt;"",$AM47,IF($AG47&lt;&gt;"",$AG47,IF($AA47&lt;&gt;"",$AA47,IF($U47&lt;&gt;"",$U47,IF($O47&lt;&gt;"",$O47,""))))),""))</f>
        <v/>
      </c>
      <c r="AT47" s="194" t="str">
        <f aca="false">IFERROR(IF($AN47&lt;&gt;"",$AN47,IF($AH47&lt;&gt;"",$AH47,IF($AB47&lt;&gt;"",$AB47,IF($V47&lt;&gt;"",$V47,IF($P47&lt;&gt;"",$P47,""))))),"")</f>
        <v>Pass</v>
      </c>
      <c r="AU47" s="195" t="s">
        <v>1533</v>
      </c>
    </row>
    <row r="48" customFormat="false" ht="15.75" hidden="false" customHeight="true" outlineLevel="0" collapsed="false">
      <c r="A48" s="192" t="str">
        <f aca="false">IF($F48="","",$C$2&amp;"."&amp;COUNTA($F$7:$F48)&amp;"")</f>
        <v>TC_09.30</v>
      </c>
      <c r="B48" s="192" t="s">
        <v>670</v>
      </c>
      <c r="C48" s="192" t="s">
        <v>995</v>
      </c>
      <c r="D48" s="192" t="s">
        <v>41</v>
      </c>
      <c r="E48" s="192" t="s">
        <v>157</v>
      </c>
      <c r="F48" s="13" t="s">
        <v>1534</v>
      </c>
      <c r="G48" s="13" t="s">
        <v>1535</v>
      </c>
      <c r="H48" s="13" t="s">
        <v>1536</v>
      </c>
      <c r="I48" s="13" t="s">
        <v>1537</v>
      </c>
      <c r="J48" s="192" t="s">
        <v>745</v>
      </c>
      <c r="K48" s="192" t="s">
        <v>243</v>
      </c>
      <c r="L48" s="192" t="s">
        <v>746</v>
      </c>
      <c r="M48" s="192"/>
      <c r="N48" s="193" t="s">
        <v>747</v>
      </c>
      <c r="O48" s="193"/>
      <c r="P48" s="193" t="s">
        <v>25</v>
      </c>
      <c r="Q48" s="193" t="s">
        <v>102</v>
      </c>
      <c r="R48" s="193" t="s">
        <v>421</v>
      </c>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Yes</v>
      </c>
      <c r="AS48" s="194" t="str">
        <f aca="false">IF($A48="","",IFERROR(IF($AM48&lt;&gt;"",$AM48,IF($AG48&lt;&gt;"",$AG48,IF($AA48&lt;&gt;"",$AA48,IF($U48&lt;&gt;"",$U48,IF($O48&lt;&gt;"",$O48,""))))),""))</f>
        <v/>
      </c>
      <c r="AT48" s="194" t="str">
        <f aca="false">IFERROR(IF($AN48&lt;&gt;"",$AN48,IF($AH48&lt;&gt;"",$AH48,IF($AB48&lt;&gt;"",$AB48,IF($V48&lt;&gt;"",$V48,IF($P48&lt;&gt;"",$P48,""))))),"")</f>
        <v>Fail</v>
      </c>
      <c r="AU48" s="195" t="s">
        <v>1538</v>
      </c>
    </row>
    <row r="49" customFormat="false" ht="15.75" hidden="false" customHeight="true" outlineLevel="0" collapsed="false">
      <c r="A49" s="192" t="str">
        <f aca="false">IF($F49="","",$C$2&amp;"."&amp;COUNTA($F$7:$F49)&amp;"")</f>
        <v>TC_09.31</v>
      </c>
      <c r="B49" s="192" t="s">
        <v>670</v>
      </c>
      <c r="C49" s="192" t="s">
        <v>617</v>
      </c>
      <c r="D49" s="192" t="s">
        <v>41</v>
      </c>
      <c r="E49" s="192" t="s">
        <v>157</v>
      </c>
      <c r="F49" s="13" t="s">
        <v>1539</v>
      </c>
      <c r="G49" s="13" t="s">
        <v>1540</v>
      </c>
      <c r="H49" s="13" t="s">
        <v>1541</v>
      </c>
      <c r="I49" s="13" t="s">
        <v>1542</v>
      </c>
      <c r="J49" s="192" t="s">
        <v>745</v>
      </c>
      <c r="K49" s="192" t="s">
        <v>243</v>
      </c>
      <c r="L49" s="192" t="s">
        <v>746</v>
      </c>
      <c r="M49" s="192"/>
      <c r="N49" s="193"/>
      <c r="O49" s="193"/>
      <c r="P49" s="193"/>
      <c r="Q49" s="193" t="s">
        <v>102</v>
      </c>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No</v>
      </c>
      <c r="AS49" s="194" t="str">
        <f aca="false">IF($A49="","",IFERROR(IF($AM49&lt;&gt;"",$AM49,IF($AG49&lt;&gt;"",$AG49,IF($AA49&lt;&gt;"",$AA49,IF($U49&lt;&gt;"",$U49,IF($O49&lt;&gt;"",$O49,""))))),""))</f>
        <v/>
      </c>
      <c r="AT49" s="194" t="str">
        <f aca="false">IFERROR(IF($AN49&lt;&gt;"",$AN49,IF($AH49&lt;&gt;"",$AH49,IF($AB49&lt;&gt;"",$AB49,IF($V49&lt;&gt;"",$V49,IF($P49&lt;&gt;"",$P49,""))))),"")</f>
        <v/>
      </c>
      <c r="AU49" s="195" t="s">
        <v>1543</v>
      </c>
    </row>
    <row r="50" customFormat="false" ht="15.75" hidden="false" customHeight="true" outlineLevel="0" collapsed="false">
      <c r="A50" s="190"/>
      <c r="B50" s="190"/>
      <c r="C50" s="191" t="s">
        <v>1544</v>
      </c>
      <c r="D50" s="191"/>
      <c r="E50" s="191"/>
      <c r="F50" s="191"/>
      <c r="G50" s="191"/>
      <c r="H50" s="191"/>
      <c r="I50" s="191"/>
      <c r="J50" s="191"/>
      <c r="K50" s="191"/>
      <c r="L50" s="191"/>
      <c r="M50" s="191"/>
      <c r="N50" s="191"/>
      <c r="O50" s="191"/>
      <c r="P50" s="191"/>
      <c r="Q50" s="191"/>
      <c r="R50" s="191"/>
      <c r="S50" s="191"/>
      <c r="T50" s="191"/>
      <c r="U50" s="191"/>
      <c r="V50" s="191"/>
      <c r="W50" s="191"/>
      <c r="X50" s="191"/>
      <c r="Y50" s="191"/>
      <c r="Z50" s="191"/>
      <c r="AA50" s="191"/>
      <c r="AB50" s="191"/>
      <c r="AC50" s="191"/>
      <c r="AD50" s="191"/>
      <c r="AE50" s="191"/>
      <c r="AF50" s="191"/>
      <c r="AG50" s="191"/>
      <c r="AH50" s="191"/>
      <c r="AI50" s="191"/>
      <c r="AJ50" s="191"/>
      <c r="AK50" s="191"/>
      <c r="AL50" s="191"/>
      <c r="AM50" s="191"/>
      <c r="AN50" s="191"/>
      <c r="AO50" s="191"/>
      <c r="AP50" s="191"/>
      <c r="AQ50" s="191"/>
      <c r="AR50" s="191"/>
      <c r="AS50" s="191"/>
      <c r="AT50" s="191"/>
      <c r="AU50" s="191"/>
    </row>
    <row r="51" customFormat="false" ht="15.75" hidden="false" customHeight="true" outlineLevel="0" collapsed="false">
      <c r="A51" s="192" t="str">
        <f aca="false">IF($F51="","",$C$2&amp;"."&amp;COUNTA($F$7:$F51)&amp;"")</f>
        <v>TC_09.32</v>
      </c>
      <c r="B51" s="192" t="s">
        <v>673</v>
      </c>
      <c r="C51" s="192" t="s">
        <v>617</v>
      </c>
      <c r="D51" s="192" t="s">
        <v>43</v>
      </c>
      <c r="E51" s="192" t="s">
        <v>158</v>
      </c>
      <c r="F51" s="13" t="s">
        <v>1545</v>
      </c>
      <c r="G51" s="13" t="s">
        <v>1546</v>
      </c>
      <c r="H51" s="13" t="s">
        <v>1547</v>
      </c>
      <c r="I51" s="13" t="s">
        <v>1548</v>
      </c>
      <c r="J51" s="192" t="s">
        <v>745</v>
      </c>
      <c r="K51" s="192" t="s">
        <v>243</v>
      </c>
      <c r="L51" s="192" t="s">
        <v>746</v>
      </c>
      <c r="M51" s="192"/>
      <c r="N51" s="193" t="s">
        <v>747</v>
      </c>
      <c r="O51" s="193"/>
      <c r="P51" s="193" t="s">
        <v>23</v>
      </c>
      <c r="Q51" s="193" t="s">
        <v>102</v>
      </c>
      <c r="R51" s="193"/>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Pass</v>
      </c>
      <c r="AU51" s="195" t="s">
        <v>1549</v>
      </c>
    </row>
    <row r="52" customFormat="false" ht="15.75" hidden="false" customHeight="true" outlineLevel="0" collapsed="false">
      <c r="A52" s="192" t="str">
        <f aca="false">IF($F52="","",$C$2&amp;"."&amp;COUNTA($F$7:$F52)&amp;"")</f>
        <v>TC_09.33</v>
      </c>
      <c r="B52" s="192" t="s">
        <v>673</v>
      </c>
      <c r="C52" s="192" t="s">
        <v>617</v>
      </c>
      <c r="D52" s="192" t="s">
        <v>43</v>
      </c>
      <c r="E52" s="192" t="s">
        <v>158</v>
      </c>
      <c r="F52" s="13" t="s">
        <v>1550</v>
      </c>
      <c r="G52" s="13" t="s">
        <v>1546</v>
      </c>
      <c r="H52" s="13" t="s">
        <v>1551</v>
      </c>
      <c r="I52" s="13" t="s">
        <v>1552</v>
      </c>
      <c r="J52" s="192" t="s">
        <v>745</v>
      </c>
      <c r="K52" s="192" t="s">
        <v>243</v>
      </c>
      <c r="L52" s="192" t="s">
        <v>746</v>
      </c>
      <c r="M52" s="192"/>
      <c r="N52" s="193" t="s">
        <v>747</v>
      </c>
      <c r="O52" s="193"/>
      <c r="P52" s="193" t="s">
        <v>23</v>
      </c>
      <c r="Q52" s="193" t="s">
        <v>102</v>
      </c>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Yes</v>
      </c>
      <c r="AS52" s="194" t="str">
        <f aca="false">IF($A52="","",IFERROR(IF($AM52&lt;&gt;"",$AM52,IF($AG52&lt;&gt;"",$AG52,IF($AA52&lt;&gt;"",$AA52,IF($U52&lt;&gt;"",$U52,IF($O52&lt;&gt;"",$O52,""))))),""))</f>
        <v/>
      </c>
      <c r="AT52" s="194" t="str">
        <f aca="false">IFERROR(IF($AN52&lt;&gt;"",$AN52,IF($AH52&lt;&gt;"",$AH52,IF($AB52&lt;&gt;"",$AB52,IF($V52&lt;&gt;"",$V52,IF($P52&lt;&gt;"",$P52,""))))),"")</f>
        <v>Pass</v>
      </c>
      <c r="AU52" s="195" t="s">
        <v>1553</v>
      </c>
    </row>
    <row r="53" customFormat="false" ht="15.75" hidden="false" customHeight="true" outlineLevel="0" collapsed="false">
      <c r="A53" s="190"/>
      <c r="B53" s="190"/>
      <c r="C53" s="191" t="s">
        <v>1554</v>
      </c>
      <c r="D53" s="191"/>
      <c r="E53" s="191"/>
      <c r="F53" s="191"/>
      <c r="G53" s="191"/>
      <c r="H53" s="191"/>
      <c r="I53" s="191"/>
      <c r="J53" s="191"/>
      <c r="K53" s="191"/>
      <c r="L53" s="191"/>
      <c r="M53" s="191"/>
      <c r="N53" s="191"/>
      <c r="O53" s="191"/>
      <c r="P53" s="191"/>
      <c r="Q53" s="191"/>
      <c r="R53" s="191"/>
      <c r="S53" s="191"/>
      <c r="T53" s="191"/>
      <c r="U53" s="191"/>
      <c r="V53" s="191"/>
      <c r="W53" s="191"/>
      <c r="X53" s="191"/>
      <c r="Y53" s="191"/>
      <c r="Z53" s="191"/>
      <c r="AA53" s="191"/>
      <c r="AB53" s="191"/>
      <c r="AC53" s="191"/>
      <c r="AD53" s="191"/>
      <c r="AE53" s="191"/>
      <c r="AF53" s="191"/>
      <c r="AG53" s="191"/>
      <c r="AH53" s="191"/>
      <c r="AI53" s="191"/>
      <c r="AJ53" s="191"/>
      <c r="AK53" s="191"/>
      <c r="AL53" s="191"/>
      <c r="AM53" s="191"/>
      <c r="AN53" s="191"/>
      <c r="AO53" s="191"/>
      <c r="AP53" s="191"/>
      <c r="AQ53" s="191"/>
      <c r="AR53" s="191"/>
      <c r="AS53" s="191"/>
      <c r="AT53" s="191"/>
      <c r="AU53" s="191"/>
    </row>
    <row r="54" customFormat="false" ht="15.75" hidden="false" customHeight="true" outlineLevel="0" collapsed="false">
      <c r="A54" s="192" t="str">
        <f aca="false">IF($F54="","",$C$2&amp;"."&amp;COUNTA($F$7:$F54)&amp;"")</f>
        <v>TC_09.34</v>
      </c>
      <c r="B54" s="192" t="s">
        <v>676</v>
      </c>
      <c r="C54" s="192" t="s">
        <v>617</v>
      </c>
      <c r="D54" s="192" t="s">
        <v>41</v>
      </c>
      <c r="E54" s="192" t="s">
        <v>156</v>
      </c>
      <c r="F54" s="13" t="s">
        <v>1555</v>
      </c>
      <c r="G54" s="13" t="s">
        <v>1556</v>
      </c>
      <c r="H54" s="13" t="s">
        <v>1557</v>
      </c>
      <c r="I54" s="13" t="s">
        <v>1558</v>
      </c>
      <c r="J54" s="192" t="s">
        <v>745</v>
      </c>
      <c r="K54" s="192" t="s">
        <v>243</v>
      </c>
      <c r="L54" s="192" t="s">
        <v>746</v>
      </c>
      <c r="M54" s="192"/>
      <c r="N54" s="193" t="s">
        <v>747</v>
      </c>
      <c r="O54" s="193"/>
      <c r="P54" s="193" t="s">
        <v>25</v>
      </c>
      <c r="Q54" s="193" t="s">
        <v>102</v>
      </c>
      <c r="R54" s="193" t="s">
        <v>433</v>
      </c>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Yes</v>
      </c>
      <c r="AS54" s="194" t="str">
        <f aca="false">IF($A54="","",IFERROR(IF($AM54&lt;&gt;"",$AM54,IF($AG54&lt;&gt;"",$AG54,IF($AA54&lt;&gt;"",$AA54,IF($U54&lt;&gt;"",$U54,IF($O54&lt;&gt;"",$O54,""))))),""))</f>
        <v/>
      </c>
      <c r="AT54" s="194" t="str">
        <f aca="false">IFERROR(IF($AN54&lt;&gt;"",$AN54,IF($AH54&lt;&gt;"",$AH54,IF($AB54&lt;&gt;"",$AB54,IF($V54&lt;&gt;"",$V54,IF($P54&lt;&gt;"",$P54,""))))),"")</f>
        <v>Fail</v>
      </c>
      <c r="AU54" s="195" t="s">
        <v>1559</v>
      </c>
    </row>
    <row r="55" customFormat="false" ht="15.75" hidden="false" customHeight="true" outlineLevel="0" collapsed="false">
      <c r="A55" s="192" t="str">
        <f aca="false">IF($F55="","",$C$2&amp;"."&amp;COUNTA($F$7:$F55)&amp;"")</f>
        <v>TC_09.35</v>
      </c>
      <c r="B55" s="192" t="s">
        <v>676</v>
      </c>
      <c r="C55" s="192" t="s">
        <v>617</v>
      </c>
      <c r="D55" s="192" t="s">
        <v>41</v>
      </c>
      <c r="E55" s="192" t="s">
        <v>157</v>
      </c>
      <c r="F55" s="13" t="s">
        <v>1560</v>
      </c>
      <c r="G55" s="13" t="s">
        <v>1561</v>
      </c>
      <c r="H55" s="13" t="s">
        <v>1562</v>
      </c>
      <c r="I55" s="13" t="s">
        <v>1563</v>
      </c>
      <c r="J55" s="192" t="s">
        <v>745</v>
      </c>
      <c r="K55" s="192" t="s">
        <v>243</v>
      </c>
      <c r="L55" s="192" t="s">
        <v>746</v>
      </c>
      <c r="M55" s="192"/>
      <c r="N55" s="193" t="s">
        <v>747</v>
      </c>
      <c r="O55" s="193"/>
      <c r="P55" s="193" t="s">
        <v>23</v>
      </c>
      <c r="Q55" s="193" t="s">
        <v>102</v>
      </c>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Yes</v>
      </c>
      <c r="AS55" s="194" t="str">
        <f aca="false">IF($A55="","",IFERROR(IF($AM55&lt;&gt;"",$AM55,IF($AG55&lt;&gt;"",$AG55,IF($AA55&lt;&gt;"",$AA55,IF($U55&lt;&gt;"",$U55,IF($O55&lt;&gt;"",$O55,""))))),""))</f>
        <v/>
      </c>
      <c r="AT55" s="194" t="str">
        <f aca="false">IFERROR(IF($AN55&lt;&gt;"",$AN55,IF($AH55&lt;&gt;"",$AH55,IF($AB55&lt;&gt;"",$AB55,IF($V55&lt;&gt;"",$V55,IF($P55&lt;&gt;"",$P55,""))))),"")</f>
        <v>Pass</v>
      </c>
      <c r="AU55" s="195" t="s">
        <v>1564</v>
      </c>
    </row>
    <row r="56" customFormat="false" ht="15.75" hidden="false" customHeight="true" outlineLevel="0" collapsed="false">
      <c r="A56" s="192" t="str">
        <f aca="false">IF($F56="","",$C$2&amp;"."&amp;COUNTA($F$7:$F56)&amp;"")</f>
        <v>TC_09.36</v>
      </c>
      <c r="B56" s="192" t="s">
        <v>676</v>
      </c>
      <c r="C56" s="192" t="s">
        <v>617</v>
      </c>
      <c r="D56" s="192" t="s">
        <v>41</v>
      </c>
      <c r="E56" s="192" t="s">
        <v>157</v>
      </c>
      <c r="F56" s="13" t="s">
        <v>1565</v>
      </c>
      <c r="G56" s="13" t="s">
        <v>1566</v>
      </c>
      <c r="H56" s="13" t="s">
        <v>1567</v>
      </c>
      <c r="I56" s="13" t="s">
        <v>1563</v>
      </c>
      <c r="J56" s="192" t="s">
        <v>745</v>
      </c>
      <c r="K56" s="192" t="s">
        <v>243</v>
      </c>
      <c r="L56" s="192" t="s">
        <v>746</v>
      </c>
      <c r="M56" s="192"/>
      <c r="N56" s="193" t="s">
        <v>747</v>
      </c>
      <c r="O56" s="193"/>
      <c r="P56" s="193" t="s">
        <v>23</v>
      </c>
      <c r="Q56" s="193" t="s">
        <v>102</v>
      </c>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3"/>
      <c r="AR56" s="194" t="str">
        <f aca="false">IF($A56="","",IF(OR($N56="Yes",$T56="Yes",$Z56="Yes",$AF56="Yes",$AL56="Yes"),"Yes","No"))</f>
        <v>Yes</v>
      </c>
      <c r="AS56" s="194" t="str">
        <f aca="false">IF($A56="","",IFERROR(IF($AM56&lt;&gt;"",$AM56,IF($AG56&lt;&gt;"",$AG56,IF($AA56&lt;&gt;"",$AA56,IF($U56&lt;&gt;"",$U56,IF($O56&lt;&gt;"",$O56,""))))),""))</f>
        <v/>
      </c>
      <c r="AT56" s="194" t="str">
        <f aca="false">IFERROR(IF($AN56&lt;&gt;"",$AN56,IF($AH56&lt;&gt;"",$AH56,IF($AB56&lt;&gt;"",$AB56,IF($V56&lt;&gt;"",$V56,IF($P56&lt;&gt;"",$P56,""))))),"")</f>
        <v>Pass</v>
      </c>
      <c r="AU56" s="195" t="s">
        <v>1568</v>
      </c>
    </row>
    <row r="57" customFormat="false" ht="15.75" hidden="false" customHeight="true" outlineLevel="0" collapsed="false">
      <c r="A57" s="192" t="str">
        <f aca="false">IF($F57="","",$C$2&amp;"."&amp;COUNTA($F$7:$F57)&amp;"")</f>
        <v>TC_09.37</v>
      </c>
      <c r="B57" s="192" t="s">
        <v>676</v>
      </c>
      <c r="C57" s="192" t="s">
        <v>617</v>
      </c>
      <c r="D57" s="192" t="s">
        <v>41</v>
      </c>
      <c r="E57" s="192" t="s">
        <v>157</v>
      </c>
      <c r="F57" s="13" t="s">
        <v>1569</v>
      </c>
      <c r="G57" s="13" t="s">
        <v>1570</v>
      </c>
      <c r="H57" s="13" t="s">
        <v>1571</v>
      </c>
      <c r="I57" s="13" t="s">
        <v>1572</v>
      </c>
      <c r="J57" s="192" t="s">
        <v>745</v>
      </c>
      <c r="K57" s="192" t="s">
        <v>243</v>
      </c>
      <c r="L57" s="192" t="s">
        <v>746</v>
      </c>
      <c r="M57" s="192"/>
      <c r="N57" s="193" t="s">
        <v>747</v>
      </c>
      <c r="O57" s="193"/>
      <c r="P57" s="193" t="s">
        <v>25</v>
      </c>
      <c r="Q57" s="193" t="s">
        <v>102</v>
      </c>
      <c r="R57" s="193" t="s">
        <v>421</v>
      </c>
      <c r="S57" s="193"/>
      <c r="T57" s="193"/>
      <c r="U57" s="193"/>
      <c r="V57" s="193"/>
      <c r="W57" s="193"/>
      <c r="X57" s="193"/>
      <c r="Y57" s="193"/>
      <c r="Z57" s="193"/>
      <c r="AA57" s="193"/>
      <c r="AB57" s="193"/>
      <c r="AC57" s="193"/>
      <c r="AD57" s="193"/>
      <c r="AE57" s="193"/>
      <c r="AF57" s="193"/>
      <c r="AG57" s="193"/>
      <c r="AH57" s="193"/>
      <c r="AI57" s="193"/>
      <c r="AJ57" s="193"/>
      <c r="AK57" s="193"/>
      <c r="AL57" s="193"/>
      <c r="AM57" s="193"/>
      <c r="AN57" s="193"/>
      <c r="AO57" s="193"/>
      <c r="AP57" s="193"/>
      <c r="AQ57" s="193"/>
      <c r="AR57" s="194" t="str">
        <f aca="false">IF($A57="","",IF(OR($N57="Yes",$T57="Yes",$Z57="Yes",$AF57="Yes",$AL57="Yes"),"Yes","No"))</f>
        <v>Yes</v>
      </c>
      <c r="AS57" s="194" t="str">
        <f aca="false">IF($A57="","",IFERROR(IF($AM57&lt;&gt;"",$AM57,IF($AG57&lt;&gt;"",$AG57,IF($AA57&lt;&gt;"",$AA57,IF($U57&lt;&gt;"",$U57,IF($O57&lt;&gt;"",$O57,""))))),""))</f>
        <v/>
      </c>
      <c r="AT57" s="194" t="str">
        <f aca="false">IFERROR(IF($AN57&lt;&gt;"",$AN57,IF($AH57&lt;&gt;"",$AH57,IF($AB57&lt;&gt;"",$AB57,IF($V57&lt;&gt;"",$V57,IF($P57&lt;&gt;"",$P57,""))))),"")</f>
        <v>Fail</v>
      </c>
      <c r="AU57" s="195" t="s">
        <v>1573</v>
      </c>
    </row>
    <row r="58" customFormat="false" ht="15.75" hidden="false" customHeight="true" outlineLevel="0" collapsed="false">
      <c r="A58" s="192" t="str">
        <f aca="false">IF($F58="","",$C$2&amp;"."&amp;COUNTA($F$7:$F58)&amp;"")</f>
        <v>TC_09.38</v>
      </c>
      <c r="B58" s="192" t="s">
        <v>676</v>
      </c>
      <c r="C58" s="192" t="s">
        <v>617</v>
      </c>
      <c r="D58" s="192" t="s">
        <v>41</v>
      </c>
      <c r="E58" s="192" t="s">
        <v>157</v>
      </c>
      <c r="F58" s="13" t="s">
        <v>1574</v>
      </c>
      <c r="G58" s="13" t="s">
        <v>1575</v>
      </c>
      <c r="H58" s="13" t="s">
        <v>1576</v>
      </c>
      <c r="I58" s="13" t="s">
        <v>1577</v>
      </c>
      <c r="J58" s="192" t="s">
        <v>745</v>
      </c>
      <c r="K58" s="192" t="s">
        <v>243</v>
      </c>
      <c r="L58" s="192" t="s">
        <v>746</v>
      </c>
      <c r="M58" s="192"/>
      <c r="N58" s="193" t="s">
        <v>747</v>
      </c>
      <c r="O58" s="193"/>
      <c r="P58" s="193" t="s">
        <v>23</v>
      </c>
      <c r="Q58" s="193" t="s">
        <v>102</v>
      </c>
      <c r="R58" s="193"/>
      <c r="S58" s="193"/>
      <c r="T58" s="193"/>
      <c r="U58" s="193"/>
      <c r="V58" s="193"/>
      <c r="W58" s="193"/>
      <c r="X58" s="193"/>
      <c r="Y58" s="193"/>
      <c r="Z58" s="193"/>
      <c r="AA58" s="193"/>
      <c r="AB58" s="193"/>
      <c r="AC58" s="193"/>
      <c r="AD58" s="193"/>
      <c r="AE58" s="193"/>
      <c r="AF58" s="193"/>
      <c r="AG58" s="193"/>
      <c r="AH58" s="193"/>
      <c r="AI58" s="193"/>
      <c r="AJ58" s="193"/>
      <c r="AK58" s="193"/>
      <c r="AL58" s="193"/>
      <c r="AM58" s="193"/>
      <c r="AN58" s="193"/>
      <c r="AO58" s="193"/>
      <c r="AP58" s="193"/>
      <c r="AQ58" s="193"/>
      <c r="AR58" s="194" t="str">
        <f aca="false">IF($A58="","",IF(OR($N58="Yes",$T58="Yes",$Z58="Yes",$AF58="Yes",$AL58="Yes"),"Yes","No"))</f>
        <v>Yes</v>
      </c>
      <c r="AS58" s="194" t="str">
        <f aca="false">IF($A58="","",IFERROR(IF($AM58&lt;&gt;"",$AM58,IF($AG58&lt;&gt;"",$AG58,IF($AA58&lt;&gt;"",$AA58,IF($U58&lt;&gt;"",$U58,IF($O58&lt;&gt;"",$O58,""))))),""))</f>
        <v/>
      </c>
      <c r="AT58" s="194" t="str">
        <f aca="false">IFERROR(IF($AN58&lt;&gt;"",$AN58,IF($AH58&lt;&gt;"",$AH58,IF($AB58&lt;&gt;"",$AB58,IF($V58&lt;&gt;"",$V58,IF($P58&lt;&gt;"",$P58,""))))),"")</f>
        <v>Pass</v>
      </c>
      <c r="AU58" s="195" t="s">
        <v>1578</v>
      </c>
    </row>
    <row r="59" customFormat="false" ht="15.75" hidden="false" customHeight="true" outlineLevel="0" collapsed="false">
      <c r="A59" s="190"/>
      <c r="B59" s="190"/>
      <c r="C59" s="191" t="s">
        <v>1579</v>
      </c>
      <c r="D59" s="191"/>
      <c r="E59" s="191"/>
      <c r="F59" s="191"/>
      <c r="G59" s="191"/>
      <c r="H59" s="191"/>
      <c r="I59" s="191"/>
      <c r="J59" s="191"/>
      <c r="K59" s="191"/>
      <c r="L59" s="191"/>
      <c r="M59" s="191"/>
      <c r="N59" s="191"/>
      <c r="O59" s="191"/>
      <c r="P59" s="191"/>
      <c r="Q59" s="191"/>
      <c r="R59" s="191"/>
      <c r="S59" s="191"/>
      <c r="T59" s="191"/>
      <c r="U59" s="191"/>
      <c r="V59" s="191"/>
      <c r="W59" s="191"/>
      <c r="X59" s="191"/>
      <c r="Y59" s="191"/>
      <c r="Z59" s="191"/>
      <c r="AA59" s="191"/>
      <c r="AB59" s="191"/>
      <c r="AC59" s="191"/>
      <c r="AD59" s="191"/>
      <c r="AE59" s="191"/>
      <c r="AF59" s="191"/>
      <c r="AG59" s="191"/>
      <c r="AH59" s="191"/>
      <c r="AI59" s="191"/>
      <c r="AJ59" s="191"/>
      <c r="AK59" s="191"/>
      <c r="AL59" s="191"/>
      <c r="AM59" s="191"/>
      <c r="AN59" s="191"/>
      <c r="AO59" s="191"/>
      <c r="AP59" s="191"/>
      <c r="AQ59" s="191"/>
      <c r="AR59" s="191"/>
      <c r="AS59" s="191"/>
      <c r="AT59" s="191"/>
      <c r="AU59" s="191"/>
    </row>
    <row r="60" customFormat="false" ht="15.75" hidden="false" customHeight="true" outlineLevel="0" collapsed="false">
      <c r="A60" s="192" t="str">
        <f aca="false">IF($F60="","",$C$2&amp;"."&amp;COUNTA($F$7:$F60)&amp;"")</f>
        <v>TC_09.39</v>
      </c>
      <c r="B60" s="192" t="s">
        <v>679</v>
      </c>
      <c r="C60" s="192" t="s">
        <v>617</v>
      </c>
      <c r="D60" s="192" t="s">
        <v>41</v>
      </c>
      <c r="E60" s="192" t="s">
        <v>157</v>
      </c>
      <c r="F60" s="13" t="s">
        <v>1580</v>
      </c>
      <c r="G60" s="13" t="s">
        <v>1581</v>
      </c>
      <c r="H60" s="13" t="s">
        <v>1582</v>
      </c>
      <c r="I60" s="13" t="s">
        <v>1583</v>
      </c>
      <c r="J60" s="192" t="s">
        <v>745</v>
      </c>
      <c r="K60" s="192" t="s">
        <v>243</v>
      </c>
      <c r="L60" s="192" t="s">
        <v>746</v>
      </c>
      <c r="M60" s="192"/>
      <c r="N60" s="193" t="s">
        <v>747</v>
      </c>
      <c r="O60" s="193"/>
      <c r="P60" s="193" t="s">
        <v>23</v>
      </c>
      <c r="Q60" s="193" t="s">
        <v>102</v>
      </c>
      <c r="R60" s="193"/>
      <c r="S60" s="193"/>
      <c r="T60" s="193"/>
      <c r="U60" s="193"/>
      <c r="V60" s="193"/>
      <c r="W60" s="193"/>
      <c r="X60" s="193"/>
      <c r="Y60" s="193"/>
      <c r="Z60" s="193"/>
      <c r="AA60" s="193"/>
      <c r="AB60" s="193"/>
      <c r="AC60" s="193"/>
      <c r="AD60" s="193"/>
      <c r="AE60" s="193"/>
      <c r="AF60" s="193"/>
      <c r="AG60" s="193"/>
      <c r="AH60" s="193"/>
      <c r="AI60" s="193"/>
      <c r="AJ60" s="193"/>
      <c r="AK60" s="193"/>
      <c r="AL60" s="193"/>
      <c r="AM60" s="193"/>
      <c r="AN60" s="193"/>
      <c r="AO60" s="193"/>
      <c r="AP60" s="193"/>
      <c r="AQ60" s="193"/>
      <c r="AR60" s="194" t="str">
        <f aca="false">IF($A60="","",IF(OR($N60="Yes",$T60="Yes",$Z60="Yes",$AF60="Yes",$AL60="Yes"),"Yes","No"))</f>
        <v>Yes</v>
      </c>
      <c r="AS60" s="194" t="str">
        <f aca="false">IF($A60="","",IFERROR(IF($AM60&lt;&gt;"",$AM60,IF($AG60&lt;&gt;"",$AG60,IF($AA60&lt;&gt;"",$AA60,IF($U60&lt;&gt;"",$U60,IF($O60&lt;&gt;"",$O60,""))))),""))</f>
        <v/>
      </c>
      <c r="AT60" s="194" t="str">
        <f aca="false">IFERROR(IF($AN60&lt;&gt;"",$AN60,IF($AH60&lt;&gt;"",$AH60,IF($AB60&lt;&gt;"",$AB60,IF($V60&lt;&gt;"",$V60,IF($P60&lt;&gt;"",$P60,""))))),"")</f>
        <v>Pass</v>
      </c>
      <c r="AU60" s="195" t="s">
        <v>1584</v>
      </c>
    </row>
    <row r="61" customFormat="false" ht="15.75" hidden="false" customHeight="true" outlineLevel="0" collapsed="false">
      <c r="A61" s="192" t="str">
        <f aca="false">IF($F61="","",$C$2&amp;"."&amp;COUNTA($F$7:$F61)&amp;"")</f>
        <v>TC_09.40</v>
      </c>
      <c r="B61" s="192" t="s">
        <v>679</v>
      </c>
      <c r="C61" s="192" t="s">
        <v>617</v>
      </c>
      <c r="D61" s="192" t="s">
        <v>41</v>
      </c>
      <c r="E61" s="192" t="s">
        <v>157</v>
      </c>
      <c r="F61" s="13" t="s">
        <v>1585</v>
      </c>
      <c r="G61" s="13" t="s">
        <v>1586</v>
      </c>
      <c r="H61" s="13" t="s">
        <v>1587</v>
      </c>
      <c r="I61" s="13" t="s">
        <v>1588</v>
      </c>
      <c r="J61" s="192" t="s">
        <v>745</v>
      </c>
      <c r="K61" s="192" t="s">
        <v>243</v>
      </c>
      <c r="L61" s="192" t="s">
        <v>746</v>
      </c>
      <c r="M61" s="192"/>
      <c r="N61" s="193"/>
      <c r="O61" s="193"/>
      <c r="P61" s="193"/>
      <c r="Q61" s="193" t="s">
        <v>102</v>
      </c>
      <c r="R61" s="193"/>
      <c r="S61" s="193"/>
      <c r="T61" s="193"/>
      <c r="U61" s="193"/>
      <c r="V61" s="193"/>
      <c r="W61" s="193"/>
      <c r="X61" s="193"/>
      <c r="Y61" s="193"/>
      <c r="Z61" s="193"/>
      <c r="AA61" s="193"/>
      <c r="AB61" s="193"/>
      <c r="AC61" s="193"/>
      <c r="AD61" s="193"/>
      <c r="AE61" s="193"/>
      <c r="AF61" s="193"/>
      <c r="AG61" s="193"/>
      <c r="AH61" s="193"/>
      <c r="AI61" s="193"/>
      <c r="AJ61" s="193"/>
      <c r="AK61" s="193"/>
      <c r="AL61" s="193"/>
      <c r="AM61" s="193"/>
      <c r="AN61" s="193"/>
      <c r="AO61" s="193"/>
      <c r="AP61" s="193"/>
      <c r="AQ61" s="193"/>
      <c r="AR61" s="194" t="str">
        <f aca="false">IF($A61="","",IF(OR($N61="Yes",$T61="Yes",$Z61="Yes",$AF61="Yes",$AL61="Yes"),"Yes","No"))</f>
        <v>No</v>
      </c>
      <c r="AS61" s="194" t="str">
        <f aca="false">IF($A61="","",IFERROR(IF($AM61&lt;&gt;"",$AM61,IF($AG61&lt;&gt;"",$AG61,IF($AA61&lt;&gt;"",$AA61,IF($U61&lt;&gt;"",$U61,IF($O61&lt;&gt;"",$O61,""))))),""))</f>
        <v/>
      </c>
      <c r="AT61" s="194" t="str">
        <f aca="false">IFERROR(IF($AN61&lt;&gt;"",$AN61,IF($AH61&lt;&gt;"",$AH61,IF($AB61&lt;&gt;"",$AB61,IF($V61&lt;&gt;"",$V61,IF($P61&lt;&gt;"",$P61,""))))),"")</f>
        <v/>
      </c>
      <c r="AU61" s="195" t="s">
        <v>1589</v>
      </c>
      <c r="AV61" s="1"/>
    </row>
    <row r="62" customFormat="false" ht="15.75" hidden="false" customHeight="true" outlineLevel="0" collapsed="false">
      <c r="A62" s="192" t="str">
        <f aca="false">IF($F62="","",$C$2&amp;"."&amp;COUNTA($F$7:$F62)&amp;"")</f>
        <v>TC_09.41</v>
      </c>
      <c r="B62" s="192" t="s">
        <v>679</v>
      </c>
      <c r="C62" s="192" t="s">
        <v>617</v>
      </c>
      <c r="D62" s="192" t="s">
        <v>41</v>
      </c>
      <c r="E62" s="192" t="s">
        <v>157</v>
      </c>
      <c r="F62" s="13" t="s">
        <v>1590</v>
      </c>
      <c r="G62" s="13" t="s">
        <v>1591</v>
      </c>
      <c r="H62" s="13" t="s">
        <v>1592</v>
      </c>
      <c r="I62" s="13" t="s">
        <v>1593</v>
      </c>
      <c r="J62" s="192" t="s">
        <v>745</v>
      </c>
      <c r="K62" s="192" t="s">
        <v>243</v>
      </c>
      <c r="L62" s="192" t="s">
        <v>746</v>
      </c>
      <c r="M62" s="192"/>
      <c r="N62" s="193" t="s">
        <v>747</v>
      </c>
      <c r="O62" s="193"/>
      <c r="P62" s="193" t="s">
        <v>23</v>
      </c>
      <c r="Q62" s="193" t="s">
        <v>102</v>
      </c>
      <c r="R62" s="193"/>
      <c r="S62" s="193"/>
      <c r="T62" s="193"/>
      <c r="U62" s="193"/>
      <c r="V62" s="193"/>
      <c r="W62" s="193"/>
      <c r="X62" s="193"/>
      <c r="Y62" s="193"/>
      <c r="Z62" s="193"/>
      <c r="AA62" s="193"/>
      <c r="AB62" s="193"/>
      <c r="AC62" s="193"/>
      <c r="AD62" s="193"/>
      <c r="AE62" s="193"/>
      <c r="AF62" s="193"/>
      <c r="AG62" s="193"/>
      <c r="AH62" s="193"/>
      <c r="AI62" s="193"/>
      <c r="AJ62" s="193"/>
      <c r="AK62" s="193"/>
      <c r="AL62" s="193"/>
      <c r="AM62" s="193"/>
      <c r="AN62" s="193"/>
      <c r="AO62" s="193"/>
      <c r="AP62" s="193"/>
      <c r="AQ62" s="193"/>
      <c r="AR62" s="194" t="str">
        <f aca="false">IF($A62="","",IF(OR($N62="Yes",$T62="Yes",$Z62="Yes",$AF62="Yes",$AL62="Yes"),"Yes","No"))</f>
        <v>Yes</v>
      </c>
      <c r="AS62" s="194" t="str">
        <f aca="false">IF($A62="","",IFERROR(IF($AM62&lt;&gt;"",$AM62,IF($AG62&lt;&gt;"",$AG62,IF($AA62&lt;&gt;"",$AA62,IF($U62&lt;&gt;"",$U62,IF($O62&lt;&gt;"",$O62,""))))),""))</f>
        <v/>
      </c>
      <c r="AT62" s="194" t="str">
        <f aca="false">IFERROR(IF($AN62&lt;&gt;"",$AN62,IF($AH62&lt;&gt;"",$AH62,IF($AB62&lt;&gt;"",$AB62,IF($V62&lt;&gt;"",$V62,IF($P62&lt;&gt;"",$P62,""))))),"")</f>
        <v>Pass</v>
      </c>
      <c r="AU62" s="195" t="s">
        <v>1594</v>
      </c>
      <c r="AV62" s="1"/>
    </row>
    <row r="63" customFormat="false" ht="15.75" hidden="false" customHeight="true" outlineLevel="0" collapsed="false">
      <c r="A63" s="192" t="str">
        <f aca="false">IF($F63="","",$C$2&amp;"."&amp;COUNTA($F$7:$F63)&amp;"")</f>
        <v>TC_09.42</v>
      </c>
      <c r="B63" s="192" t="s">
        <v>679</v>
      </c>
      <c r="C63" s="192" t="s">
        <v>617</v>
      </c>
      <c r="D63" s="192" t="s">
        <v>41</v>
      </c>
      <c r="E63" s="192" t="s">
        <v>158</v>
      </c>
      <c r="F63" s="13" t="s">
        <v>1595</v>
      </c>
      <c r="G63" s="13" t="s">
        <v>1596</v>
      </c>
      <c r="H63" s="13" t="s">
        <v>1597</v>
      </c>
      <c r="I63" s="13" t="s">
        <v>1598</v>
      </c>
      <c r="J63" s="192" t="s">
        <v>745</v>
      </c>
      <c r="K63" s="192" t="s">
        <v>243</v>
      </c>
      <c r="L63" s="192" t="s">
        <v>746</v>
      </c>
      <c r="M63" s="192"/>
      <c r="N63" s="193"/>
      <c r="O63" s="193"/>
      <c r="P63" s="193"/>
      <c r="Q63" s="193" t="s">
        <v>102</v>
      </c>
      <c r="R63" s="193"/>
      <c r="S63" s="193"/>
      <c r="T63" s="193"/>
      <c r="U63" s="193"/>
      <c r="V63" s="193"/>
      <c r="W63" s="193"/>
      <c r="X63" s="193"/>
      <c r="Y63" s="193"/>
      <c r="Z63" s="193"/>
      <c r="AA63" s="193"/>
      <c r="AB63" s="193"/>
      <c r="AC63" s="193"/>
      <c r="AD63" s="193"/>
      <c r="AE63" s="193"/>
      <c r="AF63" s="193"/>
      <c r="AG63" s="193"/>
      <c r="AH63" s="193"/>
      <c r="AI63" s="193"/>
      <c r="AJ63" s="193"/>
      <c r="AK63" s="193"/>
      <c r="AL63" s="193"/>
      <c r="AM63" s="193"/>
      <c r="AN63" s="193"/>
      <c r="AO63" s="193"/>
      <c r="AP63" s="193"/>
      <c r="AQ63" s="193"/>
      <c r="AR63" s="194" t="str">
        <f aca="false">IF($A63="","",IF(OR($N63="Yes",$T63="Yes",$Z63="Yes",$AF63="Yes",$AL63="Yes"),"Yes","No"))</f>
        <v>No</v>
      </c>
      <c r="AS63" s="194" t="str">
        <f aca="false">IF($A63="","",IFERROR(IF($AM63&lt;&gt;"",$AM63,IF($AG63&lt;&gt;"",$AG63,IF($AA63&lt;&gt;"",$AA63,IF($U63&lt;&gt;"",$U63,IF($O63&lt;&gt;"",$O63,""))))),""))</f>
        <v/>
      </c>
      <c r="AT63" s="194" t="str">
        <f aca="false">IFERROR(IF($AN63&lt;&gt;"",$AN63,IF($AH63&lt;&gt;"",$AH63,IF($AB63&lt;&gt;"",$AB63,IF($V63&lt;&gt;"",$V63,IF($P63&lt;&gt;"",$P63,""))))),"")</f>
        <v/>
      </c>
      <c r="AU63" s="195" t="s">
        <v>1599</v>
      </c>
      <c r="AV63" s="1"/>
    </row>
    <row r="64" customFormat="false" ht="15.75" hidden="false" customHeight="true" outlineLevel="0" collapsed="false">
      <c r="A64" s="198"/>
      <c r="B64" s="198"/>
      <c r="C64" s="199" t="s">
        <v>1600</v>
      </c>
      <c r="D64" s="199"/>
      <c r="E64" s="199"/>
      <c r="F64" s="199"/>
      <c r="G64" s="199"/>
      <c r="H64" s="199"/>
      <c r="I64" s="199"/>
      <c r="J64" s="199"/>
      <c r="K64" s="199"/>
      <c r="L64" s="199"/>
      <c r="M64" s="199"/>
      <c r="N64" s="199"/>
      <c r="O64" s="199"/>
      <c r="P64" s="199"/>
      <c r="Q64" s="199"/>
      <c r="R64" s="199"/>
      <c r="S64" s="199"/>
      <c r="T64" s="199"/>
      <c r="U64" s="199"/>
      <c r="V64" s="199"/>
      <c r="W64" s="199"/>
      <c r="X64" s="199"/>
      <c r="Y64" s="199"/>
      <c r="Z64" s="199"/>
      <c r="AA64" s="199"/>
      <c r="AB64" s="199"/>
      <c r="AC64" s="199"/>
      <c r="AD64" s="199"/>
      <c r="AE64" s="199"/>
      <c r="AF64" s="199"/>
      <c r="AG64" s="199"/>
      <c r="AH64" s="199"/>
      <c r="AI64" s="199"/>
      <c r="AJ64" s="199"/>
      <c r="AK64" s="199"/>
      <c r="AL64" s="199"/>
      <c r="AM64" s="199"/>
      <c r="AN64" s="199"/>
      <c r="AO64" s="199"/>
      <c r="AP64" s="199"/>
      <c r="AQ64" s="199"/>
      <c r="AR64" s="199"/>
      <c r="AS64" s="199"/>
      <c r="AT64" s="199"/>
      <c r="AU64" s="199"/>
      <c r="AV64" s="1"/>
    </row>
    <row r="65" customFormat="false" ht="15.75" hidden="false" customHeight="true" outlineLevel="0" collapsed="false">
      <c r="A65" s="192" t="str">
        <f aca="false">IF($F65="","",$C$2&amp;"."&amp;COUNTA($F$7:$F65)&amp;"")</f>
        <v>TC_09.43</v>
      </c>
      <c r="B65" s="192" t="s">
        <v>1601</v>
      </c>
      <c r="C65" s="192" t="s">
        <v>617</v>
      </c>
      <c r="D65" s="192" t="s">
        <v>41</v>
      </c>
      <c r="E65" s="192" t="s">
        <v>157</v>
      </c>
      <c r="F65" s="13" t="s">
        <v>1602</v>
      </c>
      <c r="G65" s="13" t="s">
        <v>1603</v>
      </c>
      <c r="H65" s="13" t="s">
        <v>1604</v>
      </c>
      <c r="I65" s="13" t="s">
        <v>1605</v>
      </c>
      <c r="J65" s="192" t="s">
        <v>745</v>
      </c>
      <c r="K65" s="192" t="s">
        <v>243</v>
      </c>
      <c r="L65" s="192" t="s">
        <v>746</v>
      </c>
      <c r="M65" s="192"/>
      <c r="N65" s="193" t="s">
        <v>747</v>
      </c>
      <c r="O65" s="193"/>
      <c r="P65" s="193" t="s">
        <v>23</v>
      </c>
      <c r="Q65" s="193" t="s">
        <v>102</v>
      </c>
      <c r="R65" s="193" t="s">
        <v>421</v>
      </c>
      <c r="S65" s="193"/>
      <c r="T65" s="193"/>
      <c r="U65" s="193"/>
      <c r="V65" s="193"/>
      <c r="W65" s="193"/>
      <c r="X65" s="193"/>
      <c r="Y65" s="193"/>
      <c r="Z65" s="193"/>
      <c r="AA65" s="193"/>
      <c r="AB65" s="193"/>
      <c r="AC65" s="193"/>
      <c r="AD65" s="193"/>
      <c r="AE65" s="193"/>
      <c r="AF65" s="193"/>
      <c r="AG65" s="193"/>
      <c r="AH65" s="193"/>
      <c r="AI65" s="193"/>
      <c r="AJ65" s="193"/>
      <c r="AK65" s="193"/>
      <c r="AL65" s="193"/>
      <c r="AM65" s="193"/>
      <c r="AN65" s="193"/>
      <c r="AO65" s="193"/>
      <c r="AP65" s="193"/>
      <c r="AQ65" s="193"/>
      <c r="AR65" s="194" t="str">
        <f aca="false">IF($A65="","",IF(OR($N65="Yes",$T65="Yes",$Z65="Yes",$AF65="Yes",$AL65="Yes"),"Yes","No"))</f>
        <v>Yes</v>
      </c>
      <c r="AS65" s="194" t="str">
        <f aca="false">IF($A65="","",IFERROR(IF($AM65&lt;&gt;"",$AM65,IF($AG65&lt;&gt;"",$AG65,IF($AA65&lt;&gt;"",$AA65,IF($U65&lt;&gt;"",$U65,IF($O65&lt;&gt;"",$O65,""))))),""))</f>
        <v/>
      </c>
      <c r="AT65" s="194" t="str">
        <f aca="false">IFERROR(IF($AN65&lt;&gt;"",$AN65,IF($AH65&lt;&gt;"",$AH65,IF($AB65&lt;&gt;"",$AB65,IF($V65&lt;&gt;"",$V65,IF($P65&lt;&gt;"",$P65,""))))),"")</f>
        <v>Pass</v>
      </c>
      <c r="AU65" s="195" t="s">
        <v>1606</v>
      </c>
      <c r="AV65" s="1"/>
    </row>
    <row r="66" customFormat="false" ht="15.75" hidden="false" customHeight="true" outlineLevel="0" collapsed="false">
      <c r="A66" s="192" t="str">
        <f aca="false">IF($F66="","",$C$2&amp;"."&amp;COUNTA($F$7:$F66)&amp;"")</f>
        <v>TC_09.44</v>
      </c>
      <c r="B66" s="192" t="s">
        <v>682</v>
      </c>
      <c r="C66" s="192" t="s">
        <v>617</v>
      </c>
      <c r="D66" s="192" t="s">
        <v>41</v>
      </c>
      <c r="E66" s="192" t="s">
        <v>157</v>
      </c>
      <c r="F66" s="13" t="s">
        <v>1607</v>
      </c>
      <c r="G66" s="13" t="s">
        <v>1608</v>
      </c>
      <c r="H66" s="13" t="s">
        <v>1609</v>
      </c>
      <c r="I66" s="13" t="s">
        <v>1605</v>
      </c>
      <c r="J66" s="192" t="s">
        <v>745</v>
      </c>
      <c r="K66" s="192" t="s">
        <v>243</v>
      </c>
      <c r="L66" s="192" t="s">
        <v>746</v>
      </c>
      <c r="M66" s="192"/>
      <c r="N66" s="193" t="s">
        <v>747</v>
      </c>
      <c r="O66" s="193"/>
      <c r="P66" s="193" t="s">
        <v>27</v>
      </c>
      <c r="Q66" s="193" t="s">
        <v>102</v>
      </c>
      <c r="R66" s="193" t="s">
        <v>421</v>
      </c>
      <c r="S66" s="193"/>
      <c r="T66" s="193"/>
      <c r="U66" s="193"/>
      <c r="V66" s="193"/>
      <c r="W66" s="193"/>
      <c r="X66" s="193"/>
      <c r="Y66" s="193"/>
      <c r="Z66" s="193"/>
      <c r="AA66" s="193"/>
      <c r="AB66" s="193"/>
      <c r="AC66" s="193"/>
      <c r="AD66" s="193"/>
      <c r="AE66" s="193"/>
      <c r="AF66" s="193"/>
      <c r="AG66" s="193"/>
      <c r="AH66" s="193"/>
      <c r="AI66" s="193"/>
      <c r="AJ66" s="193"/>
      <c r="AK66" s="193"/>
      <c r="AL66" s="193"/>
      <c r="AM66" s="193"/>
      <c r="AN66" s="193"/>
      <c r="AO66" s="193"/>
      <c r="AP66" s="193"/>
      <c r="AQ66" s="193"/>
      <c r="AR66" s="194" t="str">
        <f aca="false">IF($A66="","",IF(OR($N66="Yes",$T66="Yes",$Z66="Yes",$AF66="Yes",$AL66="Yes"),"Yes","No"))</f>
        <v>Yes</v>
      </c>
      <c r="AS66" s="194" t="str">
        <f aca="false">IF($A66="","",IFERROR(IF($AM66&lt;&gt;"",$AM66,IF($AG66&lt;&gt;"",$AG66,IF($AA66&lt;&gt;"",$AA66,IF($U66&lt;&gt;"",$U66,IF($O66&lt;&gt;"",$O66,""))))),""))</f>
        <v/>
      </c>
      <c r="AT66" s="194" t="str">
        <f aca="false">IFERROR(IF($AN66&lt;&gt;"",$AN66,IF($AH66&lt;&gt;"",$AH66,IF($AB66&lt;&gt;"",$AB66,IF($V66&lt;&gt;"",$V66,IF($P66&lt;&gt;"",$P66,""))))),"")</f>
        <v>Block</v>
      </c>
      <c r="AU66" s="195" t="s">
        <v>1610</v>
      </c>
      <c r="AV66" s="1"/>
    </row>
    <row r="67" customFormat="false" ht="15.75" hidden="false" customHeight="true" outlineLevel="0" collapsed="false">
      <c r="A67" s="198"/>
      <c r="B67" s="198"/>
      <c r="C67" s="199" t="s">
        <v>1611</v>
      </c>
      <c r="D67" s="199"/>
      <c r="E67" s="199"/>
      <c r="F67" s="199"/>
      <c r="G67" s="199"/>
      <c r="H67" s="199"/>
      <c r="I67" s="199"/>
      <c r="J67" s="199"/>
      <c r="K67" s="199"/>
      <c r="L67" s="199"/>
      <c r="M67" s="199"/>
      <c r="N67" s="199"/>
      <c r="O67" s="199"/>
      <c r="P67" s="199"/>
      <c r="Q67" s="199"/>
      <c r="R67" s="199"/>
      <c r="S67" s="199"/>
      <c r="T67" s="199"/>
      <c r="U67" s="199"/>
      <c r="V67" s="199"/>
      <c r="W67" s="199"/>
      <c r="X67" s="199"/>
      <c r="Y67" s="199"/>
      <c r="Z67" s="199"/>
      <c r="AA67" s="199"/>
      <c r="AB67" s="199"/>
      <c r="AC67" s="199"/>
      <c r="AD67" s="199"/>
      <c r="AE67" s="199"/>
      <c r="AF67" s="199"/>
      <c r="AG67" s="199"/>
      <c r="AH67" s="199"/>
      <c r="AI67" s="199"/>
      <c r="AJ67" s="199"/>
      <c r="AK67" s="199"/>
      <c r="AL67" s="199"/>
      <c r="AM67" s="199"/>
      <c r="AN67" s="199"/>
      <c r="AO67" s="199"/>
      <c r="AP67" s="199"/>
      <c r="AQ67" s="199"/>
      <c r="AR67" s="199"/>
      <c r="AS67" s="199"/>
      <c r="AT67" s="199"/>
      <c r="AU67" s="199"/>
      <c r="AV67" s="1"/>
    </row>
    <row r="68" customFormat="false" ht="15.75" hidden="false" customHeight="true" outlineLevel="0" collapsed="false">
      <c r="A68" s="192" t="str">
        <f aca="false">IF($F68="","",$C$2&amp;"."&amp;COUNTA($F$7:$F68)&amp;"")</f>
        <v>TC_09.45</v>
      </c>
      <c r="B68" s="192" t="s">
        <v>688</v>
      </c>
      <c r="C68" s="192" t="s">
        <v>617</v>
      </c>
      <c r="D68" s="192" t="s">
        <v>43</v>
      </c>
      <c r="E68" s="192" t="s">
        <v>158</v>
      </c>
      <c r="F68" s="13" t="s">
        <v>1612</v>
      </c>
      <c r="G68" s="13" t="s">
        <v>1613</v>
      </c>
      <c r="H68" s="13" t="s">
        <v>1614</v>
      </c>
      <c r="I68" s="13" t="s">
        <v>1615</v>
      </c>
      <c r="J68" s="192" t="s">
        <v>745</v>
      </c>
      <c r="K68" s="192" t="s">
        <v>243</v>
      </c>
      <c r="L68" s="192" t="s">
        <v>746</v>
      </c>
      <c r="M68" s="192"/>
      <c r="N68" s="193" t="s">
        <v>747</v>
      </c>
      <c r="O68" s="193"/>
      <c r="P68" s="193" t="s">
        <v>23</v>
      </c>
      <c r="Q68" s="193" t="s">
        <v>102</v>
      </c>
      <c r="R68" s="193"/>
      <c r="S68" s="193"/>
      <c r="T68" s="193"/>
      <c r="U68" s="193"/>
      <c r="V68" s="193"/>
      <c r="W68" s="193"/>
      <c r="X68" s="193"/>
      <c r="Y68" s="193"/>
      <c r="Z68" s="193"/>
      <c r="AA68" s="193"/>
      <c r="AB68" s="193"/>
      <c r="AC68" s="193"/>
      <c r="AD68" s="193"/>
      <c r="AE68" s="193"/>
      <c r="AF68" s="193"/>
      <c r="AG68" s="193"/>
      <c r="AH68" s="193"/>
      <c r="AI68" s="193"/>
      <c r="AJ68" s="193"/>
      <c r="AK68" s="193"/>
      <c r="AL68" s="193"/>
      <c r="AM68" s="193"/>
      <c r="AN68" s="193"/>
      <c r="AO68" s="193"/>
      <c r="AP68" s="193"/>
      <c r="AQ68" s="193"/>
      <c r="AR68" s="194" t="str">
        <f aca="false">IF($A68="","",IF(OR($N68="Yes",$T68="Yes",$Z68="Yes",$AF68="Yes",$AL68="Yes"),"Yes","No"))</f>
        <v>Yes</v>
      </c>
      <c r="AS68" s="194" t="str">
        <f aca="false">IF($A68="","",IFERROR(IF($AM68&lt;&gt;"",$AM68,IF($AG68&lt;&gt;"",$AG68,IF($AA68&lt;&gt;"",$AA68,IF($U68&lt;&gt;"",$U68,IF($O68&lt;&gt;"",$O68,""))))),""))</f>
        <v/>
      </c>
      <c r="AT68" s="194" t="str">
        <f aca="false">IFERROR(IF($AN68&lt;&gt;"",$AN68,IF($AH68&lt;&gt;"",$AH68,IF($AB68&lt;&gt;"",$AB68,IF($V68&lt;&gt;"",$V68,IF($P68&lt;&gt;"",$P68,""))))),"")</f>
        <v>Pass</v>
      </c>
      <c r="AU68" s="195" t="s">
        <v>1616</v>
      </c>
      <c r="AV68" s="1"/>
    </row>
    <row r="69" customFormat="false" ht="15.75" hidden="false" customHeight="true" outlineLevel="0" collapsed="false">
      <c r="A69" s="192" t="str">
        <f aca="false">IF($F69="","",$C$2&amp;"."&amp;COUNTA($F$7:$F69)&amp;"")</f>
        <v>TC_09.46</v>
      </c>
      <c r="B69" s="192" t="s">
        <v>688</v>
      </c>
      <c r="C69" s="192" t="s">
        <v>617</v>
      </c>
      <c r="D69" s="192" t="s">
        <v>43</v>
      </c>
      <c r="E69" s="192" t="s">
        <v>158</v>
      </c>
      <c r="F69" s="13" t="s">
        <v>1617</v>
      </c>
      <c r="G69" s="13" t="s">
        <v>1618</v>
      </c>
      <c r="H69" s="13" t="s">
        <v>1619</v>
      </c>
      <c r="I69" s="13" t="s">
        <v>1620</v>
      </c>
      <c r="J69" s="192" t="s">
        <v>745</v>
      </c>
      <c r="K69" s="192" t="s">
        <v>243</v>
      </c>
      <c r="L69" s="192" t="s">
        <v>746</v>
      </c>
      <c r="M69" s="192"/>
      <c r="N69" s="193" t="s">
        <v>747</v>
      </c>
      <c r="O69" s="193"/>
      <c r="P69" s="193" t="s">
        <v>27</v>
      </c>
      <c r="Q69" s="193" t="s">
        <v>102</v>
      </c>
      <c r="R69" s="193"/>
      <c r="S69" s="193"/>
      <c r="T69" s="193"/>
      <c r="U69" s="193"/>
      <c r="V69" s="193"/>
      <c r="W69" s="193"/>
      <c r="X69" s="193"/>
      <c r="Y69" s="193"/>
      <c r="Z69" s="193"/>
      <c r="AA69" s="193"/>
      <c r="AB69" s="193"/>
      <c r="AC69" s="193"/>
      <c r="AD69" s="193"/>
      <c r="AE69" s="193"/>
      <c r="AF69" s="193"/>
      <c r="AG69" s="193"/>
      <c r="AH69" s="193"/>
      <c r="AI69" s="193"/>
      <c r="AJ69" s="193"/>
      <c r="AK69" s="193"/>
      <c r="AL69" s="193"/>
      <c r="AM69" s="193"/>
      <c r="AN69" s="193"/>
      <c r="AO69" s="193"/>
      <c r="AP69" s="193"/>
      <c r="AQ69" s="193"/>
      <c r="AR69" s="194" t="str">
        <f aca="false">IF($A69="","",IF(OR($N69="Yes",$T69="Yes",$Z69="Yes",$AF69="Yes",$AL69="Yes"),"Yes","No"))</f>
        <v>Yes</v>
      </c>
      <c r="AS69" s="194" t="str">
        <f aca="false">IF($A69="","",IFERROR(IF($AM69&lt;&gt;"",$AM69,IF($AG69&lt;&gt;"",$AG69,IF($AA69&lt;&gt;"",$AA69,IF($U69&lt;&gt;"",$U69,IF($O69&lt;&gt;"",$O69,""))))),""))</f>
        <v/>
      </c>
      <c r="AT69" s="194" t="str">
        <f aca="false">IFERROR(IF($AN69&lt;&gt;"",$AN69,IF($AH69&lt;&gt;"",$AH69,IF($AB69&lt;&gt;"",$AB69,IF($V69&lt;&gt;"",$V69,IF($P69&lt;&gt;"",$P69,""))))),"")</f>
        <v>Block</v>
      </c>
      <c r="AU69" s="195" t="s">
        <v>1621</v>
      </c>
      <c r="AV69" s="1"/>
    </row>
    <row r="70" customFormat="false" ht="15.75" hidden="false" customHeight="true" outlineLevel="0" collapsed="false">
      <c r="A70" s="198"/>
      <c r="B70" s="198"/>
      <c r="C70" s="199" t="s">
        <v>1622</v>
      </c>
      <c r="D70" s="199"/>
      <c r="E70" s="199"/>
      <c r="F70" s="199"/>
      <c r="G70" s="199"/>
      <c r="H70" s="199"/>
      <c r="I70" s="199"/>
      <c r="J70" s="199"/>
      <c r="K70" s="199"/>
      <c r="L70" s="199"/>
      <c r="M70" s="199"/>
      <c r="N70" s="199"/>
      <c r="O70" s="199"/>
      <c r="P70" s="199"/>
      <c r="Q70" s="199"/>
      <c r="R70" s="199"/>
      <c r="S70" s="199"/>
      <c r="T70" s="199"/>
      <c r="U70" s="199"/>
      <c r="V70" s="199"/>
      <c r="W70" s="199"/>
      <c r="X70" s="199"/>
      <c r="Y70" s="199"/>
      <c r="Z70" s="199"/>
      <c r="AA70" s="199"/>
      <c r="AB70" s="199"/>
      <c r="AC70" s="199"/>
      <c r="AD70" s="199"/>
      <c r="AE70" s="199"/>
      <c r="AF70" s="199"/>
      <c r="AG70" s="199"/>
      <c r="AH70" s="199"/>
      <c r="AI70" s="199"/>
      <c r="AJ70" s="199"/>
      <c r="AK70" s="199"/>
      <c r="AL70" s="199"/>
      <c r="AM70" s="199"/>
      <c r="AN70" s="199"/>
      <c r="AO70" s="199"/>
      <c r="AP70" s="199"/>
      <c r="AQ70" s="199"/>
      <c r="AR70" s="199"/>
      <c r="AS70" s="199"/>
      <c r="AT70" s="199"/>
      <c r="AU70" s="199"/>
      <c r="AV70" s="1"/>
    </row>
    <row r="71" customFormat="false" ht="15.75" hidden="false" customHeight="true" outlineLevel="0" collapsed="false">
      <c r="A71" s="192" t="str">
        <f aca="false">IF($F71="","",$C$2&amp;"."&amp;COUNTA($F$7:$F71)&amp;"")</f>
        <v>TC_09.47</v>
      </c>
      <c r="B71" s="192" t="s">
        <v>691</v>
      </c>
      <c r="C71" s="192" t="s">
        <v>617</v>
      </c>
      <c r="D71" s="192" t="s">
        <v>41</v>
      </c>
      <c r="E71" s="192" t="s">
        <v>158</v>
      </c>
      <c r="F71" s="13" t="s">
        <v>1623</v>
      </c>
      <c r="G71" s="13" t="s">
        <v>1624</v>
      </c>
      <c r="H71" s="13" t="s">
        <v>1625</v>
      </c>
      <c r="I71" s="13" t="s">
        <v>1626</v>
      </c>
      <c r="J71" s="192" t="s">
        <v>745</v>
      </c>
      <c r="K71" s="192" t="s">
        <v>243</v>
      </c>
      <c r="L71" s="192" t="s">
        <v>746</v>
      </c>
      <c r="M71" s="192"/>
      <c r="N71" s="193" t="s">
        <v>747</v>
      </c>
      <c r="O71" s="193"/>
      <c r="P71" s="193" t="s">
        <v>23</v>
      </c>
      <c r="Q71" s="193" t="s">
        <v>102</v>
      </c>
      <c r="R71" s="193"/>
      <c r="S71" s="193"/>
      <c r="T71" s="193"/>
      <c r="U71" s="193"/>
      <c r="V71" s="193"/>
      <c r="W71" s="193"/>
      <c r="X71" s="193"/>
      <c r="Y71" s="193"/>
      <c r="Z71" s="193"/>
      <c r="AA71" s="193"/>
      <c r="AB71" s="193"/>
      <c r="AC71" s="193"/>
      <c r="AD71" s="193"/>
      <c r="AE71" s="193"/>
      <c r="AF71" s="193"/>
      <c r="AG71" s="193"/>
      <c r="AH71" s="193"/>
      <c r="AI71" s="193"/>
      <c r="AJ71" s="193"/>
      <c r="AK71" s="193"/>
      <c r="AL71" s="193"/>
      <c r="AM71" s="193"/>
      <c r="AN71" s="193"/>
      <c r="AO71" s="193"/>
      <c r="AP71" s="193"/>
      <c r="AQ71" s="193"/>
      <c r="AR71" s="194" t="str">
        <f aca="false">IF($A71="","",IF(OR($N71="Yes",$T71="Yes",$Z71="Yes",$AF71="Yes",$AL71="Yes"),"Yes","No"))</f>
        <v>Yes</v>
      </c>
      <c r="AS71" s="194" t="str">
        <f aca="false">IF($A71="","",IFERROR(IF($AM71&lt;&gt;"",$AM71,IF($AG71&lt;&gt;"",$AG71,IF($AA71&lt;&gt;"",$AA71,IF($U71&lt;&gt;"",$U71,IF($O71&lt;&gt;"",$O71,""))))),""))</f>
        <v/>
      </c>
      <c r="AT71" s="194" t="str">
        <f aca="false">IFERROR(IF($AN71&lt;&gt;"",$AN71,IF($AH71&lt;&gt;"",$AH71,IF($AB71&lt;&gt;"",$AB71,IF($V71&lt;&gt;"",$V71,IF($P71&lt;&gt;"",$P71,""))))),"")</f>
        <v>Pass</v>
      </c>
      <c r="AU71" s="195" t="s">
        <v>1627</v>
      </c>
      <c r="AV71" s="1"/>
    </row>
    <row r="72" customFormat="false" ht="15.75" hidden="false" customHeight="true" outlineLevel="0" collapsed="false">
      <c r="A72" s="192" t="str">
        <f aca="false">IF($F72="","",$C$2&amp;"."&amp;COUNTA($F$7:$F72)&amp;"")</f>
        <v>TC_09.48</v>
      </c>
      <c r="B72" s="192" t="s">
        <v>691</v>
      </c>
      <c r="C72" s="192" t="s">
        <v>617</v>
      </c>
      <c r="D72" s="192" t="s">
        <v>41</v>
      </c>
      <c r="E72" s="192" t="s">
        <v>158</v>
      </c>
      <c r="F72" s="13" t="s">
        <v>1628</v>
      </c>
      <c r="G72" s="13" t="s">
        <v>1546</v>
      </c>
      <c r="H72" s="13" t="s">
        <v>1629</v>
      </c>
      <c r="I72" s="13" t="s">
        <v>1630</v>
      </c>
      <c r="J72" s="192" t="s">
        <v>745</v>
      </c>
      <c r="K72" s="192" t="s">
        <v>243</v>
      </c>
      <c r="L72" s="192" t="s">
        <v>746</v>
      </c>
      <c r="M72" s="192"/>
      <c r="N72" s="193" t="s">
        <v>747</v>
      </c>
      <c r="O72" s="193"/>
      <c r="P72" s="193" t="s">
        <v>23</v>
      </c>
      <c r="Q72" s="193" t="s">
        <v>102</v>
      </c>
      <c r="R72" s="193"/>
      <c r="S72" s="193"/>
      <c r="T72" s="193"/>
      <c r="U72" s="193"/>
      <c r="V72" s="193"/>
      <c r="W72" s="193"/>
      <c r="X72" s="193"/>
      <c r="Y72" s="193"/>
      <c r="Z72" s="193"/>
      <c r="AA72" s="193"/>
      <c r="AB72" s="193"/>
      <c r="AC72" s="193"/>
      <c r="AD72" s="193"/>
      <c r="AE72" s="193"/>
      <c r="AF72" s="193"/>
      <c r="AG72" s="193"/>
      <c r="AH72" s="193"/>
      <c r="AI72" s="193"/>
      <c r="AJ72" s="193"/>
      <c r="AK72" s="193"/>
      <c r="AL72" s="193"/>
      <c r="AM72" s="193"/>
      <c r="AN72" s="193"/>
      <c r="AO72" s="193"/>
      <c r="AP72" s="193"/>
      <c r="AQ72" s="193"/>
      <c r="AR72" s="194" t="str">
        <f aca="false">IF($A72="","",IF(OR($N72="Yes",$T72="Yes",$Z72="Yes",$AF72="Yes",$AL72="Yes"),"Yes","No"))</f>
        <v>Yes</v>
      </c>
      <c r="AS72" s="194" t="str">
        <f aca="false">IF($A72="","",IFERROR(IF($AM72&lt;&gt;"",$AM72,IF($AG72&lt;&gt;"",$AG72,IF($AA72&lt;&gt;"",$AA72,IF($U72&lt;&gt;"",$U72,IF($O72&lt;&gt;"",$O72,""))))),""))</f>
        <v/>
      </c>
      <c r="AT72" s="194" t="str">
        <f aca="false">IFERROR(IF($AN72&lt;&gt;"",$AN72,IF($AH72&lt;&gt;"",$AH72,IF($AB72&lt;&gt;"",$AB72,IF($V72&lt;&gt;"",$V72,IF($P72&lt;&gt;"",$P72,""))))),"")</f>
        <v>Pass</v>
      </c>
      <c r="AU72" s="195" t="s">
        <v>1631</v>
      </c>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7:AU17"/>
    <mergeCell ref="C19:AU19"/>
    <mergeCell ref="C22:AU22"/>
    <mergeCell ref="C27:AU27"/>
    <mergeCell ref="C31:AU31"/>
    <mergeCell ref="C33:AU33"/>
    <mergeCell ref="C35:AU35"/>
    <mergeCell ref="C39:AU39"/>
    <mergeCell ref="C42:AU42"/>
    <mergeCell ref="C45:AU45"/>
    <mergeCell ref="C50:AU50"/>
    <mergeCell ref="C53:AU53"/>
    <mergeCell ref="C59:AU59"/>
    <mergeCell ref="C64:AU64"/>
    <mergeCell ref="C67:AU67"/>
    <mergeCell ref="C70:AU70"/>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211</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212</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1632</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TC_10.1</v>
      </c>
      <c r="B8" s="192" t="s">
        <v>694</v>
      </c>
      <c r="C8" s="192" t="s">
        <v>995</v>
      </c>
      <c r="D8" s="192" t="s">
        <v>41</v>
      </c>
      <c r="E8" s="192" t="s">
        <v>156</v>
      </c>
      <c r="F8" s="13" t="s">
        <v>1633</v>
      </c>
      <c r="G8" s="13" t="s">
        <v>1634</v>
      </c>
      <c r="H8" s="13" t="s">
        <v>1635</v>
      </c>
      <c r="I8" s="13" t="s">
        <v>1636</v>
      </c>
      <c r="J8" s="192" t="s">
        <v>745</v>
      </c>
      <c r="K8" s="192" t="s">
        <v>243</v>
      </c>
      <c r="L8" s="192" t="s">
        <v>746</v>
      </c>
      <c r="M8" s="192"/>
      <c r="N8" s="193" t="s">
        <v>747</v>
      </c>
      <c r="O8" s="193"/>
      <c r="P8" s="193" t="s">
        <v>23</v>
      </c>
      <c r="Q8" s="193" t="s">
        <v>102</v>
      </c>
      <c r="R8" s="193" t="s">
        <v>456</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1637</v>
      </c>
    </row>
    <row r="9" customFormat="false" ht="60" hidden="false" customHeight="true" outlineLevel="0" collapsed="false">
      <c r="A9" s="192" t="str">
        <f aca="false">IF($F9="","",$C$2&amp;"."&amp;COUNTA($F$7:$F9)&amp;"")</f>
        <v>TC_10.2</v>
      </c>
      <c r="B9" s="192" t="s">
        <v>694</v>
      </c>
      <c r="C9" s="192" t="s">
        <v>995</v>
      </c>
      <c r="D9" s="192" t="s">
        <v>41</v>
      </c>
      <c r="E9" s="192" t="s">
        <v>156</v>
      </c>
      <c r="F9" s="13" t="s">
        <v>1638</v>
      </c>
      <c r="G9" s="13" t="s">
        <v>1639</v>
      </c>
      <c r="H9" s="13" t="s">
        <v>1640</v>
      </c>
      <c r="I9" s="13" t="s">
        <v>1641</v>
      </c>
      <c r="J9" s="192" t="s">
        <v>745</v>
      </c>
      <c r="K9" s="192" t="s">
        <v>243</v>
      </c>
      <c r="L9" s="192" t="s">
        <v>746</v>
      </c>
      <c r="M9" s="192"/>
      <c r="N9" s="193" t="s">
        <v>747</v>
      </c>
      <c r="O9" s="193"/>
      <c r="P9" s="193" t="s">
        <v>25</v>
      </c>
      <c r="Q9" s="193" t="s">
        <v>102</v>
      </c>
      <c r="R9" s="193" t="s">
        <v>460</v>
      </c>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Fail</v>
      </c>
      <c r="AU9" s="195" t="s">
        <v>1642</v>
      </c>
    </row>
    <row r="10" customFormat="false" ht="15" hidden="false" customHeight="false" outlineLevel="0" collapsed="false">
      <c r="A10" s="190"/>
      <c r="B10" s="190"/>
      <c r="C10" s="191" t="s">
        <v>1643</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58.2" hidden="false" customHeight="false" outlineLevel="0" collapsed="false">
      <c r="A11" s="192" t="str">
        <f aca="false">IF($F11="","",$C$2&amp;"."&amp;COUNTA($F$7:$F11)&amp;"")</f>
        <v>TC_10.3</v>
      </c>
      <c r="B11" s="192" t="s">
        <v>694</v>
      </c>
      <c r="C11" s="192" t="s">
        <v>617</v>
      </c>
      <c r="D11" s="192" t="s">
        <v>41</v>
      </c>
      <c r="E11" s="192" t="s">
        <v>157</v>
      </c>
      <c r="F11" s="13" t="s">
        <v>1644</v>
      </c>
      <c r="G11" s="13" t="s">
        <v>1645</v>
      </c>
      <c r="H11" s="13" t="s">
        <v>1646</v>
      </c>
      <c r="I11" s="13" t="s">
        <v>1647</v>
      </c>
      <c r="J11" s="192" t="s">
        <v>745</v>
      </c>
      <c r="K11" s="192" t="s">
        <v>243</v>
      </c>
      <c r="L11" s="192" t="s">
        <v>746</v>
      </c>
      <c r="M11" s="192"/>
      <c r="N11" s="193" t="s">
        <v>747</v>
      </c>
      <c r="O11" s="193"/>
      <c r="P11" s="193" t="s">
        <v>23</v>
      </c>
      <c r="Q11" s="193" t="s">
        <v>102</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1648</v>
      </c>
    </row>
    <row r="12" customFormat="false" ht="135.8" hidden="false" customHeight="false" outlineLevel="0" collapsed="false">
      <c r="A12" s="192" t="str">
        <f aca="false">IF($F12="","",$C$2&amp;"."&amp;COUNTA($F$7:$F12)&amp;"")</f>
        <v>TC_10.4</v>
      </c>
      <c r="B12" s="192" t="s">
        <v>694</v>
      </c>
      <c r="C12" s="192" t="s">
        <v>617</v>
      </c>
      <c r="D12" s="192" t="s">
        <v>41</v>
      </c>
      <c r="E12" s="192" t="s">
        <v>157</v>
      </c>
      <c r="F12" s="13" t="s">
        <v>1649</v>
      </c>
      <c r="G12" s="13" t="s">
        <v>1650</v>
      </c>
      <c r="H12" s="13" t="s">
        <v>1651</v>
      </c>
      <c r="I12" s="13" t="s">
        <v>1652</v>
      </c>
      <c r="J12" s="192" t="s">
        <v>745</v>
      </c>
      <c r="K12" s="192" t="s">
        <v>243</v>
      </c>
      <c r="L12" s="192" t="s">
        <v>746</v>
      </c>
      <c r="M12" s="192"/>
      <c r="N12" s="193" t="s">
        <v>747</v>
      </c>
      <c r="O12" s="193"/>
      <c r="P12" s="193" t="s">
        <v>23</v>
      </c>
      <c r="Q12" s="193" t="s">
        <v>102</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1653</v>
      </c>
    </row>
    <row r="13" customFormat="false" ht="158.2" hidden="false" customHeight="false" outlineLevel="0" collapsed="false">
      <c r="A13" s="192" t="str">
        <f aca="false">IF($F13="","",$C$2&amp;"."&amp;COUNTA($F$7:$F13)&amp;"")</f>
        <v>TC_10.5</v>
      </c>
      <c r="B13" s="192" t="s">
        <v>694</v>
      </c>
      <c r="C13" s="192" t="s">
        <v>617</v>
      </c>
      <c r="D13" s="192" t="s">
        <v>41</v>
      </c>
      <c r="E13" s="192" t="s">
        <v>157</v>
      </c>
      <c r="F13" s="13" t="s">
        <v>1654</v>
      </c>
      <c r="G13" s="13" t="s">
        <v>1655</v>
      </c>
      <c r="H13" s="13" t="s">
        <v>1656</v>
      </c>
      <c r="I13" s="13" t="s">
        <v>1657</v>
      </c>
      <c r="J13" s="192" t="s">
        <v>745</v>
      </c>
      <c r="K13" s="192" t="s">
        <v>243</v>
      </c>
      <c r="L13" s="192" t="s">
        <v>746</v>
      </c>
      <c r="M13" s="192"/>
      <c r="N13" s="193" t="s">
        <v>747</v>
      </c>
      <c r="O13" s="193"/>
      <c r="P13" s="193" t="s">
        <v>25</v>
      </c>
      <c r="Q13" s="193" t="s">
        <v>102</v>
      </c>
      <c r="R13" s="193" t="s">
        <v>462</v>
      </c>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Fail</v>
      </c>
      <c r="AU13" s="195" t="s">
        <v>1658</v>
      </c>
    </row>
    <row r="14" customFormat="false" ht="15" hidden="false" customHeight="false" outlineLevel="0" collapsed="false">
      <c r="A14" s="190"/>
      <c r="B14" s="190"/>
      <c r="C14" s="191" t="s">
        <v>1659</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158.2" hidden="false" customHeight="false" outlineLevel="0" collapsed="false">
      <c r="A15" s="192" t="str">
        <f aca="false">IF($F15="","",$C$2&amp;"."&amp;COUNTA($F$7:$F15)&amp;"")</f>
        <v>TC_10.6</v>
      </c>
      <c r="B15" s="192" t="s">
        <v>694</v>
      </c>
      <c r="C15" s="192" t="s">
        <v>617</v>
      </c>
      <c r="D15" s="192" t="s">
        <v>41</v>
      </c>
      <c r="E15" s="192" t="s">
        <v>158</v>
      </c>
      <c r="F15" s="13" t="s">
        <v>1660</v>
      </c>
      <c r="G15" s="13" t="s">
        <v>1661</v>
      </c>
      <c r="H15" s="13" t="s">
        <v>1662</v>
      </c>
      <c r="I15" s="13" t="s">
        <v>1663</v>
      </c>
      <c r="J15" s="192" t="s">
        <v>745</v>
      </c>
      <c r="K15" s="192" t="s">
        <v>243</v>
      </c>
      <c r="L15" s="192" t="s">
        <v>746</v>
      </c>
      <c r="M15" s="192"/>
      <c r="N15" s="193" t="s">
        <v>747</v>
      </c>
      <c r="O15" s="193"/>
      <c r="P15" s="193" t="s">
        <v>25</v>
      </c>
      <c r="Q15" s="193" t="s">
        <v>102</v>
      </c>
      <c r="R15" s="193" t="s">
        <v>464</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1664</v>
      </c>
    </row>
    <row r="16" customFormat="false" ht="147" hidden="false" customHeight="false" outlineLevel="0" collapsed="false">
      <c r="A16" s="192" t="str">
        <f aca="false">IF($F16="","",$C$2&amp;"."&amp;COUNTA($F$7:$F16)&amp;"")</f>
        <v>TC_10.7</v>
      </c>
      <c r="B16" s="192" t="s">
        <v>694</v>
      </c>
      <c r="C16" s="192" t="s">
        <v>995</v>
      </c>
      <c r="D16" s="192" t="s">
        <v>41</v>
      </c>
      <c r="E16" s="192" t="s">
        <v>158</v>
      </c>
      <c r="F16" s="13" t="s">
        <v>1665</v>
      </c>
      <c r="G16" s="13" t="s">
        <v>1666</v>
      </c>
      <c r="H16" s="13" t="s">
        <v>1667</v>
      </c>
      <c r="I16" s="13" t="s">
        <v>1668</v>
      </c>
      <c r="J16" s="192" t="s">
        <v>745</v>
      </c>
      <c r="K16" s="192" t="s">
        <v>243</v>
      </c>
      <c r="L16" s="192" t="s">
        <v>746</v>
      </c>
      <c r="M16" s="192"/>
      <c r="N16" s="193" t="s">
        <v>747</v>
      </c>
      <c r="O16" s="193"/>
      <c r="P16" s="193" t="s">
        <v>23</v>
      </c>
      <c r="Q16" s="193" t="s">
        <v>102</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1669</v>
      </c>
    </row>
    <row r="17" customFormat="false" ht="135.8" hidden="false" customHeight="false" outlineLevel="0" collapsed="false">
      <c r="A17" s="192" t="str">
        <f aca="false">IF($F17="","",$C$2&amp;"."&amp;COUNTA($F$7:$F17)&amp;"")</f>
        <v>TC_10.8</v>
      </c>
      <c r="B17" s="192" t="s">
        <v>694</v>
      </c>
      <c r="C17" s="192" t="s">
        <v>617</v>
      </c>
      <c r="D17" s="192" t="s">
        <v>41</v>
      </c>
      <c r="E17" s="192" t="s">
        <v>158</v>
      </c>
      <c r="F17" s="13" t="s">
        <v>1670</v>
      </c>
      <c r="G17" s="13" t="s">
        <v>1671</v>
      </c>
      <c r="H17" s="13" t="s">
        <v>1672</v>
      </c>
      <c r="I17" s="13" t="s">
        <v>1673</v>
      </c>
      <c r="J17" s="192" t="s">
        <v>745</v>
      </c>
      <c r="K17" s="192" t="s">
        <v>243</v>
      </c>
      <c r="L17" s="192" t="s">
        <v>746</v>
      </c>
      <c r="M17" s="192"/>
      <c r="N17" s="193" t="s">
        <v>747</v>
      </c>
      <c r="O17" s="193"/>
      <c r="P17" s="193" t="s">
        <v>23</v>
      </c>
      <c r="Q17" s="193" t="s">
        <v>102</v>
      </c>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Yes</v>
      </c>
      <c r="AS17" s="194" t="str">
        <f aca="false">IF($A17="","",IFERROR(IF($AM17&lt;&gt;"",$AM17,IF($AG17&lt;&gt;"",$AG17,IF($AA17&lt;&gt;"",$AA17,IF($U17&lt;&gt;"",$U17,IF($O17&lt;&gt;"",$O17,""))))),""))</f>
        <v/>
      </c>
      <c r="AT17" s="194" t="str">
        <f aca="false">IFERROR(IF($AN17&lt;&gt;"",$AN17,IF($AH17&lt;&gt;"",$AH17,IF($AB17&lt;&gt;"",$AB17,IF($V17&lt;&gt;"",$V17,IF($P17&lt;&gt;"",$P17,""))))),"")</f>
        <v>Pass</v>
      </c>
      <c r="AU17" s="195" t="s">
        <v>1674</v>
      </c>
    </row>
    <row r="18" customFormat="false" ht="15" hidden="false" customHeight="false" outlineLevel="0" collapsed="false">
      <c r="A18" s="190"/>
      <c r="B18" s="190"/>
      <c r="C18" s="191" t="s">
        <v>1675</v>
      </c>
      <c r="D18" s="191"/>
      <c r="E18" s="191"/>
      <c r="F18" s="191"/>
      <c r="G18" s="191"/>
      <c r="H18" s="191"/>
      <c r="I18" s="191"/>
      <c r="J18" s="191"/>
      <c r="K18" s="191"/>
      <c r="L18" s="191"/>
      <c r="M18" s="191"/>
      <c r="N18" s="191"/>
      <c r="O18" s="191"/>
      <c r="P18" s="191"/>
      <c r="Q18" s="191"/>
      <c r="R18" s="191"/>
      <c r="S18" s="191"/>
      <c r="T18" s="191"/>
      <c r="U18" s="191"/>
      <c r="V18" s="191"/>
      <c r="W18" s="191"/>
      <c r="X18" s="191"/>
      <c r="Y18" s="191"/>
      <c r="Z18" s="191"/>
      <c r="AA18" s="191"/>
      <c r="AB18" s="191"/>
      <c r="AC18" s="191"/>
      <c r="AD18" s="191"/>
      <c r="AE18" s="191"/>
      <c r="AF18" s="191"/>
      <c r="AG18" s="191"/>
      <c r="AH18" s="191"/>
      <c r="AI18" s="191"/>
      <c r="AJ18" s="191"/>
      <c r="AK18" s="191"/>
      <c r="AL18" s="191"/>
      <c r="AM18" s="191"/>
      <c r="AN18" s="191"/>
      <c r="AO18" s="191"/>
      <c r="AP18" s="191"/>
      <c r="AQ18" s="191"/>
      <c r="AR18" s="191"/>
      <c r="AS18" s="191"/>
      <c r="AT18" s="191"/>
      <c r="AU18" s="191"/>
    </row>
    <row r="19" customFormat="false" ht="135.8" hidden="false" customHeight="false" outlineLevel="0" collapsed="false">
      <c r="A19" s="192" t="str">
        <f aca="false">IF($F19="","",$C$2&amp;"."&amp;COUNTA($F$7:$F19)&amp;"")</f>
        <v>TC_10.9</v>
      </c>
      <c r="B19" s="192" t="s">
        <v>694</v>
      </c>
      <c r="C19" s="192" t="s">
        <v>617</v>
      </c>
      <c r="D19" s="192" t="s">
        <v>41</v>
      </c>
      <c r="E19" s="192" t="s">
        <v>157</v>
      </c>
      <c r="F19" s="13" t="s">
        <v>1676</v>
      </c>
      <c r="G19" s="13" t="s">
        <v>1677</v>
      </c>
      <c r="H19" s="13" t="s">
        <v>1678</v>
      </c>
      <c r="I19" s="13" t="s">
        <v>1679</v>
      </c>
      <c r="J19" s="192" t="s">
        <v>745</v>
      </c>
      <c r="K19" s="192" t="s">
        <v>243</v>
      </c>
      <c r="L19" s="192" t="s">
        <v>746</v>
      </c>
      <c r="M19" s="192"/>
      <c r="N19" s="193" t="s">
        <v>747</v>
      </c>
      <c r="O19" s="193"/>
      <c r="P19" s="193" t="s">
        <v>25</v>
      </c>
      <c r="Q19" s="193" t="s">
        <v>102</v>
      </c>
      <c r="R19" s="193" t="s">
        <v>458</v>
      </c>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Fail</v>
      </c>
      <c r="AU19" s="195" t="s">
        <v>1680</v>
      </c>
    </row>
    <row r="20" customFormat="false" ht="147" hidden="false" customHeight="false" outlineLevel="0" collapsed="false">
      <c r="A20" s="192" t="str">
        <f aca="false">IF($F20="","",$C$2&amp;"."&amp;COUNTA($F$7:$F20)&amp;"")</f>
        <v>TC_10.10</v>
      </c>
      <c r="B20" s="192" t="s">
        <v>694</v>
      </c>
      <c r="C20" s="192" t="s">
        <v>617</v>
      </c>
      <c r="D20" s="192" t="s">
        <v>41</v>
      </c>
      <c r="E20" s="192" t="s">
        <v>157</v>
      </c>
      <c r="F20" s="13" t="s">
        <v>1681</v>
      </c>
      <c r="G20" s="13" t="s">
        <v>1682</v>
      </c>
      <c r="H20" s="13" t="s">
        <v>1683</v>
      </c>
      <c r="I20" s="13" t="s">
        <v>1684</v>
      </c>
      <c r="J20" s="192" t="s">
        <v>745</v>
      </c>
      <c r="K20" s="192" t="s">
        <v>243</v>
      </c>
      <c r="L20" s="192" t="s">
        <v>746</v>
      </c>
      <c r="M20" s="192"/>
      <c r="N20" s="193" t="s">
        <v>747</v>
      </c>
      <c r="O20" s="193"/>
      <c r="P20" s="193" t="s">
        <v>27</v>
      </c>
      <c r="Q20" s="193" t="s">
        <v>102</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Block</v>
      </c>
      <c r="AU20" s="195" t="s">
        <v>1685</v>
      </c>
    </row>
    <row r="21" customFormat="false" ht="15.75" hidden="false" customHeight="true" outlineLevel="0" collapsed="false">
      <c r="A21" s="190"/>
      <c r="B21" s="190"/>
      <c r="C21" s="191" t="s">
        <v>1686</v>
      </c>
      <c r="D21" s="191"/>
      <c r="E21" s="191"/>
      <c r="F21" s="191"/>
      <c r="G21" s="191"/>
      <c r="H21" s="191"/>
      <c r="I21" s="191"/>
      <c r="J21" s="191"/>
      <c r="K21" s="191"/>
      <c r="L21" s="191"/>
      <c r="M21" s="191"/>
      <c r="N21" s="191"/>
      <c r="O21" s="191"/>
      <c r="P21" s="191"/>
      <c r="Q21" s="191"/>
      <c r="R21" s="191"/>
      <c r="S21" s="191"/>
      <c r="T21" s="191"/>
      <c r="U21" s="191"/>
      <c r="V21" s="191"/>
      <c r="W21" s="191"/>
      <c r="X21" s="191"/>
      <c r="Y21" s="191"/>
      <c r="Z21" s="191"/>
      <c r="AA21" s="191"/>
      <c r="AB21" s="191"/>
      <c r="AC21" s="191"/>
      <c r="AD21" s="191"/>
      <c r="AE21" s="191"/>
      <c r="AF21" s="191"/>
      <c r="AG21" s="191"/>
      <c r="AH21" s="191"/>
      <c r="AI21" s="191"/>
      <c r="AJ21" s="191"/>
      <c r="AK21" s="191"/>
      <c r="AL21" s="191"/>
      <c r="AM21" s="191"/>
      <c r="AN21" s="191"/>
      <c r="AO21" s="191"/>
      <c r="AP21" s="191"/>
      <c r="AQ21" s="191"/>
      <c r="AR21" s="191"/>
      <c r="AS21" s="191"/>
      <c r="AT21" s="191"/>
      <c r="AU21" s="191"/>
    </row>
    <row r="22" customFormat="false" ht="15.75" hidden="false" customHeight="true" outlineLevel="0" collapsed="false">
      <c r="A22" s="192" t="str">
        <f aca="false">IF($F22="","",$C$2&amp;"."&amp;COUNTA($F$7:$F22)&amp;"")</f>
        <v>TC_10.11</v>
      </c>
      <c r="B22" s="192" t="s">
        <v>694</v>
      </c>
      <c r="C22" s="192" t="s">
        <v>617</v>
      </c>
      <c r="D22" s="192" t="s">
        <v>41</v>
      </c>
      <c r="E22" s="192" t="s">
        <v>158</v>
      </c>
      <c r="F22" s="13" t="s">
        <v>1687</v>
      </c>
      <c r="G22" s="13" t="s">
        <v>1688</v>
      </c>
      <c r="H22" s="13" t="s">
        <v>1689</v>
      </c>
      <c r="I22" s="13" t="s">
        <v>1690</v>
      </c>
      <c r="J22" s="192" t="s">
        <v>745</v>
      </c>
      <c r="K22" s="192" t="s">
        <v>243</v>
      </c>
      <c r="L22" s="192" t="s">
        <v>746</v>
      </c>
      <c r="M22" s="192"/>
      <c r="N22" s="193" t="s">
        <v>747</v>
      </c>
      <c r="O22" s="193"/>
      <c r="P22" s="193" t="s">
        <v>23</v>
      </c>
      <c r="Q22" s="193" t="s">
        <v>102</v>
      </c>
      <c r="R22" s="193"/>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Pass</v>
      </c>
      <c r="AU22" s="195" t="s">
        <v>1691</v>
      </c>
    </row>
    <row r="23" customFormat="false" ht="15.75" hidden="false" customHeight="true" outlineLevel="0" collapsed="false">
      <c r="A23" s="192" t="str">
        <f aca="false">IF($F23="","",$C$2&amp;"."&amp;COUNTA($F$7:$F23)&amp;"")</f>
        <v>TC_10.12</v>
      </c>
      <c r="B23" s="192" t="s">
        <v>694</v>
      </c>
      <c r="C23" s="192" t="s">
        <v>617</v>
      </c>
      <c r="D23" s="192" t="s">
        <v>41</v>
      </c>
      <c r="E23" s="192" t="s">
        <v>158</v>
      </c>
      <c r="F23" s="13" t="s">
        <v>1692</v>
      </c>
      <c r="G23" s="13" t="s">
        <v>1693</v>
      </c>
      <c r="H23" s="13" t="s">
        <v>1694</v>
      </c>
      <c r="I23" s="13" t="s">
        <v>1695</v>
      </c>
      <c r="J23" s="192" t="s">
        <v>745</v>
      </c>
      <c r="K23" s="192" t="s">
        <v>243</v>
      </c>
      <c r="L23" s="192" t="s">
        <v>746</v>
      </c>
      <c r="M23" s="192"/>
      <c r="N23" s="193" t="s">
        <v>747</v>
      </c>
      <c r="O23" s="193"/>
      <c r="P23" s="193" t="s">
        <v>23</v>
      </c>
      <c r="Q23" s="193" t="s">
        <v>102</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1696</v>
      </c>
    </row>
    <row r="24" customFormat="false" ht="15.75" hidden="false" customHeight="true" outlineLevel="0" collapsed="false">
      <c r="A24" s="190"/>
      <c r="B24" s="190"/>
      <c r="C24" s="191" t="s">
        <v>1697</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TC_10.13</v>
      </c>
      <c r="B25" s="192" t="s">
        <v>694</v>
      </c>
      <c r="C25" s="192" t="s">
        <v>617</v>
      </c>
      <c r="D25" s="192" t="s">
        <v>41</v>
      </c>
      <c r="E25" s="192" t="s">
        <v>157</v>
      </c>
      <c r="F25" s="13" t="s">
        <v>1698</v>
      </c>
      <c r="G25" s="13" t="s">
        <v>1699</v>
      </c>
      <c r="H25" s="13" t="s">
        <v>1700</v>
      </c>
      <c r="I25" s="13" t="s">
        <v>1701</v>
      </c>
      <c r="J25" s="192" t="s">
        <v>745</v>
      </c>
      <c r="K25" s="192" t="s">
        <v>243</v>
      </c>
      <c r="L25" s="192" t="s">
        <v>746</v>
      </c>
      <c r="M25" s="192"/>
      <c r="N25" s="193" t="s">
        <v>747</v>
      </c>
      <c r="O25" s="193"/>
      <c r="P25" s="193" t="s">
        <v>23</v>
      </c>
      <c r="Q25" s="193" t="s">
        <v>102</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1702</v>
      </c>
    </row>
    <row r="26" customFormat="false" ht="15.75" hidden="false" customHeight="true" outlineLevel="0" collapsed="false">
      <c r="A26" s="190"/>
      <c r="B26" s="190"/>
      <c r="C26" s="191" t="s">
        <v>1703</v>
      </c>
      <c r="D26" s="191"/>
      <c r="E26" s="191"/>
      <c r="F26" s="191"/>
      <c r="G26" s="191"/>
      <c r="H26" s="191"/>
      <c r="I26" s="191"/>
      <c r="J26" s="191"/>
      <c r="K26" s="191"/>
      <c r="L26" s="191"/>
      <c r="M26" s="191"/>
      <c r="N26" s="191"/>
      <c r="O26" s="191"/>
      <c r="P26" s="191"/>
      <c r="Q26" s="191"/>
      <c r="R26" s="191"/>
      <c r="S26" s="191"/>
      <c r="T26" s="191"/>
      <c r="U26" s="191"/>
      <c r="V26" s="191"/>
      <c r="W26" s="191"/>
      <c r="X26" s="191"/>
      <c r="Y26" s="191"/>
      <c r="Z26" s="191"/>
      <c r="AA26" s="191"/>
      <c r="AB26" s="191"/>
      <c r="AC26" s="191"/>
      <c r="AD26" s="191"/>
      <c r="AE26" s="191"/>
      <c r="AF26" s="191"/>
      <c r="AG26" s="191"/>
      <c r="AH26" s="191"/>
      <c r="AI26" s="191"/>
      <c r="AJ26" s="191"/>
      <c r="AK26" s="191"/>
      <c r="AL26" s="191"/>
      <c r="AM26" s="191"/>
      <c r="AN26" s="191"/>
      <c r="AO26" s="191"/>
      <c r="AP26" s="191"/>
      <c r="AQ26" s="191"/>
      <c r="AR26" s="191"/>
      <c r="AS26" s="191"/>
      <c r="AT26" s="191"/>
      <c r="AU26" s="191"/>
    </row>
    <row r="27" customFormat="false" ht="15.75" hidden="false" customHeight="true" outlineLevel="0" collapsed="false">
      <c r="A27" s="192" t="str">
        <f aca="false">IF($F27="","",$C$2&amp;"."&amp;COUNTA($F$7:$F27)&amp;"")</f>
        <v>TC_10.14</v>
      </c>
      <c r="B27" s="192" t="s">
        <v>694</v>
      </c>
      <c r="C27" s="192" t="s">
        <v>995</v>
      </c>
      <c r="D27" s="192" t="s">
        <v>41</v>
      </c>
      <c r="E27" s="192" t="s">
        <v>158</v>
      </c>
      <c r="F27" s="13" t="s">
        <v>1704</v>
      </c>
      <c r="G27" s="13" t="s">
        <v>1705</v>
      </c>
      <c r="H27" s="13" t="s">
        <v>1706</v>
      </c>
      <c r="I27" s="13" t="s">
        <v>1707</v>
      </c>
      <c r="J27" s="192" t="s">
        <v>745</v>
      </c>
      <c r="K27" s="192" t="s">
        <v>243</v>
      </c>
      <c r="L27" s="192" t="s">
        <v>746</v>
      </c>
      <c r="M27" s="192"/>
      <c r="N27" s="193" t="s">
        <v>747</v>
      </c>
      <c r="O27" s="193"/>
      <c r="P27" s="193" t="s">
        <v>25</v>
      </c>
      <c r="Q27" s="193" t="s">
        <v>102</v>
      </c>
      <c r="R27" s="193" t="s">
        <v>466</v>
      </c>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Yes</v>
      </c>
      <c r="AS27" s="194" t="str">
        <f aca="false">IF($A27="","",IFERROR(IF($AM27&lt;&gt;"",$AM27,IF($AG27&lt;&gt;"",$AG27,IF($AA27&lt;&gt;"",$AA27,IF($U27&lt;&gt;"",$U27,IF($O27&lt;&gt;"",$O27,""))))),""))</f>
        <v/>
      </c>
      <c r="AT27" s="194" t="str">
        <f aca="false">IFERROR(IF($AN27&lt;&gt;"",$AN27,IF($AH27&lt;&gt;"",$AH27,IF($AB27&lt;&gt;"",$AB27,IF($V27&lt;&gt;"",$V27,IF($P27&lt;&gt;"",$P27,""))))),"")</f>
        <v>Fail</v>
      </c>
      <c r="AU27" s="195" t="s">
        <v>1708</v>
      </c>
    </row>
    <row r="28" customFormat="false" ht="15.75" hidden="false" customHeight="true" outlineLevel="0" collapsed="false">
      <c r="A28" s="190"/>
      <c r="B28" s="190"/>
      <c r="C28" s="191" t="s">
        <v>1709</v>
      </c>
      <c r="D28" s="191"/>
      <c r="E28" s="191"/>
      <c r="F28" s="191"/>
      <c r="G28" s="191"/>
      <c r="H28" s="191"/>
      <c r="I28" s="191"/>
      <c r="J28" s="191"/>
      <c r="K28" s="191"/>
      <c r="L28" s="191"/>
      <c r="M28" s="191"/>
      <c r="N28" s="191"/>
      <c r="O28" s="191"/>
      <c r="P28" s="191"/>
      <c r="Q28" s="191"/>
      <c r="R28" s="191"/>
      <c r="S28" s="191"/>
      <c r="T28" s="191"/>
      <c r="U28" s="191"/>
      <c r="V28" s="191"/>
      <c r="W28" s="191"/>
      <c r="X28" s="191"/>
      <c r="Y28" s="191"/>
      <c r="Z28" s="191"/>
      <c r="AA28" s="191"/>
      <c r="AB28" s="191"/>
      <c r="AC28" s="191"/>
      <c r="AD28" s="191"/>
      <c r="AE28" s="191"/>
      <c r="AF28" s="191"/>
      <c r="AG28" s="191"/>
      <c r="AH28" s="191"/>
      <c r="AI28" s="191"/>
      <c r="AJ28" s="191"/>
      <c r="AK28" s="191"/>
      <c r="AL28" s="191"/>
      <c r="AM28" s="191"/>
      <c r="AN28" s="191"/>
      <c r="AO28" s="191"/>
      <c r="AP28" s="191"/>
      <c r="AQ28" s="191"/>
      <c r="AR28" s="191"/>
      <c r="AS28" s="191"/>
      <c r="AT28" s="191"/>
      <c r="AU28" s="191"/>
    </row>
    <row r="29" customFormat="false" ht="15.75" hidden="false" customHeight="true" outlineLevel="0" collapsed="false">
      <c r="A29" s="192" t="str">
        <f aca="false">IF($F29="","",$C$2&amp;"."&amp;COUNTA($F$7:$F29)&amp;"")</f>
        <v>TC_10.15</v>
      </c>
      <c r="B29" s="192" t="s">
        <v>694</v>
      </c>
      <c r="C29" s="192" t="s">
        <v>995</v>
      </c>
      <c r="D29" s="192" t="s">
        <v>43</v>
      </c>
      <c r="E29" s="192" t="s">
        <v>157</v>
      </c>
      <c r="F29" s="13" t="s">
        <v>1710</v>
      </c>
      <c r="G29" s="13" t="s">
        <v>1711</v>
      </c>
      <c r="H29" s="13" t="s">
        <v>1712</v>
      </c>
      <c r="I29" s="13" t="s">
        <v>1713</v>
      </c>
      <c r="J29" s="192" t="s">
        <v>745</v>
      </c>
      <c r="K29" s="192" t="s">
        <v>243</v>
      </c>
      <c r="L29" s="192" t="s">
        <v>746</v>
      </c>
      <c r="M29" s="192"/>
      <c r="N29" s="193" t="s">
        <v>747</v>
      </c>
      <c r="O29" s="193"/>
      <c r="P29" s="193" t="s">
        <v>23</v>
      </c>
      <c r="Q29" s="193" t="s">
        <v>102</v>
      </c>
      <c r="R29" s="193"/>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Pass</v>
      </c>
      <c r="AU29" s="195" t="s">
        <v>1714</v>
      </c>
    </row>
    <row r="30" customFormat="false" ht="15.75" hidden="false" customHeight="true" outlineLevel="0" collapsed="false">
      <c r="A30" s="192" t="str">
        <f aca="false">IF($F30="","",$C$2&amp;"."&amp;COUNTA($F$7:$F30)&amp;"")</f>
        <v>TC_10.16</v>
      </c>
      <c r="B30" s="192" t="s">
        <v>694</v>
      </c>
      <c r="C30" s="192" t="s">
        <v>995</v>
      </c>
      <c r="D30" s="192" t="s">
        <v>43</v>
      </c>
      <c r="E30" s="192" t="s">
        <v>157</v>
      </c>
      <c r="F30" s="13" t="s">
        <v>1715</v>
      </c>
      <c r="G30" s="13" t="s">
        <v>1716</v>
      </c>
      <c r="H30" s="13" t="s">
        <v>1717</v>
      </c>
      <c r="I30" s="13" t="s">
        <v>1718</v>
      </c>
      <c r="J30" s="192" t="s">
        <v>745</v>
      </c>
      <c r="K30" s="192" t="s">
        <v>243</v>
      </c>
      <c r="L30" s="192" t="s">
        <v>746</v>
      </c>
      <c r="M30" s="192"/>
      <c r="N30" s="193" t="s">
        <v>747</v>
      </c>
      <c r="O30" s="193"/>
      <c r="P30" s="193" t="s">
        <v>23</v>
      </c>
      <c r="Q30" s="193" t="s">
        <v>102</v>
      </c>
      <c r="R30" s="193"/>
      <c r="S30" s="193"/>
      <c r="T30" s="193"/>
      <c r="U30" s="193"/>
      <c r="V30" s="193"/>
      <c r="W30" s="193"/>
      <c r="X30" s="193"/>
      <c r="Y30" s="193"/>
      <c r="Z30" s="193"/>
      <c r="AA30" s="193"/>
      <c r="AB30" s="193"/>
      <c r="AC30" s="193"/>
      <c r="AD30" s="193"/>
      <c r="AE30" s="193"/>
      <c r="AF30" s="193"/>
      <c r="AG30" s="193"/>
      <c r="AH30" s="193"/>
      <c r="AI30" s="193"/>
      <c r="AJ30" s="193"/>
      <c r="AK30" s="193"/>
      <c r="AL30" s="193"/>
      <c r="AM30" s="193"/>
      <c r="AN30" s="193"/>
      <c r="AO30" s="193"/>
      <c r="AP30" s="193"/>
      <c r="AQ30" s="193"/>
      <c r="AR30" s="194" t="str">
        <f aca="false">IF($A30="","",IF(OR($N30="Yes",$T30="Yes",$Z30="Yes",$AF30="Yes",$AL30="Yes"),"Yes","No"))</f>
        <v>Yes</v>
      </c>
      <c r="AS30" s="194" t="str">
        <f aca="false">IF($A30="","",IFERROR(IF($AM30&lt;&gt;"",$AM30,IF($AG30&lt;&gt;"",$AG30,IF($AA30&lt;&gt;"",$AA30,IF($U30&lt;&gt;"",$U30,IF($O30&lt;&gt;"",$O30,""))))),""))</f>
        <v/>
      </c>
      <c r="AT30" s="194" t="str">
        <f aca="false">IFERROR(IF($AN30&lt;&gt;"",$AN30,IF($AH30&lt;&gt;"",$AH30,IF($AB30&lt;&gt;"",$AB30,IF($V30&lt;&gt;"",$V30,IF($P30&lt;&gt;"",$P30,""))))),"")</f>
        <v>Pass</v>
      </c>
      <c r="AU30" s="195" t="s">
        <v>1719</v>
      </c>
    </row>
    <row r="31" customFormat="false" ht="15.75" hidden="false" customHeight="true" outlineLevel="0" collapsed="false">
      <c r="A31" s="192" t="str">
        <f aca="false">IF($F31="","",$C$2&amp;"."&amp;COUNTA($F$7:$F31)&amp;"")</f>
        <v>TC_10.17</v>
      </c>
      <c r="B31" s="192" t="s">
        <v>694</v>
      </c>
      <c r="C31" s="192" t="s">
        <v>995</v>
      </c>
      <c r="D31" s="192" t="s">
        <v>43</v>
      </c>
      <c r="E31" s="192" t="s">
        <v>157</v>
      </c>
      <c r="F31" s="13" t="s">
        <v>1720</v>
      </c>
      <c r="G31" s="13" t="s">
        <v>1721</v>
      </c>
      <c r="H31" s="13" t="s">
        <v>1722</v>
      </c>
      <c r="I31" s="13" t="s">
        <v>1723</v>
      </c>
      <c r="J31" s="192" t="s">
        <v>745</v>
      </c>
      <c r="K31" s="192" t="s">
        <v>243</v>
      </c>
      <c r="L31" s="192" t="s">
        <v>746</v>
      </c>
      <c r="M31" s="192"/>
      <c r="N31" s="193" t="s">
        <v>747</v>
      </c>
      <c r="O31" s="193"/>
      <c r="P31" s="193" t="s">
        <v>23</v>
      </c>
      <c r="Q31" s="193" t="s">
        <v>102</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1724</v>
      </c>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8:AU18"/>
    <mergeCell ref="C21:AU21"/>
    <mergeCell ref="C24:AU24"/>
    <mergeCell ref="C26:AU26"/>
    <mergeCell ref="C28:AU28"/>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213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1725</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TC_11.1</v>
      </c>
      <c r="B8" s="192" t="s">
        <v>697</v>
      </c>
      <c r="C8" s="192" t="s">
        <v>995</v>
      </c>
      <c r="D8" s="192" t="s">
        <v>43</v>
      </c>
      <c r="E8" s="192" t="s">
        <v>157</v>
      </c>
      <c r="F8" s="13" t="s">
        <v>1726</v>
      </c>
      <c r="G8" s="13" t="s">
        <v>1727</v>
      </c>
      <c r="H8" s="13" t="s">
        <v>1728</v>
      </c>
      <c r="I8" s="13" t="s">
        <v>1729</v>
      </c>
      <c r="J8" s="192" t="s">
        <v>745</v>
      </c>
      <c r="K8" s="192" t="s">
        <v>243</v>
      </c>
      <c r="L8" s="192" t="s">
        <v>746</v>
      </c>
      <c r="M8" s="192"/>
      <c r="N8" s="193" t="s">
        <v>747</v>
      </c>
      <c r="O8" s="193"/>
      <c r="P8" s="193" t="s">
        <v>25</v>
      </c>
      <c r="Q8" s="193" t="s">
        <v>102</v>
      </c>
      <c r="R8" s="193" t="s">
        <v>395</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Fail</v>
      </c>
      <c r="AU8" s="195" t="s">
        <v>1730</v>
      </c>
    </row>
    <row r="9" customFormat="false" ht="60" hidden="false" customHeight="true" outlineLevel="0" collapsed="false">
      <c r="A9" s="192" t="str">
        <f aca="false">IF($F9="","",$C$2&amp;"."&amp;COUNTA($F$7:$F9)&amp;"")</f>
        <v>TC_11.2</v>
      </c>
      <c r="B9" s="192" t="s">
        <v>697</v>
      </c>
      <c r="C9" s="192" t="s">
        <v>617</v>
      </c>
      <c r="D9" s="192" t="s">
        <v>41</v>
      </c>
      <c r="E9" s="192" t="s">
        <v>157</v>
      </c>
      <c r="F9" s="13" t="s">
        <v>1731</v>
      </c>
      <c r="G9" s="13" t="s">
        <v>1732</v>
      </c>
      <c r="H9" s="13" t="s">
        <v>1733</v>
      </c>
      <c r="I9" s="13" t="s">
        <v>1734</v>
      </c>
      <c r="J9" s="192" t="s">
        <v>745</v>
      </c>
      <c r="K9" s="192" t="s">
        <v>243</v>
      </c>
      <c r="L9" s="192" t="s">
        <v>746</v>
      </c>
      <c r="M9" s="192"/>
      <c r="N9" s="193" t="s">
        <v>747</v>
      </c>
      <c r="O9" s="193"/>
      <c r="P9" s="193" t="s">
        <v>23</v>
      </c>
      <c r="Q9" s="193" t="s">
        <v>102</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Pass</v>
      </c>
      <c r="AU9" s="195" t="s">
        <v>1735</v>
      </c>
    </row>
    <row r="10" customFormat="false" ht="15" hidden="false" customHeight="false" outlineLevel="0" collapsed="false">
      <c r="A10" s="190"/>
      <c r="B10" s="190"/>
      <c r="C10" s="191" t="s">
        <v>1736</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13.4" hidden="false" customHeight="false" outlineLevel="0" collapsed="false">
      <c r="A11" s="192" t="str">
        <f aca="false">IF($F11="","",$C$2&amp;"."&amp;COUNTA($F$7:$F11)&amp;"")</f>
        <v>TC_11.3</v>
      </c>
      <c r="B11" s="192" t="s">
        <v>700</v>
      </c>
      <c r="C11" s="192" t="s">
        <v>617</v>
      </c>
      <c r="D11" s="192" t="s">
        <v>41</v>
      </c>
      <c r="E11" s="192" t="s">
        <v>158</v>
      </c>
      <c r="F11" s="13" t="s">
        <v>1737</v>
      </c>
      <c r="G11" s="13" t="s">
        <v>1738</v>
      </c>
      <c r="H11" s="13" t="s">
        <v>1739</v>
      </c>
      <c r="I11" s="13" t="s">
        <v>1740</v>
      </c>
      <c r="J11" s="192" t="s">
        <v>745</v>
      </c>
      <c r="K11" s="192" t="s">
        <v>243</v>
      </c>
      <c r="L11" s="192" t="s">
        <v>746</v>
      </c>
      <c r="M11" s="192"/>
      <c r="N11" s="193" t="s">
        <v>747</v>
      </c>
      <c r="O11" s="193"/>
      <c r="P11" s="193" t="s">
        <v>23</v>
      </c>
      <c r="Q11" s="193" t="s">
        <v>102</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1741</v>
      </c>
    </row>
    <row r="12" customFormat="false" ht="113.4" hidden="false" customHeight="false" outlineLevel="0" collapsed="false">
      <c r="A12" s="192" t="str">
        <f aca="false">IF($F12="","",$C$2&amp;"."&amp;COUNTA($F$7:$F12)&amp;"")</f>
        <v>TC_11.4</v>
      </c>
      <c r="B12" s="192" t="s">
        <v>700</v>
      </c>
      <c r="C12" s="192" t="s">
        <v>995</v>
      </c>
      <c r="D12" s="192" t="s">
        <v>43</v>
      </c>
      <c r="E12" s="192" t="s">
        <v>158</v>
      </c>
      <c r="F12" s="13" t="s">
        <v>1742</v>
      </c>
      <c r="G12" s="13" t="s">
        <v>1732</v>
      </c>
      <c r="H12" s="13" t="s">
        <v>1743</v>
      </c>
      <c r="I12" s="13" t="s">
        <v>1744</v>
      </c>
      <c r="J12" s="192" t="s">
        <v>745</v>
      </c>
      <c r="K12" s="192" t="s">
        <v>243</v>
      </c>
      <c r="L12" s="192" t="s">
        <v>746</v>
      </c>
      <c r="M12" s="192"/>
      <c r="N12" s="193" t="s">
        <v>747</v>
      </c>
      <c r="O12" s="193"/>
      <c r="P12" s="193" t="s">
        <v>23</v>
      </c>
      <c r="Q12" s="193" t="s">
        <v>102</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1745</v>
      </c>
    </row>
    <row r="13" customFormat="false" ht="15" hidden="false" customHeight="false" outlineLevel="0" collapsed="false">
      <c r="A13" s="190"/>
      <c r="B13" s="190"/>
      <c r="C13" s="191" t="s">
        <v>1746</v>
      </c>
      <c r="D13" s="191"/>
      <c r="E13" s="191"/>
      <c r="F13" s="191"/>
      <c r="G13" s="191"/>
      <c r="H13" s="191"/>
      <c r="I13" s="191"/>
      <c r="J13" s="191"/>
      <c r="K13" s="191"/>
      <c r="L13" s="191"/>
      <c r="M13" s="191"/>
      <c r="N13" s="191"/>
      <c r="O13" s="191"/>
      <c r="P13" s="191"/>
      <c r="Q13" s="191"/>
      <c r="R13" s="191"/>
      <c r="S13" s="191"/>
      <c r="T13" s="191"/>
      <c r="U13" s="191"/>
      <c r="V13" s="191"/>
      <c r="W13" s="191"/>
      <c r="X13" s="191"/>
      <c r="Y13" s="191"/>
      <c r="Z13" s="191"/>
      <c r="AA13" s="191"/>
      <c r="AB13" s="191"/>
      <c r="AC13" s="191"/>
      <c r="AD13" s="191"/>
      <c r="AE13" s="191"/>
      <c r="AF13" s="191"/>
      <c r="AG13" s="191"/>
      <c r="AH13" s="191"/>
      <c r="AI13" s="191"/>
      <c r="AJ13" s="191"/>
      <c r="AK13" s="191"/>
      <c r="AL13" s="191"/>
      <c r="AM13" s="191"/>
      <c r="AN13" s="191"/>
      <c r="AO13" s="191"/>
      <c r="AP13" s="191"/>
      <c r="AQ13" s="191"/>
      <c r="AR13" s="191"/>
      <c r="AS13" s="191"/>
      <c r="AT13" s="191"/>
      <c r="AU13" s="191"/>
    </row>
    <row r="14" customFormat="false" ht="57.45" hidden="false" customHeight="false" outlineLevel="0" collapsed="false">
      <c r="A14" s="192" t="str">
        <f aca="false">IF($F14="","",$C$2&amp;"."&amp;COUNTA($F$7:$F14)&amp;"")</f>
        <v>TC_11.5</v>
      </c>
      <c r="B14" s="192" t="s">
        <v>703</v>
      </c>
      <c r="C14" s="192" t="s">
        <v>617</v>
      </c>
      <c r="D14" s="192" t="s">
        <v>43</v>
      </c>
      <c r="E14" s="192" t="s">
        <v>157</v>
      </c>
      <c r="F14" s="13" t="s">
        <v>1747</v>
      </c>
      <c r="G14" s="13" t="s">
        <v>742</v>
      </c>
      <c r="H14" s="13" t="s">
        <v>1748</v>
      </c>
      <c r="I14" s="13" t="s">
        <v>1749</v>
      </c>
      <c r="J14" s="192" t="s">
        <v>745</v>
      </c>
      <c r="K14" s="192" t="s">
        <v>243</v>
      </c>
      <c r="L14" s="192" t="s">
        <v>746</v>
      </c>
      <c r="M14" s="192"/>
      <c r="N14" s="193" t="s">
        <v>747</v>
      </c>
      <c r="O14" s="193"/>
      <c r="P14" s="193" t="s">
        <v>25</v>
      </c>
      <c r="Q14" s="193" t="s">
        <v>102</v>
      </c>
      <c r="R14" s="193" t="s">
        <v>399</v>
      </c>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Fail</v>
      </c>
      <c r="AU14" s="195" t="s">
        <v>1750</v>
      </c>
    </row>
    <row r="15" customFormat="false" ht="68.65" hidden="false" customHeight="false" outlineLevel="0" collapsed="false">
      <c r="A15" s="192" t="str">
        <f aca="false">IF($F15="","",$C$2&amp;"."&amp;COUNTA($F$7:$F15)&amp;"")</f>
        <v>TC_11.6</v>
      </c>
      <c r="B15" s="192" t="s">
        <v>1751</v>
      </c>
      <c r="C15" s="192" t="s">
        <v>995</v>
      </c>
      <c r="D15" s="192" t="s">
        <v>43</v>
      </c>
      <c r="E15" s="192" t="s">
        <v>157</v>
      </c>
      <c r="F15" s="13" t="s">
        <v>1752</v>
      </c>
      <c r="G15" s="13" t="s">
        <v>742</v>
      </c>
      <c r="H15" s="13" t="s">
        <v>1753</v>
      </c>
      <c r="I15" s="13" t="s">
        <v>1754</v>
      </c>
      <c r="J15" s="192" t="s">
        <v>745</v>
      </c>
      <c r="K15" s="192" t="s">
        <v>243</v>
      </c>
      <c r="L15" s="192" t="s">
        <v>746</v>
      </c>
      <c r="M15" s="192"/>
      <c r="N15" s="193" t="s">
        <v>747</v>
      </c>
      <c r="O15" s="193"/>
      <c r="P15" s="193" t="s">
        <v>23</v>
      </c>
      <c r="Q15" s="193" t="s">
        <v>102</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1755</v>
      </c>
    </row>
    <row r="16" customFormat="false" ht="15" hidden="false" customHeight="false" outlineLevel="0" collapsed="false">
      <c r="A16" s="190"/>
      <c r="B16" s="190"/>
      <c r="C16" s="191" t="s">
        <v>1756</v>
      </c>
      <c r="D16" s="191"/>
      <c r="E16" s="191"/>
      <c r="F16" s="191"/>
      <c r="G16" s="191"/>
      <c r="H16" s="191"/>
      <c r="I16" s="191"/>
      <c r="J16" s="191"/>
      <c r="K16" s="191"/>
      <c r="L16" s="191"/>
      <c r="M16" s="191"/>
      <c r="N16" s="191"/>
      <c r="O16" s="191"/>
      <c r="P16" s="191"/>
      <c r="Q16" s="191"/>
      <c r="R16" s="191"/>
      <c r="S16" s="191"/>
      <c r="T16" s="191"/>
      <c r="U16" s="191"/>
      <c r="V16" s="191"/>
      <c r="W16" s="191"/>
      <c r="X16" s="191"/>
      <c r="Y16" s="191"/>
      <c r="Z16" s="191"/>
      <c r="AA16" s="191"/>
      <c r="AB16" s="191"/>
      <c r="AC16" s="191"/>
      <c r="AD16" s="191"/>
      <c r="AE16" s="191"/>
      <c r="AF16" s="191"/>
      <c r="AG16" s="191"/>
      <c r="AH16" s="191"/>
      <c r="AI16" s="191"/>
      <c r="AJ16" s="191"/>
      <c r="AK16" s="191"/>
      <c r="AL16" s="191"/>
      <c r="AM16" s="191"/>
      <c r="AN16" s="191"/>
      <c r="AO16" s="191"/>
      <c r="AP16" s="191"/>
      <c r="AQ16" s="191"/>
      <c r="AR16" s="191"/>
      <c r="AS16" s="191"/>
      <c r="AT16" s="191"/>
      <c r="AU16" s="191"/>
    </row>
    <row r="17" customFormat="false" ht="449.25" hidden="false" customHeight="false" outlineLevel="0" collapsed="false">
      <c r="A17" s="192" t="str">
        <f aca="false">IF($F17="","",$C$2&amp;"."&amp;COUNTA($F$7:$F17)&amp;"")</f>
        <v>TC_11.7</v>
      </c>
      <c r="B17" s="192" t="s">
        <v>706</v>
      </c>
      <c r="C17" s="192" t="s">
        <v>1757</v>
      </c>
      <c r="D17" s="192" t="s">
        <v>41</v>
      </c>
      <c r="E17" s="192" t="s">
        <v>156</v>
      </c>
      <c r="F17" s="13" t="s">
        <v>1758</v>
      </c>
      <c r="G17" s="13" t="s">
        <v>1759</v>
      </c>
      <c r="H17" s="13" t="s">
        <v>1760</v>
      </c>
      <c r="I17" s="13" t="s">
        <v>1761</v>
      </c>
      <c r="J17" s="192" t="s">
        <v>745</v>
      </c>
      <c r="K17" s="192" t="s">
        <v>243</v>
      </c>
      <c r="L17" s="192" t="s">
        <v>746</v>
      </c>
      <c r="M17" s="192"/>
      <c r="N17" s="193" t="s">
        <v>747</v>
      </c>
      <c r="O17" s="193"/>
      <c r="P17" s="193" t="s">
        <v>23</v>
      </c>
      <c r="Q17" s="193" t="s">
        <v>102</v>
      </c>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Yes</v>
      </c>
      <c r="AS17" s="194" t="str">
        <f aca="false">IF($A17="","",IFERROR(IF($AM17&lt;&gt;"",$AM17,IF($AG17&lt;&gt;"",$AG17,IF($AA17&lt;&gt;"",$AA17,IF($U17&lt;&gt;"",$U17,IF($O17&lt;&gt;"",$O17,""))))),""))</f>
        <v/>
      </c>
      <c r="AT17" s="194" t="str">
        <f aca="false">IFERROR(IF($AN17&lt;&gt;"",$AN17,IF($AH17&lt;&gt;"",$AH17,IF($AB17&lt;&gt;"",$AB17,IF($V17&lt;&gt;"",$V17,IF($P17&lt;&gt;"",$P17,""))))),"")</f>
        <v>Pass</v>
      </c>
      <c r="AU17" s="195" t="s">
        <v>1762</v>
      </c>
    </row>
    <row r="18" customFormat="false" ht="202.95" hidden="false" customHeight="false" outlineLevel="0" collapsed="false">
      <c r="A18" s="192" t="str">
        <f aca="false">IF($F18="","",$C$2&amp;"."&amp;COUNTA($F$7:$F18)&amp;"")</f>
        <v>TC_11.8</v>
      </c>
      <c r="B18" s="192" t="s">
        <v>706</v>
      </c>
      <c r="C18" s="192" t="s">
        <v>1757</v>
      </c>
      <c r="D18" s="192" t="s">
        <v>41</v>
      </c>
      <c r="E18" s="192" t="s">
        <v>156</v>
      </c>
      <c r="F18" s="13" t="s">
        <v>1763</v>
      </c>
      <c r="G18" s="13" t="s">
        <v>1759</v>
      </c>
      <c r="H18" s="13" t="s">
        <v>1764</v>
      </c>
      <c r="I18" s="13" t="s">
        <v>1765</v>
      </c>
      <c r="J18" s="192" t="s">
        <v>745</v>
      </c>
      <c r="K18" s="192" t="s">
        <v>243</v>
      </c>
      <c r="L18" s="192" t="s">
        <v>746</v>
      </c>
      <c r="M18" s="192"/>
      <c r="N18" s="193" t="s">
        <v>747</v>
      </c>
      <c r="O18" s="193"/>
      <c r="P18" s="193" t="s">
        <v>23</v>
      </c>
      <c r="Q18" s="193" t="s">
        <v>102</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1766</v>
      </c>
    </row>
    <row r="19" customFormat="false" ht="729.1" hidden="false" customHeight="false" outlineLevel="0" collapsed="false">
      <c r="A19" s="192" t="str">
        <f aca="false">IF($F19="","",$C$2&amp;"."&amp;COUNTA($F$7:$F19)&amp;"")</f>
        <v>TC_11.9</v>
      </c>
      <c r="B19" s="192" t="s">
        <v>706</v>
      </c>
      <c r="C19" s="192" t="s">
        <v>617</v>
      </c>
      <c r="D19" s="192" t="s">
        <v>43</v>
      </c>
      <c r="E19" s="192" t="s">
        <v>158</v>
      </c>
      <c r="F19" s="13" t="s">
        <v>1767</v>
      </c>
      <c r="G19" s="13" t="s">
        <v>1768</v>
      </c>
      <c r="H19" s="13" t="s">
        <v>1769</v>
      </c>
      <c r="I19" s="13" t="s">
        <v>1770</v>
      </c>
      <c r="J19" s="192" t="s">
        <v>745</v>
      </c>
      <c r="K19" s="192" t="s">
        <v>243</v>
      </c>
      <c r="L19" s="192" t="s">
        <v>746</v>
      </c>
      <c r="M19" s="192"/>
      <c r="N19" s="193" t="s">
        <v>747</v>
      </c>
      <c r="O19" s="193"/>
      <c r="P19" s="193" t="s">
        <v>23</v>
      </c>
      <c r="Q19" s="193" t="s">
        <v>102</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1771</v>
      </c>
    </row>
    <row r="20" customFormat="false" ht="15" hidden="false" customHeight="false" outlineLevel="0" collapsed="false">
      <c r="A20" s="190"/>
      <c r="B20" s="190"/>
      <c r="C20" s="191" t="s">
        <v>1772</v>
      </c>
      <c r="D20" s="191"/>
      <c r="E20" s="191"/>
      <c r="F20" s="191"/>
      <c r="G20" s="191"/>
      <c r="H20" s="191"/>
      <c r="I20" s="191"/>
      <c r="J20" s="191"/>
      <c r="K20" s="191"/>
      <c r="L20" s="191"/>
      <c r="M20" s="191"/>
      <c r="N20" s="191"/>
      <c r="O20" s="191"/>
      <c r="P20" s="191"/>
      <c r="Q20" s="191"/>
      <c r="R20" s="191"/>
      <c r="S20" s="191"/>
      <c r="T20" s="191"/>
      <c r="U20" s="191"/>
      <c r="V20" s="191"/>
      <c r="W20" s="191"/>
      <c r="X20" s="191"/>
      <c r="Y20" s="191"/>
      <c r="Z20" s="191"/>
      <c r="AA20" s="191"/>
      <c r="AB20" s="191"/>
      <c r="AC20" s="191"/>
      <c r="AD20" s="191"/>
      <c r="AE20" s="191"/>
      <c r="AF20" s="191"/>
      <c r="AG20" s="191"/>
      <c r="AH20" s="191"/>
      <c r="AI20" s="191"/>
      <c r="AJ20" s="191"/>
      <c r="AK20" s="191"/>
      <c r="AL20" s="191"/>
      <c r="AM20" s="191"/>
      <c r="AN20" s="191"/>
      <c r="AO20" s="191"/>
      <c r="AP20" s="191"/>
      <c r="AQ20" s="191"/>
      <c r="AR20" s="191"/>
      <c r="AS20" s="191"/>
      <c r="AT20" s="191"/>
      <c r="AU20" s="191"/>
    </row>
    <row r="21" customFormat="false" ht="15.75" hidden="false" customHeight="true" outlineLevel="0" collapsed="false">
      <c r="A21" s="192" t="str">
        <f aca="false">IF($F21="","",$C$2&amp;"."&amp;COUNTA($F$7:$F21)&amp;"")</f>
        <v>TC_11.10</v>
      </c>
      <c r="B21" s="192" t="s">
        <v>706</v>
      </c>
      <c r="C21" s="192" t="s">
        <v>617</v>
      </c>
      <c r="D21" s="192" t="s">
        <v>41</v>
      </c>
      <c r="E21" s="192" t="s">
        <v>157</v>
      </c>
      <c r="F21" s="13" t="s">
        <v>1773</v>
      </c>
      <c r="G21" s="13" t="s">
        <v>1774</v>
      </c>
      <c r="H21" s="13" t="s">
        <v>1775</v>
      </c>
      <c r="I21" s="13" t="s">
        <v>1776</v>
      </c>
      <c r="J21" s="192" t="s">
        <v>745</v>
      </c>
      <c r="K21" s="192" t="s">
        <v>243</v>
      </c>
      <c r="L21" s="192" t="s">
        <v>746</v>
      </c>
      <c r="M21" s="192"/>
      <c r="N21" s="193" t="s">
        <v>747</v>
      </c>
      <c r="O21" s="193"/>
      <c r="P21" s="193" t="s">
        <v>25</v>
      </c>
      <c r="Q21" s="193" t="s">
        <v>102</v>
      </c>
      <c r="R21" s="193" t="s">
        <v>387</v>
      </c>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Fail</v>
      </c>
      <c r="AU21" s="195" t="s">
        <v>1777</v>
      </c>
    </row>
    <row r="22" customFormat="false" ht="15.75" hidden="false" customHeight="true" outlineLevel="0" collapsed="false">
      <c r="A22" s="192" t="str">
        <f aca="false">IF($F22="","",$C$2&amp;"."&amp;COUNTA($F$7:$F22)&amp;"")</f>
        <v>TC_11.11</v>
      </c>
      <c r="B22" s="192" t="s">
        <v>706</v>
      </c>
      <c r="C22" s="192" t="s">
        <v>617</v>
      </c>
      <c r="D22" s="192" t="s">
        <v>41</v>
      </c>
      <c r="E22" s="192" t="s">
        <v>157</v>
      </c>
      <c r="F22" s="13" t="s">
        <v>1778</v>
      </c>
      <c r="G22" s="13" t="s">
        <v>1779</v>
      </c>
      <c r="H22" s="13" t="s">
        <v>1780</v>
      </c>
      <c r="I22" s="13" t="s">
        <v>1781</v>
      </c>
      <c r="J22" s="192" t="s">
        <v>745</v>
      </c>
      <c r="K22" s="192" t="s">
        <v>243</v>
      </c>
      <c r="L22" s="192" t="s">
        <v>746</v>
      </c>
      <c r="M22" s="192"/>
      <c r="N22" s="193" t="s">
        <v>747</v>
      </c>
      <c r="O22" s="193"/>
      <c r="P22" s="193" t="s">
        <v>25</v>
      </c>
      <c r="Q22" s="193" t="s">
        <v>102</v>
      </c>
      <c r="R22" s="193" t="s">
        <v>387</v>
      </c>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Fail</v>
      </c>
      <c r="AU22" s="195" t="s">
        <v>1782</v>
      </c>
    </row>
    <row r="23" customFormat="false" ht="15.75" hidden="false" customHeight="true" outlineLevel="0" collapsed="false">
      <c r="A23" s="192" t="str">
        <f aca="false">IF($F23="","",$C$2&amp;"."&amp;COUNTA($F$7:$F23)&amp;"")</f>
        <v>TC_11.12</v>
      </c>
      <c r="B23" s="192" t="s">
        <v>706</v>
      </c>
      <c r="C23" s="192" t="s">
        <v>617</v>
      </c>
      <c r="D23" s="192" t="s">
        <v>41</v>
      </c>
      <c r="E23" s="192" t="s">
        <v>157</v>
      </c>
      <c r="F23" s="13" t="s">
        <v>1783</v>
      </c>
      <c r="G23" s="13" t="s">
        <v>1784</v>
      </c>
      <c r="H23" s="13" t="s">
        <v>1785</v>
      </c>
      <c r="I23" s="13" t="s">
        <v>1786</v>
      </c>
      <c r="J23" s="192" t="s">
        <v>745</v>
      </c>
      <c r="K23" s="192" t="s">
        <v>243</v>
      </c>
      <c r="L23" s="192" t="s">
        <v>746</v>
      </c>
      <c r="M23" s="192"/>
      <c r="N23" s="193" t="s">
        <v>747</v>
      </c>
      <c r="O23" s="193"/>
      <c r="P23" s="193" t="s">
        <v>23</v>
      </c>
      <c r="Q23" s="193" t="s">
        <v>102</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1787</v>
      </c>
    </row>
    <row r="24" customFormat="false" ht="15.75" hidden="false" customHeight="true" outlineLevel="0" collapsed="false">
      <c r="A24" s="192" t="str">
        <f aca="false">IF($F24="","",$C$2&amp;"."&amp;COUNTA($F$7:$F24)&amp;"")</f>
        <v>TC_11.13</v>
      </c>
      <c r="B24" s="192" t="s">
        <v>706</v>
      </c>
      <c r="C24" s="192" t="s">
        <v>617</v>
      </c>
      <c r="D24" s="192" t="s">
        <v>41</v>
      </c>
      <c r="E24" s="192" t="s">
        <v>157</v>
      </c>
      <c r="F24" s="13" t="s">
        <v>1788</v>
      </c>
      <c r="G24" s="13" t="s">
        <v>1789</v>
      </c>
      <c r="H24" s="13" t="s">
        <v>1790</v>
      </c>
      <c r="I24" s="13" t="s">
        <v>1781</v>
      </c>
      <c r="J24" s="192" t="s">
        <v>745</v>
      </c>
      <c r="K24" s="192" t="s">
        <v>243</v>
      </c>
      <c r="L24" s="192" t="s">
        <v>746</v>
      </c>
      <c r="M24" s="192"/>
      <c r="N24" s="193" t="s">
        <v>747</v>
      </c>
      <c r="O24" s="193"/>
      <c r="P24" s="193" t="s">
        <v>25</v>
      </c>
      <c r="Q24" s="193" t="s">
        <v>102</v>
      </c>
      <c r="R24" s="193" t="s">
        <v>387</v>
      </c>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Yes</v>
      </c>
      <c r="AS24" s="194" t="str">
        <f aca="false">IF($A24="","",IFERROR(IF($AM24&lt;&gt;"",$AM24,IF($AG24&lt;&gt;"",$AG24,IF($AA24&lt;&gt;"",$AA24,IF($U24&lt;&gt;"",$U24,IF($O24&lt;&gt;"",$O24,""))))),""))</f>
        <v/>
      </c>
      <c r="AT24" s="194" t="str">
        <f aca="false">IFERROR(IF($AN24&lt;&gt;"",$AN24,IF($AH24&lt;&gt;"",$AH24,IF($AB24&lt;&gt;"",$AB24,IF($V24&lt;&gt;"",$V24,IF($P24&lt;&gt;"",$P24,""))))),"")</f>
        <v>Fail</v>
      </c>
      <c r="AU24" s="195" t="s">
        <v>1791</v>
      </c>
    </row>
    <row r="25" customFormat="false" ht="15.75" hidden="false" customHeight="true" outlineLevel="0" collapsed="false">
      <c r="A25" s="192" t="str">
        <f aca="false">IF($F25="","",$C$2&amp;"."&amp;COUNTA($F$7:$F25)&amp;"")</f>
        <v>TC_11.14</v>
      </c>
      <c r="B25" s="192" t="s">
        <v>706</v>
      </c>
      <c r="C25" s="192" t="s">
        <v>617</v>
      </c>
      <c r="D25" s="192" t="s">
        <v>41</v>
      </c>
      <c r="E25" s="192" t="s">
        <v>157</v>
      </c>
      <c r="F25" s="13" t="s">
        <v>1792</v>
      </c>
      <c r="G25" s="13" t="s">
        <v>1793</v>
      </c>
      <c r="H25" s="13" t="s">
        <v>1794</v>
      </c>
      <c r="I25" s="13" t="s">
        <v>1781</v>
      </c>
      <c r="J25" s="192" t="s">
        <v>745</v>
      </c>
      <c r="K25" s="192" t="s">
        <v>243</v>
      </c>
      <c r="L25" s="192" t="s">
        <v>746</v>
      </c>
      <c r="M25" s="192"/>
      <c r="N25" s="193" t="s">
        <v>747</v>
      </c>
      <c r="O25" s="193"/>
      <c r="P25" s="193" t="s">
        <v>25</v>
      </c>
      <c r="Q25" s="193" t="s">
        <v>102</v>
      </c>
      <c r="R25" s="193" t="s">
        <v>380</v>
      </c>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Fail</v>
      </c>
      <c r="AU25" s="195" t="s">
        <v>1795</v>
      </c>
    </row>
    <row r="26" customFormat="false" ht="15.75" hidden="false" customHeight="true" outlineLevel="0" collapsed="false">
      <c r="A26" s="192" t="str">
        <f aca="false">IF($F26="","",$C$2&amp;"."&amp;COUNTA($F$7:$F26)&amp;"")</f>
        <v>TC_11.15</v>
      </c>
      <c r="B26" s="192" t="s">
        <v>706</v>
      </c>
      <c r="C26" s="192" t="s">
        <v>617</v>
      </c>
      <c r="D26" s="192" t="s">
        <v>41</v>
      </c>
      <c r="E26" s="192" t="s">
        <v>157</v>
      </c>
      <c r="F26" s="13" t="s">
        <v>1796</v>
      </c>
      <c r="G26" s="13" t="s">
        <v>1797</v>
      </c>
      <c r="H26" s="13" t="s">
        <v>1798</v>
      </c>
      <c r="I26" s="13" t="s">
        <v>1781</v>
      </c>
      <c r="J26" s="192" t="s">
        <v>745</v>
      </c>
      <c r="K26" s="192" t="s">
        <v>243</v>
      </c>
      <c r="L26" s="192" t="s">
        <v>746</v>
      </c>
      <c r="M26" s="192"/>
      <c r="N26" s="193" t="s">
        <v>747</v>
      </c>
      <c r="O26" s="193"/>
      <c r="P26" s="193" t="s">
        <v>25</v>
      </c>
      <c r="Q26" s="193" t="s">
        <v>102</v>
      </c>
      <c r="R26" s="193" t="s">
        <v>380</v>
      </c>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Yes</v>
      </c>
      <c r="AS26" s="194" t="str">
        <f aca="false">IF($A26="","",IFERROR(IF($AM26&lt;&gt;"",$AM26,IF($AG26&lt;&gt;"",$AG26,IF($AA26&lt;&gt;"",$AA26,IF($U26&lt;&gt;"",$U26,IF($O26&lt;&gt;"",$O26,""))))),""))</f>
        <v/>
      </c>
      <c r="AT26" s="194" t="str">
        <f aca="false">IFERROR(IF($AN26&lt;&gt;"",$AN26,IF($AH26&lt;&gt;"",$AH26,IF($AB26&lt;&gt;"",$AB26,IF($V26&lt;&gt;"",$V26,IF($P26&lt;&gt;"",$P26,""))))),"")</f>
        <v>Fail</v>
      </c>
      <c r="AU26" s="195" t="s">
        <v>1799</v>
      </c>
    </row>
    <row r="27" customFormat="false" ht="15.75" hidden="false" customHeight="true" outlineLevel="0" collapsed="false">
      <c r="A27" s="192" t="str">
        <f aca="false">IF($F27="","",$C$2&amp;"."&amp;COUNTA($F$7:$F27)&amp;"")</f>
        <v>TC_11.16</v>
      </c>
      <c r="B27" s="192" t="s">
        <v>706</v>
      </c>
      <c r="C27" s="192" t="s">
        <v>617</v>
      </c>
      <c r="D27" s="192" t="s">
        <v>41</v>
      </c>
      <c r="E27" s="192" t="s">
        <v>157</v>
      </c>
      <c r="F27" s="13" t="s">
        <v>1800</v>
      </c>
      <c r="G27" s="13" t="s">
        <v>1801</v>
      </c>
      <c r="H27" s="13" t="s">
        <v>1802</v>
      </c>
      <c r="I27" s="13" t="s">
        <v>1781</v>
      </c>
      <c r="J27" s="192" t="s">
        <v>745</v>
      </c>
      <c r="K27" s="192" t="s">
        <v>243</v>
      </c>
      <c r="L27" s="192" t="s">
        <v>746</v>
      </c>
      <c r="M27" s="192"/>
      <c r="N27" s="193" t="s">
        <v>747</v>
      </c>
      <c r="O27" s="193"/>
      <c r="P27" s="193" t="s">
        <v>25</v>
      </c>
      <c r="Q27" s="193" t="s">
        <v>102</v>
      </c>
      <c r="R27" s="193" t="s">
        <v>387</v>
      </c>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Yes</v>
      </c>
      <c r="AS27" s="194" t="str">
        <f aca="false">IF($A27="","",IFERROR(IF($AM27&lt;&gt;"",$AM27,IF($AG27&lt;&gt;"",$AG27,IF($AA27&lt;&gt;"",$AA27,IF($U27&lt;&gt;"",$U27,IF($O27&lt;&gt;"",$O27,""))))),""))</f>
        <v/>
      </c>
      <c r="AT27" s="194" t="str">
        <f aca="false">IFERROR(IF($AN27&lt;&gt;"",$AN27,IF($AH27&lt;&gt;"",$AH27,IF($AB27&lt;&gt;"",$AB27,IF($V27&lt;&gt;"",$V27,IF($P27&lt;&gt;"",$P27,""))))),"")</f>
        <v>Fail</v>
      </c>
      <c r="AU27" s="195" t="s">
        <v>1803</v>
      </c>
    </row>
    <row r="28" customFormat="false" ht="15.75" hidden="false" customHeight="true" outlineLevel="0" collapsed="false">
      <c r="A28" s="190"/>
      <c r="B28" s="190"/>
      <c r="C28" s="191" t="s">
        <v>1804</v>
      </c>
      <c r="D28" s="191"/>
      <c r="E28" s="191"/>
      <c r="F28" s="191"/>
      <c r="G28" s="191"/>
      <c r="H28" s="191"/>
      <c r="I28" s="191"/>
      <c r="J28" s="191"/>
      <c r="K28" s="191"/>
      <c r="L28" s="191"/>
      <c r="M28" s="191"/>
      <c r="N28" s="191"/>
      <c r="O28" s="191"/>
      <c r="P28" s="191"/>
      <c r="Q28" s="191"/>
      <c r="R28" s="191"/>
      <c r="S28" s="191"/>
      <c r="T28" s="191"/>
      <c r="U28" s="191"/>
      <c r="V28" s="191"/>
      <c r="W28" s="191"/>
      <c r="X28" s="191"/>
      <c r="Y28" s="191"/>
      <c r="Z28" s="191"/>
      <c r="AA28" s="191"/>
      <c r="AB28" s="191"/>
      <c r="AC28" s="191"/>
      <c r="AD28" s="191"/>
      <c r="AE28" s="191"/>
      <c r="AF28" s="191"/>
      <c r="AG28" s="191"/>
      <c r="AH28" s="191"/>
      <c r="AI28" s="191"/>
      <c r="AJ28" s="191"/>
      <c r="AK28" s="191"/>
      <c r="AL28" s="191"/>
      <c r="AM28" s="191"/>
      <c r="AN28" s="191"/>
      <c r="AO28" s="191"/>
      <c r="AP28" s="191"/>
      <c r="AQ28" s="191"/>
      <c r="AR28" s="191"/>
      <c r="AS28" s="191"/>
      <c r="AT28" s="191"/>
      <c r="AU28" s="191"/>
    </row>
    <row r="29" customFormat="false" ht="15.75" hidden="false" customHeight="true" outlineLevel="0" collapsed="false">
      <c r="A29" s="192" t="str">
        <f aca="false">IF($F29="","",$C$2&amp;"."&amp;COUNTA($F$7:$F29)&amp;"")</f>
        <v>TC_11.17</v>
      </c>
      <c r="B29" s="192" t="s">
        <v>1805</v>
      </c>
      <c r="C29" s="192" t="s">
        <v>995</v>
      </c>
      <c r="D29" s="192" t="s">
        <v>41</v>
      </c>
      <c r="E29" s="192" t="s">
        <v>157</v>
      </c>
      <c r="F29" s="13" t="s">
        <v>1806</v>
      </c>
      <c r="G29" s="13" t="s">
        <v>1807</v>
      </c>
      <c r="H29" s="13" t="s">
        <v>1808</v>
      </c>
      <c r="I29" s="13" t="s">
        <v>1809</v>
      </c>
      <c r="J29" s="192" t="s">
        <v>745</v>
      </c>
      <c r="K29" s="192" t="s">
        <v>243</v>
      </c>
      <c r="L29" s="192" t="s">
        <v>746</v>
      </c>
      <c r="M29" s="192"/>
      <c r="N29" s="193" t="s">
        <v>747</v>
      </c>
      <c r="O29" s="193"/>
      <c r="P29" s="193" t="s">
        <v>25</v>
      </c>
      <c r="Q29" s="193" t="s">
        <v>102</v>
      </c>
      <c r="R29" s="193" t="s">
        <v>1810</v>
      </c>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Fail</v>
      </c>
      <c r="AU29" s="195" t="s">
        <v>1811</v>
      </c>
    </row>
    <row r="30" customFormat="false" ht="15.75" hidden="false" customHeight="true" outlineLevel="0" collapsed="false">
      <c r="A30" s="190"/>
      <c r="B30" s="190"/>
      <c r="C30" s="191" t="s">
        <v>1812</v>
      </c>
      <c r="D30" s="191"/>
      <c r="E30" s="191"/>
      <c r="F30" s="191"/>
      <c r="G30" s="191"/>
      <c r="H30" s="191"/>
      <c r="I30" s="191"/>
      <c r="J30" s="191"/>
      <c r="K30" s="191"/>
      <c r="L30" s="191"/>
      <c r="M30" s="191"/>
      <c r="N30" s="191"/>
      <c r="O30" s="191"/>
      <c r="P30" s="191"/>
      <c r="Q30" s="191"/>
      <c r="R30" s="191"/>
      <c r="S30" s="191"/>
      <c r="T30" s="191"/>
      <c r="U30" s="191"/>
      <c r="V30" s="191"/>
      <c r="W30" s="191"/>
      <c r="X30" s="191"/>
      <c r="Y30" s="191"/>
      <c r="Z30" s="191"/>
      <c r="AA30" s="191"/>
      <c r="AB30" s="191"/>
      <c r="AC30" s="191"/>
      <c r="AD30" s="191"/>
      <c r="AE30" s="191"/>
      <c r="AF30" s="191"/>
      <c r="AG30" s="191"/>
      <c r="AH30" s="191"/>
      <c r="AI30" s="191"/>
      <c r="AJ30" s="191"/>
      <c r="AK30" s="191"/>
      <c r="AL30" s="191"/>
      <c r="AM30" s="191"/>
      <c r="AN30" s="191"/>
      <c r="AO30" s="191"/>
      <c r="AP30" s="191"/>
      <c r="AQ30" s="191"/>
      <c r="AR30" s="191"/>
      <c r="AS30" s="191"/>
      <c r="AT30" s="191"/>
      <c r="AU30" s="191"/>
    </row>
    <row r="31" customFormat="false" ht="15.75" hidden="false" customHeight="true" outlineLevel="0" collapsed="false">
      <c r="A31" s="192" t="str">
        <f aca="false">IF($F31="","",$C$2&amp;"."&amp;COUNTA($F$7:$F31)&amp;"")</f>
        <v>TC_11.18</v>
      </c>
      <c r="B31" s="192" t="s">
        <v>709</v>
      </c>
      <c r="C31" s="192" t="s">
        <v>1757</v>
      </c>
      <c r="D31" s="192" t="s">
        <v>41</v>
      </c>
      <c r="E31" s="192" t="s">
        <v>156</v>
      </c>
      <c r="F31" s="13" t="s">
        <v>1813</v>
      </c>
      <c r="G31" s="13" t="s">
        <v>1814</v>
      </c>
      <c r="H31" s="13" t="s">
        <v>1815</v>
      </c>
      <c r="I31" s="13" t="s">
        <v>1816</v>
      </c>
      <c r="J31" s="192" t="s">
        <v>745</v>
      </c>
      <c r="K31" s="192" t="s">
        <v>243</v>
      </c>
      <c r="L31" s="192" t="s">
        <v>746</v>
      </c>
      <c r="M31" s="192"/>
      <c r="N31" s="193" t="s">
        <v>747</v>
      </c>
      <c r="O31" s="193"/>
      <c r="P31" s="193" t="s">
        <v>23</v>
      </c>
      <c r="Q31" s="193" t="s">
        <v>102</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1817</v>
      </c>
    </row>
    <row r="32" customFormat="false" ht="15.75" hidden="false" customHeight="true" outlineLevel="0" collapsed="false">
      <c r="A32" s="192" t="str">
        <f aca="false">IF($F32="","",$C$2&amp;"."&amp;COUNTA($F$7:$F32)&amp;"")</f>
        <v>TC_11.19</v>
      </c>
      <c r="B32" s="192" t="s">
        <v>712</v>
      </c>
      <c r="C32" s="192" t="s">
        <v>1757</v>
      </c>
      <c r="D32" s="192" t="s">
        <v>41</v>
      </c>
      <c r="E32" s="192" t="s">
        <v>157</v>
      </c>
      <c r="F32" s="13" t="s">
        <v>1818</v>
      </c>
      <c r="G32" s="13" t="s">
        <v>1819</v>
      </c>
      <c r="H32" s="13" t="s">
        <v>1820</v>
      </c>
      <c r="I32" s="13" t="s">
        <v>1821</v>
      </c>
      <c r="J32" s="192" t="s">
        <v>745</v>
      </c>
      <c r="K32" s="192" t="s">
        <v>243</v>
      </c>
      <c r="L32" s="192" t="s">
        <v>746</v>
      </c>
      <c r="M32" s="192"/>
      <c r="N32" s="193" t="s">
        <v>747</v>
      </c>
      <c r="O32" s="193"/>
      <c r="P32" s="193" t="s">
        <v>23</v>
      </c>
      <c r="Q32" s="193" t="s">
        <v>102</v>
      </c>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Yes</v>
      </c>
      <c r="AS32" s="194" t="str">
        <f aca="false">IF($A32="","",IFERROR(IF($AM32&lt;&gt;"",$AM32,IF($AG32&lt;&gt;"",$AG32,IF($AA32&lt;&gt;"",$AA32,IF($U32&lt;&gt;"",$U32,IF($O32&lt;&gt;"",$O32,""))))),""))</f>
        <v/>
      </c>
      <c r="AT32" s="194" t="str">
        <f aca="false">IFERROR(IF($AN32&lt;&gt;"",$AN32,IF($AH32&lt;&gt;"",$AH32,IF($AB32&lt;&gt;"",$AB32,IF($V32&lt;&gt;"",$V32,IF($P32&lt;&gt;"",$P32,""))))),"")</f>
        <v>Pass</v>
      </c>
      <c r="AU32" s="195" t="s">
        <v>1822</v>
      </c>
    </row>
    <row r="33" customFormat="false" ht="15.75" hidden="false" customHeight="true" outlineLevel="0" collapsed="false">
      <c r="A33" s="190"/>
      <c r="B33" s="190"/>
      <c r="C33" s="191" t="s">
        <v>1823</v>
      </c>
      <c r="D33" s="191"/>
      <c r="E33" s="191"/>
      <c r="F33" s="191"/>
      <c r="G33" s="191"/>
      <c r="H33" s="191"/>
      <c r="I33" s="191"/>
      <c r="J33" s="191"/>
      <c r="K33" s="191"/>
      <c r="L33" s="191"/>
      <c r="M33" s="191"/>
      <c r="N33" s="191"/>
      <c r="O33" s="191"/>
      <c r="P33" s="191"/>
      <c r="Q33" s="191"/>
      <c r="R33" s="191"/>
      <c r="S33" s="191"/>
      <c r="T33" s="191"/>
      <c r="U33" s="191"/>
      <c r="V33" s="191"/>
      <c r="W33" s="191"/>
      <c r="X33" s="191"/>
      <c r="Y33" s="191"/>
      <c r="Z33" s="191"/>
      <c r="AA33" s="191"/>
      <c r="AB33" s="191"/>
      <c r="AC33" s="191"/>
      <c r="AD33" s="191"/>
      <c r="AE33" s="191"/>
      <c r="AF33" s="191"/>
      <c r="AG33" s="191"/>
      <c r="AH33" s="191"/>
      <c r="AI33" s="191"/>
      <c r="AJ33" s="191"/>
      <c r="AK33" s="191"/>
      <c r="AL33" s="191"/>
      <c r="AM33" s="191"/>
      <c r="AN33" s="191"/>
      <c r="AO33" s="191"/>
      <c r="AP33" s="191"/>
      <c r="AQ33" s="191"/>
      <c r="AR33" s="191"/>
      <c r="AS33" s="191"/>
      <c r="AT33" s="191"/>
      <c r="AU33" s="191"/>
    </row>
    <row r="34" customFormat="false" ht="15.75" hidden="false" customHeight="true" outlineLevel="0" collapsed="false">
      <c r="A34" s="192" t="str">
        <f aca="false">IF($F34="","",$C$2&amp;"."&amp;COUNTA($F$7:$F34)&amp;"")</f>
        <v>TC_11.20</v>
      </c>
      <c r="B34" s="192" t="s">
        <v>706</v>
      </c>
      <c r="C34" s="192" t="s">
        <v>1757</v>
      </c>
      <c r="D34" s="192" t="s">
        <v>41</v>
      </c>
      <c r="E34" s="192" t="s">
        <v>157</v>
      </c>
      <c r="F34" s="13" t="s">
        <v>1824</v>
      </c>
      <c r="G34" s="13" t="s">
        <v>1825</v>
      </c>
      <c r="H34" s="13" t="s">
        <v>1826</v>
      </c>
      <c r="I34" s="13" t="s">
        <v>1827</v>
      </c>
      <c r="J34" s="192" t="s">
        <v>745</v>
      </c>
      <c r="K34" s="192" t="s">
        <v>243</v>
      </c>
      <c r="L34" s="192" t="s">
        <v>746</v>
      </c>
      <c r="M34" s="192"/>
      <c r="N34" s="193" t="s">
        <v>747</v>
      </c>
      <c r="O34" s="193"/>
      <c r="P34" s="193" t="s">
        <v>25</v>
      </c>
      <c r="Q34" s="193" t="s">
        <v>102</v>
      </c>
      <c r="R34" s="193" t="s">
        <v>391</v>
      </c>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Yes</v>
      </c>
      <c r="AS34" s="194" t="str">
        <f aca="false">IF($A34="","",IFERROR(IF($AM34&lt;&gt;"",$AM34,IF($AG34&lt;&gt;"",$AG34,IF($AA34&lt;&gt;"",$AA34,IF($U34&lt;&gt;"",$U34,IF($O34&lt;&gt;"",$O34,""))))),""))</f>
        <v/>
      </c>
      <c r="AT34" s="194" t="str">
        <f aca="false">IFERROR(IF($AN34&lt;&gt;"",$AN34,IF($AH34&lt;&gt;"",$AH34,IF($AB34&lt;&gt;"",$AB34,IF($V34&lt;&gt;"",$V34,IF($P34&lt;&gt;"",$P34,""))))),"")</f>
        <v>Fail</v>
      </c>
      <c r="AU34" s="195" t="s">
        <v>1828</v>
      </c>
    </row>
    <row r="35" customFormat="false" ht="15.75" hidden="false" customHeight="true" outlineLevel="0" collapsed="false">
      <c r="A35" s="192" t="str">
        <f aca="false">IF($F35="","",$C$2&amp;"."&amp;COUNTA($F$7:$F35)&amp;"")</f>
        <v>TC_11.21</v>
      </c>
      <c r="B35" s="192" t="s">
        <v>706</v>
      </c>
      <c r="C35" s="192" t="s">
        <v>1757</v>
      </c>
      <c r="D35" s="192" t="s">
        <v>41</v>
      </c>
      <c r="E35" s="192" t="s">
        <v>157</v>
      </c>
      <c r="F35" s="13" t="s">
        <v>1829</v>
      </c>
      <c r="G35" s="13" t="s">
        <v>1825</v>
      </c>
      <c r="H35" s="13" t="s">
        <v>1830</v>
      </c>
      <c r="I35" s="13" t="s">
        <v>1831</v>
      </c>
      <c r="J35" s="192" t="s">
        <v>745</v>
      </c>
      <c r="K35" s="192" t="s">
        <v>243</v>
      </c>
      <c r="L35" s="192" t="s">
        <v>746</v>
      </c>
      <c r="M35" s="192"/>
      <c r="N35" s="193" t="s">
        <v>747</v>
      </c>
      <c r="O35" s="193"/>
      <c r="P35" s="193" t="s">
        <v>25</v>
      </c>
      <c r="Q35" s="193" t="s">
        <v>102</v>
      </c>
      <c r="R35" s="193" t="s">
        <v>391</v>
      </c>
      <c r="S35" s="193"/>
      <c r="T35" s="193"/>
      <c r="U35" s="193"/>
      <c r="V35" s="193"/>
      <c r="W35" s="193"/>
      <c r="X35" s="193"/>
      <c r="Y35" s="193"/>
      <c r="Z35" s="193"/>
      <c r="AA35" s="193"/>
      <c r="AB35" s="193"/>
      <c r="AC35" s="193"/>
      <c r="AD35" s="193"/>
      <c r="AE35" s="193"/>
      <c r="AF35" s="193"/>
      <c r="AG35" s="193"/>
      <c r="AH35" s="193"/>
      <c r="AI35" s="193"/>
      <c r="AJ35" s="193"/>
      <c r="AK35" s="193"/>
      <c r="AL35" s="193"/>
      <c r="AM35" s="193"/>
      <c r="AN35" s="193"/>
      <c r="AO35" s="193"/>
      <c r="AP35" s="193"/>
      <c r="AQ35" s="193"/>
      <c r="AR35" s="194" t="str">
        <f aca="false">IF($A35="","",IF(OR($N35="Yes",$T35="Yes",$Z35="Yes",$AF35="Yes",$AL35="Yes"),"Yes","No"))</f>
        <v>Yes</v>
      </c>
      <c r="AS35" s="194" t="str">
        <f aca="false">IF($A35="","",IFERROR(IF($AM35&lt;&gt;"",$AM35,IF($AG35&lt;&gt;"",$AG35,IF($AA35&lt;&gt;"",$AA35,IF($U35&lt;&gt;"",$U35,IF($O35&lt;&gt;"",$O35,""))))),""))</f>
        <v/>
      </c>
      <c r="AT35" s="194" t="str">
        <f aca="false">IFERROR(IF($AN35&lt;&gt;"",$AN35,IF($AH35&lt;&gt;"",$AH35,IF($AB35&lt;&gt;"",$AB35,IF($V35&lt;&gt;"",$V35,IF($P35&lt;&gt;"",$P35,""))))),"")</f>
        <v>Fail</v>
      </c>
      <c r="AU35" s="195" t="s">
        <v>1832</v>
      </c>
    </row>
    <row r="36" customFormat="false" ht="15.75" hidden="false" customHeight="true" outlineLevel="0" collapsed="false">
      <c r="A36" s="192" t="str">
        <f aca="false">IF($F36="","",$C$2&amp;"."&amp;COUNTA($F$7:$F36)&amp;"")</f>
        <v>TC_11.22</v>
      </c>
      <c r="B36" s="192" t="s">
        <v>706</v>
      </c>
      <c r="C36" s="192" t="s">
        <v>1757</v>
      </c>
      <c r="D36" s="192" t="s">
        <v>41</v>
      </c>
      <c r="E36" s="192" t="s">
        <v>157</v>
      </c>
      <c r="F36" s="13" t="s">
        <v>1833</v>
      </c>
      <c r="G36" s="13" t="s">
        <v>1825</v>
      </c>
      <c r="H36" s="13" t="s">
        <v>1834</v>
      </c>
      <c r="I36" s="13" t="s">
        <v>1835</v>
      </c>
      <c r="J36" s="192" t="s">
        <v>745</v>
      </c>
      <c r="K36" s="192" t="s">
        <v>243</v>
      </c>
      <c r="L36" s="192" t="s">
        <v>746</v>
      </c>
      <c r="M36" s="192"/>
      <c r="N36" s="193" t="s">
        <v>747</v>
      </c>
      <c r="O36" s="193"/>
      <c r="P36" s="193" t="s">
        <v>25</v>
      </c>
      <c r="Q36" s="193" t="s">
        <v>102</v>
      </c>
      <c r="R36" s="193" t="s">
        <v>391</v>
      </c>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Yes</v>
      </c>
      <c r="AS36" s="194" t="str">
        <f aca="false">IF($A36="","",IFERROR(IF($AM36&lt;&gt;"",$AM36,IF($AG36&lt;&gt;"",$AG36,IF($AA36&lt;&gt;"",$AA36,IF($U36&lt;&gt;"",$U36,IF($O36&lt;&gt;"",$O36,""))))),""))</f>
        <v/>
      </c>
      <c r="AT36" s="194" t="str">
        <f aca="false">IFERROR(IF($AN36&lt;&gt;"",$AN36,IF($AH36&lt;&gt;"",$AH36,IF($AB36&lt;&gt;"",$AB36,IF($V36&lt;&gt;"",$V36,IF($P36&lt;&gt;"",$P36,""))))),"")</f>
        <v>Fail</v>
      </c>
      <c r="AU36" s="195" t="s">
        <v>1836</v>
      </c>
    </row>
    <row r="37" customFormat="false" ht="15.75" hidden="false" customHeight="true" outlineLevel="0" collapsed="false">
      <c r="A37" s="190"/>
      <c r="B37" s="190"/>
      <c r="C37" s="191" t="s">
        <v>1837</v>
      </c>
      <c r="D37" s="191"/>
      <c r="E37" s="191"/>
      <c r="F37" s="191"/>
      <c r="G37" s="191"/>
      <c r="H37" s="191"/>
      <c r="I37" s="191"/>
      <c r="J37" s="191"/>
      <c r="K37" s="191"/>
      <c r="L37" s="191"/>
      <c r="M37" s="191"/>
      <c r="N37" s="191"/>
      <c r="O37" s="191"/>
      <c r="P37" s="191"/>
      <c r="Q37" s="191"/>
      <c r="R37" s="191"/>
      <c r="S37" s="191"/>
      <c r="T37" s="191"/>
      <c r="U37" s="191"/>
      <c r="V37" s="191"/>
      <c r="W37" s="191"/>
      <c r="X37" s="191"/>
      <c r="Y37" s="191"/>
      <c r="Z37" s="191"/>
      <c r="AA37" s="191"/>
      <c r="AB37" s="191"/>
      <c r="AC37" s="191"/>
      <c r="AD37" s="191"/>
      <c r="AE37" s="191"/>
      <c r="AF37" s="191"/>
      <c r="AG37" s="191"/>
      <c r="AH37" s="191"/>
      <c r="AI37" s="191"/>
      <c r="AJ37" s="191"/>
      <c r="AK37" s="191"/>
      <c r="AL37" s="191"/>
      <c r="AM37" s="191"/>
      <c r="AN37" s="191"/>
      <c r="AO37" s="191"/>
      <c r="AP37" s="191"/>
      <c r="AQ37" s="191"/>
      <c r="AR37" s="191"/>
      <c r="AS37" s="191"/>
      <c r="AT37" s="191"/>
      <c r="AU37" s="191"/>
    </row>
    <row r="38" customFormat="false" ht="15.75" hidden="false" customHeight="true" outlineLevel="0" collapsed="false">
      <c r="A38" s="192" t="str">
        <f aca="false">IF($F38="","",$C$2&amp;"."&amp;COUNTA($F$7:$F38)&amp;"")</f>
        <v>TC_11.23</v>
      </c>
      <c r="B38" s="192" t="s">
        <v>706</v>
      </c>
      <c r="C38" s="192" t="s">
        <v>1757</v>
      </c>
      <c r="D38" s="192" t="s">
        <v>41</v>
      </c>
      <c r="E38" s="192" t="s">
        <v>157</v>
      </c>
      <c r="F38" s="13" t="s">
        <v>1838</v>
      </c>
      <c r="G38" s="13" t="s">
        <v>1839</v>
      </c>
      <c r="H38" s="13" t="s">
        <v>1840</v>
      </c>
      <c r="I38" s="13" t="s">
        <v>1841</v>
      </c>
      <c r="J38" s="192" t="s">
        <v>745</v>
      </c>
      <c r="K38" s="192" t="s">
        <v>243</v>
      </c>
      <c r="L38" s="192" t="s">
        <v>746</v>
      </c>
      <c r="M38" s="192"/>
      <c r="N38" s="193" t="s">
        <v>747</v>
      </c>
      <c r="O38" s="193"/>
      <c r="P38" s="193" t="s">
        <v>23</v>
      </c>
      <c r="Q38" s="193" t="s">
        <v>102</v>
      </c>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Yes</v>
      </c>
      <c r="AS38" s="194" t="str">
        <f aca="false">IF($A38="","",IFERROR(IF($AM38&lt;&gt;"",$AM38,IF($AG38&lt;&gt;"",$AG38,IF($AA38&lt;&gt;"",$AA38,IF($U38&lt;&gt;"",$U38,IF($O38&lt;&gt;"",$O38,""))))),""))</f>
        <v/>
      </c>
      <c r="AT38" s="194" t="str">
        <f aca="false">IFERROR(IF($AN38&lt;&gt;"",$AN38,IF($AH38&lt;&gt;"",$AH38,IF($AB38&lt;&gt;"",$AB38,IF($V38&lt;&gt;"",$V38,IF($P38&lt;&gt;"",$P38,""))))),"")</f>
        <v>Pass</v>
      </c>
      <c r="AU38" s="195" t="s">
        <v>1842</v>
      </c>
    </row>
    <row r="39" customFormat="false" ht="15.75" hidden="false" customHeight="true" outlineLevel="0" collapsed="false">
      <c r="A39" s="192" t="str">
        <f aca="false">IF($F39="","",$C$2&amp;"."&amp;COUNTA($F$7:$F39)&amp;"")</f>
        <v>TC_11.24</v>
      </c>
      <c r="B39" s="192" t="s">
        <v>706</v>
      </c>
      <c r="C39" s="192" t="s">
        <v>1757</v>
      </c>
      <c r="D39" s="192" t="s">
        <v>41</v>
      </c>
      <c r="E39" s="192" t="s">
        <v>157</v>
      </c>
      <c r="F39" s="13" t="s">
        <v>1843</v>
      </c>
      <c r="G39" s="13" t="s">
        <v>1844</v>
      </c>
      <c r="H39" s="13" t="s">
        <v>1845</v>
      </c>
      <c r="I39" s="13" t="s">
        <v>1846</v>
      </c>
      <c r="J39" s="192" t="s">
        <v>745</v>
      </c>
      <c r="K39" s="192" t="s">
        <v>243</v>
      </c>
      <c r="L39" s="192" t="s">
        <v>746</v>
      </c>
      <c r="M39" s="192"/>
      <c r="N39" s="193" t="s">
        <v>747</v>
      </c>
      <c r="O39" s="193"/>
      <c r="P39" s="193" t="s">
        <v>27</v>
      </c>
      <c r="Q39" s="193" t="s">
        <v>102</v>
      </c>
      <c r="R39" s="193"/>
      <c r="S39" s="193"/>
      <c r="T39" s="193"/>
      <c r="U39" s="193"/>
      <c r="V39" s="193"/>
      <c r="W39" s="193"/>
      <c r="X39" s="193"/>
      <c r="Y39" s="193"/>
      <c r="Z39" s="193"/>
      <c r="AA39" s="193"/>
      <c r="AB39" s="193"/>
      <c r="AC39" s="193"/>
      <c r="AD39" s="193"/>
      <c r="AE39" s="193"/>
      <c r="AF39" s="193"/>
      <c r="AG39" s="193"/>
      <c r="AH39" s="193"/>
      <c r="AI39" s="193"/>
      <c r="AJ39" s="193"/>
      <c r="AK39" s="193"/>
      <c r="AL39" s="193"/>
      <c r="AM39" s="193"/>
      <c r="AN39" s="193"/>
      <c r="AO39" s="193"/>
      <c r="AP39" s="193"/>
      <c r="AQ39" s="193"/>
      <c r="AR39" s="194" t="str">
        <f aca="false">IF($A39="","",IF(OR($N39="Yes",$T39="Yes",$Z39="Yes",$AF39="Yes",$AL39="Yes"),"Yes","No"))</f>
        <v>Yes</v>
      </c>
      <c r="AS39" s="194" t="str">
        <f aca="false">IF($A39="","",IFERROR(IF($AM39&lt;&gt;"",$AM39,IF($AG39&lt;&gt;"",$AG39,IF($AA39&lt;&gt;"",$AA39,IF($U39&lt;&gt;"",$U39,IF($O39&lt;&gt;"",$O39,""))))),""))</f>
        <v/>
      </c>
      <c r="AT39" s="194" t="str">
        <f aca="false">IFERROR(IF($AN39&lt;&gt;"",$AN39,IF($AH39&lt;&gt;"",$AH39,IF($AB39&lt;&gt;"",$AB39,IF($V39&lt;&gt;"",$V39,IF($P39&lt;&gt;"",$P39,""))))),"")</f>
        <v>Block</v>
      </c>
      <c r="AU39" s="195" t="s">
        <v>1847</v>
      </c>
    </row>
    <row r="40" customFormat="false" ht="15.75" hidden="false" customHeight="true" outlineLevel="0" collapsed="false">
      <c r="A40" s="192" t="str">
        <f aca="false">IF($F40="","",$C$2&amp;"."&amp;COUNTA($F$7:$F40)&amp;"")</f>
        <v>TC_11.25</v>
      </c>
      <c r="B40" s="192" t="s">
        <v>706</v>
      </c>
      <c r="C40" s="192" t="s">
        <v>1757</v>
      </c>
      <c r="D40" s="192" t="s">
        <v>41</v>
      </c>
      <c r="E40" s="192" t="s">
        <v>157</v>
      </c>
      <c r="F40" s="13" t="s">
        <v>1848</v>
      </c>
      <c r="G40" s="13" t="s">
        <v>1849</v>
      </c>
      <c r="H40" s="13" t="s">
        <v>1850</v>
      </c>
      <c r="I40" s="13" t="s">
        <v>1851</v>
      </c>
      <c r="J40" s="192" t="s">
        <v>745</v>
      </c>
      <c r="K40" s="192" t="s">
        <v>243</v>
      </c>
      <c r="L40" s="192" t="s">
        <v>746</v>
      </c>
      <c r="M40" s="192"/>
      <c r="N40" s="193" t="s">
        <v>747</v>
      </c>
      <c r="O40" s="193"/>
      <c r="P40" s="193" t="s">
        <v>23</v>
      </c>
      <c r="Q40" s="193" t="s">
        <v>102</v>
      </c>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Yes</v>
      </c>
      <c r="AS40" s="194" t="str">
        <f aca="false">IF($A40="","",IFERROR(IF($AM40&lt;&gt;"",$AM40,IF($AG40&lt;&gt;"",$AG40,IF($AA40&lt;&gt;"",$AA40,IF($U40&lt;&gt;"",$U40,IF($O40&lt;&gt;"",$O40,""))))),""))</f>
        <v/>
      </c>
      <c r="AT40" s="194" t="str">
        <f aca="false">IFERROR(IF($AN40&lt;&gt;"",$AN40,IF($AH40&lt;&gt;"",$AH40,IF($AB40&lt;&gt;"",$AB40,IF($V40&lt;&gt;"",$V40,IF($P40&lt;&gt;"",$P40,""))))),"")</f>
        <v>Pass</v>
      </c>
      <c r="AU40" s="195" t="s">
        <v>1852</v>
      </c>
    </row>
    <row r="41" customFormat="false" ht="15.75" hidden="false" customHeight="true" outlineLevel="0" collapsed="false">
      <c r="A41" s="192" t="str">
        <f aca="false">IF($F41="","",$C$2&amp;"."&amp;COUNTA($F$7:$F41)&amp;"")</f>
        <v>TC_11.26</v>
      </c>
      <c r="B41" s="192" t="s">
        <v>706</v>
      </c>
      <c r="C41" s="192" t="s">
        <v>1757</v>
      </c>
      <c r="D41" s="192" t="s">
        <v>41</v>
      </c>
      <c r="E41" s="192" t="s">
        <v>157</v>
      </c>
      <c r="F41" s="13" t="s">
        <v>1853</v>
      </c>
      <c r="G41" s="13" t="s">
        <v>1854</v>
      </c>
      <c r="H41" s="13" t="s">
        <v>1855</v>
      </c>
      <c r="I41" s="13" t="s">
        <v>1856</v>
      </c>
      <c r="J41" s="192" t="s">
        <v>745</v>
      </c>
      <c r="K41" s="192" t="s">
        <v>243</v>
      </c>
      <c r="L41" s="192" t="s">
        <v>746</v>
      </c>
      <c r="M41" s="192"/>
      <c r="N41" s="193" t="s">
        <v>747</v>
      </c>
      <c r="O41" s="193"/>
      <c r="P41" s="193" t="s">
        <v>27</v>
      </c>
      <c r="Q41" s="193" t="s">
        <v>102</v>
      </c>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Yes</v>
      </c>
      <c r="AS41" s="194" t="str">
        <f aca="false">IF($A41="","",IFERROR(IF($AM41&lt;&gt;"",$AM41,IF($AG41&lt;&gt;"",$AG41,IF($AA41&lt;&gt;"",$AA41,IF($U41&lt;&gt;"",$U41,IF($O41&lt;&gt;"",$O41,""))))),""))</f>
        <v/>
      </c>
      <c r="AT41" s="194" t="str">
        <f aca="false">IFERROR(IF($AN41&lt;&gt;"",$AN41,IF($AH41&lt;&gt;"",$AH41,IF($AB41&lt;&gt;"",$AB41,IF($V41&lt;&gt;"",$V41,IF($P41&lt;&gt;"",$P41,""))))),"")</f>
        <v>Block</v>
      </c>
      <c r="AU41" s="195" t="s">
        <v>1857</v>
      </c>
    </row>
    <row r="42" customFormat="false" ht="15.75" hidden="false" customHeight="true" outlineLevel="0" collapsed="false">
      <c r="A42" s="192" t="str">
        <f aca="false">IF($F42="","",$C$2&amp;"."&amp;COUNTA($F$7:$F42)&amp;"")</f>
        <v>TC_11.27</v>
      </c>
      <c r="B42" s="192" t="s">
        <v>706</v>
      </c>
      <c r="C42" s="192" t="s">
        <v>1757</v>
      </c>
      <c r="D42" s="192" t="s">
        <v>41</v>
      </c>
      <c r="E42" s="192" t="s">
        <v>157</v>
      </c>
      <c r="F42" s="13" t="s">
        <v>1858</v>
      </c>
      <c r="G42" s="13" t="s">
        <v>1859</v>
      </c>
      <c r="H42" s="13" t="s">
        <v>1860</v>
      </c>
      <c r="I42" s="13" t="s">
        <v>1856</v>
      </c>
      <c r="J42" s="192" t="s">
        <v>745</v>
      </c>
      <c r="K42" s="192" t="s">
        <v>243</v>
      </c>
      <c r="L42" s="192" t="s">
        <v>746</v>
      </c>
      <c r="M42" s="192"/>
      <c r="N42" s="193" t="s">
        <v>747</v>
      </c>
      <c r="O42" s="193"/>
      <c r="P42" s="193" t="s">
        <v>27</v>
      </c>
      <c r="Q42" s="193" t="s">
        <v>102</v>
      </c>
      <c r="R42" s="193"/>
      <c r="S42" s="193"/>
      <c r="T42" s="193"/>
      <c r="U42" s="193"/>
      <c r="V42" s="193"/>
      <c r="W42" s="193"/>
      <c r="X42" s="193"/>
      <c r="Y42" s="193"/>
      <c r="Z42" s="193"/>
      <c r="AA42" s="193"/>
      <c r="AB42" s="193"/>
      <c r="AC42" s="193"/>
      <c r="AD42" s="193"/>
      <c r="AE42" s="193"/>
      <c r="AF42" s="193"/>
      <c r="AG42" s="193"/>
      <c r="AH42" s="193"/>
      <c r="AI42" s="193"/>
      <c r="AJ42" s="193"/>
      <c r="AK42" s="193"/>
      <c r="AL42" s="193"/>
      <c r="AM42" s="193"/>
      <c r="AN42" s="193"/>
      <c r="AO42" s="193"/>
      <c r="AP42" s="193"/>
      <c r="AQ42" s="193"/>
      <c r="AR42" s="194" t="str">
        <f aca="false">IF($A42="","",IF(OR($N42="Yes",$T42="Yes",$Z42="Yes",$AF42="Yes",$AL42="Yes"),"Yes","No"))</f>
        <v>Yes</v>
      </c>
      <c r="AS42" s="194" t="str">
        <f aca="false">IF($A42="","",IFERROR(IF($AM42&lt;&gt;"",$AM42,IF($AG42&lt;&gt;"",$AG42,IF($AA42&lt;&gt;"",$AA42,IF($U42&lt;&gt;"",$U42,IF($O42&lt;&gt;"",$O42,""))))),""))</f>
        <v/>
      </c>
      <c r="AT42" s="194" t="str">
        <f aca="false">IFERROR(IF($AN42&lt;&gt;"",$AN42,IF($AH42&lt;&gt;"",$AH42,IF($AB42&lt;&gt;"",$AB42,IF($V42&lt;&gt;"",$V42,IF($P42&lt;&gt;"",$P42,""))))),"")</f>
        <v>Block</v>
      </c>
      <c r="AU42" s="195" t="s">
        <v>1861</v>
      </c>
    </row>
    <row r="43" customFormat="false" ht="15.75" hidden="false" customHeight="true" outlineLevel="0" collapsed="false">
      <c r="A43" s="192" t="str">
        <f aca="false">IF($F43="","",$C$2&amp;"."&amp;COUNTA($F$7:$F43)&amp;"")</f>
        <v>TC_11.28</v>
      </c>
      <c r="B43" s="192" t="s">
        <v>706</v>
      </c>
      <c r="C43" s="192" t="s">
        <v>1757</v>
      </c>
      <c r="D43" s="192" t="s">
        <v>41</v>
      </c>
      <c r="E43" s="192" t="s">
        <v>157</v>
      </c>
      <c r="F43" s="13" t="s">
        <v>1862</v>
      </c>
      <c r="G43" s="13" t="s">
        <v>1863</v>
      </c>
      <c r="H43" s="13" t="s">
        <v>1864</v>
      </c>
      <c r="I43" s="13" t="s">
        <v>1856</v>
      </c>
      <c r="J43" s="192" t="s">
        <v>745</v>
      </c>
      <c r="K43" s="192" t="s">
        <v>243</v>
      </c>
      <c r="L43" s="192" t="s">
        <v>746</v>
      </c>
      <c r="M43" s="192"/>
      <c r="N43" s="193" t="s">
        <v>747</v>
      </c>
      <c r="O43" s="193"/>
      <c r="P43" s="193" t="s">
        <v>27</v>
      </c>
      <c r="Q43" s="193" t="s">
        <v>102</v>
      </c>
      <c r="R43" s="193"/>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Yes</v>
      </c>
      <c r="AS43" s="194" t="str">
        <f aca="false">IF($A43="","",IFERROR(IF($AM43&lt;&gt;"",$AM43,IF($AG43&lt;&gt;"",$AG43,IF($AA43&lt;&gt;"",$AA43,IF($U43&lt;&gt;"",$U43,IF($O43&lt;&gt;"",$O43,""))))),""))</f>
        <v/>
      </c>
      <c r="AT43" s="194" t="str">
        <f aca="false">IFERROR(IF($AN43&lt;&gt;"",$AN43,IF($AH43&lt;&gt;"",$AH43,IF($AB43&lt;&gt;"",$AB43,IF($V43&lt;&gt;"",$V43,IF($P43&lt;&gt;"",$P43,""))))),"")</f>
        <v>Block</v>
      </c>
      <c r="AU43" s="195" t="s">
        <v>1865</v>
      </c>
    </row>
    <row r="44" customFormat="false" ht="15.75" hidden="false" customHeight="true" outlineLevel="0" collapsed="false">
      <c r="A44" s="192" t="str">
        <f aca="false">IF($F44="","",$C$2&amp;"."&amp;COUNTA($F$7:$F44)&amp;"")</f>
        <v>TC_11.29</v>
      </c>
      <c r="B44" s="192" t="s">
        <v>706</v>
      </c>
      <c r="C44" s="192" t="s">
        <v>1757</v>
      </c>
      <c r="D44" s="192" t="s">
        <v>41</v>
      </c>
      <c r="E44" s="192" t="s">
        <v>157</v>
      </c>
      <c r="F44" s="13" t="s">
        <v>1866</v>
      </c>
      <c r="G44" s="13" t="s">
        <v>1867</v>
      </c>
      <c r="H44" s="13" t="s">
        <v>1868</v>
      </c>
      <c r="I44" s="13" t="s">
        <v>1869</v>
      </c>
      <c r="J44" s="192" t="s">
        <v>745</v>
      </c>
      <c r="K44" s="192" t="s">
        <v>243</v>
      </c>
      <c r="L44" s="192" t="s">
        <v>746</v>
      </c>
      <c r="M44" s="192"/>
      <c r="N44" s="193" t="s">
        <v>747</v>
      </c>
      <c r="O44" s="193"/>
      <c r="P44" s="193" t="s">
        <v>27</v>
      </c>
      <c r="Q44" s="193" t="s">
        <v>102</v>
      </c>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Yes</v>
      </c>
      <c r="AS44" s="194" t="str">
        <f aca="false">IF($A44="","",IFERROR(IF($AM44&lt;&gt;"",$AM44,IF($AG44&lt;&gt;"",$AG44,IF($AA44&lt;&gt;"",$AA44,IF($U44&lt;&gt;"",$U44,IF($O44&lt;&gt;"",$O44,""))))),""))</f>
        <v/>
      </c>
      <c r="AT44" s="194" t="str">
        <f aca="false">IFERROR(IF($AN44&lt;&gt;"",$AN44,IF($AH44&lt;&gt;"",$AH44,IF($AB44&lt;&gt;"",$AB44,IF($V44&lt;&gt;"",$V44,IF($P44&lt;&gt;"",$P44,""))))),"")</f>
        <v>Block</v>
      </c>
      <c r="AU44" s="195" t="s">
        <v>1870</v>
      </c>
    </row>
    <row r="45" customFormat="false" ht="15.75" hidden="false" customHeight="true" outlineLevel="0" collapsed="false">
      <c r="A45" s="192" t="str">
        <f aca="false">IF($F45="","",$C$2&amp;"."&amp;COUNTA($F$7:$F45)&amp;"")</f>
        <v>TC_11.30</v>
      </c>
      <c r="B45" s="192" t="s">
        <v>706</v>
      </c>
      <c r="C45" s="192" t="s">
        <v>1757</v>
      </c>
      <c r="D45" s="192" t="s">
        <v>41</v>
      </c>
      <c r="E45" s="192" t="s">
        <v>157</v>
      </c>
      <c r="F45" s="13" t="s">
        <v>1871</v>
      </c>
      <c r="G45" s="13" t="s">
        <v>1872</v>
      </c>
      <c r="H45" s="13" t="s">
        <v>1873</v>
      </c>
      <c r="I45" s="13" t="s">
        <v>1874</v>
      </c>
      <c r="J45" s="192" t="s">
        <v>745</v>
      </c>
      <c r="K45" s="192" t="s">
        <v>243</v>
      </c>
      <c r="L45" s="192" t="s">
        <v>746</v>
      </c>
      <c r="M45" s="192"/>
      <c r="N45" s="193" t="s">
        <v>747</v>
      </c>
      <c r="O45" s="193"/>
      <c r="P45" s="193" t="s">
        <v>23</v>
      </c>
      <c r="Q45" s="193" t="s">
        <v>102</v>
      </c>
      <c r="R45" s="193"/>
      <c r="S45" s="193"/>
      <c r="T45" s="193"/>
      <c r="U45" s="193"/>
      <c r="V45" s="193"/>
      <c r="W45" s="193"/>
      <c r="X45" s="193"/>
      <c r="Y45" s="193"/>
      <c r="Z45" s="193"/>
      <c r="AA45" s="193"/>
      <c r="AB45" s="193"/>
      <c r="AC45" s="193"/>
      <c r="AD45" s="193"/>
      <c r="AE45" s="193"/>
      <c r="AF45" s="193"/>
      <c r="AG45" s="193"/>
      <c r="AH45" s="193"/>
      <c r="AI45" s="193"/>
      <c r="AJ45" s="193"/>
      <c r="AK45" s="193"/>
      <c r="AL45" s="193"/>
      <c r="AM45" s="193"/>
      <c r="AN45" s="193"/>
      <c r="AO45" s="193"/>
      <c r="AP45" s="193"/>
      <c r="AQ45" s="193"/>
      <c r="AR45" s="194" t="str">
        <f aca="false">IF($A45="","",IF(OR($N45="Yes",$T45="Yes",$Z45="Yes",$AF45="Yes",$AL45="Yes"),"Yes","No"))</f>
        <v>Yes</v>
      </c>
      <c r="AS45" s="194" t="str">
        <f aca="false">IF($A45="","",IFERROR(IF($AM45&lt;&gt;"",$AM45,IF($AG45&lt;&gt;"",$AG45,IF($AA45&lt;&gt;"",$AA45,IF($U45&lt;&gt;"",$U45,IF($O45&lt;&gt;"",$O45,""))))),""))</f>
        <v/>
      </c>
      <c r="AT45" s="194" t="str">
        <f aca="false">IFERROR(IF($AN45&lt;&gt;"",$AN45,IF($AH45&lt;&gt;"",$AH45,IF($AB45&lt;&gt;"",$AB45,IF($V45&lt;&gt;"",$V45,IF($P45&lt;&gt;"",$P45,""))))),"")</f>
        <v>Pass</v>
      </c>
      <c r="AU45" s="195" t="s">
        <v>1875</v>
      </c>
    </row>
    <row r="46" customFormat="false" ht="15.75" hidden="false" customHeight="true" outlineLevel="0" collapsed="false">
      <c r="A46" s="192" t="str">
        <f aca="false">IF($F46="","",$C$2&amp;"."&amp;COUNTA($F$7:$F46)&amp;"")</f>
        <v>TC_11.31</v>
      </c>
      <c r="B46" s="192" t="s">
        <v>706</v>
      </c>
      <c r="C46" s="192" t="s">
        <v>1757</v>
      </c>
      <c r="D46" s="192" t="s">
        <v>41</v>
      </c>
      <c r="E46" s="192" t="s">
        <v>157</v>
      </c>
      <c r="F46" s="13" t="s">
        <v>1876</v>
      </c>
      <c r="G46" s="13" t="s">
        <v>1877</v>
      </c>
      <c r="H46" s="13" t="s">
        <v>1878</v>
      </c>
      <c r="I46" s="13" t="s">
        <v>1841</v>
      </c>
      <c r="J46" s="192" t="s">
        <v>745</v>
      </c>
      <c r="K46" s="192" t="s">
        <v>243</v>
      </c>
      <c r="L46" s="192" t="s">
        <v>746</v>
      </c>
      <c r="M46" s="192"/>
      <c r="N46" s="193" t="s">
        <v>747</v>
      </c>
      <c r="O46" s="193"/>
      <c r="P46" s="193" t="s">
        <v>25</v>
      </c>
      <c r="Q46" s="193" t="s">
        <v>102</v>
      </c>
      <c r="R46" s="193" t="s">
        <v>412</v>
      </c>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Yes</v>
      </c>
      <c r="AS46" s="194" t="str">
        <f aca="false">IF($A46="","",IFERROR(IF($AM46&lt;&gt;"",$AM46,IF($AG46&lt;&gt;"",$AG46,IF($AA46&lt;&gt;"",$AA46,IF($U46&lt;&gt;"",$U46,IF($O46&lt;&gt;"",$O46,""))))),""))</f>
        <v/>
      </c>
      <c r="AT46" s="194" t="str">
        <f aca="false">IFERROR(IF($AN46&lt;&gt;"",$AN46,IF($AH46&lt;&gt;"",$AH46,IF($AB46&lt;&gt;"",$AB46,IF($V46&lt;&gt;"",$V46,IF($P46&lt;&gt;"",$P46,""))))),"")</f>
        <v>Fail</v>
      </c>
      <c r="AU46" s="195" t="s">
        <v>1879</v>
      </c>
    </row>
    <row r="47" customFormat="false" ht="15.75" hidden="false" customHeight="true" outlineLevel="0" collapsed="false">
      <c r="A47" s="190"/>
      <c r="B47" s="190"/>
      <c r="C47" s="191" t="s">
        <v>1880</v>
      </c>
      <c r="D47" s="191"/>
      <c r="E47" s="191"/>
      <c r="F47" s="191"/>
      <c r="G47" s="191"/>
      <c r="H47" s="191"/>
      <c r="I47" s="191"/>
      <c r="J47" s="191"/>
      <c r="K47" s="191"/>
      <c r="L47" s="191"/>
      <c r="M47" s="191"/>
      <c r="N47" s="191"/>
      <c r="O47" s="191"/>
      <c r="P47" s="191"/>
      <c r="Q47" s="191"/>
      <c r="R47" s="191"/>
      <c r="S47" s="191"/>
      <c r="T47" s="191"/>
      <c r="U47" s="191"/>
      <c r="V47" s="191"/>
      <c r="W47" s="191"/>
      <c r="X47" s="191"/>
      <c r="Y47" s="191"/>
      <c r="Z47" s="191"/>
      <c r="AA47" s="191"/>
      <c r="AB47" s="191"/>
      <c r="AC47" s="191"/>
      <c r="AD47" s="191"/>
      <c r="AE47" s="191"/>
      <c r="AF47" s="191"/>
      <c r="AG47" s="191"/>
      <c r="AH47" s="191"/>
      <c r="AI47" s="191"/>
      <c r="AJ47" s="191"/>
      <c r="AK47" s="191"/>
      <c r="AL47" s="191"/>
      <c r="AM47" s="191"/>
      <c r="AN47" s="191"/>
      <c r="AO47" s="191"/>
      <c r="AP47" s="191"/>
      <c r="AQ47" s="191"/>
      <c r="AR47" s="191"/>
      <c r="AS47" s="191"/>
      <c r="AT47" s="191"/>
      <c r="AU47" s="191"/>
    </row>
    <row r="48" customFormat="false" ht="15.75" hidden="false" customHeight="true" outlineLevel="0" collapsed="false">
      <c r="A48" s="192" t="str">
        <f aca="false">IF($F48="","",$C$2&amp;"."&amp;COUNTA($F$7:$F48)&amp;"")</f>
        <v>TC_11.32</v>
      </c>
      <c r="B48" s="192" t="s">
        <v>706</v>
      </c>
      <c r="C48" s="192" t="s">
        <v>617</v>
      </c>
      <c r="D48" s="192" t="s">
        <v>41</v>
      </c>
      <c r="E48" s="192" t="s">
        <v>157</v>
      </c>
      <c r="F48" s="13" t="s">
        <v>1881</v>
      </c>
      <c r="G48" s="13" t="s">
        <v>1882</v>
      </c>
      <c r="H48" s="13" t="s">
        <v>1883</v>
      </c>
      <c r="I48" s="13" t="s">
        <v>1884</v>
      </c>
      <c r="J48" s="192" t="s">
        <v>745</v>
      </c>
      <c r="K48" s="192" t="s">
        <v>243</v>
      </c>
      <c r="L48" s="192" t="s">
        <v>746</v>
      </c>
      <c r="M48" s="192"/>
      <c r="N48" s="193" t="s">
        <v>747</v>
      </c>
      <c r="O48" s="193"/>
      <c r="P48" s="193" t="s">
        <v>25</v>
      </c>
      <c r="Q48" s="193" t="s">
        <v>102</v>
      </c>
      <c r="R48" s="193" t="s">
        <v>416</v>
      </c>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Yes</v>
      </c>
      <c r="AS48" s="194" t="str">
        <f aca="false">IF($A48="","",IFERROR(IF($AM48&lt;&gt;"",$AM48,IF($AG48&lt;&gt;"",$AG48,IF($AA48&lt;&gt;"",$AA48,IF($U48&lt;&gt;"",$U48,IF($O48&lt;&gt;"",$O48,""))))),""))</f>
        <v/>
      </c>
      <c r="AT48" s="194" t="str">
        <f aca="false">IFERROR(IF($AN48&lt;&gt;"",$AN48,IF($AH48&lt;&gt;"",$AH48,IF($AB48&lt;&gt;"",$AB48,IF($V48&lt;&gt;"",$V48,IF($P48&lt;&gt;"",$P48,""))))),"")</f>
        <v>Fail</v>
      </c>
      <c r="AU48" s="195" t="s">
        <v>1885</v>
      </c>
    </row>
    <row r="49" customFormat="false" ht="15.75" hidden="false" customHeight="true" outlineLevel="0" collapsed="false">
      <c r="A49" s="192" t="str">
        <f aca="false">IF($F49="","",$C$2&amp;"."&amp;COUNTA($F$7:$F49)&amp;"")</f>
        <v>TC_11.33</v>
      </c>
      <c r="B49" s="192" t="s">
        <v>706</v>
      </c>
      <c r="C49" s="192" t="s">
        <v>617</v>
      </c>
      <c r="D49" s="192" t="s">
        <v>41</v>
      </c>
      <c r="E49" s="192" t="s">
        <v>157</v>
      </c>
      <c r="F49" s="13" t="s">
        <v>1886</v>
      </c>
      <c r="G49" s="13" t="s">
        <v>1887</v>
      </c>
      <c r="H49" s="13" t="s">
        <v>1888</v>
      </c>
      <c r="I49" s="13" t="s">
        <v>1889</v>
      </c>
      <c r="J49" s="192" t="s">
        <v>745</v>
      </c>
      <c r="K49" s="192" t="s">
        <v>243</v>
      </c>
      <c r="L49" s="192" t="s">
        <v>746</v>
      </c>
      <c r="M49" s="192"/>
      <c r="N49" s="193" t="s">
        <v>747</v>
      </c>
      <c r="O49" s="193"/>
      <c r="P49" s="193" t="s">
        <v>29</v>
      </c>
      <c r="Q49" s="193" t="s">
        <v>102</v>
      </c>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Yes</v>
      </c>
      <c r="AS49" s="194" t="str">
        <f aca="false">IF($A49="","",IFERROR(IF($AM49&lt;&gt;"",$AM49,IF($AG49&lt;&gt;"",$AG49,IF($AA49&lt;&gt;"",$AA49,IF($U49&lt;&gt;"",$U49,IF($O49&lt;&gt;"",$O49,""))))),""))</f>
        <v/>
      </c>
      <c r="AT49" s="194" t="str">
        <f aca="false">IFERROR(IF($AN49&lt;&gt;"",$AN49,IF($AH49&lt;&gt;"",$AH49,IF($AB49&lt;&gt;"",$AB49,IF($V49&lt;&gt;"",$V49,IF($P49&lt;&gt;"",$P49,""))))),"")</f>
        <v>N/A</v>
      </c>
      <c r="AU49" s="195" t="s">
        <v>1890</v>
      </c>
    </row>
    <row r="50" customFormat="false" ht="15.75" hidden="false" customHeight="true" outlineLevel="0" collapsed="false">
      <c r="A50" s="192" t="str">
        <f aca="false">IF($F50="","",$C$2&amp;"."&amp;COUNTA($F$7:$F50)&amp;"")</f>
        <v>TC_11.34</v>
      </c>
      <c r="B50" s="192" t="s">
        <v>706</v>
      </c>
      <c r="C50" s="192" t="s">
        <v>1891</v>
      </c>
      <c r="D50" s="192" t="s">
        <v>41</v>
      </c>
      <c r="E50" s="192" t="s">
        <v>157</v>
      </c>
      <c r="F50" s="13" t="s">
        <v>1892</v>
      </c>
      <c r="G50" s="13" t="s">
        <v>1893</v>
      </c>
      <c r="H50" s="13" t="s">
        <v>1894</v>
      </c>
      <c r="I50" s="13" t="s">
        <v>1895</v>
      </c>
      <c r="J50" s="192" t="s">
        <v>745</v>
      </c>
      <c r="K50" s="192" t="s">
        <v>243</v>
      </c>
      <c r="L50" s="192" t="s">
        <v>746</v>
      </c>
      <c r="M50" s="192"/>
      <c r="N50" s="193" t="s">
        <v>747</v>
      </c>
      <c r="O50" s="193"/>
      <c r="P50" s="193" t="s">
        <v>23</v>
      </c>
      <c r="Q50" s="193" t="s">
        <v>102</v>
      </c>
      <c r="R50" s="193"/>
      <c r="S50" s="193"/>
      <c r="T50" s="193"/>
      <c r="U50" s="193"/>
      <c r="V50" s="193"/>
      <c r="W50" s="193"/>
      <c r="X50" s="193"/>
      <c r="Y50" s="193"/>
      <c r="Z50" s="193"/>
      <c r="AA50" s="193"/>
      <c r="AB50" s="193"/>
      <c r="AC50" s="193"/>
      <c r="AD50" s="193"/>
      <c r="AE50" s="193"/>
      <c r="AF50" s="193"/>
      <c r="AG50" s="193"/>
      <c r="AH50" s="193"/>
      <c r="AI50" s="193"/>
      <c r="AJ50" s="193"/>
      <c r="AK50" s="193"/>
      <c r="AL50" s="193"/>
      <c r="AM50" s="193"/>
      <c r="AN50" s="193"/>
      <c r="AO50" s="193"/>
      <c r="AP50" s="193"/>
      <c r="AQ50" s="193"/>
      <c r="AR50" s="194" t="str">
        <f aca="false">IF($A50="","",IF(OR($N50="Yes",$T50="Yes",$Z50="Yes",$AF50="Yes",$AL50="Yes"),"Yes","No"))</f>
        <v>Yes</v>
      </c>
      <c r="AS50" s="194" t="str">
        <f aca="false">IF($A50="","",IFERROR(IF($AM50&lt;&gt;"",$AM50,IF($AG50&lt;&gt;"",$AG50,IF($AA50&lt;&gt;"",$AA50,IF($U50&lt;&gt;"",$U50,IF($O50&lt;&gt;"",$O50,""))))),""))</f>
        <v/>
      </c>
      <c r="AT50" s="194" t="str">
        <f aca="false">IFERROR(IF($AN50&lt;&gt;"",$AN50,IF($AH50&lt;&gt;"",$AH50,IF($AB50&lt;&gt;"",$AB50,IF($V50&lt;&gt;"",$V50,IF($P50&lt;&gt;"",$P50,""))))),"")</f>
        <v>Pass</v>
      </c>
      <c r="AU50" s="195" t="s">
        <v>1896</v>
      </c>
    </row>
    <row r="51" customFormat="false" ht="15.75" hidden="false" customHeight="true" outlineLevel="0" collapsed="false">
      <c r="A51" s="192" t="str">
        <f aca="false">IF($F51="","",$C$2&amp;"."&amp;COUNTA($F$7:$F51)&amp;"")</f>
        <v>TC_11.35</v>
      </c>
      <c r="B51" s="192" t="s">
        <v>706</v>
      </c>
      <c r="C51" s="192" t="s">
        <v>617</v>
      </c>
      <c r="D51" s="192" t="s">
        <v>41</v>
      </c>
      <c r="E51" s="192" t="s">
        <v>157</v>
      </c>
      <c r="F51" s="13" t="s">
        <v>1897</v>
      </c>
      <c r="G51" s="13" t="s">
        <v>1898</v>
      </c>
      <c r="H51" s="13" t="s">
        <v>1899</v>
      </c>
      <c r="I51" s="13" t="s">
        <v>1900</v>
      </c>
      <c r="J51" s="192" t="s">
        <v>745</v>
      </c>
      <c r="K51" s="192" t="s">
        <v>243</v>
      </c>
      <c r="L51" s="192" t="s">
        <v>746</v>
      </c>
      <c r="M51" s="192"/>
      <c r="N51" s="193" t="s">
        <v>747</v>
      </c>
      <c r="O51" s="193"/>
      <c r="P51" s="193" t="s">
        <v>25</v>
      </c>
      <c r="Q51" s="193" t="s">
        <v>102</v>
      </c>
      <c r="R51" s="193" t="s">
        <v>416</v>
      </c>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Fail</v>
      </c>
      <c r="AU51" s="195" t="s">
        <v>1901</v>
      </c>
    </row>
    <row r="52" customFormat="false" ht="15.75" hidden="false" customHeight="true" outlineLevel="0" collapsed="false">
      <c r="A52" s="192" t="str">
        <f aca="false">IF($F52="","",$C$2&amp;"."&amp;COUNTA($F$7:$F52)&amp;"")</f>
        <v>TC_11.36</v>
      </c>
      <c r="B52" s="192" t="s">
        <v>706</v>
      </c>
      <c r="C52" s="192" t="s">
        <v>617</v>
      </c>
      <c r="D52" s="192" t="s">
        <v>41</v>
      </c>
      <c r="E52" s="192" t="s">
        <v>157</v>
      </c>
      <c r="F52" s="13" t="s">
        <v>1902</v>
      </c>
      <c r="G52" s="13" t="s">
        <v>1903</v>
      </c>
      <c r="H52" s="13" t="s">
        <v>1904</v>
      </c>
      <c r="I52" s="13" t="s">
        <v>1776</v>
      </c>
      <c r="J52" s="192" t="s">
        <v>745</v>
      </c>
      <c r="K52" s="192" t="s">
        <v>243</v>
      </c>
      <c r="L52" s="192" t="s">
        <v>746</v>
      </c>
      <c r="M52" s="192"/>
      <c r="N52" s="193" t="s">
        <v>747</v>
      </c>
      <c r="O52" s="193"/>
      <c r="P52" s="193" t="s">
        <v>29</v>
      </c>
      <c r="Q52" s="193" t="s">
        <v>102</v>
      </c>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Yes</v>
      </c>
      <c r="AS52" s="194" t="str">
        <f aca="false">IF($A52="","",IFERROR(IF($AM52&lt;&gt;"",$AM52,IF($AG52&lt;&gt;"",$AG52,IF($AA52&lt;&gt;"",$AA52,IF($U52&lt;&gt;"",$U52,IF($O52&lt;&gt;"",$O52,""))))),""))</f>
        <v/>
      </c>
      <c r="AT52" s="194" t="str">
        <f aca="false">IFERROR(IF($AN52&lt;&gt;"",$AN52,IF($AH52&lt;&gt;"",$AH52,IF($AB52&lt;&gt;"",$AB52,IF($V52&lt;&gt;"",$V52,IF($P52&lt;&gt;"",$P52,""))))),"")</f>
        <v>N/A</v>
      </c>
      <c r="AU52" s="195" t="s">
        <v>1905</v>
      </c>
    </row>
    <row r="53" customFormat="false" ht="15.75" hidden="false" customHeight="true" outlineLevel="0" collapsed="false">
      <c r="A53" s="190"/>
      <c r="B53" s="190"/>
      <c r="C53" s="191" t="s">
        <v>1906</v>
      </c>
      <c r="D53" s="191"/>
      <c r="E53" s="191"/>
      <c r="F53" s="191"/>
      <c r="G53" s="191"/>
      <c r="H53" s="191"/>
      <c r="I53" s="191"/>
      <c r="J53" s="191"/>
      <c r="K53" s="191"/>
      <c r="L53" s="191"/>
      <c r="M53" s="191"/>
      <c r="N53" s="191"/>
      <c r="O53" s="191"/>
      <c r="P53" s="191"/>
      <c r="Q53" s="191"/>
      <c r="R53" s="191"/>
      <c r="S53" s="191"/>
      <c r="T53" s="191"/>
      <c r="U53" s="191"/>
      <c r="V53" s="191"/>
      <c r="W53" s="191"/>
      <c r="X53" s="191"/>
      <c r="Y53" s="191"/>
      <c r="Z53" s="191"/>
      <c r="AA53" s="191"/>
      <c r="AB53" s="191"/>
      <c r="AC53" s="191"/>
      <c r="AD53" s="191"/>
      <c r="AE53" s="191"/>
      <c r="AF53" s="191"/>
      <c r="AG53" s="191"/>
      <c r="AH53" s="191"/>
      <c r="AI53" s="191"/>
      <c r="AJ53" s="191"/>
      <c r="AK53" s="191"/>
      <c r="AL53" s="191"/>
      <c r="AM53" s="191"/>
      <c r="AN53" s="191"/>
      <c r="AO53" s="191"/>
      <c r="AP53" s="191"/>
      <c r="AQ53" s="191"/>
      <c r="AR53" s="191"/>
      <c r="AS53" s="191"/>
      <c r="AT53" s="191"/>
      <c r="AU53" s="191"/>
    </row>
    <row r="54" customFormat="false" ht="15.75" hidden="false" customHeight="true" outlineLevel="0" collapsed="false">
      <c r="A54" s="192" t="str">
        <f aca="false">IF($F54="","",$C$2&amp;"."&amp;COUNTA($F$7:$F54)&amp;"")</f>
        <v>TC_11.37</v>
      </c>
      <c r="B54" s="192" t="s">
        <v>706</v>
      </c>
      <c r="C54" s="192" t="s">
        <v>1757</v>
      </c>
      <c r="D54" s="192" t="s">
        <v>41</v>
      </c>
      <c r="E54" s="192" t="s">
        <v>158</v>
      </c>
      <c r="F54" s="13" t="s">
        <v>1907</v>
      </c>
      <c r="G54" s="13" t="s">
        <v>1908</v>
      </c>
      <c r="H54" s="13" t="s">
        <v>1909</v>
      </c>
      <c r="I54" s="13" t="s">
        <v>1910</v>
      </c>
      <c r="J54" s="192" t="s">
        <v>745</v>
      </c>
      <c r="K54" s="192" t="s">
        <v>243</v>
      </c>
      <c r="L54" s="192" t="s">
        <v>746</v>
      </c>
      <c r="M54" s="192"/>
      <c r="N54" s="193" t="s">
        <v>747</v>
      </c>
      <c r="O54" s="193"/>
      <c r="P54" s="193" t="s">
        <v>23</v>
      </c>
      <c r="Q54" s="193" t="s">
        <v>102</v>
      </c>
      <c r="R54" s="193"/>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Yes</v>
      </c>
      <c r="AS54" s="194" t="str">
        <f aca="false">IF($A54="","",IFERROR(IF($AM54&lt;&gt;"",$AM54,IF($AG54&lt;&gt;"",$AG54,IF($AA54&lt;&gt;"",$AA54,IF($U54&lt;&gt;"",$U54,IF($O54&lt;&gt;"",$O54,""))))),""))</f>
        <v/>
      </c>
      <c r="AT54" s="194" t="str">
        <f aca="false">IFERROR(IF($AN54&lt;&gt;"",$AN54,IF($AH54&lt;&gt;"",$AH54,IF($AB54&lt;&gt;"",$AB54,IF($V54&lt;&gt;"",$V54,IF($P54&lt;&gt;"",$P54,""))))),"")</f>
        <v>Pass</v>
      </c>
      <c r="AU54" s="195" t="s">
        <v>1911</v>
      </c>
    </row>
    <row r="55" customFormat="false" ht="15.75" hidden="false" customHeight="true" outlineLevel="0" collapsed="false">
      <c r="A55" s="192" t="str">
        <f aca="false">IF($F55="","",$C$2&amp;"."&amp;COUNTA($F$7:$F55)&amp;"")</f>
        <v>TC_11.38</v>
      </c>
      <c r="B55" s="192" t="s">
        <v>706</v>
      </c>
      <c r="C55" s="192" t="s">
        <v>1757</v>
      </c>
      <c r="D55" s="192" t="s">
        <v>41</v>
      </c>
      <c r="E55" s="192" t="s">
        <v>158</v>
      </c>
      <c r="F55" s="13" t="s">
        <v>1912</v>
      </c>
      <c r="G55" s="13" t="s">
        <v>1908</v>
      </c>
      <c r="H55" s="13" t="s">
        <v>1913</v>
      </c>
      <c r="I55" s="13" t="s">
        <v>1914</v>
      </c>
      <c r="J55" s="192" t="s">
        <v>745</v>
      </c>
      <c r="K55" s="192" t="s">
        <v>243</v>
      </c>
      <c r="L55" s="192" t="s">
        <v>746</v>
      </c>
      <c r="M55" s="192"/>
      <c r="N55" s="193" t="s">
        <v>747</v>
      </c>
      <c r="O55" s="193"/>
      <c r="P55" s="193" t="s">
        <v>23</v>
      </c>
      <c r="Q55" s="193" t="s">
        <v>102</v>
      </c>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Yes</v>
      </c>
      <c r="AS55" s="194" t="str">
        <f aca="false">IF($A55="","",IFERROR(IF($AM55&lt;&gt;"",$AM55,IF($AG55&lt;&gt;"",$AG55,IF($AA55&lt;&gt;"",$AA55,IF($U55&lt;&gt;"",$U55,IF($O55&lt;&gt;"",$O55,""))))),""))</f>
        <v/>
      </c>
      <c r="AT55" s="194" t="str">
        <f aca="false">IFERROR(IF($AN55&lt;&gt;"",$AN55,IF($AH55&lt;&gt;"",$AH55,IF($AB55&lt;&gt;"",$AB55,IF($V55&lt;&gt;"",$V55,IF($P55&lt;&gt;"",$P55,""))))),"")</f>
        <v>Pass</v>
      </c>
      <c r="AU55" s="195" t="s">
        <v>1915</v>
      </c>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0">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3:AU13"/>
    <mergeCell ref="C16:AU16"/>
    <mergeCell ref="C20:AU20"/>
    <mergeCell ref="C28:AU28"/>
    <mergeCell ref="C30:AU30"/>
    <mergeCell ref="C33:AU33"/>
    <mergeCell ref="C37:AU37"/>
    <mergeCell ref="C47:AU47"/>
    <mergeCell ref="C53:AU53"/>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2026-09-10T10:47:30Z</dcterms:created>
  <dc:creator>openpyxl</dc:creator>
  <dc:description/>
  <dc:language>en-US</dc:language>
  <cp:lastModifiedBy/>
  <dcterms:modified xsi:type="dcterms:W3CDTF">2026-09-22T12:02:12Z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